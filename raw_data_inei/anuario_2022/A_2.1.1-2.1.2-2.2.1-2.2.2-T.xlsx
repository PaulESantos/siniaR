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illari\CN_BASE2007\Anuario_Ambientales\Anuario_Ambientales_2022\RevisiónDNCN\Componente2\"/>
    </mc:Choice>
  </mc:AlternateContent>
  <bookViews>
    <workbookView xWindow="-120" yWindow="-120" windowWidth="29040" windowHeight="15720" tabRatio="748" firstSheet="14" activeTab="24"/>
  </bookViews>
  <sheets>
    <sheet name="1" sheetId="2" r:id="rId1"/>
    <sheet name="1-2a" sheetId="3" r:id="rId2"/>
    <sheet name="3-4a" sheetId="5" r:id="rId3"/>
    <sheet name="5-6a" sheetId="7" r:id="rId4"/>
    <sheet name="7a" sheetId="9" r:id="rId5"/>
    <sheet name="8a" sheetId="10" r:id="rId6"/>
    <sheet name="9a" sheetId="11" r:id="rId7"/>
    <sheet name="1-2b" sheetId="12" r:id="rId8"/>
    <sheet name="1-2-3b" sheetId="14" r:id="rId9"/>
    <sheet name="4b" sheetId="34" r:id="rId10"/>
    <sheet name="5b" sheetId="36" r:id="rId11"/>
    <sheet name="6b" sheetId="19" r:id="rId12"/>
    <sheet name="7b-8b" sheetId="37" r:id="rId13"/>
    <sheet name="9b" sheetId="21" r:id="rId14"/>
    <sheet name="10b" sheetId="23" r:id="rId15"/>
    <sheet name="11b" sheetId="24" r:id="rId16"/>
    <sheet name="12b" sheetId="25" r:id="rId17"/>
    <sheet name="13b" sheetId="26" r:id="rId18"/>
    <sheet name="14b" sheetId="27" r:id="rId19"/>
    <sheet name="15b" sheetId="28" r:id="rId20"/>
    <sheet name="16b" sheetId="29" r:id="rId21"/>
    <sheet name="17b" sheetId="30" r:id="rId22"/>
    <sheet name="18b" sheetId="31" r:id="rId23"/>
    <sheet name="19b" sheetId="32" r:id="rId24"/>
    <sheet name="20b" sheetId="33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a" localSheetId="0">#REF!</definedName>
    <definedName name="\a" localSheetId="7">#REF!</definedName>
    <definedName name="\a" localSheetId="22">#REF!</definedName>
    <definedName name="\a" localSheetId="23">#REF!</definedName>
    <definedName name="\a" localSheetId="5">#REF!</definedName>
    <definedName name="\a">#REF!</definedName>
    <definedName name="\c">#N/A</definedName>
    <definedName name="\D" localSheetId="0">#REF!</definedName>
    <definedName name="\D" localSheetId="7">#REF!</definedName>
    <definedName name="\D" localSheetId="18">#REF!</definedName>
    <definedName name="\D" localSheetId="5">#REF!</definedName>
    <definedName name="\D">#REF!</definedName>
    <definedName name="\i">#N/A</definedName>
    <definedName name="\K" localSheetId="0">#REF!</definedName>
    <definedName name="\K" localSheetId="7">#REF!</definedName>
    <definedName name="\K" localSheetId="18">#REF!</definedName>
    <definedName name="\K" localSheetId="5">#REF!</definedName>
    <definedName name="\K">#REF!</definedName>
    <definedName name="\m">#N/A</definedName>
    <definedName name="\p" localSheetId="0">#REF!</definedName>
    <definedName name="\p" localSheetId="7">#REF!</definedName>
    <definedName name="\p" localSheetId="18">#REF!</definedName>
    <definedName name="\p" localSheetId="22">#REF!</definedName>
    <definedName name="\p" localSheetId="23">#REF!</definedName>
    <definedName name="\p" localSheetId="5">#REF!</definedName>
    <definedName name="\p">#REF!</definedName>
    <definedName name="\q">#N/A</definedName>
    <definedName name="\s">#N/A</definedName>
    <definedName name="\t">#N/A</definedName>
    <definedName name="\w">#N/A</definedName>
    <definedName name="\Z" localSheetId="0">[1]Data!#REF!</definedName>
    <definedName name="\Z" localSheetId="7">[1]Data!#REF!</definedName>
    <definedName name="\Z" localSheetId="18">[1]Data!#REF!</definedName>
    <definedName name="\Z" localSheetId="5">[1]Data!#REF!</definedName>
    <definedName name="\Z">[1]Data!#REF!</definedName>
    <definedName name="________bol52" localSheetId="0">[2]PAG_35!#REF!</definedName>
    <definedName name="________bol52" localSheetId="7">[2]PAG_35!#REF!</definedName>
    <definedName name="________bol52" localSheetId="5">[2]PAG_35!#REF!</definedName>
    <definedName name="________bol52">[2]PAG_35!#REF!</definedName>
    <definedName name="________cdr2" localSheetId="0">[3]Cdr7!#REF!</definedName>
    <definedName name="________cdr2" localSheetId="7">[3]Cdr7!#REF!</definedName>
    <definedName name="________cdr2" localSheetId="5">[3]Cdr7!#REF!</definedName>
    <definedName name="________cdr2">[3]Cdr7!#REF!</definedName>
    <definedName name="________Imp1" localSheetId="0">#REF!</definedName>
    <definedName name="________Imp1" localSheetId="7">#REF!</definedName>
    <definedName name="________Imp1" localSheetId="5">#REF!</definedName>
    <definedName name="________Imp1">#REF!</definedName>
    <definedName name="________Imp2" localSheetId="0">#REF!</definedName>
    <definedName name="________Imp2" localSheetId="7">#REF!</definedName>
    <definedName name="________Imp2" localSheetId="5">#REF!</definedName>
    <definedName name="________Imp2">#REF!</definedName>
    <definedName name="_______bol52" localSheetId="0">[2]PAG_35!#REF!</definedName>
    <definedName name="_______bol52" localSheetId="7">[2]PAG_35!#REF!</definedName>
    <definedName name="_______bol52" localSheetId="5">[2]PAG_35!#REF!</definedName>
    <definedName name="_______bol52">[2]PAG_35!#REF!</definedName>
    <definedName name="_______cdr2" localSheetId="0">[3]Cdr7!#REF!</definedName>
    <definedName name="_______cdr2" localSheetId="7">[3]Cdr7!#REF!</definedName>
    <definedName name="_______cdr2" localSheetId="5">[3]Cdr7!#REF!</definedName>
    <definedName name="_______cdr2">[3]Cdr7!#REF!</definedName>
    <definedName name="_______Imp1" localSheetId="0">#REF!</definedName>
    <definedName name="_______Imp1" localSheetId="7">#REF!</definedName>
    <definedName name="_______Imp1" localSheetId="5">#REF!</definedName>
    <definedName name="_______Imp1">#REF!</definedName>
    <definedName name="_______Imp2" localSheetId="0">#REF!</definedName>
    <definedName name="_______Imp2" localSheetId="7">#REF!</definedName>
    <definedName name="_______Imp2" localSheetId="5">#REF!</definedName>
    <definedName name="_______Imp2">#REF!</definedName>
    <definedName name="_______key2" localSheetId="0" hidden="1">#REF!</definedName>
    <definedName name="_______key2" localSheetId="7" hidden="1">#REF!</definedName>
    <definedName name="_______key2" localSheetId="18" hidden="1">#REF!</definedName>
    <definedName name="_______key2" localSheetId="5" hidden="1">#REF!</definedName>
    <definedName name="_______key2" hidden="1">#REF!</definedName>
    <definedName name="______A2" localSheetId="0">'[4]R. Natural'!#REF!</definedName>
    <definedName name="______A2" localSheetId="7">'[4]R. Natural'!#REF!</definedName>
    <definedName name="______A2" localSheetId="18">'[5]R. Natural'!#REF!</definedName>
    <definedName name="______A2" localSheetId="5">'[4]R. Natural'!#REF!</definedName>
    <definedName name="______A2">'[4]R. Natural'!#REF!</definedName>
    <definedName name="______bol52" localSheetId="0">[2]PAG_35!#REF!</definedName>
    <definedName name="______bol52" localSheetId="7">[2]PAG_35!#REF!</definedName>
    <definedName name="______bol52" localSheetId="18">[2]PAG_35!#REF!</definedName>
    <definedName name="______bol52" localSheetId="5">[2]PAG_35!#REF!</definedName>
    <definedName name="______bol52">[2]PAG_35!#REF!</definedName>
    <definedName name="______BTP1">[6]BTPMP!$A$2:$M$19922</definedName>
    <definedName name="______BTP2">[6]BTPMS!$A$2:$N$19683</definedName>
    <definedName name="______CDB1">[6]CDMP!$B$2:$N$20020</definedName>
    <definedName name="______CDB2">[6]CDMS!$A$2:$M$20027</definedName>
    <definedName name="______cdr2" localSheetId="0">[3]Cdr7!#REF!</definedName>
    <definedName name="______cdr2" localSheetId="7">[3]Cdr7!#REF!</definedName>
    <definedName name="______cdr2" localSheetId="18">[3]Cdr7!#REF!</definedName>
    <definedName name="______cdr2" localSheetId="5">[3]Cdr7!#REF!</definedName>
    <definedName name="______cdr2">[3]Cdr7!#REF!</definedName>
    <definedName name="______Cdr7">'[7]Cdrs 1-2'!$A$1:$S$46</definedName>
    <definedName name="______Cdr8">'[7]Cdrs 1-2'!$A$69:$S$114</definedName>
    <definedName name="______Dur1">[6]Dur!$A$2:$I$27</definedName>
    <definedName name="______G7" localSheetId="0" hidden="1">#REF!</definedName>
    <definedName name="______G7" localSheetId="7" hidden="1">#REF!</definedName>
    <definedName name="______G7" localSheetId="18" hidden="1">#REF!</definedName>
    <definedName name="______G7" localSheetId="5" hidden="1">#REF!</definedName>
    <definedName name="______G7" hidden="1">#REF!</definedName>
    <definedName name="______gas001" localSheetId="0">#REF!</definedName>
    <definedName name="______gas001" localSheetId="7">#REF!</definedName>
    <definedName name="______gas001" localSheetId="18">#REF!</definedName>
    <definedName name="______gas001" localSheetId="5">#REF!</definedName>
    <definedName name="______gas001">#REF!</definedName>
    <definedName name="______Gas01" localSheetId="0">#REF!</definedName>
    <definedName name="______Gas01" localSheetId="7">#REF!</definedName>
    <definedName name="______Gas01" localSheetId="18">#REF!</definedName>
    <definedName name="______Gas01" localSheetId="5">#REF!</definedName>
    <definedName name="______Gas01">#REF!</definedName>
    <definedName name="______gas1" localSheetId="0">#REF!</definedName>
    <definedName name="______gas1" localSheetId="7">#REF!</definedName>
    <definedName name="______gas1" localSheetId="5">#REF!</definedName>
    <definedName name="______gas1">#REF!</definedName>
    <definedName name="______Imp1" localSheetId="0">#REF!</definedName>
    <definedName name="______Imp1" localSheetId="7">#REF!</definedName>
    <definedName name="______Imp1" localSheetId="5">#REF!</definedName>
    <definedName name="______Imp1">#REF!</definedName>
    <definedName name="______Imp2" localSheetId="0">#REF!</definedName>
    <definedName name="______Imp2" localSheetId="7">#REF!</definedName>
    <definedName name="______Imp2" localSheetId="5">#REF!</definedName>
    <definedName name="______Imp2">#REF!</definedName>
    <definedName name="______key2" localSheetId="0" hidden="1">#REF!</definedName>
    <definedName name="______key2" localSheetId="7" hidden="1">#REF!</definedName>
    <definedName name="______key2" localSheetId="5" hidden="1">#REF!</definedName>
    <definedName name="______key2" hidden="1">#REF!</definedName>
    <definedName name="______p1" localSheetId="0">#REF!</definedName>
    <definedName name="______p1" localSheetId="7">#REF!</definedName>
    <definedName name="______p1" localSheetId="5">#REF!</definedName>
    <definedName name="______p1">#REF!</definedName>
    <definedName name="______RM1">[8]PAG19!$B$3:$I$39</definedName>
    <definedName name="______RM2">[8]PAG19!$J$3:$P$39</definedName>
    <definedName name="_____A2" localSheetId="0">'[9]R. Natural'!#REF!</definedName>
    <definedName name="_____A2" localSheetId="7">'[9]R. Natural'!#REF!</definedName>
    <definedName name="_____A2" localSheetId="18">'[5]R. Natural'!#REF!</definedName>
    <definedName name="_____A2" localSheetId="5">'[9]R. Natural'!#REF!</definedName>
    <definedName name="_____A2">'[9]R. Natural'!#REF!</definedName>
    <definedName name="_____bol52" localSheetId="0">[2]PAG_35!#REF!</definedName>
    <definedName name="_____bol52" localSheetId="7">[2]PAG_35!#REF!</definedName>
    <definedName name="_____bol52" localSheetId="18">[2]PAG_35!#REF!</definedName>
    <definedName name="_____bol52" localSheetId="5">[2]PAG_35!#REF!</definedName>
    <definedName name="_____bol52">[2]PAG_35!#REF!</definedName>
    <definedName name="_____BTP1">[6]BTPMP!$A$2:$M$19922</definedName>
    <definedName name="_____BTP2">[6]BTPMS!$A$2:$N$19683</definedName>
    <definedName name="_____CDB1">[6]CDMP!$B$2:$N$20020</definedName>
    <definedName name="_____CDB2">[6]CDMS!$A$2:$M$20027</definedName>
    <definedName name="_____cdr2" localSheetId="0">[3]Cdr7!#REF!</definedName>
    <definedName name="_____cdr2" localSheetId="7">[3]Cdr7!#REF!</definedName>
    <definedName name="_____cdr2" localSheetId="18">[3]Cdr7!#REF!</definedName>
    <definedName name="_____cdr2" localSheetId="5">[3]Cdr7!#REF!</definedName>
    <definedName name="_____cdr2">[3]Cdr7!#REF!</definedName>
    <definedName name="_____Cdr7" localSheetId="7">'[10]Cdrs 1-2'!$A$1:$S$46</definedName>
    <definedName name="_____Cdr7" localSheetId="18">'[7]Cdrs 1-2'!$A$1:$S$46</definedName>
    <definedName name="_____Cdr7">'[10]Cdrs 1-2'!$A$1:$S$46</definedName>
    <definedName name="_____Cdr8" localSheetId="7">'[10]Cdrs 1-2'!$A$69:$S$114</definedName>
    <definedName name="_____Cdr8" localSheetId="18">'[7]Cdrs 1-2'!$A$69:$S$114</definedName>
    <definedName name="_____Cdr8">'[10]Cdrs 1-2'!$A$69:$S$114</definedName>
    <definedName name="_____Dur1">[6]Dur!$A$2:$I$27</definedName>
    <definedName name="_____G7" localSheetId="0" hidden="1">#REF!</definedName>
    <definedName name="_____G7" localSheetId="7" hidden="1">#REF!</definedName>
    <definedName name="_____G7" localSheetId="18" hidden="1">#REF!</definedName>
    <definedName name="_____G7" localSheetId="5" hidden="1">#REF!</definedName>
    <definedName name="_____G7" hidden="1">#REF!</definedName>
    <definedName name="_____gas001" localSheetId="0">#REF!</definedName>
    <definedName name="_____gas001" localSheetId="7">#REF!</definedName>
    <definedName name="_____gas001" localSheetId="18">#REF!</definedName>
    <definedName name="_____gas001" localSheetId="5">#REF!</definedName>
    <definedName name="_____gas001">#REF!</definedName>
    <definedName name="_____Gas01" localSheetId="0">#REF!</definedName>
    <definedName name="_____Gas01" localSheetId="7">#REF!</definedName>
    <definedName name="_____Gas01" localSheetId="18">#REF!</definedName>
    <definedName name="_____Gas01" localSheetId="5">#REF!</definedName>
    <definedName name="_____Gas01">#REF!</definedName>
    <definedName name="_____gas1" localSheetId="0">#REF!</definedName>
    <definedName name="_____gas1" localSheetId="7">#REF!</definedName>
    <definedName name="_____gas1" localSheetId="5">#REF!</definedName>
    <definedName name="_____gas1">#REF!</definedName>
    <definedName name="_____Imp1" localSheetId="0">#REF!</definedName>
    <definedName name="_____Imp1" localSheetId="7">#REF!</definedName>
    <definedName name="_____Imp1" localSheetId="5">#REF!</definedName>
    <definedName name="_____Imp1">#REF!</definedName>
    <definedName name="_____Imp2" localSheetId="0">#REF!</definedName>
    <definedName name="_____Imp2" localSheetId="7">#REF!</definedName>
    <definedName name="_____Imp2" localSheetId="5">#REF!</definedName>
    <definedName name="_____Imp2">#REF!</definedName>
    <definedName name="_____key2" localSheetId="0" hidden="1">#REF!</definedName>
    <definedName name="_____key2" localSheetId="7" hidden="1">#REF!</definedName>
    <definedName name="_____key2" localSheetId="22" hidden="1">#REF!</definedName>
    <definedName name="_____key2" localSheetId="23" hidden="1">#REF!</definedName>
    <definedName name="_____key2" localSheetId="5" hidden="1">#REF!</definedName>
    <definedName name="_____key2" hidden="1">#REF!</definedName>
    <definedName name="_____p1" localSheetId="0">#REF!</definedName>
    <definedName name="_____p1" localSheetId="7">#REF!</definedName>
    <definedName name="_____p1" localSheetId="5">#REF!</definedName>
    <definedName name="_____p1">#REF!</definedName>
    <definedName name="_____RM1">[8]PAG19!$B$3:$I$39</definedName>
    <definedName name="_____RM2">[8]PAG19!$J$3:$P$39</definedName>
    <definedName name="____A2" localSheetId="0">'[9]R. Natural'!#REF!</definedName>
    <definedName name="____A2" localSheetId="7">'[9]R. Natural'!#REF!</definedName>
    <definedName name="____A2" localSheetId="18">'[5]R. Natural'!#REF!</definedName>
    <definedName name="____A2" localSheetId="5">'[9]R. Natural'!#REF!</definedName>
    <definedName name="____A2">'[9]R. Natural'!#REF!</definedName>
    <definedName name="____bol52" localSheetId="0">[2]PAG_35!#REF!</definedName>
    <definedName name="____bol52" localSheetId="7">[2]PAG_35!#REF!</definedName>
    <definedName name="____bol52" localSheetId="18">[2]PAG_35!#REF!</definedName>
    <definedName name="____bol52" localSheetId="5">[2]PAG_35!#REF!</definedName>
    <definedName name="____bol52">[2]PAG_35!#REF!</definedName>
    <definedName name="____BTP1">[6]BTPMP!$A$2:$M$19922</definedName>
    <definedName name="____BTP2">[6]BTPMS!$A$2:$N$19683</definedName>
    <definedName name="____CDB1">[6]CDMP!$B$2:$N$20020</definedName>
    <definedName name="____CDB2">[6]CDMS!$A$2:$M$20027</definedName>
    <definedName name="____cdr2" localSheetId="0">[3]Cdr7!#REF!</definedName>
    <definedName name="____cdr2" localSheetId="7">[3]Cdr7!#REF!</definedName>
    <definedName name="____cdr2" localSheetId="18">[3]Cdr7!#REF!</definedName>
    <definedName name="____cdr2" localSheetId="5">[3]Cdr7!#REF!</definedName>
    <definedName name="____cdr2">[3]Cdr7!#REF!</definedName>
    <definedName name="____Cdr7" localSheetId="7">'[10]Cdrs 1-2'!$A$1:$S$46</definedName>
    <definedName name="____Cdr7" localSheetId="18">'[7]Cdrs 1-2'!$A$1:$S$46</definedName>
    <definedName name="____Cdr7">'[10]Cdrs 1-2'!$A$1:$S$46</definedName>
    <definedName name="____Cdr8" localSheetId="7">'[10]Cdrs 1-2'!$A$69:$S$114</definedName>
    <definedName name="____Cdr8" localSheetId="18">'[7]Cdrs 1-2'!$A$69:$S$114</definedName>
    <definedName name="____Cdr8">'[10]Cdrs 1-2'!$A$69:$S$114</definedName>
    <definedName name="____Dur1">[6]Dur!$A$2:$I$27</definedName>
    <definedName name="____G7" localSheetId="0" hidden="1">#REF!</definedName>
    <definedName name="____G7" localSheetId="7" hidden="1">#REF!</definedName>
    <definedName name="____G7" localSheetId="18" hidden="1">#REF!</definedName>
    <definedName name="____G7" localSheetId="5" hidden="1">#REF!</definedName>
    <definedName name="____G7" hidden="1">#REF!</definedName>
    <definedName name="____gas001" localSheetId="0">#REF!</definedName>
    <definedName name="____gas001" localSheetId="7">#REF!</definedName>
    <definedName name="____gas001" localSheetId="18">#REF!</definedName>
    <definedName name="____gas001" localSheetId="5">#REF!</definedName>
    <definedName name="____gas001">#REF!</definedName>
    <definedName name="____Gas01" localSheetId="0">#REF!</definedName>
    <definedName name="____Gas01" localSheetId="7">#REF!</definedName>
    <definedName name="____Gas01" localSheetId="18">#REF!</definedName>
    <definedName name="____Gas01" localSheetId="5">#REF!</definedName>
    <definedName name="____Gas01">#REF!</definedName>
    <definedName name="____gas1" localSheetId="0">#REF!</definedName>
    <definedName name="____gas1" localSheetId="7">#REF!</definedName>
    <definedName name="____gas1" localSheetId="5">#REF!</definedName>
    <definedName name="____gas1">#REF!</definedName>
    <definedName name="____Imp1" localSheetId="0">#REF!</definedName>
    <definedName name="____Imp1" localSheetId="7">#REF!</definedName>
    <definedName name="____Imp1" localSheetId="5">#REF!</definedName>
    <definedName name="____Imp1">#REF!</definedName>
    <definedName name="____Imp2" localSheetId="0">#REF!</definedName>
    <definedName name="____Imp2" localSheetId="7">#REF!</definedName>
    <definedName name="____Imp2" localSheetId="5">#REF!</definedName>
    <definedName name="____Imp2">#REF!</definedName>
    <definedName name="____key2" localSheetId="0" hidden="1">#REF!</definedName>
    <definedName name="____key2" localSheetId="7" hidden="1">#REF!</definedName>
    <definedName name="____key2" localSheetId="22" hidden="1">#REF!</definedName>
    <definedName name="____key2" localSheetId="23" hidden="1">#REF!</definedName>
    <definedName name="____key2" localSheetId="5" hidden="1">#REF!</definedName>
    <definedName name="____key2" hidden="1">#REF!</definedName>
    <definedName name="____p1" localSheetId="0">#REF!</definedName>
    <definedName name="____p1" localSheetId="7">#REF!</definedName>
    <definedName name="____p1" localSheetId="5">#REF!</definedName>
    <definedName name="____p1">#REF!</definedName>
    <definedName name="____RM1">[8]PAG19!$B$3:$I$39</definedName>
    <definedName name="____RM2">[8]PAG19!$J$3:$P$39</definedName>
    <definedName name="___A2" localSheetId="0">'[9]R. Natural'!#REF!</definedName>
    <definedName name="___A2" localSheetId="7">'[9]R. Natural'!#REF!</definedName>
    <definedName name="___A2" localSheetId="18">'[5]R. Natural'!#REF!</definedName>
    <definedName name="___A2" localSheetId="5">'[9]R. Natural'!#REF!</definedName>
    <definedName name="___A2">'[9]R. Natural'!#REF!</definedName>
    <definedName name="___bol52" localSheetId="0">[2]PAG_35!#REF!</definedName>
    <definedName name="___bol52" localSheetId="7">[2]PAG_35!#REF!</definedName>
    <definedName name="___bol52" localSheetId="18">[2]PAG_35!#REF!</definedName>
    <definedName name="___bol52" localSheetId="5">[2]PAG_35!#REF!</definedName>
    <definedName name="___bol52">[2]PAG_35!#REF!</definedName>
    <definedName name="___BTP1">[6]BTPMP!$A$2:$M$19922</definedName>
    <definedName name="___BTP2">[6]BTPMS!$A$2:$N$19683</definedName>
    <definedName name="___CDB1">[6]CDMP!$B$2:$N$20020</definedName>
    <definedName name="___CDB2">[6]CDMS!$A$2:$M$20027</definedName>
    <definedName name="___cdr2" localSheetId="0">[3]Cdr7!#REF!</definedName>
    <definedName name="___cdr2" localSheetId="7">[3]Cdr7!#REF!</definedName>
    <definedName name="___cdr2" localSheetId="18">[3]Cdr7!#REF!</definedName>
    <definedName name="___cdr2" localSheetId="5">[3]Cdr7!#REF!</definedName>
    <definedName name="___cdr2">[3]Cdr7!#REF!</definedName>
    <definedName name="___Cdr7" localSheetId="7">'[10]Cdrs 1-2'!$A$1:$S$46</definedName>
    <definedName name="___Cdr7" localSheetId="18">'[7]Cdrs 1-2'!$A$1:$S$46</definedName>
    <definedName name="___Cdr7">'[10]Cdrs 1-2'!$A$1:$S$46</definedName>
    <definedName name="___Cdr8" localSheetId="7">'[10]Cdrs 1-2'!$A$69:$S$114</definedName>
    <definedName name="___Cdr8" localSheetId="18">'[7]Cdrs 1-2'!$A$69:$S$114</definedName>
    <definedName name="___Cdr8">'[10]Cdrs 1-2'!$A$69:$S$114</definedName>
    <definedName name="___Dur1">[6]Dur!$A$2:$I$27</definedName>
    <definedName name="___G7" localSheetId="0" hidden="1">#REF!</definedName>
    <definedName name="___G7" localSheetId="7" hidden="1">#REF!</definedName>
    <definedName name="___G7" localSheetId="18" hidden="1">#REF!</definedName>
    <definedName name="___G7" localSheetId="5" hidden="1">#REF!</definedName>
    <definedName name="___G7" hidden="1">#REF!</definedName>
    <definedName name="___gas001" localSheetId="0">#REF!</definedName>
    <definedName name="___gas001" localSheetId="7">#REF!</definedName>
    <definedName name="___gas001" localSheetId="18">#REF!</definedName>
    <definedName name="___gas001" localSheetId="5">#REF!</definedName>
    <definedName name="___gas001">#REF!</definedName>
    <definedName name="___Gas01" localSheetId="0">#REF!</definedName>
    <definedName name="___Gas01" localSheetId="7">#REF!</definedName>
    <definedName name="___Gas01" localSheetId="18">#REF!</definedName>
    <definedName name="___Gas01" localSheetId="5">#REF!</definedName>
    <definedName name="___Gas01">#REF!</definedName>
    <definedName name="___gas1" localSheetId="0">#REF!</definedName>
    <definedName name="___gas1" localSheetId="7">#REF!</definedName>
    <definedName name="___gas1" localSheetId="5">#REF!</definedName>
    <definedName name="___gas1">#REF!</definedName>
    <definedName name="___Imp1" localSheetId="0">#REF!</definedName>
    <definedName name="___Imp1" localSheetId="7">#REF!</definedName>
    <definedName name="___Imp1" localSheetId="5">#REF!</definedName>
    <definedName name="___Imp1">#REF!</definedName>
    <definedName name="___Imp2" localSheetId="0">#REF!</definedName>
    <definedName name="___Imp2" localSheetId="7">#REF!</definedName>
    <definedName name="___Imp2" localSheetId="5">#REF!</definedName>
    <definedName name="___Imp2">#REF!</definedName>
    <definedName name="___key2" localSheetId="0" hidden="1">#REF!</definedName>
    <definedName name="___key2" localSheetId="14" hidden="1">#REF!</definedName>
    <definedName name="___key2" localSheetId="15" hidden="1">#REF!</definedName>
    <definedName name="___key2" localSheetId="16" hidden="1">#REF!</definedName>
    <definedName name="___key2" localSheetId="7" hidden="1">#REF!</definedName>
    <definedName name="___key2" localSheetId="19" hidden="1">#REF!</definedName>
    <definedName name="___key2" localSheetId="22" hidden="1">#REF!</definedName>
    <definedName name="___key2" localSheetId="23" hidden="1">#REF!</definedName>
    <definedName name="___key2" localSheetId="9" hidden="1">#REF!</definedName>
    <definedName name="___key2" localSheetId="11" hidden="1">#REF!</definedName>
    <definedName name="___key2" localSheetId="12" hidden="1">#REF!</definedName>
    <definedName name="___key2" localSheetId="5" hidden="1">#REF!</definedName>
    <definedName name="___key2" localSheetId="13" hidden="1">#REF!</definedName>
    <definedName name="___key2" hidden="1">#REF!</definedName>
    <definedName name="___p1" localSheetId="0">#REF!</definedName>
    <definedName name="___p1" localSheetId="7">#REF!</definedName>
    <definedName name="___p1" localSheetId="5">#REF!</definedName>
    <definedName name="___p1">#REF!</definedName>
    <definedName name="___RM1">[8]PAG19!$B$3:$I$39</definedName>
    <definedName name="___RM2">[8]PAG19!$J$3:$P$39</definedName>
    <definedName name="__1__123Graph_ACHART_1" hidden="1">[11]Hoja3!$J$368:$J$408</definedName>
    <definedName name="__123Graph_A" localSheetId="0" hidden="1">[12]balance!#REF!</definedName>
    <definedName name="__123Graph_A" localSheetId="14" hidden="1">[12]balance!#REF!</definedName>
    <definedName name="__123Graph_A" localSheetId="15" hidden="1">[12]balance!#REF!</definedName>
    <definedName name="__123Graph_A" localSheetId="16" hidden="1">[12]balance!#REF!</definedName>
    <definedName name="__123Graph_A" localSheetId="7" hidden="1">[12]balance!#REF!</definedName>
    <definedName name="__123Graph_A" localSheetId="18" hidden="1">[12]balance!#REF!</definedName>
    <definedName name="__123Graph_A" localSheetId="19" hidden="1">[12]balance!#REF!</definedName>
    <definedName name="__123Graph_A" localSheetId="22" hidden="1">[12]balance!#REF!</definedName>
    <definedName name="__123Graph_A" localSheetId="23" hidden="1">[12]balance!#REF!</definedName>
    <definedName name="__123Graph_A" localSheetId="9" hidden="1">[12]balance!#REF!</definedName>
    <definedName name="__123Graph_A" localSheetId="11" hidden="1">[12]balance!#REF!</definedName>
    <definedName name="__123Graph_A" localSheetId="12" hidden="1">[12]balance!#REF!</definedName>
    <definedName name="__123Graph_A" localSheetId="5" hidden="1">[12]balance!#REF!</definedName>
    <definedName name="__123Graph_A" localSheetId="13" hidden="1">[12]balance!#REF!</definedName>
    <definedName name="__123Graph_A" hidden="1">[12]balance!#REF!</definedName>
    <definedName name="__123Graph_ACURRENT" localSheetId="0" hidden="1">[12]balance!#REF!</definedName>
    <definedName name="__123Graph_ACURRENT" localSheetId="14" hidden="1">[12]balance!#REF!</definedName>
    <definedName name="__123Graph_ACURRENT" localSheetId="15" hidden="1">[12]balance!#REF!</definedName>
    <definedName name="__123Graph_ACURRENT" localSheetId="16" hidden="1">[12]balance!#REF!</definedName>
    <definedName name="__123Graph_ACURRENT" localSheetId="7" hidden="1">[12]balance!#REF!</definedName>
    <definedName name="__123Graph_ACURRENT" localSheetId="19" hidden="1">[12]balance!#REF!</definedName>
    <definedName name="__123Graph_ACURRENT" localSheetId="22" hidden="1">[12]balance!#REF!</definedName>
    <definedName name="__123Graph_ACURRENT" localSheetId="23" hidden="1">[12]balance!#REF!</definedName>
    <definedName name="__123Graph_ACURRENT" localSheetId="9" hidden="1">[12]balance!#REF!</definedName>
    <definedName name="__123Graph_ACURRENT" localSheetId="11" hidden="1">[12]balance!#REF!</definedName>
    <definedName name="__123Graph_ACURRENT" localSheetId="12" hidden="1">[12]balance!#REF!</definedName>
    <definedName name="__123Graph_ACURRENT" localSheetId="5" hidden="1">[12]balance!#REF!</definedName>
    <definedName name="__123Graph_ACURRENT" localSheetId="13" hidden="1">[12]balance!#REF!</definedName>
    <definedName name="__123Graph_ACURRENT" hidden="1">[12]balance!#REF!</definedName>
    <definedName name="__123Graph_B" localSheetId="0" hidden="1">[12]balance!#REF!</definedName>
    <definedName name="__123Graph_B" localSheetId="14" hidden="1">[12]balance!#REF!</definedName>
    <definedName name="__123Graph_B" localSheetId="15" hidden="1">[12]balance!#REF!</definedName>
    <definedName name="__123Graph_B" localSheetId="16" hidden="1">[12]balance!#REF!</definedName>
    <definedName name="__123Graph_B" localSheetId="7" hidden="1">[12]balance!#REF!</definedName>
    <definedName name="__123Graph_B" localSheetId="19" hidden="1">[12]balance!#REF!</definedName>
    <definedName name="__123Graph_B" localSheetId="22" hidden="1">[12]balance!#REF!</definedName>
    <definedName name="__123Graph_B" localSheetId="23" hidden="1">[12]balance!#REF!</definedName>
    <definedName name="__123Graph_B" localSheetId="9" hidden="1">[12]balance!#REF!</definedName>
    <definedName name="__123Graph_B" localSheetId="11" hidden="1">[12]balance!#REF!</definedName>
    <definedName name="__123Graph_B" localSheetId="12" hidden="1">[12]balance!#REF!</definedName>
    <definedName name="__123Graph_B" localSheetId="5" hidden="1">[12]balance!#REF!</definedName>
    <definedName name="__123Graph_B" localSheetId="13" hidden="1">[12]balance!#REF!</definedName>
    <definedName name="__123Graph_B" hidden="1">[12]balance!#REF!</definedName>
    <definedName name="__123Graph_BCURRENT" localSheetId="0" hidden="1">[12]balance!#REF!</definedName>
    <definedName name="__123Graph_BCURRENT" localSheetId="14" hidden="1">[12]balance!#REF!</definedName>
    <definedName name="__123Graph_BCURRENT" localSheetId="15" hidden="1">[12]balance!#REF!</definedName>
    <definedName name="__123Graph_BCURRENT" localSheetId="16" hidden="1">[12]balance!#REF!</definedName>
    <definedName name="__123Graph_BCURRENT" localSheetId="7" hidden="1">[12]balance!#REF!</definedName>
    <definedName name="__123Graph_BCURRENT" localSheetId="19" hidden="1">[12]balance!#REF!</definedName>
    <definedName name="__123Graph_BCURRENT" localSheetId="22" hidden="1">[12]balance!#REF!</definedName>
    <definedName name="__123Graph_BCURRENT" localSheetId="23" hidden="1">[12]balance!#REF!</definedName>
    <definedName name="__123Graph_BCURRENT" localSheetId="9" hidden="1">[12]balance!#REF!</definedName>
    <definedName name="__123Graph_BCURRENT" localSheetId="11" hidden="1">[12]balance!#REF!</definedName>
    <definedName name="__123Graph_BCURRENT" localSheetId="12" hidden="1">[12]balance!#REF!</definedName>
    <definedName name="__123Graph_BCURRENT" localSheetId="5" hidden="1">[12]balance!#REF!</definedName>
    <definedName name="__123Graph_BCURRENT" localSheetId="13" hidden="1">[12]balance!#REF!</definedName>
    <definedName name="__123Graph_BCURRENT" hidden="1">[12]balance!#REF!</definedName>
    <definedName name="__123Graph_D" localSheetId="0" hidden="1">[12]balance!#REF!</definedName>
    <definedName name="__123Graph_D" localSheetId="7" hidden="1">[12]balance!#REF!</definedName>
    <definedName name="__123Graph_D" localSheetId="22" hidden="1">[12]balance!#REF!</definedName>
    <definedName name="__123Graph_D" localSheetId="23" hidden="1">[12]balance!#REF!</definedName>
    <definedName name="__123Graph_D" localSheetId="5" hidden="1">[12]balance!#REF!</definedName>
    <definedName name="__123Graph_D" hidden="1">[12]balance!#REF!</definedName>
    <definedName name="__123Graph_DCURRENT" localSheetId="0" hidden="1">[12]balance!#REF!</definedName>
    <definedName name="__123Graph_DCURRENT" localSheetId="7" hidden="1">[12]balance!#REF!</definedName>
    <definedName name="__123Graph_DCURRENT" localSheetId="22" hidden="1">[12]balance!#REF!</definedName>
    <definedName name="__123Graph_DCURRENT" localSheetId="23" hidden="1">[12]balance!#REF!</definedName>
    <definedName name="__123Graph_DCURRENT" localSheetId="5" hidden="1">[12]balance!#REF!</definedName>
    <definedName name="__123Graph_DCURRENT" hidden="1">[12]balance!#REF!</definedName>
    <definedName name="__123Graph_F" localSheetId="0" hidden="1">[12]balance!#REF!</definedName>
    <definedName name="__123Graph_F" localSheetId="7" hidden="1">[12]balance!#REF!</definedName>
    <definedName name="__123Graph_F" localSheetId="22" hidden="1">[12]balance!#REF!</definedName>
    <definedName name="__123Graph_F" localSheetId="23" hidden="1">[12]balance!#REF!</definedName>
    <definedName name="__123Graph_F" localSheetId="5" hidden="1">[12]balance!#REF!</definedName>
    <definedName name="__123Graph_F" hidden="1">[12]balance!#REF!</definedName>
    <definedName name="__123Graph_FCURRENT" localSheetId="0" hidden="1">[12]balance!#REF!</definedName>
    <definedName name="__123Graph_FCURRENT" localSheetId="7" hidden="1">[12]balance!#REF!</definedName>
    <definedName name="__123Graph_FCURRENT" localSheetId="22" hidden="1">[12]balance!#REF!</definedName>
    <definedName name="__123Graph_FCURRENT" localSheetId="23" hidden="1">[12]balance!#REF!</definedName>
    <definedName name="__123Graph_FCURRENT" localSheetId="5" hidden="1">[12]balance!#REF!</definedName>
    <definedName name="__123Graph_FCURRENT" hidden="1">[12]balance!#REF!</definedName>
    <definedName name="__123Graph_X" localSheetId="0" hidden="1">[12]balance!#REF!</definedName>
    <definedName name="__123Graph_X" localSheetId="7" hidden="1">[12]balance!#REF!</definedName>
    <definedName name="__123Graph_X" localSheetId="22" hidden="1">[12]balance!#REF!</definedName>
    <definedName name="__123Graph_X" localSheetId="23" hidden="1">[12]balance!#REF!</definedName>
    <definedName name="__123Graph_X" localSheetId="5" hidden="1">[12]balance!#REF!</definedName>
    <definedName name="__123Graph_X" hidden="1">[12]balance!#REF!</definedName>
    <definedName name="__123Graph_XCURRENT" localSheetId="0" hidden="1">[12]balance!#REF!</definedName>
    <definedName name="__123Graph_XCURRENT" localSheetId="7" hidden="1">[12]balance!#REF!</definedName>
    <definedName name="__123Graph_XCURRENT" localSheetId="22" hidden="1">[12]balance!#REF!</definedName>
    <definedName name="__123Graph_XCURRENT" localSheetId="23" hidden="1">[12]balance!#REF!</definedName>
    <definedName name="__123Graph_XCURRENT" localSheetId="5" hidden="1">[12]balance!#REF!</definedName>
    <definedName name="__123Graph_XCURRENT" hidden="1">[12]balance!#REF!</definedName>
    <definedName name="__2_" localSheetId="0">#REF!</definedName>
    <definedName name="__2_" localSheetId="7">#REF!</definedName>
    <definedName name="__2_" localSheetId="5">#REF!</definedName>
    <definedName name="__2_">#REF!</definedName>
    <definedName name="__2__123Graph_XCHART_1" hidden="1">[11]Hoja3!$A$368:$A$408</definedName>
    <definedName name="__4_0" localSheetId="0">#REF!</definedName>
    <definedName name="__4_0" localSheetId="7">#REF!</definedName>
    <definedName name="__4_0" localSheetId="5">#REF!</definedName>
    <definedName name="__4_0">#REF!</definedName>
    <definedName name="__A2" localSheetId="0">'[13]R. Natural'!#REF!</definedName>
    <definedName name="__A2" localSheetId="7">'[13]R. Natural'!#REF!</definedName>
    <definedName name="__A2" localSheetId="18">'[5]R. Natural'!#REF!</definedName>
    <definedName name="__A2" localSheetId="22">'[14]R. Natural'!#REF!</definedName>
    <definedName name="__A2" localSheetId="23">'[14]R. Natural'!#REF!</definedName>
    <definedName name="__A2" localSheetId="5">'[13]R. Natural'!#REF!</definedName>
    <definedName name="__A2">'[13]R. Natural'!#REF!</definedName>
    <definedName name="__bol52" localSheetId="0">[2]PAG_35!#REF!</definedName>
    <definedName name="__bol52" localSheetId="7">[2]PAG_35!#REF!</definedName>
    <definedName name="__bol52" localSheetId="22">[2]PAG_35!#REF!</definedName>
    <definedName name="__bol52" localSheetId="23">[2]PAG_35!#REF!</definedName>
    <definedName name="__bol52" localSheetId="5">[2]PAG_35!#REF!</definedName>
    <definedName name="__bol52">[2]PAG_35!#REF!</definedName>
    <definedName name="__BTP1">[6]BTPMP!$A$2:$M$19922</definedName>
    <definedName name="__BTP2">[6]BTPMS!$A$2:$N$19683</definedName>
    <definedName name="__CDB1">[6]CDMP!$B$2:$N$20020</definedName>
    <definedName name="__CDB2">[6]CDMS!$A$2:$M$20027</definedName>
    <definedName name="__cdr2" localSheetId="0">[3]Cdr7!#REF!</definedName>
    <definedName name="__cdr2" localSheetId="7">[3]Cdr7!#REF!</definedName>
    <definedName name="__cdr2" localSheetId="18">[3]Cdr7!#REF!</definedName>
    <definedName name="__cdr2" localSheetId="22">[3]Cdr7!#REF!</definedName>
    <definedName name="__cdr2" localSheetId="23">[3]Cdr7!#REF!</definedName>
    <definedName name="__cdr2" localSheetId="5">[3]Cdr7!#REF!</definedName>
    <definedName name="__cdr2">[3]Cdr7!#REF!</definedName>
    <definedName name="__Cdr7">'[7]Cdrs 1-2'!$A$1:$S$46</definedName>
    <definedName name="__Cdr8">'[7]Cdrs 1-2'!$A$69:$S$114</definedName>
    <definedName name="__Dur1">[6]Dur!$A$2:$I$27</definedName>
    <definedName name="__G7" localSheetId="0" hidden="1">#REF!</definedName>
    <definedName name="__G7" localSheetId="14" hidden="1">#REF!</definedName>
    <definedName name="__G7" localSheetId="15" hidden="1">#REF!</definedName>
    <definedName name="__G7" localSheetId="16" hidden="1">#REF!</definedName>
    <definedName name="__G7" localSheetId="7" hidden="1">#REF!</definedName>
    <definedName name="__G7" localSheetId="18" hidden="1">#REF!</definedName>
    <definedName name="__G7" localSheetId="19" hidden="1">#REF!</definedName>
    <definedName name="__G7" localSheetId="22" hidden="1">#REF!</definedName>
    <definedName name="__G7" localSheetId="23" hidden="1">#REF!</definedName>
    <definedName name="__G7" localSheetId="9" hidden="1">#REF!</definedName>
    <definedName name="__G7" localSheetId="11" hidden="1">#REF!</definedName>
    <definedName name="__G7" localSheetId="12" hidden="1">#REF!</definedName>
    <definedName name="__G7" localSheetId="5" hidden="1">#REF!</definedName>
    <definedName name="__G7" localSheetId="13" hidden="1">#REF!</definedName>
    <definedName name="__G7" hidden="1">#REF!</definedName>
    <definedName name="__gas001" localSheetId="0">#REF!</definedName>
    <definedName name="__gas001" localSheetId="7">#REF!</definedName>
    <definedName name="__gas001" localSheetId="18">#REF!</definedName>
    <definedName name="__gas001" localSheetId="5">#REF!</definedName>
    <definedName name="__gas001">#REF!</definedName>
    <definedName name="__Gas01" localSheetId="0">#REF!</definedName>
    <definedName name="__Gas01" localSheetId="7">#REF!</definedName>
    <definedName name="__Gas01" localSheetId="18">#REF!</definedName>
    <definedName name="__Gas01" localSheetId="5">#REF!</definedName>
    <definedName name="__Gas01">#REF!</definedName>
    <definedName name="__gas1" localSheetId="0">#REF!</definedName>
    <definedName name="__gas1" localSheetId="7">#REF!</definedName>
    <definedName name="__gas1" localSheetId="5">#REF!</definedName>
    <definedName name="__gas1">#REF!</definedName>
    <definedName name="__Imp1" localSheetId="0">#REF!</definedName>
    <definedName name="__Imp1" localSheetId="7">#REF!</definedName>
    <definedName name="__Imp1" localSheetId="5">#REF!</definedName>
    <definedName name="__Imp1">#REF!</definedName>
    <definedName name="__Imp2" localSheetId="0">#REF!</definedName>
    <definedName name="__Imp2" localSheetId="7">#REF!</definedName>
    <definedName name="__Imp2" localSheetId="5">#REF!</definedName>
    <definedName name="__Imp2">#REF!</definedName>
    <definedName name="__key2" localSheetId="0" hidden="1">#REF!</definedName>
    <definedName name="__key2" localSheetId="14" hidden="1">#REF!</definedName>
    <definedName name="__key2" localSheetId="15" hidden="1">#REF!</definedName>
    <definedName name="__key2" localSheetId="16" hidden="1">#REF!</definedName>
    <definedName name="__key2" localSheetId="7" hidden="1">#REF!</definedName>
    <definedName name="__key2" localSheetId="19" hidden="1">#REF!</definedName>
    <definedName name="__key2" localSheetId="22" hidden="1">#REF!</definedName>
    <definedName name="__key2" localSheetId="23" hidden="1">#REF!</definedName>
    <definedName name="__key2" localSheetId="9" hidden="1">#REF!</definedName>
    <definedName name="__key2" localSheetId="11" hidden="1">#REF!</definedName>
    <definedName name="__key2" localSheetId="12" hidden="1">#REF!</definedName>
    <definedName name="__key2" localSheetId="5" hidden="1">#REF!</definedName>
    <definedName name="__key2" localSheetId="13" hidden="1">#REF!</definedName>
    <definedName name="__key2" hidden="1">#REF!</definedName>
    <definedName name="__p1" localSheetId="0">#REF!</definedName>
    <definedName name="__p1" localSheetId="7">#REF!</definedName>
    <definedName name="__p1" localSheetId="5">#REF!</definedName>
    <definedName name="__p1">#REF!</definedName>
    <definedName name="__RM1">[8]PAG19!$B$3:$I$39</definedName>
    <definedName name="__RM2">[8]PAG19!$J$3:$P$39</definedName>
    <definedName name="_1_" localSheetId="0">#REF!</definedName>
    <definedName name="_1_" localSheetId="7">#REF!</definedName>
    <definedName name="_1_" localSheetId="5">#REF!</definedName>
    <definedName name="_1_">#REF!</definedName>
    <definedName name="_1__123Graph_ACHART_1" localSheetId="18" hidden="1">[15]Hoja3!$J$368:$J$408</definedName>
    <definedName name="_1__123Graph_ACHART_1" hidden="1">[11]Hoja3!$J$368:$J$408</definedName>
    <definedName name="_1__123Graph_AGráfico_1A" hidden="1">[16]HIERRO!$B$47:$D$47</definedName>
    <definedName name="_16_0" localSheetId="0">#REF!</definedName>
    <definedName name="_16_0" localSheetId="7">#REF!</definedName>
    <definedName name="_16_0" localSheetId="18">#REF!</definedName>
    <definedName name="_16_0" localSheetId="5">#REF!</definedName>
    <definedName name="_16_0">#REF!</definedName>
    <definedName name="_2_" localSheetId="0">#REF!</definedName>
    <definedName name="_2_" localSheetId="7">#REF!</definedName>
    <definedName name="_2_" localSheetId="18">#REF!</definedName>
    <definedName name="_2_" localSheetId="22">#REF!</definedName>
    <definedName name="_2_" localSheetId="23">#REF!</definedName>
    <definedName name="_2_" localSheetId="5">#REF!</definedName>
    <definedName name="_2_">#REF!</definedName>
    <definedName name="_2__123Graph_ACHART_1" hidden="1">[11]Hoja3!$J$368:$J$408</definedName>
    <definedName name="_2__123Graph_BCHART_1" hidden="1">[17]EST_PB!$B$18:$D$18</definedName>
    <definedName name="_2__123Graph_XCHART_1" localSheetId="18" hidden="1">[15]Hoja3!$A$368:$A$408</definedName>
    <definedName name="_2__123Graph_XCHART_1" hidden="1">[11]Hoja3!$A$368:$A$408</definedName>
    <definedName name="_2_0" localSheetId="0">#REF!</definedName>
    <definedName name="_2_0" localSheetId="7">#REF!</definedName>
    <definedName name="_2_0" localSheetId="5">#REF!</definedName>
    <definedName name="_2_0">#REF!</definedName>
    <definedName name="_27_0" localSheetId="0">#REF!</definedName>
    <definedName name="_27_0" localSheetId="7">#REF!</definedName>
    <definedName name="_27_0" localSheetId="5">#REF!</definedName>
    <definedName name="_27_0">#REF!</definedName>
    <definedName name="_28_0" localSheetId="0">#REF!</definedName>
    <definedName name="_28_0" localSheetId="7">#REF!</definedName>
    <definedName name="_28_0" localSheetId="5">#REF!</definedName>
    <definedName name="_28_0">#REF!</definedName>
    <definedName name="_29_0" localSheetId="0">#REF!</definedName>
    <definedName name="_29_0" localSheetId="7">#REF!</definedName>
    <definedName name="_29_0" localSheetId="5">#REF!</definedName>
    <definedName name="_29_0">#REF!</definedName>
    <definedName name="_3__123Graph_ACHART_1" hidden="1">[11]Hoja3!$J$368:$J$408</definedName>
    <definedName name="_3__123Graph_BGráfico_1A" hidden="1">[16]HIERRO!$B$49:$D$49</definedName>
    <definedName name="_3__123Graph_XCHART_1" hidden="1">[11]Hoja3!$A$368:$A$408</definedName>
    <definedName name="_3_0" localSheetId="0">#REF!</definedName>
    <definedName name="_3_0" localSheetId="7">#REF!</definedName>
    <definedName name="_3_0" localSheetId="22">#REF!</definedName>
    <definedName name="_3_0" localSheetId="23">#REF!</definedName>
    <definedName name="_3_0" localSheetId="5">#REF!</definedName>
    <definedName name="_3_0">#REF!</definedName>
    <definedName name="_30_0" localSheetId="0">#REF!</definedName>
    <definedName name="_30_0" localSheetId="7">#REF!</definedName>
    <definedName name="_30_0" localSheetId="5">#REF!</definedName>
    <definedName name="_30_0">#REF!</definedName>
    <definedName name="_31_0" localSheetId="0">#REF!</definedName>
    <definedName name="_31_0" localSheetId="7">#REF!</definedName>
    <definedName name="_31_0" localSheetId="5">#REF!</definedName>
    <definedName name="_31_0">#REF!</definedName>
    <definedName name="_4__123Graph_CCHART_1" hidden="1">[17]EST_PB!$B$19:$D$19</definedName>
    <definedName name="_4__123Graph_XCHART_1" hidden="1">[11]Hoja3!$A$368:$A$408</definedName>
    <definedName name="_4_0" localSheetId="0">#REF!</definedName>
    <definedName name="_4_0" localSheetId="7">#REF!</definedName>
    <definedName name="_4_0" localSheetId="5">#REF!</definedName>
    <definedName name="_4_0">#REF!</definedName>
    <definedName name="_5__123Graph_CGráfico_1A" hidden="1">[16]HIERRO!$B$51:$D$51</definedName>
    <definedName name="_5_0" localSheetId="0">#REF!</definedName>
    <definedName name="_5_0" localSheetId="7">#REF!</definedName>
    <definedName name="_5_0" localSheetId="5">#REF!</definedName>
    <definedName name="_5_0">#REF!</definedName>
    <definedName name="_6__123Graph_DGráfico_1A" hidden="1">[16]HIERRO!$B$53:$D$53</definedName>
    <definedName name="_6_0" localSheetId="0">#REF!</definedName>
    <definedName name="_6_0" localSheetId="7">#REF!</definedName>
    <definedName name="_6_0" localSheetId="18">#REF!</definedName>
    <definedName name="_6_0" localSheetId="5">#REF!</definedName>
    <definedName name="_6_0">#REF!</definedName>
    <definedName name="_7.4">#N/A</definedName>
    <definedName name="_7.5" localSheetId="0">#REF!</definedName>
    <definedName name="_7.5" localSheetId="7">#REF!</definedName>
    <definedName name="_7.5" localSheetId="18">#REF!</definedName>
    <definedName name="_7.5" localSheetId="22">#REF!</definedName>
    <definedName name="_7.5" localSheetId="23">#REF!</definedName>
    <definedName name="_7.5" localSheetId="5">#REF!</definedName>
    <definedName name="_7.5">#REF!</definedName>
    <definedName name="_7.6">#N/A</definedName>
    <definedName name="_7.7">#N/A</definedName>
    <definedName name="_7_" localSheetId="0">#REF!</definedName>
    <definedName name="_7_" localSheetId="7">#REF!</definedName>
    <definedName name="_7_" localSheetId="18">#REF!</definedName>
    <definedName name="_7_" localSheetId="5">#REF!</definedName>
    <definedName name="_7_">#REF!</definedName>
    <definedName name="_7__123Graph_EGráfico_1A" hidden="1">[16]HIERRO!$B$53:$D$53</definedName>
    <definedName name="_7_0" localSheetId="0">#REF!</definedName>
    <definedName name="_7_0" localSheetId="7">#REF!</definedName>
    <definedName name="_7_0" localSheetId="5">#REF!</definedName>
    <definedName name="_7_0">#REF!</definedName>
    <definedName name="_8__123Graph_ACHART_1" hidden="1">[11]Hoja3!$J$368:$J$408</definedName>
    <definedName name="_8__123Graph_FGráfico_1A" localSheetId="0" hidden="1">[17]HIERRO!#REF!</definedName>
    <definedName name="_8__123Graph_FGráfico_1A" localSheetId="7" hidden="1">[17]HIERRO!#REF!</definedName>
    <definedName name="_8__123Graph_FGráfico_1A" localSheetId="5" hidden="1">[17]HIERRO!#REF!</definedName>
    <definedName name="_8__123Graph_FGráfico_1A" hidden="1">[17]HIERRO!#REF!</definedName>
    <definedName name="_9__123Graph_XCHART_1" hidden="1">[11]Hoja3!$A$368:$A$408</definedName>
    <definedName name="_9__123Graph_XGráfico_1A" localSheetId="0" hidden="1">[17]HIERRO!#REF!</definedName>
    <definedName name="_9__123Graph_XGráfico_1A" localSheetId="7" hidden="1">[17]HIERRO!#REF!</definedName>
    <definedName name="_9__123Graph_XGráfico_1A" localSheetId="5" hidden="1">[17]HIERRO!#REF!</definedName>
    <definedName name="_9__123Graph_XGráfico_1A" hidden="1">[17]HIERRO!#REF!</definedName>
    <definedName name="_A2" localSheetId="0">'[13]R. Natural'!#REF!</definedName>
    <definedName name="_A2" localSheetId="7">'[13]R. Natural'!#REF!</definedName>
    <definedName name="_A2" localSheetId="18">'[18]R. Natural'!#REF!</definedName>
    <definedName name="_A2" localSheetId="22">'[14]R. Natural'!#REF!</definedName>
    <definedName name="_A2" localSheetId="23">'[14]R. Natural'!#REF!</definedName>
    <definedName name="_A2" localSheetId="5">'[13]R. Natural'!#REF!</definedName>
    <definedName name="_A2">'[13]R. Natural'!#REF!</definedName>
    <definedName name="_bol52" localSheetId="0">[2]PAG_35!#REF!</definedName>
    <definedName name="_bol52" localSheetId="7">[2]PAG_35!#REF!</definedName>
    <definedName name="_bol52" localSheetId="18">[2]PAG_35!#REF!</definedName>
    <definedName name="_bol52" localSheetId="22">[2]PAG_35!#REF!</definedName>
    <definedName name="_bol52" localSheetId="23">[2]PAG_35!#REF!</definedName>
    <definedName name="_bol52" localSheetId="5">[2]PAG_35!#REF!</definedName>
    <definedName name="_bol52">[2]PAG_35!#REF!</definedName>
    <definedName name="_BTP1">[6]BTPMP!$A$2:$M$19922</definedName>
    <definedName name="_BTP2">[6]BTPMS!$A$2:$N$19683</definedName>
    <definedName name="_CDB1">[6]CDMP!$B$2:$N$20020</definedName>
    <definedName name="_CDB2">[6]CDMS!$A$2:$M$20027</definedName>
    <definedName name="_cdr2" localSheetId="0">[3]Cdr7!#REF!</definedName>
    <definedName name="_cdr2" localSheetId="7">[3]Cdr7!#REF!</definedName>
    <definedName name="_cdr2" localSheetId="18">[3]Cdr7!#REF!</definedName>
    <definedName name="_cdr2" localSheetId="22">[3]Cdr7!#REF!</definedName>
    <definedName name="_cdr2" localSheetId="23">[3]Cdr7!#REF!</definedName>
    <definedName name="_cdr2" localSheetId="5">[3]Cdr7!#REF!</definedName>
    <definedName name="_cdr2">[3]Cdr7!#REF!</definedName>
    <definedName name="_Cdr7">'[7]Cdrs 1-2'!$A$1:$S$46</definedName>
    <definedName name="_Cdr8">'[7]Cdrs 1-2'!$A$69:$S$114</definedName>
    <definedName name="_Dur1">[6]Dur!$A$2:$I$27</definedName>
    <definedName name="_Fill" localSheetId="0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7" hidden="1">#REF!</definedName>
    <definedName name="_Fill" localSheetId="19" hidden="1">#REF!</definedName>
    <definedName name="_Fill" localSheetId="22" hidden="1">#REF!</definedName>
    <definedName name="_Fill" localSheetId="23" hidden="1">#REF!</definedName>
    <definedName name="_Fill" localSheetId="9" hidden="1">#REF!</definedName>
    <definedName name="_Fill" localSheetId="11" hidden="1">#REF!</definedName>
    <definedName name="_Fill" localSheetId="12" hidden="1">#REF!</definedName>
    <definedName name="_Fill" localSheetId="5" hidden="1">#REF!</definedName>
    <definedName name="_Fill" localSheetId="13" hidden="1">#REF!</definedName>
    <definedName name="_Fill" hidden="1">#REF!</definedName>
    <definedName name="_fill1" localSheetId="0" hidden="1">#REF!</definedName>
    <definedName name="_fill1" localSheetId="14" hidden="1">#REF!</definedName>
    <definedName name="_fill1" localSheetId="15" hidden="1">#REF!</definedName>
    <definedName name="_fill1" localSheetId="16" hidden="1">#REF!</definedName>
    <definedName name="_fill1" localSheetId="7" hidden="1">#REF!</definedName>
    <definedName name="_fill1" localSheetId="19" hidden="1">#REF!</definedName>
    <definedName name="_fill1" localSheetId="22" hidden="1">#REF!</definedName>
    <definedName name="_fill1" localSheetId="23" hidden="1">#REF!</definedName>
    <definedName name="_fill1" localSheetId="9" hidden="1">#REF!</definedName>
    <definedName name="_fill1" localSheetId="11" hidden="1">#REF!</definedName>
    <definedName name="_fill1" localSheetId="12" hidden="1">#REF!</definedName>
    <definedName name="_fill1" localSheetId="5" hidden="1">#REF!</definedName>
    <definedName name="_fill1" localSheetId="13" hidden="1">#REF!</definedName>
    <definedName name="_fill1" hidden="1">#REF!</definedName>
    <definedName name="_xlnm._FilterDatabase" localSheetId="14" hidden="1">'10b'!$A$5:$J$29</definedName>
    <definedName name="_G7" localSheetId="0" hidden="1">#REF!</definedName>
    <definedName name="_G7" localSheetId="14" hidden="1">#REF!</definedName>
    <definedName name="_G7" localSheetId="15" hidden="1">#REF!</definedName>
    <definedName name="_G7" localSheetId="16" hidden="1">#REF!</definedName>
    <definedName name="_G7" localSheetId="7" hidden="1">#REF!</definedName>
    <definedName name="_G7" localSheetId="19" hidden="1">#REF!</definedName>
    <definedName name="_G7" localSheetId="22" hidden="1">#REF!</definedName>
    <definedName name="_G7" localSheetId="23" hidden="1">#REF!</definedName>
    <definedName name="_G7" localSheetId="9" hidden="1">#REF!</definedName>
    <definedName name="_G7" localSheetId="11" hidden="1">#REF!</definedName>
    <definedName name="_G7" localSheetId="12" hidden="1">#REF!</definedName>
    <definedName name="_G7" localSheetId="5" hidden="1">#REF!</definedName>
    <definedName name="_G7" localSheetId="13" hidden="1">#REF!</definedName>
    <definedName name="_G7" hidden="1">#REF!</definedName>
    <definedName name="_gas001" localSheetId="0">#REF!</definedName>
    <definedName name="_gas001" localSheetId="7">#REF!</definedName>
    <definedName name="_gas001" localSheetId="5">#REF!</definedName>
    <definedName name="_gas001">#REF!</definedName>
    <definedName name="_Gas01" localSheetId="0">#REF!</definedName>
    <definedName name="_Gas01" localSheetId="7">#REF!</definedName>
    <definedName name="_Gas01" localSheetId="5">#REF!</definedName>
    <definedName name="_Gas01">#REF!</definedName>
    <definedName name="_gas1" localSheetId="0">#REF!</definedName>
    <definedName name="_gas1" localSheetId="7">#REF!</definedName>
    <definedName name="_gas1" localSheetId="5">#REF!</definedName>
    <definedName name="_gas1">#REF!</definedName>
    <definedName name="_Imp1" localSheetId="0">#REF!</definedName>
    <definedName name="_Imp1" localSheetId="7">#REF!</definedName>
    <definedName name="_Imp1" localSheetId="5">#REF!</definedName>
    <definedName name="_Imp1">#REF!</definedName>
    <definedName name="_Imp2" localSheetId="0">#REF!</definedName>
    <definedName name="_Imp2" localSheetId="7">#REF!</definedName>
    <definedName name="_Imp2" localSheetId="5">#REF!</definedName>
    <definedName name="_Imp2">#REF!</definedName>
    <definedName name="_key01" localSheetId="0" hidden="1">#REF!</definedName>
    <definedName name="_key01" localSheetId="14" hidden="1">#REF!</definedName>
    <definedName name="_key01" localSheetId="15" hidden="1">#REF!</definedName>
    <definedName name="_key01" localSheetId="16" hidden="1">#REF!</definedName>
    <definedName name="_key01" localSheetId="7" hidden="1">#REF!</definedName>
    <definedName name="_key01" localSheetId="19" hidden="1">#REF!</definedName>
    <definedName name="_key01" localSheetId="22" hidden="1">#REF!</definedName>
    <definedName name="_key01" localSheetId="23" hidden="1">#REF!</definedName>
    <definedName name="_key01" localSheetId="9" hidden="1">#REF!</definedName>
    <definedName name="_key01" localSheetId="11" hidden="1">#REF!</definedName>
    <definedName name="_key01" localSheetId="12" hidden="1">#REF!</definedName>
    <definedName name="_key01" localSheetId="5" hidden="1">#REF!</definedName>
    <definedName name="_key01" localSheetId="13" hidden="1">#REF!</definedName>
    <definedName name="_key01" hidden="1">#REF!</definedName>
    <definedName name="_Key1" localSheetId="0" hidden="1">#REF!</definedName>
    <definedName name="_Key1" localSheetId="14" hidden="1">#REF!</definedName>
    <definedName name="_Key1" localSheetId="15" hidden="1">#REF!</definedName>
    <definedName name="_Key1" localSheetId="1" hidden="1">#REF!</definedName>
    <definedName name="_Key1" localSheetId="16" hidden="1">#REF!</definedName>
    <definedName name="_Key1" localSheetId="7" hidden="1">#REF!</definedName>
    <definedName name="_Key1" localSheetId="19" hidden="1">#REF!</definedName>
    <definedName name="_Key1" localSheetId="22" hidden="1">#REF!</definedName>
    <definedName name="_Key1" localSheetId="23" hidden="1">#REF!</definedName>
    <definedName name="_Key1" localSheetId="2" hidden="1">#REF!</definedName>
    <definedName name="_Key1" localSheetId="9" hidden="1">#REF!</definedName>
    <definedName name="_Key1" localSheetId="11" hidden="1">#REF!</definedName>
    <definedName name="_Key1" localSheetId="4" hidden="1">#REF!</definedName>
    <definedName name="_Key1" localSheetId="12" hidden="1">#REF!</definedName>
    <definedName name="_Key1" localSheetId="5" hidden="1">#REF!</definedName>
    <definedName name="_Key1" localSheetId="13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4" hidden="1">#REF!</definedName>
    <definedName name="_Key2" hidden="1">[19]plomo!$J$7:$J$17</definedName>
    <definedName name="_key3" localSheetId="0" hidden="1">#REF!</definedName>
    <definedName name="_key3" localSheetId="14" hidden="1">#REF!</definedName>
    <definedName name="_key3" localSheetId="15" hidden="1">#REF!</definedName>
    <definedName name="_key3" localSheetId="16" hidden="1">#REF!</definedName>
    <definedName name="_key3" localSheetId="7" hidden="1">#REF!</definedName>
    <definedName name="_key3" localSheetId="19" hidden="1">#REF!</definedName>
    <definedName name="_key3" localSheetId="22" hidden="1">#REF!</definedName>
    <definedName name="_key3" localSheetId="23" hidden="1">#REF!</definedName>
    <definedName name="_key3" localSheetId="9" hidden="1">#REF!</definedName>
    <definedName name="_key3" localSheetId="11" hidden="1">#REF!</definedName>
    <definedName name="_key3" localSheetId="12" hidden="1">#REF!</definedName>
    <definedName name="_key3" localSheetId="5" hidden="1">#REF!</definedName>
    <definedName name="_key3" localSheetId="13" hidden="1">#REF!</definedName>
    <definedName name="_key3" hidden="1">#REF!</definedName>
    <definedName name="_M">#N/A</definedName>
    <definedName name="_MatInverse_In" hidden="1">[20]Asfalto!$T$7:$U$8</definedName>
    <definedName name="_MatInverse_Out" hidden="1">[20]Asfalto!$T$10:$T$10</definedName>
    <definedName name="_MatMult_A" hidden="1">[20]Asfalto!$T$10:$U$11</definedName>
    <definedName name="_MatMult_AxB" hidden="1">[20]Asfalto!$V$7:$V$7</definedName>
    <definedName name="_MatMult_B" hidden="1">[20]Asfalto!$W$7:$W$8</definedName>
    <definedName name="_Order1" hidden="1">0</definedName>
    <definedName name="_Order2" hidden="1">0</definedName>
    <definedName name="_P" localSheetId="0">#REF!</definedName>
    <definedName name="_P" localSheetId="7">#REF!</definedName>
    <definedName name="_P" localSheetId="5">#REF!</definedName>
    <definedName name="_P">#REF!</definedName>
    <definedName name="_p1" localSheetId="0">#REF!</definedName>
    <definedName name="_p1" localSheetId="7">#REF!</definedName>
    <definedName name="_p1" localSheetId="5">#REF!</definedName>
    <definedName name="_p1">#REF!</definedName>
    <definedName name="_Parse_Out" localSheetId="0" hidden="1">#REF!</definedName>
    <definedName name="_Parse_Out" localSheetId="14" hidden="1">#REF!</definedName>
    <definedName name="_Parse_Out" localSheetId="15" hidden="1">#REF!</definedName>
    <definedName name="_Parse_Out" localSheetId="16" hidden="1">#REF!</definedName>
    <definedName name="_Parse_Out" localSheetId="7" hidden="1">#REF!</definedName>
    <definedName name="_Parse_Out" localSheetId="19" hidden="1">#REF!</definedName>
    <definedName name="_Parse_Out" localSheetId="22" hidden="1">#REF!</definedName>
    <definedName name="_Parse_Out" localSheetId="23" hidden="1">#REF!</definedName>
    <definedName name="_Parse_Out" localSheetId="9" hidden="1">#REF!</definedName>
    <definedName name="_Parse_Out" localSheetId="11" hidden="1">#REF!</definedName>
    <definedName name="_Parse_Out" localSheetId="12" hidden="1">#REF!</definedName>
    <definedName name="_Parse_Out" localSheetId="5" hidden="1">#REF!</definedName>
    <definedName name="_Parse_Out" localSheetId="13" hidden="1">#REF!</definedName>
    <definedName name="_Parse_Out" hidden="1">#REF!</definedName>
    <definedName name="_RM1">[8]PAG19!$B$3:$I$39</definedName>
    <definedName name="_RM2">[8]PAG19!$J$3:$P$39</definedName>
    <definedName name="_S" localSheetId="0">#REF!</definedName>
    <definedName name="_S" localSheetId="7">#REF!</definedName>
    <definedName name="_S" localSheetId="18">#REF!</definedName>
    <definedName name="_S" localSheetId="5">#REF!</definedName>
    <definedName name="_S">#REF!</definedName>
    <definedName name="_Sort" localSheetId="0" hidden="1">#REF!</definedName>
    <definedName name="_Sort" localSheetId="14" hidden="1">#REF!</definedName>
    <definedName name="_Sort" localSheetId="15" hidden="1">#REF!</definedName>
    <definedName name="_Sort" localSheetId="16" hidden="1">#REF!</definedName>
    <definedName name="_Sort" localSheetId="7" hidden="1">#REF!</definedName>
    <definedName name="_Sort" localSheetId="19" hidden="1">#REF!</definedName>
    <definedName name="_Sort" localSheetId="22" hidden="1">#REF!</definedName>
    <definedName name="_Sort" localSheetId="23" hidden="1">#REF!</definedName>
    <definedName name="_Sort" localSheetId="9" hidden="1">#REF!</definedName>
    <definedName name="_Sort" localSheetId="11" hidden="1">#REF!</definedName>
    <definedName name="_Sort" localSheetId="12" hidden="1">#REF!</definedName>
    <definedName name="_Sort" localSheetId="5" hidden="1">#REF!</definedName>
    <definedName name="_Sort" localSheetId="13" hidden="1">#REF!</definedName>
    <definedName name="_Sort" hidden="1">#REF!</definedName>
    <definedName name="_sort01" localSheetId="0" hidden="1">#REF!</definedName>
    <definedName name="_sort01" localSheetId="14" hidden="1">#REF!</definedName>
    <definedName name="_sort01" localSheetId="15" hidden="1">#REF!</definedName>
    <definedName name="_sort01" localSheetId="16" hidden="1">#REF!</definedName>
    <definedName name="_sort01" localSheetId="7" hidden="1">#REF!</definedName>
    <definedName name="_sort01" localSheetId="19" hidden="1">#REF!</definedName>
    <definedName name="_sort01" localSheetId="22" hidden="1">#REF!</definedName>
    <definedName name="_sort01" localSheetId="23" hidden="1">#REF!</definedName>
    <definedName name="_sort01" localSheetId="9" hidden="1">#REF!</definedName>
    <definedName name="_sort01" localSheetId="11" hidden="1">#REF!</definedName>
    <definedName name="_sort01" localSheetId="12" hidden="1">#REF!</definedName>
    <definedName name="_sort01" localSheetId="5" hidden="1">#REF!</definedName>
    <definedName name="_sort01" localSheetId="13" hidden="1">#REF!</definedName>
    <definedName name="_sort01" hidden="1">#REF!</definedName>
    <definedName name="_sort1" localSheetId="0" hidden="1">#REF!</definedName>
    <definedName name="_sort1" localSheetId="14" hidden="1">#REF!</definedName>
    <definedName name="_sort1" localSheetId="15" hidden="1">#REF!</definedName>
    <definedName name="_sort1" localSheetId="16" hidden="1">#REF!</definedName>
    <definedName name="_sort1" localSheetId="7" hidden="1">#REF!</definedName>
    <definedName name="_sort1" localSheetId="19" hidden="1">#REF!</definedName>
    <definedName name="_sort1" localSheetId="22" hidden="1">#REF!</definedName>
    <definedName name="_sort1" localSheetId="23" hidden="1">#REF!</definedName>
    <definedName name="_sort1" localSheetId="9" hidden="1">#REF!</definedName>
    <definedName name="_sort1" localSheetId="11" hidden="1">#REF!</definedName>
    <definedName name="_sort1" localSheetId="12" hidden="1">#REF!</definedName>
    <definedName name="_sort1" localSheetId="5" hidden="1">#REF!</definedName>
    <definedName name="_sort1" localSheetId="13" hidden="1">#REF!</definedName>
    <definedName name="_sort1" hidden="1">#REF!</definedName>
    <definedName name="a" localSheetId="0">#REF!</definedName>
    <definedName name="a" localSheetId="7">#REF!</definedName>
    <definedName name="a" localSheetId="5">#REF!</definedName>
    <definedName name="a">#REF!</definedName>
    <definedName name="A_impresión_IM" localSheetId="0">#REF!</definedName>
    <definedName name="A_impresión_IM" localSheetId="7">#REF!</definedName>
    <definedName name="A_impresión_IM" localSheetId="5">#REF!</definedName>
    <definedName name="A_impresión_IM">#REF!</definedName>
    <definedName name="A87_" localSheetId="0">#REF!</definedName>
    <definedName name="A87_" localSheetId="7">#REF!</definedName>
    <definedName name="A87_" localSheetId="5">#REF!</definedName>
    <definedName name="A87_">#REF!</definedName>
    <definedName name="aaaa" localSheetId="0">#REF!</definedName>
    <definedName name="aaaa" localSheetId="7">#REF!</definedName>
    <definedName name="aaaa" localSheetId="5">#REF!</definedName>
    <definedName name="aaaa">#REF!</definedName>
    <definedName name="aaaaa" localSheetId="0" hidden="1">#REF!</definedName>
    <definedName name="aaaaa" localSheetId="7" hidden="1">#REF!</definedName>
    <definedName name="aaaaa" localSheetId="5" hidden="1">#REF!</definedName>
    <definedName name="aaaaa" hidden="1">#REF!</definedName>
    <definedName name="adicional" localSheetId="0">#REF!</definedName>
    <definedName name="adicional" localSheetId="7">#REF!</definedName>
    <definedName name="adicional" localSheetId="5">#REF!</definedName>
    <definedName name="adicional">#REF!</definedName>
    <definedName name="ALIMENTOS" localSheetId="0">#REF!</definedName>
    <definedName name="ALIMENTOS" localSheetId="7">#REF!</definedName>
    <definedName name="ALIMENTOS" localSheetId="5">#REF!</definedName>
    <definedName name="ALIMENTOS">#REF!</definedName>
    <definedName name="anexo" localSheetId="0">[21]PAG_35!#REF!</definedName>
    <definedName name="anexo" localSheetId="7">[21]PAG_35!#REF!</definedName>
    <definedName name="anexo" localSheetId="5">[21]PAG_35!#REF!</definedName>
    <definedName name="anexo">[21]PAG_35!#REF!</definedName>
    <definedName name="anexo_especial" localSheetId="0">[22]PAG_37!#REF!</definedName>
    <definedName name="anexo_especial" localSheetId="7">[22]PAG_37!#REF!</definedName>
    <definedName name="anexo_especial" localSheetId="5">[22]PAG_37!#REF!</definedName>
    <definedName name="anexo_especial">[22]PAG_37!#REF!</definedName>
    <definedName name="anexos" localSheetId="0">[23]PAG_35!#REF!</definedName>
    <definedName name="anexos" localSheetId="7">[23]PAG_35!#REF!</definedName>
    <definedName name="anexos" localSheetId="5">[23]PAG_35!#REF!</definedName>
    <definedName name="anexos">[23]PAG_35!#REF!</definedName>
    <definedName name="_xlnm.Print_Area" localSheetId="0">'1'!$A$1:$O$18</definedName>
    <definedName name="_xlnm.Print_Area" localSheetId="14">'10b'!$A$1:$J$29</definedName>
    <definedName name="_xlnm.Print_Area" localSheetId="15">'11b'!$A$1:$J$29</definedName>
    <definedName name="_xlnm.Print_Area" localSheetId="8">'1-2-3b'!$A$1:$AH$32</definedName>
    <definedName name="_xlnm.Print_Area" localSheetId="1">'1-2a'!$A$1:$W$55</definedName>
    <definedName name="_xlnm.Print_Area" localSheetId="16">'12b'!$A$1:$J$28</definedName>
    <definedName name="_xlnm.Print_Area" localSheetId="7">'1-2b'!$A$1:$Y$33</definedName>
    <definedName name="_xlnm.Print_Area" localSheetId="17">'13b'!$A$1:$U$31</definedName>
    <definedName name="_xlnm.Print_Area" localSheetId="18">'14b'!$A$1:$C$25</definedName>
    <definedName name="_xlnm.Print_Area" localSheetId="19">'15b'!$A$1:$I$45</definedName>
    <definedName name="_xlnm.Print_Area" localSheetId="20">'16b'!$A$1:$P$34</definedName>
    <definedName name="_xlnm.Print_Area" localSheetId="21">'17b'!$A$1:$Q$59</definedName>
    <definedName name="_xlnm.Print_Area" localSheetId="22">'18b'!$A$1:$F$34</definedName>
    <definedName name="_xlnm.Print_Area" localSheetId="23">'19b'!$A$1:$X$45</definedName>
    <definedName name="_xlnm.Print_Area" localSheetId="24">'20b'!$A$1:$I$55</definedName>
    <definedName name="_xlnm.Print_Area" localSheetId="2">'3-4a'!$A$1:$V$47</definedName>
    <definedName name="_xlnm.Print_Area" localSheetId="9">'4b'!$A$1:$J$27</definedName>
    <definedName name="_xlnm.Print_Area" localSheetId="3">'5-6a'!$A$1:$V$42</definedName>
    <definedName name="_xlnm.Print_Area" localSheetId="10">'5b'!$A$1:$U$27</definedName>
    <definedName name="_xlnm.Print_Area" localSheetId="11">'6b'!$A$1:$J$28</definedName>
    <definedName name="_xlnm.Print_Area" localSheetId="4">'7a'!$A$1:$O$19</definedName>
    <definedName name="_xlnm.Print_Area" localSheetId="12">'7b-8b'!$A$1:$U$34</definedName>
    <definedName name="_xlnm.Print_Area" localSheetId="5">'8a'!$A$1:$AG$56</definedName>
    <definedName name="_xlnm.Print_Area" localSheetId="6">'9a'!$A$1:$J$33</definedName>
    <definedName name="_xlnm.Print_Area" localSheetId="13">'9b'!$A$1:$V$22</definedName>
    <definedName name="area1" localSheetId="0">#REF!</definedName>
    <definedName name="area1" localSheetId="7">#REF!</definedName>
    <definedName name="area1" localSheetId="18">#REF!</definedName>
    <definedName name="area1" localSheetId="22">#REF!</definedName>
    <definedName name="area1" localSheetId="23">#REF!</definedName>
    <definedName name="area1" localSheetId="5">#REF!</definedName>
    <definedName name="area1">#REF!</definedName>
    <definedName name="area2" localSheetId="0">#REF!</definedName>
    <definedName name="area2" localSheetId="7">#REF!</definedName>
    <definedName name="area2" localSheetId="18">#REF!</definedName>
    <definedName name="area2" localSheetId="22">#REF!</definedName>
    <definedName name="area2" localSheetId="23">#REF!</definedName>
    <definedName name="area2" localSheetId="5">#REF!</definedName>
    <definedName name="area2">#REF!</definedName>
    <definedName name="area3" localSheetId="0">#REF!</definedName>
    <definedName name="area3" localSheetId="7">#REF!</definedName>
    <definedName name="area3" localSheetId="18">#REF!</definedName>
    <definedName name="area3" localSheetId="22">#REF!</definedName>
    <definedName name="area3" localSheetId="23">#REF!</definedName>
    <definedName name="area3" localSheetId="5">#REF!</definedName>
    <definedName name="area3">#REF!</definedName>
    <definedName name="area4" localSheetId="0">#REF!</definedName>
    <definedName name="area4" localSheetId="7">#REF!</definedName>
    <definedName name="area4" localSheetId="5">#REF!</definedName>
    <definedName name="area4">#REF!</definedName>
    <definedName name="AreaDeFechasC1">[24]c1!$D$2:$N$2</definedName>
    <definedName name="AreaDeFechasC3">[24]c3!$D$2:$N$2</definedName>
    <definedName name="AreaDeFechasC5">[24]c5!$D$2:$N$2</definedName>
    <definedName name="AreaDeFechasC6">[24]c6!$D$2:$N$2</definedName>
    <definedName name="AreaDeFechasC8" localSheetId="0">#REF!</definedName>
    <definedName name="AreaDeFechasC8" localSheetId="7">#REF!</definedName>
    <definedName name="AreaDeFechasC8" localSheetId="18">#REF!</definedName>
    <definedName name="AreaDeFechasC8" localSheetId="5">#REF!</definedName>
    <definedName name="AreaDeFechasC8">#REF!</definedName>
    <definedName name="AreaDeFechasDeCuadro1">[24]AhoF!$F$4:$P$4</definedName>
    <definedName name="AreaDeFechasDeCuadro3">[24]Bon!$E$6:$O$6</definedName>
    <definedName name="AreaDeFechasDeCuadro5">[24]BVL!$E$5:$N$5</definedName>
    <definedName name="AreaDeFechasDeCuadro6" localSheetId="0">#REF!</definedName>
    <definedName name="AreaDeFechasDeCuadro6" localSheetId="7">#REF!</definedName>
    <definedName name="AreaDeFechasDeCuadro6" localSheetId="18">#REF!</definedName>
    <definedName name="AreaDeFechasDeCuadro6" localSheetId="5">#REF!</definedName>
    <definedName name="AreaDeFechasDeCuadro6">#REF!</definedName>
    <definedName name="AreaDeFechasDeCuadro8">'[24]Anex-SFN'!$J$7:$R$7</definedName>
    <definedName name="asde" localSheetId="0" hidden="1">#REF!</definedName>
    <definedName name="asde" localSheetId="7" hidden="1">#REF!</definedName>
    <definedName name="asde" localSheetId="5" hidden="1">#REF!</definedName>
    <definedName name="asde" hidden="1">#REF!</definedName>
    <definedName name="AYACUCHO">[25]X_DEPA!#REF!</definedName>
    <definedName name="base0" localSheetId="0">[26]Sem!#REF!</definedName>
    <definedName name="base0" localSheetId="7">[26]Sem!#REF!</definedName>
    <definedName name="base0" localSheetId="5">[26]Sem!#REF!</definedName>
    <definedName name="base0">[26]Sem!#REF!</definedName>
    <definedName name="_xlnm.Database" localSheetId="0">[27]OPERACIONES!#REF!</definedName>
    <definedName name="_xlnm.Database" localSheetId="7">[27]OPERACIONES!#REF!</definedName>
    <definedName name="_xlnm.Database" localSheetId="18">[28]OPERACIONES!#REF!</definedName>
    <definedName name="_xlnm.Database" localSheetId="22">[29]OPERACIONES!#REF!</definedName>
    <definedName name="_xlnm.Database" localSheetId="23">[29]OPERACIONES!#REF!</definedName>
    <definedName name="_xlnm.Database" localSheetId="5">[27]OPERACIONES!#REF!</definedName>
    <definedName name="_xlnm.Database">[27]OPERACIONES!#REF!</definedName>
    <definedName name="baseFP">[26]BASFinP!$DW$1</definedName>
    <definedName name="baseProm" localSheetId="0">[26]BASPromP!#REF!</definedName>
    <definedName name="baseProm" localSheetId="7">[26]BASPromP!#REF!</definedName>
    <definedName name="baseProm" localSheetId="18">[26]BASPromP!#REF!</definedName>
    <definedName name="baseProm" localSheetId="5">[26]BASPromP!#REF!</definedName>
    <definedName name="baseProm">[26]BASPromP!#REF!</definedName>
    <definedName name="BLPH1" localSheetId="0" hidden="1">#REF!</definedName>
    <definedName name="BLPH1" localSheetId="14" hidden="1">#REF!</definedName>
    <definedName name="BLPH1" localSheetId="15" hidden="1">#REF!</definedName>
    <definedName name="BLPH1" localSheetId="16" hidden="1">#REF!</definedName>
    <definedName name="BLPH1" localSheetId="7" hidden="1">#REF!</definedName>
    <definedName name="BLPH1" localSheetId="19" hidden="1">#REF!</definedName>
    <definedName name="BLPH1" localSheetId="22" hidden="1">#REF!</definedName>
    <definedName name="BLPH1" localSheetId="23" hidden="1">#REF!</definedName>
    <definedName name="BLPH1" localSheetId="9" hidden="1">#REF!</definedName>
    <definedName name="BLPH1" localSheetId="11" hidden="1">#REF!</definedName>
    <definedName name="BLPH1" localSheetId="12" hidden="1">#REF!</definedName>
    <definedName name="BLPH1" localSheetId="5" hidden="1">#REF!</definedName>
    <definedName name="BLPH1" localSheetId="13" hidden="1">#REF!</definedName>
    <definedName name="BLPH1" hidden="1">#REF!</definedName>
    <definedName name="bol03_98" localSheetId="0">[2]PAG_35!#REF!</definedName>
    <definedName name="bol03_98" localSheetId="7">[2]PAG_35!#REF!</definedName>
    <definedName name="bol03_98" localSheetId="5">[2]PAG_35!#REF!</definedName>
    <definedName name="bol03_98">[2]PAG_35!#REF!</definedName>
    <definedName name="bos" localSheetId="0">#REF!</definedName>
    <definedName name="bos" localSheetId="7">#REF!</definedName>
    <definedName name="bos" localSheetId="5">#REF!</definedName>
    <definedName name="bos">#REF!</definedName>
    <definedName name="CABEZA1">[30]IECM4303!$A$4</definedName>
    <definedName name="capitulo" localSheetId="0" hidden="1">#REF!</definedName>
    <definedName name="capitulo" localSheetId="7" hidden="1">#REF!</definedName>
    <definedName name="capitulo" localSheetId="22" hidden="1">#REF!</definedName>
    <definedName name="capitulo" localSheetId="23" hidden="1">#REF!</definedName>
    <definedName name="capitulo" localSheetId="5" hidden="1">#REF!</definedName>
    <definedName name="capitulo" hidden="1">#REF!</definedName>
    <definedName name="cara">[26]Grafico!$A$3</definedName>
    <definedName name="cartera" hidden="1">255</definedName>
    <definedName name="caudal" localSheetId="0">[31]PAG_33!#REF!</definedName>
    <definedName name="caudal" localSheetId="7">[31]PAG_33!#REF!</definedName>
    <definedName name="caudal" localSheetId="22">[31]PAG_33!#REF!</definedName>
    <definedName name="caudal" localSheetId="23">[31]PAG_33!#REF!</definedName>
    <definedName name="caudal" localSheetId="5">[31]PAG_33!#REF!</definedName>
    <definedName name="caudal">[31]PAG_33!#REF!</definedName>
    <definedName name="caudal1" localSheetId="0">#REF!</definedName>
    <definedName name="caudal1" localSheetId="7">#REF!</definedName>
    <definedName name="caudal1" localSheetId="18">#REF!</definedName>
    <definedName name="caudal1" localSheetId="22">#REF!</definedName>
    <definedName name="caudal1" localSheetId="23">#REF!</definedName>
    <definedName name="caudal1" localSheetId="5">#REF!</definedName>
    <definedName name="caudal1">#REF!</definedName>
    <definedName name="cdr">[32]cd1!$A$1:$Q$68</definedName>
    <definedName name="CODIGO">#N/A</definedName>
    <definedName name="copia" localSheetId="0" hidden="1">[12]balance!#REF!</definedName>
    <definedName name="copia" localSheetId="7" hidden="1">[12]balance!#REF!</definedName>
    <definedName name="copia" localSheetId="22" hidden="1">[12]balance!#REF!</definedName>
    <definedName name="copia" localSheetId="23" hidden="1">[12]balance!#REF!</definedName>
    <definedName name="copia" localSheetId="5" hidden="1">[12]balance!#REF!</definedName>
    <definedName name="copia" hidden="1">[12]balance!#REF!</definedName>
    <definedName name="copia7" localSheetId="0" hidden="1">[12]balance!#REF!</definedName>
    <definedName name="copia7" localSheetId="7" hidden="1">[12]balance!#REF!</definedName>
    <definedName name="copia7" localSheetId="5" hidden="1">[12]balance!#REF!</definedName>
    <definedName name="copia7" hidden="1">[12]balance!#REF!</definedName>
    <definedName name="Criteria" localSheetId="0">#REF!</definedName>
    <definedName name="Criteria" localSheetId="7">#REF!</definedName>
    <definedName name="Criteria" localSheetId="18">#REF!</definedName>
    <definedName name="Criteria" localSheetId="5">#REF!</definedName>
    <definedName name="Criteria">#REF!</definedName>
    <definedName name="_xlnm.Criteria" localSheetId="0">#REF!</definedName>
    <definedName name="_xlnm.Criteria" localSheetId="7">#REF!</definedName>
    <definedName name="_xlnm.Criteria" localSheetId="18">#REF!</definedName>
    <definedName name="_xlnm.Criteria" localSheetId="22">#REF!</definedName>
    <definedName name="_xlnm.Criteria" localSheetId="23">#REF!</definedName>
    <definedName name="_xlnm.Criteria" localSheetId="5">#REF!</definedName>
    <definedName name="_xlnm.Criteria">#REF!</definedName>
    <definedName name="CSP" localSheetId="0">#REF!</definedName>
    <definedName name="CSP" localSheetId="7">#REF!</definedName>
    <definedName name="CSP" localSheetId="18">#REF!</definedName>
    <definedName name="CSP" localSheetId="5">#REF!</definedName>
    <definedName name="CSP">#REF!</definedName>
    <definedName name="cua" localSheetId="0">[23]PAG_35!#REF!</definedName>
    <definedName name="cua" localSheetId="7">[23]PAG_35!#REF!</definedName>
    <definedName name="cua" localSheetId="18">[23]PAG_35!#REF!</definedName>
    <definedName name="cua" localSheetId="5">[23]PAG_35!#REF!</definedName>
    <definedName name="cua">[23]PAG_35!#REF!</definedName>
    <definedName name="cuadro" localSheetId="0">[33]PAG_37!#REF!</definedName>
    <definedName name="cuadro" localSheetId="7">[33]PAG_37!#REF!</definedName>
    <definedName name="cuadro" localSheetId="18">[33]PAG_37!#REF!</definedName>
    <definedName name="cuadro" localSheetId="5">[33]PAG_37!#REF!</definedName>
    <definedName name="cuadro">[33]PAG_37!#REF!</definedName>
    <definedName name="cuadro_mes" localSheetId="0">#REF!</definedName>
    <definedName name="cuadro_mes" localSheetId="7">#REF!</definedName>
    <definedName name="cuadro_mes" localSheetId="18">#REF!</definedName>
    <definedName name="cuadro_mes" localSheetId="5">#REF!</definedName>
    <definedName name="cuadro_mes">#REF!</definedName>
    <definedName name="Cuadro_N__001" localSheetId="0">#REF!</definedName>
    <definedName name="Cuadro_N__001" localSheetId="7">#REF!</definedName>
    <definedName name="Cuadro_N__001" localSheetId="18">#REF!</definedName>
    <definedName name="Cuadro_N__001" localSheetId="22">#REF!</definedName>
    <definedName name="Cuadro_N__001" localSheetId="23">#REF!</definedName>
    <definedName name="Cuadro_N__001" localSheetId="5">#REF!</definedName>
    <definedName name="Cuadro_N__001">#REF!</definedName>
    <definedName name="cuadro_N__002" localSheetId="0">#REF!</definedName>
    <definedName name="cuadro_N__002" localSheetId="7">#REF!</definedName>
    <definedName name="cuadro_N__002" localSheetId="18">#REF!</definedName>
    <definedName name="cuadro_N__002" localSheetId="22">#REF!</definedName>
    <definedName name="cuadro_N__002" localSheetId="23">#REF!</definedName>
    <definedName name="cuadro_N__002" localSheetId="5">#REF!</definedName>
    <definedName name="cuadro_N__002">#REF!</definedName>
    <definedName name="Cuadro_N__003" localSheetId="0">#REF!</definedName>
    <definedName name="Cuadro_N__003" localSheetId="7">#REF!</definedName>
    <definedName name="Cuadro_N__003" localSheetId="22">#REF!</definedName>
    <definedName name="Cuadro_N__003" localSheetId="23">#REF!</definedName>
    <definedName name="Cuadro_N__003" localSheetId="5">#REF!</definedName>
    <definedName name="Cuadro_N__003">#REF!</definedName>
    <definedName name="cuadro_n__004" localSheetId="0">#REF!</definedName>
    <definedName name="cuadro_n__004" localSheetId="7">#REF!</definedName>
    <definedName name="cuadro_n__004" localSheetId="5">#REF!</definedName>
    <definedName name="cuadro_n__004">#REF!</definedName>
    <definedName name="Cuadro_N__01" localSheetId="0">#REF!</definedName>
    <definedName name="Cuadro_N__01" localSheetId="7">#REF!</definedName>
    <definedName name="Cuadro_N__01" localSheetId="5">#REF!</definedName>
    <definedName name="Cuadro_N__01">#REF!</definedName>
    <definedName name="Cuadro_N__03" localSheetId="0">#REF!</definedName>
    <definedName name="Cuadro_N__03" localSheetId="7">#REF!</definedName>
    <definedName name="Cuadro_N__03" localSheetId="5">#REF!</definedName>
    <definedName name="Cuadro_N__03">#REF!</definedName>
    <definedName name="Cuadro_N__04" localSheetId="0">#REF!</definedName>
    <definedName name="Cuadro_N__04" localSheetId="7">#REF!</definedName>
    <definedName name="Cuadro_N__04" localSheetId="5">#REF!</definedName>
    <definedName name="Cuadro_N__04">#REF!</definedName>
    <definedName name="cuadro_N__05" localSheetId="0">#REF!</definedName>
    <definedName name="cuadro_N__05" localSheetId="7">#REF!</definedName>
    <definedName name="cuadro_N__05" localSheetId="5">#REF!</definedName>
    <definedName name="cuadro_N__05">#REF!</definedName>
    <definedName name="Cuadro_N__06" localSheetId="0">#REF!</definedName>
    <definedName name="Cuadro_N__06" localSheetId="7">#REF!</definedName>
    <definedName name="Cuadro_N__06" localSheetId="5">#REF!</definedName>
    <definedName name="Cuadro_N__06">#REF!</definedName>
    <definedName name="Cuadro_N__1" localSheetId="0">[3]Cdr7!#REF!</definedName>
    <definedName name="Cuadro_N__1" localSheetId="7">[3]Cdr7!#REF!</definedName>
    <definedName name="Cuadro_N__1" localSheetId="5">[3]Cdr7!#REF!</definedName>
    <definedName name="Cuadro_N__1">[3]Cdr7!#REF!</definedName>
    <definedName name="Cuadro_N__10" localSheetId="0">[3]Cdr7!#REF!</definedName>
    <definedName name="Cuadro_N__10" localSheetId="7">[3]Cdr7!#REF!</definedName>
    <definedName name="Cuadro_N__10" localSheetId="5">[3]Cdr7!#REF!</definedName>
    <definedName name="Cuadro_N__10">[3]Cdr7!#REF!</definedName>
    <definedName name="Cuadro_N__11" localSheetId="0">#REF!</definedName>
    <definedName name="Cuadro_N__11" localSheetId="7">#REF!</definedName>
    <definedName name="Cuadro_N__11" localSheetId="18">#REF!</definedName>
    <definedName name="Cuadro_N__11" localSheetId="5">#REF!</definedName>
    <definedName name="Cuadro_N__11">#REF!</definedName>
    <definedName name="Cuadro_N__12" localSheetId="0">[3]Cdr7!#REF!</definedName>
    <definedName name="Cuadro_N__12" localSheetId="7">[3]Cdr7!#REF!</definedName>
    <definedName name="Cuadro_N__12" localSheetId="5">[3]Cdr7!#REF!</definedName>
    <definedName name="Cuadro_N__12">[3]Cdr7!#REF!</definedName>
    <definedName name="Cuadro_N__13" localSheetId="0">[3]Cdr7!#REF!</definedName>
    <definedName name="Cuadro_N__13" localSheetId="7">[3]Cdr7!#REF!</definedName>
    <definedName name="Cuadro_N__13" localSheetId="5">[3]Cdr7!#REF!</definedName>
    <definedName name="Cuadro_N__13">[3]Cdr7!#REF!</definedName>
    <definedName name="Cuadro_N__14" localSheetId="0">#REF!</definedName>
    <definedName name="Cuadro_N__14" localSheetId="7">#REF!</definedName>
    <definedName name="Cuadro_N__14" localSheetId="18">#REF!</definedName>
    <definedName name="Cuadro_N__14" localSheetId="5">#REF!</definedName>
    <definedName name="Cuadro_N__14">#REF!</definedName>
    <definedName name="Cuadro_N__19" localSheetId="0">#REF!</definedName>
    <definedName name="Cuadro_N__19" localSheetId="7">#REF!</definedName>
    <definedName name="Cuadro_N__19" localSheetId="18">#REF!</definedName>
    <definedName name="Cuadro_N__19" localSheetId="5">#REF!</definedName>
    <definedName name="Cuadro_N__19">#REF!</definedName>
    <definedName name="Cuadro_N__2" localSheetId="0">#REF!</definedName>
    <definedName name="Cuadro_N__2" localSheetId="7">#REF!</definedName>
    <definedName name="Cuadro_N__2" localSheetId="18">#REF!</definedName>
    <definedName name="Cuadro_N__2" localSheetId="22">#REF!</definedName>
    <definedName name="Cuadro_N__2" localSheetId="23">#REF!</definedName>
    <definedName name="Cuadro_N__2" localSheetId="5">#REF!</definedName>
    <definedName name="Cuadro_N__2">#REF!</definedName>
    <definedName name="Cuadro_N__20" localSheetId="0">[3]Cdr7!#REF!</definedName>
    <definedName name="Cuadro_N__20" localSheetId="7">[3]Cdr7!#REF!</definedName>
    <definedName name="Cuadro_N__20" localSheetId="18">[3]Cdr7!#REF!</definedName>
    <definedName name="Cuadro_N__20" localSheetId="5">[3]Cdr7!#REF!</definedName>
    <definedName name="Cuadro_N__20">[3]Cdr7!#REF!</definedName>
    <definedName name="Cuadro_N__21" localSheetId="0">[3]Cdr7!#REF!</definedName>
    <definedName name="Cuadro_N__21" localSheetId="7">[3]Cdr7!#REF!</definedName>
    <definedName name="Cuadro_N__21" localSheetId="18">[3]Cdr7!#REF!</definedName>
    <definedName name="Cuadro_N__21" localSheetId="5">[3]Cdr7!#REF!</definedName>
    <definedName name="Cuadro_N__21">[3]Cdr7!#REF!</definedName>
    <definedName name="Cuadro_N__22" localSheetId="0">[3]Cdr7!#REF!</definedName>
    <definedName name="Cuadro_N__22" localSheetId="7">[3]Cdr7!#REF!</definedName>
    <definedName name="Cuadro_N__22" localSheetId="18">[3]Cdr7!#REF!</definedName>
    <definedName name="Cuadro_N__22" localSheetId="5">[3]Cdr7!#REF!</definedName>
    <definedName name="Cuadro_N__22">[3]Cdr7!#REF!</definedName>
    <definedName name="Cuadro_N__23" localSheetId="0">[3]Cdr7!#REF!</definedName>
    <definedName name="Cuadro_N__23" localSheetId="7">[3]Cdr7!#REF!</definedName>
    <definedName name="Cuadro_N__23" localSheetId="18">[3]Cdr7!#REF!</definedName>
    <definedName name="Cuadro_N__23" localSheetId="5">[3]Cdr7!#REF!</definedName>
    <definedName name="Cuadro_N__23">[3]Cdr7!#REF!</definedName>
    <definedName name="Cuadro_N__24" localSheetId="0">#REF!</definedName>
    <definedName name="Cuadro_N__24" localSheetId="7">#REF!</definedName>
    <definedName name="Cuadro_N__24" localSheetId="18">#REF!</definedName>
    <definedName name="Cuadro_N__24" localSheetId="5">#REF!</definedName>
    <definedName name="Cuadro_N__24">#REF!</definedName>
    <definedName name="Cuadro_N__25" localSheetId="0">#REF!</definedName>
    <definedName name="Cuadro_N__25" localSheetId="7">#REF!</definedName>
    <definedName name="Cuadro_N__25" localSheetId="18">#REF!</definedName>
    <definedName name="Cuadro_N__25" localSheetId="5">#REF!</definedName>
    <definedName name="Cuadro_N__25">#REF!</definedName>
    <definedName name="Cuadro_N__26" localSheetId="0">#REF!</definedName>
    <definedName name="Cuadro_N__26" localSheetId="7">#REF!</definedName>
    <definedName name="Cuadro_N__26" localSheetId="18">#REF!</definedName>
    <definedName name="Cuadro_N__26" localSheetId="5">#REF!</definedName>
    <definedName name="Cuadro_N__26">#REF!</definedName>
    <definedName name="Cuadro_N__3" localSheetId="0">#REF!</definedName>
    <definedName name="Cuadro_N__3" localSheetId="7">#REF!</definedName>
    <definedName name="Cuadro_N__3" localSheetId="22">#REF!</definedName>
    <definedName name="Cuadro_N__3" localSheetId="23">#REF!</definedName>
    <definedName name="Cuadro_N__3" localSheetId="5">#REF!</definedName>
    <definedName name="Cuadro_N__3">#REF!</definedName>
    <definedName name="Cuadro_N__30" localSheetId="0">#REF!</definedName>
    <definedName name="Cuadro_N__30" localSheetId="7">#REF!</definedName>
    <definedName name="Cuadro_N__30" localSheetId="5">#REF!</definedName>
    <definedName name="Cuadro_N__30">#REF!</definedName>
    <definedName name="Cuadro_N__31" localSheetId="0">#REF!</definedName>
    <definedName name="Cuadro_N__31" localSheetId="7">#REF!</definedName>
    <definedName name="Cuadro_N__31" localSheetId="5">#REF!</definedName>
    <definedName name="Cuadro_N__31">#REF!</definedName>
    <definedName name="Cuadro_N__32" localSheetId="0">#REF!</definedName>
    <definedName name="Cuadro_N__32" localSheetId="7">#REF!</definedName>
    <definedName name="Cuadro_N__32" localSheetId="5">#REF!</definedName>
    <definedName name="Cuadro_N__32">#REF!</definedName>
    <definedName name="Cuadro_N__4" localSheetId="0">#REF!</definedName>
    <definedName name="Cuadro_N__4" localSheetId="7">#REF!</definedName>
    <definedName name="Cuadro_N__4" localSheetId="22">#REF!</definedName>
    <definedName name="Cuadro_N__4" localSheetId="23">#REF!</definedName>
    <definedName name="Cuadro_N__4" localSheetId="5">#REF!</definedName>
    <definedName name="Cuadro_N__4">#REF!</definedName>
    <definedName name="Cuadro_N__5" localSheetId="0">#REF!</definedName>
    <definedName name="Cuadro_N__5" localSheetId="7">#REF!</definedName>
    <definedName name="Cuadro_N__5" localSheetId="22">#REF!</definedName>
    <definedName name="Cuadro_N__5" localSheetId="23">#REF!</definedName>
    <definedName name="Cuadro_N__5" localSheetId="5">#REF!</definedName>
    <definedName name="Cuadro_N__5">#REF!</definedName>
    <definedName name="cuadro_N__6" localSheetId="0">#REF!</definedName>
    <definedName name="cuadro_N__6" localSheetId="7">#REF!</definedName>
    <definedName name="cuadro_N__6" localSheetId="5">#REF!</definedName>
    <definedName name="cuadro_N__6">#REF!</definedName>
    <definedName name="Cuadro_N__8" localSheetId="0">[3]Cdr7!#REF!</definedName>
    <definedName name="Cuadro_N__8" localSheetId="7">[3]Cdr7!#REF!</definedName>
    <definedName name="Cuadro_N__8" localSheetId="5">[3]Cdr7!#REF!</definedName>
    <definedName name="Cuadro_N__8">[3]Cdr7!#REF!</definedName>
    <definedName name="Cuadro_N__9" localSheetId="0">[3]Cdr7!#REF!</definedName>
    <definedName name="Cuadro_N__9" localSheetId="7">[3]Cdr7!#REF!</definedName>
    <definedName name="Cuadro_N__9" localSheetId="5">[3]Cdr7!#REF!</definedName>
    <definedName name="Cuadro_N__9">[3]Cdr7!#REF!</definedName>
    <definedName name="Cuadro_N_1" localSheetId="0">#REF!</definedName>
    <definedName name="Cuadro_N_1" localSheetId="7">#REF!</definedName>
    <definedName name="Cuadro_N_1" localSheetId="18">#REF!</definedName>
    <definedName name="Cuadro_N_1" localSheetId="5">#REF!</definedName>
    <definedName name="Cuadro_N_1">#REF!</definedName>
    <definedName name="cuadro1" localSheetId="0">#REF!</definedName>
    <definedName name="cuadro1" localSheetId="7">#REF!</definedName>
    <definedName name="cuadro1" localSheetId="18">#REF!</definedName>
    <definedName name="cuadro1" localSheetId="5">#REF!</definedName>
    <definedName name="cuadro1">#REF!</definedName>
    <definedName name="cuadro2" localSheetId="0">#REF!</definedName>
    <definedName name="cuadro2" localSheetId="7">#REF!</definedName>
    <definedName name="cuadro2" localSheetId="18">#REF!</definedName>
    <definedName name="cuadro2" localSheetId="5">#REF!</definedName>
    <definedName name="cuadro2">#REF!</definedName>
    <definedName name="cuadros">'[7]Cdrs 1-2'!$A$69:$S$114</definedName>
    <definedName name="daklsñjfkjasñ" localSheetId="0">[23]PAG_35!#REF!</definedName>
    <definedName name="daklsñjfkjasñ" localSheetId="7">[23]PAG_35!#REF!</definedName>
    <definedName name="daklsñjfkjasñ" localSheetId="18">[23]PAG_35!#REF!</definedName>
    <definedName name="daklsñjfkjasñ" localSheetId="5">[23]PAG_35!#REF!</definedName>
    <definedName name="daklsñjfkjasñ">[23]PAG_35!#REF!</definedName>
    <definedName name="DAT">[34]DATOS!$A$1:$B$1393</definedName>
    <definedName name="DATA_V9" localSheetId="0">#REF!</definedName>
    <definedName name="DATA_V9" localSheetId="7">#REF!</definedName>
    <definedName name="DATA_V9" localSheetId="18">#REF!</definedName>
    <definedName name="DATA_V9" localSheetId="5">#REF!</definedName>
    <definedName name="DATA_V9">#REF!</definedName>
    <definedName name="Database" localSheetId="0">[27]OPERACIONES!#REF!</definedName>
    <definedName name="Database" localSheetId="7">[27]OPERACIONES!#REF!</definedName>
    <definedName name="Database" localSheetId="18">[35]OPERACIONES!#REF!</definedName>
    <definedName name="Database" localSheetId="5">[27]OPERACIONES!#REF!</definedName>
    <definedName name="Database">[27]OPERACIONES!#REF!</definedName>
    <definedName name="datos" localSheetId="7">[36]DATOS!$A$1:$B$1393</definedName>
    <definedName name="datos">[36]DATOS!$A$1:$B$1393</definedName>
    <definedName name="Datos_para_ApéndiceC1">[24]c1!$B$1:$N$164</definedName>
    <definedName name="DATOS1">[37]DATOS!$A$1:$B$1393</definedName>
    <definedName name="DatosBase">[38]DatosBase!$A$1:$IV$20</definedName>
    <definedName name="deer" localSheetId="0">#REF!</definedName>
    <definedName name="deer" localSheetId="7">#REF!</definedName>
    <definedName name="deer" localSheetId="18">#REF!</definedName>
    <definedName name="deer" localSheetId="22">#REF!</definedName>
    <definedName name="deer" localSheetId="23">#REF!</definedName>
    <definedName name="deer" localSheetId="5">#REF!</definedName>
    <definedName name="deer">#REF!</definedName>
    <definedName name="dfasñljskña" localSheetId="0">[23]PAG_35!#REF!</definedName>
    <definedName name="dfasñljskña" localSheetId="7">[23]PAG_35!#REF!</definedName>
    <definedName name="dfasñljskña" localSheetId="5">[23]PAG_35!#REF!</definedName>
    <definedName name="dfasñljskña">[23]PAG_35!#REF!</definedName>
    <definedName name="dfsfd" localSheetId="0">#REF!</definedName>
    <definedName name="dfsfd" localSheetId="7">#REF!</definedName>
    <definedName name="dfsfd" localSheetId="18">#REF!</definedName>
    <definedName name="dfsfd" localSheetId="22">#REF!</definedName>
    <definedName name="dfsfd" localSheetId="23">#REF!</definedName>
    <definedName name="dfsfd" localSheetId="5">#REF!</definedName>
    <definedName name="dfsfd">#REF!</definedName>
    <definedName name="DíasHábiles">[6]Util!$A$2:$B$134</definedName>
    <definedName name="dklñfjadskfjañdf" localSheetId="0">[39]PAG_33!#REF!</definedName>
    <definedName name="dklñfjadskfjañdf" localSheetId="7">[39]PAG_33!#REF!</definedName>
    <definedName name="dklñfjadskfjañdf" localSheetId="18">[39]PAG_33!#REF!</definedName>
    <definedName name="dklñfjadskfjañdf" localSheetId="5">[39]PAG_33!#REF!</definedName>
    <definedName name="dklñfjadskfjañdf">[39]PAG_33!#REF!</definedName>
    <definedName name="dos" localSheetId="0">[23]PAG_35!#REF!</definedName>
    <definedName name="dos" localSheetId="7">[23]PAG_35!#REF!</definedName>
    <definedName name="dos" localSheetId="18">[23]PAG_35!#REF!</definedName>
    <definedName name="dos" localSheetId="5">[23]PAG_35!#REF!</definedName>
    <definedName name="dos">[23]PAG_35!#REF!</definedName>
    <definedName name="DurA">[6]Dur!$A$30:$I$55</definedName>
    <definedName name="EMBI">[40]CotizInternac!$A$1:$H$134</definedName>
    <definedName name="Ends">[40]CotizInternac!$A$154:$H$169</definedName>
    <definedName name="fadsfkañlj" localSheetId="0">#REF!,#REF!</definedName>
    <definedName name="fadsfkañlj" localSheetId="7">#REF!,#REF!</definedName>
    <definedName name="fadsfkañlj" localSheetId="18">#REF!,#REF!</definedName>
    <definedName name="fadsfkañlj" localSheetId="22">#REF!,#REF!</definedName>
    <definedName name="fadsfkañlj" localSheetId="23">#REF!,#REF!</definedName>
    <definedName name="fadsfkañlj" localSheetId="5">#REF!,#REF!</definedName>
    <definedName name="fadsfkañlj">#REF!,#REF!</definedName>
    <definedName name="fajkdlñfjafklñdfjak" localSheetId="0">[41]PAG_34!#REF!</definedName>
    <definedName name="fajkdlñfjafklñdfjak" localSheetId="7">[41]PAG_34!#REF!</definedName>
    <definedName name="fajkdlñfjafklñdfjak" localSheetId="18">[41]PAG_34!#REF!</definedName>
    <definedName name="fajkdlñfjafklñdfjak" localSheetId="22">[41]PAG_34!#REF!</definedName>
    <definedName name="fajkdlñfjafklñdfjak" localSheetId="23">[41]PAG_34!#REF!</definedName>
    <definedName name="fajkdlñfjafklñdfjak" localSheetId="5">[41]PAG_34!#REF!</definedName>
    <definedName name="fajkdlñfjafklñdfjak">[41]PAG_34!#REF!</definedName>
    <definedName name="FechasDeCuadroAnexo">[24]Fechas!$B$75:$B$86</definedName>
    <definedName name="FechasDeCuadroDeAFP">[24]Fechas!$B$51:$B$73</definedName>
    <definedName name="FechasDeCuadroDeAhorro">[24]Fechas!$B$3:$B$25</definedName>
    <definedName name="FechasDeCuadroDeBonos">[24]Fechas!$B$27:$B$49</definedName>
    <definedName name="FechasPanelDeCuadroAnexo">[24]Fechas!$A$74:$F$86</definedName>
    <definedName name="FechasPanelDeCuadroDeAFP">[24]Fechas!$A$50:$F$73</definedName>
    <definedName name="FechasPanelDeCuadroDeAhorro">[24]Fechas!$A$2:$F$25</definedName>
    <definedName name="FechasPanelDeCuadroDeBolsa">[24]Fechas!$A$26:$F$49</definedName>
    <definedName name="FechasPanelDeCuadroDeBonos">[24]Fechas!$A$26:$F$49</definedName>
    <definedName name="FechasPanelDeCuadroExtra">[24]Fechas!$A$87:$F$89</definedName>
    <definedName name="FechasPanelDeTodosLosCuadros">[24]Fechas!$A$50:$F$79</definedName>
    <definedName name="FemaleDa" localSheetId="0">#REF!</definedName>
    <definedName name="FemaleDa" localSheetId="7">#REF!</definedName>
    <definedName name="FemaleDa" localSheetId="18">#REF!</definedName>
    <definedName name="FemaleDa" localSheetId="22">#REF!</definedName>
    <definedName name="FemaleDa" localSheetId="23">#REF!</definedName>
    <definedName name="FemaleDa" localSheetId="5">#REF!</definedName>
    <definedName name="FemaleDa">#REF!</definedName>
    <definedName name="fgsg" localSheetId="0">[23]PAG_35!#REF!</definedName>
    <definedName name="fgsg" localSheetId="7">[23]PAG_35!#REF!</definedName>
    <definedName name="fgsg" localSheetId="18">[23]PAG_35!#REF!</definedName>
    <definedName name="fgsg" localSheetId="22">[23]PAG_35!#REF!</definedName>
    <definedName name="fgsg" localSheetId="23">[23]PAG_35!#REF!</definedName>
    <definedName name="fgsg" localSheetId="5">[23]PAG_35!#REF!</definedName>
    <definedName name="fgsg">[23]PAG_35!#REF!</definedName>
    <definedName name="FIN">#N/A</definedName>
    <definedName name="FLUJO" localSheetId="0">'[42]FLUJO-TURISTICO'!#REF!</definedName>
    <definedName name="FLUJO" localSheetId="7">'[42]FLUJO-TURISTICO'!#REF!</definedName>
    <definedName name="FLUJO" localSheetId="18">'[42]FLUJO-TURISTICO'!#REF!</definedName>
    <definedName name="FLUJO" localSheetId="22">'[42]FLUJO-TURISTICO'!#REF!</definedName>
    <definedName name="FLUJO" localSheetId="23">'[42]FLUJO-TURISTICO'!#REF!</definedName>
    <definedName name="FLUJO" localSheetId="5">'[42]FLUJO-TURISTICO'!#REF!</definedName>
    <definedName name="FLUJO">'[42]FLUJO-TURISTICO'!#REF!</definedName>
    <definedName name="FRE" localSheetId="0">#REF!</definedName>
    <definedName name="FRE" localSheetId="7">#REF!</definedName>
    <definedName name="FRE" localSheetId="18">#REF!</definedName>
    <definedName name="FRE" localSheetId="22">#REF!</definedName>
    <definedName name="FRE" localSheetId="23">#REF!</definedName>
    <definedName name="FRE" localSheetId="5">#REF!</definedName>
    <definedName name="FRE">#REF!</definedName>
    <definedName name="FUENTE">#N/A</definedName>
    <definedName name="GAS" localSheetId="0">#REF!</definedName>
    <definedName name="GAS" localSheetId="7">#REF!</definedName>
    <definedName name="GAS" localSheetId="18">#REF!</definedName>
    <definedName name="GAS" localSheetId="22">#REF!</definedName>
    <definedName name="GAS" localSheetId="23">#REF!</definedName>
    <definedName name="GAS" localSheetId="5">#REF!</definedName>
    <definedName name="GAS">#REF!</definedName>
    <definedName name="gdgdg" localSheetId="0" hidden="1">#REF!</definedName>
    <definedName name="gdgdg" localSheetId="14" hidden="1">#REF!</definedName>
    <definedName name="gdgdg" localSheetId="15" hidden="1">#REF!</definedName>
    <definedName name="gdgdg" localSheetId="16" hidden="1">#REF!</definedName>
    <definedName name="gdgdg" localSheetId="7" hidden="1">#REF!</definedName>
    <definedName name="gdgdg" localSheetId="19" hidden="1">#REF!</definedName>
    <definedName name="gdgdg" localSheetId="22" hidden="1">#REF!</definedName>
    <definedName name="gdgdg" localSheetId="23" hidden="1">#REF!</definedName>
    <definedName name="gdgdg" localSheetId="9" hidden="1">#REF!</definedName>
    <definedName name="gdgdg" localSheetId="11" hidden="1">#REF!</definedName>
    <definedName name="gdgdg" localSheetId="12" hidden="1">#REF!</definedName>
    <definedName name="gdgdg" localSheetId="5" hidden="1">#REF!</definedName>
    <definedName name="gdgdg" localSheetId="13" hidden="1">#REF!</definedName>
    <definedName name="gdgdg" hidden="1">#REF!</definedName>
    <definedName name="gfsg" localSheetId="0">[31]PAG_33!#REF!</definedName>
    <definedName name="gfsg" localSheetId="7">[31]PAG_33!#REF!</definedName>
    <definedName name="gfsg" localSheetId="5">[31]PAG_33!#REF!</definedName>
    <definedName name="gfsg">[31]PAG_33!#REF!</definedName>
    <definedName name="graf" localSheetId="0" hidden="1">#REF!</definedName>
    <definedName name="graf" localSheetId="14" hidden="1">#REF!</definedName>
    <definedName name="graf" localSheetId="15" hidden="1">#REF!</definedName>
    <definedName name="graf" localSheetId="16" hidden="1">#REF!</definedName>
    <definedName name="graf" localSheetId="7" hidden="1">#REF!</definedName>
    <definedName name="graf" localSheetId="19" hidden="1">#REF!</definedName>
    <definedName name="graf" localSheetId="22" hidden="1">#REF!</definedName>
    <definedName name="graf" localSheetId="23" hidden="1">#REF!</definedName>
    <definedName name="graf" localSheetId="9" hidden="1">#REF!</definedName>
    <definedName name="graf" localSheetId="11" hidden="1">#REF!</definedName>
    <definedName name="graf" localSheetId="12" hidden="1">#REF!</definedName>
    <definedName name="graf" localSheetId="5" hidden="1">#REF!</definedName>
    <definedName name="graf" localSheetId="13" hidden="1">#REF!</definedName>
    <definedName name="graf" hidden="1">#REF!</definedName>
    <definedName name="Graf_Options" localSheetId="0">[6]Curva!#REF!</definedName>
    <definedName name="Graf_Options" localSheetId="7">[6]Curva!#REF!</definedName>
    <definedName name="Graf_Options" localSheetId="5">[6]Curva!#REF!</definedName>
    <definedName name="Graf_Options">[6]Curva!#REF!</definedName>
    <definedName name="Grafico22n" localSheetId="0" hidden="1">#REF!</definedName>
    <definedName name="Grafico22n" localSheetId="14" hidden="1">#REF!</definedName>
    <definedName name="Grafico22n" localSheetId="15" hidden="1">#REF!</definedName>
    <definedName name="Grafico22n" localSheetId="16" hidden="1">#REF!</definedName>
    <definedName name="Grafico22n" localSheetId="7" hidden="1">#REF!</definedName>
    <definedName name="Grafico22n" localSheetId="19" hidden="1">#REF!</definedName>
    <definedName name="Grafico22n" localSheetId="22" hidden="1">#REF!</definedName>
    <definedName name="Grafico22n" localSheetId="23" hidden="1">#REF!</definedName>
    <definedName name="Grafico22n" localSheetId="9" hidden="1">#REF!</definedName>
    <definedName name="Grafico22n" localSheetId="11" hidden="1">#REF!</definedName>
    <definedName name="Grafico22n" localSheetId="12" hidden="1">#REF!</definedName>
    <definedName name="Grafico22n" localSheetId="5" hidden="1">#REF!</definedName>
    <definedName name="Grafico22n" localSheetId="13" hidden="1">#REF!</definedName>
    <definedName name="Grafico22n" hidden="1">#REF!</definedName>
    <definedName name="Graficos">'[43]Diario Actual'!$T$246</definedName>
    <definedName name="GRTES" localSheetId="0">#REF!</definedName>
    <definedName name="GRTES" localSheetId="7">#REF!</definedName>
    <definedName name="GRTES" localSheetId="18">#REF!</definedName>
    <definedName name="GRTES" localSheetId="5">#REF!</definedName>
    <definedName name="GRTES">#REF!</definedName>
    <definedName name="gsfdgs" localSheetId="0">#REF!,#REF!,#REF!,#REF!,#REF!</definedName>
    <definedName name="gsfdgs" localSheetId="7">#REF!,#REF!,#REF!,#REF!,#REF!</definedName>
    <definedName name="gsfdgs" localSheetId="18">#REF!,#REF!,#REF!,#REF!,#REF!</definedName>
    <definedName name="gsfdgs" localSheetId="22">#REF!,#REF!,#REF!,#REF!,#REF!</definedName>
    <definedName name="gsfdgs" localSheetId="23">#REF!,#REF!,#REF!,#REF!,#REF!</definedName>
    <definedName name="gsfdgs" localSheetId="5">#REF!,#REF!,#REF!,#REF!,#REF!</definedName>
    <definedName name="gsfdgs">#REF!,#REF!,#REF!,#REF!,#REF!</definedName>
    <definedName name="HAR" localSheetId="0">#REF!</definedName>
    <definedName name="HAR" localSheetId="7">#REF!</definedName>
    <definedName name="HAR" localSheetId="18">#REF!</definedName>
    <definedName name="HAR" localSheetId="5">#REF!</definedName>
    <definedName name="HAR">#REF!</definedName>
    <definedName name="hfghfh" localSheetId="0">#REF!</definedName>
    <definedName name="hfghfh" localSheetId="7">#REF!</definedName>
    <definedName name="hfghfh" localSheetId="18">#REF!</definedName>
    <definedName name="hfghfh" localSheetId="22">#REF!</definedName>
    <definedName name="hfghfh" localSheetId="23">#REF!</definedName>
    <definedName name="hfghfh" localSheetId="5">#REF!</definedName>
    <definedName name="hfghfh">#REF!</definedName>
    <definedName name="hhh" localSheetId="0">[44]PAG_33!#REF!</definedName>
    <definedName name="hhh" localSheetId="7">[44]PAG_33!#REF!</definedName>
    <definedName name="hhh" localSheetId="18">[44]PAG_33!#REF!</definedName>
    <definedName name="hhh" localSheetId="22">[44]PAG_33!#REF!</definedName>
    <definedName name="hhh" localSheetId="23">[44]PAG_33!#REF!</definedName>
    <definedName name="hhh" localSheetId="5">[44]PAG_33!#REF!</definedName>
    <definedName name="hhh">[44]PAG_33!#REF!</definedName>
    <definedName name="HO" localSheetId="0">#REF!</definedName>
    <definedName name="HO" localSheetId="7">#REF!</definedName>
    <definedName name="HO" localSheetId="18">#REF!</definedName>
    <definedName name="HO" localSheetId="22">#REF!</definedName>
    <definedName name="HO" localSheetId="23">#REF!</definedName>
    <definedName name="HO" localSheetId="5">#REF!</definedName>
    <definedName name="HO">#REF!</definedName>
    <definedName name="HO_2" localSheetId="0">[45]PAG14!#REF!</definedName>
    <definedName name="HO_2" localSheetId="7">[45]PAG14!#REF!</definedName>
    <definedName name="HO_2" localSheetId="18">[45]PAG14!#REF!</definedName>
    <definedName name="HO_2" localSheetId="22">[45]PAG14!#REF!</definedName>
    <definedName name="HO_2" localSheetId="23">[45]PAG14!#REF!</definedName>
    <definedName name="HO_2" localSheetId="5">[45]PAG14!#REF!</definedName>
    <definedName name="HO_2">[45]PAG14!#REF!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 localSheetId="0">[2]PAG_35!#REF!</definedName>
    <definedName name="II" localSheetId="7">[2]PAG_35!#REF!</definedName>
    <definedName name="II" localSheetId="18">[2]PAG_35!#REF!</definedName>
    <definedName name="II" localSheetId="22">[2]PAG_35!#REF!</definedName>
    <definedName name="II" localSheetId="23">[2]PAG_35!#REF!</definedName>
    <definedName name="II" localSheetId="5">[2]PAG_35!#REF!</definedName>
    <definedName name="II">[2]PAG_35!#REF!</definedName>
    <definedName name="Imp" localSheetId="0">#REF!</definedName>
    <definedName name="Imp" localSheetId="7">#REF!</definedName>
    <definedName name="Imp" localSheetId="18">#REF!</definedName>
    <definedName name="Imp" localSheetId="22">#REF!</definedName>
    <definedName name="Imp" localSheetId="23">#REF!</definedName>
    <definedName name="Imp" localSheetId="5">#REF!</definedName>
    <definedName name="Imp">#REF!</definedName>
    <definedName name="IMPR" localSheetId="0">#REF!,#REF!,#REF!</definedName>
    <definedName name="IMPR" localSheetId="7">#REF!,#REF!,#REF!</definedName>
    <definedName name="IMPR" localSheetId="18">#REF!,#REF!,#REF!</definedName>
    <definedName name="IMPR" localSheetId="22">#REF!,#REF!,#REF!</definedName>
    <definedName name="IMPR" localSheetId="23">#REF!,#REF!,#REF!</definedName>
    <definedName name="IMPR" localSheetId="5">#REF!,#REF!,#REF!</definedName>
    <definedName name="IMPR">#REF!,#REF!,#REF!</definedName>
    <definedName name="IMPRESION" localSheetId="0">#REF!,#REF!</definedName>
    <definedName name="IMPRESION" localSheetId="7">#REF!,#REF!</definedName>
    <definedName name="IMPRESION" localSheetId="18">#REF!,#REF!</definedName>
    <definedName name="IMPRESION" localSheetId="22">#REF!,#REF!</definedName>
    <definedName name="IMPRESION" localSheetId="23">#REF!,#REF!</definedName>
    <definedName name="IMPRESION" localSheetId="5">#REF!,#REF!</definedName>
    <definedName name="IMPRESION">#REF!,#REF!</definedName>
    <definedName name="Imprimir_área_IM" localSheetId="0">#REF!</definedName>
    <definedName name="Imprimir_área_IM" localSheetId="7">#REF!</definedName>
    <definedName name="Imprimir_área_IM" localSheetId="18">#REF!</definedName>
    <definedName name="Imprimir_área_IM" localSheetId="22">#REF!</definedName>
    <definedName name="Imprimir_área_IM" localSheetId="23">#REF!</definedName>
    <definedName name="Imprimir_área_IM" localSheetId="5">#REF!</definedName>
    <definedName name="Imprimir_área_IM">#REF!</definedName>
    <definedName name="IN" localSheetId="0">#REF!</definedName>
    <definedName name="IN" localSheetId="7">#REF!</definedName>
    <definedName name="IN" localSheetId="18">#REF!</definedName>
    <definedName name="IN" localSheetId="22">#REF!</definedName>
    <definedName name="IN" localSheetId="23">#REF!</definedName>
    <definedName name="IN" localSheetId="5">#REF!</definedName>
    <definedName name="IN">#REF!</definedName>
    <definedName name="IN_2" localSheetId="0">[45]PAG14!#REF!</definedName>
    <definedName name="IN_2" localSheetId="7">[45]PAG14!#REF!</definedName>
    <definedName name="IN_2" localSheetId="18">[45]PAG14!#REF!</definedName>
    <definedName name="IN_2" localSheetId="22">[45]PAG14!#REF!</definedName>
    <definedName name="IN_2" localSheetId="23">[45]PAG14!#REF!</definedName>
    <definedName name="IN_2" localSheetId="5">[45]PAG14!#REF!</definedName>
    <definedName name="IN_2">[45]PAG14!#REF!</definedName>
    <definedName name="INDICE">#N/A</definedName>
    <definedName name="INDICEALFABETICO" localSheetId="0">#REF!</definedName>
    <definedName name="INDICEALFABETICO" localSheetId="7">#REF!</definedName>
    <definedName name="INDICEALFABETICO" localSheetId="18">#REF!</definedName>
    <definedName name="INDICEALFABETICO" localSheetId="22">#REF!</definedName>
    <definedName name="INDICEALFABETICO" localSheetId="23">#REF!</definedName>
    <definedName name="INDICEALFABETICO" localSheetId="5">#REF!</definedName>
    <definedName name="INDICEALFABETICO">#REF!</definedName>
    <definedName name="inicio">[26]Grafico!$A$3</definedName>
    <definedName name="inicio1">[26]Grafico!$A$60</definedName>
    <definedName name="Input_File" localSheetId="0">#REF!</definedName>
    <definedName name="Input_File" localSheetId="7">#REF!</definedName>
    <definedName name="Input_File" localSheetId="18">#REF!</definedName>
    <definedName name="Input_File" localSheetId="22">#REF!</definedName>
    <definedName name="Input_File" localSheetId="23">#REF!</definedName>
    <definedName name="Input_File" localSheetId="5">#REF!</definedName>
    <definedName name="Input_File">#REF!</definedName>
    <definedName name="Inputs_C1">[24]c1!$A$1:$O$164</definedName>
    <definedName name="Inputs_C1F">[24]c1!$A$4:$O$164</definedName>
    <definedName name="Inputs_C3">[24]c3!$B$1:$O$55</definedName>
    <definedName name="Inputs_C3F">[24]c3!$B$4:$O$55</definedName>
    <definedName name="Inputs_C5">[24]c5!$A$1:$N$31</definedName>
    <definedName name="Inputs_C5F">[24]c5!$A$3:$N$31</definedName>
    <definedName name="Inputs_C6">[24]c6!$B$1:$O$33</definedName>
    <definedName name="Inputs_C6F">[24]c6!$B$4:$O$33</definedName>
    <definedName name="Inputs_C8" localSheetId="0">#REF!</definedName>
    <definedName name="Inputs_C8" localSheetId="7">#REF!</definedName>
    <definedName name="Inputs_C8" localSheetId="18">#REF!</definedName>
    <definedName name="Inputs_C8" localSheetId="5">#REF!</definedName>
    <definedName name="Inputs_C8">#REF!</definedName>
    <definedName name="Inputs_C8F" localSheetId="0">#REF!</definedName>
    <definedName name="Inputs_C8F" localSheetId="7">#REF!</definedName>
    <definedName name="Inputs_C8F" localSheetId="18">#REF!</definedName>
    <definedName name="Inputs_C8F" localSheetId="5">#REF!</definedName>
    <definedName name="Inputs_C8F">#REF!</definedName>
    <definedName name="INTERVALS">[6]Pre!$Q$3:$S$30</definedName>
    <definedName name="INTERVALS_OLD">[6]Pre!$Q$35:$S$62</definedName>
    <definedName name="INVALIDEZ" localSheetId="0">#REF!</definedName>
    <definedName name="INVALIDEZ" localSheetId="7">#REF!</definedName>
    <definedName name="INVALIDEZ" localSheetId="18">#REF!</definedName>
    <definedName name="INVALIDEZ" localSheetId="22">#REF!</definedName>
    <definedName name="INVALIDEZ" localSheetId="23">#REF!</definedName>
    <definedName name="INVALIDEZ" localSheetId="5">#REF!</definedName>
    <definedName name="INVALIDEZ">#REF!</definedName>
    <definedName name="INVERSION" localSheetId="0">#REF!</definedName>
    <definedName name="INVERSION" localSheetId="7">#REF!</definedName>
    <definedName name="INVERSION" localSheetId="18">#REF!</definedName>
    <definedName name="INVERSION" localSheetId="5">#REF!</definedName>
    <definedName name="INVERSION">#REF!</definedName>
    <definedName name="inversion001" localSheetId="0">#REF!</definedName>
    <definedName name="inversion001" localSheetId="7">#REF!</definedName>
    <definedName name="inversion001" localSheetId="18">#REF!</definedName>
    <definedName name="inversion001" localSheetId="5">#REF!</definedName>
    <definedName name="inversion001">#REF!</definedName>
    <definedName name="inversion01" localSheetId="0">#REF!</definedName>
    <definedName name="inversion01" localSheetId="7">#REF!</definedName>
    <definedName name="inversion01" localSheetId="5">#REF!</definedName>
    <definedName name="inversion01">#REF!</definedName>
    <definedName name="inversiones" localSheetId="0">#REF!</definedName>
    <definedName name="inversiones" localSheetId="7">#REF!</definedName>
    <definedName name="inversiones" localSheetId="5">#REF!</definedName>
    <definedName name="inversiones">#REF!</definedName>
    <definedName name="IPCs_2002_3">[46]Precios!$A$337:$U$339</definedName>
    <definedName name="IPCs_2002_3a">[46]Precios!$A$373:$U$383</definedName>
    <definedName name="IPE_03_04">[46]IPE!$A$280:$M$353</definedName>
    <definedName name="jenny">'[7]Cdrs 1-2'!$A$69:$S$114</definedName>
    <definedName name="JET">#N/A</definedName>
    <definedName name="jhgfjh" localSheetId="0">#REF!,#REF!,#REF!</definedName>
    <definedName name="jhgfjh" localSheetId="7">#REF!,#REF!,#REF!</definedName>
    <definedName name="jhgfjh" localSheetId="18">#REF!,#REF!,#REF!</definedName>
    <definedName name="jhgfjh" localSheetId="22">#REF!,#REF!,#REF!</definedName>
    <definedName name="jhgfjh" localSheetId="23">#REF!,#REF!,#REF!</definedName>
    <definedName name="jhgfjh" localSheetId="5">#REF!,#REF!,#REF!</definedName>
    <definedName name="jhgfjh">#REF!,#REF!,#REF!</definedName>
    <definedName name="jhjbj" localSheetId="0">#REF!</definedName>
    <definedName name="jhjbj" localSheetId="7">#REF!</definedName>
    <definedName name="jhjbj" localSheetId="18">#REF!</definedName>
    <definedName name="jhjbj" localSheetId="5">#REF!</definedName>
    <definedName name="jhjbj">#REF!</definedName>
    <definedName name="kghiog" localSheetId="0">#REF!,#REF!</definedName>
    <definedName name="kghiog" localSheetId="7">#REF!,#REF!</definedName>
    <definedName name="kghiog" localSheetId="18">#REF!,#REF!</definedName>
    <definedName name="kghiog" localSheetId="22">#REF!,#REF!</definedName>
    <definedName name="kghiog" localSheetId="23">#REF!,#REF!</definedName>
    <definedName name="kghiog" localSheetId="5">#REF!,#REF!</definedName>
    <definedName name="kghiog">#REF!,#REF!</definedName>
    <definedName name="leña" localSheetId="0">#REF!</definedName>
    <definedName name="leña" localSheetId="7">#REF!</definedName>
    <definedName name="leña" localSheetId="5">#REF!</definedName>
    <definedName name="leña">#REF!</definedName>
    <definedName name="Libor">[47]Resumen!$K$3:$R$26</definedName>
    <definedName name="LIMA_I">[25]X_DEPA!#REF!</definedName>
    <definedName name="LIMA_II">[25]X_DEPA!#REF!</definedName>
    <definedName name="LTP">[6]LTP!$A$2:$L$1000</definedName>
    <definedName name="MACRO">#N/A</definedName>
    <definedName name="MaleData" localSheetId="0">#REF!</definedName>
    <definedName name="MaleData" localSheetId="7">#REF!</definedName>
    <definedName name="MaleData" localSheetId="18">#REF!</definedName>
    <definedName name="MaleData" localSheetId="22">#REF!</definedName>
    <definedName name="MaleData" localSheetId="23">#REF!</definedName>
    <definedName name="MaleData" localSheetId="5">#REF!</definedName>
    <definedName name="MaleData">#REF!</definedName>
    <definedName name="Maximum" localSheetId="0">#REF!</definedName>
    <definedName name="Maximum" localSheetId="7">#REF!</definedName>
    <definedName name="Maximum" localSheetId="18">#REF!</definedName>
    <definedName name="Maximum" localSheetId="22">#REF!</definedName>
    <definedName name="Maximum" localSheetId="23">#REF!</definedName>
    <definedName name="Maximum" localSheetId="5">#REF!</definedName>
    <definedName name="Maximum">#REF!</definedName>
    <definedName name="Maximum_used" localSheetId="0">#REF!</definedName>
    <definedName name="Maximum_used" localSheetId="7">#REF!</definedName>
    <definedName name="Maximum_used" localSheetId="18">#REF!</definedName>
    <definedName name="Maximum_used" localSheetId="22">#REF!</definedName>
    <definedName name="Maximum_used" localSheetId="23">#REF!</definedName>
    <definedName name="Maximum_used" localSheetId="5">#REF!</definedName>
    <definedName name="Maximum_used">#REF!</definedName>
    <definedName name="MENU">[48]Menu!$A$3:$K$12</definedName>
    <definedName name="Meses">[6]Pre!$A$68:$C$79</definedName>
    <definedName name="Meses1">'[48]Curva (2)'!$A$45:$B$56</definedName>
    <definedName name="mio" localSheetId="0">[49]OPERACIONES!#REF!</definedName>
    <definedName name="mio" localSheetId="7">[49]OPERACIONES!#REF!</definedName>
    <definedName name="mio" localSheetId="18">[50]OPERACIONES!#REF!</definedName>
    <definedName name="mio" localSheetId="22">[51]OPERACIONES!#REF!</definedName>
    <definedName name="mio" localSheetId="23">[51]OPERACIONES!#REF!</definedName>
    <definedName name="mio" localSheetId="5">[49]OPERACIONES!#REF!</definedName>
    <definedName name="mio">[49]OPERACIONES!#REF!</definedName>
    <definedName name="miuo" localSheetId="0">#REF!</definedName>
    <definedName name="miuo" localSheetId="7">#REF!</definedName>
    <definedName name="miuo" localSheetId="18">#REF!</definedName>
    <definedName name="miuo" localSheetId="22">#REF!</definedName>
    <definedName name="miuo" localSheetId="23">#REF!</definedName>
    <definedName name="miuo" localSheetId="5">#REF!</definedName>
    <definedName name="miuo">#REF!</definedName>
    <definedName name="NOM" localSheetId="0">#REF!</definedName>
    <definedName name="NOM" localSheetId="7">#REF!</definedName>
    <definedName name="NOM" localSheetId="18">#REF!</definedName>
    <definedName name="NOM" localSheetId="5">#REF!</definedName>
    <definedName name="NOM">#REF!</definedName>
    <definedName name="NombresDeSeriesC1">[24]c1!$O$9:$O$164</definedName>
    <definedName name="NombresDeSeriesC3">[24]c3!$O$10:$O$41</definedName>
    <definedName name="NombresDeSeriesC5" localSheetId="18">[24]c5!J22:J1048562</definedName>
    <definedName name="NombresDeSeriesC5">[24]c5!J1048562:J22</definedName>
    <definedName name="NombresDeSeriesC6">[24]c6!$O$10:$O$31</definedName>
    <definedName name="NUEVA">[48]CD!$M$11</definedName>
    <definedName name="NUMERO">#N/A</definedName>
    <definedName name="NumeroDeFechasDeCuadroDeAFP">[24]Fechas!$A$51:$A$73</definedName>
    <definedName name="NumeroDeFechasDeCuadroDeAhorro">[24]Fechas!$A$3:$A$25</definedName>
    <definedName name="NumeroDeFechasDeCuadroDeAnexo">[24]Fechas!$A$75:$A$86</definedName>
    <definedName name="NumeroDeFechasDeCuadroDeBonos">[24]Fechas!$A$27:$A$49</definedName>
    <definedName name="NV" localSheetId="0">#REF!</definedName>
    <definedName name="NV" localSheetId="7">#REF!</definedName>
    <definedName name="NV" localSheetId="18">#REF!</definedName>
    <definedName name="NV" localSheetId="22">#REF!</definedName>
    <definedName name="NV" localSheetId="23">#REF!</definedName>
    <definedName name="NV" localSheetId="5">#REF!</definedName>
    <definedName name="NV">#REF!</definedName>
    <definedName name="NV_2" localSheetId="0">[45]PAG14!#REF!</definedName>
    <definedName name="NV_2" localSheetId="7">[45]PAG14!#REF!</definedName>
    <definedName name="NV_2" localSheetId="18">[45]PAG14!#REF!</definedName>
    <definedName name="NV_2" localSheetId="22">[45]PAG14!#REF!</definedName>
    <definedName name="NV_2" localSheetId="23">[45]PAG14!#REF!</definedName>
    <definedName name="NV_2" localSheetId="5">[45]PAG14!#REF!</definedName>
    <definedName name="NV_2">[45]PAG14!#REF!</definedName>
    <definedName name="OCT" localSheetId="0">#REF!</definedName>
    <definedName name="OCT" localSheetId="7">#REF!</definedName>
    <definedName name="OCT" localSheetId="18">#REF!</definedName>
    <definedName name="OCT" localSheetId="5">#REF!</definedName>
    <definedName name="OCT">#REF!</definedName>
    <definedName name="Ordenrent" localSheetId="0">'[52]Sol traspaso'!#REF!</definedName>
    <definedName name="Ordenrent" localSheetId="7">'[52]Sol traspaso'!#REF!</definedName>
    <definedName name="Ordenrent" localSheetId="18">'[52]Sol traspaso'!#REF!</definedName>
    <definedName name="Ordenrent" localSheetId="5">'[52]Sol traspaso'!#REF!</definedName>
    <definedName name="Ordenrent">'[52]Sol traspaso'!#REF!</definedName>
    <definedName name="p" localSheetId="0">#REF!</definedName>
    <definedName name="p" localSheetId="7">#REF!</definedName>
    <definedName name="p" localSheetId="18">#REF!</definedName>
    <definedName name="p" localSheetId="22">#REF!</definedName>
    <definedName name="p" localSheetId="23">#REF!</definedName>
    <definedName name="p" localSheetId="5">#REF!</definedName>
    <definedName name="p">#REF!</definedName>
    <definedName name="pa" localSheetId="0">#REF!</definedName>
    <definedName name="pa" localSheetId="7">#REF!</definedName>
    <definedName name="pa" localSheetId="5">#REF!</definedName>
    <definedName name="pa">#REF!</definedName>
    <definedName name="PanelDeOpciones">[24]Menu!$B$6:$J$15</definedName>
    <definedName name="PanelDeOpcionesParaMenú">[24]Menu!$B$22:$J$26</definedName>
    <definedName name="PanelDeOpcionesSinTítulos">[24]Menu!$B$7:$J$15</definedName>
    <definedName name="PBI">[47]Resumen!$A$3:$I$27</definedName>
    <definedName name="pegado" localSheetId="0" hidden="1">#REF!</definedName>
    <definedName name="pegado" localSheetId="14" hidden="1">#REF!</definedName>
    <definedName name="pegado" localSheetId="15" hidden="1">#REF!</definedName>
    <definedName name="pegado" localSheetId="16" hidden="1">#REF!</definedName>
    <definedName name="pegado" localSheetId="7" hidden="1">#REF!</definedName>
    <definedName name="pegado" localSheetId="19" hidden="1">#REF!</definedName>
    <definedName name="pegado" localSheetId="22" hidden="1">#REF!</definedName>
    <definedName name="pegado" localSheetId="23" hidden="1">#REF!</definedName>
    <definedName name="pegado" localSheetId="9" hidden="1">#REF!</definedName>
    <definedName name="pegado" localSheetId="11" hidden="1">#REF!</definedName>
    <definedName name="pegado" localSheetId="12" hidden="1">#REF!</definedName>
    <definedName name="pegado" localSheetId="5" hidden="1">#REF!</definedName>
    <definedName name="pegado" localSheetId="13" hidden="1">#REF!</definedName>
    <definedName name="pegado" hidden="1">#REF!</definedName>
    <definedName name="pgraficos" localSheetId="18" hidden="1">[15]Hoja3!$A$368:$A$408</definedName>
    <definedName name="pgraficos" hidden="1">[11]Hoja3!$A$368:$A$408</definedName>
    <definedName name="PIURA_I">[25]X_DEPA!#REF!</definedName>
    <definedName name="PLANTILLA" localSheetId="0">#REF!</definedName>
    <definedName name="PLANTILLA" localSheetId="7">#REF!</definedName>
    <definedName name="PLANTILLA" localSheetId="5">#REF!</definedName>
    <definedName name="PLANTILLA">#REF!</definedName>
    <definedName name="POBLA">[53]IECE4001!$G$3:$G$30</definedName>
    <definedName name="pobr1" localSheetId="0">#REF!</definedName>
    <definedName name="pobr1" localSheetId="7">#REF!</definedName>
    <definedName name="pobr1" localSheetId="18">#REF!</definedName>
    <definedName name="pobr1" localSheetId="5">#REF!</definedName>
    <definedName name="pobr1">#REF!</definedName>
    <definedName name="porcentajes" localSheetId="0">#REF!</definedName>
    <definedName name="porcentajes" localSheetId="7">#REF!</definedName>
    <definedName name="porcentajes" localSheetId="18">#REF!</definedName>
    <definedName name="porcentajes" localSheetId="5">#REF!</definedName>
    <definedName name="porcentajes">#REF!</definedName>
    <definedName name="PR" localSheetId="0">#REF!</definedName>
    <definedName name="PR" localSheetId="7">#REF!</definedName>
    <definedName name="PR" localSheetId="18">#REF!</definedName>
    <definedName name="PR" localSheetId="22">#REF!</definedName>
    <definedName name="PR" localSheetId="23">#REF!</definedName>
    <definedName name="PR" localSheetId="5">#REF!</definedName>
    <definedName name="PR">#REF!</definedName>
    <definedName name="PR_2" localSheetId="0">[45]PAG14!#REF!</definedName>
    <definedName name="PR_2" localSheetId="7">[45]PAG14!#REF!</definedName>
    <definedName name="PR_2" localSheetId="18">[45]PAG14!#REF!</definedName>
    <definedName name="PR_2" localSheetId="22">[45]PAG14!#REF!</definedName>
    <definedName name="PR_2" localSheetId="23">[45]PAG14!#REF!</definedName>
    <definedName name="PR_2" localSheetId="5">[45]PAG14!#REF!</definedName>
    <definedName name="PR_2">[45]PAG14!#REF!</definedName>
    <definedName name="preci" localSheetId="0">[54]PAG_33!#REF!</definedName>
    <definedName name="preci" localSheetId="7">[54]PAG_33!#REF!</definedName>
    <definedName name="preci" localSheetId="18">[54]PAG_33!#REF!</definedName>
    <definedName name="preci" localSheetId="22">[54]PAG_33!#REF!</definedName>
    <definedName name="preci" localSheetId="23">[54]PAG_33!#REF!</definedName>
    <definedName name="preci" localSheetId="5">[54]PAG_33!#REF!</definedName>
    <definedName name="preci">[54]PAG_33!#REF!</definedName>
    <definedName name="precipitacion" localSheetId="0">[33]PAG_37!#REF!</definedName>
    <definedName name="precipitacion" localSheetId="7">[33]PAG_37!#REF!</definedName>
    <definedName name="precipitacion" localSheetId="18">[33]PAG_37!#REF!</definedName>
    <definedName name="precipitacion" localSheetId="22">[33]PAG_37!#REF!</definedName>
    <definedName name="precipitacion" localSheetId="23">[33]PAG_37!#REF!</definedName>
    <definedName name="precipitacion" localSheetId="5">[33]PAG_37!#REF!</definedName>
    <definedName name="precipitacion">[33]PAG_37!#REF!</definedName>
    <definedName name="PreCuadro">[6]Pre!$A$2:$J$32</definedName>
    <definedName name="PreCuadroA">[6]Pre!$A$34:$J$64</definedName>
    <definedName name="PREPARA">#N/A</definedName>
    <definedName name="presenta" localSheetId="0">[1]Data!#REF!</definedName>
    <definedName name="presenta" localSheetId="7">[1]Data!#REF!</definedName>
    <definedName name="presenta" localSheetId="18">[1]Data!#REF!</definedName>
    <definedName name="presenta" localSheetId="5">[1]Data!#REF!</definedName>
    <definedName name="presenta">[1]Data!#REF!</definedName>
    <definedName name="Print_Area_MI" localSheetId="0">'[55]Uso mayor2'!#REF!</definedName>
    <definedName name="Print_Area_MI" localSheetId="7">'[55]Uso mayor2'!#REF!</definedName>
    <definedName name="Print_Area_MI" localSheetId="18">'[56]Uso mayor2'!#REF!</definedName>
    <definedName name="Print_Area_MI" localSheetId="5">'[55]Uso mayor2'!#REF!</definedName>
    <definedName name="Print_Area_MI">'[55]Uso mayor2'!#REF!</definedName>
    <definedName name="Proms">[40]CotizInternac!$A$137:$H$152</definedName>
    <definedName name="Pyramid_Filename" localSheetId="0">#REF!</definedName>
    <definedName name="Pyramid_Filename" localSheetId="7">#REF!</definedName>
    <definedName name="Pyramid_Filename" localSheetId="18">#REF!</definedName>
    <definedName name="Pyramid_Filename" localSheetId="22">#REF!</definedName>
    <definedName name="Pyramid_Filename" localSheetId="23">#REF!</definedName>
    <definedName name="Pyramid_Filename" localSheetId="5">#REF!</definedName>
    <definedName name="Pyramid_Filename">#REF!</definedName>
    <definedName name="Pyramid_Title" localSheetId="0">#REF!</definedName>
    <definedName name="Pyramid_Title" localSheetId="7">#REF!</definedName>
    <definedName name="Pyramid_Title" localSheetId="18">#REF!</definedName>
    <definedName name="Pyramid_Title" localSheetId="22">#REF!</definedName>
    <definedName name="Pyramid_Title" localSheetId="23">#REF!</definedName>
    <definedName name="Pyramid_Title" localSheetId="5">#REF!</definedName>
    <definedName name="Pyramid_Title">#REF!</definedName>
    <definedName name="PZs" localSheetId="0">#REF!</definedName>
    <definedName name="PZs" localSheetId="7">#REF!</definedName>
    <definedName name="PZs" localSheetId="18">#REF!</definedName>
    <definedName name="PZs" localSheetId="5">#REF!</definedName>
    <definedName name="PZs">#REF!</definedName>
    <definedName name="Rango_Maestro">[24]Inputs!$C$2:$M$48</definedName>
    <definedName name="rango0">[26]Banda!$B$626:$Q$648</definedName>
    <definedName name="rango1">[26]Banda!$D$631:$F$639</definedName>
    <definedName name="REAL" localSheetId="0">#REF!</definedName>
    <definedName name="REAL" localSheetId="7">#REF!</definedName>
    <definedName name="REAL" localSheetId="18">#REF!</definedName>
    <definedName name="REAL" localSheetId="5">#REF!</definedName>
    <definedName name="REAL">#REF!</definedName>
    <definedName name="RedsBTPLTP">[6]SOB!$B$8:$B$33</definedName>
    <definedName name="RedsCDBCRP">[6]CDMP!$H$3:$H$1801</definedName>
    <definedName name="rentames" localSheetId="0">'[52]Sol traspaso'!#REF!</definedName>
    <definedName name="rentames" localSheetId="7">'[52]Sol traspaso'!#REF!</definedName>
    <definedName name="rentames" localSheetId="18">'[52]Sol traspaso'!#REF!</definedName>
    <definedName name="rentames" localSheetId="5">'[52]Sol traspaso'!#REF!</definedName>
    <definedName name="rentames">'[52]Sol traspaso'!#REF!</definedName>
    <definedName name="ResEMBIe">[6]EXT!$S$312:$AA$327</definedName>
    <definedName name="ResEMBIf">[6]EXT!$S$330:$AA$345</definedName>
    <definedName name="ResEMBIp">[6]EXT!$S$293:$AA$309</definedName>
    <definedName name="rfd" localSheetId="0">[23]PAG_35!#REF!</definedName>
    <definedName name="rfd" localSheetId="7">[23]PAG_35!#REF!</definedName>
    <definedName name="rfd" localSheetId="18">[23]PAG_35!#REF!</definedName>
    <definedName name="rfd" localSheetId="22">[23]PAG_35!#REF!</definedName>
    <definedName name="rfd" localSheetId="23">[23]PAG_35!#REF!</definedName>
    <definedName name="rfd" localSheetId="5">[23]PAG_35!#REF!</definedName>
    <definedName name="rfd">[23]PAG_35!#REF!</definedName>
    <definedName name="RO" localSheetId="0">#REF!</definedName>
    <definedName name="RO" localSheetId="7">#REF!</definedName>
    <definedName name="RO" localSheetId="18">#REF!</definedName>
    <definedName name="RO" localSheetId="22">#REF!</definedName>
    <definedName name="RO" localSheetId="23">#REF!</definedName>
    <definedName name="RO" localSheetId="5">#REF!</definedName>
    <definedName name="RO">#REF!</definedName>
    <definedName name="RO_2" localSheetId="0">[45]PAG14!#REF!</definedName>
    <definedName name="RO_2" localSheetId="7">[45]PAG14!#REF!</definedName>
    <definedName name="RO_2" localSheetId="18">[45]PAG14!#REF!</definedName>
    <definedName name="RO_2" localSheetId="22">[45]PAG14!#REF!</definedName>
    <definedName name="RO_2" localSheetId="23">[45]PAG14!#REF!</definedName>
    <definedName name="RO_2" localSheetId="5">[45]PAG14!#REF!</definedName>
    <definedName name="RO_2">[45]PAG14!#REF!</definedName>
    <definedName name="S" localSheetId="0">#REF!</definedName>
    <definedName name="S" localSheetId="7">#REF!</definedName>
    <definedName name="S" localSheetId="18">#REF!</definedName>
    <definedName name="S" localSheetId="5">#REF!</definedName>
    <definedName name="S">#REF!</definedName>
    <definedName name="sad" localSheetId="0">[23]PAG_35!#REF!</definedName>
    <definedName name="sad" localSheetId="7">[23]PAG_35!#REF!</definedName>
    <definedName name="sad" localSheetId="18">[23]PAG_35!#REF!</definedName>
    <definedName name="sad" localSheetId="22">[23]PAG_35!#REF!</definedName>
    <definedName name="sad" localSheetId="23">[23]PAG_35!#REF!</definedName>
    <definedName name="sad" localSheetId="5">[23]PAG_35!#REF!</definedName>
    <definedName name="sad">[23]PAG_35!#REF!</definedName>
    <definedName name="sadgfdfs" localSheetId="0">#REF!,#REF!</definedName>
    <definedName name="sadgfdfs" localSheetId="7">#REF!,#REF!</definedName>
    <definedName name="sadgfdfs" localSheetId="18">#REF!,#REF!</definedName>
    <definedName name="sadgfdfs" localSheetId="22">#REF!,#REF!</definedName>
    <definedName name="sadgfdfs" localSheetId="23">#REF!,#REF!</definedName>
    <definedName name="sadgfdfs" localSheetId="5">#REF!,#REF!</definedName>
    <definedName name="sadgfdfs">#REF!,#REF!</definedName>
    <definedName name="sdd" localSheetId="0">#REF!,#REF!,#REF!,#REF!,#REF!</definedName>
    <definedName name="sdd" localSheetId="7">#REF!,#REF!,#REF!,#REF!,#REF!</definedName>
    <definedName name="sdd" localSheetId="18">#REF!,#REF!,#REF!,#REF!,#REF!</definedName>
    <definedName name="sdd" localSheetId="22">#REF!,#REF!,#REF!,#REF!,#REF!</definedName>
    <definedName name="sdd" localSheetId="23">#REF!,#REF!,#REF!,#REF!,#REF!</definedName>
    <definedName name="sdd" localSheetId="5">#REF!,#REF!,#REF!,#REF!,#REF!</definedName>
    <definedName name="sdd">#REF!,#REF!,#REF!,#REF!,#REF!</definedName>
    <definedName name="sdsadfd" localSheetId="0">#REF!,#REF!,#REF!</definedName>
    <definedName name="sdsadfd" localSheetId="7">#REF!,#REF!,#REF!</definedName>
    <definedName name="sdsadfd" localSheetId="18">#REF!,#REF!,#REF!</definedName>
    <definedName name="sdsadfd" localSheetId="22">#REF!,#REF!,#REF!</definedName>
    <definedName name="sdsadfd" localSheetId="23">#REF!,#REF!,#REF!</definedName>
    <definedName name="sdsadfd" localSheetId="5">#REF!,#REF!,#REF!</definedName>
    <definedName name="sdsadfd">#REF!,#REF!,#REF!</definedName>
    <definedName name="sgfsg" localSheetId="0">#REF!</definedName>
    <definedName name="sgfsg" localSheetId="7">#REF!</definedName>
    <definedName name="sgfsg" localSheetId="18">#REF!</definedName>
    <definedName name="sgfsg" localSheetId="22">#REF!</definedName>
    <definedName name="sgfsg" localSheetId="23">#REF!</definedName>
    <definedName name="sgfsg" localSheetId="5">#REF!</definedName>
    <definedName name="sgfsg">#REF!</definedName>
    <definedName name="SOBREVIVENCIA" localSheetId="0">#REF!</definedName>
    <definedName name="SOBREVIVENCIA" localSheetId="7">#REF!</definedName>
    <definedName name="SOBREVIVENCIA" localSheetId="18">#REF!</definedName>
    <definedName name="SOBREVIVENCIA" localSheetId="22">#REF!</definedName>
    <definedName name="SOBREVIVENCIA" localSheetId="23">#REF!</definedName>
    <definedName name="SOBREVIVENCIA" localSheetId="5">#REF!</definedName>
    <definedName name="SOBREVIVENCIA">#REF!</definedName>
    <definedName name="sss" localSheetId="0">#REF!,#REF!</definedName>
    <definedName name="sss" localSheetId="7">#REF!,#REF!</definedName>
    <definedName name="sss" localSheetId="18">#REF!,#REF!</definedName>
    <definedName name="sss" localSheetId="22">#REF!,#REF!</definedName>
    <definedName name="sss" localSheetId="23">#REF!,#REF!</definedName>
    <definedName name="sss" localSheetId="5">#REF!,#REF!</definedName>
    <definedName name="sss">#REF!,#REF!</definedName>
    <definedName name="Stop_at_age" localSheetId="0">#REF!</definedName>
    <definedName name="Stop_at_age" localSheetId="7">#REF!</definedName>
    <definedName name="Stop_at_age" localSheetId="18">#REF!</definedName>
    <definedName name="Stop_at_age" localSheetId="22">#REF!</definedName>
    <definedName name="Stop_at_age" localSheetId="23">#REF!</definedName>
    <definedName name="Stop_at_age" localSheetId="5">#REF!</definedName>
    <definedName name="Stop_at_age">#REF!</definedName>
    <definedName name="svs" localSheetId="0">[57]PAG42!#REF!</definedName>
    <definedName name="svs" localSheetId="7">[57]PAG42!#REF!</definedName>
    <definedName name="svs" localSheetId="18">[57]PAG42!#REF!</definedName>
    <definedName name="svs" localSheetId="22">[57]PAG42!#REF!</definedName>
    <definedName name="svs" localSheetId="23">[57]PAG42!#REF!</definedName>
    <definedName name="svs" localSheetId="5">[57]PAG42!#REF!</definedName>
    <definedName name="svs">[57]PAG42!#REF!</definedName>
    <definedName name="Tab_Títulos">[24]Titles!$A$5:$E$19</definedName>
    <definedName name="tabla" localSheetId="0">#REF!</definedName>
    <definedName name="tabla" localSheetId="7">#REF!</definedName>
    <definedName name="tabla" localSheetId="18">[58]Hoja3!$A$1:$I$65536</definedName>
    <definedName name="tabla" localSheetId="22">[58]Hoja3!$A$1:$I$65536</definedName>
    <definedName name="tabla" localSheetId="23">[58]Hoja3!$A$1:$I$65536</definedName>
    <definedName name="tabla" localSheetId="5">#REF!</definedName>
    <definedName name="tabla">#REF!</definedName>
    <definedName name="Tabla_de_Meses">[24]Inputs!$E$52:$H$63</definedName>
    <definedName name="TablaMeses">[59]Meses!$A$1:$C$14</definedName>
    <definedName name="TC">[47]Resumen!$AH$3:$AN$18</definedName>
    <definedName name="TC_2002_3">[46]Monedas!$A$268:$U$291</definedName>
    <definedName name="TC_2002_3a">[46]Monedas!$A$356:$U$379</definedName>
    <definedName name="TCR">[47]Resumen!$U$3:$AF$18</definedName>
    <definedName name="Test" localSheetId="0">#REF!</definedName>
    <definedName name="Test" localSheetId="7">#REF!</definedName>
    <definedName name="Test" localSheetId="18">#REF!</definedName>
    <definedName name="Test" localSheetId="22">#REF!</definedName>
    <definedName name="Test" localSheetId="23">#REF!</definedName>
    <definedName name="Test" localSheetId="5">#REF!</definedName>
    <definedName name="Test">#REF!</definedName>
    <definedName name="TITL" localSheetId="0">#REF!</definedName>
    <definedName name="TITL" localSheetId="7">#REF!</definedName>
    <definedName name="TITL" localSheetId="18">#REF!</definedName>
    <definedName name="TITL" localSheetId="22">#REF!</definedName>
    <definedName name="TITL" localSheetId="23">#REF!</definedName>
    <definedName name="TITL" localSheetId="5">#REF!</definedName>
    <definedName name="TITL">#REF!</definedName>
    <definedName name="treint" localSheetId="0">[49]OPERACIONES!#REF!</definedName>
    <definedName name="treint" localSheetId="7">[49]OPERACIONES!#REF!</definedName>
    <definedName name="treint" localSheetId="18">[50]OPERACIONES!#REF!</definedName>
    <definedName name="treint" localSheetId="22">[51]OPERACIONES!#REF!</definedName>
    <definedName name="treint" localSheetId="23">[51]OPERACIONES!#REF!</definedName>
    <definedName name="treint" localSheetId="5">[49]OPERACIONES!#REF!</definedName>
    <definedName name="treint">[49]OPERACIONES!#REF!</definedName>
    <definedName name="TUTOR" localSheetId="0">#REF!</definedName>
    <definedName name="TUTOR" localSheetId="7">#REF!</definedName>
    <definedName name="TUTOR" localSheetId="18">#REF!</definedName>
    <definedName name="TUTOR" localSheetId="22">#REF!</definedName>
    <definedName name="TUTOR" localSheetId="23">#REF!</definedName>
    <definedName name="TUTOR" localSheetId="5">#REF!</definedName>
    <definedName name="TUTOR">#REF!</definedName>
    <definedName name="UN" localSheetId="0">#REF!</definedName>
    <definedName name="UN" localSheetId="7">#REF!</definedName>
    <definedName name="UN" localSheetId="18">#REF!</definedName>
    <definedName name="UN" localSheetId="22">#REF!</definedName>
    <definedName name="UN" localSheetId="23">#REF!</definedName>
    <definedName name="UN" localSheetId="5">#REF!</definedName>
    <definedName name="UN">#REF!</definedName>
    <definedName name="UN_2" localSheetId="0">[45]PAG14!#REF!</definedName>
    <definedName name="UN_2" localSheetId="7">[45]PAG14!#REF!</definedName>
    <definedName name="UN_2" localSheetId="18">[45]PAG14!#REF!</definedName>
    <definedName name="UN_2" localSheetId="22">[45]PAG14!#REF!</definedName>
    <definedName name="UN_2" localSheetId="23">[45]PAG14!#REF!</definedName>
    <definedName name="UN_2" localSheetId="5">[45]PAG14!#REF!</definedName>
    <definedName name="UN_2">[45]PAG14!#REF!</definedName>
    <definedName name="uno" localSheetId="0">#REF!</definedName>
    <definedName name="uno" localSheetId="7">#REF!</definedName>
    <definedName name="uno" localSheetId="18">#REF!</definedName>
    <definedName name="uno" localSheetId="22">#REF!</definedName>
    <definedName name="uno" localSheetId="23">#REF!</definedName>
    <definedName name="uno" localSheetId="5">#REF!</definedName>
    <definedName name="uno">#REF!</definedName>
    <definedName name="VALOR">#N/A</definedName>
    <definedName name="VARACU">#N/A</definedName>
    <definedName name="VARMEN">#N/A</definedName>
    <definedName name="VOLUMEN">#N/A</definedName>
    <definedName name="VVALOR">#N/A</definedName>
    <definedName name="wwwww" localSheetId="0">#REF!</definedName>
    <definedName name="wwwww" localSheetId="7">#REF!</definedName>
    <definedName name="wwwww" localSheetId="5">#REF!</definedName>
    <definedName name="wwwww">#REF!</definedName>
    <definedName name="x" localSheetId="0">#REF!</definedName>
    <definedName name="x" localSheetId="7">#REF!</definedName>
    <definedName name="x" localSheetId="18">#REF!</definedName>
    <definedName name="x" localSheetId="5">#REF!</definedName>
    <definedName name="x">#REF!</definedName>
    <definedName name="xCol">[60]Dat!$E$1</definedName>
    <definedName name="xCurrent">[60]Dat!$C$1</definedName>
    <definedName name="xRuta">[24]Menu!$C$17:$C$17</definedName>
    <definedName name="xRuta2">[24]Menu!$C$19</definedName>
    <definedName name="xx">[40]CotizInternac!$A$1:$H$134</definedName>
    <definedName name="xxAMano">[24]c1!$N$164</definedName>
    <definedName name="xxDate" localSheetId="0">#REF!</definedName>
    <definedName name="xxDate" localSheetId="7">#REF!</definedName>
    <definedName name="xxDate" localSheetId="18">#REF!</definedName>
    <definedName name="xxDate" localSheetId="5">#REF!</definedName>
    <definedName name="xxDate">#REF!</definedName>
    <definedName name="xxDEF">[24]Titles!$A$27</definedName>
    <definedName name="xxDesF" localSheetId="0">#REF!</definedName>
    <definedName name="xxDesF" localSheetId="7">#REF!</definedName>
    <definedName name="xxDesF" localSheetId="18">#REF!</definedName>
    <definedName name="xxDesF" localSheetId="5">#REF!</definedName>
    <definedName name="xxDesF">#REF!</definedName>
    <definedName name="xxEditarCifrasEnCuadros">[24]Inputs!$D$45</definedName>
    <definedName name="xxEscalaMínima">[61]SERIES!$V$1</definedName>
    <definedName name="xxFechaFin">[62]Tabla!$AP$3</definedName>
    <definedName name="xxFechaInicio">[62]Tabla!$AP$2</definedName>
    <definedName name="xxFinalFechasC1">[24]c1!$N$3</definedName>
    <definedName name="xxFinalFechasC3">[24]c3!$N$3</definedName>
    <definedName name="xxFinalFechasC5">[24]c5!$N$3</definedName>
    <definedName name="xxFinalFechasC6">[24]c6!$N$3</definedName>
    <definedName name="xxFinalFechasC8" localSheetId="0">#REF!</definedName>
    <definedName name="xxFinalFechasC8" localSheetId="7">#REF!</definedName>
    <definedName name="xxFinalFechasC8" localSheetId="18">#REF!</definedName>
    <definedName name="xxFinalFechasC8" localSheetId="5">#REF!</definedName>
    <definedName name="xxFinalFechasC8">#REF!</definedName>
    <definedName name="xxFinalSeriesC1">[24]c1!$B$164</definedName>
    <definedName name="xxFinalSeriesC3">[24]c3!$B$54</definedName>
    <definedName name="xxFinalSeriesC5">[24]c5!$B$31</definedName>
    <definedName name="xxFinalSeriesC6">[24]c6!$B$32</definedName>
    <definedName name="xxFinalSeriesC8" localSheetId="0">#REF!</definedName>
    <definedName name="xxFinalSeriesC8" localSheetId="7">#REF!</definedName>
    <definedName name="xxFinalSeriesC8" localSheetId="18">#REF!</definedName>
    <definedName name="xxFinalSeriesC8" localSheetId="5">#REF!</definedName>
    <definedName name="xxFinalSeriesC8">#REF!</definedName>
    <definedName name="xxIdiomaEspañol">[24]Titles!$A$22</definedName>
    <definedName name="xxIdiomaInglés">[24]Titles!$A$23</definedName>
    <definedName name="xxInicioFechasC1">[24]c1!$D$3</definedName>
    <definedName name="xxInicioFechasC3">[24]c3!$D$3</definedName>
    <definedName name="xxInicioFechasC5">[24]c5!$D$3</definedName>
    <definedName name="xxInicioFechasC6">[24]c6!$D$3</definedName>
    <definedName name="xxInicioFechasC8" localSheetId="0">#REF!</definedName>
    <definedName name="xxInicioFechasC8" localSheetId="7">#REF!</definedName>
    <definedName name="xxInicioFechasC8" localSheetId="18">#REF!</definedName>
    <definedName name="xxInicioFechasC8" localSheetId="5">#REF!</definedName>
    <definedName name="xxInicioFechasC8">#REF!</definedName>
    <definedName name="xxInicioSeriesC1">[24]c1!$B$10</definedName>
    <definedName name="xxInicioSeriesC3">[24]c3!$B$10</definedName>
    <definedName name="xxInicioSeriesC5">[24]c5!$B$10</definedName>
    <definedName name="xxInicioSeriesC6">[24]c6!$B$10</definedName>
    <definedName name="xxInicioSeriesC8" localSheetId="0">#REF!</definedName>
    <definedName name="xxInicioSeriesC8" localSheetId="7">#REF!</definedName>
    <definedName name="xxInicioSeriesC8" localSheetId="18">#REF!</definedName>
    <definedName name="xxInicioSeriesC8" localSheetId="5">#REF!</definedName>
    <definedName name="xxInicioSeriesC8">#REF!</definedName>
    <definedName name="xxInterpol" localSheetId="0">#REF!</definedName>
    <definedName name="xxInterpol" localSheetId="7">#REF!</definedName>
    <definedName name="xxInterpol" localSheetId="18">#REF!</definedName>
    <definedName name="xxInterpol" localSheetId="5">#REF!</definedName>
    <definedName name="xxInterpol">#REF!</definedName>
    <definedName name="xxLanguage">[24]Titles!$A$3</definedName>
    <definedName name="xxLapso" localSheetId="0">#REF!</definedName>
    <definedName name="xxLapso" localSheetId="7">#REF!</definedName>
    <definedName name="xxLapso" localSheetId="18">#REF!</definedName>
    <definedName name="xxLapso" localSheetId="5">#REF!</definedName>
    <definedName name="xxLapso">#REF!</definedName>
    <definedName name="xxLastDate" localSheetId="0">#REF!</definedName>
    <definedName name="xxLastDate" localSheetId="7">#REF!</definedName>
    <definedName name="xxLastDate" localSheetId="18">#REF!</definedName>
    <definedName name="xxLastDate" localSheetId="5">#REF!</definedName>
    <definedName name="xxLastDate">#REF!</definedName>
    <definedName name="xxMercado" localSheetId="0">#REF!</definedName>
    <definedName name="xxMercado" localSheetId="7">#REF!</definedName>
    <definedName name="xxMercado" localSheetId="18">#REF!</definedName>
    <definedName name="xxMercado" localSheetId="5">#REF!</definedName>
    <definedName name="xxMercado">#REF!</definedName>
    <definedName name="xxNumeroDeFechasC1">[24]c1!$N$1</definedName>
    <definedName name="xxNumeroDeFechasC3">[24]c3!$N$1</definedName>
    <definedName name="xxNumeroDeFechasC5">[24]c5!$N$1</definedName>
    <definedName name="xxNumeroDeFechasC6">[24]c6!$N$1</definedName>
    <definedName name="xxNumeroDeFechasC8" localSheetId="0">#REF!</definedName>
    <definedName name="xxNumeroDeFechasC8" localSheetId="7">#REF!</definedName>
    <definedName name="xxNumeroDeFechasC8" localSheetId="18">#REF!</definedName>
    <definedName name="xxNumeroDeFechasC8" localSheetId="5">#REF!</definedName>
    <definedName name="xxNumeroDeFechasC8">#REF!</definedName>
    <definedName name="xxOpcionesFAME">[24]Inputs!$A$2</definedName>
    <definedName name="xxPorcentaje">[61]SERIES!$U$1</definedName>
    <definedName name="xxPromD">[6]SerM!$V$1</definedName>
    <definedName name="xxReal">[24]Titles!$A$32</definedName>
    <definedName name="xxSecundary" localSheetId="0">#REF!</definedName>
    <definedName name="xxSecundary" localSheetId="7">#REF!</definedName>
    <definedName name="xxSecundary" localSheetId="18">#REF!</definedName>
    <definedName name="xxSecundary" localSheetId="5">#REF!</definedName>
    <definedName name="xxSecundary">#REF!</definedName>
    <definedName name="xxSelectBTP1">[6]BTPMS!$O$1</definedName>
    <definedName name="xxSelectCDB1">[6]CDMS!$N$1</definedName>
    <definedName name="xxSufijoEspañol">[24]Titles!$C$22</definedName>
    <definedName name="xxSufijoInglés">[24]Titles!$C$23</definedName>
    <definedName name="xxTC">[40]Empresas!$H$1</definedName>
    <definedName name="xxTolerance" localSheetId="0">#REF!</definedName>
    <definedName name="xxTolerance" localSheetId="7">#REF!</definedName>
    <definedName name="xxTolerance" localSheetId="18">#REF!</definedName>
    <definedName name="xxTolerance" localSheetId="5">#REF!</definedName>
    <definedName name="xxTolerance">#REF!</definedName>
    <definedName name="xxUltimaFechaCuadroDeAFP">[24]Menu!$K$12</definedName>
    <definedName name="xxUltimaFechaCuadroDeAhorro">[24]Menu!$K$7</definedName>
    <definedName name="xxUltimaFechaCuadroDeBolsa">[24]Menu!$K$9</definedName>
    <definedName name="xxUltimaFechaCuadroDeBonos">[24]Menu!$K$9</definedName>
    <definedName name="xxUltimaFechaCuadroDeTasas">[24]Menu!$K$11</definedName>
    <definedName name="xxUltimaFechaDeCuadroAnexo">[24]Menu!$K$14</definedName>
    <definedName name="xxx" localSheetId="0" hidden="1">#REF!</definedName>
    <definedName name="xxx" localSheetId="14" hidden="1">#REF!</definedName>
    <definedName name="xxx" localSheetId="15" hidden="1">#REF!</definedName>
    <definedName name="xxx" localSheetId="16" hidden="1">#REF!</definedName>
    <definedName name="xxx" localSheetId="7" hidden="1">#REF!</definedName>
    <definedName name="xxx" localSheetId="19" hidden="1">#REF!</definedName>
    <definedName name="xxx" localSheetId="22" hidden="1">#REF!</definedName>
    <definedName name="xxx" localSheetId="23" hidden="1">#REF!</definedName>
    <definedName name="xxx" localSheetId="9" hidden="1">#REF!</definedName>
    <definedName name="xxx" localSheetId="11" hidden="1">#REF!</definedName>
    <definedName name="xxx" localSheetId="12" hidden="1">#REF!</definedName>
    <definedName name="xxx" localSheetId="5" hidden="1">#REF!</definedName>
    <definedName name="xxx" localSheetId="13" hidden="1">#REF!</definedName>
    <definedName name="xxx" hidden="1">#REF!</definedName>
    <definedName name="xxxx" localSheetId="0" hidden="1">#REF!</definedName>
    <definedName name="xxxx" localSheetId="14" hidden="1">#REF!</definedName>
    <definedName name="xxxx" localSheetId="15" hidden="1">#REF!</definedName>
    <definedName name="xxxx" localSheetId="16" hidden="1">#REF!</definedName>
    <definedName name="xxxx" localSheetId="7" hidden="1">#REF!</definedName>
    <definedName name="xxxx" localSheetId="19" hidden="1">#REF!</definedName>
    <definedName name="xxxx" localSheetId="22" hidden="1">#REF!</definedName>
    <definedName name="xxxx" localSheetId="23" hidden="1">#REF!</definedName>
    <definedName name="xxxx" localSheetId="9" hidden="1">#REF!</definedName>
    <definedName name="xxxx" localSheetId="11" hidden="1">#REF!</definedName>
    <definedName name="xxxx" localSheetId="12" hidden="1">#REF!</definedName>
    <definedName name="xxxx" localSheetId="5" hidden="1">#REF!</definedName>
    <definedName name="xxxx" localSheetId="13" hidden="1">#REF!</definedName>
    <definedName name="xxxx" hidden="1">#REF!</definedName>
    <definedName name="xxxxxxx" localSheetId="0">#REF!</definedName>
    <definedName name="xxxxxxx" localSheetId="7">#REF!</definedName>
    <definedName name="xxxxxxx" localSheetId="5">#REF!</definedName>
    <definedName name="xxxxxxx">#REF!</definedName>
    <definedName name="xxxxxxxxxxx" localSheetId="0">#REF!</definedName>
    <definedName name="xxxxxxxxxxx" localSheetId="7">#REF!</definedName>
    <definedName name="xxxxxxxxxxx" localSheetId="5">#REF!</definedName>
    <definedName name="xxxxxxxxxxx">#REF!</definedName>
    <definedName name="xxxxxxxxxxxxxx" localSheetId="0">#REF!</definedName>
    <definedName name="xxxxxxxxxxxxxx" localSheetId="7">#REF!</definedName>
    <definedName name="xxxxxxxxxxxxxx" localSheetId="5">#REF!</definedName>
    <definedName name="xxxxxxxxxxxxxx">#REF!</definedName>
    <definedName name="xxxxxxxxxxxxxxxx" localSheetId="0">#REF!</definedName>
    <definedName name="xxxxxxxxxxxxxxxx" localSheetId="7">#REF!</definedName>
    <definedName name="xxxxxxxxxxxxxxxx" localSheetId="5">#REF!</definedName>
    <definedName name="xxxxxxxxxxxxxxxx">#REF!</definedName>
    <definedName name="YieldsDAY">[6]EXT!$A$1:$P$290</definedName>
    <definedName name="YieldsFIN">[6]SerX!$A$18:$Q$31</definedName>
    <definedName name="YieldsPRM">[6]SerX!$A$2:$Q$15</definedName>
    <definedName name="zssdd" localSheetId="0">#REF!</definedName>
    <definedName name="zssdd" localSheetId="7">#REF!</definedName>
    <definedName name="zssdd" localSheetId="18">#REF!</definedName>
    <definedName name="zssdd" localSheetId="5">#REF!</definedName>
    <definedName name="zssdd">#REF!</definedName>
    <definedName name="zzzz" localSheetId="0">[63]PAG_33!#REF!</definedName>
    <definedName name="zzzz" localSheetId="7">[63]PAG_33!#REF!</definedName>
    <definedName name="zzzz" localSheetId="18">[63]PAG_33!#REF!</definedName>
    <definedName name="zzzz" localSheetId="5">[63]PAG_33!#REF!</definedName>
    <definedName name="zzzz">[63]PAG_33!#REF!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24" l="1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AG29" i="14"/>
  <c r="C4" i="10"/>
  <c r="D4" i="10" s="1"/>
  <c r="E4" i="10" s="1"/>
  <c r="F4" i="10" s="1"/>
  <c r="G4" i="10" s="1"/>
  <c r="R19" i="10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W8" i="3" l="1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</calcChain>
</file>

<file path=xl/sharedStrings.xml><?xml version="1.0" encoding="utf-8"?>
<sst xmlns="http://schemas.openxmlformats.org/spreadsheetml/2006/main" count="1491" uniqueCount="491">
  <si>
    <t>2.1.1 EXISTENCIAS DE RECURSOS MINERALES</t>
  </si>
  <si>
    <t>Metal</t>
  </si>
  <si>
    <t>Unidad de Medida</t>
  </si>
  <si>
    <t>2007</t>
  </si>
  <si>
    <t>2008</t>
  </si>
  <si>
    <t>2009</t>
  </si>
  <si>
    <t>2010</t>
  </si>
  <si>
    <t>2011</t>
  </si>
  <si>
    <t>2012</t>
  </si>
  <si>
    <t>2013</t>
  </si>
  <si>
    <t>2014</t>
  </si>
  <si>
    <t>Cobre</t>
  </si>
  <si>
    <t xml:space="preserve"> Miles de TMF</t>
  </si>
  <si>
    <t>Oro</t>
  </si>
  <si>
    <t xml:space="preserve"> TMF</t>
  </si>
  <si>
    <t>Zinc</t>
  </si>
  <si>
    <t>Plata</t>
  </si>
  <si>
    <t>Plomo</t>
  </si>
  <si>
    <t>Hierro</t>
  </si>
  <si>
    <t xml:space="preserve"> Millones de TMF</t>
  </si>
  <si>
    <t>Estaño</t>
  </si>
  <si>
    <t>Molibdeno</t>
  </si>
  <si>
    <t>…</t>
  </si>
  <si>
    <t>TMF: Tonelada métrica fina.</t>
  </si>
  <si>
    <t>2.1.2 PRODUCCIÓN Y COMERCIO DE MINERALES</t>
  </si>
  <si>
    <t xml:space="preserve"> </t>
  </si>
  <si>
    <t xml:space="preserve">  (Toneladas métricas de contenido fino)</t>
  </si>
  <si>
    <t>Departamento</t>
  </si>
  <si>
    <t>Total</t>
  </si>
  <si>
    <t>Arequipa</t>
  </si>
  <si>
    <t>Áncash</t>
  </si>
  <si>
    <t>-</t>
  </si>
  <si>
    <t>Cusco</t>
  </si>
  <si>
    <t>Tacna</t>
  </si>
  <si>
    <t>Junín</t>
  </si>
  <si>
    <t>Moquegua</t>
  </si>
  <si>
    <t>Ica</t>
  </si>
  <si>
    <t>Pasco</t>
  </si>
  <si>
    <t>Lima</t>
  </si>
  <si>
    <t>Cajamarca</t>
  </si>
  <si>
    <t>Huancavelica</t>
  </si>
  <si>
    <t>Puno</t>
  </si>
  <si>
    <t>Huánuco</t>
  </si>
  <si>
    <t>Ayacucho</t>
  </si>
  <si>
    <t>La Libertad</t>
  </si>
  <si>
    <t xml:space="preserve">     (Kilogramos finos)</t>
  </si>
  <si>
    <t>Madre de Dios</t>
  </si>
  <si>
    <t>Apurímac</t>
  </si>
  <si>
    <t>Piura</t>
  </si>
  <si>
    <t>(Toneladas métricas de contenido fino)</t>
  </si>
  <si>
    <t xml:space="preserve">       (Kilogramos finos)</t>
  </si>
  <si>
    <t>Producto / Departamento</t>
  </si>
  <si>
    <t>2002</t>
  </si>
  <si>
    <t xml:space="preserve">2003 </t>
  </si>
  <si>
    <t xml:space="preserve">2004 </t>
  </si>
  <si>
    <t>2005</t>
  </si>
  <si>
    <t>2006</t>
  </si>
  <si>
    <t>2015</t>
  </si>
  <si>
    <t xml:space="preserve"> Ica</t>
  </si>
  <si>
    <t xml:space="preserve"> Puno</t>
  </si>
  <si>
    <t xml:space="preserve"> Arequipa</t>
  </si>
  <si>
    <t xml:space="preserve"> Tacna</t>
  </si>
  <si>
    <t xml:space="preserve"> Áncash</t>
  </si>
  <si>
    <t xml:space="preserve"> Moquegua</t>
  </si>
  <si>
    <t xml:space="preserve"> Apurímac</t>
  </si>
  <si>
    <t xml:space="preserve"> Cusco</t>
  </si>
  <si>
    <t xml:space="preserve"> Junín</t>
  </si>
  <si>
    <t xml:space="preserve">    </t>
  </si>
  <si>
    <t/>
  </si>
  <si>
    <t>Producto</t>
  </si>
  <si>
    <t>Latino-
américa</t>
  </si>
  <si>
    <t>Mundo</t>
  </si>
  <si>
    <t>Cadmio</t>
  </si>
  <si>
    <t>Roca fosfórica</t>
  </si>
  <si>
    <t>Diatomita</t>
  </si>
  <si>
    <t>Indio</t>
  </si>
  <si>
    <t>Andalucita y minerales relacionados</t>
  </si>
  <si>
    <t>Selenio</t>
  </si>
  <si>
    <t>(Toneladas)</t>
  </si>
  <si>
    <t>Productos</t>
  </si>
  <si>
    <t>2000</t>
  </si>
  <si>
    <t>2001</t>
  </si>
  <si>
    <t>Andalucita</t>
  </si>
  <si>
    <t>Andesita</t>
  </si>
  <si>
    <t>Arena</t>
  </si>
  <si>
    <t>Arenisca/Cuarcita</t>
  </si>
  <si>
    <t>Asbesto</t>
  </si>
  <si>
    <t>Baritina</t>
  </si>
  <si>
    <t>Bentonita</t>
  </si>
  <si>
    <t>Borato / Ulexita</t>
  </si>
  <si>
    <t>Calcita</t>
  </si>
  <si>
    <t>Caliza / Dolomita</t>
  </si>
  <si>
    <t>Caolín</t>
  </si>
  <si>
    <t>Carbón</t>
  </si>
  <si>
    <t>Carbón antracita</t>
  </si>
  <si>
    <t>Carbón bituminoso</t>
  </si>
  <si>
    <t>Carbón grafito</t>
  </si>
  <si>
    <t>Conchuela</t>
  </si>
  <si>
    <t>Coquina</t>
  </si>
  <si>
    <t>Cromita</t>
  </si>
  <si>
    <t>Dolomita</t>
  </si>
  <si>
    <t>Feldespato</t>
  </si>
  <si>
    <t>Fosfato</t>
  </si>
  <si>
    <t>Granate</t>
  </si>
  <si>
    <t>Granito</t>
  </si>
  <si>
    <t>Granodiorita ornamental</t>
  </si>
  <si>
    <t>Hormigón</t>
  </si>
  <si>
    <t>Limonita / Ocre</t>
  </si>
  <si>
    <t>Mármol</t>
  </si>
  <si>
    <t>Mica</t>
  </si>
  <si>
    <t>Micro-silice</t>
  </si>
  <si>
    <t>Ónix</t>
  </si>
  <si>
    <t>Piedra (Construcción)</t>
  </si>
  <si>
    <t>Piedra laja</t>
  </si>
  <si>
    <t>Piedra pómez</t>
  </si>
  <si>
    <t>Piedra / Hormigón</t>
  </si>
  <si>
    <t>Pirofilita</t>
  </si>
  <si>
    <t>Pizarra</t>
  </si>
  <si>
    <t>Puzolana</t>
  </si>
  <si>
    <t>Roca Fosfórica</t>
  </si>
  <si>
    <t>Sal</t>
  </si>
  <si>
    <t>Salmuera (líquido)</t>
  </si>
  <si>
    <t>Sílice</t>
  </si>
  <si>
    <t>Sillar</t>
  </si>
  <si>
    <t>Sulfato de calcio</t>
  </si>
  <si>
    <t>Sulfato</t>
  </si>
  <si>
    <t>Talco</t>
  </si>
  <si>
    <t>Travertino</t>
  </si>
  <si>
    <t>Yeso</t>
  </si>
  <si>
    <t>Año</t>
  </si>
  <si>
    <t>(Miles de onza troy)</t>
  </si>
  <si>
    <t>refinada</t>
  </si>
  <si>
    <t>(Miles t)</t>
  </si>
  <si>
    <t>(Millones</t>
  </si>
  <si>
    <t>(Millones t)</t>
  </si>
  <si>
    <t>onza troy)</t>
  </si>
  <si>
    <t>2003</t>
  </si>
  <si>
    <t>2016</t>
  </si>
  <si>
    <t>2017</t>
  </si>
  <si>
    <t>2018</t>
  </si>
  <si>
    <t>t = tonelada.</t>
  </si>
  <si>
    <t>Fuente: Banco Central de Reserva del Perú (BCR).</t>
  </si>
  <si>
    <t xml:space="preserve">   "Libro Anual de Reservas de Hidrocarburos 2015",</t>
  </si>
  <si>
    <t>Recursos prospectivos</t>
  </si>
  <si>
    <t>Recursos contingentes</t>
  </si>
  <si>
    <t>Reservas posibles</t>
  </si>
  <si>
    <t>Reservas probables</t>
  </si>
  <si>
    <t>Reservas probadas</t>
  </si>
  <si>
    <t>Categoría</t>
  </si>
  <si>
    <t xml:space="preserve">  (Miles de barriles)</t>
  </si>
  <si>
    <t>2.2.1 EXISTENCIA DE RECURSOS ENERGÉTICOS</t>
  </si>
  <si>
    <t>2.2.2 PRODUCCIÓN, COMERCIO Y CONSUMO DE ENERGÍA</t>
  </si>
  <si>
    <t>Fuente: PERUPETRO S.A. - Gerencia de Planeamiento y Control de Gestión.</t>
  </si>
  <si>
    <t>MBLS: Miles de barriles.</t>
  </si>
  <si>
    <t>MMPC: Millones de pies cúbicos.</t>
  </si>
  <si>
    <t>MBLS</t>
  </si>
  <si>
    <t>Producción de petróleo crudo</t>
  </si>
  <si>
    <t>MMPC</t>
  </si>
  <si>
    <t xml:space="preserve">Unidad de Medida </t>
  </si>
  <si>
    <t>Hidrocarburos</t>
  </si>
  <si>
    <t>Líquidos de gas natural</t>
  </si>
  <si>
    <t>Petróleo crudo</t>
  </si>
  <si>
    <t>Hidrocarburos Líquidos</t>
  </si>
  <si>
    <t>Componente</t>
  </si>
  <si>
    <t xml:space="preserve">    (Barriles)    </t>
  </si>
  <si>
    <t xml:space="preserve">Agropecuario </t>
  </si>
  <si>
    <t>Público</t>
  </si>
  <si>
    <t>Industrial</t>
  </si>
  <si>
    <t>Transportes</t>
  </si>
  <si>
    <t>(Terajoule)</t>
  </si>
  <si>
    <t>Bunker</t>
  </si>
  <si>
    <t>Turbo</t>
  </si>
  <si>
    <t>Petróleo industrial</t>
  </si>
  <si>
    <t>Leña</t>
  </si>
  <si>
    <t>GNV</t>
  </si>
  <si>
    <t>GLP</t>
  </si>
  <si>
    <t>Gas industrial</t>
  </si>
  <si>
    <t>Coque</t>
  </si>
  <si>
    <t>Carbón vegetal</t>
  </si>
  <si>
    <t>Carbón mineral</t>
  </si>
  <si>
    <t>Bagazo</t>
  </si>
  <si>
    <t>Tipo de combustible</t>
  </si>
  <si>
    <t>Petróleo 
industrial</t>
  </si>
  <si>
    <t xml:space="preserve">Gasolina/ 
Gasohol </t>
  </si>
  <si>
    <t>Gasolina
motor</t>
  </si>
  <si>
    <t>Diesel/
Diesel 
B2 (B5)</t>
  </si>
  <si>
    <t xml:space="preserve">    (Terajoule)</t>
  </si>
  <si>
    <t>Carbón 
mineral</t>
  </si>
  <si>
    <t xml:space="preserve"> (Terajoule)</t>
  </si>
  <si>
    <t>Carbón 
vegetal</t>
  </si>
  <si>
    <t xml:space="preserve">  (Terajoule)</t>
  </si>
  <si>
    <t>Gas 
natural</t>
  </si>
  <si>
    <t xml:space="preserve">       (Terajoule)</t>
  </si>
  <si>
    <t xml:space="preserve">         (Terajoule)</t>
  </si>
  <si>
    <t>Electricidad</t>
  </si>
  <si>
    <t>Gas natural</t>
  </si>
  <si>
    <t>Energía secundaria</t>
  </si>
  <si>
    <t>No energéticos</t>
  </si>
  <si>
    <t>Solar</t>
  </si>
  <si>
    <t>Bosta/Yareta</t>
  </si>
  <si>
    <t>Energía primaria</t>
  </si>
  <si>
    <t>Tipo de fuente</t>
  </si>
  <si>
    <t xml:space="preserve">2014 </t>
  </si>
  <si>
    <t xml:space="preserve">2013 </t>
  </si>
  <si>
    <t>Intensidad energética</t>
  </si>
  <si>
    <t>(Terajoule/PBI en millones US$ 2010)</t>
  </si>
  <si>
    <t>Factores de conversión: Hidroenergía 4.5 TJ/GWh; Electricidad  3.6 TJ/GWh.</t>
  </si>
  <si>
    <t>1995</t>
  </si>
  <si>
    <t>Hidroeléctrica</t>
  </si>
  <si>
    <t>Eléctrica</t>
  </si>
  <si>
    <t>Producción de energía</t>
  </si>
  <si>
    <t>Fuente:  Ministerio de Energía y Minas (MINEM).</t>
  </si>
  <si>
    <t>Térmica</t>
  </si>
  <si>
    <t>Hidráulica</t>
  </si>
  <si>
    <t>Eólica</t>
  </si>
  <si>
    <t>Uso propio</t>
  </si>
  <si>
    <t>Mercado eléctrico</t>
  </si>
  <si>
    <t>Generación</t>
  </si>
  <si>
    <t xml:space="preserve">  (Megawatt)</t>
  </si>
  <si>
    <t>Fuente: Ministerio de Energía y Minas (MINEM).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</si>
  <si>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</si>
  <si>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</si>
  <si>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</si>
  <si>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</si>
  <si>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</si>
  <si>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</si>
  <si>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</si>
  <si>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</si>
  <si>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</si>
  <si>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Empresas de servicio privado</t>
  </si>
  <si>
    <t>Empresas de servicio público</t>
  </si>
  <si>
    <t>Tipo de Generación</t>
  </si>
  <si>
    <t>(Gigawatts hora)</t>
  </si>
  <si>
    <t xml:space="preserve">  Ucayali</t>
  </si>
  <si>
    <t xml:space="preserve">  Tumbes</t>
  </si>
  <si>
    <t xml:space="preserve">  Tacna</t>
  </si>
  <si>
    <t xml:space="preserve">  San Martín</t>
  </si>
  <si>
    <t xml:space="preserve">  Puno</t>
  </si>
  <si>
    <t xml:space="preserve">  Piura</t>
  </si>
  <si>
    <t xml:space="preserve">  Pasco</t>
  </si>
  <si>
    <t xml:space="preserve">  Moquegua</t>
  </si>
  <si>
    <t xml:space="preserve">  Madre de Dios</t>
  </si>
  <si>
    <t xml:space="preserve">  Loreto</t>
  </si>
  <si>
    <t xml:space="preserve">  Lima</t>
  </si>
  <si>
    <t xml:space="preserve">  Lambayeque</t>
  </si>
  <si>
    <t xml:space="preserve">  La Libertad</t>
  </si>
  <si>
    <t xml:space="preserve">  Junín</t>
  </si>
  <si>
    <t xml:space="preserve">  Ica</t>
  </si>
  <si>
    <t xml:space="preserve">  Huánuco</t>
  </si>
  <si>
    <t xml:space="preserve">  Huancavelica</t>
  </si>
  <si>
    <t xml:space="preserve">  Cusco</t>
  </si>
  <si>
    <t xml:space="preserve">  Cajamarca</t>
  </si>
  <si>
    <t xml:space="preserve">  Ayacucho</t>
  </si>
  <si>
    <t xml:space="preserve">  Arequipa</t>
  </si>
  <si>
    <t xml:space="preserve">  Apurímac</t>
  </si>
  <si>
    <t xml:space="preserve">  Áncash</t>
  </si>
  <si>
    <t xml:space="preserve">  Amazonas</t>
  </si>
  <si>
    <t xml:space="preserve">  Total</t>
  </si>
  <si>
    <t xml:space="preserve">        (Gigawatt hora)</t>
  </si>
  <si>
    <t>ENERGÍA EÓLICA</t>
  </si>
  <si>
    <t>Termoselva S.R.L.</t>
  </si>
  <si>
    <t xml:space="preserve">Termochilca S.A. </t>
  </si>
  <si>
    <t xml:space="preserve">Sindicato Energético S.A. (Sinersa) </t>
  </si>
  <si>
    <t>Shougang Generación Eléctrica S.A.A. (Shougesa)</t>
  </si>
  <si>
    <t>SDF Energía S.A.C.</t>
  </si>
  <si>
    <t>Kallpa Generación S.A.</t>
  </si>
  <si>
    <t>Hidroeléctrica Santa Cruz S.A.C.</t>
  </si>
  <si>
    <t>Fénix Power Perú S.A.</t>
  </si>
  <si>
    <t>Empresa de Generación Termoeléctrica Ventanilla S.A.</t>
  </si>
  <si>
    <t>Empresa de Generación Eléctrica San Gabán S.A.</t>
  </si>
  <si>
    <t>Empresa de Generación Eléctrica Machupicchu S.A. (Egemsa)</t>
  </si>
  <si>
    <t>Empresa de Generación Eléctrica del Sur S.A. (Egesur)</t>
  </si>
  <si>
    <t>Empresa de Generación Eléctrica de Arequipa S.A. (Egasa)</t>
  </si>
  <si>
    <t>Electroperú S.A.</t>
  </si>
  <si>
    <t>Electrocentro S.A.</t>
  </si>
  <si>
    <t>Electro Ucayali S.A.</t>
  </si>
  <si>
    <t>Electro Sur Este S.A.A.</t>
  </si>
  <si>
    <t>Electro Oriente S.A.</t>
  </si>
  <si>
    <t>Compañía Eléctrica El Platanal S.A. (Celepsa)</t>
  </si>
  <si>
    <t>Chinango S.A.C.</t>
  </si>
  <si>
    <t>Empresa</t>
  </si>
  <si>
    <t xml:space="preserve">            (Gigawatts hora)</t>
  </si>
  <si>
    <t>Samay I S.A.</t>
  </si>
  <si>
    <t>Lambayeque</t>
  </si>
  <si>
    <t>Reserva Fría Eten</t>
  </si>
  <si>
    <t>R. Fría P. Maldonado</t>
  </si>
  <si>
    <t>Ucayali</t>
  </si>
  <si>
    <t>R. Fría Pucallpa</t>
  </si>
  <si>
    <t>Infraestructura y Energías del Perú S.A.C.</t>
  </si>
  <si>
    <t>Reserva Fría Ilo</t>
  </si>
  <si>
    <t>R. Fría Malacas III</t>
  </si>
  <si>
    <t>Enel Generación Piura S.A. (antes Emp. Eléctrica de Piura S.A.)</t>
  </si>
  <si>
    <t>De Reserva Fría</t>
  </si>
  <si>
    <t>Loreto</t>
  </si>
  <si>
    <t>Iquitos Nueva</t>
  </si>
  <si>
    <t>Malacas II</t>
  </si>
  <si>
    <t>Enel Generación Piura S.A. (antes Empresa Eléctrica de Piura S.A.)</t>
  </si>
  <si>
    <t>Ilo  II</t>
  </si>
  <si>
    <t>Recka</t>
  </si>
  <si>
    <t>Sociedad Minera Cerro Verde S.A.</t>
  </si>
  <si>
    <t>Las Flores</t>
  </si>
  <si>
    <t>Aguaytia</t>
  </si>
  <si>
    <t>St. Domingo de los Olleros</t>
  </si>
  <si>
    <t>Termochilca S.A.C.</t>
  </si>
  <si>
    <t>Enel Generación Perú (antes Edegel S.A.A.)</t>
  </si>
  <si>
    <t>De Ciclo Convencional</t>
  </si>
  <si>
    <t>Chilina</t>
  </si>
  <si>
    <t>Ventanilla</t>
  </si>
  <si>
    <t>Fénix</t>
  </si>
  <si>
    <t>Chilca 1</t>
  </si>
  <si>
    <t>Kallpa</t>
  </si>
  <si>
    <t>De Ciclo Combinado</t>
  </si>
  <si>
    <t>Principales centrales térmicas</t>
  </si>
  <si>
    <t>Huanza</t>
  </si>
  <si>
    <t>Empresa de Generación Huanza S.A.</t>
  </si>
  <si>
    <t xml:space="preserve">Chaglla </t>
  </si>
  <si>
    <t>Emp. de Generación Eléctrica Huallaga S. A.</t>
  </si>
  <si>
    <t>Cerro del Águila</t>
  </si>
  <si>
    <t>Kallpa Generación S.A. (antes Cerro del Águila)</t>
  </si>
  <si>
    <t>Santa Teresa</t>
  </si>
  <si>
    <t>Inland Energy S.A.C. (hasta enero Luz del Sur)</t>
  </si>
  <si>
    <t>Yaupi</t>
  </si>
  <si>
    <t>Cheves</t>
  </si>
  <si>
    <t>Statkraft Perú S.A. (antes SN Power Perú S.A.)</t>
  </si>
  <si>
    <t>San Gabán II</t>
  </si>
  <si>
    <t>Quitaracsa</t>
  </si>
  <si>
    <t>Yuncán</t>
  </si>
  <si>
    <t xml:space="preserve">Engie Energía Perú S.A. (antes Energía del Sur S.A.-Enersur) </t>
  </si>
  <si>
    <t xml:space="preserve">Charcani </t>
  </si>
  <si>
    <t>Carhuaquero</t>
  </si>
  <si>
    <t>Cañón del Pato</t>
  </si>
  <si>
    <t>Orazul Energy Egenor S en C por A. (antes Egenor)</t>
  </si>
  <si>
    <t>Chimay</t>
  </si>
  <si>
    <t>Platanal</t>
  </si>
  <si>
    <t>Machupicchu</t>
  </si>
  <si>
    <t>Matucana</t>
  </si>
  <si>
    <t>Huinco</t>
  </si>
  <si>
    <t>Restitución</t>
  </si>
  <si>
    <t>Antúnez de Mayolo</t>
  </si>
  <si>
    <t>Principales centrales hidráulicas</t>
  </si>
  <si>
    <t>% P.B.</t>
  </si>
  <si>
    <t>(GW.h)</t>
  </si>
  <si>
    <t>% P.I.</t>
  </si>
  <si>
    <t>(MW)</t>
  </si>
  <si>
    <t>Producción</t>
  </si>
  <si>
    <t>Potencia instalada</t>
  </si>
  <si>
    <t>Central eléctrica</t>
  </si>
  <si>
    <t>2019</t>
  </si>
  <si>
    <t>Residencial</t>
  </si>
  <si>
    <t>Comercial</t>
  </si>
  <si>
    <t>Gas Licuado de Petróleo</t>
  </si>
  <si>
    <t>Bosta/yareta</t>
  </si>
  <si>
    <t>Tipo</t>
  </si>
  <si>
    <t>Total energía</t>
  </si>
  <si>
    <t>Gas licuado de petróleo</t>
  </si>
  <si>
    <t>2020 P/</t>
  </si>
  <si>
    <t>Arcilla</t>
  </si>
  <si>
    <t>Silicato</t>
  </si>
  <si>
    <t>Anuario Minero del Perú 1999</t>
  </si>
  <si>
    <t>Anuario Minero del Perú 2000</t>
  </si>
  <si>
    <t>Perú Anuario Minero 2010</t>
  </si>
  <si>
    <t>Perú Anuario Minero 2011</t>
  </si>
  <si>
    <t>Gas licuado 
de petróleo</t>
  </si>
  <si>
    <t>Pesca</t>
  </si>
  <si>
    <t>Minería</t>
  </si>
  <si>
    <t>o concesión de generación, cuya producción de energía eléctrica  está destinada a su autoabastecimiento.</t>
  </si>
  <si>
    <t>Empresa de Generación Electrica Machupicchu S.A. (Egemsa)</t>
  </si>
  <si>
    <t>Santa Rosa</t>
  </si>
  <si>
    <t>Planta de Reserva Fría de Generación Etén S.A.</t>
  </si>
  <si>
    <t>Genrent del Peru S.A.C.</t>
  </si>
  <si>
    <t>Fuente: Ministerio de Energía y Minas (MINEM) - Dirección General de Promoción y Sostenibilidad Minera (DGPSM).</t>
  </si>
  <si>
    <t>Fuente: Ministerio de Energía y Minas (MINEM) - Dirección General de Hidrocarburos (DGH).</t>
  </si>
  <si>
    <t>Fuente: Ministerio de Energía y Minas (MINEM) - Dirección General de Eficiencia Energética (DGEE).</t>
  </si>
  <si>
    <r>
      <t>Reserva minera</t>
    </r>
    <r>
      <rPr>
        <sz val="8"/>
        <rFont val="Arial Narrow"/>
        <family val="2"/>
      </rPr>
      <t>: Se considera reserva minera de una mina a la suma de mineral probado y probable existente en ella, y que es económicamente explotable.</t>
    </r>
  </si>
  <si>
    <r>
      <t>Reserva de mineral probado</t>
    </r>
    <r>
      <rPr>
        <sz val="8"/>
        <rFont val="Arial Narrow"/>
        <family val="2"/>
      </rPr>
      <t>: Es el mineral ubicado con certeza, en donde casi no existe riesgo por falta de continuidad.</t>
    </r>
  </si>
  <si>
    <r>
      <t>Reserva de mineral probable</t>
    </r>
    <r>
      <rPr>
        <sz val="8"/>
        <rFont val="Arial Narrow"/>
        <family val="2"/>
      </rPr>
      <t>: Son reservas cuya continuidad puede inferirse con algún riesgo, en base a características geológicas conocidas.</t>
    </r>
  </si>
  <si>
    <r>
      <rPr>
        <vertAlign val="superscript"/>
        <sz val="8"/>
        <rFont val="Arial Narrow"/>
        <family val="2"/>
      </rPr>
      <t xml:space="preserve">1/ </t>
    </r>
    <r>
      <rPr>
        <sz val="8"/>
        <rFont val="Arial Narrow"/>
        <family val="2"/>
      </rPr>
      <t>Incluye contenido de plata.</t>
    </r>
  </si>
  <si>
    <r>
      <rPr>
        <b/>
        <sz val="8"/>
        <rFont val="Arial Narrow"/>
        <family val="2"/>
      </rPr>
      <t>Reservas,</t>
    </r>
    <r>
      <rPr>
        <sz val="8"/>
        <rFont val="Arial Narrow"/>
        <family val="2"/>
      </rPr>
      <t xml:space="preserve"> son aquellas cantidades de petróleo y gas natural que se anticipan como recuperables comercialmente mediante proyectos de desarrollo en acumulaciones conocidas, desde una fecha en adelante, bajo condiciones definidas. Las reservas deben además satisfacer cuatro criterios: deben haber sido descubiertas, ser recuperables, ser comerciales y estar remanentes (a la fecha de evaluación) basados en los proyectos de desarrollo aplicados.</t>
    </r>
    <r>
      <rPr>
        <b/>
        <sz val="6"/>
        <rFont val="Arial Narrow"/>
        <family val="2"/>
      </rPr>
      <t/>
    </r>
  </si>
  <si>
    <r>
      <rPr>
        <b/>
        <sz val="8"/>
        <rFont val="Arial Narrow"/>
        <family val="2"/>
      </rPr>
      <t>Recursos Contingentes,</t>
    </r>
    <r>
      <rPr>
        <sz val="8"/>
        <rFont val="Arial Narrow"/>
        <family val="2"/>
      </rPr>
      <t xml:space="preserve"> son aquellas cantidades estimadas de petróleo y gas natural, a una fecha dada, a ser potencialmente recuperables  de acumulaciones conocidas, pero los proyectos que pudieran ser aplicados aún no se consideran lo suficientemente maduros para un desarrollo comercial, debido a una o más contingencias.</t>
    </r>
  </si>
  <si>
    <r>
      <rPr>
        <b/>
        <sz val="8"/>
        <rFont val="Arial Narrow"/>
        <family val="2"/>
      </rPr>
      <t>Recursos Prospectivos,</t>
    </r>
    <r>
      <rPr>
        <sz val="8"/>
        <rFont val="Arial Narrow"/>
        <family val="2"/>
      </rPr>
      <t xml:space="preserve"> son aquellas cantidades de petróleo y gas natural estimadas, a una fecha dada, a ser potencialmente recuperables de acumulaciones aún no descubiertas.</t>
    </r>
  </si>
  <si>
    <r>
      <rPr>
        <b/>
        <sz val="8"/>
        <rFont val="Arial Narrow"/>
        <family val="2"/>
      </rPr>
      <t>Producción fiscalizada:</t>
    </r>
    <r>
      <rPr>
        <sz val="8"/>
        <rFont val="Arial Narrow"/>
        <family val="2"/>
      </rPr>
      <t xml:space="preserve"> Hidrocarburos provenientes de determinada área, producidos y medidos bajo términos y condiciones, acordados en cada contrato celebrado por Perupetro S.A. y las empresas contratistas.</t>
    </r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</si>
  <si>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Los totales pueden diferir por efecto de redondeo.</t>
    </r>
  </si>
  <si>
    <r>
      <t>Terajoule (TJ):</t>
    </r>
    <r>
      <rPr>
        <sz val="8"/>
        <rFont val="Arial Narrow"/>
        <family val="2"/>
      </rPr>
      <t xml:space="preserve"> Unidad de medida equivalente a 1 x 10</t>
    </r>
    <r>
      <rPr>
        <vertAlign val="superscript"/>
        <sz val="8"/>
        <rFont val="Arial Narrow"/>
        <family val="2"/>
      </rPr>
      <t>12</t>
    </r>
    <r>
      <rPr>
        <sz val="8"/>
        <rFont val="Arial Narrow"/>
        <family val="2"/>
      </rPr>
      <t xml:space="preserve"> joule.</t>
    </r>
  </si>
  <si>
    <r>
      <rPr>
        <vertAlign val="superscript"/>
        <sz val="8"/>
        <rFont val="Arial Narrow"/>
        <family val="2"/>
      </rPr>
      <t xml:space="preserve">1/ </t>
    </r>
    <r>
      <rPr>
        <sz val="8"/>
        <rFont val="Arial Narrow"/>
        <family val="2"/>
      </rPr>
      <t xml:space="preserve">El D.S. Nº 021-2007-EM establece el uso obligatorio de gasohol a partir del 01 de enero de 2010.	</t>
    </r>
  </si>
  <si>
    <r>
      <rPr>
        <vertAlign val="superscript"/>
        <sz val="8"/>
        <rFont val="Arial Narrow"/>
        <family val="2"/>
      </rPr>
      <t>2/</t>
    </r>
    <r>
      <rPr>
        <sz val="8"/>
        <rFont val="Arial Narrow"/>
        <family val="2"/>
      </rPr>
      <t xml:space="preserve"> El D.S. Nº 025-2010-EM establece la ampliación del plazo de comercialización de kerosene hasta el año 2010. Siendo eliminado totalmente durante el año 2011.</t>
    </r>
  </si>
  <si>
    <r>
      <rPr>
        <vertAlign val="superscript"/>
        <sz val="8"/>
        <rFont val="Arial Narrow"/>
        <family val="2"/>
      </rPr>
      <t>3/</t>
    </r>
    <r>
      <rPr>
        <sz val="8"/>
        <rFont val="Arial Narrow"/>
        <family val="2"/>
      </rPr>
      <t xml:space="preserve"> El D.S. Nº 021-2007-EM y sus modificaciones establece la comercialización del diésel B2 a partir del 2009, y la obligatoriedad en todo el país de diesel B5 desde el 1 de enero de 2011.</t>
    </r>
  </si>
  <si>
    <r>
      <t xml:space="preserve">Nota: </t>
    </r>
    <r>
      <rPr>
        <sz val="8"/>
        <rFont val="Arial Narrow"/>
        <family val="2"/>
      </rPr>
      <t>Los totales pueden diferir por efecto de redondeo.</t>
    </r>
  </si>
  <si>
    <r>
      <rPr>
        <vertAlign val="superscript"/>
        <sz val="8"/>
        <rFont val="Arial Narrow"/>
        <family val="2"/>
      </rPr>
      <t xml:space="preserve">1/ </t>
    </r>
    <r>
      <rPr>
        <sz val="8"/>
        <rFont val="Arial Narrow"/>
        <family val="2"/>
      </rPr>
      <t>El D.S. Nº 025-2010-EM establece la ampliación del plazo de comercialización de kerosene hasta el año 2010. Siendo eliminado totalmente durante el año 2011.</t>
    </r>
  </si>
  <si>
    <r>
      <rPr>
        <vertAlign val="superscript"/>
        <sz val="8"/>
        <rFont val="Arial Narrow"/>
        <family val="2"/>
      </rPr>
      <t>2/</t>
    </r>
    <r>
      <rPr>
        <sz val="8"/>
        <rFont val="Arial Narrow"/>
        <family val="2"/>
      </rPr>
      <t xml:space="preserve"> El D.S. Nº 021-2007-EM y sus modificaciones establece la comercialización del diésel B2 a partir del 2009, y la obligatoriedad en todo el país de diesel B5 desde el 1 de enero de 2011.</t>
    </r>
  </si>
  <si>
    <r>
      <t>Nota:</t>
    </r>
    <r>
      <rPr>
        <sz val="8"/>
        <rFont val="Arial Narrow"/>
        <family val="2"/>
      </rPr>
      <t xml:space="preserve"> Los combustibles que se importan son petróleo, carbón mineral y sus derivados.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</si>
  <si>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La potencia instalada es la capacidad de generación de energía existente. Los totales y sub totales pueden diferir por efecto de redondeo.</t>
    </r>
  </si>
  <si>
    <r>
      <t>Empresa de servicio público</t>
    </r>
    <r>
      <rPr>
        <sz val="8"/>
        <rFont val="Arial Narrow"/>
        <family val="2"/>
      </rPr>
      <t>: Aquella que produce energía eléctrica destinada al mercado libre o regulado.</t>
    </r>
  </si>
  <si>
    <r>
      <t>Empresa de servicio privado</t>
    </r>
    <r>
      <rPr>
        <sz val="8"/>
        <rFont val="Arial Narrow"/>
        <family val="2"/>
      </rPr>
      <t xml:space="preserve">: Aquella dedicada a una actividad comercial, industrial o agrícola, entre otras, que cuenta con una autorización </t>
    </r>
  </si>
  <si>
    <r>
      <t>Generación hidráulica</t>
    </r>
    <r>
      <rPr>
        <sz val="8"/>
        <rFont val="Arial Narrow"/>
        <family val="2"/>
      </rPr>
      <t>: Es aquella que utiliza el agua como recurso primario para producir electricidad.</t>
    </r>
  </si>
  <si>
    <r>
      <t>Generación térmica</t>
    </r>
    <r>
      <rPr>
        <sz val="8"/>
        <rFont val="Arial Narrow"/>
        <family val="2"/>
      </rPr>
      <t>: Es aquella que utiliza combustibles fósiles, geotermia, carbón, bagazo, entre otros, para producir electricidad.</t>
    </r>
  </si>
  <si>
    <r>
      <t>Generación eólica</t>
    </r>
    <r>
      <rPr>
        <sz val="8"/>
        <rFont val="Arial Narrow"/>
        <family val="2"/>
      </rPr>
      <t>: Es aquella que utiliza el aire como recurso primario para producir electricidad.</t>
    </r>
  </si>
  <si>
    <r>
      <t>Generación solar</t>
    </r>
    <r>
      <rPr>
        <sz val="8"/>
        <rFont val="Arial Narrow"/>
        <family val="2"/>
      </rPr>
      <t>: Es aquella que utiliza la luz solar como recurso primario para producir electricidad.</t>
    </r>
  </si>
  <si>
    <r>
      <rPr>
        <vertAlign val="superscript"/>
        <sz val="8"/>
        <rFont val="Arial Narrow"/>
        <family val="2"/>
      </rPr>
      <t>1/</t>
    </r>
    <r>
      <rPr>
        <sz val="8"/>
        <rFont val="Arial Narrow"/>
        <family val="2"/>
      </rPr>
      <t xml:space="preserve"> Provincia Constitucional.</t>
    </r>
  </si>
  <si>
    <t>1. RESERVAS MINERAS PROBADAS Y PROBABLES DE PRINCIPALES METALES, 2009-2020</t>
  </si>
  <si>
    <t>1.     PRODUCCIÓN DE COBRE, SEGÚN DEPARTAMENTO, 2013-2021</t>
  </si>
  <si>
    <t>2.  PRODUCCIÓN DE ORO, SEGÚN DEPARTAMENTO, 2013-2021</t>
  </si>
  <si>
    <t>2021 P/</t>
  </si>
  <si>
    <t>3.   PRODUCCIÓN DE ZINC, SEGÚN DEPARTAMENTO, 2013-2021</t>
  </si>
  <si>
    <t>4.    PRODUCCIÓN DE PLATA, SEGÚN DEPARTAMENTO, 2013-2021</t>
  </si>
  <si>
    <t>5.    PRODUCCIÓN DE PLOMO, SEGÚN DEPARTAMENTO, 2013-2021</t>
  </si>
  <si>
    <t>6.  PRODUCCIÓN DE HIERRO, ESTAÑO Y MOLIBDENO, SEGÚN DEPARTAMENTO, 2013-2021</t>
  </si>
  <si>
    <t>7.    UBICACIÓN DEL PERÚ EN EL RANKING MUNDIAL DE PRODUCCIÓN MINERA, 2017-2021</t>
  </si>
  <si>
    <t>8.   PRODUCCIÓN MINERA NO METÁLICA, SEGÚN PRINCIPALES PRODUCTOS, 2012-2021</t>
  </si>
  <si>
    <t>9.   VOLUMEN DE EXPORTACIÓN DE PRINCIPALES PRODUCTOS METÁLICOS, 2006-2021</t>
  </si>
  <si>
    <t>3. PRODUCCIÓN DE HIDROCARBUROS LÍQUIDOS, 2013-2021</t>
  </si>
  <si>
    <t>2.  PRODUCCIÓN FISCALIZADA DE GAS NATURAL Y PRODUCCIÓN DE PETRÓLEO CRUDO, 2013-2021</t>
  </si>
  <si>
    <t>2020</t>
  </si>
  <si>
    <t>16.  POTENCIA INSTALADA, POR TIPO DE GENERACIÓN Y DESTINO, 2001-2021</t>
  </si>
  <si>
    <t>17. PRODUCCIÓN DE ENERGÍA ELÉCTRICA POR TIPO DE GENERACIÓN Y PRODUCTOR, 2001-2021</t>
  </si>
  <si>
    <t>18. PRODUCCIÓN DE ENERGÍA ELÉCTRICA POR TIPO DE GENERACIÓN,
  SEGÚN DEPARTAMENTO, 2021</t>
  </si>
  <si>
    <t>19. PRODUCCIÓN DE ENERGÍA ELÉCTRICA DE SERVICIO PÚBLICO, SEGÚN EMPRESA, 2011-2021</t>
  </si>
  <si>
    <t>1. EXTRACCIÓN DE CARBÓN, 2012-2021</t>
  </si>
  <si>
    <t xml:space="preserve">   "Libro Anual de Recursos de Hidrocarburos 2016, 2017, 2018 y 2019".</t>
  </si>
  <si>
    <t>2.  RESERVAS Y RECURSOS DE LÍQUIDOS DE GAS NATURAL, 2011-2019</t>
  </si>
  <si>
    <t>1.   RESERVAS Y RECURSOS DE PETRÓLEO CRUDO, SEGÚN CATEGORÍA, 2011-2019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</si>
  <si>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Los totales pueden diferir por efectos de redondeo. Información disponible al 19-05-2022.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</si>
  <si>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Los totales pueden diferir por efectos de redondeo. Información preliminar disponible al 19-05-2022.</t>
    </r>
  </si>
  <si>
    <t>Empresa de Electricidad de los Andes S.A. (*)</t>
  </si>
  <si>
    <t>Empresa de Generación Eléctrica Cahua S.A. (*)</t>
  </si>
  <si>
    <t>Sociedad Minera Corona S.A. (*)</t>
  </si>
  <si>
    <t>Statkraft Perú S.A. (antes SN Power Perú)</t>
  </si>
  <si>
    <r>
      <t xml:space="preserve">Nota: </t>
    </r>
    <r>
      <rPr>
        <sz val="8"/>
        <rFont val="Arial Narrow"/>
        <family val="2"/>
      </rPr>
      <t>Los totales pueden diferir por efectos de redondeo. Información disponible al 19-05-2022.</t>
    </r>
  </si>
  <si>
    <t>(*) Sin actividad.</t>
  </si>
  <si>
    <t xml:space="preserve">1/ Las unidades de Cerro del Águila pasaron a Kallpa Generación durante el año 2017. </t>
  </si>
  <si>
    <t>3/ Inicia sus operaciones en el año 2017; producción en etapa de prueba.</t>
  </si>
  <si>
    <t>2/ En junio de 2006, la central térmica de Ventanilla fue absorbida por la empresa EDEGEL S.A. Tiene nueva razón social Enel Generación Perú (antes Edegel).</t>
  </si>
  <si>
    <t>4/ Cambió de razón social Enel Generación Piura (antes Electro Piura), Engie Energía Perú (antes Enersur) y Orazul Energy Perú (antes Egenor).</t>
  </si>
  <si>
    <t>5/ Incluye la producción de municipios y empresas asociadas e integrantes del Comité de Operación Económica del Sistema Interconectado Nacional.</t>
  </si>
  <si>
    <t>Ubicación (Departamento)</t>
  </si>
  <si>
    <t xml:space="preserve">Engie Energía Perú S.A. (antes Energía </t>
  </si>
  <si>
    <t>Reserva Fría Nepi</t>
  </si>
  <si>
    <t>1/ Incluye potencia y producción de las centrales hidroelectricas Charcani I, II, III, IV, V, VI.</t>
  </si>
  <si>
    <t xml:space="preserve">   % P.I. Es el porcentaje respecto a la potencia instalada nacional total 2021.</t>
  </si>
  <si>
    <t xml:space="preserve">   % P.B. Es el porcentaje respecto a la producción de energía nacional total 2021.</t>
  </si>
  <si>
    <t xml:space="preserve">        </t>
  </si>
  <si>
    <t>20.  PRINCIPALES CENTRALES ELÉCTRICAS, SEGÚN TIPO Y EMPRESA GENERADORA, 2021</t>
  </si>
  <si>
    <t>4. CONSUMO DE COMBUSTIBLES TRADICIONALES POR SECTORES, 2001-2020</t>
  </si>
  <si>
    <t>15.  PRINCIPALES INDICADORES DE ENERGÍA ELÉCTRICA E HIDROENERGÍA, 2001-2020</t>
  </si>
  <si>
    <t>5.  CONSUMO DE COMBUSTIBLES TRADICIONALES, SEGÚN TIPO, 2001-2020</t>
  </si>
  <si>
    <t>6.   CONSUMO DE COMBUSTIBLES TRADICIONALES EN EL SECTOR TRANSPORTES POR TIPO, 2001-2020</t>
  </si>
  <si>
    <t>7. CONSUMO DE COMBUSTIBLES TRADICIONALES EN EL SECTOR RESIDENCIAL POR TIPO, 2001-2020</t>
  </si>
  <si>
    <t>8. CONSUMO DE COMBUSTIBLES TRADICIONALES EN EL SECTOR COMERCIAL POR TIPO, 2001-2020</t>
  </si>
  <si>
    <t>10.  CONSUMO DE COMBUSTIBLES TRADICIONALES EN EL SECTOR PÚBLICO POR TIPO, 2001-2020</t>
  </si>
  <si>
    <t>11.   CONSUMO DE COMBUSTIBLES TRADICIONALES EN EL SECTOR AGROPECUARIO POR TIPO, 2001-2020</t>
  </si>
  <si>
    <t>12.  CONSUMO DE COMBUSTIBLES TRADICIONALES EN EL SECTOR PESCA POR TIPO, 2001-2020</t>
  </si>
  <si>
    <t>14.  INTENSIDAD ENERGÉTICA, 2001-2020</t>
  </si>
  <si>
    <t>13.  CONSUMO FINAL DE ENERGÍA, SEGÚN TIPO DE FUENTE, 2009-2020</t>
  </si>
  <si>
    <t>9.  CONSUMO DE COMBUSTIBLES TRADICIONALES EN EL SECTOR INDUSTRIAL POR TIPO, 2001-2020</t>
  </si>
  <si>
    <r>
      <t>Nota</t>
    </r>
    <r>
      <rPr>
        <sz val="8"/>
        <rFont val="Arial Narrow"/>
        <family val="2"/>
      </rPr>
      <t>: Corresponde al contenido fino de los concentrados. Información disponible a abril de 2022.</t>
    </r>
  </si>
  <si>
    <r>
      <rPr>
        <b/>
        <sz val="8"/>
        <rFont val="Arial Narrow"/>
        <family val="2"/>
      </rPr>
      <t>Nota</t>
    </r>
    <r>
      <rPr>
        <sz val="8"/>
        <rFont val="Arial Narrow"/>
        <family val="2"/>
      </rPr>
      <t>: Información disponible a abril de 2022.</t>
    </r>
  </si>
  <si>
    <r>
      <t xml:space="preserve">Cobre </t>
    </r>
    <r>
      <rPr>
        <b/>
        <vertAlign val="superscript"/>
        <sz val="11"/>
        <rFont val="Arial Narrow"/>
        <family val="2"/>
      </rPr>
      <t>1/</t>
    </r>
  </si>
  <si>
    <r>
      <t xml:space="preserve">Plomo </t>
    </r>
    <r>
      <rPr>
        <b/>
        <vertAlign val="superscript"/>
        <sz val="11"/>
        <rFont val="Arial Narrow"/>
        <family val="2"/>
      </rPr>
      <t>1/</t>
    </r>
  </si>
  <si>
    <t>2021P/</t>
  </si>
  <si>
    <t>Producción fiscalizada de gas natural</t>
  </si>
  <si>
    <t>Producción de gas natural líquido</t>
  </si>
  <si>
    <r>
      <t xml:space="preserve">Gasolina motor/Gasohol </t>
    </r>
    <r>
      <rPr>
        <vertAlign val="superscript"/>
        <sz val="11"/>
        <rFont val="Arial Narrow"/>
        <family val="2"/>
      </rPr>
      <t>1/</t>
    </r>
  </si>
  <si>
    <r>
      <t xml:space="preserve">Kerosene/Turbo </t>
    </r>
    <r>
      <rPr>
        <vertAlign val="superscript"/>
        <sz val="11"/>
        <rFont val="Arial Narrow"/>
        <family val="2"/>
      </rPr>
      <t>2/</t>
    </r>
  </si>
  <si>
    <r>
      <t xml:space="preserve">Diesel oil/DB2/DB5 </t>
    </r>
    <r>
      <rPr>
        <vertAlign val="superscript"/>
        <sz val="11"/>
        <rFont val="Arial Narrow"/>
        <family val="2"/>
      </rPr>
      <t>3/</t>
    </r>
  </si>
  <si>
    <r>
      <t xml:space="preserve">Kerosene </t>
    </r>
    <r>
      <rPr>
        <vertAlign val="superscript"/>
        <sz val="11"/>
        <rFont val="Arial Narrow"/>
        <family val="2"/>
      </rPr>
      <t>1/</t>
    </r>
  </si>
  <si>
    <r>
      <rPr>
        <sz val="11"/>
        <rFont val="Arial Narrow"/>
        <family val="2"/>
      </rPr>
      <t xml:space="preserve">Gasolina motor/Gasohol </t>
    </r>
    <r>
      <rPr>
        <vertAlign val="superscript"/>
        <sz val="11"/>
        <rFont val="Arial Narrow"/>
        <family val="2"/>
      </rPr>
      <t>1</t>
    </r>
    <r>
      <rPr>
        <vertAlign val="superscript"/>
        <sz val="11"/>
        <color rgb="FF000000"/>
        <rFont val="Arial Narrow"/>
        <family val="2"/>
      </rPr>
      <t>/</t>
    </r>
  </si>
  <si>
    <r>
      <rPr>
        <sz val="11"/>
        <rFont val="Arial Narrow"/>
        <family val="2"/>
      </rPr>
      <t xml:space="preserve">Kerosene </t>
    </r>
    <r>
      <rPr>
        <vertAlign val="superscript"/>
        <sz val="11"/>
        <rFont val="Arial Narrow"/>
        <family val="2"/>
      </rPr>
      <t>2</t>
    </r>
    <r>
      <rPr>
        <vertAlign val="superscript"/>
        <sz val="11"/>
        <color rgb="FF000000"/>
        <rFont val="Arial Narrow"/>
        <family val="2"/>
      </rPr>
      <t>/</t>
    </r>
  </si>
  <si>
    <r>
      <rPr>
        <sz val="11"/>
        <rFont val="Arial Narrow"/>
        <family val="2"/>
      </rPr>
      <t>Diesel Oil/DB2/DB5</t>
    </r>
    <r>
      <rPr>
        <vertAlign val="superscript"/>
        <sz val="11"/>
        <rFont val="Arial Narrow"/>
        <family val="2"/>
      </rPr>
      <t xml:space="preserve"> 3</t>
    </r>
    <r>
      <rPr>
        <vertAlign val="superscript"/>
        <sz val="11"/>
        <color rgb="FF000000"/>
        <rFont val="Arial Narrow"/>
        <family val="2"/>
      </rPr>
      <t>/</t>
    </r>
  </si>
  <si>
    <r>
      <t xml:space="preserve">Gasolina motor/Gasohol </t>
    </r>
    <r>
      <rPr>
        <b/>
        <vertAlign val="superscript"/>
        <sz val="11"/>
        <rFont val="Arial Narrow"/>
        <family val="2"/>
      </rPr>
      <t>1/</t>
    </r>
  </si>
  <si>
    <r>
      <t xml:space="preserve">Kerosene </t>
    </r>
    <r>
      <rPr>
        <vertAlign val="superscript"/>
        <sz val="11"/>
        <rFont val="Arial Narrow"/>
        <family val="2"/>
      </rPr>
      <t>2/</t>
    </r>
  </si>
  <si>
    <r>
      <t xml:space="preserve">Diesel Oil/DB2/DB5 </t>
    </r>
    <r>
      <rPr>
        <vertAlign val="superscript"/>
        <sz val="11"/>
        <rFont val="Arial Narrow"/>
        <family val="2"/>
      </rPr>
      <t>3/</t>
    </r>
  </si>
  <si>
    <r>
      <t>Kero/
Turbo</t>
    </r>
    <r>
      <rPr>
        <b/>
        <vertAlign val="superscript"/>
        <sz val="11"/>
        <rFont val="Arial Narrow"/>
        <family val="2"/>
      </rPr>
      <t xml:space="preserve"> 2/</t>
    </r>
  </si>
  <si>
    <r>
      <t>Diesel Oil/
DB2/DB5</t>
    </r>
    <r>
      <rPr>
        <b/>
        <vertAlign val="superscript"/>
        <sz val="11"/>
        <rFont val="Arial Narrow"/>
        <family val="2"/>
      </rPr>
      <t xml:space="preserve"> 3/</t>
    </r>
  </si>
  <si>
    <r>
      <t>Gasolina
Motor/
Gasohol</t>
    </r>
    <r>
      <rPr>
        <b/>
        <vertAlign val="superscript"/>
        <sz val="11"/>
        <rFont val="Arial Narrow"/>
        <family val="2"/>
      </rPr>
      <t xml:space="preserve"> 1/</t>
    </r>
  </si>
  <si>
    <r>
      <t xml:space="preserve">Gasolina 
Motor/
Gasohol </t>
    </r>
    <r>
      <rPr>
        <b/>
        <vertAlign val="superscript"/>
        <sz val="11"/>
        <rFont val="Arial Narrow"/>
        <family val="2"/>
      </rPr>
      <t>1/</t>
    </r>
  </si>
  <si>
    <r>
      <t>Diesel B2/
Diesel B5</t>
    </r>
    <r>
      <rPr>
        <b/>
        <vertAlign val="superscript"/>
        <sz val="11"/>
        <rFont val="Arial Narrow"/>
        <family val="2"/>
      </rPr>
      <t>2/</t>
    </r>
  </si>
  <si>
    <r>
      <t xml:space="preserve">Gasolina motor /Gasohol </t>
    </r>
    <r>
      <rPr>
        <vertAlign val="superscript"/>
        <sz val="11"/>
        <rFont val="Arial Narrow"/>
        <family val="2"/>
      </rPr>
      <t>1/</t>
    </r>
  </si>
  <si>
    <t>Importación de
energía neta
(Terajoule)</t>
  </si>
  <si>
    <r>
      <t>Consumo de energía total 
Terajoules/Habitantes
TJ/10</t>
    </r>
    <r>
      <rPr>
        <b/>
        <vertAlign val="superscript"/>
        <sz val="11"/>
        <rFont val="Arial Narrow"/>
        <family val="2"/>
      </rPr>
      <t>3</t>
    </r>
    <r>
      <rPr>
        <b/>
        <sz val="11"/>
        <rFont val="Arial Narrow"/>
        <family val="2"/>
      </rPr>
      <t xml:space="preserve"> habitantes</t>
    </r>
  </si>
  <si>
    <t>Consumo de energía
Eléctrica / Habitantes
(TJ/miles hab.)</t>
  </si>
  <si>
    <r>
      <t xml:space="preserve">  Callao </t>
    </r>
    <r>
      <rPr>
        <vertAlign val="superscript"/>
        <sz val="11"/>
        <rFont val="Arial Narrow"/>
        <family val="2"/>
      </rPr>
      <t>1/</t>
    </r>
  </si>
  <si>
    <r>
      <t xml:space="preserve">Cerro del Águila S.A. </t>
    </r>
    <r>
      <rPr>
        <vertAlign val="superscript"/>
        <sz val="11"/>
        <rFont val="Arial Narrow"/>
        <family val="2"/>
      </rPr>
      <t>1/</t>
    </r>
  </si>
  <si>
    <r>
      <t xml:space="preserve">Enel Generación Perú (antes Edegel) </t>
    </r>
    <r>
      <rPr>
        <vertAlign val="superscript"/>
        <sz val="11"/>
        <rFont val="Arial Narrow"/>
        <family val="2"/>
      </rPr>
      <t>2/</t>
    </r>
  </si>
  <si>
    <r>
      <t>Enel Green Power Perú S.A.</t>
    </r>
    <r>
      <rPr>
        <vertAlign val="superscript"/>
        <sz val="11"/>
        <rFont val="Arial Narrow"/>
        <family val="2"/>
      </rPr>
      <t xml:space="preserve"> 3/</t>
    </r>
  </si>
  <si>
    <r>
      <t xml:space="preserve">Enel Generación Piura (antes Electro Piura) </t>
    </r>
    <r>
      <rPr>
        <vertAlign val="superscript"/>
        <sz val="11"/>
        <rFont val="Arial Narrow"/>
        <family val="2"/>
      </rPr>
      <t>4/</t>
    </r>
  </si>
  <si>
    <r>
      <t xml:space="preserve">Engie Energía Perú (antes Energía del Sur S.A. - Enersur) </t>
    </r>
    <r>
      <rPr>
        <vertAlign val="superscript"/>
        <sz val="11"/>
        <rFont val="Arial Narrow"/>
        <family val="2"/>
      </rPr>
      <t>4/</t>
    </r>
  </si>
  <si>
    <r>
      <t xml:space="preserve">Orazul Energy Perú S.A. (antes Egenor)  </t>
    </r>
    <r>
      <rPr>
        <vertAlign val="superscript"/>
        <sz val="11"/>
        <rFont val="Arial Narrow"/>
        <family val="2"/>
      </rPr>
      <t xml:space="preserve"> 4/</t>
    </r>
  </si>
  <si>
    <r>
      <t>Otros</t>
    </r>
    <r>
      <rPr>
        <vertAlign val="superscript"/>
        <sz val="11"/>
        <rFont val="Arial Narrow"/>
        <family val="2"/>
      </rPr>
      <t xml:space="preserve"> 5/</t>
    </r>
  </si>
  <si>
    <t xml:space="preserve">del Sur S.A.-Enersur) </t>
  </si>
  <si>
    <r>
      <t xml:space="preserve">Reserva Fría Puerto Bravo </t>
    </r>
    <r>
      <rPr>
        <vertAlign val="superscript"/>
        <sz val="11"/>
        <rFont val="Arial Narrow"/>
        <family val="2"/>
      </rPr>
      <t>2/</t>
    </r>
  </si>
  <si>
    <r>
      <t xml:space="preserve">Empresa de Generación Eléctrica de Arequipa S.A. (Egasa) </t>
    </r>
    <r>
      <rPr>
        <vertAlign val="superscript"/>
        <sz val="11"/>
        <rFont val="Arial Narrow"/>
        <family val="2"/>
      </rPr>
      <t>1/</t>
    </r>
  </si>
  <si>
    <r>
      <t>Nota:</t>
    </r>
    <r>
      <rPr>
        <sz val="8"/>
        <rFont val="Arial Narrow"/>
        <family val="2"/>
      </rPr>
      <t xml:space="preserve"> Información preliminar al 19-05-2022.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</si>
</sst>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164" formatCode="#\ ###\ ##0"/>
    <numFmt numFmtId="165" formatCode="#\ ##0"/>
    <numFmt numFmtId="166" formatCode="#\ ###\ ##0;0;&quot;-&quot;"/>
    <numFmt numFmtId="167" formatCode="0.0"/>
    <numFmt numFmtId="168" formatCode="#\ ##0.0"/>
    <numFmt numFmtId="169" formatCode="###\ ###\ ##0;0;&quot;-&quot;"/>
    <numFmt numFmtId="170" formatCode="#,##0.0"/>
    <numFmt numFmtId="171" formatCode="0.00_)"/>
    <numFmt numFmtId="172" formatCode="0_)"/>
    <numFmt numFmtId="173" formatCode="0.0_)"/>
    <numFmt numFmtId="174" formatCode="_ * #,##0_ ;_ * \-#,##0_ ;_ * &quot;-&quot;_ ;_ @_ "/>
    <numFmt numFmtId="175" formatCode="0.00000"/>
    <numFmt numFmtId="176" formatCode="#,##0.000"/>
    <numFmt numFmtId="177" formatCode="#\ ###\ ##0.0"/>
    <numFmt numFmtId="178" formatCode="#############\ ###\ ##0.0"/>
    <numFmt numFmtId="179" formatCode="_ * #,##0.00_ ;_ * \-#,##0.00_ ;_ * &quot;-&quot;??_ ;_ @_ "/>
    <numFmt numFmtId="180" formatCode="_ * #,##0.00_ ;_ * \-#,##0.00_ ;_ * &quot;-&quot;_ ;_ @_ "/>
    <numFmt numFmtId="181" formatCode="##\ ###\ ###"/>
    <numFmt numFmtId="182" formatCode="###,###.0"/>
    <numFmt numFmtId="183" formatCode="###"/>
    <numFmt numFmtId="184" formatCode="###\ ###.0"/>
    <numFmt numFmtId="185" formatCode="###,###"/>
    <numFmt numFmtId="186" formatCode="##\ ###\ ###\ \ \ \ \ \ \ \ \ \ "/>
    <numFmt numFmtId="187" formatCode="_-* #,##0.0_-;\-* #,##0.0_-;_-* &quot;-&quot;?_-;_-@_-"/>
    <numFmt numFmtId="188" formatCode="#.0000\ ##0"/>
    <numFmt numFmtId="189" formatCode="_-* #,##0.00000_-;\-* #,##0.00000_-;_-* &quot;-&quot;?_-;_-@_-"/>
  </numFmts>
  <fonts count="47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3B4A1E"/>
      <name val="Arial Narrow"/>
      <family val="2"/>
    </font>
    <font>
      <sz val="10"/>
      <name val="Helv"/>
    </font>
    <font>
      <sz val="8"/>
      <name val="Arial Narrow"/>
      <family val="2"/>
    </font>
    <font>
      <b/>
      <sz val="8"/>
      <name val="Arial Narrow"/>
      <family val="2"/>
    </font>
    <font>
      <sz val="12"/>
      <name val="Arial"/>
      <family val="2"/>
    </font>
    <font>
      <sz val="7"/>
      <name val="Times New Roman"/>
      <family val="1"/>
    </font>
    <font>
      <i/>
      <sz val="10"/>
      <name val="Times New Roman"/>
      <family val="1"/>
    </font>
    <font>
      <b/>
      <sz val="6"/>
      <name val="Arial Narrow"/>
      <family val="2"/>
    </font>
    <font>
      <sz val="11"/>
      <name val="Arial Narrow"/>
      <family val="2"/>
    </font>
    <font>
      <i/>
      <sz val="12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Arial Narrow"/>
      <family val="2"/>
    </font>
    <font>
      <b/>
      <i/>
      <sz val="1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b/>
      <i/>
      <sz val="8"/>
      <name val="Arial Narrow"/>
      <family val="2"/>
    </font>
    <font>
      <sz val="8"/>
      <color theme="1"/>
      <name val="Arial Narrow"/>
      <family val="2"/>
    </font>
    <font>
      <sz val="8"/>
      <color rgb="FFFF0000"/>
      <name val="Arial Narrow"/>
      <family val="2"/>
    </font>
    <font>
      <vertAlign val="superscript"/>
      <sz val="8"/>
      <name val="Arial Narrow"/>
      <family val="2"/>
    </font>
    <font>
      <b/>
      <sz val="8"/>
      <color rgb="FF3B4A1E"/>
      <name val="Arial Narrow"/>
      <family val="2"/>
    </font>
    <font>
      <sz val="8"/>
      <color theme="0"/>
      <name val="Arial Narrow"/>
      <family val="2"/>
    </font>
    <font>
      <b/>
      <sz val="9"/>
      <color rgb="FF3B4A1E"/>
      <name val="Arial Narrow"/>
      <family val="2"/>
    </font>
    <font>
      <sz val="8"/>
      <color rgb="FF3B4A1E"/>
      <name val="Arial Narrow"/>
      <family val="2"/>
    </font>
    <font>
      <b/>
      <sz val="9"/>
      <color theme="9" tint="-0.499984740745262"/>
      <name val="Arial Narrow"/>
      <family val="2"/>
    </font>
    <font>
      <sz val="8"/>
      <color theme="6" tint="-0.499984740745262"/>
      <name val="Arial Narrow"/>
      <family val="2"/>
    </font>
    <font>
      <b/>
      <sz val="7"/>
      <name val="Arial Narrow"/>
      <family val="2"/>
    </font>
    <font>
      <sz val="7"/>
      <name val="Arial Narrow"/>
      <family val="2"/>
    </font>
    <font>
      <sz val="9"/>
      <name val="Arial Narrow"/>
      <family val="2"/>
    </font>
    <font>
      <sz val="6"/>
      <name val="Arial Narrow"/>
      <family val="2"/>
    </font>
    <font>
      <sz val="7"/>
      <color rgb="FFFF0000"/>
      <name val="Arial Narrow"/>
      <family val="2"/>
    </font>
    <font>
      <sz val="8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11"/>
      <color theme="9" tint="-0.499984740745262"/>
      <name val="Arial Narrow"/>
      <family val="2"/>
    </font>
    <font>
      <sz val="8"/>
      <color theme="9" tint="-0.499984740745262"/>
      <name val="Arial Narrow"/>
      <family val="2"/>
    </font>
    <font>
      <b/>
      <vertAlign val="superscript"/>
      <sz val="11"/>
      <name val="Arial Narrow"/>
      <family val="2"/>
    </font>
    <font>
      <b/>
      <sz val="8"/>
      <color theme="9" tint="-0.499984740745262"/>
      <name val="Arial Narrow"/>
      <family val="2"/>
    </font>
    <font>
      <vertAlign val="superscript"/>
      <sz val="1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vertAlign val="superscript"/>
      <sz val="11"/>
      <color rgb="FF000000"/>
      <name val="Arial Narrow"/>
      <family val="2"/>
    </font>
    <font>
      <b/>
      <u/>
      <sz val="11"/>
      <name val="Arial Narrow"/>
      <family val="2"/>
    </font>
    <font>
      <sz val="11"/>
      <color rgb="FFC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1FFE1"/>
        <bgColor rgb="FFE1FFE1"/>
      </patternFill>
    </fill>
    <fill>
      <patternFill patternType="solid">
        <fgColor theme="0"/>
        <bgColor rgb="FFE1FFE1"/>
      </patternFill>
    </fill>
  </fills>
  <borders count="17">
    <border>
      <left/>
      <right/>
      <top/>
      <bottom/>
      <diagonal/>
    </border>
    <border>
      <left/>
      <right style="thick">
        <color rgb="FF3B4A1E"/>
      </right>
      <top/>
      <bottom/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/>
      <diagonal/>
    </border>
    <border>
      <left/>
      <right style="thick">
        <color theme="9" tint="-0.499984740745262"/>
      </right>
      <top/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/>
      <right style="thick">
        <color rgb="FF3B4A1E"/>
      </right>
      <top/>
      <bottom style="thin">
        <color theme="9" tint="-0.499984740745262"/>
      </bottom>
      <diagonal/>
    </border>
    <border>
      <left/>
      <right style="thick">
        <color rgb="FF3B4A1E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/>
      <right style="thick">
        <color theme="9" tint="-0.499984740745262"/>
      </right>
      <top/>
      <bottom style="thin">
        <color indexed="64"/>
      </bottom>
      <diagonal/>
    </border>
    <border>
      <left style="thick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ck">
        <color theme="9" tint="-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9" tint="-0.499984740745262"/>
      </left>
      <right/>
      <top/>
      <bottom style="thin">
        <color theme="9" tint="-0.499984740745262"/>
      </bottom>
      <diagonal/>
    </border>
    <border>
      <left style="thick">
        <color theme="9" tint="-0.499984740745262"/>
      </left>
      <right/>
      <top style="thin">
        <color theme="9" tint="-0.499984740745262"/>
      </top>
      <bottom/>
      <diagonal/>
    </border>
  </borders>
  <cellStyleXfs count="40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9" fillId="0" borderId="0"/>
    <xf numFmtId="0" fontId="3" fillId="0" borderId="0"/>
    <xf numFmtId="0" fontId="3" fillId="0" borderId="0"/>
    <xf numFmtId="0" fontId="9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3" fontId="5" fillId="0" borderId="0"/>
    <xf numFmtId="173" fontId="5" fillId="0" borderId="0"/>
    <xf numFmtId="0" fontId="9" fillId="0" borderId="0" applyNumberFormat="0"/>
    <xf numFmtId="0" fontId="13" fillId="0" borderId="0"/>
    <xf numFmtId="0" fontId="14" fillId="0" borderId="0" applyNumberFormat="0" applyFill="0" applyBorder="0" applyAlignment="0" applyProtection="0"/>
    <xf numFmtId="0" fontId="9" fillId="0" borderId="0"/>
    <xf numFmtId="179" fontId="2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 applyNumberFormat="0" applyFill="0" applyBorder="0" applyAlignment="0" applyProtection="0"/>
    <xf numFmtId="0" fontId="2" fillId="0" borderId="0"/>
  </cellStyleXfs>
  <cellXfs count="750">
    <xf numFmtId="0" fontId="0" fillId="0" borderId="0" xfId="0"/>
    <xf numFmtId="0" fontId="4" fillId="0" borderId="0" xfId="1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0" fontId="12" fillId="0" borderId="0" xfId="0" applyFont="1"/>
    <xf numFmtId="0" fontId="12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12" fillId="3" borderId="0" xfId="2" applyFont="1" applyFill="1" applyAlignment="1">
      <alignment horizontal="right" vertical="center"/>
    </xf>
    <xf numFmtId="0" fontId="12" fillId="0" borderId="0" xfId="36" applyFont="1"/>
    <xf numFmtId="0" fontId="12" fillId="3" borderId="0" xfId="28" applyFont="1" applyFill="1"/>
    <xf numFmtId="0" fontId="12" fillId="0" borderId="0" xfId="34" applyFont="1" applyAlignment="1">
      <alignment vertical="center"/>
    </xf>
    <xf numFmtId="0" fontId="12" fillId="0" borderId="0" xfId="34" applyFont="1"/>
    <xf numFmtId="0" fontId="12" fillId="3" borderId="0" xfId="34" applyFont="1" applyFill="1"/>
    <xf numFmtId="0" fontId="18" fillId="3" borderId="0" xfId="34" applyFont="1" applyFill="1"/>
    <xf numFmtId="0" fontId="12" fillId="3" borderId="0" xfId="34" applyFont="1" applyFill="1" applyAlignment="1">
      <alignment horizontal="right"/>
    </xf>
    <xf numFmtId="177" fontId="12" fillId="3" borderId="0" xfId="28" applyNumberFormat="1" applyFont="1" applyFill="1"/>
    <xf numFmtId="173" fontId="12" fillId="0" borderId="0" xfId="30" applyFont="1"/>
    <xf numFmtId="173" fontId="12" fillId="0" borderId="0" xfId="30" applyFont="1" applyAlignment="1">
      <alignment vertical="center"/>
    </xf>
    <xf numFmtId="170" fontId="12" fillId="3" borderId="0" xfId="30" applyNumberFormat="1" applyFont="1" applyFill="1"/>
    <xf numFmtId="173" fontId="12" fillId="3" borderId="0" xfId="30" applyFont="1" applyFill="1"/>
    <xf numFmtId="173" fontId="12" fillId="0" borderId="0" xfId="29" applyFont="1" applyAlignment="1">
      <alignment vertical="center"/>
    </xf>
    <xf numFmtId="173" fontId="12" fillId="0" borderId="0" xfId="29" applyFont="1"/>
    <xf numFmtId="173" fontId="12" fillId="3" borderId="0" xfId="29" applyFont="1" applyFill="1"/>
    <xf numFmtId="173" fontId="18" fillId="3" borderId="0" xfId="29" applyFont="1" applyFill="1"/>
    <xf numFmtId="0" fontId="12" fillId="0" borderId="0" xfId="28" applyFont="1" applyAlignment="1">
      <alignment horizontal="right"/>
    </xf>
    <xf numFmtId="0" fontId="12" fillId="0" borderId="0" xfId="28" applyFont="1"/>
    <xf numFmtId="0" fontId="17" fillId="0" borderId="0" xfId="0" applyFont="1"/>
    <xf numFmtId="0" fontId="12" fillId="0" borderId="0" xfId="23" applyFont="1"/>
    <xf numFmtId="0" fontId="12" fillId="0" borderId="0" xfId="23" applyFont="1" applyAlignment="1">
      <alignment horizontal="right"/>
    </xf>
    <xf numFmtId="0" fontId="15" fillId="0" borderId="0" xfId="23" applyFont="1" applyAlignment="1">
      <alignment horizontal="center"/>
    </xf>
    <xf numFmtId="174" fontId="12" fillId="0" borderId="0" xfId="23" applyNumberFormat="1" applyFont="1"/>
    <xf numFmtId="0" fontId="4" fillId="0" borderId="0" xfId="1" applyFont="1" applyAlignment="1">
      <alignment horizontal="center" vertical="center"/>
    </xf>
    <xf numFmtId="0" fontId="12" fillId="3" borderId="0" xfId="23" applyFont="1" applyFill="1"/>
    <xf numFmtId="0" fontId="12" fillId="3" borderId="0" xfId="23" applyFont="1" applyFill="1" applyAlignment="1">
      <alignment horizontal="right"/>
    </xf>
    <xf numFmtId="0" fontId="15" fillId="3" borderId="0" xfId="23" applyFont="1" applyFill="1" applyAlignment="1">
      <alignment horizontal="right"/>
    </xf>
    <xf numFmtId="174" fontId="12" fillId="0" borderId="0" xfId="23" applyNumberFormat="1" applyFont="1" applyAlignment="1">
      <alignment horizontal="right"/>
    </xf>
    <xf numFmtId="0" fontId="12" fillId="0" borderId="0" xfId="22" applyFont="1"/>
    <xf numFmtId="0" fontId="12" fillId="0" borderId="0" xfId="22" applyFont="1" applyAlignment="1">
      <alignment horizontal="right"/>
    </xf>
    <xf numFmtId="0" fontId="12" fillId="0" borderId="0" xfId="12" applyFont="1" applyAlignment="1">
      <alignment horizontal="right" vertical="center"/>
    </xf>
    <xf numFmtId="0" fontId="12" fillId="0" borderId="0" xfId="19" applyFont="1"/>
    <xf numFmtId="171" fontId="12" fillId="0" borderId="0" xfId="21" applyFont="1" applyAlignment="1">
      <alignment horizontal="right" vertical="center"/>
    </xf>
    <xf numFmtId="0" fontId="12" fillId="0" borderId="0" xfId="12" applyFont="1" applyAlignment="1">
      <alignment horizontal="left" vertical="center"/>
    </xf>
    <xf numFmtId="0" fontId="12" fillId="0" borderId="0" xfId="15" applyFont="1" applyAlignment="1">
      <alignment horizontal="right" vertical="center"/>
    </xf>
    <xf numFmtId="0" fontId="12" fillId="0" borderId="0" xfId="15" applyFont="1" applyAlignment="1">
      <alignment horizontal="left" vertical="center"/>
    </xf>
    <xf numFmtId="0" fontId="15" fillId="0" borderId="0" xfId="2" applyFont="1" applyAlignment="1">
      <alignment horizontal="right" vertical="center"/>
    </xf>
    <xf numFmtId="49" fontId="12" fillId="0" borderId="0" xfId="2" applyNumberFormat="1" applyFont="1" applyAlignment="1">
      <alignment horizontal="right" vertical="center"/>
    </xf>
    <xf numFmtId="49" fontId="15" fillId="0" borderId="0" xfId="2" applyNumberFormat="1" applyFont="1" applyAlignment="1">
      <alignment horizontal="right" vertical="center"/>
    </xf>
    <xf numFmtId="0" fontId="16" fillId="0" borderId="0" xfId="2" applyFont="1" applyAlignment="1">
      <alignment horizontal="left" vertical="center"/>
    </xf>
    <xf numFmtId="164" fontId="12" fillId="0" borderId="0" xfId="12" applyNumberFormat="1" applyFont="1" applyAlignment="1">
      <alignment horizontal="right" vertical="center"/>
    </xf>
    <xf numFmtId="0" fontId="17" fillId="0" borderId="0" xfId="39" applyFont="1" applyAlignment="1">
      <alignment horizontal="left"/>
    </xf>
    <xf numFmtId="0" fontId="12" fillId="0" borderId="0" xfId="12" applyFont="1" applyAlignment="1">
      <alignment horizontal="center" vertical="center"/>
    </xf>
    <xf numFmtId="0" fontId="12" fillId="0" borderId="0" xfId="8" applyFont="1" applyAlignment="1">
      <alignment horizontal="left" vertical="center"/>
    </xf>
    <xf numFmtId="0" fontId="12" fillId="0" borderId="0" xfId="11" applyFont="1" applyAlignment="1">
      <alignment horizontal="right" vertical="center"/>
    </xf>
    <xf numFmtId="0" fontId="19" fillId="0" borderId="0" xfId="11" applyFont="1" applyAlignment="1">
      <alignment horizontal="left" vertical="center"/>
    </xf>
    <xf numFmtId="0" fontId="12" fillId="0" borderId="0" xfId="11" applyFont="1" applyAlignment="1">
      <alignment horizontal="left" vertical="center"/>
    </xf>
    <xf numFmtId="165" fontId="12" fillId="0" borderId="0" xfId="4" applyNumberFormat="1" applyFont="1" applyAlignment="1">
      <alignment horizontal="right" vertical="center"/>
    </xf>
    <xf numFmtId="0" fontId="12" fillId="0" borderId="0" xfId="4" applyFont="1" applyAlignment="1">
      <alignment horizontal="right" vertical="center"/>
    </xf>
    <xf numFmtId="0" fontId="12" fillId="0" borderId="0" xfId="6" applyFont="1" applyAlignment="1">
      <alignment horizontal="right" vertical="center"/>
    </xf>
    <xf numFmtId="3" fontId="12" fillId="0" borderId="0" xfId="6" applyNumberFormat="1" applyFont="1" applyAlignment="1">
      <alignment horizontal="right" vertical="center"/>
    </xf>
    <xf numFmtId="0" fontId="12" fillId="0" borderId="0" xfId="4" applyFont="1" applyAlignment="1">
      <alignment horizontal="left" vertical="center"/>
    </xf>
    <xf numFmtId="0" fontId="12" fillId="0" borderId="0" xfId="8" applyFont="1" applyAlignment="1">
      <alignment horizontal="right" vertical="center"/>
    </xf>
    <xf numFmtId="0" fontId="12" fillId="3" borderId="0" xfId="28" applyFont="1" applyFill="1" applyAlignment="1">
      <alignment horizontal="right"/>
    </xf>
    <xf numFmtId="0" fontId="12" fillId="3" borderId="0" xfId="28" applyFont="1" applyFill="1" applyAlignment="1">
      <alignment horizontal="center"/>
    </xf>
    <xf numFmtId="167" fontId="12" fillId="3" borderId="0" xfId="28" applyNumberFormat="1" applyFont="1" applyFill="1" applyAlignment="1">
      <alignment horizontal="center"/>
    </xf>
    <xf numFmtId="170" fontId="12" fillId="3" borderId="0" xfId="28" applyNumberFormat="1" applyFont="1" applyFill="1" applyAlignment="1">
      <alignment horizontal="center"/>
    </xf>
    <xf numFmtId="0" fontId="12" fillId="0" borderId="0" xfId="24" applyFont="1"/>
    <xf numFmtId="0" fontId="12" fillId="0" borderId="0" xfId="24" applyFont="1" applyAlignment="1">
      <alignment horizontal="right"/>
    </xf>
    <xf numFmtId="0" fontId="18" fillId="0" borderId="0" xfId="24" applyFont="1"/>
    <xf numFmtId="0" fontId="12" fillId="0" borderId="0" xfId="18" applyFont="1" applyAlignment="1">
      <alignment vertical="center"/>
    </xf>
    <xf numFmtId="0" fontId="12" fillId="0" borderId="0" xfId="13" applyFont="1"/>
    <xf numFmtId="0" fontId="19" fillId="0" borderId="0" xfId="13" applyFont="1"/>
    <xf numFmtId="1" fontId="17" fillId="0" borderId="0" xfId="39" applyNumberFormat="1" applyFont="1"/>
    <xf numFmtId="0" fontId="6" fillId="3" borderId="0" xfId="2" applyFont="1" applyFill="1" applyAlignment="1">
      <alignment horizontal="left" vertical="center"/>
    </xf>
    <xf numFmtId="0" fontId="6" fillId="3" borderId="0" xfId="2" applyFont="1" applyFill="1" applyAlignment="1">
      <alignment horizontal="right" vertical="center"/>
    </xf>
    <xf numFmtId="0" fontId="7" fillId="3" borderId="0" xfId="3" applyFont="1" applyFill="1" applyAlignment="1">
      <alignment horizontal="left" vertical="center"/>
    </xf>
    <xf numFmtId="0" fontId="20" fillId="3" borderId="0" xfId="2" applyFont="1" applyFill="1" applyAlignment="1">
      <alignment horizontal="right" vertical="center"/>
    </xf>
    <xf numFmtId="0" fontId="6" fillId="0" borderId="0" xfId="4" applyFont="1" applyAlignment="1">
      <alignment horizontal="right" vertical="center"/>
    </xf>
    <xf numFmtId="166" fontId="6" fillId="0" borderId="0" xfId="4" applyNumberFormat="1" applyFont="1" applyAlignment="1">
      <alignment horizontal="right" vertical="center"/>
    </xf>
    <xf numFmtId="0" fontId="6" fillId="0" borderId="0" xfId="8" applyFont="1" applyAlignment="1">
      <alignment horizontal="right" vertical="center"/>
    </xf>
    <xf numFmtId="165" fontId="6" fillId="0" borderId="0" xfId="4" applyNumberFormat="1" applyFont="1" applyAlignment="1">
      <alignment horizontal="right" vertical="center"/>
    </xf>
    <xf numFmtId="0" fontId="21" fillId="0" borderId="0" xfId="0" applyFont="1"/>
    <xf numFmtId="0" fontId="7" fillId="0" borderId="0" xfId="2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165" fontId="6" fillId="0" borderId="0" xfId="2" applyNumberFormat="1" applyFont="1" applyAlignment="1">
      <alignment horizontal="right" vertical="center"/>
    </xf>
    <xf numFmtId="0" fontId="6" fillId="0" borderId="0" xfId="11" applyFont="1" applyAlignment="1">
      <alignment horizontal="right" vertical="center"/>
    </xf>
    <xf numFmtId="0" fontId="6" fillId="0" borderId="0" xfId="12" applyFont="1" applyAlignment="1">
      <alignment horizontal="left" vertical="center"/>
    </xf>
    <xf numFmtId="0" fontId="6" fillId="0" borderId="0" xfId="12" applyFont="1" applyAlignment="1">
      <alignment horizontal="right" vertical="center"/>
    </xf>
    <xf numFmtId="0" fontId="6" fillId="0" borderId="0" xfId="2" quotePrefix="1" applyFont="1" applyAlignment="1">
      <alignment horizontal="left" vertical="center"/>
    </xf>
    <xf numFmtId="0" fontId="6" fillId="0" borderId="0" xfId="13" applyFont="1"/>
    <xf numFmtId="0" fontId="6" fillId="0" borderId="0" xfId="2" quotePrefix="1" applyFont="1" applyAlignment="1">
      <alignment horizontal="right" vertical="center"/>
    </xf>
    <xf numFmtId="0" fontId="7" fillId="0" borderId="0" xfId="2" applyFont="1" applyAlignment="1">
      <alignment horizontal="left" vertical="center"/>
    </xf>
    <xf numFmtId="0" fontId="6" fillId="0" borderId="0" xfId="15" applyFont="1" applyAlignment="1">
      <alignment horizontal="right" vertical="center"/>
    </xf>
    <xf numFmtId="0" fontId="7" fillId="0" borderId="0" xfId="16" quotePrefix="1" applyFont="1" applyAlignment="1">
      <alignment horizontal="left" vertical="center"/>
    </xf>
    <xf numFmtId="0" fontId="6" fillId="3" borderId="0" xfId="15" applyFont="1" applyFill="1" applyAlignment="1">
      <alignment horizontal="right" vertical="center"/>
    </xf>
    <xf numFmtId="0" fontId="7" fillId="0" borderId="0" xfId="16" quotePrefix="1" applyFont="1" applyAlignment="1">
      <alignment horizontal="left" vertical="center" indent="2"/>
    </xf>
    <xf numFmtId="0" fontId="24" fillId="0" borderId="0" xfId="1" applyFont="1" applyAlignment="1">
      <alignment horizontal="left" vertical="center"/>
    </xf>
    <xf numFmtId="0" fontId="7" fillId="3" borderId="0" xfId="19" applyFont="1" applyFill="1"/>
    <xf numFmtId="0" fontId="6" fillId="3" borderId="0" xfId="19" applyFont="1" applyFill="1"/>
    <xf numFmtId="3" fontId="6" fillId="3" borderId="0" xfId="19" applyNumberFormat="1" applyFont="1" applyFill="1" applyAlignment="1">
      <alignment horizontal="center"/>
    </xf>
    <xf numFmtId="170" fontId="6" fillId="3" borderId="0" xfId="19" applyNumberFormat="1" applyFont="1" applyFill="1" applyAlignment="1">
      <alignment horizontal="right"/>
    </xf>
    <xf numFmtId="0" fontId="6" fillId="3" borderId="0" xfId="19" applyFont="1" applyFill="1" applyAlignment="1">
      <alignment horizontal="left" indent="2"/>
    </xf>
    <xf numFmtId="0" fontId="7" fillId="0" borderId="0" xfId="20" applyFont="1" applyAlignment="1">
      <alignment horizontal="left" vertical="center"/>
    </xf>
    <xf numFmtId="0" fontId="7" fillId="0" borderId="0" xfId="19" applyFont="1"/>
    <xf numFmtId="0" fontId="6" fillId="0" borderId="0" xfId="18" applyFont="1"/>
    <xf numFmtId="0" fontId="6" fillId="0" borderId="0" xfId="18" applyFont="1" applyAlignment="1">
      <alignment horizontal="right"/>
    </xf>
    <xf numFmtId="0" fontId="6" fillId="3" borderId="0" xfId="12" applyFont="1" applyFill="1" applyAlignment="1">
      <alignment horizontal="right" vertical="center"/>
    </xf>
    <xf numFmtId="173" fontId="7" fillId="0" borderId="0" xfId="21" applyNumberFormat="1" applyFont="1" applyAlignment="1">
      <alignment horizontal="right" vertical="center"/>
    </xf>
    <xf numFmtId="171" fontId="6" fillId="0" borderId="0" xfId="21" applyFont="1" applyAlignment="1">
      <alignment horizontal="right" vertical="center"/>
    </xf>
    <xf numFmtId="172" fontId="6" fillId="0" borderId="0" xfId="21" applyNumberFormat="1" applyFont="1" applyAlignment="1">
      <alignment horizontal="right" vertical="center"/>
    </xf>
    <xf numFmtId="0" fontId="6" fillId="0" borderId="0" xfId="23" applyFont="1" applyAlignment="1">
      <alignment vertical="center"/>
    </xf>
    <xf numFmtId="3" fontId="6" fillId="3" borderId="0" xfId="24" applyNumberFormat="1" applyFont="1" applyFill="1" applyAlignment="1">
      <alignment horizontal="left" vertical="center" wrapText="1"/>
    </xf>
    <xf numFmtId="0" fontId="6" fillId="0" borderId="0" xfId="24" applyFont="1" applyAlignment="1">
      <alignment wrapText="1"/>
    </xf>
    <xf numFmtId="0" fontId="7" fillId="0" borderId="0" xfId="22" applyFont="1"/>
    <xf numFmtId="0" fontId="6" fillId="0" borderId="0" xfId="22" applyFont="1" applyAlignment="1">
      <alignment horizontal="right"/>
    </xf>
    <xf numFmtId="0" fontId="6" fillId="0" borderId="0" xfId="22" applyFont="1"/>
    <xf numFmtId="164" fontId="7" fillId="0" borderId="0" xfId="22" applyNumberFormat="1" applyFont="1" applyAlignment="1">
      <alignment horizontal="left" vertical="center"/>
    </xf>
    <xf numFmtId="3" fontId="6" fillId="4" borderId="0" xfId="23" applyNumberFormat="1" applyFont="1" applyFill="1" applyAlignment="1">
      <alignment horizontal="right" vertical="center"/>
    </xf>
    <xf numFmtId="3" fontId="6" fillId="0" borderId="0" xfId="23" applyNumberFormat="1" applyFont="1" applyAlignment="1">
      <alignment horizontal="right" vertical="center"/>
    </xf>
    <xf numFmtId="0" fontId="6" fillId="0" borderId="0" xfId="23" applyFont="1"/>
    <xf numFmtId="164" fontId="6" fillId="0" borderId="0" xfId="22" quotePrefix="1" applyNumberFormat="1" applyFont="1" applyAlignment="1">
      <alignment horizontal="left" vertical="center"/>
    </xf>
    <xf numFmtId="0" fontId="6" fillId="0" borderId="0" xfId="24" applyFont="1"/>
    <xf numFmtId="0" fontId="22" fillId="0" borderId="0" xfId="24" applyFont="1"/>
    <xf numFmtId="0" fontId="6" fillId="0" borderId="0" xfId="23" applyFont="1" applyAlignment="1">
      <alignment horizontal="right"/>
    </xf>
    <xf numFmtId="0" fontId="6" fillId="3" borderId="0" xfId="23" applyFont="1" applyFill="1" applyAlignment="1">
      <alignment horizontal="left" vertical="center"/>
    </xf>
    <xf numFmtId="3" fontId="6" fillId="3" borderId="0" xfId="23" applyNumberFormat="1" applyFont="1" applyFill="1" applyAlignment="1">
      <alignment horizontal="left" vertical="center"/>
    </xf>
    <xf numFmtId="0" fontId="6" fillId="0" borderId="0" xfId="23" applyFont="1" applyAlignment="1">
      <alignment horizontal="left" vertical="center"/>
    </xf>
    <xf numFmtId="0" fontId="7" fillId="0" borderId="0" xfId="22" applyFont="1" applyAlignment="1">
      <alignment horizontal="left" vertical="center"/>
    </xf>
    <xf numFmtId="0" fontId="6" fillId="0" borderId="0" xfId="22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6" fillId="0" borderId="0" xfId="22" applyFont="1" applyAlignment="1">
      <alignment vertical="center" wrapText="1"/>
    </xf>
    <xf numFmtId="0" fontId="7" fillId="0" borderId="0" xfId="23" applyFont="1" applyAlignment="1">
      <alignment horizontal="left" vertical="center"/>
    </xf>
    <xf numFmtId="174" fontId="6" fillId="0" borderId="0" xfId="23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28" applyFont="1" applyAlignment="1">
      <alignment horizontal="left" vertical="center"/>
    </xf>
    <xf numFmtId="0" fontId="6" fillId="0" borderId="0" xfId="28" applyFont="1" applyAlignment="1">
      <alignment horizontal="left" vertical="center"/>
    </xf>
    <xf numFmtId="170" fontId="6" fillId="0" borderId="0" xfId="28" applyNumberFormat="1" applyFont="1" applyAlignment="1">
      <alignment horizontal="left" vertical="center"/>
    </xf>
    <xf numFmtId="3" fontId="6" fillId="0" borderId="0" xfId="28" applyNumberFormat="1" applyFont="1" applyAlignment="1">
      <alignment horizontal="left" vertical="center"/>
    </xf>
    <xf numFmtId="176" fontId="7" fillId="0" borderId="0" xfId="28" applyNumberFormat="1" applyFont="1" applyAlignment="1">
      <alignment horizontal="left" vertical="center"/>
    </xf>
    <xf numFmtId="173" fontId="7" fillId="0" borderId="0" xfId="29" applyFont="1" applyAlignment="1">
      <alignment horizontal="left" vertical="center"/>
    </xf>
    <xf numFmtId="0" fontId="6" fillId="0" borderId="0" xfId="31" quotePrefix="1" applyFont="1" applyAlignment="1">
      <alignment horizontal="left" vertical="center"/>
    </xf>
    <xf numFmtId="173" fontId="6" fillId="0" borderId="0" xfId="30" applyFont="1" applyAlignment="1">
      <alignment horizontal="left" vertical="center"/>
    </xf>
    <xf numFmtId="173" fontId="6" fillId="0" borderId="0" xfId="29" applyFont="1" applyAlignment="1">
      <alignment horizontal="left" vertical="center"/>
    </xf>
    <xf numFmtId="0" fontId="6" fillId="3" borderId="0" xfId="28" applyFont="1" applyFill="1" applyAlignment="1">
      <alignment horizontal="left" vertical="center"/>
    </xf>
    <xf numFmtId="167" fontId="6" fillId="3" borderId="0" xfId="28" applyNumberFormat="1" applyFont="1" applyFill="1" applyAlignment="1">
      <alignment horizontal="left" vertical="center"/>
    </xf>
    <xf numFmtId="173" fontId="7" fillId="0" borderId="0" xfId="29" quotePrefix="1" applyFont="1" applyAlignment="1">
      <alignment horizontal="left" vertical="center"/>
    </xf>
    <xf numFmtId="170" fontId="6" fillId="3" borderId="0" xfId="30" applyNumberFormat="1" applyFont="1" applyFill="1" applyAlignment="1">
      <alignment horizontal="left" vertical="center"/>
    </xf>
    <xf numFmtId="1" fontId="6" fillId="0" borderId="0" xfId="30" applyNumberFormat="1" applyFont="1" applyAlignment="1">
      <alignment horizontal="left" vertical="center"/>
    </xf>
    <xf numFmtId="49" fontId="7" fillId="0" borderId="0" xfId="29" applyNumberFormat="1" applyFont="1" applyAlignment="1">
      <alignment horizontal="left" vertical="center"/>
    </xf>
    <xf numFmtId="49" fontId="6" fillId="0" borderId="0" xfId="30" applyNumberFormat="1" applyFont="1" applyAlignment="1">
      <alignment horizontal="left" vertical="center"/>
    </xf>
    <xf numFmtId="168" fontId="7" fillId="0" borderId="0" xfId="32" applyNumberFormat="1" applyFont="1" applyAlignment="1">
      <alignment horizontal="left" vertical="center"/>
    </xf>
    <xf numFmtId="168" fontId="6" fillId="0" borderId="0" xfId="32" applyNumberFormat="1" applyFont="1" applyAlignment="1">
      <alignment horizontal="left" vertical="center"/>
    </xf>
    <xf numFmtId="168" fontId="6" fillId="0" borderId="0" xfId="30" applyNumberFormat="1" applyFont="1" applyAlignment="1">
      <alignment horizontal="left" vertical="center"/>
    </xf>
    <xf numFmtId="0" fontId="6" fillId="0" borderId="0" xfId="34" applyFont="1" applyAlignment="1">
      <alignment vertical="center"/>
    </xf>
    <xf numFmtId="0" fontId="6" fillId="3" borderId="0" xfId="34" applyFont="1" applyFill="1" applyAlignment="1">
      <alignment vertical="center"/>
    </xf>
    <xf numFmtId="0" fontId="6" fillId="3" borderId="0" xfId="34" applyFont="1" applyFill="1" applyAlignment="1">
      <alignment horizontal="left" vertical="center"/>
    </xf>
    <xf numFmtId="173" fontId="7" fillId="3" borderId="0" xfId="29" applyFont="1" applyFill="1" applyAlignment="1">
      <alignment horizontal="left" vertical="center"/>
    </xf>
    <xf numFmtId="0" fontId="25" fillId="3" borderId="0" xfId="34" applyFont="1" applyFill="1" applyAlignment="1">
      <alignment vertical="center"/>
    </xf>
    <xf numFmtId="0" fontId="6" fillId="0" borderId="0" xfId="2" applyFont="1" applyAlignment="1">
      <alignment horizontal="left" vertical="center"/>
    </xf>
    <xf numFmtId="0" fontId="6" fillId="0" borderId="0" xfId="4" applyFont="1" applyAlignment="1">
      <alignment horizontal="left" vertical="center"/>
    </xf>
    <xf numFmtId="3" fontId="6" fillId="0" borderId="0" xfId="6" applyNumberFormat="1" applyFont="1" applyAlignment="1">
      <alignment horizontal="right" vertical="center"/>
    </xf>
    <xf numFmtId="0" fontId="6" fillId="0" borderId="0" xfId="8" applyFont="1" applyAlignment="1">
      <alignment horizontal="left" vertical="center"/>
    </xf>
    <xf numFmtId="0" fontId="27" fillId="0" borderId="0" xfId="1" applyFont="1" applyAlignment="1">
      <alignment horizontal="center" vertical="center"/>
    </xf>
    <xf numFmtId="1" fontId="6" fillId="0" borderId="0" xfId="4" applyNumberFormat="1" applyFont="1" applyAlignment="1">
      <alignment horizontal="right" vertical="center"/>
    </xf>
    <xf numFmtId="166" fontId="7" fillId="2" borderId="0" xfId="8" applyNumberFormat="1" applyFont="1" applyFill="1" applyAlignment="1">
      <alignment horizontal="right" vertical="center"/>
    </xf>
    <xf numFmtId="0" fontId="7" fillId="0" borderId="0" xfId="2" applyFont="1" applyAlignment="1">
      <alignment horizontal="left" vertical="center" indent="1"/>
    </xf>
    <xf numFmtId="0" fontId="6" fillId="0" borderId="0" xfId="11" applyFont="1" applyAlignment="1">
      <alignment horizontal="left" vertical="center"/>
    </xf>
    <xf numFmtId="0" fontId="7" fillId="0" borderId="0" xfId="11" applyFont="1" applyAlignment="1">
      <alignment horizontal="right" vertical="center"/>
    </xf>
    <xf numFmtId="0" fontId="6" fillId="0" borderId="3" xfId="12" applyFont="1" applyBorder="1" applyAlignment="1">
      <alignment horizontal="right" vertical="center"/>
    </xf>
    <xf numFmtId="0" fontId="6" fillId="0" borderId="0" xfId="15" quotePrefix="1" applyFont="1" applyAlignment="1">
      <alignment horizontal="left" vertical="center" indent="2"/>
    </xf>
    <xf numFmtId="0" fontId="6" fillId="0" borderId="0" xfId="15" applyFont="1" applyAlignment="1">
      <alignment horizontal="left" vertical="center"/>
    </xf>
    <xf numFmtId="0" fontId="20" fillId="0" borderId="0" xfId="12" applyFont="1" applyAlignment="1">
      <alignment horizontal="left" vertical="center"/>
    </xf>
    <xf numFmtId="0" fontId="6" fillId="0" borderId="3" xfId="12" applyFont="1" applyBorder="1" applyAlignment="1">
      <alignment horizontal="left" vertical="center"/>
    </xf>
    <xf numFmtId="0" fontId="6" fillId="0" borderId="6" xfId="12" applyFont="1" applyBorder="1" applyAlignment="1">
      <alignment horizontal="right" vertical="center"/>
    </xf>
    <xf numFmtId="0" fontId="6" fillId="0" borderId="8" xfId="12" applyFont="1" applyBorder="1" applyAlignment="1">
      <alignment horizontal="right" vertical="center"/>
    </xf>
    <xf numFmtId="0" fontId="6" fillId="0" borderId="0" xfId="19" applyFont="1"/>
    <xf numFmtId="0" fontId="6" fillId="0" borderId="0" xfId="19" applyFont="1" applyAlignment="1">
      <alignment horizontal="center"/>
    </xf>
    <xf numFmtId="0" fontId="6" fillId="0" borderId="0" xfId="19" applyFont="1" applyAlignment="1">
      <alignment horizontal="right"/>
    </xf>
    <xf numFmtId="0" fontId="6" fillId="0" borderId="0" xfId="18" applyFont="1" applyAlignment="1">
      <alignment vertical="center"/>
    </xf>
    <xf numFmtId="171" fontId="7" fillId="0" borderId="0" xfId="21" applyFont="1" applyAlignment="1">
      <alignment horizontal="left" vertical="center"/>
    </xf>
    <xf numFmtId="169" fontId="7" fillId="0" borderId="0" xfId="2" applyNumberFormat="1" applyFont="1" applyAlignment="1">
      <alignment horizontal="right" vertical="center"/>
    </xf>
    <xf numFmtId="169" fontId="21" fillId="0" borderId="0" xfId="0" applyNumberFormat="1" applyFont="1"/>
    <xf numFmtId="169" fontId="6" fillId="0" borderId="0" xfId="0" applyNumberFormat="1" applyFont="1"/>
    <xf numFmtId="176" fontId="27" fillId="0" borderId="0" xfId="1" applyNumberFormat="1" applyFont="1" applyAlignment="1">
      <alignment horizontal="center" vertical="center"/>
    </xf>
    <xf numFmtId="1" fontId="6" fillId="0" borderId="0" xfId="23" applyNumberFormat="1" applyFont="1" applyAlignment="1">
      <alignment horizontal="right"/>
    </xf>
    <xf numFmtId="0" fontId="6" fillId="0" borderId="0" xfId="0" applyFont="1"/>
    <xf numFmtId="0" fontId="6" fillId="3" borderId="0" xfId="23" applyFont="1" applyFill="1"/>
    <xf numFmtId="0" fontId="6" fillId="3" borderId="0" xfId="23" applyFont="1" applyFill="1" applyAlignment="1">
      <alignment horizontal="right"/>
    </xf>
    <xf numFmtId="3" fontId="6" fillId="0" borderId="0" xfId="0" applyNumberFormat="1" applyFont="1" applyAlignment="1">
      <alignment horizontal="right" vertical="center"/>
    </xf>
    <xf numFmtId="0" fontId="6" fillId="0" borderId="0" xfId="24" applyFont="1" applyAlignment="1">
      <alignment horizontal="right"/>
    </xf>
    <xf numFmtId="1" fontId="6" fillId="0" borderId="0" xfId="0" applyNumberFormat="1" applyFont="1" applyAlignment="1">
      <alignment horizontal="left" vertical="center"/>
    </xf>
    <xf numFmtId="17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28" applyFont="1"/>
    <xf numFmtId="0" fontId="6" fillId="0" borderId="0" xfId="28" applyFont="1" applyAlignment="1">
      <alignment horizontal="right"/>
    </xf>
    <xf numFmtId="49" fontId="7" fillId="0" borderId="0" xfId="28" applyNumberFormat="1" applyFont="1" applyAlignment="1">
      <alignment horizontal="right" vertical="center" wrapText="1"/>
    </xf>
    <xf numFmtId="170" fontId="6" fillId="0" borderId="0" xfId="28" applyNumberFormat="1" applyFont="1" applyAlignment="1">
      <alignment horizontal="right" vertical="center"/>
    </xf>
    <xf numFmtId="167" fontId="6" fillId="0" borderId="0" xfId="28" applyNumberFormat="1" applyFont="1" applyAlignment="1">
      <alignment horizontal="right" vertical="center"/>
    </xf>
    <xf numFmtId="0" fontId="6" fillId="3" borderId="0" xfId="28" applyFont="1" applyFill="1"/>
    <xf numFmtId="0" fontId="6" fillId="3" borderId="0" xfId="28" applyFont="1" applyFill="1" applyAlignment="1">
      <alignment horizontal="right"/>
    </xf>
    <xf numFmtId="0" fontId="6" fillId="3" borderId="0" xfId="28" applyFont="1" applyFill="1" applyAlignment="1">
      <alignment horizontal="center"/>
    </xf>
    <xf numFmtId="167" fontId="6" fillId="3" borderId="0" xfId="28" applyNumberFormat="1" applyFont="1" applyFill="1" applyAlignment="1">
      <alignment horizontal="center"/>
    </xf>
    <xf numFmtId="173" fontId="7" fillId="0" borderId="0" xfId="30" quotePrefix="1" applyFont="1" applyAlignment="1">
      <alignment horizontal="left" vertical="center"/>
    </xf>
    <xf numFmtId="173" fontId="20" fillId="0" borderId="0" xfId="30" applyFont="1" applyAlignment="1">
      <alignment horizontal="center" vertical="center"/>
    </xf>
    <xf numFmtId="170" fontId="7" fillId="0" borderId="0" xfId="34" applyNumberFormat="1" applyFont="1" applyAlignment="1">
      <alignment horizontal="left" vertical="center"/>
    </xf>
    <xf numFmtId="170" fontId="6" fillId="0" borderId="0" xfId="34" applyNumberFormat="1" applyFont="1" applyAlignment="1">
      <alignment horizontal="centerContinuous" vertical="center"/>
    </xf>
    <xf numFmtId="170" fontId="6" fillId="4" borderId="0" xfId="34" applyNumberFormat="1" applyFont="1" applyFill="1"/>
    <xf numFmtId="178" fontId="6" fillId="0" borderId="0" xfId="32" applyNumberFormat="1" applyFont="1" applyAlignment="1">
      <alignment horizontal="right"/>
    </xf>
    <xf numFmtId="0" fontId="20" fillId="0" borderId="0" xfId="36" applyFont="1" applyAlignment="1">
      <alignment horizontal="centerContinuous" vertical="center"/>
    </xf>
    <xf numFmtId="0" fontId="6" fillId="0" borderId="0" xfId="36" applyFont="1" applyAlignment="1">
      <alignment horizontal="centerContinuous" vertical="center"/>
    </xf>
    <xf numFmtId="0" fontId="6" fillId="0" borderId="0" xfId="36" applyFont="1"/>
    <xf numFmtId="0" fontId="6" fillId="0" borderId="0" xfId="15" applyFont="1" applyAlignment="1">
      <alignment horizontal="justify" vertical="center"/>
    </xf>
    <xf numFmtId="0" fontId="31" fillId="0" borderId="0" xfId="4" applyFont="1" applyAlignment="1">
      <alignment horizontal="left" vertical="center"/>
    </xf>
    <xf numFmtId="0" fontId="31" fillId="0" borderId="0" xfId="4" applyFont="1" applyAlignment="1">
      <alignment horizontal="right" vertical="center"/>
    </xf>
    <xf numFmtId="0" fontId="31" fillId="0" borderId="0" xfId="6" applyFont="1" applyAlignment="1">
      <alignment horizontal="right" vertical="center"/>
    </xf>
    <xf numFmtId="0" fontId="31" fillId="3" borderId="0" xfId="4" applyFont="1" applyFill="1" applyAlignment="1">
      <alignment horizontal="right" vertical="center"/>
    </xf>
    <xf numFmtId="0" fontId="31" fillId="0" borderId="0" xfId="8" applyFont="1" applyAlignment="1">
      <alignment horizontal="right" vertical="center"/>
    </xf>
    <xf numFmtId="188" fontId="6" fillId="0" borderId="0" xfId="4" applyNumberFormat="1" applyFont="1" applyAlignment="1">
      <alignment horizontal="right" vertical="center"/>
    </xf>
    <xf numFmtId="166" fontId="6" fillId="0" borderId="0" xfId="9" applyNumberFormat="1" applyFont="1" applyAlignment="1">
      <alignment horizontal="right" vertical="center"/>
    </xf>
    <xf numFmtId="166" fontId="6" fillId="0" borderId="0" xfId="9" applyNumberFormat="1" applyFont="1" applyAlignment="1">
      <alignment horizontal="left" vertical="center"/>
    </xf>
    <xf numFmtId="0" fontId="31" fillId="0" borderId="0" xfId="9" applyFont="1" applyAlignment="1">
      <alignment horizontal="right" vertical="center"/>
    </xf>
    <xf numFmtId="166" fontId="6" fillId="3" borderId="0" xfId="9" applyNumberFormat="1" applyFont="1" applyFill="1" applyAlignment="1">
      <alignment horizontal="right" vertical="center"/>
    </xf>
    <xf numFmtId="166" fontId="6" fillId="3" borderId="0" xfId="9" applyNumberFormat="1" applyFont="1" applyFill="1" applyAlignment="1">
      <alignment horizontal="left" vertical="center"/>
    </xf>
    <xf numFmtId="0" fontId="31" fillId="3" borderId="0" xfId="9" applyFont="1" applyFill="1" applyAlignment="1">
      <alignment horizontal="right" vertical="center"/>
    </xf>
    <xf numFmtId="0" fontId="31" fillId="0" borderId="0" xfId="9" applyFont="1" applyAlignment="1">
      <alignment horizontal="left" vertical="center"/>
    </xf>
    <xf numFmtId="166" fontId="32" fillId="0" borderId="0" xfId="9" applyNumberFormat="1" applyFont="1" applyAlignment="1">
      <alignment horizontal="left" vertical="center"/>
    </xf>
    <xf numFmtId="0" fontId="31" fillId="0" borderId="0" xfId="2" applyFont="1" applyAlignment="1">
      <alignment horizontal="left" vertical="center"/>
    </xf>
    <xf numFmtId="0" fontId="31" fillId="0" borderId="0" xfId="2" applyFont="1" applyAlignment="1">
      <alignment horizontal="right" vertical="center"/>
    </xf>
    <xf numFmtId="166" fontId="31" fillId="0" borderId="0" xfId="2" applyNumberFormat="1" applyFont="1" applyAlignment="1">
      <alignment horizontal="left" vertical="center"/>
    </xf>
    <xf numFmtId="0" fontId="30" fillId="0" borderId="0" xfId="2" applyFont="1" applyAlignment="1">
      <alignment horizontal="right" vertical="center"/>
    </xf>
    <xf numFmtId="166" fontId="31" fillId="0" borderId="0" xfId="9" applyNumberFormat="1" applyFont="1" applyAlignment="1">
      <alignment horizontal="right" vertical="center"/>
    </xf>
    <xf numFmtId="166" fontId="30" fillId="0" borderId="0" xfId="2" applyNumberFormat="1" applyFont="1" applyAlignment="1">
      <alignment horizontal="right" vertical="center"/>
    </xf>
    <xf numFmtId="166" fontId="31" fillId="0" borderId="0" xfId="2" applyNumberFormat="1" applyFont="1" applyAlignment="1">
      <alignment horizontal="right" vertical="center"/>
    </xf>
    <xf numFmtId="0" fontId="31" fillId="0" borderId="0" xfId="12" applyFont="1" applyAlignment="1">
      <alignment horizontal="right" vertical="center"/>
    </xf>
    <xf numFmtId="0" fontId="34" fillId="0" borderId="0" xfId="12" applyFont="1" applyAlignment="1">
      <alignment horizontal="right" vertical="center"/>
    </xf>
    <xf numFmtId="189" fontId="12" fillId="0" borderId="0" xfId="34" applyNumberFormat="1" applyFont="1" applyAlignment="1">
      <alignment vertical="center"/>
    </xf>
    <xf numFmtId="0" fontId="7" fillId="0" borderId="0" xfId="34" applyFont="1" applyAlignment="1">
      <alignment vertical="center"/>
    </xf>
    <xf numFmtId="0" fontId="31" fillId="0" borderId="0" xfId="36" applyFont="1"/>
    <xf numFmtId="0" fontId="31" fillId="0" borderId="0" xfId="36" applyFont="1" applyAlignment="1">
      <alignment vertical="top"/>
    </xf>
    <xf numFmtId="0" fontId="31" fillId="0" borderId="0" xfId="36" applyFont="1" applyAlignment="1">
      <alignment vertical="center"/>
    </xf>
    <xf numFmtId="173" fontId="30" fillId="0" borderId="0" xfId="29" applyFont="1" applyAlignment="1">
      <alignment horizontal="right"/>
    </xf>
    <xf numFmtId="173" fontId="30" fillId="0" borderId="0" xfId="29" applyFont="1" applyAlignment="1">
      <alignment horizontal="left"/>
    </xf>
    <xf numFmtId="173" fontId="30" fillId="0" borderId="0" xfId="29" quotePrefix="1" applyFont="1" applyAlignment="1">
      <alignment horizontal="left"/>
    </xf>
    <xf numFmtId="171" fontId="31" fillId="0" borderId="0" xfId="36" applyNumberFormat="1" applyFont="1"/>
    <xf numFmtId="173" fontId="30" fillId="0" borderId="0" xfId="29" applyFont="1"/>
    <xf numFmtId="170" fontId="31" fillId="0" borderId="0" xfId="36" applyNumberFormat="1" applyFont="1"/>
    <xf numFmtId="173" fontId="33" fillId="0" borderId="0" xfId="36" applyNumberFormat="1" applyFont="1" applyAlignment="1">
      <alignment horizontal="left"/>
    </xf>
    <xf numFmtId="181" fontId="31" fillId="0" borderId="0" xfId="37" applyNumberFormat="1" applyFont="1"/>
    <xf numFmtId="170" fontId="33" fillId="0" borderId="0" xfId="36" applyNumberFormat="1" applyFont="1"/>
    <xf numFmtId="0" fontId="6" fillId="0" borderId="0" xfId="22" applyFont="1" applyAlignment="1">
      <alignment vertical="center"/>
    </xf>
    <xf numFmtId="0" fontId="1" fillId="0" borderId="0" xfId="0" applyFont="1"/>
    <xf numFmtId="0" fontId="35" fillId="0" borderId="0" xfId="0" applyFont="1"/>
    <xf numFmtId="0" fontId="7" fillId="0" borderId="0" xfId="24" applyFont="1"/>
    <xf numFmtId="0" fontId="7" fillId="3" borderId="0" xfId="23" applyFont="1" applyFill="1"/>
    <xf numFmtId="0" fontId="1" fillId="0" borderId="0" xfId="0" applyFont="1" applyAlignment="1">
      <alignment horizontal="left" vertical="center"/>
    </xf>
    <xf numFmtId="49" fontId="15" fillId="2" borderId="4" xfId="0" applyNumberFormat="1" applyFont="1" applyFill="1" applyBorder="1" applyAlignment="1">
      <alignment horizontal="center" vertical="center" wrapText="1"/>
    </xf>
    <xf numFmtId="49" fontId="12" fillId="0" borderId="5" xfId="26" applyNumberFormat="1" applyFont="1" applyBorder="1" applyAlignment="1">
      <alignment horizontal="center" vertical="center" wrapText="1"/>
    </xf>
    <xf numFmtId="0" fontId="1" fillId="3" borderId="0" xfId="0" applyFont="1" applyFill="1"/>
    <xf numFmtId="0" fontId="36" fillId="3" borderId="0" xfId="0" applyFont="1" applyFill="1"/>
    <xf numFmtId="0" fontId="15" fillId="2" borderId="4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right" vertical="center" wrapText="1"/>
    </xf>
    <xf numFmtId="0" fontId="12" fillId="0" borderId="5" xfId="2" applyFont="1" applyBorder="1" applyAlignment="1">
      <alignment horizontal="left" vertical="center"/>
    </xf>
    <xf numFmtId="0" fontId="12" fillId="0" borderId="6" xfId="2" applyFont="1" applyBorder="1" applyAlignment="1">
      <alignment horizontal="left" vertical="center"/>
    </xf>
    <xf numFmtId="0" fontId="12" fillId="0" borderId="3" xfId="2" applyFont="1" applyBorder="1" applyAlignment="1">
      <alignment horizontal="left" vertical="center"/>
    </xf>
    <xf numFmtId="164" fontId="12" fillId="0" borderId="3" xfId="2" applyNumberFormat="1" applyFont="1" applyBorder="1" applyAlignment="1">
      <alignment horizontal="right" vertical="center"/>
    </xf>
    <xf numFmtId="164" fontId="12" fillId="0" borderId="0" xfId="2" applyNumberFormat="1" applyFont="1" applyAlignment="1">
      <alignment horizontal="right" vertical="center"/>
    </xf>
    <xf numFmtId="0" fontId="37" fillId="0" borderId="0" xfId="4" applyFont="1" applyAlignment="1">
      <alignment horizontal="right" vertical="center"/>
    </xf>
    <xf numFmtId="0" fontId="37" fillId="0" borderId="0" xfId="8" applyFont="1" applyAlignment="1">
      <alignment horizontal="right" vertical="center"/>
    </xf>
    <xf numFmtId="0" fontId="7" fillId="0" borderId="0" xfId="7" quotePrefix="1" applyFont="1" applyAlignment="1">
      <alignment horizontal="left" vertical="center"/>
    </xf>
    <xf numFmtId="0" fontId="15" fillId="3" borderId="0" xfId="1" applyFont="1" applyFill="1" applyAlignment="1">
      <alignment horizontal="right" vertical="center" wrapText="1"/>
    </xf>
    <xf numFmtId="3" fontId="15" fillId="2" borderId="0" xfId="4" applyNumberFormat="1" applyFont="1" applyFill="1" applyAlignment="1">
      <alignment horizontal="right" vertical="center"/>
    </xf>
    <xf numFmtId="165" fontId="12" fillId="0" borderId="0" xfId="5" applyNumberFormat="1" applyFont="1" applyAlignment="1" applyProtection="1">
      <alignment horizontal="right" vertical="center"/>
      <protection locked="0"/>
    </xf>
    <xf numFmtId="166" fontId="12" fillId="0" borderId="0" xfId="5" applyNumberFormat="1" applyFont="1" applyAlignment="1" applyProtection="1">
      <alignment horizontal="right" vertical="center"/>
      <protection locked="0"/>
    </xf>
    <xf numFmtId="165" fontId="12" fillId="0" borderId="3" xfId="4" applyNumberFormat="1" applyFont="1" applyBorder="1" applyAlignment="1">
      <alignment horizontal="right" vertical="center"/>
    </xf>
    <xf numFmtId="165" fontId="12" fillId="0" borderId="3" xfId="5" applyNumberFormat="1" applyFont="1" applyBorder="1" applyAlignment="1" applyProtection="1">
      <alignment horizontal="right" vertical="center"/>
      <protection locked="0"/>
    </xf>
    <xf numFmtId="166" fontId="12" fillId="0" borderId="3" xfId="5" applyNumberFormat="1" applyFont="1" applyBorder="1" applyAlignment="1" applyProtection="1">
      <alignment horizontal="right" vertical="center"/>
      <protection locked="0"/>
    </xf>
    <xf numFmtId="0" fontId="15" fillId="3" borderId="5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vertical="center"/>
    </xf>
    <xf numFmtId="0" fontId="12" fillId="0" borderId="5" xfId="5" applyFont="1" applyBorder="1" applyAlignment="1">
      <alignment vertical="center"/>
    </xf>
    <xf numFmtId="0" fontId="12" fillId="0" borderId="6" xfId="5" applyFont="1" applyBorder="1" applyAlignment="1">
      <alignment vertical="center"/>
    </xf>
    <xf numFmtId="165" fontId="15" fillId="0" borderId="0" xfId="8" quotePrefix="1" applyNumberFormat="1" applyFont="1" applyAlignment="1">
      <alignment horizontal="right" vertical="center"/>
    </xf>
    <xf numFmtId="3" fontId="15" fillId="2" borderId="0" xfId="1" applyNumberFormat="1" applyFont="1" applyFill="1" applyAlignment="1">
      <alignment horizontal="right" vertical="center" wrapText="1"/>
    </xf>
    <xf numFmtId="166" fontId="12" fillId="0" borderId="0" xfId="8" applyNumberFormat="1" applyFont="1" applyAlignment="1">
      <alignment horizontal="right" vertical="center"/>
    </xf>
    <xf numFmtId="3" fontId="31" fillId="0" borderId="3" xfId="5" applyNumberFormat="1" applyFont="1" applyBorder="1" applyAlignment="1" applyProtection="1">
      <alignment horizontal="right" vertical="center"/>
      <protection locked="0"/>
    </xf>
    <xf numFmtId="0" fontId="15" fillId="0" borderId="5" xfId="9" applyFont="1" applyBorder="1" applyAlignment="1">
      <alignment horizontal="center" vertical="center"/>
    </xf>
    <xf numFmtId="0" fontId="12" fillId="2" borderId="5" xfId="1" applyFont="1" applyFill="1" applyBorder="1" applyAlignment="1">
      <alignment vertical="center"/>
    </xf>
    <xf numFmtId="0" fontId="12" fillId="0" borderId="5" xfId="8" quotePrefix="1" applyFont="1" applyBorder="1" applyAlignment="1">
      <alignment horizontal="left" vertical="center"/>
    </xf>
    <xf numFmtId="0" fontId="12" fillId="0" borderId="5" xfId="8" applyFont="1" applyBorder="1" applyAlignment="1">
      <alignment horizontal="left" vertical="center"/>
    </xf>
    <xf numFmtId="0" fontId="12" fillId="0" borderId="5" xfId="10" applyFont="1" applyBorder="1" applyAlignment="1">
      <alignment horizontal="left" vertical="center" wrapText="1"/>
    </xf>
    <xf numFmtId="0" fontId="31" fillId="0" borderId="6" xfId="8" applyFont="1" applyBorder="1" applyAlignment="1">
      <alignment horizontal="left" vertical="center"/>
    </xf>
    <xf numFmtId="0" fontId="15" fillId="0" borderId="0" xfId="10" applyFont="1" applyAlignment="1">
      <alignment horizontal="right" vertical="center"/>
    </xf>
    <xf numFmtId="166" fontId="15" fillId="2" borderId="0" xfId="8" applyNumberFormat="1" applyFont="1" applyFill="1" applyAlignment="1">
      <alignment horizontal="right" vertical="center"/>
    </xf>
    <xf numFmtId="1" fontId="6" fillId="0" borderId="3" xfId="10" applyNumberFormat="1" applyFont="1" applyBorder="1" applyAlignment="1">
      <alignment horizontal="right" vertical="center"/>
    </xf>
    <xf numFmtId="165" fontId="6" fillId="0" borderId="3" xfId="10" applyNumberFormat="1" applyFont="1" applyBorder="1" applyAlignment="1">
      <alignment horizontal="right" vertical="center"/>
    </xf>
    <xf numFmtId="0" fontId="15" fillId="0" borderId="0" xfId="10" quotePrefix="1" applyFont="1" applyAlignment="1">
      <alignment horizontal="right" vertical="center"/>
    </xf>
    <xf numFmtId="0" fontId="12" fillId="0" borderId="5" xfId="5" applyFont="1" applyBorder="1"/>
    <xf numFmtId="0" fontId="6" fillId="0" borderId="6" xfId="10" applyFont="1" applyBorder="1" applyAlignment="1">
      <alignment horizontal="left" vertical="center"/>
    </xf>
    <xf numFmtId="0" fontId="15" fillId="2" borderId="12" xfId="1" applyFont="1" applyFill="1" applyBorder="1" applyAlignment="1">
      <alignment horizontal="right" vertical="center" wrapText="1"/>
    </xf>
    <xf numFmtId="0" fontId="15" fillId="0" borderId="13" xfId="10" applyFont="1" applyBorder="1" applyAlignment="1">
      <alignment horizontal="right" vertical="center"/>
    </xf>
    <xf numFmtId="166" fontId="15" fillId="2" borderId="13" xfId="8" applyNumberFormat="1" applyFont="1" applyFill="1" applyBorder="1" applyAlignment="1">
      <alignment horizontal="right" vertical="center"/>
    </xf>
    <xf numFmtId="166" fontId="12" fillId="0" borderId="13" xfId="6" applyNumberFormat="1" applyFont="1" applyBorder="1" applyAlignment="1">
      <alignment vertical="center"/>
    </xf>
    <xf numFmtId="166" fontId="12" fillId="0" borderId="0" xfId="6" applyNumberFormat="1" applyFont="1" applyAlignment="1">
      <alignment vertical="center"/>
    </xf>
    <xf numFmtId="166" fontId="12" fillId="0" borderId="0" xfId="6" applyNumberFormat="1" applyFont="1" applyAlignment="1">
      <alignment horizontal="right" vertical="center"/>
    </xf>
    <xf numFmtId="0" fontId="31" fillId="0" borderId="3" xfId="6" applyFont="1" applyBorder="1" applyAlignment="1">
      <alignment horizontal="right" vertical="center"/>
    </xf>
    <xf numFmtId="0" fontId="31" fillId="0" borderId="15" xfId="6" applyFont="1" applyBorder="1" applyAlignment="1">
      <alignment horizontal="right" vertical="center"/>
    </xf>
    <xf numFmtId="0" fontId="12" fillId="0" borderId="5" xfId="5" applyFont="1" applyBorder="1" applyAlignment="1" applyProtection="1">
      <alignment horizontal="left" vertical="center"/>
      <protection locked="0"/>
    </xf>
    <xf numFmtId="0" fontId="12" fillId="0" borderId="5" xfId="6" quotePrefix="1" applyFont="1" applyBorder="1" applyAlignment="1">
      <alignment horizontal="left" vertical="center"/>
    </xf>
    <xf numFmtId="0" fontId="12" fillId="0" borderId="5" xfId="6" applyFont="1" applyBorder="1" applyAlignment="1">
      <alignment horizontal="left" vertical="center"/>
    </xf>
    <xf numFmtId="0" fontId="31" fillId="0" borderId="6" xfId="6" applyFont="1" applyBorder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15" fillId="0" borderId="5" xfId="2" applyFont="1" applyBorder="1" applyAlignment="1">
      <alignment horizontal="center" vertical="center"/>
    </xf>
    <xf numFmtId="49" fontId="15" fillId="0" borderId="13" xfId="2" applyNumberFormat="1" applyFont="1" applyBorder="1" applyAlignment="1">
      <alignment horizontal="right" vertical="center"/>
    </xf>
    <xf numFmtId="0" fontId="15" fillId="0" borderId="5" xfId="2" applyFont="1" applyBorder="1" applyAlignment="1">
      <alignment horizontal="left" vertical="center"/>
    </xf>
    <xf numFmtId="166" fontId="15" fillId="0" borderId="13" xfId="2" applyNumberFormat="1" applyFont="1" applyBorder="1" applyAlignment="1">
      <alignment horizontal="right" vertical="center"/>
    </xf>
    <xf numFmtId="166" fontId="12" fillId="0" borderId="13" xfId="2" applyNumberFormat="1" applyFont="1" applyBorder="1" applyAlignment="1">
      <alignment horizontal="right" vertical="center"/>
    </xf>
    <xf numFmtId="0" fontId="15" fillId="3" borderId="0" xfId="10" applyFont="1" applyFill="1" applyAlignment="1">
      <alignment horizontal="right" vertical="center"/>
    </xf>
    <xf numFmtId="166" fontId="15" fillId="0" borderId="0" xfId="9" applyNumberFormat="1" applyFont="1" applyAlignment="1">
      <alignment horizontal="right" vertical="center"/>
    </xf>
    <xf numFmtId="166" fontId="12" fillId="0" borderId="0" xfId="9" applyNumberFormat="1" applyFont="1" applyAlignment="1">
      <alignment horizontal="right" vertical="center"/>
    </xf>
    <xf numFmtId="1" fontId="6" fillId="0" borderId="3" xfId="9" applyNumberFormat="1" applyFont="1" applyBorder="1" applyAlignment="1">
      <alignment horizontal="right" vertical="center"/>
    </xf>
    <xf numFmtId="0" fontId="12" fillId="0" borderId="5" xfId="9" applyFont="1" applyBorder="1" applyAlignment="1">
      <alignment horizontal="left" vertical="center"/>
    </xf>
    <xf numFmtId="0" fontId="6" fillId="0" borderId="6" xfId="9" applyFont="1" applyBorder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164" fontId="15" fillId="0" borderId="0" xfId="2" applyNumberFormat="1" applyFont="1" applyAlignment="1">
      <alignment horizontal="right" vertical="center"/>
    </xf>
    <xf numFmtId="166" fontId="15" fillId="0" borderId="0" xfId="2" applyNumberFormat="1" applyFont="1" applyAlignment="1">
      <alignment horizontal="right" vertical="center"/>
    </xf>
    <xf numFmtId="166" fontId="12" fillId="0" borderId="0" xfId="2" applyNumberFormat="1" applyFont="1" applyAlignment="1">
      <alignment horizontal="right" vertical="center"/>
    </xf>
    <xf numFmtId="165" fontId="12" fillId="0" borderId="0" xfId="2" applyNumberFormat="1" applyFont="1" applyAlignment="1">
      <alignment horizontal="right" vertical="center"/>
    </xf>
    <xf numFmtId="0" fontId="31" fillId="0" borderId="3" xfId="2" applyFont="1" applyBorder="1" applyAlignment="1">
      <alignment horizontal="left" vertical="center"/>
    </xf>
    <xf numFmtId="0" fontId="31" fillId="0" borderId="6" xfId="2" applyFont="1" applyBorder="1" applyAlignment="1">
      <alignment horizontal="left" vertical="center"/>
    </xf>
    <xf numFmtId="0" fontId="31" fillId="0" borderId="3" xfId="2" applyFont="1" applyBorder="1" applyAlignment="1">
      <alignment horizontal="right" vertical="center"/>
    </xf>
    <xf numFmtId="0" fontId="6" fillId="0" borderId="3" xfId="2" applyFont="1" applyBorder="1" applyAlignment="1">
      <alignment horizontal="right" vertical="center"/>
    </xf>
    <xf numFmtId="0" fontId="6" fillId="0" borderId="15" xfId="2" applyFont="1" applyBorder="1" applyAlignment="1">
      <alignment horizontal="right" vertical="center"/>
    </xf>
    <xf numFmtId="0" fontId="37" fillId="0" borderId="0" xfId="0" applyFont="1"/>
    <xf numFmtId="0" fontId="37" fillId="0" borderId="0" xfId="2" applyFont="1" applyAlignment="1">
      <alignment horizontal="right" vertical="center"/>
    </xf>
    <xf numFmtId="0" fontId="12" fillId="0" borderId="5" xfId="11" applyFont="1" applyBorder="1" applyAlignment="1">
      <alignment horizontal="left" vertical="center"/>
    </xf>
    <xf numFmtId="0" fontId="12" fillId="0" borderId="7" xfId="11" applyFont="1" applyBorder="1" applyAlignment="1">
      <alignment horizontal="right" vertical="center"/>
    </xf>
    <xf numFmtId="0" fontId="12" fillId="0" borderId="5" xfId="11" applyFont="1" applyBorder="1" applyAlignment="1">
      <alignment horizontal="left" vertical="center" wrapText="1"/>
    </xf>
    <xf numFmtId="0" fontId="12" fillId="0" borderId="6" xfId="11" applyFont="1" applyBorder="1" applyAlignment="1">
      <alignment horizontal="left" vertical="center"/>
    </xf>
    <xf numFmtId="0" fontId="12" fillId="0" borderId="3" xfId="11" applyFont="1" applyBorder="1" applyAlignment="1">
      <alignment horizontal="right" vertical="center"/>
    </xf>
    <xf numFmtId="0" fontId="12" fillId="0" borderId="0" xfId="11" applyFont="1" applyAlignment="1">
      <alignment horizontal="right" vertical="center" wrapText="1"/>
    </xf>
    <xf numFmtId="166" fontId="12" fillId="0" borderId="0" xfId="12" applyNumberFormat="1" applyFont="1" applyAlignment="1">
      <alignment horizontal="right" vertical="center"/>
    </xf>
    <xf numFmtId="166" fontId="18" fillId="0" borderId="0" xfId="12" applyNumberFormat="1" applyFont="1" applyAlignment="1">
      <alignment horizontal="right" vertical="center"/>
    </xf>
    <xf numFmtId="166" fontId="12" fillId="0" borderId="14" xfId="12" applyNumberFormat="1" applyFont="1" applyBorder="1" applyAlignment="1">
      <alignment horizontal="right" vertical="center"/>
    </xf>
    <xf numFmtId="0" fontId="12" fillId="0" borderId="5" xfId="12" applyFont="1" applyBorder="1" applyAlignment="1">
      <alignment horizontal="left" vertical="center"/>
    </xf>
    <xf numFmtId="0" fontId="18" fillId="0" borderId="5" xfId="12" applyFont="1" applyBorder="1" applyAlignment="1">
      <alignment horizontal="left" vertical="center"/>
    </xf>
    <xf numFmtId="0" fontId="12" fillId="0" borderId="11" xfId="12" applyFont="1" applyBorder="1" applyAlignment="1">
      <alignment horizontal="left" vertical="center"/>
    </xf>
    <xf numFmtId="0" fontId="15" fillId="2" borderId="7" xfId="1" applyFont="1" applyFill="1" applyBorder="1" applyAlignment="1">
      <alignment horizontal="right" wrapText="1"/>
    </xf>
    <xf numFmtId="0" fontId="15" fillId="2" borderId="7" xfId="1" applyFont="1" applyFill="1" applyBorder="1" applyAlignment="1">
      <alignment horizontal="right" vertical="center" wrapText="1"/>
    </xf>
    <xf numFmtId="0" fontId="15" fillId="2" borderId="7" xfId="2" applyFont="1" applyFill="1" applyBorder="1" applyAlignment="1">
      <alignment horizontal="right"/>
    </xf>
    <xf numFmtId="0" fontId="15" fillId="2" borderId="7" xfId="2" applyFont="1" applyFill="1" applyBorder="1" applyAlignment="1">
      <alignment horizontal="right" vertical="center"/>
    </xf>
    <xf numFmtId="0" fontId="15" fillId="2" borderId="3" xfId="1" applyFont="1" applyFill="1" applyBorder="1" applyAlignment="1">
      <alignment horizontal="right" vertical="top" wrapText="1"/>
    </xf>
    <xf numFmtId="0" fontId="15" fillId="2" borderId="3" xfId="1" applyFont="1" applyFill="1" applyBorder="1" applyAlignment="1">
      <alignment vertical="top" wrapText="1"/>
    </xf>
    <xf numFmtId="0" fontId="15" fillId="2" borderId="3" xfId="1" applyFont="1" applyFill="1" applyBorder="1" applyAlignment="1">
      <alignment vertical="center" wrapText="1"/>
    </xf>
    <xf numFmtId="49" fontId="15" fillId="2" borderId="3" xfId="2" applyNumberFormat="1" applyFont="1" applyFill="1" applyBorder="1" applyAlignment="1">
      <alignment horizontal="right" vertical="top"/>
    </xf>
    <xf numFmtId="0" fontId="15" fillId="2" borderId="3" xfId="2" applyFont="1" applyFill="1" applyBorder="1" applyAlignment="1">
      <alignment vertical="center"/>
    </xf>
    <xf numFmtId="49" fontId="12" fillId="0" borderId="5" xfId="13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indent="1"/>
    </xf>
    <xf numFmtId="49" fontId="12" fillId="0" borderId="5" xfId="2" applyNumberFormat="1" applyFont="1" applyBorder="1" applyAlignment="1">
      <alignment horizontal="left" vertical="center" indent="1"/>
    </xf>
    <xf numFmtId="168" fontId="12" fillId="0" borderId="13" xfId="2" applyNumberFormat="1" applyFont="1" applyBorder="1" applyAlignment="1">
      <alignment horizontal="right" vertical="center"/>
    </xf>
    <xf numFmtId="0" fontId="15" fillId="2" borderId="0" xfId="1" applyFont="1" applyFill="1" applyAlignment="1">
      <alignment horizontal="right" vertical="center" wrapText="1"/>
    </xf>
    <xf numFmtId="0" fontId="15" fillId="2" borderId="0" xfId="1" applyFont="1" applyFill="1" applyAlignment="1">
      <alignment horizontal="right" vertical="top" wrapText="1"/>
    </xf>
    <xf numFmtId="0" fontId="15" fillId="2" borderId="0" xfId="2" applyFont="1" applyFill="1" applyAlignment="1">
      <alignment horizontal="right" vertical="center"/>
    </xf>
    <xf numFmtId="168" fontId="12" fillId="0" borderId="0" xfId="2" applyNumberFormat="1" applyFont="1" applyAlignment="1">
      <alignment horizontal="right" vertical="center"/>
    </xf>
    <xf numFmtId="168" fontId="12" fillId="0" borderId="0" xfId="0" applyNumberFormat="1" applyFont="1" applyAlignment="1">
      <alignment horizontal="right"/>
    </xf>
    <xf numFmtId="168" fontId="12" fillId="0" borderId="0" xfId="14" applyNumberFormat="1" applyFont="1" applyAlignment="1">
      <alignment horizontal="right"/>
    </xf>
    <xf numFmtId="168" fontId="12" fillId="0" borderId="0" xfId="5" applyNumberFormat="1" applyFont="1" applyAlignment="1">
      <alignment horizontal="right"/>
    </xf>
    <xf numFmtId="49" fontId="12" fillId="0" borderId="6" xfId="2" applyNumberFormat="1" applyFont="1" applyBorder="1" applyAlignment="1">
      <alignment horizontal="left" vertical="center" indent="1"/>
    </xf>
    <xf numFmtId="168" fontId="12" fillId="0" borderId="15" xfId="2" applyNumberFormat="1" applyFont="1" applyBorder="1" applyAlignment="1">
      <alignment horizontal="right" vertical="center"/>
    </xf>
    <xf numFmtId="168" fontId="12" fillId="0" borderId="3" xfId="2" applyNumberFormat="1" applyFont="1" applyBorder="1" applyAlignment="1">
      <alignment horizontal="right" vertical="center"/>
    </xf>
    <xf numFmtId="168" fontId="12" fillId="0" borderId="3" xfId="5" applyNumberFormat="1" applyFont="1" applyBorder="1" applyAlignment="1">
      <alignment horizontal="right"/>
    </xf>
    <xf numFmtId="0" fontId="37" fillId="0" borderId="0" xfId="15" applyFont="1" applyAlignment="1">
      <alignment horizontal="right" vertical="center"/>
    </xf>
    <xf numFmtId="0" fontId="15" fillId="2" borderId="4" xfId="15" applyFont="1" applyFill="1" applyBorder="1" applyAlignment="1">
      <alignment horizontal="center" vertical="center"/>
    </xf>
    <xf numFmtId="0" fontId="15" fillId="2" borderId="2" xfId="15" applyFont="1" applyFill="1" applyBorder="1" applyAlignment="1">
      <alignment horizontal="right" vertical="center"/>
    </xf>
    <xf numFmtId="0" fontId="12" fillId="0" borderId="5" xfId="15" applyFont="1" applyBorder="1" applyAlignment="1">
      <alignment horizontal="left" vertical="center"/>
    </xf>
    <xf numFmtId="164" fontId="12" fillId="0" borderId="0" xfId="17" quotePrefix="1" applyNumberFormat="1" applyFont="1" applyAlignment="1">
      <alignment horizontal="right" vertical="center"/>
    </xf>
    <xf numFmtId="166" fontId="12" fillId="0" borderId="0" xfId="17" quotePrefix="1" applyNumberFormat="1" applyFont="1" applyAlignment="1">
      <alignment horizontal="right" vertical="center"/>
    </xf>
    <xf numFmtId="166" fontId="12" fillId="3" borderId="0" xfId="17" quotePrefix="1" applyNumberFormat="1" applyFont="1" applyFill="1" applyAlignment="1">
      <alignment horizontal="right" vertical="center"/>
    </xf>
    <xf numFmtId="0" fontId="12" fillId="0" borderId="6" xfId="15" applyFont="1" applyBorder="1" applyAlignment="1">
      <alignment horizontal="left" vertical="center"/>
    </xf>
    <xf numFmtId="166" fontId="12" fillId="0" borderId="3" xfId="17" quotePrefix="1" applyNumberFormat="1" applyFont="1" applyBorder="1" applyAlignment="1">
      <alignment horizontal="right" vertical="center"/>
    </xf>
    <xf numFmtId="166" fontId="12" fillId="3" borderId="3" xfId="17" quotePrefix="1" applyNumberFormat="1" applyFont="1" applyFill="1" applyBorder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12" fillId="0" borderId="5" xfId="1" applyFont="1" applyBorder="1" applyAlignment="1">
      <alignment vertical="center" wrapText="1"/>
    </xf>
    <xf numFmtId="166" fontId="12" fillId="3" borderId="7" xfId="15" applyNumberFormat="1" applyFont="1" applyFill="1" applyBorder="1" applyAlignment="1">
      <alignment horizontal="right" vertical="center"/>
    </xf>
    <xf numFmtId="0" fontId="12" fillId="0" borderId="5" xfId="1" applyFont="1" applyBorder="1" applyAlignment="1">
      <alignment vertical="center"/>
    </xf>
    <xf numFmtId="0" fontId="12" fillId="0" borderId="6" xfId="1" applyFont="1" applyBorder="1" applyAlignment="1">
      <alignment vertical="center"/>
    </xf>
    <xf numFmtId="3" fontId="12" fillId="0" borderId="3" xfId="8" quotePrefix="1" applyNumberFormat="1" applyFont="1" applyBorder="1" applyAlignment="1">
      <alignment horizontal="right" vertical="center"/>
    </xf>
    <xf numFmtId="3" fontId="12" fillId="3" borderId="3" xfId="8" quotePrefix="1" applyNumberFormat="1" applyFont="1" applyFill="1" applyBorder="1" applyAlignment="1">
      <alignment horizontal="right" vertical="center"/>
    </xf>
    <xf numFmtId="3" fontId="12" fillId="0" borderId="0" xfId="8" quotePrefix="1" applyNumberFormat="1" applyFont="1" applyAlignment="1">
      <alignment horizontal="right" vertical="center"/>
    </xf>
    <xf numFmtId="3" fontId="12" fillId="3" borderId="0" xfId="8" quotePrefix="1" applyNumberFormat="1" applyFont="1" applyFill="1" applyAlignment="1">
      <alignment horizontal="right" vertical="center"/>
    </xf>
    <xf numFmtId="166" fontId="12" fillId="3" borderId="0" xfId="15" applyNumberFormat="1" applyFont="1" applyFill="1" applyAlignment="1">
      <alignment horizontal="right" vertical="center"/>
    </xf>
    <xf numFmtId="0" fontId="15" fillId="2" borderId="2" xfId="12" applyFont="1" applyFill="1" applyBorder="1" applyAlignment="1">
      <alignment horizontal="right" vertical="center"/>
    </xf>
    <xf numFmtId="0" fontId="15" fillId="2" borderId="9" xfId="12" applyFont="1" applyFill="1" applyBorder="1" applyAlignment="1">
      <alignment horizontal="right" vertical="center"/>
    </xf>
    <xf numFmtId="0" fontId="12" fillId="0" borderId="5" xfId="12" applyFont="1" applyBorder="1" applyAlignment="1">
      <alignment horizontal="right" vertical="center"/>
    </xf>
    <xf numFmtId="0" fontId="12" fillId="0" borderId="1" xfId="12" applyFont="1" applyBorder="1" applyAlignment="1">
      <alignment horizontal="right" vertical="center"/>
    </xf>
    <xf numFmtId="0" fontId="15" fillId="0" borderId="0" xfId="12" applyFont="1" applyAlignment="1">
      <alignment horizontal="center" vertical="center"/>
    </xf>
    <xf numFmtId="0" fontId="15" fillId="0" borderId="0" xfId="12" applyFont="1" applyAlignment="1">
      <alignment horizontal="right" vertical="center"/>
    </xf>
    <xf numFmtId="0" fontId="12" fillId="0" borderId="3" xfId="12" applyFont="1" applyBorder="1" applyAlignment="1">
      <alignment vertical="center"/>
    </xf>
    <xf numFmtId="0" fontId="12" fillId="0" borderId="6" xfId="12" applyFont="1" applyBorder="1" applyAlignment="1">
      <alignment horizontal="right" vertical="center"/>
    </xf>
    <xf numFmtId="166" fontId="12" fillId="0" borderId="3" xfId="12" applyNumberFormat="1" applyFont="1" applyBorder="1" applyAlignment="1">
      <alignment horizontal="right" vertical="center"/>
    </xf>
    <xf numFmtId="0" fontId="12" fillId="0" borderId="8" xfId="12" applyFont="1" applyBorder="1" applyAlignment="1">
      <alignment horizontal="right" vertical="center"/>
    </xf>
    <xf numFmtId="0" fontId="15" fillId="2" borderId="4" xfId="19" applyFont="1" applyFill="1" applyBorder="1" applyAlignment="1">
      <alignment horizontal="center" vertical="center" wrapText="1"/>
    </xf>
    <xf numFmtId="0" fontId="15" fillId="2" borderId="2" xfId="19" applyFont="1" applyFill="1" applyBorder="1" applyAlignment="1">
      <alignment horizontal="center" vertical="center" wrapText="1"/>
    </xf>
    <xf numFmtId="0" fontId="15" fillId="2" borderId="2" xfId="19" applyFont="1" applyFill="1" applyBorder="1" applyAlignment="1">
      <alignment horizontal="right" vertical="center"/>
    </xf>
    <xf numFmtId="1" fontId="15" fillId="2" borderId="2" xfId="21" applyNumberFormat="1" applyFont="1" applyFill="1" applyBorder="1" applyAlignment="1">
      <alignment horizontal="right" vertical="center"/>
    </xf>
    <xf numFmtId="0" fontId="12" fillId="0" borderId="5" xfId="19" applyFont="1" applyBorder="1" applyAlignment="1">
      <alignment vertical="center" wrapText="1"/>
    </xf>
    <xf numFmtId="0" fontId="12" fillId="0" borderId="6" xfId="19" applyFont="1" applyBorder="1" applyAlignment="1">
      <alignment vertical="center" wrapText="1"/>
    </xf>
    <xf numFmtId="49" fontId="12" fillId="0" borderId="3" xfId="19" applyNumberFormat="1" applyFont="1" applyBorder="1" applyAlignment="1">
      <alignment horizontal="center" vertical="center"/>
    </xf>
    <xf numFmtId="170" fontId="12" fillId="0" borderId="3" xfId="19" applyNumberFormat="1" applyFont="1" applyBorder="1" applyAlignment="1">
      <alignment horizontal="right" vertical="center"/>
    </xf>
    <xf numFmtId="3" fontId="12" fillId="0" borderId="3" xfId="19" applyNumberFormat="1" applyFont="1" applyBorder="1" applyAlignment="1">
      <alignment horizontal="right" vertical="center"/>
    </xf>
    <xf numFmtId="3" fontId="12" fillId="3" borderId="3" xfId="19" applyNumberFormat="1" applyFont="1" applyFill="1" applyBorder="1" applyAlignment="1">
      <alignment vertical="center"/>
    </xf>
    <xf numFmtId="171" fontId="15" fillId="0" borderId="5" xfId="21" applyFont="1" applyBorder="1" applyAlignment="1">
      <alignment horizontal="center" vertical="center"/>
    </xf>
    <xf numFmtId="171" fontId="15" fillId="0" borderId="5" xfId="21" applyFont="1" applyBorder="1" applyAlignment="1">
      <alignment vertical="center"/>
    </xf>
    <xf numFmtId="171" fontId="12" fillId="0" borderId="5" xfId="21" applyFont="1" applyBorder="1" applyAlignment="1">
      <alignment horizontal="left" vertical="center" indent="1"/>
    </xf>
    <xf numFmtId="0" fontId="12" fillId="0" borderId="0" xfId="19" applyFont="1" applyAlignment="1">
      <alignment horizontal="center" vertical="center"/>
    </xf>
    <xf numFmtId="170" fontId="12" fillId="0" borderId="0" xfId="19" applyNumberFormat="1" applyFont="1" applyAlignment="1">
      <alignment horizontal="right" vertical="center"/>
    </xf>
    <xf numFmtId="3" fontId="12" fillId="0" borderId="0" xfId="19" applyNumberFormat="1" applyFont="1" applyAlignment="1">
      <alignment horizontal="right" vertical="center"/>
    </xf>
    <xf numFmtId="3" fontId="12" fillId="3" borderId="0" xfId="19" applyNumberFormat="1" applyFont="1" applyFill="1" applyAlignment="1">
      <alignment horizontal="right" vertical="center"/>
    </xf>
    <xf numFmtId="3" fontId="12" fillId="3" borderId="0" xfId="19" applyNumberFormat="1" applyFont="1" applyFill="1" applyAlignment="1">
      <alignment vertical="center"/>
    </xf>
    <xf numFmtId="49" fontId="12" fillId="0" borderId="0" xfId="19" applyNumberFormat="1" applyFont="1" applyAlignment="1">
      <alignment horizontal="center" vertical="center"/>
    </xf>
    <xf numFmtId="171" fontId="15" fillId="0" borderId="0" xfId="21" applyFont="1" applyAlignment="1">
      <alignment horizontal="center" vertical="center"/>
    </xf>
    <xf numFmtId="1" fontId="15" fillId="0" borderId="0" xfId="21" applyNumberFormat="1" applyFont="1" applyAlignment="1">
      <alignment horizontal="right" vertical="center"/>
    </xf>
    <xf numFmtId="171" fontId="15" fillId="0" borderId="0" xfId="21" applyFont="1" applyAlignment="1">
      <alignment vertical="center"/>
    </xf>
    <xf numFmtId="169" fontId="15" fillId="0" borderId="0" xfId="2" applyNumberFormat="1" applyFont="1" applyAlignment="1">
      <alignment horizontal="right" vertical="center"/>
    </xf>
    <xf numFmtId="169" fontId="15" fillId="3" borderId="0" xfId="2" applyNumberFormat="1" applyFont="1" applyFill="1" applyAlignment="1">
      <alignment horizontal="right" vertical="center"/>
    </xf>
    <xf numFmtId="171" fontId="12" fillId="0" borderId="0" xfId="21" applyFont="1" applyAlignment="1">
      <alignment horizontal="left" vertical="center" indent="1"/>
    </xf>
    <xf numFmtId="169" fontId="12" fillId="0" borderId="0" xfId="2" applyNumberFormat="1" applyFont="1" applyAlignment="1">
      <alignment horizontal="right" vertical="center"/>
    </xf>
    <xf numFmtId="169" fontId="12" fillId="3" borderId="0" xfId="2" applyNumberFormat="1" applyFont="1" applyFill="1" applyAlignment="1">
      <alignment horizontal="right" vertical="center"/>
    </xf>
    <xf numFmtId="171" fontId="12" fillId="0" borderId="3" xfId="21" applyFont="1" applyBorder="1" applyAlignment="1">
      <alignment horizontal="left" vertical="center" indent="1"/>
    </xf>
    <xf numFmtId="171" fontId="12" fillId="0" borderId="6" xfId="21" applyFont="1" applyBorder="1" applyAlignment="1">
      <alignment horizontal="left" vertical="center" indent="1"/>
    </xf>
    <xf numFmtId="169" fontId="12" fillId="0" borderId="3" xfId="2" applyNumberFormat="1" applyFont="1" applyBorder="1" applyAlignment="1">
      <alignment horizontal="right" vertical="center"/>
    </xf>
    <xf numFmtId="169" fontId="12" fillId="3" borderId="3" xfId="2" applyNumberFormat="1" applyFont="1" applyFill="1" applyBorder="1" applyAlignment="1">
      <alignment horizontal="right" vertical="center"/>
    </xf>
    <xf numFmtId="171" fontId="38" fillId="0" borderId="0" xfId="21" applyFont="1" applyAlignment="1">
      <alignment horizontal="right" vertical="center"/>
    </xf>
    <xf numFmtId="171" fontId="37" fillId="0" borderId="0" xfId="21" applyFont="1" applyAlignment="1">
      <alignment horizontal="right" vertical="center"/>
    </xf>
    <xf numFmtId="0" fontId="40" fillId="0" borderId="0" xfId="1" applyFont="1" applyAlignment="1">
      <alignment vertical="center"/>
    </xf>
    <xf numFmtId="0" fontId="37" fillId="0" borderId="0" xfId="19" applyFont="1"/>
    <xf numFmtId="0" fontId="37" fillId="0" borderId="0" xfId="12" applyFont="1" applyAlignment="1">
      <alignment horizontal="right" vertical="center"/>
    </xf>
    <xf numFmtId="0" fontId="37" fillId="0" borderId="0" xfId="5" applyFont="1"/>
    <xf numFmtId="0" fontId="37" fillId="0" borderId="0" xfId="22" applyFont="1"/>
    <xf numFmtId="0" fontId="15" fillId="2" borderId="4" xfId="22" applyFont="1" applyFill="1" applyBorder="1" applyAlignment="1">
      <alignment horizontal="center" vertical="center"/>
    </xf>
    <xf numFmtId="0" fontId="15" fillId="2" borderId="2" xfId="22" applyFont="1" applyFill="1" applyBorder="1" applyAlignment="1">
      <alignment horizontal="right" vertical="center"/>
    </xf>
    <xf numFmtId="0" fontId="15" fillId="2" borderId="2" xfId="22" applyFont="1" applyFill="1" applyBorder="1" applyAlignment="1">
      <alignment horizontal="right" vertical="center" wrapText="1"/>
    </xf>
    <xf numFmtId="0" fontId="15" fillId="4" borderId="5" xfId="22" applyFont="1" applyFill="1" applyBorder="1" applyAlignment="1">
      <alignment horizontal="left" vertical="center"/>
    </xf>
    <xf numFmtId="0" fontId="12" fillId="4" borderId="5" xfId="22" applyFont="1" applyFill="1" applyBorder="1" applyAlignment="1">
      <alignment horizontal="center" vertical="center"/>
    </xf>
    <xf numFmtId="0" fontId="12" fillId="0" borderId="5" xfId="22" applyFont="1" applyBorder="1" applyAlignment="1">
      <alignment horizontal="center" vertical="center"/>
    </xf>
    <xf numFmtId="49" fontId="12" fillId="0" borderId="5" xfId="22" applyNumberFormat="1" applyFont="1" applyBorder="1" applyAlignment="1">
      <alignment horizontal="center" vertical="center"/>
    </xf>
    <xf numFmtId="0" fontId="15" fillId="0" borderId="0" xfId="22" applyFont="1" applyAlignment="1">
      <alignment horizontal="right" vertical="center"/>
    </xf>
    <xf numFmtId="0" fontId="15" fillId="4" borderId="0" xfId="22" applyFont="1" applyFill="1" applyAlignment="1">
      <alignment horizontal="right" vertical="center" wrapText="1"/>
    </xf>
    <xf numFmtId="0" fontId="15" fillId="4" borderId="0" xfId="22" applyFont="1" applyFill="1" applyAlignment="1">
      <alignment horizontal="right" vertical="center"/>
    </xf>
    <xf numFmtId="3" fontId="12" fillId="0" borderId="0" xfId="24" applyNumberFormat="1" applyFont="1" applyAlignment="1">
      <alignment horizontal="right" vertical="center"/>
    </xf>
    <xf numFmtId="3" fontId="12" fillId="3" borderId="0" xfId="24" applyNumberFormat="1" applyFont="1" applyFill="1" applyAlignment="1">
      <alignment horizontal="right" vertical="center"/>
    </xf>
    <xf numFmtId="49" fontId="12" fillId="0" borderId="6" xfId="22" applyNumberFormat="1" applyFont="1" applyBorder="1" applyAlignment="1">
      <alignment horizontal="center" vertical="center"/>
    </xf>
    <xf numFmtId="3" fontId="12" fillId="0" borderId="15" xfId="24" applyNumberFormat="1" applyFont="1" applyBorder="1" applyAlignment="1">
      <alignment horizontal="right" vertical="center"/>
    </xf>
    <xf numFmtId="3" fontId="12" fillId="3" borderId="3" xfId="24" applyNumberFormat="1" applyFont="1" applyFill="1" applyBorder="1" applyAlignment="1">
      <alignment horizontal="right" vertical="center"/>
    </xf>
    <xf numFmtId="0" fontId="15" fillId="0" borderId="5" xfId="23" applyFont="1" applyBorder="1" applyAlignment="1">
      <alignment horizontal="center" vertical="center" wrapText="1"/>
    </xf>
    <xf numFmtId="0" fontId="15" fillId="2" borderId="5" xfId="23" applyFont="1" applyFill="1" applyBorder="1" applyAlignment="1">
      <alignment vertical="center" wrapText="1"/>
    </xf>
    <xf numFmtId="0" fontId="15" fillId="3" borderId="5" xfId="23" applyFont="1" applyFill="1" applyBorder="1" applyAlignment="1">
      <alignment vertical="center" wrapText="1"/>
    </xf>
    <xf numFmtId="0" fontId="12" fillId="0" borderId="5" xfId="23" applyFont="1" applyBorder="1" applyAlignment="1">
      <alignment horizontal="left" wrapText="1" indent="1"/>
    </xf>
    <xf numFmtId="0" fontId="12" fillId="3" borderId="5" xfId="23" applyFont="1" applyFill="1" applyBorder="1" applyAlignment="1">
      <alignment horizontal="left" wrapText="1" indent="1"/>
    </xf>
    <xf numFmtId="0" fontId="12" fillId="0" borderId="6" xfId="23" applyFont="1" applyBorder="1" applyAlignment="1">
      <alignment horizontal="left" wrapText="1" indent="1"/>
    </xf>
    <xf numFmtId="0" fontId="15" fillId="0" borderId="0" xfId="23" applyFont="1" applyAlignment="1">
      <alignment horizontal="right" vertical="center" wrapText="1"/>
    </xf>
    <xf numFmtId="0" fontId="15" fillId="0" borderId="0" xfId="23" applyFont="1" applyAlignment="1">
      <alignment horizontal="right" vertical="center"/>
    </xf>
    <xf numFmtId="3" fontId="15" fillId="2" borderId="0" xfId="24" applyNumberFormat="1" applyFont="1" applyFill="1" applyAlignment="1">
      <alignment horizontal="right" vertical="center"/>
    </xf>
    <xf numFmtId="0" fontId="15" fillId="2" borderId="4" xfId="23" applyFont="1" applyFill="1" applyBorder="1" applyAlignment="1">
      <alignment horizontal="center" vertical="center" wrapText="1"/>
    </xf>
    <xf numFmtId="0" fontId="15" fillId="2" borderId="2" xfId="23" applyFont="1" applyFill="1" applyBorder="1" applyAlignment="1">
      <alignment horizontal="right" vertical="center" wrapText="1"/>
    </xf>
    <xf numFmtId="0" fontId="15" fillId="2" borderId="2" xfId="23" applyFont="1" applyFill="1" applyBorder="1" applyAlignment="1">
      <alignment horizontal="right" vertical="center"/>
    </xf>
    <xf numFmtId="0" fontId="15" fillId="2" borderId="4" xfId="23" applyFont="1" applyFill="1" applyBorder="1" applyAlignment="1">
      <alignment horizontal="center" vertical="center"/>
    </xf>
    <xf numFmtId="0" fontId="15" fillId="4" borderId="5" xfId="23" applyFont="1" applyFill="1" applyBorder="1" applyAlignment="1">
      <alignment horizontal="center" vertical="center"/>
    </xf>
    <xf numFmtId="0" fontId="12" fillId="4" borderId="5" xfId="23" applyFont="1" applyFill="1" applyBorder="1" applyAlignment="1">
      <alignment horizontal="center" vertical="center"/>
    </xf>
    <xf numFmtId="0" fontId="12" fillId="0" borderId="5" xfId="23" applyFont="1" applyBorder="1" applyAlignment="1">
      <alignment horizontal="center" vertical="center"/>
    </xf>
    <xf numFmtId="0" fontId="15" fillId="4" borderId="0" xfId="23" applyFont="1" applyFill="1" applyAlignment="1">
      <alignment horizontal="right" vertical="center"/>
    </xf>
    <xf numFmtId="0" fontId="15" fillId="4" borderId="0" xfId="23" applyFont="1" applyFill="1" applyAlignment="1">
      <alignment horizontal="right" vertical="center" wrapText="1"/>
    </xf>
    <xf numFmtId="174" fontId="12" fillId="3" borderId="0" xfId="23" applyNumberFormat="1" applyFont="1" applyFill="1" applyAlignment="1">
      <alignment horizontal="center" vertical="center"/>
    </xf>
    <xf numFmtId="0" fontId="12" fillId="0" borderId="6" xfId="23" applyFont="1" applyBorder="1" applyAlignment="1">
      <alignment horizontal="center" vertical="center"/>
    </xf>
    <xf numFmtId="3" fontId="12" fillId="3" borderId="15" xfId="8" quotePrefix="1" applyNumberFormat="1" applyFont="1" applyFill="1" applyBorder="1" applyAlignment="1">
      <alignment horizontal="right" vertical="center"/>
    </xf>
    <xf numFmtId="174" fontId="12" fillId="3" borderId="3" xfId="23" applyNumberFormat="1" applyFont="1" applyFill="1" applyBorder="1" applyAlignment="1">
      <alignment horizontal="center" vertical="center"/>
    </xf>
    <xf numFmtId="0" fontId="37" fillId="0" borderId="0" xfId="23" applyFont="1"/>
    <xf numFmtId="0" fontId="37" fillId="3" borderId="0" xfId="23" applyFont="1" applyFill="1"/>
    <xf numFmtId="0" fontId="15" fillId="0" borderId="5" xfId="22" applyFont="1" applyBorder="1" applyAlignment="1">
      <alignment vertical="center"/>
    </xf>
    <xf numFmtId="0" fontId="12" fillId="0" borderId="5" xfId="22" applyFont="1" applyBorder="1" applyAlignment="1">
      <alignment vertical="center"/>
    </xf>
    <xf numFmtId="0" fontId="12" fillId="0" borderId="6" xfId="22" applyFont="1" applyBorder="1" applyAlignment="1">
      <alignment vertical="center"/>
    </xf>
    <xf numFmtId="3" fontId="12" fillId="3" borderId="3" xfId="23" applyNumberFormat="1" applyFont="1" applyFill="1" applyBorder="1" applyAlignment="1">
      <alignment horizontal="right"/>
    </xf>
    <xf numFmtId="3" fontId="12" fillId="0" borderId="3" xfId="0" applyNumberFormat="1" applyFont="1" applyBorder="1" applyAlignment="1">
      <alignment horizontal="right" vertical="center"/>
    </xf>
    <xf numFmtId="3" fontId="15" fillId="3" borderId="0" xfId="8" quotePrefix="1" applyNumberFormat="1" applyFont="1" applyFill="1" applyAlignment="1">
      <alignment horizontal="right" vertical="center"/>
    </xf>
    <xf numFmtId="3" fontId="12" fillId="3" borderId="0" xfId="23" applyNumberFormat="1" applyFont="1" applyFill="1" applyAlignment="1">
      <alignment horizontal="right"/>
    </xf>
    <xf numFmtId="3" fontId="12" fillId="0" borderId="0" xfId="0" applyNumberFormat="1" applyFont="1" applyAlignment="1">
      <alignment horizontal="right" vertical="center"/>
    </xf>
    <xf numFmtId="3" fontId="42" fillId="0" borderId="0" xfId="0" applyNumberFormat="1" applyFont="1" applyAlignment="1">
      <alignment horizontal="right" vertical="top" shrinkToFit="1"/>
    </xf>
    <xf numFmtId="0" fontId="15" fillId="0" borderId="1" xfId="22" applyFont="1" applyBorder="1" applyAlignment="1">
      <alignment vertical="center"/>
    </xf>
    <xf numFmtId="0" fontId="15" fillId="3" borderId="0" xfId="23" applyFont="1" applyFill="1"/>
    <xf numFmtId="0" fontId="12" fillId="0" borderId="1" xfId="0" applyFont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3" fontId="42" fillId="0" borderId="3" xfId="0" applyNumberFormat="1" applyFont="1" applyBorder="1" applyAlignment="1">
      <alignment horizontal="right" vertical="top" shrinkToFit="1"/>
    </xf>
    <xf numFmtId="3" fontId="42" fillId="0" borderId="3" xfId="0" applyNumberFormat="1" applyFont="1" applyBorder="1" applyAlignment="1">
      <alignment vertical="top" shrinkToFit="1"/>
    </xf>
    <xf numFmtId="3" fontId="43" fillId="0" borderId="0" xfId="0" applyNumberFormat="1" applyFont="1" applyAlignment="1">
      <alignment vertical="top" shrinkToFit="1"/>
    </xf>
    <xf numFmtId="3" fontId="42" fillId="0" borderId="0" xfId="0" applyNumberFormat="1" applyFont="1" applyAlignment="1">
      <alignment vertical="top" shrinkToFit="1"/>
    </xf>
    <xf numFmtId="0" fontId="12" fillId="0" borderId="5" xfId="0" applyFont="1" applyBorder="1" applyAlignment="1">
      <alignment vertical="center" wrapText="1"/>
    </xf>
    <xf numFmtId="3" fontId="43" fillId="0" borderId="0" xfId="0" applyNumberFormat="1" applyFont="1" applyAlignment="1">
      <alignment vertical="center" shrinkToFit="1"/>
    </xf>
    <xf numFmtId="3" fontId="42" fillId="0" borderId="0" xfId="0" applyNumberFormat="1" applyFont="1" applyAlignment="1">
      <alignment vertical="center" shrinkToFit="1"/>
    </xf>
    <xf numFmtId="3" fontId="42" fillId="0" borderId="0" xfId="0" applyNumberFormat="1" applyFont="1" applyAlignment="1">
      <alignment horizontal="right" vertical="center" shrinkToFit="1"/>
    </xf>
    <xf numFmtId="1" fontId="42" fillId="0" borderId="0" xfId="0" applyNumberFormat="1" applyFont="1" applyAlignment="1">
      <alignment vertical="center" shrinkToFit="1"/>
    </xf>
    <xf numFmtId="0" fontId="12" fillId="0" borderId="6" xfId="0" applyFont="1" applyBorder="1" applyAlignment="1">
      <alignment vertical="center" wrapText="1"/>
    </xf>
    <xf numFmtId="3" fontId="42" fillId="0" borderId="3" xfId="0" applyNumberFormat="1" applyFont="1" applyBorder="1" applyAlignment="1">
      <alignment vertical="center" shrinkToFit="1"/>
    </xf>
    <xf numFmtId="3" fontId="42" fillId="0" borderId="3" xfId="0" applyNumberFormat="1" applyFont="1" applyBorder="1" applyAlignment="1">
      <alignment horizontal="right" vertical="center" shrinkToFit="1"/>
    </xf>
    <xf numFmtId="3" fontId="12" fillId="0" borderId="0" xfId="0" applyNumberFormat="1" applyFont="1" applyAlignment="1">
      <alignment horizontal="right"/>
    </xf>
    <xf numFmtId="3" fontId="12" fillId="0" borderId="15" xfId="0" applyNumberFormat="1" applyFont="1" applyBorder="1" applyAlignment="1">
      <alignment horizontal="right"/>
    </xf>
    <xf numFmtId="3" fontId="12" fillId="0" borderId="3" xfId="0" applyNumberFormat="1" applyFont="1" applyBorder="1" applyAlignment="1">
      <alignment horizontal="right"/>
    </xf>
    <xf numFmtId="3" fontId="42" fillId="0" borderId="0" xfId="0" applyNumberFormat="1" applyFont="1" applyAlignment="1">
      <alignment horizontal="right"/>
    </xf>
    <xf numFmtId="0" fontId="12" fillId="4" borderId="6" xfId="23" applyFont="1" applyFill="1" applyBorder="1" applyAlignment="1">
      <alignment horizontal="center" vertical="center"/>
    </xf>
    <xf numFmtId="3" fontId="42" fillId="0" borderId="15" xfId="0" applyNumberFormat="1" applyFont="1" applyBorder="1" applyAlignment="1">
      <alignment horizontal="right"/>
    </xf>
    <xf numFmtId="3" fontId="42" fillId="0" borderId="3" xfId="0" applyNumberFormat="1" applyFont="1" applyBorder="1" applyAlignment="1">
      <alignment horizontal="right"/>
    </xf>
    <xf numFmtId="0" fontId="42" fillId="0" borderId="5" xfId="0" applyFon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15" fillId="5" borderId="4" xfId="22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15" fillId="6" borderId="5" xfId="22" applyFont="1" applyFill="1" applyBorder="1" applyAlignment="1">
      <alignment horizontal="center" vertical="center"/>
    </xf>
    <xf numFmtId="0" fontId="15" fillId="5" borderId="5" xfId="22" applyFont="1" applyFill="1" applyBorder="1" applyAlignment="1">
      <alignment horizontal="center" vertical="center"/>
    </xf>
    <xf numFmtId="0" fontId="15" fillId="0" borderId="5" xfId="0" applyFont="1" applyBorder="1"/>
    <xf numFmtId="0" fontId="12" fillId="0" borderId="5" xfId="0" applyFont="1" applyBorder="1" applyAlignment="1">
      <alignment horizontal="left"/>
    </xf>
    <xf numFmtId="0" fontId="12" fillId="3" borderId="5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3" fontId="12" fillId="3" borderId="3" xfId="0" applyNumberFormat="1" applyFont="1" applyFill="1" applyBorder="1" applyAlignment="1">
      <alignment horizontal="right"/>
    </xf>
    <xf numFmtId="0" fontId="15" fillId="3" borderId="0" xfId="0" applyFont="1" applyFill="1" applyAlignment="1">
      <alignment vertical="center"/>
    </xf>
    <xf numFmtId="3" fontId="15" fillId="2" borderId="0" xfId="0" applyNumberFormat="1" applyFont="1" applyFill="1" applyAlignment="1">
      <alignment vertical="center"/>
    </xf>
    <xf numFmtId="3" fontId="15" fillId="3" borderId="0" xfId="0" applyNumberFormat="1" applyFont="1" applyFill="1" applyAlignment="1">
      <alignment horizontal="right"/>
    </xf>
    <xf numFmtId="3" fontId="12" fillId="3" borderId="0" xfId="0" applyNumberFormat="1" applyFont="1" applyFill="1" applyAlignment="1">
      <alignment horizontal="right"/>
    </xf>
    <xf numFmtId="167" fontId="12" fillId="0" borderId="0" xfId="25" applyNumberFormat="1" applyFont="1" applyAlignment="1">
      <alignment horizontal="center" vertical="center"/>
    </xf>
    <xf numFmtId="2" fontId="12" fillId="3" borderId="0" xfId="25" applyNumberFormat="1" applyFont="1" applyFill="1" applyAlignment="1">
      <alignment horizontal="center" vertical="center"/>
    </xf>
    <xf numFmtId="49" fontId="12" fillId="0" borderId="6" xfId="26" applyNumberFormat="1" applyFont="1" applyBorder="1" applyAlignment="1">
      <alignment horizontal="center" vertical="center" wrapText="1"/>
    </xf>
    <xf numFmtId="167" fontId="12" fillId="0" borderId="3" xfId="25" applyNumberFormat="1" applyFont="1" applyBorder="1" applyAlignment="1">
      <alignment horizontal="center" vertical="center"/>
    </xf>
    <xf numFmtId="2" fontId="12" fillId="3" borderId="3" xfId="25" applyNumberFormat="1" applyFont="1" applyFill="1" applyBorder="1" applyAlignment="1">
      <alignment horizontal="center" vertical="center"/>
    </xf>
    <xf numFmtId="0" fontId="15" fillId="2" borderId="7" xfId="28" applyFont="1" applyFill="1" applyBorder="1" applyAlignment="1">
      <alignment horizontal="right"/>
    </xf>
    <xf numFmtId="0" fontId="15" fillId="2" borderId="7" xfId="28" applyFont="1" applyFill="1" applyBorder="1" applyAlignment="1">
      <alignment horizontal="center" vertical="center"/>
    </xf>
    <xf numFmtId="0" fontId="15" fillId="2" borderId="3" xfId="28" applyFont="1" applyFill="1" applyBorder="1" applyAlignment="1">
      <alignment horizontal="right" vertical="center"/>
    </xf>
    <xf numFmtId="0" fontId="15" fillId="0" borderId="5" xfId="28" applyFont="1" applyBorder="1" applyAlignment="1">
      <alignment horizontal="center"/>
    </xf>
    <xf numFmtId="0" fontId="12" fillId="0" borderId="5" xfId="28" applyFont="1" applyBorder="1" applyAlignment="1">
      <alignment horizontal="center" vertical="center"/>
    </xf>
    <xf numFmtId="0" fontId="15" fillId="2" borderId="0" xfId="28" applyFont="1" applyFill="1" applyAlignment="1">
      <alignment horizontal="right"/>
    </xf>
    <xf numFmtId="0" fontId="15" fillId="0" borderId="0" xfId="28" applyFont="1" applyAlignment="1">
      <alignment horizontal="right"/>
    </xf>
    <xf numFmtId="0" fontId="15" fillId="0" borderId="0" xfId="28" applyFont="1" applyAlignment="1">
      <alignment horizontal="right" vertical="center"/>
    </xf>
    <xf numFmtId="49" fontId="15" fillId="0" borderId="0" xfId="28" applyNumberFormat="1" applyFont="1" applyAlignment="1">
      <alignment horizontal="right" vertical="center" wrapText="1"/>
    </xf>
    <xf numFmtId="170" fontId="12" fillId="0" borderId="0" xfId="28" applyNumberFormat="1" applyFont="1" applyAlignment="1">
      <alignment horizontal="right" vertical="center"/>
    </xf>
    <xf numFmtId="167" fontId="12" fillId="0" borderId="0" xfId="28" applyNumberFormat="1" applyFont="1" applyAlignment="1">
      <alignment horizontal="right" vertical="center"/>
    </xf>
    <xf numFmtId="170" fontId="12" fillId="3" borderId="0" xfId="28" applyNumberFormat="1" applyFont="1" applyFill="1" applyAlignment="1">
      <alignment horizontal="right" vertical="center"/>
    </xf>
    <xf numFmtId="167" fontId="12" fillId="3" borderId="0" xfId="28" applyNumberFormat="1" applyFont="1" applyFill="1" applyAlignment="1">
      <alignment horizontal="right" vertical="center"/>
    </xf>
    <xf numFmtId="0" fontId="12" fillId="0" borderId="6" xfId="28" applyFont="1" applyBorder="1" applyAlignment="1">
      <alignment horizontal="center" vertical="center"/>
    </xf>
    <xf numFmtId="170" fontId="12" fillId="3" borderId="3" xfId="28" applyNumberFormat="1" applyFont="1" applyFill="1" applyBorder="1" applyAlignment="1">
      <alignment horizontal="right" vertical="center"/>
    </xf>
    <xf numFmtId="167" fontId="12" fillId="3" borderId="3" xfId="28" applyNumberFormat="1" applyFont="1" applyFill="1" applyBorder="1" applyAlignment="1">
      <alignment horizontal="right" vertical="center"/>
    </xf>
    <xf numFmtId="167" fontId="12" fillId="0" borderId="3" xfId="28" applyNumberFormat="1" applyFont="1" applyBorder="1" applyAlignment="1">
      <alignment horizontal="right" vertical="center"/>
    </xf>
    <xf numFmtId="173" fontId="15" fillId="2" borderId="7" xfId="29" applyFont="1" applyFill="1" applyBorder="1" applyAlignment="1">
      <alignment vertical="center"/>
    </xf>
    <xf numFmtId="173" fontId="15" fillId="2" borderId="3" xfId="29" applyFont="1" applyFill="1" applyBorder="1" applyAlignment="1">
      <alignment horizontal="right" vertical="center"/>
    </xf>
    <xf numFmtId="173" fontId="15" fillId="2" borderId="3" xfId="29" quotePrefix="1" applyFont="1" applyFill="1" applyBorder="1" applyAlignment="1">
      <alignment horizontal="right" vertical="center"/>
    </xf>
    <xf numFmtId="173" fontId="15" fillId="2" borderId="3" xfId="29" applyFont="1" applyFill="1" applyBorder="1" applyAlignment="1">
      <alignment vertical="center"/>
    </xf>
    <xf numFmtId="1" fontId="12" fillId="0" borderId="5" xfId="29" applyNumberFormat="1" applyFont="1" applyBorder="1" applyAlignment="1">
      <alignment horizontal="center"/>
    </xf>
    <xf numFmtId="177" fontId="12" fillId="3" borderId="0" xfId="32" applyNumberFormat="1" applyFont="1" applyFill="1"/>
    <xf numFmtId="167" fontId="12" fillId="3" borderId="0" xfId="32" applyNumberFormat="1" applyFont="1" applyFill="1" applyAlignment="1">
      <alignment horizontal="right"/>
    </xf>
    <xf numFmtId="170" fontId="12" fillId="3" borderId="0" xfId="29" applyNumberFormat="1" applyFont="1" applyFill="1"/>
    <xf numFmtId="170" fontId="12" fillId="3" borderId="0" xfId="32" applyNumberFormat="1" applyFont="1" applyFill="1" applyAlignment="1">
      <alignment horizontal="right"/>
    </xf>
    <xf numFmtId="168" fontId="12" fillId="3" borderId="0" xfId="32" applyNumberFormat="1" applyFont="1" applyFill="1"/>
    <xf numFmtId="177" fontId="12" fillId="0" borderId="0" xfId="32" applyNumberFormat="1" applyFont="1"/>
    <xf numFmtId="1" fontId="12" fillId="0" borderId="0" xfId="32" applyNumberFormat="1" applyFont="1" applyAlignment="1">
      <alignment horizontal="right"/>
    </xf>
    <xf numFmtId="170" fontId="12" fillId="0" borderId="0" xfId="29" applyNumberFormat="1" applyFont="1"/>
    <xf numFmtId="168" fontId="12" fillId="0" borderId="0" xfId="32" applyNumberFormat="1" applyFont="1"/>
    <xf numFmtId="168" fontId="12" fillId="0" borderId="0" xfId="29" applyNumberFormat="1" applyFont="1"/>
    <xf numFmtId="167" fontId="12" fillId="0" borderId="0" xfId="32" applyNumberFormat="1" applyFont="1" applyAlignment="1">
      <alignment horizontal="right"/>
    </xf>
    <xf numFmtId="170" fontId="12" fillId="0" borderId="0" xfId="32" applyNumberFormat="1" applyFont="1" applyAlignment="1">
      <alignment horizontal="right"/>
    </xf>
    <xf numFmtId="49" fontId="22" fillId="3" borderId="8" xfId="29" applyNumberFormat="1" applyFont="1" applyFill="1" applyBorder="1" applyAlignment="1">
      <alignment horizontal="center"/>
    </xf>
    <xf numFmtId="177" fontId="22" fillId="3" borderId="3" xfId="32" applyNumberFormat="1" applyFont="1" applyFill="1" applyBorder="1"/>
    <xf numFmtId="167" fontId="22" fillId="3" borderId="3" xfId="32" applyNumberFormat="1" applyFont="1" applyFill="1" applyBorder="1" applyAlignment="1">
      <alignment horizontal="right"/>
    </xf>
    <xf numFmtId="170" fontId="22" fillId="3" borderId="3" xfId="29" applyNumberFormat="1" applyFont="1" applyFill="1" applyBorder="1"/>
    <xf numFmtId="170" fontId="22" fillId="3" borderId="3" xfId="32" applyNumberFormat="1" applyFont="1" applyFill="1" applyBorder="1" applyAlignment="1">
      <alignment horizontal="right"/>
    </xf>
    <xf numFmtId="168" fontId="22" fillId="3" borderId="3" xfId="32" applyNumberFormat="1" applyFont="1" applyFill="1" applyBorder="1"/>
    <xf numFmtId="173" fontId="15" fillId="2" borderId="7" xfId="30" applyFont="1" applyFill="1" applyBorder="1" applyAlignment="1">
      <alignment horizontal="center" vertical="center"/>
    </xf>
    <xf numFmtId="173" fontId="15" fillId="2" borderId="7" xfId="30" applyFont="1" applyFill="1" applyBorder="1" applyAlignment="1">
      <alignment vertical="center"/>
    </xf>
    <xf numFmtId="173" fontId="15" fillId="2" borderId="3" xfId="30" applyFont="1" applyFill="1" applyBorder="1" applyAlignment="1">
      <alignment horizontal="right" vertical="center"/>
    </xf>
    <xf numFmtId="173" fontId="15" fillId="2" borderId="3" xfId="30" applyFont="1" applyFill="1" applyBorder="1" applyAlignment="1">
      <alignment horizontal="center" vertical="center"/>
    </xf>
    <xf numFmtId="173" fontId="15" fillId="2" borderId="3" xfId="30" applyFont="1" applyFill="1" applyBorder="1" applyAlignment="1">
      <alignment vertical="center"/>
    </xf>
    <xf numFmtId="1" fontId="12" fillId="0" borderId="5" xfId="30" applyNumberFormat="1" applyFont="1" applyBorder="1" applyAlignment="1">
      <alignment horizontal="center"/>
    </xf>
    <xf numFmtId="1" fontId="12" fillId="3" borderId="5" xfId="30" applyNumberFormat="1" applyFont="1" applyFill="1" applyBorder="1" applyAlignment="1">
      <alignment horizontal="left" indent="2"/>
    </xf>
    <xf numFmtId="170" fontId="12" fillId="0" borderId="0" xfId="30" applyNumberFormat="1" applyFont="1"/>
    <xf numFmtId="170" fontId="12" fillId="0" borderId="0" xfId="30" applyNumberFormat="1" applyFont="1" applyAlignment="1">
      <alignment horizontal="right"/>
    </xf>
    <xf numFmtId="177" fontId="12" fillId="3" borderId="0" xfId="32" applyNumberFormat="1" applyFont="1" applyFill="1" applyAlignment="1">
      <alignment horizontal="right"/>
    </xf>
    <xf numFmtId="1" fontId="12" fillId="3" borderId="6" xfId="30" applyNumberFormat="1" applyFont="1" applyFill="1" applyBorder="1" applyAlignment="1">
      <alignment horizontal="left" indent="2"/>
    </xf>
    <xf numFmtId="170" fontId="12" fillId="3" borderId="3" xfId="30" applyNumberFormat="1" applyFont="1" applyFill="1" applyBorder="1"/>
    <xf numFmtId="177" fontId="12" fillId="3" borderId="3" xfId="32" applyNumberFormat="1" applyFont="1" applyFill="1" applyBorder="1"/>
    <xf numFmtId="177" fontId="12" fillId="0" borderId="3" xfId="32" applyNumberFormat="1" applyFont="1" applyBorder="1"/>
    <xf numFmtId="0" fontId="37" fillId="0" borderId="0" xfId="28" applyFont="1"/>
    <xf numFmtId="173" fontId="15" fillId="2" borderId="4" xfId="30" applyFont="1" applyFill="1" applyBorder="1" applyAlignment="1">
      <alignment horizontal="center" vertical="center"/>
    </xf>
    <xf numFmtId="173" fontId="15" fillId="2" borderId="2" xfId="30" applyFont="1" applyFill="1" applyBorder="1" applyAlignment="1">
      <alignment horizontal="right" vertical="center"/>
    </xf>
    <xf numFmtId="167" fontId="15" fillId="2" borderId="2" xfId="30" applyNumberFormat="1" applyFont="1" applyFill="1" applyBorder="1" applyAlignment="1">
      <alignment horizontal="right" vertical="center"/>
    </xf>
    <xf numFmtId="173" fontId="15" fillId="0" borderId="5" xfId="30" applyFont="1" applyBorder="1" applyAlignment="1">
      <alignment horizontal="center" vertical="center"/>
    </xf>
    <xf numFmtId="173" fontId="15" fillId="2" borderId="5" xfId="30" applyFont="1" applyFill="1" applyBorder="1" applyAlignment="1">
      <alignment horizontal="left"/>
    </xf>
    <xf numFmtId="1" fontId="12" fillId="3" borderId="5" xfId="30" applyNumberFormat="1" applyFont="1" applyFill="1" applyBorder="1" applyAlignment="1">
      <alignment horizontal="left" indent="1"/>
    </xf>
    <xf numFmtId="1" fontId="12" fillId="3" borderId="6" xfId="30" applyNumberFormat="1" applyFont="1" applyFill="1" applyBorder="1" applyAlignment="1">
      <alignment horizontal="left" indent="1"/>
    </xf>
    <xf numFmtId="168" fontId="12" fillId="3" borderId="3" xfId="32" applyNumberFormat="1" applyFont="1" applyFill="1" applyBorder="1"/>
    <xf numFmtId="168" fontId="12" fillId="3" borderId="3" xfId="32" applyNumberFormat="1" applyFont="1" applyFill="1" applyBorder="1" applyAlignment="1">
      <alignment horizontal="right"/>
    </xf>
    <xf numFmtId="173" fontId="6" fillId="0" borderId="0" xfId="30" applyFont="1" applyAlignment="1">
      <alignment vertical="center"/>
    </xf>
    <xf numFmtId="173" fontId="15" fillId="0" borderId="0" xfId="30" applyFont="1" applyAlignment="1">
      <alignment horizontal="right" vertical="center"/>
    </xf>
    <xf numFmtId="167" fontId="15" fillId="0" borderId="0" xfId="30" applyNumberFormat="1" applyFont="1" applyAlignment="1">
      <alignment horizontal="right" vertical="center"/>
    </xf>
    <xf numFmtId="168" fontId="15" fillId="2" borderId="0" xfId="32" applyNumberFormat="1" applyFont="1" applyFill="1"/>
    <xf numFmtId="168" fontId="12" fillId="3" borderId="0" xfId="32" applyNumberFormat="1" applyFont="1" applyFill="1" applyAlignment="1">
      <alignment horizontal="right"/>
    </xf>
    <xf numFmtId="0" fontId="15" fillId="0" borderId="5" xfId="34" applyFont="1" applyBorder="1" applyAlignment="1">
      <alignment horizontal="center" vertical="center"/>
    </xf>
    <xf numFmtId="0" fontId="15" fillId="2" borderId="5" xfId="34" applyFont="1" applyFill="1" applyBorder="1" applyAlignment="1">
      <alignment vertical="center"/>
    </xf>
    <xf numFmtId="0" fontId="12" fillId="3" borderId="5" xfId="34" applyFont="1" applyFill="1" applyBorder="1" applyAlignment="1">
      <alignment horizontal="left" indent="1"/>
    </xf>
    <xf numFmtId="0" fontId="18" fillId="3" borderId="5" xfId="34" applyFont="1" applyFill="1" applyBorder="1" applyAlignment="1">
      <alignment horizontal="left" indent="1"/>
    </xf>
    <xf numFmtId="180" fontId="12" fillId="3" borderId="0" xfId="35" applyNumberFormat="1" applyFont="1" applyFill="1" applyBorder="1" applyAlignment="1">
      <alignment horizontal="right" vertical="center"/>
    </xf>
    <xf numFmtId="0" fontId="12" fillId="3" borderId="6" xfId="34" applyFont="1" applyFill="1" applyBorder="1" applyAlignment="1">
      <alignment horizontal="left" indent="1"/>
    </xf>
    <xf numFmtId="170" fontId="12" fillId="0" borderId="3" xfId="34" applyNumberFormat="1" applyFont="1" applyBorder="1" applyAlignment="1">
      <alignment horizontal="right"/>
    </xf>
    <xf numFmtId="178" fontId="12" fillId="0" borderId="3" xfId="32" applyNumberFormat="1" applyFont="1" applyBorder="1" applyAlignment="1">
      <alignment horizontal="right"/>
    </xf>
    <xf numFmtId="177" fontId="12" fillId="3" borderId="3" xfId="32" applyNumberFormat="1" applyFont="1" applyFill="1" applyBorder="1" applyAlignment="1">
      <alignment horizontal="right" vertical="center"/>
    </xf>
    <xf numFmtId="187" fontId="12" fillId="3" borderId="3" xfId="32" applyNumberFormat="1" applyFont="1" applyFill="1" applyBorder="1" applyAlignment="1">
      <alignment horizontal="right" vertical="center"/>
    </xf>
    <xf numFmtId="0" fontId="15" fillId="2" borderId="4" xfId="34" applyFont="1" applyFill="1" applyBorder="1" applyAlignment="1">
      <alignment horizontal="center" vertical="center"/>
    </xf>
    <xf numFmtId="0" fontId="15" fillId="2" borderId="2" xfId="34" applyFont="1" applyFill="1" applyBorder="1" applyAlignment="1">
      <alignment horizontal="right" vertical="center"/>
    </xf>
    <xf numFmtId="0" fontId="15" fillId="0" borderId="0" xfId="34" applyFont="1" applyAlignment="1">
      <alignment horizontal="right" vertical="center"/>
    </xf>
    <xf numFmtId="177" fontId="15" fillId="2" borderId="0" xfId="32" applyNumberFormat="1" applyFont="1" applyFill="1" applyAlignment="1">
      <alignment vertical="center"/>
    </xf>
    <xf numFmtId="177" fontId="15" fillId="2" borderId="0" xfId="32" applyNumberFormat="1" applyFont="1" applyFill="1" applyAlignment="1">
      <alignment horizontal="right" vertical="center"/>
    </xf>
    <xf numFmtId="187" fontId="15" fillId="2" borderId="0" xfId="32" applyNumberFormat="1" applyFont="1" applyFill="1" applyAlignment="1">
      <alignment horizontal="right" vertical="center"/>
    </xf>
    <xf numFmtId="170" fontId="12" fillId="0" borderId="0" xfId="34" applyNumberFormat="1" applyFont="1" applyAlignment="1">
      <alignment horizontal="right"/>
    </xf>
    <xf numFmtId="178" fontId="12" fillId="0" borderId="0" xfId="32" applyNumberFormat="1" applyFont="1" applyAlignment="1">
      <alignment horizontal="right"/>
    </xf>
    <xf numFmtId="187" fontId="12" fillId="3" borderId="0" xfId="32" applyNumberFormat="1" applyFont="1" applyFill="1" applyAlignment="1">
      <alignment horizontal="right" vertical="center"/>
    </xf>
    <xf numFmtId="177" fontId="12" fillId="3" borderId="0" xfId="32" applyNumberFormat="1" applyFont="1" applyFill="1" applyAlignment="1">
      <alignment horizontal="right" vertical="center"/>
    </xf>
    <xf numFmtId="187" fontId="12" fillId="0" borderId="0" xfId="34" applyNumberFormat="1" applyFont="1" applyAlignment="1">
      <alignment horizontal="right"/>
    </xf>
    <xf numFmtId="170" fontId="12" fillId="3" borderId="0" xfId="34" applyNumberFormat="1" applyFont="1" applyFill="1" applyAlignment="1">
      <alignment horizontal="right"/>
    </xf>
    <xf numFmtId="178" fontId="12" fillId="3" borderId="0" xfId="32" applyNumberFormat="1" applyFont="1" applyFill="1" applyAlignment="1">
      <alignment horizontal="right"/>
    </xf>
    <xf numFmtId="170" fontId="18" fillId="3" borderId="0" xfId="34" applyNumberFormat="1" applyFont="1" applyFill="1" applyAlignment="1">
      <alignment horizontal="right"/>
    </xf>
    <xf numFmtId="0" fontId="37" fillId="3" borderId="0" xfId="28" applyFont="1" applyFill="1"/>
    <xf numFmtId="0" fontId="15" fillId="0" borderId="5" xfId="36" applyFont="1" applyBorder="1" applyAlignment="1">
      <alignment horizontal="center"/>
    </xf>
    <xf numFmtId="0" fontId="12" fillId="0" borderId="5" xfId="36" applyFont="1" applyBorder="1" applyAlignment="1">
      <alignment horizontal="left"/>
    </xf>
    <xf numFmtId="0" fontId="12" fillId="0" borderId="5" xfId="36" applyFont="1" applyBorder="1" applyAlignment="1">
      <alignment horizontal="left" vertical="top"/>
    </xf>
    <xf numFmtId="0" fontId="12" fillId="0" borderId="5" xfId="36" applyFont="1" applyBorder="1" applyAlignment="1">
      <alignment horizontal="left" vertical="top" wrapText="1"/>
    </xf>
    <xf numFmtId="172" fontId="12" fillId="0" borderId="5" xfId="36" applyNumberFormat="1" applyFont="1" applyBorder="1" applyAlignment="1">
      <alignment horizontal="left" vertical="top" wrapText="1"/>
    </xf>
    <xf numFmtId="0" fontId="45" fillId="0" borderId="5" xfId="36" applyFont="1" applyBorder="1" applyAlignment="1">
      <alignment horizontal="center" vertical="center"/>
    </xf>
    <xf numFmtId="0" fontId="12" fillId="0" borderId="5" xfId="36" quotePrefix="1" applyFont="1" applyBorder="1" applyAlignment="1">
      <alignment horizontal="left" vertical="center"/>
    </xf>
    <xf numFmtId="0" fontId="12" fillId="0" borderId="5" xfId="36" applyFont="1" applyBorder="1" applyAlignment="1">
      <alignment horizontal="left" vertical="center" wrapText="1"/>
    </xf>
    <xf numFmtId="0" fontId="6" fillId="0" borderId="0" xfId="36" applyFont="1" applyAlignment="1">
      <alignment vertical="center"/>
    </xf>
    <xf numFmtId="171" fontId="6" fillId="0" borderId="0" xfId="36" applyNumberFormat="1" applyFont="1" applyAlignment="1">
      <alignment vertical="center"/>
    </xf>
    <xf numFmtId="0" fontId="15" fillId="2" borderId="2" xfId="0" applyFont="1" applyFill="1" applyBorder="1" applyAlignment="1">
      <alignment horizontal="right" vertical="center" wrapText="1"/>
    </xf>
    <xf numFmtId="0" fontId="15" fillId="0" borderId="0" xfId="36" applyFont="1"/>
    <xf numFmtId="173" fontId="15" fillId="0" borderId="0" xfId="36" applyNumberFormat="1" applyFont="1" applyAlignment="1">
      <alignment horizontal="center"/>
    </xf>
    <xf numFmtId="0" fontId="12" fillId="0" borderId="0" xfId="36" applyFont="1" applyAlignment="1">
      <alignment horizontal="left"/>
    </xf>
    <xf numFmtId="173" fontId="12" fillId="0" borderId="0" xfId="36" applyNumberFormat="1" applyFont="1" applyAlignment="1">
      <alignment horizontal="left"/>
    </xf>
    <xf numFmtId="183" fontId="12" fillId="0" borderId="0" xfId="37" applyNumberFormat="1" applyFont="1"/>
    <xf numFmtId="167" fontId="12" fillId="0" borderId="0" xfId="5" applyNumberFormat="1" applyFont="1" applyAlignment="1">
      <alignment horizontal="right"/>
    </xf>
    <xf numFmtId="181" fontId="12" fillId="0" borderId="0" xfId="37" applyNumberFormat="1" applyFont="1"/>
    <xf numFmtId="184" fontId="12" fillId="0" borderId="0" xfId="36" applyNumberFormat="1" applyFont="1"/>
    <xf numFmtId="167" fontId="17" fillId="0" borderId="0" xfId="5" applyNumberFormat="1" applyFont="1" applyAlignment="1">
      <alignment horizontal="right"/>
    </xf>
    <xf numFmtId="0" fontId="12" fillId="0" borderId="0" xfId="36" applyFont="1" applyAlignment="1">
      <alignment horizontal="left" vertical="top"/>
    </xf>
    <xf numFmtId="173" fontId="12" fillId="0" borderId="0" xfId="36" applyNumberFormat="1" applyFont="1" applyAlignment="1">
      <alignment horizontal="left" vertical="top"/>
    </xf>
    <xf numFmtId="183" fontId="12" fillId="0" borderId="0" xfId="37" applyNumberFormat="1" applyFont="1" applyAlignment="1">
      <alignment vertical="top"/>
    </xf>
    <xf numFmtId="167" fontId="12" fillId="0" borderId="0" xfId="5" applyNumberFormat="1" applyFont="1" applyAlignment="1">
      <alignment horizontal="right" vertical="top"/>
    </xf>
    <xf numFmtId="170" fontId="12" fillId="0" borderId="0" xfId="36" applyNumberFormat="1" applyFont="1" applyAlignment="1">
      <alignment vertical="top"/>
    </xf>
    <xf numFmtId="184" fontId="12" fillId="0" borderId="0" xfId="36" applyNumberFormat="1" applyFont="1" applyAlignment="1">
      <alignment vertical="top"/>
    </xf>
    <xf numFmtId="167" fontId="17" fillId="0" borderId="0" xfId="5" applyNumberFormat="1" applyFont="1" applyAlignment="1">
      <alignment horizontal="right" vertical="top"/>
    </xf>
    <xf numFmtId="181" fontId="12" fillId="0" borderId="0" xfId="37" applyNumberFormat="1" applyFont="1" applyAlignment="1">
      <alignment vertical="top"/>
    </xf>
    <xf numFmtId="182" fontId="12" fillId="0" borderId="0" xfId="37" applyNumberFormat="1" applyFont="1"/>
    <xf numFmtId="0" fontId="15" fillId="0" borderId="0" xfId="36" applyFont="1" applyAlignment="1">
      <alignment vertical="center"/>
    </xf>
    <xf numFmtId="173" fontId="15" fillId="0" borderId="0" xfId="36" applyNumberFormat="1" applyFont="1" applyAlignment="1">
      <alignment horizontal="left" vertical="center"/>
    </xf>
    <xf numFmtId="183" fontId="12" fillId="0" borderId="0" xfId="37" applyNumberFormat="1" applyFont="1" applyAlignment="1">
      <alignment vertical="center"/>
    </xf>
    <xf numFmtId="186" fontId="46" fillId="0" borderId="0" xfId="37" applyNumberFormat="1" applyFont="1" applyAlignment="1">
      <alignment vertical="center"/>
    </xf>
    <xf numFmtId="170" fontId="15" fillId="0" borderId="0" xfId="36" applyNumberFormat="1" applyFont="1" applyAlignment="1">
      <alignment vertical="center"/>
    </xf>
    <xf numFmtId="182" fontId="12" fillId="0" borderId="0" xfId="37" applyNumberFormat="1" applyFont="1" applyAlignment="1">
      <alignment vertical="center"/>
    </xf>
    <xf numFmtId="167" fontId="17" fillId="0" borderId="0" xfId="5" applyNumberFormat="1" applyFont="1" applyAlignment="1">
      <alignment horizontal="right" vertical="center"/>
    </xf>
    <xf numFmtId="1" fontId="12" fillId="0" borderId="0" xfId="36" applyNumberFormat="1" applyFont="1"/>
    <xf numFmtId="170" fontId="12" fillId="0" borderId="0" xfId="36" applyNumberFormat="1" applyFont="1"/>
    <xf numFmtId="1" fontId="12" fillId="0" borderId="0" xfId="36" applyNumberFormat="1" applyFont="1" applyAlignment="1">
      <alignment vertical="top"/>
    </xf>
    <xf numFmtId="0" fontId="12" fillId="0" borderId="0" xfId="36" quotePrefix="1" applyFont="1" applyAlignment="1">
      <alignment horizontal="left" vertical="center"/>
    </xf>
    <xf numFmtId="173" fontId="12" fillId="0" borderId="0" xfId="36" applyNumberFormat="1" applyFont="1" applyAlignment="1">
      <alignment horizontal="left" vertical="center"/>
    </xf>
    <xf numFmtId="1" fontId="12" fillId="0" borderId="0" xfId="36" applyNumberFormat="1" applyFont="1" applyAlignment="1">
      <alignment vertical="center"/>
    </xf>
    <xf numFmtId="167" fontId="12" fillId="0" borderId="0" xfId="5" applyNumberFormat="1" applyFont="1" applyAlignment="1">
      <alignment horizontal="right" vertical="center"/>
    </xf>
    <xf numFmtId="170" fontId="12" fillId="0" borderId="0" xfId="36" applyNumberFormat="1" applyFont="1" applyAlignment="1">
      <alignment vertical="center"/>
    </xf>
    <xf numFmtId="184" fontId="12" fillId="0" borderId="0" xfId="36" applyNumberFormat="1" applyFont="1" applyAlignment="1">
      <alignment vertical="center"/>
    </xf>
    <xf numFmtId="173" fontId="12" fillId="0" borderId="0" xfId="36" applyNumberFormat="1" applyFont="1" applyAlignment="1">
      <alignment horizontal="left" vertical="top" wrapText="1"/>
    </xf>
    <xf numFmtId="167" fontId="12" fillId="0" borderId="0" xfId="36" applyNumberFormat="1" applyFont="1" applyAlignment="1">
      <alignment vertical="top"/>
    </xf>
    <xf numFmtId="185" fontId="12" fillId="0" borderId="0" xfId="37" applyNumberFormat="1" applyFont="1" applyAlignment="1">
      <alignment vertical="top"/>
    </xf>
    <xf numFmtId="185" fontId="12" fillId="0" borderId="0" xfId="36" applyNumberFormat="1" applyFont="1" applyAlignment="1">
      <alignment vertical="top"/>
    </xf>
    <xf numFmtId="173" fontId="12" fillId="0" borderId="0" xfId="36" applyNumberFormat="1" applyFont="1" applyAlignment="1">
      <alignment horizontal="justify" vertical="top" wrapText="1"/>
    </xf>
    <xf numFmtId="0" fontId="12" fillId="0" borderId="0" xfId="36" quotePrefix="1" applyFont="1" applyAlignment="1">
      <alignment horizontal="left" vertical="top"/>
    </xf>
    <xf numFmtId="173" fontId="7" fillId="0" borderId="0" xfId="29" applyFont="1"/>
    <xf numFmtId="0" fontId="31" fillId="0" borderId="6" xfId="36" applyFont="1" applyBorder="1"/>
    <xf numFmtId="0" fontId="31" fillId="0" borderId="3" xfId="36" applyFont="1" applyBorder="1"/>
    <xf numFmtId="0" fontId="7" fillId="3" borderId="0" xfId="2" applyFont="1" applyFill="1" applyAlignment="1">
      <alignment horizontal="left" vertical="center" wrapText="1"/>
    </xf>
    <xf numFmtId="0" fontId="26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right" vertical="top" wrapText="1"/>
    </xf>
    <xf numFmtId="0" fontId="15" fillId="2" borderId="3" xfId="1" applyFont="1" applyFill="1" applyBorder="1" applyAlignment="1">
      <alignment horizontal="right" vertical="top" wrapText="1"/>
    </xf>
    <xf numFmtId="0" fontId="6" fillId="0" borderId="7" xfId="16" quotePrefix="1" applyFont="1" applyBorder="1" applyAlignment="1">
      <alignment horizontal="justify" vertical="center"/>
    </xf>
    <xf numFmtId="0" fontId="6" fillId="0" borderId="0" xfId="16" quotePrefix="1" applyFont="1" applyAlignment="1">
      <alignment horizontal="justify" vertical="center" wrapText="1"/>
    </xf>
    <xf numFmtId="0" fontId="15" fillId="2" borderId="2" xfId="19" applyFont="1" applyFill="1" applyBorder="1" applyAlignment="1">
      <alignment horizontal="center" vertical="center" wrapText="1"/>
    </xf>
    <xf numFmtId="0" fontId="15" fillId="2" borderId="4" xfId="19" applyFont="1" applyFill="1" applyBorder="1" applyAlignment="1">
      <alignment horizontal="center" vertical="center" wrapText="1"/>
    </xf>
    <xf numFmtId="0" fontId="40" fillId="0" borderId="0" xfId="1" applyFont="1" applyAlignment="1">
      <alignment horizontal="center" vertical="center"/>
    </xf>
    <xf numFmtId="49" fontId="6" fillId="3" borderId="0" xfId="19" applyNumberFormat="1" applyFont="1" applyFill="1" applyAlignment="1">
      <alignment horizontal="justify" wrapText="1"/>
    </xf>
    <xf numFmtId="0" fontId="6" fillId="0" borderId="0" xfId="18" applyFont="1" applyAlignment="1">
      <alignment horizontal="justify" wrapText="1"/>
    </xf>
    <xf numFmtId="0" fontId="15" fillId="2" borderId="2" xfId="12" applyFont="1" applyFill="1" applyBorder="1" applyAlignment="1">
      <alignment horizontal="center" vertical="center"/>
    </xf>
    <xf numFmtId="0" fontId="15" fillId="2" borderId="4" xfId="12" applyFont="1" applyFill="1" applyBorder="1" applyAlignment="1">
      <alignment horizontal="center" vertical="center"/>
    </xf>
    <xf numFmtId="0" fontId="7" fillId="0" borderId="0" xfId="22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0" xfId="22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8" fillId="0" borderId="0" xfId="1" applyFont="1" applyAlignment="1">
      <alignment horizontal="center" vertical="center" wrapText="1"/>
    </xf>
    <xf numFmtId="164" fontId="6" fillId="0" borderId="0" xfId="22" quotePrefix="1" applyNumberFormat="1" applyFont="1" applyAlignment="1">
      <alignment horizontal="left" vertical="center" wrapText="1"/>
    </xf>
    <xf numFmtId="164" fontId="6" fillId="0" borderId="0" xfId="22" quotePrefix="1" applyNumberFormat="1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38" fillId="0" borderId="0" xfId="1" applyFont="1" applyAlignment="1">
      <alignment horizontal="center" vertical="center" wrapText="1"/>
    </xf>
    <xf numFmtId="0" fontId="7" fillId="0" borderId="0" xfId="22" applyFont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6" fillId="0" borderId="7" xfId="22" applyFont="1" applyBorder="1" applyAlignment="1">
      <alignment horizontal="left" vertical="center" wrapText="1"/>
    </xf>
    <xf numFmtId="0" fontId="27" fillId="0" borderId="0" xfId="27" applyFont="1" applyAlignment="1">
      <alignment horizontal="center" vertical="center"/>
    </xf>
    <xf numFmtId="49" fontId="15" fillId="2" borderId="2" xfId="0" applyNumberFormat="1" applyFont="1" applyFill="1" applyBorder="1" applyAlignment="1">
      <alignment horizontal="center" vertical="center" wrapText="1"/>
    </xf>
    <xf numFmtId="0" fontId="15" fillId="2" borderId="10" xfId="28" applyFont="1" applyFill="1" applyBorder="1" applyAlignment="1">
      <alignment horizontal="center" vertical="center"/>
    </xf>
    <xf numFmtId="0" fontId="15" fillId="2" borderId="5" xfId="28" applyFont="1" applyFill="1" applyBorder="1" applyAlignment="1">
      <alignment horizontal="center" vertical="center"/>
    </xf>
    <xf numFmtId="0" fontId="15" fillId="2" borderId="6" xfId="28" applyFont="1" applyFill="1" applyBorder="1" applyAlignment="1">
      <alignment horizontal="center" vertical="center"/>
    </xf>
    <xf numFmtId="0" fontId="15" fillId="2" borderId="2" xfId="28" applyFont="1" applyFill="1" applyBorder="1" applyAlignment="1">
      <alignment horizontal="center" vertical="center"/>
    </xf>
    <xf numFmtId="49" fontId="15" fillId="2" borderId="7" xfId="28" applyNumberFormat="1" applyFont="1" applyFill="1" applyBorder="1" applyAlignment="1">
      <alignment horizontal="right" vertical="center" wrapText="1"/>
    </xf>
    <xf numFmtId="49" fontId="15" fillId="2" borderId="0" xfId="28" applyNumberFormat="1" applyFont="1" applyFill="1" applyAlignment="1">
      <alignment horizontal="right" vertical="center" wrapText="1"/>
    </xf>
    <xf numFmtId="49" fontId="15" fillId="2" borderId="3" xfId="28" applyNumberFormat="1" applyFont="1" applyFill="1" applyBorder="1" applyAlignment="1">
      <alignment horizontal="right" vertical="center" wrapText="1"/>
    </xf>
    <xf numFmtId="0" fontId="15" fillId="2" borderId="16" xfId="28" applyFont="1" applyFill="1" applyBorder="1" applyAlignment="1">
      <alignment horizontal="right" vertical="center" wrapText="1"/>
    </xf>
    <xf numFmtId="0" fontId="15" fillId="2" borderId="13" xfId="28" applyFont="1" applyFill="1" applyBorder="1" applyAlignment="1">
      <alignment horizontal="right" vertical="center" wrapText="1"/>
    </xf>
    <xf numFmtId="0" fontId="15" fillId="2" borderId="15" xfId="28" applyFont="1" applyFill="1" applyBorder="1" applyAlignment="1">
      <alignment horizontal="right" vertical="center" wrapText="1"/>
    </xf>
    <xf numFmtId="0" fontId="15" fillId="2" borderId="7" xfId="28" applyFont="1" applyFill="1" applyBorder="1" applyAlignment="1">
      <alignment horizontal="right" vertical="center" wrapText="1"/>
    </xf>
    <xf numFmtId="0" fontId="15" fillId="2" borderId="0" xfId="28" applyFont="1" applyFill="1" applyAlignment="1">
      <alignment horizontal="right" vertical="center" wrapText="1"/>
    </xf>
    <xf numFmtId="0" fontId="15" fillId="2" borderId="3" xfId="28" applyFont="1" applyFill="1" applyBorder="1" applyAlignment="1">
      <alignment horizontal="right" vertical="center" wrapText="1"/>
    </xf>
    <xf numFmtId="173" fontId="15" fillId="2" borderId="10" xfId="29" applyFont="1" applyFill="1" applyBorder="1" applyAlignment="1">
      <alignment horizontal="center" vertical="center"/>
    </xf>
    <xf numFmtId="173" fontId="15" fillId="2" borderId="6" xfId="29" applyFont="1" applyFill="1" applyBorder="1" applyAlignment="1">
      <alignment horizontal="center" vertical="center"/>
    </xf>
    <xf numFmtId="173" fontId="15" fillId="2" borderId="2" xfId="29" applyFont="1" applyFill="1" applyBorder="1" applyAlignment="1">
      <alignment horizontal="center" vertical="center"/>
    </xf>
    <xf numFmtId="173" fontId="15" fillId="2" borderId="12" xfId="29" applyFont="1" applyFill="1" applyBorder="1" applyAlignment="1">
      <alignment horizontal="center" vertical="center"/>
    </xf>
    <xf numFmtId="173" fontId="15" fillId="2" borderId="10" xfId="30" applyFont="1" applyFill="1" applyBorder="1" applyAlignment="1">
      <alignment horizontal="center" vertical="center"/>
    </xf>
    <xf numFmtId="173" fontId="15" fillId="2" borderId="6" xfId="30" applyFont="1" applyFill="1" applyBorder="1" applyAlignment="1">
      <alignment horizontal="center" vertical="center"/>
    </xf>
    <xf numFmtId="173" fontId="15" fillId="2" borderId="7" xfId="30" applyFont="1" applyFill="1" applyBorder="1" applyAlignment="1">
      <alignment horizontal="right" vertical="center"/>
    </xf>
    <xf numFmtId="173" fontId="15" fillId="2" borderId="3" xfId="30" applyFont="1" applyFill="1" applyBorder="1" applyAlignment="1">
      <alignment horizontal="right" vertical="center"/>
    </xf>
    <xf numFmtId="173" fontId="15" fillId="2" borderId="2" xfId="30" applyFont="1" applyFill="1" applyBorder="1" applyAlignment="1">
      <alignment horizontal="center" vertical="center"/>
    </xf>
    <xf numFmtId="173" fontId="15" fillId="2" borderId="7" xfId="30" applyFont="1" applyFill="1" applyBorder="1" applyAlignment="1">
      <alignment horizontal="center" vertical="center"/>
    </xf>
    <xf numFmtId="173" fontId="15" fillId="2" borderId="3" xfId="30" applyFont="1" applyFill="1" applyBorder="1" applyAlignment="1">
      <alignment horizontal="center" vertical="center"/>
    </xf>
    <xf numFmtId="49" fontId="28" fillId="0" borderId="0" xfId="1" applyNumberFormat="1" applyFont="1" applyAlignment="1">
      <alignment horizontal="center" vertical="center"/>
    </xf>
    <xf numFmtId="49" fontId="38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5" xfId="36" applyFont="1" applyBorder="1" applyAlignment="1">
      <alignment horizontal="left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2" fillId="0" borderId="5" xfId="33" applyFont="1" applyFill="1" applyBorder="1" applyAlignment="1">
      <alignment horizontal="left" vertical="center" wrapText="1"/>
    </xf>
    <xf numFmtId="0" fontId="12" fillId="0" borderId="5" xfId="36" applyFont="1" applyBorder="1" applyAlignment="1">
      <alignment horizontal="left" vertical="top" wrapText="1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 wrapText="1"/>
    </xf>
    <xf numFmtId="0" fontId="12" fillId="0" borderId="5" xfId="36" applyFont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</cellXfs>
  <cellStyles count="40">
    <cellStyle name="Cancel" xfId="1"/>
    <cellStyle name="Cancel 4" xfId="27"/>
    <cellStyle name="Hipervínculo" xfId="33" builtinId="8"/>
    <cellStyle name="Hipervínculo 2" xfId="38"/>
    <cellStyle name="Millares 15" xfId="35"/>
    <cellStyle name="Normal" xfId="0" builtinId="0"/>
    <cellStyle name="Normal 10 10" xfId="13"/>
    <cellStyle name="Normal 15" xfId="24"/>
    <cellStyle name="Normal 2 10" xfId="5"/>
    <cellStyle name="Normal 2 2" xfId="28"/>
    <cellStyle name="Normal 3" xfId="39"/>
    <cellStyle name="Normal 3 30" xfId="14"/>
    <cellStyle name="Normal 5 10" xfId="18"/>
    <cellStyle name="Normal_CAP-2-MAMBform" xfId="25"/>
    <cellStyle name="Normal_elimn 2" xfId="22"/>
    <cellStyle name="Normal_elimn 3" xfId="23"/>
    <cellStyle name="Normal_Emisiones contaminantes INEI BNE2006" xfId="26"/>
    <cellStyle name="Normal_IEC12002" xfId="7"/>
    <cellStyle name="Normal_IEC12003" xfId="12"/>
    <cellStyle name="Normal_IEC12005" xfId="3"/>
    <cellStyle name="Normal_IEC12007" xfId="4"/>
    <cellStyle name="Normal_IEC12009" xfId="9"/>
    <cellStyle name="Normal_IEC12011" xfId="6"/>
    <cellStyle name="Normal_IEC12013" xfId="10"/>
    <cellStyle name="Normal_IEC12015" xfId="8"/>
    <cellStyle name="Normal_IEC12021" xfId="2"/>
    <cellStyle name="Normal_IEC12029" xfId="20"/>
    <cellStyle name="Normal_IEC12031" xfId="15"/>
    <cellStyle name="Normal_IEC12037" xfId="17"/>
    <cellStyle name="Normal_IEC12042" xfId="16"/>
    <cellStyle name="Normal_IEC14001" xfId="32"/>
    <cellStyle name="Normal_IEC14002" xfId="29"/>
    <cellStyle name="Normal_IEC14003" xfId="30"/>
    <cellStyle name="Normal_IEC14004" xfId="34"/>
    <cellStyle name="Normal_IEC14008" xfId="36"/>
    <cellStyle name="Normal_IEC14025" xfId="37"/>
    <cellStyle name="Normal_IEC21008" xfId="31"/>
    <cellStyle name="Normal_IEIM1404" xfId="21"/>
    <cellStyle name="Normal_MUNDIAL_AU_AG_PB_ZN_CU" xfId="11"/>
    <cellStyle name="Normal_PEDIR-CUADROS-energ 2 2" xfId="19"/>
  </cellStyles>
  <dxfs count="0"/>
  <tableStyles count="0" defaultTableStyle="TableStyleMedium2" defaultPivotStyle="PivotStyleLight16"/>
  <colors>
    <mruColors>
      <color rgb="FF3366CC"/>
      <color rgb="FFCCCCFF"/>
      <color rgb="FF9999FF"/>
      <color rgb="FF0099CC"/>
      <color rgb="FF6699FF"/>
      <color rgb="FF0DF3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externalLink" Target="externalLinks/externalLink43.xml"/><Relationship Id="rId84" Type="http://schemas.openxmlformats.org/officeDocument/2006/relationships/externalLink" Target="externalLinks/externalLink59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74" Type="http://schemas.openxmlformats.org/officeDocument/2006/relationships/externalLink" Target="externalLinks/externalLink49.xml"/><Relationship Id="rId79" Type="http://schemas.openxmlformats.org/officeDocument/2006/relationships/externalLink" Target="externalLinks/externalLink54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5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80" Type="http://schemas.openxmlformats.org/officeDocument/2006/relationships/externalLink" Target="externalLinks/externalLink55.xml"/><Relationship Id="rId85" Type="http://schemas.openxmlformats.org/officeDocument/2006/relationships/externalLink" Target="externalLinks/externalLink6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70" Type="http://schemas.openxmlformats.org/officeDocument/2006/relationships/externalLink" Target="externalLinks/externalLink45.xml"/><Relationship Id="rId75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81" Type="http://schemas.openxmlformats.org/officeDocument/2006/relationships/externalLink" Target="externalLinks/externalLink56.xml"/><Relationship Id="rId86" Type="http://schemas.openxmlformats.org/officeDocument/2006/relationships/externalLink" Target="externalLinks/externalLink6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6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9" Type="http://schemas.openxmlformats.org/officeDocument/2006/relationships/worksheet" Target="worksheets/sheet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tema%202\WINDOWS\TEMP\cuadrosJuni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2%20AAAAAA%20AASUYANA-7.9.2017\2-7.9.17\1-aaPara%20Trasladar\3\MIRI\CENSOS\Preliminar_Censo%202007\Libro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1%20anuario%202016\PEDIDO%20A%20SECTORES\SendT\MIRI\CENSOS\Preliminar_Censo%202007\Libro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ANUARIO_ESTAD_AMB2010\MIRI\CENSOS\Preliminar_Censo%202007\Libro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NotaTribactual\NotaTrib\Notaexcel\Vinculada\2002\0902\VIN_NV_INGCORR02propinici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trices\Llegados\Hidrandina\BALANCE-SERVICIOS-ELECTRICOS-1999-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MIRI\CENSOS\Preliminar_Censo%202007\Libro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MIRI\CENSOS\Preliminar_Censo%202007\Libro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Pedidos%20abruptos\caval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Documents%20and%20Settings/APOLO/Configuraci&#243;n%20local/Archivos%20temporales%20de%20Internet/OLKC/PRODUCC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MIRI\CENSOS\Preliminar_Censo%202007\Libro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datos\MINERIA\Mineria%201990-20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Estudios%20econ&#243;micos/SAE/SEP/construcci&#243;n/1999/asfalto-barra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lly\Boletin\Mensual\Cuadros\Bol_08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OLIVETI\STD98\ANUARI~1\LASERJC5\P_INST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DOCUME~1\edavila\CONFIG~1\Temp\Piramide%20Pob%20%20Censal%20(2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D201C9\Piramide%20Pob%20%20Censal%20(2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DOCUME~1\edavila\CONFIG~1\Temp\Piramide%20Pob%20%20Censal%20(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8\Bol_1298%20Complet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9\Bol_01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ss\data\FLORIAN\EPS2000\LORET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8\1%20anuario%202016\PEDIDO%20A%20SECTORES\SendT\DOCUME~1\edavila\CONFIG~1\Temp\Piramide%20Pob%20%20Censal%20(2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Mis%20documentos\MISDOC\BASE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a\share_e\EPS1999\SEDALIB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998.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reccion\D\ESTADISTICAS%20REGIONALES\ESTADISTICAS%20REGIONALES\OTED-%20MODELO%20Prod-Ayacucho%202001-200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1198%20Completo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fp.gob.pe/estadistica/financiera/2002/Febrero/wBol_02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edavila\CONFIG~1\Temp\Piramide%20Pob%20%20Censal%20(2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8D5E65\Piramide%20Pob%20%20Censal%20(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DOCUME~1\edavila\CONFIG~1\Temp\Piramide%20Pob%20%20Censal%20(2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julio\AVANCE%202004\AVANCE%20FEB%202004\Cap.-II\Lima-Callao\WINDOWS\TEMP\Bol_0998.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grabar%20Cd\CUADROS\RECIBIDODE\INEI-2003-FORMATOS%20INREN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bar%20Cd\CUADROS\RECIBIDODE\INEI-2003-FORMATOS%20INREN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letin%20Semanal\sem32_00\Boletin%20Mensual\Bol_052000%20prelimina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cabezas\Otros\Poblacion%20&amp;%20Region%20natural\generar%20ubigeo%20dpto%20prov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4"/>
      <sheetName val="Cdr5"/>
      <sheetName val="Cdr6"/>
      <sheetName val="Cdr7"/>
      <sheetName val="Cdr8"/>
      <sheetName val="Cdr9"/>
      <sheetName val="Cdr10"/>
      <sheetName val="Cdr 11"/>
      <sheetName val="Cdr 12"/>
      <sheetName val="Cdr 13"/>
      <sheetName val="Cdr 14"/>
      <sheetName val="Cdr 15"/>
      <sheetName val="Cdr 16"/>
      <sheetName val="Cdr 17"/>
      <sheetName val="Cdr 18"/>
      <sheetName val="Cdr 19"/>
      <sheetName val="Cdr 20"/>
      <sheetName val="Cdr 21"/>
      <sheetName val="Cdr 22"/>
      <sheetName val="Cdr_11"/>
      <sheetName val="Cdr_12"/>
      <sheetName val="Cdr_13"/>
      <sheetName val="Cdr_14"/>
      <sheetName val="Cdr_15"/>
      <sheetName val="Cdr_16"/>
      <sheetName val="Cdr_17"/>
      <sheetName val="Cdr_18"/>
      <sheetName val="Cdr_19"/>
      <sheetName val="Cdr_20"/>
      <sheetName val="Cdr_21"/>
      <sheetName val="Cdr_22"/>
      <sheetName val="guia_de_uso"/>
      <sheetName val="TabCii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  <sheetName val="Cdrs_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>
        <row r="1">
          <cell r="A1" t="str">
            <v>Cuadro N° 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LANCE AJUST"/>
      <sheetName val="ANTERIOR AJUSTADO"/>
      <sheetName val="ASP. RELEV"/>
      <sheetName val="TEMBLADERA"/>
      <sheetName val="CHILETE"/>
      <sheetName val="SAN PABLO"/>
      <sheetName val="SAN MIGUEL"/>
      <sheetName val="CONTUMAZA"/>
      <sheetName val="CASCAS"/>
      <sheetName val="CAJAMARCA"/>
      <sheetName val="CAJABAMBA"/>
      <sheetName val="SAN MARCOS"/>
      <sheetName val="CELENDIN"/>
      <sheetName val="CONSOLIDADO"/>
      <sheetName val="SISTEMA ELECTRICO Nº 2"/>
      <sheetName val="SISTEMA ELECTRICO Nº11"/>
      <sheetName val="SISTEMA ELECTRICO Nº12"/>
      <sheetName val="CONSOLIDA SISTEMAS ELECTRICOS"/>
      <sheetName val="GPER"/>
      <sheetName val="D10 - Sist. Cajamarca Sect. 2"/>
      <sheetName val="U1"/>
      <sheetName val="PREVIOS"/>
      <sheetName val="informacomercial"/>
      <sheetName val="indicesgestión"/>
      <sheetName val="NOTAS"/>
      <sheetName val="PREVIOS REALES"/>
      <sheetName val="LEEME"/>
      <sheetName val="BALANCE_AJUST"/>
      <sheetName val="ANTERIOR_AJUSTADO"/>
      <sheetName val="ASP__RELEV"/>
      <sheetName val="SAN_PABLO"/>
      <sheetName val="SAN_MIGUEL"/>
      <sheetName val="SAN_MARCOS"/>
      <sheetName val="SISTEMA_ELECTRICO_Nº_2"/>
      <sheetName val="SISTEMA_ELECTRICO_Nº11"/>
      <sheetName val="SISTEMA_ELECTRICO_Nº12"/>
      <sheetName val="CONSOLIDA_SISTEMAS_ELECTRICOS"/>
      <sheetName val="D10_-_Sist__Cajamarca_Sect__2"/>
      <sheetName val="PREVIOS_REALE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re"/>
      <sheetName val="zinc"/>
      <sheetName val="plomo"/>
      <sheetName val="oro"/>
      <sheetName val="plata"/>
      <sheetName val="hierro"/>
    </sheetNames>
    <sheetDataSet>
      <sheetData sheetId="0"/>
      <sheetData sheetId="1">
        <row r="7">
          <cell r="J7">
            <v>634</v>
          </cell>
        </row>
      </sheetData>
      <sheetData sheetId="2">
        <row r="7">
          <cell r="J7">
            <v>634</v>
          </cell>
        </row>
        <row r="8">
          <cell r="J8">
            <v>2857</v>
          </cell>
        </row>
        <row r="9">
          <cell r="J9">
            <v>3577</v>
          </cell>
        </row>
        <row r="10">
          <cell r="J10">
            <v>3688</v>
          </cell>
        </row>
        <row r="11">
          <cell r="J11" t="str">
            <v xml:space="preserve">- </v>
          </cell>
        </row>
        <row r="12">
          <cell r="J12">
            <v>7674</v>
          </cell>
        </row>
        <row r="13">
          <cell r="J13">
            <v>21785</v>
          </cell>
        </row>
        <row r="14">
          <cell r="J14" t="str">
            <v xml:space="preserve">- </v>
          </cell>
        </row>
        <row r="15">
          <cell r="J15">
            <v>29994</v>
          </cell>
        </row>
        <row r="16">
          <cell r="J16">
            <v>7502</v>
          </cell>
        </row>
        <row r="17">
          <cell r="J17">
            <v>27715</v>
          </cell>
        </row>
      </sheetData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falto"/>
      <sheetName val="Barras"/>
    </sheetNames>
    <sheetDataSet>
      <sheetData sheetId="0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2002</v>
          </cell>
          <cell r="N4">
            <v>2003</v>
          </cell>
          <cell r="O4" t="str">
            <v>2004</v>
          </cell>
          <cell r="P4">
            <v>2003</v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>
            <v>96240</v>
          </cell>
          <cell r="H4">
            <v>96240</v>
          </cell>
          <cell r="I4">
            <v>96240</v>
          </cell>
          <cell r="J4">
            <v>96240</v>
          </cell>
          <cell r="K4">
            <v>96240</v>
          </cell>
          <cell r="L4">
            <v>96240</v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O-1"/>
      <sheetName val="RES"/>
      <sheetName val="X_DEPA"/>
    </sheetNames>
    <sheetDataSet>
      <sheetData sheetId="0"/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M4303"/>
      <sheetName val="Sem"/>
      <sheetName val="BASFinP"/>
      <sheetName val="BASPromP"/>
      <sheetName val="Grafico"/>
      <sheetName val="B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 refreshError="1"/>
      <sheetData sheetId="1" refreshError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</v>
          </cell>
        </row>
        <row r="3">
          <cell r="A3" t="str">
            <v>0001T41997</v>
          </cell>
          <cell r="B3">
            <v>1</v>
          </cell>
        </row>
        <row r="4">
          <cell r="A4" t="str">
            <v>0001A31998</v>
          </cell>
          <cell r="B4">
            <v>3</v>
          </cell>
        </row>
        <row r="5">
          <cell r="A5" t="str">
            <v>0001T11998</v>
          </cell>
          <cell r="B5">
            <v>3</v>
          </cell>
        </row>
        <row r="6">
          <cell r="A6" t="str">
            <v>0001T21998</v>
          </cell>
          <cell r="B6">
            <v>3</v>
          </cell>
        </row>
        <row r="7">
          <cell r="A7" t="str">
            <v>0001T31998</v>
          </cell>
          <cell r="B7">
            <v>3</v>
          </cell>
        </row>
        <row r="8">
          <cell r="A8" t="str">
            <v>0001T41998</v>
          </cell>
          <cell r="B8">
            <v>3</v>
          </cell>
        </row>
        <row r="9">
          <cell r="A9" t="str">
            <v>0001A41999</v>
          </cell>
          <cell r="B9">
            <v>3</v>
          </cell>
        </row>
        <row r="10">
          <cell r="A10" t="str">
            <v>0001T11999</v>
          </cell>
          <cell r="B10">
            <v>3</v>
          </cell>
        </row>
        <row r="11">
          <cell r="A11" t="str">
            <v>0001T21999</v>
          </cell>
          <cell r="B11">
            <v>0</v>
          </cell>
        </row>
        <row r="12">
          <cell r="A12" t="str">
            <v>0001T31999</v>
          </cell>
          <cell r="B12">
            <v>3</v>
          </cell>
        </row>
        <row r="13">
          <cell r="A13" t="str">
            <v>0001T41999</v>
          </cell>
          <cell r="B13">
            <v>3</v>
          </cell>
        </row>
        <row r="14">
          <cell r="A14" t="str">
            <v>0002A21997</v>
          </cell>
          <cell r="B14">
            <v>124</v>
          </cell>
        </row>
        <row r="15">
          <cell r="A15" t="str">
            <v>0002T41997</v>
          </cell>
          <cell r="B15">
            <v>124</v>
          </cell>
        </row>
        <row r="16">
          <cell r="A16" t="str">
            <v>0002A31998</v>
          </cell>
          <cell r="B16">
            <v>120</v>
          </cell>
        </row>
        <row r="17">
          <cell r="A17" t="str">
            <v>0002T11998</v>
          </cell>
          <cell r="B17">
            <v>124</v>
          </cell>
        </row>
        <row r="18">
          <cell r="A18" t="str">
            <v>0002T21998</v>
          </cell>
          <cell r="B18">
            <v>121</v>
          </cell>
        </row>
        <row r="19">
          <cell r="A19" t="str">
            <v>0002T31998</v>
          </cell>
          <cell r="B19">
            <v>121</v>
          </cell>
        </row>
        <row r="20">
          <cell r="A20" t="str">
            <v>0002T41998</v>
          </cell>
          <cell r="B20">
            <v>120</v>
          </cell>
        </row>
        <row r="21">
          <cell r="A21" t="str">
            <v>0002A41999</v>
          </cell>
          <cell r="B21">
            <v>115</v>
          </cell>
        </row>
        <row r="22">
          <cell r="A22" t="str">
            <v>0002T11999</v>
          </cell>
          <cell r="B22">
            <v>121</v>
          </cell>
        </row>
        <row r="23">
          <cell r="A23" t="str">
            <v>0002T21999</v>
          </cell>
          <cell r="B23">
            <v>0</v>
          </cell>
        </row>
        <row r="24">
          <cell r="A24" t="str">
            <v>0002T31999</v>
          </cell>
          <cell r="B24">
            <v>115</v>
          </cell>
        </row>
        <row r="25">
          <cell r="A25" t="str">
            <v>0002T41999</v>
          </cell>
          <cell r="B25">
            <v>115</v>
          </cell>
        </row>
        <row r="26">
          <cell r="A26" t="str">
            <v>0003A21997</v>
          </cell>
          <cell r="B26">
            <v>45</v>
          </cell>
        </row>
        <row r="27">
          <cell r="A27" t="str">
            <v>0003T41997</v>
          </cell>
          <cell r="B27">
            <v>45</v>
          </cell>
        </row>
        <row r="28">
          <cell r="A28" t="str">
            <v>0003A31998</v>
          </cell>
          <cell r="B28">
            <v>46</v>
          </cell>
        </row>
        <row r="29">
          <cell r="A29" t="str">
            <v>0003T11998</v>
          </cell>
          <cell r="B29">
            <v>65</v>
          </cell>
        </row>
        <row r="30">
          <cell r="A30" t="str">
            <v>0003T21998</v>
          </cell>
          <cell r="B30">
            <v>57</v>
          </cell>
        </row>
        <row r="31">
          <cell r="A31" t="str">
            <v>0003T31998</v>
          </cell>
          <cell r="B31">
            <v>54</v>
          </cell>
        </row>
        <row r="32">
          <cell r="A32" t="str">
            <v>0003T41998</v>
          </cell>
          <cell r="B32">
            <v>46</v>
          </cell>
        </row>
        <row r="33">
          <cell r="A33" t="str">
            <v>0003A41999</v>
          </cell>
          <cell r="B33">
            <v>41</v>
          </cell>
        </row>
        <row r="34">
          <cell r="A34" t="str">
            <v>0003T11999</v>
          </cell>
          <cell r="B34">
            <v>63</v>
          </cell>
        </row>
        <row r="35">
          <cell r="A35" t="str">
            <v>0003T21999</v>
          </cell>
          <cell r="B35">
            <v>0</v>
          </cell>
        </row>
        <row r="36">
          <cell r="A36" t="str">
            <v>0003T31999</v>
          </cell>
          <cell r="B36">
            <v>50</v>
          </cell>
        </row>
        <row r="37">
          <cell r="A37" t="str">
            <v>0003T41999</v>
          </cell>
          <cell r="B37">
            <v>41</v>
          </cell>
        </row>
        <row r="38">
          <cell r="A38" t="str">
            <v>0004A21997</v>
          </cell>
          <cell r="B38">
            <v>24357455</v>
          </cell>
        </row>
        <row r="39">
          <cell r="A39" t="str">
            <v>0004T11997</v>
          </cell>
          <cell r="B39">
            <v>6822368</v>
          </cell>
        </row>
        <row r="40">
          <cell r="A40" t="str">
            <v>0004T21997</v>
          </cell>
          <cell r="B40">
            <v>6302575</v>
          </cell>
        </row>
        <row r="41">
          <cell r="A41" t="str">
            <v>0004T31997</v>
          </cell>
          <cell r="B41">
            <v>5598656</v>
          </cell>
        </row>
        <row r="42">
          <cell r="A42" t="str">
            <v>0004T41997</v>
          </cell>
          <cell r="B42">
            <v>5633856</v>
          </cell>
        </row>
        <row r="43">
          <cell r="A43" t="str">
            <v>0004A31998</v>
          </cell>
          <cell r="B43">
            <v>20493148</v>
          </cell>
        </row>
        <row r="44">
          <cell r="A44" t="str">
            <v>0004T11998</v>
          </cell>
          <cell r="B44">
            <v>5477562</v>
          </cell>
        </row>
        <row r="45">
          <cell r="A45" t="str">
            <v>0004T21998</v>
          </cell>
          <cell r="B45">
            <v>5490564</v>
          </cell>
        </row>
        <row r="46">
          <cell r="A46" t="str">
            <v>0004T31998</v>
          </cell>
          <cell r="B46">
            <v>4722612</v>
          </cell>
        </row>
        <row r="47">
          <cell r="A47" t="str">
            <v>0004T41998</v>
          </cell>
          <cell r="B47">
            <v>4802410</v>
          </cell>
        </row>
        <row r="48">
          <cell r="A48" t="str">
            <v>0004A41999</v>
          </cell>
          <cell r="B48">
            <v>23424272</v>
          </cell>
        </row>
        <row r="49">
          <cell r="A49" t="str">
            <v>0004T11999</v>
          </cell>
          <cell r="B49">
            <v>5405829</v>
          </cell>
        </row>
        <row r="50">
          <cell r="A50" t="str">
            <v>0004T21999</v>
          </cell>
          <cell r="B50">
            <v>5926221</v>
          </cell>
        </row>
        <row r="51">
          <cell r="A51" t="str">
            <v>0004T31999</v>
          </cell>
          <cell r="B51">
            <v>5795843</v>
          </cell>
        </row>
        <row r="52">
          <cell r="A52" t="str">
            <v>0004T41999</v>
          </cell>
          <cell r="B52">
            <v>6296379</v>
          </cell>
        </row>
        <row r="53">
          <cell r="A53" t="str">
            <v>0005A21997</v>
          </cell>
        </row>
        <row r="54">
          <cell r="A54" t="str">
            <v>0005A31998</v>
          </cell>
          <cell r="B54">
            <v>0</v>
          </cell>
        </row>
        <row r="55">
          <cell r="A55" t="str">
            <v>0005T11998</v>
          </cell>
          <cell r="B55">
            <v>0</v>
          </cell>
        </row>
        <row r="56">
          <cell r="A56" t="str">
            <v>0005T21998</v>
          </cell>
          <cell r="B56">
            <v>0</v>
          </cell>
        </row>
        <row r="57">
          <cell r="A57" t="str">
            <v>0005T31998</v>
          </cell>
          <cell r="B57">
            <v>0</v>
          </cell>
        </row>
        <row r="58">
          <cell r="A58" t="str">
            <v>0005T41998</v>
          </cell>
          <cell r="B58">
            <v>0</v>
          </cell>
        </row>
        <row r="59">
          <cell r="A59" t="str">
            <v>0005A41999</v>
          </cell>
          <cell r="B59">
            <v>0</v>
          </cell>
        </row>
        <row r="60">
          <cell r="A60" t="str">
            <v>0005T11999</v>
          </cell>
          <cell r="B60">
            <v>0</v>
          </cell>
        </row>
        <row r="61">
          <cell r="A61" t="str">
            <v>0005T21999</v>
          </cell>
          <cell r="B61">
            <v>0</v>
          </cell>
        </row>
        <row r="62">
          <cell r="A62" t="str">
            <v>0005T31999</v>
          </cell>
          <cell r="B62">
            <v>0</v>
          </cell>
        </row>
        <row r="63">
          <cell r="A63" t="str">
            <v>0005T41999</v>
          </cell>
          <cell r="B63">
            <v>0</v>
          </cell>
        </row>
        <row r="64">
          <cell r="A64" t="str">
            <v>0006A21997</v>
          </cell>
          <cell r="B64">
            <v>1152</v>
          </cell>
        </row>
        <row r="65">
          <cell r="A65" t="str">
            <v>0006A31998</v>
          </cell>
          <cell r="B65">
            <v>2374</v>
          </cell>
        </row>
        <row r="66">
          <cell r="A66" t="str">
            <v>0006T11998</v>
          </cell>
          <cell r="B66">
            <v>700</v>
          </cell>
        </row>
        <row r="67">
          <cell r="A67" t="str">
            <v>0006T21998</v>
          </cell>
          <cell r="B67">
            <v>755</v>
          </cell>
        </row>
        <row r="68">
          <cell r="A68" t="str">
            <v>0006T31998</v>
          </cell>
          <cell r="B68">
            <v>642</v>
          </cell>
        </row>
        <row r="69">
          <cell r="A69" t="str">
            <v>0006T41998</v>
          </cell>
          <cell r="B69">
            <v>277</v>
          </cell>
        </row>
        <row r="70">
          <cell r="A70" t="str">
            <v>0006A41999</v>
          </cell>
          <cell r="B70">
            <v>8088</v>
          </cell>
        </row>
        <row r="71">
          <cell r="A71" t="str">
            <v>0006T11999</v>
          </cell>
          <cell r="B71">
            <v>467</v>
          </cell>
        </row>
        <row r="72">
          <cell r="A72" t="str">
            <v>0006T21999</v>
          </cell>
          <cell r="B72">
            <v>916</v>
          </cell>
        </row>
        <row r="73">
          <cell r="A73" t="str">
            <v>0006T31999</v>
          </cell>
          <cell r="B73">
            <v>2585</v>
          </cell>
        </row>
        <row r="74">
          <cell r="A74" t="str">
            <v>0006T41999</v>
          </cell>
          <cell r="B74">
            <v>4120</v>
          </cell>
        </row>
        <row r="75">
          <cell r="A75" t="str">
            <v>0007A21997</v>
          </cell>
        </row>
        <row r="76">
          <cell r="A76" t="str">
            <v>0007A31998</v>
          </cell>
          <cell r="B76">
            <v>1147</v>
          </cell>
        </row>
        <row r="77">
          <cell r="A77" t="str">
            <v>0007T11998</v>
          </cell>
          <cell r="B77">
            <v>0</v>
          </cell>
        </row>
        <row r="78">
          <cell r="A78" t="str">
            <v>0007T21998</v>
          </cell>
          <cell r="B78">
            <v>583</v>
          </cell>
        </row>
        <row r="79">
          <cell r="A79" t="str">
            <v>0007T31998</v>
          </cell>
          <cell r="B79">
            <v>422</v>
          </cell>
        </row>
        <row r="80">
          <cell r="A80" t="str">
            <v>0007T41998</v>
          </cell>
          <cell r="B80">
            <v>141</v>
          </cell>
        </row>
        <row r="81">
          <cell r="A81" t="str">
            <v>0007A41999</v>
          </cell>
          <cell r="B81">
            <v>7103</v>
          </cell>
        </row>
        <row r="82">
          <cell r="A82" t="str">
            <v>0007T11999</v>
          </cell>
          <cell r="B82">
            <v>285</v>
          </cell>
        </row>
        <row r="83">
          <cell r="A83" t="str">
            <v>0007T21999</v>
          </cell>
          <cell r="B83">
            <v>779</v>
          </cell>
        </row>
        <row r="84">
          <cell r="A84" t="str">
            <v>0007T31999</v>
          </cell>
          <cell r="B84">
            <v>2091</v>
          </cell>
        </row>
        <row r="85">
          <cell r="A85" t="str">
            <v>0007T41999</v>
          </cell>
          <cell r="B85">
            <v>3948</v>
          </cell>
        </row>
        <row r="86">
          <cell r="A86" t="str">
            <v>0008A21997</v>
          </cell>
          <cell r="B86">
            <v>2940</v>
          </cell>
        </row>
        <row r="87">
          <cell r="A87" t="str">
            <v>0008A31998</v>
          </cell>
          <cell r="B87">
            <v>21083</v>
          </cell>
        </row>
        <row r="88">
          <cell r="A88" t="str">
            <v>0008T11998</v>
          </cell>
          <cell r="B88">
            <v>6183</v>
          </cell>
        </row>
        <row r="89">
          <cell r="A89" t="str">
            <v>0008T21998</v>
          </cell>
          <cell r="B89">
            <v>5908</v>
          </cell>
        </row>
        <row r="90">
          <cell r="A90" t="str">
            <v>0008T31998</v>
          </cell>
          <cell r="B90">
            <v>6075</v>
          </cell>
        </row>
        <row r="91">
          <cell r="A91" t="str">
            <v>0008T41998</v>
          </cell>
          <cell r="B91">
            <v>2917</v>
          </cell>
        </row>
        <row r="92">
          <cell r="A92" t="str">
            <v>0008A41999</v>
          </cell>
          <cell r="B92">
            <v>19414</v>
          </cell>
        </row>
        <row r="93">
          <cell r="A93" t="str">
            <v>0008T11999</v>
          </cell>
          <cell r="B93">
            <v>3821</v>
          </cell>
        </row>
        <row r="94">
          <cell r="A94" t="str">
            <v>0008T21999</v>
          </cell>
          <cell r="B94">
            <v>3586</v>
          </cell>
        </row>
        <row r="95">
          <cell r="A95" t="str">
            <v>0008T31999</v>
          </cell>
          <cell r="B95">
            <v>5384</v>
          </cell>
        </row>
        <row r="96">
          <cell r="A96" t="str">
            <v>0008T41999</v>
          </cell>
          <cell r="B96">
            <v>6623</v>
          </cell>
        </row>
        <row r="97">
          <cell r="A97" t="str">
            <v>0009A31998</v>
          </cell>
          <cell r="B97">
            <v>20618</v>
          </cell>
        </row>
        <row r="98">
          <cell r="A98" t="str">
            <v>0009T11998</v>
          </cell>
          <cell r="B98">
            <v>6015</v>
          </cell>
        </row>
        <row r="99">
          <cell r="A99" t="str">
            <v>0009T21998</v>
          </cell>
          <cell r="B99">
            <v>5790</v>
          </cell>
        </row>
        <row r="100">
          <cell r="A100" t="str">
            <v>0009T31998</v>
          </cell>
          <cell r="B100">
            <v>5954</v>
          </cell>
        </row>
        <row r="101">
          <cell r="A101" t="str">
            <v>0009T41998</v>
          </cell>
          <cell r="B101">
            <v>2859</v>
          </cell>
        </row>
        <row r="102">
          <cell r="A102" t="str">
            <v>0009A41999</v>
          </cell>
          <cell r="B102">
            <v>18956</v>
          </cell>
        </row>
        <row r="103">
          <cell r="A103" t="str">
            <v>0009T11999</v>
          </cell>
          <cell r="B103">
            <v>3695</v>
          </cell>
        </row>
        <row r="104">
          <cell r="A104" t="str">
            <v>0009T21999</v>
          </cell>
          <cell r="B104">
            <v>3406</v>
          </cell>
        </row>
        <row r="105">
          <cell r="A105" t="str">
            <v>0009T31999</v>
          </cell>
          <cell r="B105">
            <v>5316</v>
          </cell>
        </row>
        <row r="106">
          <cell r="A106" t="str">
            <v>0009T41999</v>
          </cell>
          <cell r="B106">
            <v>6539</v>
          </cell>
        </row>
        <row r="107">
          <cell r="A107" t="str">
            <v>0010A21997</v>
          </cell>
          <cell r="B107">
            <v>506</v>
          </cell>
        </row>
        <row r="108">
          <cell r="A108" t="str">
            <v>0010A31998</v>
          </cell>
          <cell r="B108">
            <v>629</v>
          </cell>
        </row>
        <row r="109">
          <cell r="A109" t="str">
            <v>0010T11998</v>
          </cell>
          <cell r="B109">
            <v>186</v>
          </cell>
        </row>
        <row r="110">
          <cell r="A110" t="str">
            <v>0010T21998</v>
          </cell>
          <cell r="B110">
            <v>161</v>
          </cell>
        </row>
        <row r="111">
          <cell r="A111" t="str">
            <v>0010T31998</v>
          </cell>
          <cell r="B111">
            <v>143</v>
          </cell>
        </row>
        <row r="112">
          <cell r="A112" t="str">
            <v>0010T41998</v>
          </cell>
          <cell r="B112">
            <v>139</v>
          </cell>
        </row>
        <row r="113">
          <cell r="A113" t="str">
            <v>0010A41999</v>
          </cell>
          <cell r="B113">
            <v>624</v>
          </cell>
        </row>
        <row r="114">
          <cell r="A114" t="str">
            <v>0010T11999</v>
          </cell>
          <cell r="B114">
            <v>140</v>
          </cell>
        </row>
        <row r="115">
          <cell r="A115" t="str">
            <v>0010T21999</v>
          </cell>
          <cell r="B115">
            <v>176</v>
          </cell>
        </row>
        <row r="116">
          <cell r="A116" t="str">
            <v>0010T31999</v>
          </cell>
          <cell r="B116">
            <v>126</v>
          </cell>
        </row>
        <row r="117">
          <cell r="A117" t="str">
            <v>0010T41999</v>
          </cell>
          <cell r="B117">
            <v>182</v>
          </cell>
        </row>
        <row r="118">
          <cell r="A118" t="str">
            <v>0011A21997</v>
          </cell>
          <cell r="B118">
            <v>49</v>
          </cell>
        </row>
        <row r="119">
          <cell r="A119" t="str">
            <v>0011A31998</v>
          </cell>
          <cell r="B119">
            <v>136</v>
          </cell>
        </row>
        <row r="120">
          <cell r="A120" t="str">
            <v>0011T11998</v>
          </cell>
          <cell r="B120">
            <v>36</v>
          </cell>
        </row>
        <row r="121">
          <cell r="A121" t="str">
            <v>0011T21998</v>
          </cell>
          <cell r="B121">
            <v>24</v>
          </cell>
        </row>
        <row r="122">
          <cell r="A122" t="str">
            <v>0011T31998</v>
          </cell>
          <cell r="B122">
            <v>44</v>
          </cell>
        </row>
        <row r="123">
          <cell r="A123" t="str">
            <v>0011T41998</v>
          </cell>
          <cell r="B123">
            <v>32</v>
          </cell>
        </row>
        <row r="124">
          <cell r="A124" t="str">
            <v>0011A41999</v>
          </cell>
          <cell r="B124">
            <v>174</v>
          </cell>
        </row>
        <row r="125">
          <cell r="A125" t="str">
            <v>0011T11999</v>
          </cell>
          <cell r="B125">
            <v>41</v>
          </cell>
        </row>
        <row r="126">
          <cell r="A126" t="str">
            <v>0011T21999</v>
          </cell>
          <cell r="B126">
            <v>37</v>
          </cell>
        </row>
        <row r="127">
          <cell r="A127" t="str">
            <v>0011T31999</v>
          </cell>
          <cell r="B127">
            <v>69</v>
          </cell>
        </row>
        <row r="128">
          <cell r="A128" t="str">
            <v>0011T41999</v>
          </cell>
          <cell r="B128">
            <v>27</v>
          </cell>
        </row>
        <row r="129">
          <cell r="A129" t="str">
            <v>0012A21997</v>
          </cell>
          <cell r="B129">
            <v>186</v>
          </cell>
        </row>
        <row r="130">
          <cell r="A130" t="str">
            <v>0012T41997</v>
          </cell>
          <cell r="B130">
            <v>186</v>
          </cell>
        </row>
        <row r="131">
          <cell r="A131" t="str">
            <v>0012A31998</v>
          </cell>
          <cell r="B131">
            <v>195</v>
          </cell>
        </row>
        <row r="132">
          <cell r="A132" t="str">
            <v>0012T11998</v>
          </cell>
          <cell r="B132">
            <v>188</v>
          </cell>
        </row>
        <row r="133">
          <cell r="A133" t="str">
            <v>0012T21998</v>
          </cell>
          <cell r="B133">
            <v>191</v>
          </cell>
        </row>
        <row r="134">
          <cell r="A134" t="str">
            <v>0012T31998</v>
          </cell>
          <cell r="B134">
            <v>193</v>
          </cell>
        </row>
        <row r="135">
          <cell r="A135" t="str">
            <v>0012T41998</v>
          </cell>
          <cell r="B135">
            <v>195</v>
          </cell>
        </row>
        <row r="136">
          <cell r="A136" t="str">
            <v>0012A41999</v>
          </cell>
          <cell r="B136">
            <v>204</v>
          </cell>
        </row>
        <row r="137">
          <cell r="A137" t="str">
            <v>0012T11999</v>
          </cell>
          <cell r="B137">
            <v>199</v>
          </cell>
        </row>
        <row r="138">
          <cell r="A138" t="str">
            <v>0012T21999</v>
          </cell>
          <cell r="B138">
            <v>201</v>
          </cell>
        </row>
        <row r="139">
          <cell r="A139" t="str">
            <v>0012T31999</v>
          </cell>
          <cell r="B139">
            <v>201</v>
          </cell>
        </row>
        <row r="140">
          <cell r="A140" t="str">
            <v>0012T41999</v>
          </cell>
          <cell r="B140">
            <v>204</v>
          </cell>
        </row>
        <row r="141">
          <cell r="A141" t="str">
            <v>0013A21997</v>
          </cell>
          <cell r="B141">
            <v>128</v>
          </cell>
        </row>
        <row r="142">
          <cell r="A142" t="str">
            <v>0013T41997</v>
          </cell>
          <cell r="B142">
            <v>128</v>
          </cell>
        </row>
        <row r="143">
          <cell r="A143" t="str">
            <v>0013A31998</v>
          </cell>
          <cell r="B143">
            <v>157</v>
          </cell>
        </row>
        <row r="144">
          <cell r="A144" t="str">
            <v>0013T11998</v>
          </cell>
          <cell r="B144">
            <v>155</v>
          </cell>
        </row>
        <row r="145">
          <cell r="A145" t="str">
            <v>0013T21998</v>
          </cell>
          <cell r="B145">
            <v>156</v>
          </cell>
        </row>
        <row r="146">
          <cell r="A146" t="str">
            <v>0013T31998</v>
          </cell>
          <cell r="B146">
            <v>156</v>
          </cell>
        </row>
        <row r="147">
          <cell r="A147" t="str">
            <v>0013T41998</v>
          </cell>
          <cell r="B147">
            <v>157</v>
          </cell>
        </row>
        <row r="148">
          <cell r="A148" t="str">
            <v>0013A41999</v>
          </cell>
          <cell r="B148">
            <v>196</v>
          </cell>
        </row>
        <row r="149">
          <cell r="A149" t="str">
            <v>0013T11999</v>
          </cell>
          <cell r="B149">
            <v>194</v>
          </cell>
        </row>
        <row r="150">
          <cell r="A150" t="str">
            <v>0013T21999</v>
          </cell>
          <cell r="B150">
            <v>196</v>
          </cell>
        </row>
        <row r="151">
          <cell r="A151" t="str">
            <v>0013T31999</v>
          </cell>
          <cell r="B151">
            <v>196</v>
          </cell>
        </row>
        <row r="152">
          <cell r="A152" t="str">
            <v>0013T41999</v>
          </cell>
          <cell r="B152">
            <v>196</v>
          </cell>
        </row>
        <row r="153">
          <cell r="A153" t="str">
            <v>0014A21997</v>
          </cell>
          <cell r="B153">
            <v>6870</v>
          </cell>
        </row>
        <row r="154">
          <cell r="A154" t="str">
            <v>0014T41997</v>
          </cell>
          <cell r="B154">
            <v>6870</v>
          </cell>
        </row>
        <row r="155">
          <cell r="A155" t="str">
            <v>0014A31998</v>
          </cell>
          <cell r="B155">
            <v>5819</v>
          </cell>
        </row>
        <row r="156">
          <cell r="A156" t="str">
            <v>0014T11998</v>
          </cell>
          <cell r="B156">
            <v>6223</v>
          </cell>
        </row>
        <row r="157">
          <cell r="A157" t="str">
            <v>0014T21998</v>
          </cell>
          <cell r="B157">
            <v>5753</v>
          </cell>
        </row>
        <row r="158">
          <cell r="A158" t="str">
            <v>0014T31998</v>
          </cell>
          <cell r="B158">
            <v>5752</v>
          </cell>
        </row>
        <row r="159">
          <cell r="A159" t="str">
            <v>0014T41998</v>
          </cell>
          <cell r="B159">
            <v>5819</v>
          </cell>
        </row>
        <row r="160">
          <cell r="A160" t="str">
            <v>0014A41999</v>
          </cell>
          <cell r="B160">
            <v>6976</v>
          </cell>
        </row>
        <row r="161">
          <cell r="A161" t="str">
            <v>0014T11999</v>
          </cell>
          <cell r="B161">
            <v>5507</v>
          </cell>
        </row>
        <row r="162">
          <cell r="A162" t="str">
            <v>0014T21999</v>
          </cell>
          <cell r="B162">
            <v>5312</v>
          </cell>
        </row>
        <row r="163">
          <cell r="A163" t="str">
            <v>0014T31999</v>
          </cell>
          <cell r="B163">
            <v>5049</v>
          </cell>
        </row>
        <row r="164">
          <cell r="A164" t="str">
            <v>0014T41999</v>
          </cell>
          <cell r="B164">
            <v>6976</v>
          </cell>
        </row>
        <row r="165">
          <cell r="A165" t="str">
            <v>0015A21997</v>
          </cell>
          <cell r="B165">
            <v>15</v>
          </cell>
        </row>
        <row r="166">
          <cell r="A166" t="str">
            <v>0015T11997</v>
          </cell>
          <cell r="B166">
            <v>15</v>
          </cell>
        </row>
        <row r="167">
          <cell r="A167" t="str">
            <v>0015T21997</v>
          </cell>
          <cell r="B167">
            <v>15</v>
          </cell>
        </row>
        <row r="168">
          <cell r="A168" t="str">
            <v>0015T31997</v>
          </cell>
          <cell r="B168">
            <v>15</v>
          </cell>
        </row>
        <row r="169">
          <cell r="A169" t="str">
            <v>0015T41997</v>
          </cell>
          <cell r="B169">
            <v>15</v>
          </cell>
        </row>
        <row r="170">
          <cell r="A170" t="str">
            <v>0015A31998</v>
          </cell>
          <cell r="B170">
            <v>12.5</v>
          </cell>
        </row>
        <row r="171">
          <cell r="A171" t="str">
            <v>0015T11998</v>
          </cell>
          <cell r="B171">
            <v>13</v>
          </cell>
        </row>
        <row r="172">
          <cell r="A172" t="str">
            <v>0015T21998</v>
          </cell>
          <cell r="B172">
            <v>12</v>
          </cell>
        </row>
        <row r="173">
          <cell r="A173" t="str">
            <v>0015T31998</v>
          </cell>
          <cell r="B173">
            <v>12</v>
          </cell>
        </row>
        <row r="174">
          <cell r="A174" t="str">
            <v>0015T41998</v>
          </cell>
          <cell r="B174">
            <v>13</v>
          </cell>
        </row>
        <row r="175">
          <cell r="A175" t="str">
            <v>0015A41999</v>
          </cell>
          <cell r="B175">
            <v>16</v>
          </cell>
        </row>
        <row r="176">
          <cell r="A176" t="str">
            <v>0015T11999</v>
          </cell>
          <cell r="B176">
            <v>16</v>
          </cell>
        </row>
        <row r="177">
          <cell r="A177" t="str">
            <v>0015T21999</v>
          </cell>
          <cell r="B177">
            <v>16</v>
          </cell>
        </row>
        <row r="178">
          <cell r="A178" t="str">
            <v>0015T31999</v>
          </cell>
          <cell r="B178">
            <v>16</v>
          </cell>
        </row>
        <row r="179">
          <cell r="A179" t="str">
            <v>0015T41999</v>
          </cell>
          <cell r="B179">
            <v>16</v>
          </cell>
        </row>
        <row r="180">
          <cell r="A180" t="str">
            <v>0016A21997</v>
          </cell>
          <cell r="B180">
            <v>379236</v>
          </cell>
        </row>
        <row r="181">
          <cell r="A181" t="str">
            <v>0016T11997</v>
          </cell>
          <cell r="B181">
            <v>371279</v>
          </cell>
        </row>
        <row r="182">
          <cell r="A182" t="str">
            <v>0016T21997</v>
          </cell>
          <cell r="B182">
            <v>373931</v>
          </cell>
        </row>
        <row r="183">
          <cell r="A183" t="str">
            <v>0016T31997</v>
          </cell>
          <cell r="B183">
            <v>376584</v>
          </cell>
        </row>
        <row r="184">
          <cell r="A184" t="str">
            <v>0016T41997</v>
          </cell>
          <cell r="B184">
            <v>379236</v>
          </cell>
        </row>
        <row r="185">
          <cell r="A185" t="str">
            <v>0016A31998</v>
          </cell>
          <cell r="B185">
            <v>390073</v>
          </cell>
        </row>
        <row r="186">
          <cell r="A186" t="str">
            <v>0016T11998</v>
          </cell>
          <cell r="B186">
            <v>381945</v>
          </cell>
        </row>
        <row r="187">
          <cell r="A187" t="str">
            <v>0016T21998</v>
          </cell>
          <cell r="B187">
            <v>384655</v>
          </cell>
        </row>
        <row r="188">
          <cell r="A188" t="str">
            <v>0016T31998</v>
          </cell>
          <cell r="B188">
            <v>387364</v>
          </cell>
        </row>
        <row r="189">
          <cell r="A189" t="str">
            <v>0016T41998</v>
          </cell>
          <cell r="B189">
            <v>390073</v>
          </cell>
        </row>
        <row r="190">
          <cell r="A190" t="str">
            <v>0016T21999</v>
          </cell>
          <cell r="B190">
            <v>400486</v>
          </cell>
        </row>
        <row r="191">
          <cell r="A191" t="str">
            <v>0017A21997</v>
          </cell>
          <cell r="B191">
            <v>6</v>
          </cell>
        </row>
        <row r="192">
          <cell r="A192" t="str">
            <v>0017T11997</v>
          </cell>
          <cell r="B192">
            <v>6</v>
          </cell>
        </row>
        <row r="193">
          <cell r="A193" t="str">
            <v>0017T21997</v>
          </cell>
          <cell r="B193">
            <v>6</v>
          </cell>
        </row>
        <row r="194">
          <cell r="A194" t="str">
            <v>0017T31997</v>
          </cell>
          <cell r="B194">
            <v>6</v>
          </cell>
        </row>
        <row r="195">
          <cell r="A195" t="str">
            <v>0017T41997</v>
          </cell>
          <cell r="B195">
            <v>6</v>
          </cell>
        </row>
        <row r="196">
          <cell r="A196" t="str">
            <v>0017A31998</v>
          </cell>
          <cell r="B196">
            <v>6</v>
          </cell>
        </row>
        <row r="197">
          <cell r="A197" t="str">
            <v>0017T11998</v>
          </cell>
          <cell r="B197">
            <v>6</v>
          </cell>
        </row>
        <row r="198">
          <cell r="A198" t="str">
            <v>0017T21998</v>
          </cell>
          <cell r="B198">
            <v>6</v>
          </cell>
        </row>
        <row r="199">
          <cell r="A199" t="str">
            <v>0017T31998</v>
          </cell>
          <cell r="B199">
            <v>6</v>
          </cell>
        </row>
        <row r="200">
          <cell r="A200" t="str">
            <v>0017T41998</v>
          </cell>
          <cell r="B200">
            <v>6</v>
          </cell>
        </row>
        <row r="201">
          <cell r="A201" t="str">
            <v>0017A41999</v>
          </cell>
          <cell r="B201">
            <v>6.5</v>
          </cell>
        </row>
        <row r="202">
          <cell r="A202" t="str">
            <v>0017T11999</v>
          </cell>
          <cell r="B202">
            <v>6</v>
          </cell>
        </row>
        <row r="203">
          <cell r="A203" t="str">
            <v>0017T21999</v>
          </cell>
          <cell r="B203">
            <v>6</v>
          </cell>
        </row>
        <row r="204">
          <cell r="A204" t="str">
            <v>0017T31999</v>
          </cell>
          <cell r="B204">
            <v>6.5</v>
          </cell>
        </row>
        <row r="205">
          <cell r="A205" t="str">
            <v>0017T41999</v>
          </cell>
          <cell r="B205">
            <v>6.5</v>
          </cell>
        </row>
        <row r="206">
          <cell r="A206" t="str">
            <v>0018A21997</v>
          </cell>
          <cell r="B206">
            <v>6</v>
          </cell>
        </row>
        <row r="207">
          <cell r="A207" t="str">
            <v>0018T11997</v>
          </cell>
          <cell r="B207">
            <v>6</v>
          </cell>
        </row>
        <row r="208">
          <cell r="A208" t="str">
            <v>0018T21997</v>
          </cell>
          <cell r="B208">
            <v>6</v>
          </cell>
        </row>
        <row r="209">
          <cell r="A209" t="str">
            <v>0018T31997</v>
          </cell>
          <cell r="B209">
            <v>6</v>
          </cell>
        </row>
        <row r="210">
          <cell r="A210" t="str">
            <v>0018T41997</v>
          </cell>
          <cell r="B210">
            <v>6</v>
          </cell>
        </row>
        <row r="211">
          <cell r="A211" t="str">
            <v>0018T11998</v>
          </cell>
          <cell r="B211">
            <v>6</v>
          </cell>
        </row>
        <row r="212">
          <cell r="A212" t="str">
            <v>0018T21998</v>
          </cell>
          <cell r="B212">
            <v>6</v>
          </cell>
        </row>
        <row r="213">
          <cell r="A213" t="str">
            <v>0018T31998</v>
          </cell>
          <cell r="B213">
            <v>6</v>
          </cell>
        </row>
        <row r="214">
          <cell r="A214" t="str">
            <v>0018T41998</v>
          </cell>
          <cell r="B214">
            <v>6</v>
          </cell>
        </row>
        <row r="215">
          <cell r="A215" t="str">
            <v>0018A41999</v>
          </cell>
          <cell r="B215">
            <v>6</v>
          </cell>
        </row>
        <row r="216">
          <cell r="A216" t="str">
            <v>0018T11999</v>
          </cell>
          <cell r="B216">
            <v>6</v>
          </cell>
        </row>
        <row r="217">
          <cell r="A217" t="str">
            <v>0018T21999</v>
          </cell>
          <cell r="B217">
            <v>6</v>
          </cell>
        </row>
        <row r="218">
          <cell r="A218" t="str">
            <v>0018T31999</v>
          </cell>
          <cell r="B218">
            <v>-1</v>
          </cell>
        </row>
        <row r="219">
          <cell r="A219" t="str">
            <v>0018T41999</v>
          </cell>
          <cell r="B219">
            <v>6</v>
          </cell>
        </row>
        <row r="220">
          <cell r="A220" t="str">
            <v>0019A21997</v>
          </cell>
          <cell r="B220">
            <v>6</v>
          </cell>
        </row>
        <row r="221">
          <cell r="A221" t="str">
            <v>0019T11997</v>
          </cell>
          <cell r="B221">
            <v>6</v>
          </cell>
        </row>
        <row r="222">
          <cell r="A222" t="str">
            <v>0019T21997</v>
          </cell>
          <cell r="B222">
            <v>6</v>
          </cell>
        </row>
        <row r="223">
          <cell r="A223" t="str">
            <v>0019T31997</v>
          </cell>
          <cell r="B223">
            <v>6</v>
          </cell>
        </row>
        <row r="224">
          <cell r="A224" t="str">
            <v>0019T41997</v>
          </cell>
          <cell r="B224">
            <v>6</v>
          </cell>
        </row>
        <row r="225">
          <cell r="A225" t="str">
            <v>0019A31998</v>
          </cell>
          <cell r="B225">
            <v>6</v>
          </cell>
        </row>
        <row r="226">
          <cell r="A226" t="str">
            <v>0019T11998</v>
          </cell>
          <cell r="B226">
            <v>6</v>
          </cell>
        </row>
        <row r="227">
          <cell r="A227" t="str">
            <v>0019T21998</v>
          </cell>
          <cell r="B227">
            <v>6</v>
          </cell>
        </row>
        <row r="228">
          <cell r="A228" t="str">
            <v>0019T31998</v>
          </cell>
          <cell r="B228">
            <v>6</v>
          </cell>
        </row>
        <row r="229">
          <cell r="A229" t="str">
            <v>0019T41998</v>
          </cell>
          <cell r="B229">
            <v>6</v>
          </cell>
        </row>
        <row r="230">
          <cell r="A230" t="str">
            <v>0019A41999</v>
          </cell>
          <cell r="B230">
            <v>6.5</v>
          </cell>
        </row>
        <row r="231">
          <cell r="A231" t="str">
            <v>0019T11999</v>
          </cell>
          <cell r="B231">
            <v>6</v>
          </cell>
        </row>
        <row r="232">
          <cell r="A232" t="str">
            <v>0019T21999</v>
          </cell>
          <cell r="B232">
            <v>6</v>
          </cell>
        </row>
        <row r="233">
          <cell r="A233" t="str">
            <v>0019T31999</v>
          </cell>
          <cell r="B233">
            <v>6.5</v>
          </cell>
        </row>
        <row r="234">
          <cell r="A234" t="str">
            <v>0019T41999</v>
          </cell>
          <cell r="B234">
            <v>6.5</v>
          </cell>
        </row>
        <row r="235">
          <cell r="A235" t="str">
            <v>0020A21997</v>
          </cell>
          <cell r="B235">
            <v>6</v>
          </cell>
        </row>
        <row r="236">
          <cell r="A236" t="str">
            <v>0020T11997</v>
          </cell>
          <cell r="B236">
            <v>6</v>
          </cell>
        </row>
        <row r="237">
          <cell r="A237" t="str">
            <v>0020T21997</v>
          </cell>
          <cell r="B237">
            <v>6</v>
          </cell>
        </row>
        <row r="238">
          <cell r="A238" t="str">
            <v>0020T31997</v>
          </cell>
          <cell r="B238">
            <v>6</v>
          </cell>
        </row>
        <row r="239">
          <cell r="A239" t="str">
            <v>0020T41997</v>
          </cell>
          <cell r="B239">
            <v>6</v>
          </cell>
        </row>
        <row r="240">
          <cell r="A240" t="str">
            <v>0020T11998</v>
          </cell>
          <cell r="B240">
            <v>6</v>
          </cell>
        </row>
        <row r="241">
          <cell r="A241" t="str">
            <v>0020T21998</v>
          </cell>
          <cell r="B241">
            <v>6</v>
          </cell>
        </row>
        <row r="242">
          <cell r="A242" t="str">
            <v>0020T31998</v>
          </cell>
          <cell r="B242">
            <v>6</v>
          </cell>
        </row>
        <row r="243">
          <cell r="A243" t="str">
            <v>0020T41998</v>
          </cell>
          <cell r="B243">
            <v>6</v>
          </cell>
        </row>
        <row r="244">
          <cell r="A244" t="str">
            <v>0020A41999</v>
          </cell>
          <cell r="B244">
            <v>6</v>
          </cell>
        </row>
        <row r="245">
          <cell r="A245" t="str">
            <v>0020T11999</v>
          </cell>
          <cell r="B245">
            <v>6</v>
          </cell>
        </row>
        <row r="246">
          <cell r="A246" t="str">
            <v>0020T21999</v>
          </cell>
          <cell r="B246">
            <v>6</v>
          </cell>
        </row>
        <row r="247">
          <cell r="A247" t="str">
            <v>0020T31999</v>
          </cell>
          <cell r="B247">
            <v>7</v>
          </cell>
        </row>
        <row r="248">
          <cell r="A248" t="str">
            <v>0020T41999</v>
          </cell>
          <cell r="B248">
            <v>6</v>
          </cell>
        </row>
        <row r="249">
          <cell r="A249" t="str">
            <v>0021A21997</v>
          </cell>
          <cell r="B249">
            <v>350</v>
          </cell>
        </row>
        <row r="250">
          <cell r="A250" t="str">
            <v>0021T41997</v>
          </cell>
          <cell r="B250">
            <v>350</v>
          </cell>
        </row>
        <row r="251">
          <cell r="A251" t="str">
            <v>0021A31998</v>
          </cell>
          <cell r="B251">
            <v>350</v>
          </cell>
        </row>
        <row r="252">
          <cell r="A252" t="str">
            <v>0021T11998</v>
          </cell>
          <cell r="B252">
            <v>350</v>
          </cell>
        </row>
        <row r="253">
          <cell r="A253" t="str">
            <v>0021T21998</v>
          </cell>
          <cell r="B253">
            <v>350</v>
          </cell>
        </row>
        <row r="254">
          <cell r="A254" t="str">
            <v>0021T31998</v>
          </cell>
          <cell r="B254">
            <v>350</v>
          </cell>
        </row>
        <row r="255">
          <cell r="A255" t="str">
            <v>0021T41998</v>
          </cell>
          <cell r="B255">
            <v>350</v>
          </cell>
        </row>
        <row r="256">
          <cell r="A256" t="str">
            <v>0021A41999</v>
          </cell>
          <cell r="B256">
            <v>325</v>
          </cell>
        </row>
        <row r="257">
          <cell r="A257" t="str">
            <v>0021T11999</v>
          </cell>
          <cell r="B257">
            <v>390</v>
          </cell>
        </row>
        <row r="258">
          <cell r="A258" t="str">
            <v>0021T21999</v>
          </cell>
          <cell r="B258">
            <v>390</v>
          </cell>
        </row>
        <row r="259">
          <cell r="A259" t="str">
            <v>0021T31999</v>
          </cell>
          <cell r="B259">
            <v>390</v>
          </cell>
        </row>
        <row r="260">
          <cell r="A260" t="str">
            <v>0021T41999</v>
          </cell>
          <cell r="B260">
            <v>325</v>
          </cell>
        </row>
        <row r="261">
          <cell r="A261" t="str">
            <v>0022A21997</v>
          </cell>
          <cell r="B261">
            <v>42206</v>
          </cell>
        </row>
        <row r="262">
          <cell r="A262" t="str">
            <v>0022T11997</v>
          </cell>
          <cell r="B262">
            <v>41076</v>
          </cell>
        </row>
        <row r="263">
          <cell r="A263" t="str">
            <v>0022T21997</v>
          </cell>
          <cell r="B263">
            <v>40234</v>
          </cell>
        </row>
        <row r="264">
          <cell r="A264" t="str">
            <v>0022T31997</v>
          </cell>
          <cell r="B264">
            <v>41933</v>
          </cell>
        </row>
        <row r="265">
          <cell r="A265" t="str">
            <v>0022T41997</v>
          </cell>
          <cell r="B265">
            <v>42206</v>
          </cell>
        </row>
        <row r="266">
          <cell r="A266" t="str">
            <v>0022A31998</v>
          </cell>
          <cell r="B266">
            <v>44351</v>
          </cell>
        </row>
        <row r="267">
          <cell r="A267" t="str">
            <v>0022T11998</v>
          </cell>
          <cell r="B267">
            <v>42583</v>
          </cell>
        </row>
        <row r="268">
          <cell r="A268" t="str">
            <v>0022T21998</v>
          </cell>
          <cell r="B268">
            <v>42989</v>
          </cell>
        </row>
        <row r="269">
          <cell r="A269" t="str">
            <v>0022T31998</v>
          </cell>
          <cell r="B269">
            <v>43093</v>
          </cell>
        </row>
        <row r="270">
          <cell r="A270" t="str">
            <v>0022T41998</v>
          </cell>
          <cell r="B270">
            <v>44351</v>
          </cell>
        </row>
        <row r="271">
          <cell r="A271" t="str">
            <v>0022A41999</v>
          </cell>
          <cell r="B271">
            <v>41311</v>
          </cell>
        </row>
        <row r="272">
          <cell r="A272" t="str">
            <v>0022T11999</v>
          </cell>
          <cell r="B272">
            <v>43088</v>
          </cell>
        </row>
        <row r="273">
          <cell r="A273" t="str">
            <v>0022T21999</v>
          </cell>
          <cell r="B273">
            <v>43461</v>
          </cell>
        </row>
        <row r="274">
          <cell r="A274" t="str">
            <v>0022T31999</v>
          </cell>
          <cell r="B274">
            <v>43527</v>
          </cell>
        </row>
        <row r="275">
          <cell r="A275" t="str">
            <v>0022T41999</v>
          </cell>
          <cell r="B275">
            <v>41311</v>
          </cell>
        </row>
        <row r="276">
          <cell r="A276" t="str">
            <v>0023A21997</v>
          </cell>
          <cell r="B276">
            <v>30873</v>
          </cell>
        </row>
        <row r="277">
          <cell r="A277" t="str">
            <v>0023T11997</v>
          </cell>
          <cell r="B277">
            <v>31692</v>
          </cell>
        </row>
        <row r="278">
          <cell r="A278" t="str">
            <v>0023T21997</v>
          </cell>
          <cell r="B278">
            <v>32263</v>
          </cell>
        </row>
        <row r="279">
          <cell r="A279" t="str">
            <v>0023T31997</v>
          </cell>
          <cell r="B279">
            <v>30533</v>
          </cell>
        </row>
        <row r="280">
          <cell r="A280" t="str">
            <v>0023T41997</v>
          </cell>
          <cell r="B280">
            <v>30873</v>
          </cell>
        </row>
        <row r="281">
          <cell r="A281" t="str">
            <v>0023A31998</v>
          </cell>
          <cell r="B281">
            <v>30627</v>
          </cell>
        </row>
        <row r="282">
          <cell r="A282" t="str">
            <v>0023T11998</v>
          </cell>
          <cell r="B282">
            <v>31912</v>
          </cell>
        </row>
        <row r="283">
          <cell r="A283" t="str">
            <v>0023T21998</v>
          </cell>
          <cell r="B283">
            <v>29502</v>
          </cell>
        </row>
        <row r="284">
          <cell r="A284" t="str">
            <v>0023T31998</v>
          </cell>
          <cell r="B284">
            <v>30275</v>
          </cell>
        </row>
        <row r="285">
          <cell r="A285" t="str">
            <v>0023T41998</v>
          </cell>
          <cell r="B285">
            <v>30627</v>
          </cell>
        </row>
        <row r="286">
          <cell r="A286" t="str">
            <v>0023A41999</v>
          </cell>
          <cell r="B286">
            <v>30378</v>
          </cell>
        </row>
        <row r="287">
          <cell r="A287" t="str">
            <v>0023T11999</v>
          </cell>
          <cell r="B287">
            <v>24959</v>
          </cell>
        </row>
        <row r="288">
          <cell r="A288" t="str">
            <v>0023T21999</v>
          </cell>
          <cell r="B288">
            <v>26730</v>
          </cell>
        </row>
        <row r="289">
          <cell r="A289" t="str">
            <v>0023T31999</v>
          </cell>
          <cell r="B289">
            <v>28450</v>
          </cell>
        </row>
        <row r="290">
          <cell r="A290" t="str">
            <v>0023T41999</v>
          </cell>
          <cell r="B290">
            <v>30378</v>
          </cell>
        </row>
        <row r="291">
          <cell r="A291" t="str">
            <v>0024A31998</v>
          </cell>
          <cell r="B291">
            <v>4014</v>
          </cell>
        </row>
        <row r="292">
          <cell r="A292" t="str">
            <v>0024T11998</v>
          </cell>
          <cell r="B292">
            <v>3520</v>
          </cell>
        </row>
        <row r="293">
          <cell r="A293" t="str">
            <v>0024T21998</v>
          </cell>
          <cell r="B293">
            <v>3556</v>
          </cell>
        </row>
        <row r="294">
          <cell r="A294" t="str">
            <v>0024T31998</v>
          </cell>
          <cell r="B294">
            <v>3950</v>
          </cell>
        </row>
        <row r="295">
          <cell r="A295" t="str">
            <v>0024T41998</v>
          </cell>
          <cell r="B295">
            <v>4014</v>
          </cell>
        </row>
        <row r="296">
          <cell r="A296" t="str">
            <v>0024A41999</v>
          </cell>
          <cell r="B296">
            <v>6174</v>
          </cell>
        </row>
        <row r="297">
          <cell r="A297" t="str">
            <v>0024T11999</v>
          </cell>
          <cell r="B297">
            <v>4201</v>
          </cell>
        </row>
        <row r="298">
          <cell r="A298" t="str">
            <v>0024T21999</v>
          </cell>
          <cell r="B298">
            <v>4331</v>
          </cell>
        </row>
        <row r="299">
          <cell r="A299" t="str">
            <v>0024T31999</v>
          </cell>
          <cell r="B299">
            <v>4971</v>
          </cell>
        </row>
        <row r="300">
          <cell r="A300" t="str">
            <v>0024T41999</v>
          </cell>
          <cell r="B300">
            <v>6174</v>
          </cell>
        </row>
        <row r="301">
          <cell r="A301" t="str">
            <v>0025A21997</v>
          </cell>
          <cell r="B301">
            <v>4456</v>
          </cell>
        </row>
        <row r="302">
          <cell r="A302" t="str">
            <v>0025T11997</v>
          </cell>
          <cell r="B302">
            <v>3189</v>
          </cell>
        </row>
        <row r="303">
          <cell r="A303" t="str">
            <v>0025T31997</v>
          </cell>
          <cell r="B303">
            <v>4537</v>
          </cell>
        </row>
        <row r="304">
          <cell r="A304" t="str">
            <v>0025T41997</v>
          </cell>
          <cell r="B304">
            <v>4456</v>
          </cell>
        </row>
        <row r="305">
          <cell r="A305" t="str">
            <v>0025A31998</v>
          </cell>
          <cell r="B305">
            <v>5012</v>
          </cell>
        </row>
        <row r="306">
          <cell r="A306" t="str">
            <v>0025T11998</v>
          </cell>
          <cell r="B306">
            <v>4355</v>
          </cell>
        </row>
        <row r="307">
          <cell r="A307" t="str">
            <v>0025T21998</v>
          </cell>
          <cell r="B307">
            <v>4519</v>
          </cell>
        </row>
        <row r="308">
          <cell r="A308" t="str">
            <v>0025T31998</v>
          </cell>
          <cell r="B308">
            <v>4873</v>
          </cell>
        </row>
        <row r="309">
          <cell r="A309" t="str">
            <v>0025T41998</v>
          </cell>
          <cell r="B309">
            <v>5012</v>
          </cell>
        </row>
        <row r="310">
          <cell r="A310" t="str">
            <v>0025A41999</v>
          </cell>
          <cell r="B310">
            <v>6965</v>
          </cell>
        </row>
        <row r="311">
          <cell r="A311" t="str">
            <v>0025T11999</v>
          </cell>
          <cell r="B311">
            <v>5417</v>
          </cell>
        </row>
        <row r="312">
          <cell r="A312" t="str">
            <v>0025T21999</v>
          </cell>
          <cell r="B312">
            <v>5751</v>
          </cell>
        </row>
        <row r="313">
          <cell r="A313" t="str">
            <v>0025T31999</v>
          </cell>
          <cell r="B313">
            <v>6239</v>
          </cell>
        </row>
        <row r="314">
          <cell r="A314" t="str">
            <v>0025T41999</v>
          </cell>
          <cell r="B314">
            <v>6965</v>
          </cell>
        </row>
        <row r="315">
          <cell r="A315" t="str">
            <v>0026A21997</v>
          </cell>
          <cell r="B315">
            <v>3932</v>
          </cell>
        </row>
        <row r="316">
          <cell r="A316" t="str">
            <v>0026T11997</v>
          </cell>
          <cell r="B316">
            <v>2869</v>
          </cell>
        </row>
        <row r="317">
          <cell r="A317" t="str">
            <v>0026T21997</v>
          </cell>
          <cell r="B317">
            <v>3749</v>
          </cell>
        </row>
        <row r="318">
          <cell r="A318" t="str">
            <v>0026T31997</v>
          </cell>
          <cell r="B318">
            <v>4246</v>
          </cell>
        </row>
        <row r="319">
          <cell r="A319" t="str">
            <v>0026T41997</v>
          </cell>
          <cell r="B319">
            <v>3932</v>
          </cell>
        </row>
        <row r="320">
          <cell r="A320" t="str">
            <v>0026A31998</v>
          </cell>
          <cell r="B320">
            <v>4014</v>
          </cell>
        </row>
        <row r="321">
          <cell r="A321" t="str">
            <v>0026T11998</v>
          </cell>
          <cell r="B321">
            <v>3520</v>
          </cell>
        </row>
        <row r="322">
          <cell r="A322" t="str">
            <v>0026T21998</v>
          </cell>
          <cell r="B322">
            <v>3556</v>
          </cell>
        </row>
        <row r="323">
          <cell r="A323" t="str">
            <v>0026T31998</v>
          </cell>
          <cell r="B323">
            <v>3950</v>
          </cell>
        </row>
        <row r="324">
          <cell r="A324" t="str">
            <v>0026T41998</v>
          </cell>
          <cell r="B324">
            <v>4014</v>
          </cell>
        </row>
        <row r="325">
          <cell r="A325" t="str">
            <v>0026A41999</v>
          </cell>
          <cell r="B325">
            <v>6562</v>
          </cell>
        </row>
        <row r="326">
          <cell r="A326" t="str">
            <v>0026T11999</v>
          </cell>
          <cell r="B326">
            <v>4201</v>
          </cell>
        </row>
        <row r="327">
          <cell r="A327" t="str">
            <v>0026T21999</v>
          </cell>
          <cell r="B327">
            <v>4331</v>
          </cell>
        </row>
        <row r="328">
          <cell r="A328" t="str">
            <v>0026T31999</v>
          </cell>
          <cell r="B328">
            <v>4971</v>
          </cell>
        </row>
        <row r="329">
          <cell r="A329" t="str">
            <v>0026T41999</v>
          </cell>
          <cell r="B329">
            <v>6562</v>
          </cell>
        </row>
        <row r="330">
          <cell r="A330" t="str">
            <v>0027A21997</v>
          </cell>
          <cell r="B330">
            <v>33707</v>
          </cell>
        </row>
        <row r="331">
          <cell r="A331" t="str">
            <v>0027T11997</v>
          </cell>
          <cell r="B331">
            <v>31688</v>
          </cell>
        </row>
        <row r="332">
          <cell r="A332" t="str">
            <v>0027T21997</v>
          </cell>
          <cell r="B332">
            <v>31714</v>
          </cell>
        </row>
        <row r="333">
          <cell r="A333" t="str">
            <v>0027T31997</v>
          </cell>
          <cell r="B333">
            <v>31895</v>
          </cell>
        </row>
        <row r="334">
          <cell r="A334" t="str">
            <v>0027T41997</v>
          </cell>
          <cell r="B334">
            <v>33707</v>
          </cell>
        </row>
        <row r="335">
          <cell r="A335" t="str">
            <v>0027A31998</v>
          </cell>
          <cell r="B335">
            <v>35203</v>
          </cell>
        </row>
        <row r="336">
          <cell r="A336" t="str">
            <v>0027T11998</v>
          </cell>
          <cell r="B336">
            <v>33916</v>
          </cell>
        </row>
        <row r="337">
          <cell r="A337" t="str">
            <v>0027T21998</v>
          </cell>
          <cell r="B337">
            <v>34073</v>
          </cell>
        </row>
        <row r="338">
          <cell r="A338" t="str">
            <v>0027T31998</v>
          </cell>
          <cell r="B338">
            <v>34412</v>
          </cell>
        </row>
        <row r="339">
          <cell r="A339" t="str">
            <v>0027T41998</v>
          </cell>
          <cell r="B339">
            <v>35203</v>
          </cell>
        </row>
        <row r="340">
          <cell r="A340" t="str">
            <v>0027A41999</v>
          </cell>
          <cell r="B340">
            <v>36091</v>
          </cell>
        </row>
        <row r="341">
          <cell r="A341" t="str">
            <v>0027T11999</v>
          </cell>
          <cell r="B341">
            <v>35145</v>
          </cell>
        </row>
        <row r="342">
          <cell r="A342" t="str">
            <v>0027T21999</v>
          </cell>
          <cell r="B342">
            <v>35773</v>
          </cell>
        </row>
        <row r="343">
          <cell r="A343" t="str">
            <v>0027T31999</v>
          </cell>
          <cell r="B343">
            <v>35815</v>
          </cell>
        </row>
        <row r="344">
          <cell r="A344" t="str">
            <v>0027T41999</v>
          </cell>
          <cell r="B344">
            <v>36091</v>
          </cell>
        </row>
        <row r="345">
          <cell r="A345" t="str">
            <v>0028A31998</v>
          </cell>
        </row>
        <row r="346">
          <cell r="A346" t="str">
            <v>0028T11998</v>
          </cell>
        </row>
        <row r="347">
          <cell r="A347" t="str">
            <v>0028T21998</v>
          </cell>
        </row>
        <row r="348">
          <cell r="A348" t="str">
            <v>0028T31998</v>
          </cell>
        </row>
        <row r="349">
          <cell r="A349" t="str">
            <v>0028T41998</v>
          </cell>
        </row>
        <row r="350">
          <cell r="A350" t="str">
            <v>0028A41999</v>
          </cell>
          <cell r="B350">
            <v>42193</v>
          </cell>
        </row>
        <row r="351">
          <cell r="A351" t="str">
            <v>0028T21999</v>
          </cell>
          <cell r="B351">
            <v>43461</v>
          </cell>
        </row>
        <row r="352">
          <cell r="A352" t="str">
            <v>0028T31999</v>
          </cell>
          <cell r="B352">
            <v>43527</v>
          </cell>
        </row>
        <row r="353">
          <cell r="A353" t="str">
            <v>0028T41999</v>
          </cell>
          <cell r="B353">
            <v>42193</v>
          </cell>
        </row>
        <row r="354">
          <cell r="A354" t="str">
            <v>0029A31998</v>
          </cell>
        </row>
        <row r="355">
          <cell r="A355" t="str">
            <v>0029T11998</v>
          </cell>
        </row>
        <row r="356">
          <cell r="A356" t="str">
            <v>0029T21998</v>
          </cell>
        </row>
        <row r="357">
          <cell r="A357" t="str">
            <v>0029T31998</v>
          </cell>
        </row>
        <row r="358">
          <cell r="A358" t="str">
            <v>0029T41998</v>
          </cell>
        </row>
        <row r="359">
          <cell r="A359" t="str">
            <v>0029A41999</v>
          </cell>
          <cell r="B359">
            <v>36438</v>
          </cell>
        </row>
        <row r="360">
          <cell r="A360" t="str">
            <v>0029T21999</v>
          </cell>
          <cell r="B360">
            <v>35808</v>
          </cell>
        </row>
        <row r="361">
          <cell r="A361" t="str">
            <v>0029T31999</v>
          </cell>
          <cell r="B361">
            <v>35815</v>
          </cell>
        </row>
        <row r="362">
          <cell r="A362" t="str">
            <v>0029T41999</v>
          </cell>
          <cell r="B362">
            <v>36438</v>
          </cell>
        </row>
        <row r="363">
          <cell r="A363" t="str">
            <v>0030A21997</v>
          </cell>
          <cell r="B363">
            <v>29</v>
          </cell>
        </row>
        <row r="364">
          <cell r="A364" t="str">
            <v>0030T41997</v>
          </cell>
          <cell r="B364">
            <v>29</v>
          </cell>
        </row>
        <row r="365">
          <cell r="A365" t="str">
            <v>0030A31998</v>
          </cell>
          <cell r="B365">
            <v>24</v>
          </cell>
        </row>
        <row r="366">
          <cell r="A366" t="str">
            <v>0030T11998</v>
          </cell>
          <cell r="B366">
            <v>31</v>
          </cell>
        </row>
        <row r="367">
          <cell r="A367" t="str">
            <v>0030T21998</v>
          </cell>
          <cell r="B367">
            <v>22</v>
          </cell>
        </row>
        <row r="368">
          <cell r="A368" t="str">
            <v>0030T31998</v>
          </cell>
          <cell r="B368">
            <v>24</v>
          </cell>
        </row>
        <row r="369">
          <cell r="A369" t="str">
            <v>0030T41998</v>
          </cell>
          <cell r="B369">
            <v>24</v>
          </cell>
        </row>
        <row r="370">
          <cell r="A370" t="str">
            <v>0030A41999</v>
          </cell>
          <cell r="B370">
            <v>24</v>
          </cell>
        </row>
        <row r="371">
          <cell r="A371" t="str">
            <v>0030T11999</v>
          </cell>
          <cell r="B371">
            <v>15</v>
          </cell>
        </row>
        <row r="372">
          <cell r="A372" t="str">
            <v>0030T21999</v>
          </cell>
          <cell r="B372">
            <v>15</v>
          </cell>
        </row>
        <row r="373">
          <cell r="A373" t="str">
            <v>0030T31999</v>
          </cell>
          <cell r="B373">
            <v>19</v>
          </cell>
        </row>
        <row r="374">
          <cell r="A374" t="str">
            <v>0030T41999</v>
          </cell>
          <cell r="B374">
            <v>24</v>
          </cell>
        </row>
        <row r="375">
          <cell r="A375" t="str">
            <v>0031A21997</v>
          </cell>
          <cell r="B375">
            <v>9493908</v>
          </cell>
        </row>
        <row r="376">
          <cell r="A376" t="str">
            <v>0031T11997</v>
          </cell>
          <cell r="B376">
            <v>2466842</v>
          </cell>
        </row>
        <row r="377">
          <cell r="A377" t="str">
            <v>0031T21997</v>
          </cell>
          <cell r="B377">
            <v>2427601</v>
          </cell>
        </row>
        <row r="378">
          <cell r="A378" t="str">
            <v>0031T31997</v>
          </cell>
          <cell r="B378">
            <v>2312670</v>
          </cell>
        </row>
        <row r="379">
          <cell r="A379" t="str">
            <v>0031T41997</v>
          </cell>
          <cell r="B379">
            <v>2286795</v>
          </cell>
        </row>
        <row r="380">
          <cell r="A380" t="str">
            <v>0031A31998</v>
          </cell>
          <cell r="B380">
            <v>9435087</v>
          </cell>
        </row>
        <row r="381">
          <cell r="A381" t="str">
            <v>0031T11998</v>
          </cell>
          <cell r="B381">
            <v>2478144</v>
          </cell>
        </row>
        <row r="382">
          <cell r="A382" t="str">
            <v>0031T21998</v>
          </cell>
          <cell r="B382">
            <v>2425148</v>
          </cell>
        </row>
        <row r="383">
          <cell r="A383" t="str">
            <v>0031T31998</v>
          </cell>
          <cell r="B383">
            <v>2267341</v>
          </cell>
        </row>
        <row r="384">
          <cell r="A384" t="str">
            <v>0031T41998</v>
          </cell>
          <cell r="B384">
            <v>2264454</v>
          </cell>
        </row>
        <row r="385">
          <cell r="A385" t="str">
            <v>0031A41999</v>
          </cell>
          <cell r="B385">
            <v>7927287</v>
          </cell>
        </row>
        <row r="386">
          <cell r="A386" t="str">
            <v>0031T11999</v>
          </cell>
          <cell r="B386">
            <v>2155341</v>
          </cell>
        </row>
        <row r="387">
          <cell r="A387" t="str">
            <v>0031T21999</v>
          </cell>
          <cell r="B387">
            <v>1908662</v>
          </cell>
        </row>
        <row r="388">
          <cell r="A388" t="str">
            <v>0031T31999</v>
          </cell>
          <cell r="B388">
            <v>1757552</v>
          </cell>
        </row>
        <row r="389">
          <cell r="A389" t="str">
            <v>0031T41999</v>
          </cell>
          <cell r="B389">
            <v>2105732</v>
          </cell>
        </row>
        <row r="390">
          <cell r="A390" t="str">
            <v>0032A21997</v>
          </cell>
          <cell r="B390">
            <v>1423042</v>
          </cell>
        </row>
        <row r="391">
          <cell r="A391" t="str">
            <v>0032T11997</v>
          </cell>
          <cell r="B391">
            <v>251521</v>
          </cell>
        </row>
        <row r="392">
          <cell r="A392" t="str">
            <v>0032T21997</v>
          </cell>
          <cell r="B392">
            <v>232616</v>
          </cell>
        </row>
        <row r="393">
          <cell r="A393" t="str">
            <v>0032T31997</v>
          </cell>
          <cell r="B393">
            <v>326471</v>
          </cell>
        </row>
        <row r="394">
          <cell r="A394" t="str">
            <v>0032T41997</v>
          </cell>
          <cell r="B394">
            <v>612434</v>
          </cell>
        </row>
        <row r="395">
          <cell r="A395" t="str">
            <v>0032A31998</v>
          </cell>
          <cell r="B395">
            <v>1210726</v>
          </cell>
        </row>
        <row r="396">
          <cell r="A396" t="str">
            <v>0032T11998</v>
          </cell>
          <cell r="B396">
            <v>300613</v>
          </cell>
        </row>
        <row r="397">
          <cell r="A397" t="str">
            <v>0032T21998</v>
          </cell>
          <cell r="B397">
            <v>288389</v>
          </cell>
        </row>
        <row r="398">
          <cell r="A398" t="str">
            <v>0032T31998</v>
          </cell>
          <cell r="B398">
            <v>306843</v>
          </cell>
        </row>
        <row r="399">
          <cell r="A399" t="str">
            <v>0032T41998</v>
          </cell>
          <cell r="B399">
            <v>314881</v>
          </cell>
        </row>
        <row r="400">
          <cell r="A400" t="str">
            <v>0032A41999</v>
          </cell>
          <cell r="B400">
            <v>1766811</v>
          </cell>
        </row>
        <row r="401">
          <cell r="A401" t="str">
            <v>0032T11999</v>
          </cell>
          <cell r="B401">
            <v>304194</v>
          </cell>
        </row>
        <row r="402">
          <cell r="A402" t="str">
            <v>0032T21999</v>
          </cell>
          <cell r="B402">
            <v>371472</v>
          </cell>
        </row>
        <row r="403">
          <cell r="A403" t="str">
            <v>0032T31999</v>
          </cell>
          <cell r="B403">
            <v>455928</v>
          </cell>
        </row>
        <row r="404">
          <cell r="A404" t="str">
            <v>0032T41999</v>
          </cell>
          <cell r="B404">
            <v>635217</v>
          </cell>
        </row>
        <row r="405">
          <cell r="A405" t="str">
            <v>0033A21997</v>
          </cell>
          <cell r="B405">
            <v>10224233</v>
          </cell>
        </row>
        <row r="406">
          <cell r="A406" t="str">
            <v>0033T11997</v>
          </cell>
          <cell r="B406">
            <v>2634715</v>
          </cell>
        </row>
        <row r="407">
          <cell r="A407" t="str">
            <v>0033T21997</v>
          </cell>
          <cell r="B407">
            <v>2630397</v>
          </cell>
        </row>
        <row r="408">
          <cell r="A408" t="str">
            <v>0033T31997</v>
          </cell>
          <cell r="B408">
            <v>2533764</v>
          </cell>
        </row>
        <row r="409">
          <cell r="A409" t="str">
            <v>0033T41997</v>
          </cell>
          <cell r="B409">
            <v>2425357</v>
          </cell>
        </row>
        <row r="410">
          <cell r="A410" t="str">
            <v>0033A31998</v>
          </cell>
          <cell r="B410">
            <v>9978170</v>
          </cell>
        </row>
        <row r="411">
          <cell r="A411" t="str">
            <v>0033T11998</v>
          </cell>
          <cell r="B411">
            <v>2487327</v>
          </cell>
        </row>
        <row r="412">
          <cell r="A412" t="str">
            <v>0033T21998</v>
          </cell>
          <cell r="B412">
            <v>2499707</v>
          </cell>
        </row>
        <row r="413">
          <cell r="A413" t="str">
            <v>0033T31998</v>
          </cell>
          <cell r="B413">
            <v>2498555</v>
          </cell>
        </row>
        <row r="414">
          <cell r="A414" t="str">
            <v>0033T41998</v>
          </cell>
          <cell r="B414">
            <v>2492581</v>
          </cell>
        </row>
        <row r="415">
          <cell r="A415" t="str">
            <v>0033A41999</v>
          </cell>
          <cell r="B415">
            <v>9582178</v>
          </cell>
        </row>
        <row r="416">
          <cell r="A416" t="str">
            <v>0033T11999</v>
          </cell>
          <cell r="B416">
            <v>2367328</v>
          </cell>
        </row>
        <row r="417">
          <cell r="A417" t="str">
            <v>0033T21999</v>
          </cell>
          <cell r="B417">
            <v>2215975</v>
          </cell>
        </row>
        <row r="418">
          <cell r="A418" t="str">
            <v>0033T31999</v>
          </cell>
          <cell r="B418">
            <v>2269155</v>
          </cell>
        </row>
        <row r="419">
          <cell r="A419" t="str">
            <v>0033T41999</v>
          </cell>
          <cell r="B419">
            <v>2729720</v>
          </cell>
        </row>
        <row r="420">
          <cell r="A420" t="str">
            <v>0034A21997</v>
          </cell>
          <cell r="B420">
            <v>5371101</v>
          </cell>
        </row>
        <row r="421">
          <cell r="A421" t="str">
            <v>0034T11997</v>
          </cell>
          <cell r="B421">
            <v>1272217</v>
          </cell>
        </row>
        <row r="422">
          <cell r="A422" t="str">
            <v>0034T21997</v>
          </cell>
          <cell r="B422">
            <v>1286322</v>
          </cell>
        </row>
        <row r="423">
          <cell r="A423" t="str">
            <v>0034T31997</v>
          </cell>
          <cell r="B423">
            <v>1387685</v>
          </cell>
        </row>
        <row r="424">
          <cell r="A424" t="str">
            <v>0034T41997</v>
          </cell>
          <cell r="B424">
            <v>1424877</v>
          </cell>
        </row>
        <row r="425">
          <cell r="A425" t="str">
            <v>0034A31998</v>
          </cell>
          <cell r="B425">
            <v>5686755</v>
          </cell>
        </row>
        <row r="426">
          <cell r="A426" t="str">
            <v>0034T11998</v>
          </cell>
          <cell r="B426">
            <v>1461244</v>
          </cell>
        </row>
        <row r="427">
          <cell r="A427" t="str">
            <v>0034T21998</v>
          </cell>
          <cell r="B427">
            <v>1388979</v>
          </cell>
        </row>
        <row r="428">
          <cell r="A428" t="str">
            <v>0034T31998</v>
          </cell>
          <cell r="B428">
            <v>1498618</v>
          </cell>
        </row>
        <row r="429">
          <cell r="A429" t="str">
            <v>0034T41998</v>
          </cell>
          <cell r="B429">
            <v>1337914</v>
          </cell>
        </row>
        <row r="430">
          <cell r="A430" t="str">
            <v>0034A41999</v>
          </cell>
          <cell r="B430">
            <v>4751654</v>
          </cell>
        </row>
        <row r="431">
          <cell r="A431" t="str">
            <v>0034T11999</v>
          </cell>
          <cell r="B431">
            <v>1137202</v>
          </cell>
        </row>
        <row r="432">
          <cell r="A432" t="str">
            <v>0034T21999</v>
          </cell>
          <cell r="B432">
            <v>1137869</v>
          </cell>
        </row>
        <row r="433">
          <cell r="A433" t="str">
            <v>0034T31999</v>
          </cell>
          <cell r="B433">
            <v>1087080</v>
          </cell>
        </row>
        <row r="434">
          <cell r="A434" t="str">
            <v>0034T41999</v>
          </cell>
          <cell r="B434">
            <v>1389503</v>
          </cell>
        </row>
        <row r="435">
          <cell r="A435" t="str">
            <v>0035A21997</v>
          </cell>
          <cell r="B435">
            <v>14625</v>
          </cell>
        </row>
        <row r="436">
          <cell r="A436" t="str">
            <v>0035T41997</v>
          </cell>
          <cell r="B436">
            <v>14625</v>
          </cell>
        </row>
        <row r="437">
          <cell r="A437" t="str">
            <v>0035A31998</v>
          </cell>
          <cell r="B437">
            <v>17129</v>
          </cell>
        </row>
        <row r="438">
          <cell r="A438" t="str">
            <v>0035T11998</v>
          </cell>
          <cell r="B438">
            <v>3974</v>
          </cell>
        </row>
        <row r="439">
          <cell r="A439" t="str">
            <v>0035T21998</v>
          </cell>
          <cell r="B439">
            <v>5054</v>
          </cell>
        </row>
        <row r="440">
          <cell r="A440" t="str">
            <v>0035T31998</v>
          </cell>
          <cell r="B440">
            <v>4642</v>
          </cell>
        </row>
        <row r="441">
          <cell r="A441" t="str">
            <v>0035T41998</v>
          </cell>
          <cell r="B441">
            <v>3459</v>
          </cell>
        </row>
        <row r="442">
          <cell r="A442" t="str">
            <v>0035A41999</v>
          </cell>
          <cell r="B442">
            <v>7799</v>
          </cell>
        </row>
        <row r="443">
          <cell r="A443" t="str">
            <v>0035T11999</v>
          </cell>
          <cell r="B443">
            <v>2863</v>
          </cell>
        </row>
        <row r="444">
          <cell r="A444" t="str">
            <v>0035T21999</v>
          </cell>
          <cell r="B444">
            <v>2423</v>
          </cell>
        </row>
        <row r="445">
          <cell r="A445" t="str">
            <v>0035T31999</v>
          </cell>
          <cell r="B445">
            <v>888</v>
          </cell>
        </row>
        <row r="446">
          <cell r="A446" t="str">
            <v>0035T41999</v>
          </cell>
          <cell r="B446">
            <v>1625</v>
          </cell>
        </row>
        <row r="447">
          <cell r="A447" t="str">
            <v>0036A21997</v>
          </cell>
          <cell r="B447">
            <v>9560</v>
          </cell>
        </row>
        <row r="448">
          <cell r="A448" t="str">
            <v>0036T41997</v>
          </cell>
          <cell r="B448">
            <v>9560</v>
          </cell>
        </row>
        <row r="449">
          <cell r="A449" t="str">
            <v>0036A31998</v>
          </cell>
          <cell r="B449">
            <v>16350</v>
          </cell>
        </row>
        <row r="450">
          <cell r="A450" t="str">
            <v>0036T11998</v>
          </cell>
          <cell r="B450">
            <v>3833</v>
          </cell>
        </row>
        <row r="451">
          <cell r="A451" t="str">
            <v>0036T21998</v>
          </cell>
          <cell r="B451">
            <v>4846</v>
          </cell>
        </row>
        <row r="452">
          <cell r="A452" t="str">
            <v>0036T31998</v>
          </cell>
          <cell r="B452">
            <v>4587</v>
          </cell>
        </row>
        <row r="453">
          <cell r="A453" t="str">
            <v>0036T41998</v>
          </cell>
          <cell r="B453">
            <v>3084</v>
          </cell>
        </row>
        <row r="454">
          <cell r="A454" t="str">
            <v>0036A41999</v>
          </cell>
          <cell r="B454">
            <v>6962</v>
          </cell>
        </row>
        <row r="455">
          <cell r="A455" t="str">
            <v>0036T11999</v>
          </cell>
          <cell r="B455">
            <v>2476</v>
          </cell>
        </row>
        <row r="456">
          <cell r="A456" t="str">
            <v>0036T21999</v>
          </cell>
          <cell r="B456">
            <v>2251</v>
          </cell>
        </row>
        <row r="457">
          <cell r="A457" t="str">
            <v>0036T31999</v>
          </cell>
          <cell r="B457">
            <v>716</v>
          </cell>
        </row>
        <row r="458">
          <cell r="A458" t="str">
            <v>0036T41999</v>
          </cell>
          <cell r="B458">
            <v>1519</v>
          </cell>
        </row>
        <row r="459">
          <cell r="A459" t="str">
            <v>0037A21997</v>
          </cell>
          <cell r="B459">
            <v>9753816</v>
          </cell>
        </row>
        <row r="460">
          <cell r="A460" t="str">
            <v>0037T11997</v>
          </cell>
          <cell r="B460">
            <v>5400394</v>
          </cell>
        </row>
        <row r="461">
          <cell r="A461" t="str">
            <v>0037T21997</v>
          </cell>
          <cell r="B461">
            <v>5693388</v>
          </cell>
        </row>
        <row r="462">
          <cell r="A462" t="str">
            <v>0037T31997</v>
          </cell>
          <cell r="B462">
            <v>5441911</v>
          </cell>
        </row>
        <row r="463">
          <cell r="A463" t="str">
            <v>0037T41997</v>
          </cell>
          <cell r="B463">
            <v>9753816</v>
          </cell>
        </row>
        <row r="464">
          <cell r="A464" t="str">
            <v>0037A31998</v>
          </cell>
          <cell r="B464">
            <v>7113152</v>
          </cell>
        </row>
        <row r="465">
          <cell r="A465" t="str">
            <v>0037T11998</v>
          </cell>
          <cell r="B465">
            <v>10699668</v>
          </cell>
        </row>
        <row r="466">
          <cell r="A466" t="str">
            <v>0037T21998</v>
          </cell>
          <cell r="B466">
            <v>10950290</v>
          </cell>
        </row>
        <row r="467">
          <cell r="A467" t="str">
            <v>0037T31998</v>
          </cell>
          <cell r="B467">
            <v>10240705</v>
          </cell>
        </row>
        <row r="468">
          <cell r="A468" t="str">
            <v>0037T41998</v>
          </cell>
          <cell r="B468">
            <v>7113152</v>
          </cell>
        </row>
        <row r="469">
          <cell r="A469" t="str">
            <v>0037A41999</v>
          </cell>
          <cell r="B469">
            <v>3551454</v>
          </cell>
        </row>
        <row r="470">
          <cell r="A470" t="str">
            <v>0037T11999</v>
          </cell>
          <cell r="B470">
            <v>7639359</v>
          </cell>
        </row>
        <row r="471">
          <cell r="A471" t="str">
            <v>0037T21999</v>
          </cell>
          <cell r="B471">
            <v>7417280</v>
          </cell>
        </row>
        <row r="472">
          <cell r="A472" t="str">
            <v>0037T31999</v>
          </cell>
          <cell r="B472">
            <v>3605469</v>
          </cell>
        </row>
        <row r="473">
          <cell r="A473" t="str">
            <v>0037T41999</v>
          </cell>
          <cell r="B473">
            <v>3551454</v>
          </cell>
        </row>
        <row r="474">
          <cell r="A474" t="str">
            <v>0038A21997</v>
          </cell>
          <cell r="B474">
            <v>207948</v>
          </cell>
        </row>
        <row r="475">
          <cell r="A475" t="str">
            <v>0038T11997</v>
          </cell>
          <cell r="B475">
            <v>201923</v>
          </cell>
        </row>
        <row r="476">
          <cell r="A476" t="str">
            <v>0038T21997</v>
          </cell>
          <cell r="B476">
            <v>463379</v>
          </cell>
        </row>
        <row r="477">
          <cell r="A477" t="str">
            <v>0038T31997</v>
          </cell>
          <cell r="B477">
            <v>193511</v>
          </cell>
        </row>
        <row r="478">
          <cell r="A478" t="str">
            <v>0038T41997</v>
          </cell>
          <cell r="B478">
            <v>207948</v>
          </cell>
        </row>
        <row r="479">
          <cell r="A479" t="str">
            <v>0038A31998</v>
          </cell>
          <cell r="B479">
            <v>72914</v>
          </cell>
        </row>
        <row r="480">
          <cell r="A480" t="str">
            <v>0038T11998</v>
          </cell>
          <cell r="B480">
            <v>297774</v>
          </cell>
        </row>
        <row r="481">
          <cell r="A481" t="str">
            <v>0038T21998</v>
          </cell>
          <cell r="B481">
            <v>408056</v>
          </cell>
        </row>
        <row r="482">
          <cell r="A482" t="str">
            <v>0038T31998</v>
          </cell>
          <cell r="B482">
            <v>249901</v>
          </cell>
        </row>
        <row r="483">
          <cell r="A483" t="str">
            <v>0038T41998</v>
          </cell>
          <cell r="B483">
            <v>72914</v>
          </cell>
        </row>
        <row r="484">
          <cell r="A484" t="str">
            <v>0038A41999</v>
          </cell>
          <cell r="B484">
            <v>408869</v>
          </cell>
        </row>
        <row r="485">
          <cell r="A485" t="str">
            <v>0038T11999</v>
          </cell>
          <cell r="B485">
            <v>296687</v>
          </cell>
        </row>
        <row r="486">
          <cell r="A486" t="str">
            <v>0038T21999</v>
          </cell>
          <cell r="B486">
            <v>354153</v>
          </cell>
        </row>
        <row r="487">
          <cell r="A487" t="str">
            <v>0038T31999</v>
          </cell>
          <cell r="B487">
            <v>466076</v>
          </cell>
        </row>
        <row r="488">
          <cell r="A488" t="str">
            <v>0038T41999</v>
          </cell>
          <cell r="B488">
            <v>408869</v>
          </cell>
        </row>
        <row r="489">
          <cell r="A489" t="str">
            <v>0039A41999</v>
          </cell>
          <cell r="B489">
            <v>0</v>
          </cell>
        </row>
        <row r="490">
          <cell r="A490" t="str">
            <v>0039T11999</v>
          </cell>
          <cell r="B490">
            <v>0</v>
          </cell>
        </row>
        <row r="491">
          <cell r="A491" t="str">
            <v>0039T21999</v>
          </cell>
          <cell r="B491">
            <v>0</v>
          </cell>
        </row>
        <row r="492">
          <cell r="A492" t="str">
            <v>0039T31999</v>
          </cell>
          <cell r="B492">
            <v>0</v>
          </cell>
        </row>
        <row r="493">
          <cell r="A493" t="str">
            <v>0039T41999</v>
          </cell>
          <cell r="B493">
            <v>0</v>
          </cell>
        </row>
        <row r="494">
          <cell r="A494" t="str">
            <v>0040A21997</v>
          </cell>
          <cell r="B494">
            <v>13648316</v>
          </cell>
        </row>
        <row r="495">
          <cell r="A495" t="str">
            <v>0040T11997</v>
          </cell>
          <cell r="B495">
            <v>6443914</v>
          </cell>
        </row>
        <row r="496">
          <cell r="A496" t="str">
            <v>0040T21997</v>
          </cell>
          <cell r="B496">
            <v>6458388</v>
          </cell>
        </row>
        <row r="497">
          <cell r="A497" t="str">
            <v>0040T31997</v>
          </cell>
          <cell r="B497">
            <v>6423002</v>
          </cell>
        </row>
        <row r="498">
          <cell r="A498" t="str">
            <v>0040T41997</v>
          </cell>
          <cell r="B498">
            <v>13648316</v>
          </cell>
        </row>
        <row r="499">
          <cell r="A499" t="str">
            <v>0040A31998</v>
          </cell>
          <cell r="B499">
            <v>9247561</v>
          </cell>
        </row>
        <row r="500">
          <cell r="A500" t="str">
            <v>0040T11998</v>
          </cell>
          <cell r="B500">
            <v>14037158</v>
          </cell>
        </row>
        <row r="501">
          <cell r="A501" t="str">
            <v>0040T21998</v>
          </cell>
          <cell r="B501">
            <v>13867483</v>
          </cell>
        </row>
        <row r="502">
          <cell r="A502" t="str">
            <v>0040T31998</v>
          </cell>
          <cell r="B502">
            <v>13623557</v>
          </cell>
        </row>
        <row r="503">
          <cell r="A503" t="str">
            <v>0040T41998</v>
          </cell>
          <cell r="B503">
            <v>9247561</v>
          </cell>
        </row>
        <row r="504">
          <cell r="A504" t="str">
            <v>0040A41999</v>
          </cell>
          <cell r="B504">
            <v>9064277</v>
          </cell>
        </row>
        <row r="505">
          <cell r="A505" t="str">
            <v>0040T11999</v>
          </cell>
          <cell r="B505">
            <v>9297040</v>
          </cell>
        </row>
        <row r="506">
          <cell r="A506" t="str">
            <v>0040T21999</v>
          </cell>
          <cell r="B506">
            <v>9243279</v>
          </cell>
        </row>
        <row r="507">
          <cell r="A507" t="str">
            <v>0040T31999</v>
          </cell>
          <cell r="B507">
            <v>9069205</v>
          </cell>
        </row>
        <row r="508">
          <cell r="A508" t="str">
            <v>0040T41999</v>
          </cell>
          <cell r="B508">
            <v>9064277</v>
          </cell>
        </row>
        <row r="509">
          <cell r="A509" t="str">
            <v>0041A21997</v>
          </cell>
          <cell r="B509">
            <v>-5247114</v>
          </cell>
        </row>
        <row r="510">
          <cell r="A510" t="str">
            <v>0041T11997</v>
          </cell>
          <cell r="B510">
            <v>-2355541</v>
          </cell>
        </row>
        <row r="511">
          <cell r="A511" t="str">
            <v>0041T21997</v>
          </cell>
          <cell r="B511">
            <v>-2355541</v>
          </cell>
        </row>
        <row r="512">
          <cell r="A512" t="str">
            <v>0041T31997</v>
          </cell>
          <cell r="B512">
            <v>-2355541</v>
          </cell>
        </row>
        <row r="513">
          <cell r="A513" t="str">
            <v>0041T41997</v>
          </cell>
          <cell r="B513">
            <v>-5247114</v>
          </cell>
        </row>
        <row r="514">
          <cell r="A514" t="str">
            <v>0041A31998</v>
          </cell>
          <cell r="B514">
            <v>-7541761</v>
          </cell>
        </row>
        <row r="515">
          <cell r="A515" t="str">
            <v>0041T11998</v>
          </cell>
          <cell r="B515">
            <v>-5247114</v>
          </cell>
        </row>
        <row r="516">
          <cell r="A516" t="str">
            <v>0041T21998</v>
          </cell>
          <cell r="B516">
            <v>-5247114</v>
          </cell>
        </row>
        <row r="517">
          <cell r="A517" t="str">
            <v>0041T31998</v>
          </cell>
          <cell r="B517">
            <v>-5003931</v>
          </cell>
        </row>
        <row r="518">
          <cell r="A518" t="str">
            <v>0041T41998</v>
          </cell>
          <cell r="B518">
            <v>-7541761</v>
          </cell>
        </row>
        <row r="519">
          <cell r="A519" t="str">
            <v>0041A41999</v>
          </cell>
          <cell r="B519">
            <v>7501541</v>
          </cell>
        </row>
        <row r="520">
          <cell r="A520" t="str">
            <v>0041T11999</v>
          </cell>
          <cell r="B520">
            <v>7541762</v>
          </cell>
        </row>
        <row r="521">
          <cell r="A521" t="str">
            <v>0041T21999</v>
          </cell>
          <cell r="B521">
            <v>7541762</v>
          </cell>
        </row>
        <row r="522">
          <cell r="A522" t="str">
            <v>0041T31999</v>
          </cell>
          <cell r="B522">
            <v>7541762</v>
          </cell>
        </row>
        <row r="523">
          <cell r="A523" t="str">
            <v>0041T41999</v>
          </cell>
          <cell r="B523">
            <v>7501541</v>
          </cell>
        </row>
        <row r="524">
          <cell r="A524" t="str">
            <v>0042A21997</v>
          </cell>
          <cell r="B524">
            <v>501781</v>
          </cell>
        </row>
        <row r="525">
          <cell r="A525" t="str">
            <v>0042T11997</v>
          </cell>
          <cell r="B525">
            <v>418634</v>
          </cell>
        </row>
        <row r="526">
          <cell r="A526" t="str">
            <v>0042T21997</v>
          </cell>
          <cell r="B526">
            <v>439619</v>
          </cell>
        </row>
        <row r="527">
          <cell r="A527" t="str">
            <v>0042T31997</v>
          </cell>
          <cell r="B527">
            <v>448934</v>
          </cell>
        </row>
        <row r="528">
          <cell r="A528" t="str">
            <v>0042T41997</v>
          </cell>
          <cell r="B528">
            <v>501781</v>
          </cell>
        </row>
        <row r="529">
          <cell r="A529" t="str">
            <v>0042A31998</v>
          </cell>
          <cell r="B529">
            <v>526470</v>
          </cell>
        </row>
        <row r="530">
          <cell r="A530" t="str">
            <v>0042T11998</v>
          </cell>
          <cell r="B530">
            <v>681332</v>
          </cell>
        </row>
        <row r="531">
          <cell r="A531" t="str">
            <v>0042T21998</v>
          </cell>
          <cell r="B531">
            <v>733301</v>
          </cell>
        </row>
        <row r="532">
          <cell r="A532" t="str">
            <v>0042T31998</v>
          </cell>
          <cell r="B532">
            <v>701547</v>
          </cell>
        </row>
        <row r="533">
          <cell r="A533" t="str">
            <v>0042T41998</v>
          </cell>
          <cell r="B533">
            <v>526470</v>
          </cell>
        </row>
        <row r="534">
          <cell r="A534" t="str">
            <v>0042A41999</v>
          </cell>
          <cell r="B534">
            <v>546001</v>
          </cell>
        </row>
        <row r="535">
          <cell r="A535" t="str">
            <v>0042T11999</v>
          </cell>
          <cell r="B535">
            <v>558278</v>
          </cell>
        </row>
        <row r="536">
          <cell r="A536" t="str">
            <v>0042T21999</v>
          </cell>
          <cell r="B536">
            <v>512888</v>
          </cell>
        </row>
        <row r="537">
          <cell r="A537" t="str">
            <v>0042T31999</v>
          </cell>
          <cell r="B537">
            <v>519204</v>
          </cell>
        </row>
        <row r="538">
          <cell r="A538" t="str">
            <v>0042T41999</v>
          </cell>
          <cell r="B538">
            <v>546001</v>
          </cell>
        </row>
        <row r="539">
          <cell r="A539" t="str">
            <v>0043A41999</v>
          </cell>
          <cell r="B539">
            <v>0</v>
          </cell>
        </row>
        <row r="540">
          <cell r="A540" t="str">
            <v>0043T11999</v>
          </cell>
          <cell r="B540">
            <v>0</v>
          </cell>
        </row>
        <row r="541">
          <cell r="A541" t="str">
            <v>0043T21999</v>
          </cell>
          <cell r="B541">
            <v>0</v>
          </cell>
        </row>
        <row r="542">
          <cell r="A542" t="str">
            <v>0043T31999</v>
          </cell>
          <cell r="B542">
            <v>0</v>
          </cell>
        </row>
        <row r="543">
          <cell r="A543" t="str">
            <v>0043T41999</v>
          </cell>
          <cell r="B543">
            <v>0</v>
          </cell>
        </row>
        <row r="544">
          <cell r="A544" t="str">
            <v>0044A41999</v>
          </cell>
          <cell r="B544">
            <v>0</v>
          </cell>
        </row>
        <row r="545">
          <cell r="A545" t="str">
            <v>0044T11999</v>
          </cell>
          <cell r="B545">
            <v>0</v>
          </cell>
        </row>
        <row r="546">
          <cell r="A546" t="str">
            <v>0044T21999</v>
          </cell>
          <cell r="B546">
            <v>0</v>
          </cell>
        </row>
        <row r="547">
          <cell r="A547" t="str">
            <v>0044T31999</v>
          </cell>
          <cell r="B547">
            <v>0</v>
          </cell>
        </row>
        <row r="548">
          <cell r="A548" t="str">
            <v>0044T41999</v>
          </cell>
          <cell r="B548">
            <v>0</v>
          </cell>
        </row>
        <row r="549">
          <cell r="A549" t="str">
            <v>0045A21997</v>
          </cell>
          <cell r="B549">
            <v>554131</v>
          </cell>
        </row>
        <row r="550">
          <cell r="A550" t="str">
            <v>0045T11997</v>
          </cell>
          <cell r="B550">
            <v>571560</v>
          </cell>
        </row>
        <row r="551">
          <cell r="A551" t="str">
            <v>0045T21997</v>
          </cell>
          <cell r="B551">
            <v>567425</v>
          </cell>
        </row>
        <row r="552">
          <cell r="A552" t="str">
            <v>0045T31997</v>
          </cell>
          <cell r="B552">
            <v>584312</v>
          </cell>
        </row>
        <row r="553">
          <cell r="A553" t="str">
            <v>0045T41997</v>
          </cell>
          <cell r="B553">
            <v>554131</v>
          </cell>
        </row>
        <row r="554">
          <cell r="A554" t="str">
            <v>0045A31998</v>
          </cell>
          <cell r="B554">
            <v>705060</v>
          </cell>
        </row>
        <row r="555">
          <cell r="A555" t="str">
            <v>0045T11998</v>
          </cell>
          <cell r="B555">
            <v>809518</v>
          </cell>
        </row>
        <row r="556">
          <cell r="A556" t="str">
            <v>0045T21998</v>
          </cell>
          <cell r="B556">
            <v>1029111</v>
          </cell>
        </row>
        <row r="557">
          <cell r="A557" t="str">
            <v>0045T31998</v>
          </cell>
          <cell r="B557">
            <v>657904</v>
          </cell>
        </row>
        <row r="558">
          <cell r="A558" t="str">
            <v>0045T41998</v>
          </cell>
          <cell r="B558">
            <v>705060</v>
          </cell>
        </row>
        <row r="559">
          <cell r="A559" t="str">
            <v>0045A41999</v>
          </cell>
          <cell r="B559">
            <v>569977</v>
          </cell>
        </row>
        <row r="560">
          <cell r="A560" t="str">
            <v>0045T11999</v>
          </cell>
          <cell r="B560">
            <v>819165</v>
          </cell>
        </row>
        <row r="561">
          <cell r="A561" t="str">
            <v>0045T21999</v>
          </cell>
          <cell r="B561">
            <v>616126</v>
          </cell>
        </row>
        <row r="562">
          <cell r="A562" t="str">
            <v>0045T31999</v>
          </cell>
          <cell r="B562">
            <v>640587</v>
          </cell>
        </row>
        <row r="563">
          <cell r="A563" t="str">
            <v>0045T41999</v>
          </cell>
          <cell r="B563">
            <v>569977</v>
          </cell>
        </row>
        <row r="564">
          <cell r="A564" t="str">
            <v>0046A41999</v>
          </cell>
          <cell r="B564">
            <v>0</v>
          </cell>
        </row>
        <row r="565">
          <cell r="A565" t="str">
            <v>0046T11999</v>
          </cell>
          <cell r="B565">
            <v>0</v>
          </cell>
        </row>
        <row r="566">
          <cell r="A566" t="str">
            <v>0046T21999</v>
          </cell>
          <cell r="B566">
            <v>0</v>
          </cell>
        </row>
        <row r="567">
          <cell r="A567" t="str">
            <v>0046T31999</v>
          </cell>
          <cell r="B567">
            <v>0</v>
          </cell>
        </row>
        <row r="568">
          <cell r="A568" t="str">
            <v>0046T41999</v>
          </cell>
          <cell r="B568">
            <v>0</v>
          </cell>
        </row>
        <row r="569">
          <cell r="A569" t="str">
            <v>0047A21997</v>
          </cell>
          <cell r="B569">
            <v>88754</v>
          </cell>
        </row>
        <row r="570">
          <cell r="A570" t="str">
            <v>0047T11997</v>
          </cell>
          <cell r="B570">
            <v>119904</v>
          </cell>
        </row>
        <row r="571">
          <cell r="A571" t="str">
            <v>0047T21997</v>
          </cell>
          <cell r="B571">
            <v>120118</v>
          </cell>
        </row>
        <row r="572">
          <cell r="A572" t="str">
            <v>0047T31997</v>
          </cell>
          <cell r="B572">
            <v>147693</v>
          </cell>
        </row>
        <row r="573">
          <cell r="A573" t="str">
            <v>0047T41997</v>
          </cell>
          <cell r="B573">
            <v>88754</v>
          </cell>
        </row>
        <row r="574">
          <cell r="A574" t="str">
            <v>0047A31998</v>
          </cell>
          <cell r="B574">
            <v>4102908</v>
          </cell>
        </row>
        <row r="575">
          <cell r="A575" t="str">
            <v>0047T11998</v>
          </cell>
          <cell r="B575">
            <v>121000</v>
          </cell>
        </row>
        <row r="576">
          <cell r="A576" t="str">
            <v>0047T21998</v>
          </cell>
          <cell r="B576">
            <v>159453</v>
          </cell>
        </row>
        <row r="577">
          <cell r="A577" t="str">
            <v>0047T31998</v>
          </cell>
          <cell r="B577">
            <v>11727</v>
          </cell>
        </row>
        <row r="578">
          <cell r="A578" t="str">
            <v>0047T41998</v>
          </cell>
          <cell r="B578">
            <v>4102908</v>
          </cell>
        </row>
        <row r="579">
          <cell r="A579" t="str">
            <v>0047A41999</v>
          </cell>
          <cell r="B579">
            <v>463871</v>
          </cell>
        </row>
        <row r="580">
          <cell r="A580" t="str">
            <v>0047T11999</v>
          </cell>
          <cell r="B580">
            <v>4209951</v>
          </cell>
        </row>
        <row r="581">
          <cell r="A581" t="str">
            <v>0047T21999</v>
          </cell>
          <cell r="B581">
            <v>4473689</v>
          </cell>
        </row>
        <row r="582">
          <cell r="A582" t="str">
            <v>0047T31999</v>
          </cell>
          <cell r="B582">
            <v>452159</v>
          </cell>
        </row>
        <row r="583">
          <cell r="A583" t="str">
            <v>0047T41999</v>
          </cell>
          <cell r="B583">
            <v>463871</v>
          </cell>
        </row>
        <row r="584">
          <cell r="A584" t="str">
            <v>0048A41999</v>
          </cell>
          <cell r="B584">
            <v>40495020</v>
          </cell>
        </row>
        <row r="585">
          <cell r="A585" t="str">
            <v>0048T11999</v>
          </cell>
          <cell r="B585">
            <v>35780495</v>
          </cell>
        </row>
        <row r="586">
          <cell r="A586" t="str">
            <v>0048T21999</v>
          </cell>
          <cell r="B586">
            <v>35586449</v>
          </cell>
        </row>
        <row r="587">
          <cell r="A587" t="str">
            <v>0048T31999</v>
          </cell>
          <cell r="B587">
            <v>39862759</v>
          </cell>
        </row>
        <row r="588">
          <cell r="A588" t="str">
            <v>0048T41999</v>
          </cell>
          <cell r="B588">
            <v>40495020</v>
          </cell>
        </row>
        <row r="589">
          <cell r="A589" t="str">
            <v>0049A41999</v>
          </cell>
          <cell r="B589">
            <v>0</v>
          </cell>
        </row>
        <row r="590">
          <cell r="A590" t="str">
            <v>0049T11999</v>
          </cell>
          <cell r="B590">
            <v>0</v>
          </cell>
        </row>
        <row r="591">
          <cell r="A591" t="str">
            <v>0049T21999</v>
          </cell>
          <cell r="B591">
            <v>0</v>
          </cell>
        </row>
        <row r="592">
          <cell r="A592" t="str">
            <v>0049T31999</v>
          </cell>
          <cell r="B592">
            <v>0</v>
          </cell>
        </row>
        <row r="593">
          <cell r="A593" t="str">
            <v>0049T41999</v>
          </cell>
          <cell r="B593">
            <v>0</v>
          </cell>
        </row>
        <row r="594">
          <cell r="A594" t="str">
            <v>0050A41999</v>
          </cell>
          <cell r="B594">
            <v>0</v>
          </cell>
        </row>
        <row r="595">
          <cell r="A595" t="str">
            <v>0050T11999</v>
          </cell>
          <cell r="B595">
            <v>0</v>
          </cell>
        </row>
        <row r="596">
          <cell r="A596" t="str">
            <v>0050T21999</v>
          </cell>
          <cell r="B596">
            <v>0</v>
          </cell>
        </row>
        <row r="597">
          <cell r="A597" t="str">
            <v>0050T31999</v>
          </cell>
          <cell r="B597">
            <v>0</v>
          </cell>
        </row>
        <row r="598">
          <cell r="A598" t="str">
            <v>0050T41999</v>
          </cell>
          <cell r="B598">
            <v>0</v>
          </cell>
        </row>
        <row r="599">
          <cell r="A599" t="str">
            <v>0051A41999</v>
          </cell>
          <cell r="B599">
            <v>0</v>
          </cell>
        </row>
        <row r="600">
          <cell r="A600" t="str">
            <v>0051T11999</v>
          </cell>
          <cell r="B600">
            <v>0</v>
          </cell>
        </row>
        <row r="601">
          <cell r="A601" t="str">
            <v>0051T21999</v>
          </cell>
          <cell r="B601">
            <v>0</v>
          </cell>
        </row>
        <row r="602">
          <cell r="A602" t="str">
            <v>0051T31999</v>
          </cell>
          <cell r="B602">
            <v>0</v>
          </cell>
        </row>
        <row r="603">
          <cell r="A603" t="str">
            <v>0051T41999</v>
          </cell>
          <cell r="B603">
            <v>0</v>
          </cell>
        </row>
        <row r="604">
          <cell r="A604" t="str">
            <v>0052A41999</v>
          </cell>
          <cell r="B604">
            <v>0</v>
          </cell>
        </row>
        <row r="605">
          <cell r="A605" t="str">
            <v>0052T11999</v>
          </cell>
          <cell r="B605">
            <v>87</v>
          </cell>
        </row>
        <row r="606">
          <cell r="A606" t="str">
            <v>0052T21999</v>
          </cell>
          <cell r="B606">
            <v>81</v>
          </cell>
        </row>
        <row r="607">
          <cell r="A607" t="str">
            <v>0052T31999</v>
          </cell>
          <cell r="B607">
            <v>81</v>
          </cell>
        </row>
        <row r="608">
          <cell r="A608" t="str">
            <v>0052T41999</v>
          </cell>
          <cell r="B608">
            <v>0</v>
          </cell>
        </row>
        <row r="609">
          <cell r="A609" t="str">
            <v>0053A41999</v>
          </cell>
          <cell r="B609">
            <v>81</v>
          </cell>
        </row>
        <row r="610">
          <cell r="A610" t="str">
            <v>0053T11999</v>
          </cell>
          <cell r="B610">
            <v>0</v>
          </cell>
        </row>
        <row r="611">
          <cell r="A611" t="str">
            <v>0053T21999</v>
          </cell>
          <cell r="B611">
            <v>0</v>
          </cell>
        </row>
        <row r="612">
          <cell r="A612" t="str">
            <v>0053T31999</v>
          </cell>
          <cell r="B612">
            <v>0</v>
          </cell>
        </row>
        <row r="613">
          <cell r="A613" t="str">
            <v>0053T41999</v>
          </cell>
          <cell r="B613">
            <v>81</v>
          </cell>
        </row>
        <row r="614">
          <cell r="A614" t="str">
            <v>0054A41999</v>
          </cell>
          <cell r="B614">
            <v>43989509</v>
          </cell>
        </row>
        <row r="615">
          <cell r="A615" t="str">
            <v>0054T11999</v>
          </cell>
          <cell r="B615">
            <v>41611966</v>
          </cell>
        </row>
        <row r="616">
          <cell r="A616" t="str">
            <v>0054T21999</v>
          </cell>
          <cell r="B616">
            <v>42056082</v>
          </cell>
        </row>
        <row r="617">
          <cell r="A617" t="str">
            <v>0054T31999</v>
          </cell>
          <cell r="B617">
            <v>42945185</v>
          </cell>
        </row>
        <row r="618">
          <cell r="A618" t="str">
            <v>0054T41999</v>
          </cell>
          <cell r="B618">
            <v>43989509</v>
          </cell>
        </row>
        <row r="619">
          <cell r="A619" t="str">
            <v>0055A41999</v>
          </cell>
          <cell r="B619">
            <v>9941597</v>
          </cell>
        </row>
        <row r="620">
          <cell r="A620" t="str">
            <v>0055T11999</v>
          </cell>
          <cell r="B620">
            <v>5801583</v>
          </cell>
        </row>
        <row r="621">
          <cell r="A621" t="str">
            <v>0055T21999</v>
          </cell>
          <cell r="B621">
            <v>5852239</v>
          </cell>
        </row>
        <row r="622">
          <cell r="A622" t="str">
            <v>0055T31999</v>
          </cell>
          <cell r="B622">
            <v>9881833</v>
          </cell>
        </row>
        <row r="623">
          <cell r="A623" t="str">
            <v>0055T41999</v>
          </cell>
          <cell r="B623">
            <v>9941597</v>
          </cell>
        </row>
        <row r="624">
          <cell r="A624" t="str">
            <v>0056A41999</v>
          </cell>
          <cell r="B624">
            <v>1774727</v>
          </cell>
        </row>
        <row r="625">
          <cell r="A625" t="str">
            <v>0056T11999</v>
          </cell>
          <cell r="B625">
            <v>-1176461</v>
          </cell>
        </row>
        <row r="626">
          <cell r="A626" t="str">
            <v>0056T21999</v>
          </cell>
          <cell r="B626">
            <v>149006</v>
          </cell>
        </row>
        <row r="627">
          <cell r="A627" t="str">
            <v>0056T31999</v>
          </cell>
          <cell r="B627">
            <v>-1657727</v>
          </cell>
        </row>
        <row r="628">
          <cell r="A628" t="str">
            <v>0056T41999</v>
          </cell>
          <cell r="B628">
            <v>1774727</v>
          </cell>
        </row>
        <row r="629">
          <cell r="A629" t="str">
            <v>0057A41999</v>
          </cell>
          <cell r="B629">
            <v>11661440</v>
          </cell>
        </row>
        <row r="630">
          <cell r="A630" t="str">
            <v>0057T11999</v>
          </cell>
          <cell r="B630">
            <v>10456680</v>
          </cell>
        </row>
        <row r="631">
          <cell r="A631" t="str">
            <v>0057T21999</v>
          </cell>
          <cell r="B631">
            <v>10831887</v>
          </cell>
        </row>
        <row r="632">
          <cell r="A632" t="str">
            <v>0057T31999</v>
          </cell>
          <cell r="B632">
            <v>11306613</v>
          </cell>
        </row>
        <row r="633">
          <cell r="A633" t="str">
            <v>0057T41999</v>
          </cell>
          <cell r="B633">
            <v>11661440</v>
          </cell>
        </row>
        <row r="634">
          <cell r="A634" t="str">
            <v>0058A41999</v>
          </cell>
          <cell r="B634">
            <v>44046474</v>
          </cell>
        </row>
        <row r="635">
          <cell r="A635" t="str">
            <v>0058T11999</v>
          </cell>
          <cell r="B635">
            <v>43419854</v>
          </cell>
        </row>
        <row r="636">
          <cell r="A636" t="str">
            <v>0058T21999</v>
          </cell>
          <cell r="B636">
            <v>43003729</v>
          </cell>
        </row>
        <row r="637">
          <cell r="A637" t="str">
            <v>0058T31999</v>
          </cell>
          <cell r="B637">
            <v>43468228</v>
          </cell>
        </row>
        <row r="638">
          <cell r="A638" t="str">
            <v>0058T41999</v>
          </cell>
          <cell r="B638">
            <v>44046474</v>
          </cell>
        </row>
        <row r="639">
          <cell r="A639" t="str">
            <v>0059A21997</v>
          </cell>
          <cell r="B639">
            <v>3019378</v>
          </cell>
        </row>
        <row r="640">
          <cell r="A640" t="str">
            <v>0059T11997</v>
          </cell>
          <cell r="B640">
            <v>4039332</v>
          </cell>
        </row>
        <row r="641">
          <cell r="A641" t="str">
            <v>0059T21997</v>
          </cell>
          <cell r="B641">
            <v>4361241</v>
          </cell>
        </row>
        <row r="642">
          <cell r="A642" t="str">
            <v>0059T31997</v>
          </cell>
          <cell r="B642">
            <v>3802102</v>
          </cell>
        </row>
        <row r="643">
          <cell r="A643" t="str">
            <v>0059T41997</v>
          </cell>
          <cell r="B643">
            <v>3019378</v>
          </cell>
        </row>
        <row r="644">
          <cell r="A644" t="str">
            <v>0059A31998</v>
          </cell>
          <cell r="B644">
            <v>3704271</v>
          </cell>
        </row>
        <row r="645">
          <cell r="A645" t="str">
            <v>0059T11998</v>
          </cell>
          <cell r="B645">
            <v>3586190</v>
          </cell>
        </row>
        <row r="646">
          <cell r="A646" t="str">
            <v>0059T21998</v>
          </cell>
          <cell r="B646">
            <v>4101636</v>
          </cell>
        </row>
        <row r="647">
          <cell r="A647" t="str">
            <v>0059T31998</v>
          </cell>
          <cell r="B647">
            <v>3128727</v>
          </cell>
        </row>
        <row r="648">
          <cell r="A648" t="str">
            <v>0059T41998</v>
          </cell>
          <cell r="B648">
            <v>3704271</v>
          </cell>
        </row>
        <row r="649">
          <cell r="A649" t="str">
            <v>0059A41999</v>
          </cell>
          <cell r="B649">
            <v>4359320</v>
          </cell>
        </row>
        <row r="650">
          <cell r="A650" t="str">
            <v>0059T11999</v>
          </cell>
          <cell r="B650">
            <v>3313381</v>
          </cell>
        </row>
        <row r="651">
          <cell r="A651" t="str">
            <v>0059T21999</v>
          </cell>
          <cell r="B651">
            <v>2854709</v>
          </cell>
        </row>
        <row r="652">
          <cell r="A652" t="str">
            <v>0059T31999</v>
          </cell>
          <cell r="B652">
            <v>3218643</v>
          </cell>
        </row>
        <row r="653">
          <cell r="A653" t="str">
            <v>0059T41999</v>
          </cell>
          <cell r="B653">
            <v>4359320</v>
          </cell>
        </row>
        <row r="654">
          <cell r="A654" t="str">
            <v>0060A41999</v>
          </cell>
          <cell r="B654">
            <v>869</v>
          </cell>
        </row>
        <row r="655">
          <cell r="A655" t="str">
            <v>0060T11999</v>
          </cell>
          <cell r="B655">
            <v>52341</v>
          </cell>
        </row>
        <row r="656">
          <cell r="A656" t="str">
            <v>0060T21999</v>
          </cell>
          <cell r="B656">
            <v>3200</v>
          </cell>
        </row>
        <row r="657">
          <cell r="A657" t="str">
            <v>0060T31999</v>
          </cell>
          <cell r="B657">
            <v>11079</v>
          </cell>
        </row>
        <row r="658">
          <cell r="A658" t="str">
            <v>0060T41999</v>
          </cell>
          <cell r="B658">
            <v>869</v>
          </cell>
        </row>
        <row r="659">
          <cell r="A659" t="str">
            <v>0061A41999</v>
          </cell>
          <cell r="B659">
            <v>1507940</v>
          </cell>
        </row>
        <row r="660">
          <cell r="A660" t="str">
            <v>0061T11999</v>
          </cell>
          <cell r="B660">
            <v>1337172</v>
          </cell>
        </row>
        <row r="661">
          <cell r="A661" t="str">
            <v>0061T21999</v>
          </cell>
          <cell r="B661">
            <v>1216933</v>
          </cell>
        </row>
        <row r="662">
          <cell r="A662" t="str">
            <v>0061T31999</v>
          </cell>
          <cell r="B662">
            <v>842952</v>
          </cell>
        </row>
        <row r="663">
          <cell r="A663" t="str">
            <v>0061T41999</v>
          </cell>
          <cell r="B663">
            <v>1507940</v>
          </cell>
        </row>
        <row r="664">
          <cell r="A664" t="str">
            <v>0062A41999</v>
          </cell>
          <cell r="B664">
            <v>2203198</v>
          </cell>
        </row>
        <row r="665">
          <cell r="A665" t="str">
            <v>0062T11999</v>
          </cell>
          <cell r="B665">
            <v>1692697</v>
          </cell>
        </row>
        <row r="666">
          <cell r="A666" t="str">
            <v>0062T21999</v>
          </cell>
          <cell r="B666">
            <v>1316835</v>
          </cell>
        </row>
        <row r="667">
          <cell r="A667" t="str">
            <v>0062T31999</v>
          </cell>
          <cell r="B667">
            <v>1980501</v>
          </cell>
        </row>
        <row r="668">
          <cell r="A668" t="str">
            <v>0062T41999</v>
          </cell>
          <cell r="B668">
            <v>2203198</v>
          </cell>
        </row>
        <row r="669">
          <cell r="A669" t="str">
            <v>0063A41999</v>
          </cell>
          <cell r="B669">
            <v>0</v>
          </cell>
        </row>
        <row r="670">
          <cell r="A670" t="str">
            <v>0063T11999</v>
          </cell>
          <cell r="B670">
            <v>0</v>
          </cell>
        </row>
        <row r="671">
          <cell r="A671" t="str">
            <v>0063T21999</v>
          </cell>
          <cell r="B671">
            <v>0</v>
          </cell>
        </row>
        <row r="672">
          <cell r="A672" t="str">
            <v>0063T31999</v>
          </cell>
          <cell r="B672">
            <v>0</v>
          </cell>
        </row>
        <row r="673">
          <cell r="A673" t="str">
            <v>0063T41999</v>
          </cell>
          <cell r="B673">
            <v>0</v>
          </cell>
        </row>
        <row r="674">
          <cell r="A674" t="str">
            <v>0064A41999</v>
          </cell>
          <cell r="B674">
            <v>647313</v>
          </cell>
        </row>
        <row r="675">
          <cell r="A675" t="str">
            <v>0064T11999</v>
          </cell>
          <cell r="B675">
            <v>231171</v>
          </cell>
        </row>
        <row r="676">
          <cell r="A676" t="str">
            <v>0064T21999</v>
          </cell>
          <cell r="B676">
            <v>307641</v>
          </cell>
        </row>
        <row r="677">
          <cell r="A677" t="str">
            <v>0064T31999</v>
          </cell>
          <cell r="B677">
            <v>384111</v>
          </cell>
        </row>
        <row r="678">
          <cell r="A678" t="str">
            <v>0064T41999</v>
          </cell>
          <cell r="B678">
            <v>647313</v>
          </cell>
        </row>
        <row r="679">
          <cell r="A679" t="str">
            <v>0065A21997</v>
          </cell>
          <cell r="B679">
            <v>8332485</v>
          </cell>
        </row>
        <row r="680">
          <cell r="A680" t="str">
            <v>0065T11997</v>
          </cell>
          <cell r="B680">
            <v>5354009</v>
          </cell>
        </row>
        <row r="681">
          <cell r="A681" t="str">
            <v>0065T21997</v>
          </cell>
          <cell r="B681">
            <v>4956281</v>
          </cell>
        </row>
        <row r="682">
          <cell r="A682" t="str">
            <v>0065T31997</v>
          </cell>
          <cell r="B682">
            <v>4660755</v>
          </cell>
        </row>
        <row r="683">
          <cell r="A683" t="str">
            <v>0065T41997</v>
          </cell>
          <cell r="B683">
            <v>8332485</v>
          </cell>
        </row>
        <row r="684">
          <cell r="A684" t="str">
            <v>0065A31998</v>
          </cell>
          <cell r="B684">
            <v>8442077</v>
          </cell>
        </row>
        <row r="685">
          <cell r="A685" t="str">
            <v>0065T11998</v>
          </cell>
          <cell r="B685">
            <v>8195665</v>
          </cell>
        </row>
        <row r="686">
          <cell r="A686" t="str">
            <v>0065T21998</v>
          </cell>
          <cell r="B686">
            <v>12073111</v>
          </cell>
        </row>
        <row r="687">
          <cell r="A687" t="str">
            <v>0065T31998</v>
          </cell>
          <cell r="B687">
            <v>10827692</v>
          </cell>
        </row>
        <row r="688">
          <cell r="A688" t="str">
            <v>0065T41998</v>
          </cell>
          <cell r="B688">
            <v>8544361</v>
          </cell>
        </row>
        <row r="689">
          <cell r="A689" t="str">
            <v>0065A41999</v>
          </cell>
          <cell r="B689">
            <v>8281802</v>
          </cell>
        </row>
        <row r="690">
          <cell r="A690" t="str">
            <v>0065T11999</v>
          </cell>
          <cell r="B690">
            <v>8825830</v>
          </cell>
        </row>
        <row r="691">
          <cell r="A691" t="str">
            <v>0065T21999</v>
          </cell>
          <cell r="B691">
            <v>8828636</v>
          </cell>
        </row>
        <row r="692">
          <cell r="A692" t="str">
            <v>0065T31999</v>
          </cell>
          <cell r="B692">
            <v>8319403</v>
          </cell>
        </row>
        <row r="693">
          <cell r="A693" t="str">
            <v>0065T41999</v>
          </cell>
          <cell r="B693">
            <v>8281802</v>
          </cell>
        </row>
        <row r="694">
          <cell r="A694" t="str">
            <v>0066A41999</v>
          </cell>
          <cell r="B694">
            <v>7360371</v>
          </cell>
        </row>
        <row r="695">
          <cell r="A695" t="str">
            <v>0066T11999</v>
          </cell>
          <cell r="B695">
            <v>7987528</v>
          </cell>
        </row>
        <row r="696">
          <cell r="A696" t="str">
            <v>0066T21999</v>
          </cell>
          <cell r="B696">
            <v>7961703</v>
          </cell>
        </row>
        <row r="697">
          <cell r="A697" t="str">
            <v>0066T31999</v>
          </cell>
          <cell r="B697">
            <v>7463069</v>
          </cell>
        </row>
        <row r="698">
          <cell r="A698" t="str">
            <v>0066T41999</v>
          </cell>
          <cell r="B698">
            <v>7360371</v>
          </cell>
        </row>
        <row r="699">
          <cell r="A699" t="str">
            <v>0067A41999</v>
          </cell>
          <cell r="B699">
            <v>913045</v>
          </cell>
        </row>
        <row r="700">
          <cell r="A700" t="str">
            <v>0067T11999</v>
          </cell>
          <cell r="B700">
            <v>838302</v>
          </cell>
        </row>
        <row r="701">
          <cell r="A701" t="str">
            <v>0067T21999</v>
          </cell>
          <cell r="B701">
            <v>866923</v>
          </cell>
        </row>
        <row r="702">
          <cell r="A702" t="str">
            <v>0067T31999</v>
          </cell>
          <cell r="B702">
            <v>856334</v>
          </cell>
        </row>
        <row r="703">
          <cell r="A703" t="str">
            <v>0067T41999</v>
          </cell>
          <cell r="B703">
            <v>913045</v>
          </cell>
        </row>
        <row r="704">
          <cell r="A704" t="str">
            <v>0068A41999</v>
          </cell>
          <cell r="B704">
            <v>12641122</v>
          </cell>
        </row>
        <row r="705">
          <cell r="A705" t="str">
            <v>0068T11999</v>
          </cell>
          <cell r="B705">
            <v>12139211</v>
          </cell>
        </row>
        <row r="706">
          <cell r="A706" t="str">
            <v>0068T21999</v>
          </cell>
          <cell r="B706">
            <v>11673235</v>
          </cell>
        </row>
        <row r="707">
          <cell r="A707" t="str">
            <v>0068T31999</v>
          </cell>
          <cell r="B707">
            <v>11538046</v>
          </cell>
        </row>
        <row r="708">
          <cell r="A708" t="str">
            <v>0068T41999</v>
          </cell>
          <cell r="B708">
            <v>12641122</v>
          </cell>
        </row>
        <row r="709">
          <cell r="A709" t="str">
            <v>0069A41999</v>
          </cell>
          <cell r="B709">
            <v>8386</v>
          </cell>
        </row>
        <row r="710">
          <cell r="A710" t="str">
            <v>0069T11999</v>
          </cell>
          <cell r="B710">
            <v>8386</v>
          </cell>
        </row>
        <row r="711">
          <cell r="A711" t="str">
            <v>0069T21999</v>
          </cell>
          <cell r="B711">
            <v>8385</v>
          </cell>
        </row>
        <row r="712">
          <cell r="A712" t="str">
            <v>0069T31999</v>
          </cell>
          <cell r="B712">
            <v>8385</v>
          </cell>
        </row>
        <row r="713">
          <cell r="A713" t="str">
            <v>0069T41999</v>
          </cell>
          <cell r="B713">
            <v>8386</v>
          </cell>
        </row>
        <row r="714">
          <cell r="A714" t="str">
            <v>0070A41999</v>
          </cell>
          <cell r="B714">
            <v>0</v>
          </cell>
        </row>
        <row r="715">
          <cell r="A715" t="str">
            <v>0070T11999</v>
          </cell>
          <cell r="B715">
            <v>93899</v>
          </cell>
        </row>
        <row r="716">
          <cell r="A716" t="str">
            <v>0070T21999</v>
          </cell>
          <cell r="B716">
            <v>90399</v>
          </cell>
        </row>
        <row r="717">
          <cell r="A717" t="str">
            <v>0070T31999</v>
          </cell>
          <cell r="B717">
            <v>0</v>
          </cell>
        </row>
        <row r="718">
          <cell r="A718" t="str">
            <v>0070T41999</v>
          </cell>
          <cell r="B718">
            <v>0</v>
          </cell>
        </row>
        <row r="719">
          <cell r="A719" t="str">
            <v>0071A21997</v>
          </cell>
          <cell r="B719">
            <v>24723357</v>
          </cell>
        </row>
        <row r="720">
          <cell r="A720" t="str">
            <v>0071T11997</v>
          </cell>
          <cell r="B720">
            <v>13267578</v>
          </cell>
        </row>
        <row r="721">
          <cell r="A721" t="str">
            <v>0071T21997</v>
          </cell>
          <cell r="B721">
            <v>13749426</v>
          </cell>
        </row>
        <row r="722">
          <cell r="A722" t="str">
            <v>0071T31997</v>
          </cell>
          <cell r="B722">
            <v>14174418</v>
          </cell>
        </row>
        <row r="723">
          <cell r="A723" t="str">
            <v>0071T41997</v>
          </cell>
          <cell r="B723">
            <v>24723357</v>
          </cell>
        </row>
        <row r="724">
          <cell r="A724" t="str">
            <v>0071A31998</v>
          </cell>
          <cell r="B724">
            <v>30343315</v>
          </cell>
        </row>
        <row r="725">
          <cell r="A725" t="str">
            <v>0071T11998</v>
          </cell>
          <cell r="B725">
            <v>31906532</v>
          </cell>
        </row>
        <row r="726">
          <cell r="A726" t="str">
            <v>0071T21998</v>
          </cell>
          <cell r="B726">
            <v>31611625</v>
          </cell>
        </row>
        <row r="727">
          <cell r="A727" t="str">
            <v>0071T31998</v>
          </cell>
          <cell r="B727">
            <v>29170420</v>
          </cell>
        </row>
        <row r="728">
          <cell r="A728" t="str">
            <v>0071T41998</v>
          </cell>
          <cell r="B728">
            <v>30343315</v>
          </cell>
        </row>
        <row r="729">
          <cell r="A729" t="str">
            <v>0071A41999</v>
          </cell>
          <cell r="B729">
            <v>31405352</v>
          </cell>
        </row>
        <row r="730">
          <cell r="A730" t="str">
            <v>0071T11999</v>
          </cell>
          <cell r="B730">
            <v>31178358</v>
          </cell>
        </row>
        <row r="731">
          <cell r="A731" t="str">
            <v>0071T21999</v>
          </cell>
          <cell r="B731">
            <v>31231710</v>
          </cell>
        </row>
        <row r="732">
          <cell r="A732" t="str">
            <v>0071T31999</v>
          </cell>
          <cell r="B732">
            <v>31921797</v>
          </cell>
        </row>
        <row r="733">
          <cell r="A733" t="str">
            <v>0071T41999</v>
          </cell>
          <cell r="B733">
            <v>31405352</v>
          </cell>
        </row>
        <row r="734">
          <cell r="A734" t="str">
            <v>0072A41999</v>
          </cell>
          <cell r="B734">
            <v>12623636</v>
          </cell>
        </row>
        <row r="735">
          <cell r="A735" t="str">
            <v>0072T11999</v>
          </cell>
          <cell r="B735">
            <v>12236086</v>
          </cell>
        </row>
        <row r="736">
          <cell r="A736" t="str">
            <v>0072T21999</v>
          </cell>
          <cell r="B736">
            <v>12355661</v>
          </cell>
        </row>
        <row r="737">
          <cell r="A737" t="str">
            <v>0072T31999</v>
          </cell>
          <cell r="B737">
            <v>12497459</v>
          </cell>
        </row>
        <row r="738">
          <cell r="A738" t="str">
            <v>0072T41999</v>
          </cell>
          <cell r="B738">
            <v>12623636</v>
          </cell>
        </row>
        <row r="739">
          <cell r="A739" t="str">
            <v>0073A41999</v>
          </cell>
          <cell r="B739">
            <v>20267422</v>
          </cell>
        </row>
        <row r="740">
          <cell r="A740" t="str">
            <v>0073T11999</v>
          </cell>
          <cell r="B740">
            <v>19003588</v>
          </cell>
        </row>
        <row r="741">
          <cell r="A741" t="str">
            <v>0073T21999</v>
          </cell>
          <cell r="B741">
            <v>19172460</v>
          </cell>
        </row>
        <row r="742">
          <cell r="A742" t="str">
            <v>0073T31999</v>
          </cell>
          <cell r="B742">
            <v>19942682</v>
          </cell>
        </row>
        <row r="743">
          <cell r="A743" t="str">
            <v>0073T41999</v>
          </cell>
          <cell r="B743">
            <v>20267422</v>
          </cell>
        </row>
        <row r="744">
          <cell r="A744" t="str">
            <v>0074A41999</v>
          </cell>
          <cell r="B744">
            <v>0</v>
          </cell>
        </row>
        <row r="745">
          <cell r="A745" t="str">
            <v>0074T11999</v>
          </cell>
          <cell r="B745">
            <v>0</v>
          </cell>
        </row>
        <row r="746">
          <cell r="A746" t="str">
            <v>0074T21999</v>
          </cell>
          <cell r="B746">
            <v>0</v>
          </cell>
        </row>
        <row r="747">
          <cell r="A747" t="str">
            <v>0074T31999</v>
          </cell>
          <cell r="B747">
            <v>0</v>
          </cell>
        </row>
        <row r="748">
          <cell r="A748" t="str">
            <v>0074T41999</v>
          </cell>
          <cell r="B748">
            <v>0</v>
          </cell>
        </row>
        <row r="749">
          <cell r="A749" t="str">
            <v>0075A41999</v>
          </cell>
          <cell r="B749">
            <v>0</v>
          </cell>
        </row>
        <row r="750">
          <cell r="A750" t="str">
            <v>0075T11999</v>
          </cell>
          <cell r="B750">
            <v>0</v>
          </cell>
        </row>
        <row r="751">
          <cell r="A751" t="str">
            <v>0075T21999</v>
          </cell>
          <cell r="B751">
            <v>0</v>
          </cell>
        </row>
        <row r="752">
          <cell r="A752" t="str">
            <v>0075T31999</v>
          </cell>
          <cell r="B752">
            <v>0</v>
          </cell>
        </row>
        <row r="753">
          <cell r="A753" t="str">
            <v>0075T41999</v>
          </cell>
          <cell r="B753">
            <v>0</v>
          </cell>
        </row>
        <row r="754">
          <cell r="A754" t="str">
            <v>0076A41999</v>
          </cell>
          <cell r="B754">
            <v>0</v>
          </cell>
        </row>
        <row r="755">
          <cell r="A755" t="str">
            <v>0076T11999</v>
          </cell>
          <cell r="B755">
            <v>0</v>
          </cell>
        </row>
        <row r="756">
          <cell r="A756" t="str">
            <v>0076T21999</v>
          </cell>
          <cell r="B756">
            <v>0</v>
          </cell>
        </row>
        <row r="757">
          <cell r="A757" t="str">
            <v>0076T31999</v>
          </cell>
          <cell r="B757">
            <v>0</v>
          </cell>
        </row>
        <row r="758">
          <cell r="A758" t="str">
            <v>0076T41999</v>
          </cell>
          <cell r="B758">
            <v>0</v>
          </cell>
        </row>
        <row r="759">
          <cell r="A759" t="str">
            <v>0077A41999</v>
          </cell>
          <cell r="B759">
            <v>28780</v>
          </cell>
        </row>
        <row r="760">
          <cell r="A760" t="str">
            <v>0077T11999</v>
          </cell>
          <cell r="B760">
            <v>28895</v>
          </cell>
        </row>
        <row r="761">
          <cell r="A761" t="str">
            <v>0077T21999</v>
          </cell>
          <cell r="B761">
            <v>29147</v>
          </cell>
        </row>
        <row r="762">
          <cell r="A762" t="str">
            <v>0077T31999</v>
          </cell>
          <cell r="B762">
            <v>29482</v>
          </cell>
        </row>
        <row r="763">
          <cell r="A763" t="str">
            <v>0077T41999</v>
          </cell>
          <cell r="B763">
            <v>28780</v>
          </cell>
        </row>
        <row r="764">
          <cell r="A764" t="str">
            <v>0078A41999</v>
          </cell>
          <cell r="B764">
            <v>-443607</v>
          </cell>
        </row>
        <row r="765">
          <cell r="A765" t="str">
            <v>0078T11999</v>
          </cell>
          <cell r="B765">
            <v>-90211</v>
          </cell>
        </row>
        <row r="766">
          <cell r="A766" t="str">
            <v>0078T21999</v>
          </cell>
          <cell r="B766">
            <v>-325558</v>
          </cell>
        </row>
        <row r="767">
          <cell r="A767" t="str">
            <v>0078T31999</v>
          </cell>
          <cell r="B767">
            <v>-439169</v>
          </cell>
        </row>
        <row r="768">
          <cell r="A768" t="str">
            <v>0078T41999</v>
          </cell>
          <cell r="B768">
            <v>-443607</v>
          </cell>
        </row>
        <row r="769">
          <cell r="A769" t="str">
            <v>0079A41999</v>
          </cell>
          <cell r="B769">
            <v>-1070879</v>
          </cell>
        </row>
        <row r="770">
          <cell r="A770" t="str">
            <v>0079T11999</v>
          </cell>
          <cell r="B770">
            <v>247467</v>
          </cell>
        </row>
        <row r="771">
          <cell r="A771" t="str">
            <v>0079T21999</v>
          </cell>
          <cell r="B771">
            <v>108662</v>
          </cell>
        </row>
        <row r="772">
          <cell r="A772" t="str">
            <v>0079T31999</v>
          </cell>
          <cell r="B772">
            <v>-108657</v>
          </cell>
        </row>
        <row r="773">
          <cell r="A773" t="str">
            <v>0079T41999</v>
          </cell>
          <cell r="B773">
            <v>-1070879</v>
          </cell>
        </row>
        <row r="774">
          <cell r="A774" t="str">
            <v>0080A21997</v>
          </cell>
          <cell r="B774">
            <v>10498465</v>
          </cell>
        </row>
        <row r="775">
          <cell r="A775" t="str">
            <v>0080T11997</v>
          </cell>
          <cell r="B775">
            <v>2547556</v>
          </cell>
        </row>
        <row r="776">
          <cell r="A776" t="str">
            <v>0080T21997</v>
          </cell>
          <cell r="B776">
            <v>2765101</v>
          </cell>
        </row>
        <row r="777">
          <cell r="A777" t="str">
            <v>0080T31997</v>
          </cell>
          <cell r="B777">
            <v>2692893</v>
          </cell>
        </row>
        <row r="778">
          <cell r="A778" t="str">
            <v>0080T41997</v>
          </cell>
          <cell r="B778">
            <v>2492915</v>
          </cell>
        </row>
        <row r="779">
          <cell r="A779" t="str">
            <v>0080A31998</v>
          </cell>
          <cell r="B779">
            <v>10628660</v>
          </cell>
        </row>
        <row r="780">
          <cell r="A780" t="str">
            <v>0080T11998</v>
          </cell>
          <cell r="B780">
            <v>2635842</v>
          </cell>
        </row>
        <row r="781">
          <cell r="A781" t="str">
            <v>0080T21998</v>
          </cell>
          <cell r="B781">
            <v>2603900</v>
          </cell>
        </row>
        <row r="782">
          <cell r="A782" t="str">
            <v>0080T31998</v>
          </cell>
          <cell r="B782">
            <v>2824962</v>
          </cell>
        </row>
        <row r="783">
          <cell r="A783" t="str">
            <v>0080T41998</v>
          </cell>
          <cell r="B783">
            <v>2581981</v>
          </cell>
        </row>
        <row r="784">
          <cell r="A784" t="str">
            <v>0080A41999</v>
          </cell>
          <cell r="B784">
            <v>24340052</v>
          </cell>
        </row>
        <row r="785">
          <cell r="A785" t="str">
            <v>0080T11999</v>
          </cell>
          <cell r="B785">
            <v>2430275</v>
          </cell>
        </row>
        <row r="786">
          <cell r="A786" t="str">
            <v>0080T21999</v>
          </cell>
          <cell r="B786">
            <v>4760296</v>
          </cell>
        </row>
        <row r="787">
          <cell r="A787" t="str">
            <v>0080T31999</v>
          </cell>
          <cell r="B787">
            <v>7218417</v>
          </cell>
        </row>
        <row r="788">
          <cell r="A788" t="str">
            <v>0080T41999</v>
          </cell>
          <cell r="B788">
            <v>9931064</v>
          </cell>
        </row>
        <row r="789">
          <cell r="A789" t="str">
            <v>0081A41999</v>
          </cell>
          <cell r="B789">
            <v>0</v>
          </cell>
        </row>
        <row r="790">
          <cell r="A790" t="str">
            <v>0081T11999</v>
          </cell>
          <cell r="B790">
            <v>0</v>
          </cell>
        </row>
        <row r="791">
          <cell r="A791" t="str">
            <v>0081T21999</v>
          </cell>
          <cell r="B791">
            <v>0</v>
          </cell>
        </row>
        <row r="792">
          <cell r="A792" t="str">
            <v>0081T31999</v>
          </cell>
          <cell r="B792">
            <v>0</v>
          </cell>
        </row>
        <row r="793">
          <cell r="A793" t="str">
            <v>0081T41999</v>
          </cell>
          <cell r="B793">
            <v>0</v>
          </cell>
        </row>
        <row r="794">
          <cell r="A794" t="str">
            <v>0082A41999</v>
          </cell>
          <cell r="B794">
            <v>24340052</v>
          </cell>
        </row>
        <row r="795">
          <cell r="A795" t="str">
            <v>0082T11999</v>
          </cell>
          <cell r="B795">
            <v>2430275</v>
          </cell>
        </row>
        <row r="796">
          <cell r="A796" t="str">
            <v>0082T21999</v>
          </cell>
          <cell r="B796">
            <v>4760296</v>
          </cell>
        </row>
        <row r="797">
          <cell r="A797" t="str">
            <v>0082T31999</v>
          </cell>
          <cell r="B797">
            <v>7218417</v>
          </cell>
        </row>
        <row r="798">
          <cell r="A798" t="str">
            <v>0082T41999</v>
          </cell>
          <cell r="B798">
            <v>9931064</v>
          </cell>
        </row>
        <row r="799">
          <cell r="A799" t="str">
            <v>0083A21997</v>
          </cell>
          <cell r="B799">
            <v>6129941</v>
          </cell>
        </row>
        <row r="800">
          <cell r="A800" t="str">
            <v>0083T11997</v>
          </cell>
          <cell r="B800">
            <v>1222140</v>
          </cell>
        </row>
        <row r="801">
          <cell r="A801" t="str">
            <v>0083T21997</v>
          </cell>
          <cell r="B801">
            <v>1489531</v>
          </cell>
        </row>
        <row r="802">
          <cell r="A802" t="str">
            <v>0083T31997</v>
          </cell>
          <cell r="B802">
            <v>1208665</v>
          </cell>
        </row>
        <row r="803">
          <cell r="A803" t="str">
            <v>0083T41997</v>
          </cell>
          <cell r="B803">
            <v>2209605</v>
          </cell>
        </row>
        <row r="804">
          <cell r="A804" t="str">
            <v>0083A31998</v>
          </cell>
          <cell r="B804">
            <v>6725229</v>
          </cell>
        </row>
        <row r="805">
          <cell r="A805" t="str">
            <v>0083T11998</v>
          </cell>
          <cell r="B805">
            <v>1314464</v>
          </cell>
        </row>
        <row r="806">
          <cell r="A806" t="str">
            <v>0083T21998</v>
          </cell>
          <cell r="B806">
            <v>1700651</v>
          </cell>
        </row>
        <row r="807">
          <cell r="A807" t="str">
            <v>0083T31998</v>
          </cell>
          <cell r="B807">
            <v>3837641</v>
          </cell>
        </row>
        <row r="808">
          <cell r="A808" t="str">
            <v>0083T41998</v>
          </cell>
          <cell r="B808">
            <v>147832</v>
          </cell>
        </row>
        <row r="809">
          <cell r="A809" t="str">
            <v>0083A41999</v>
          </cell>
          <cell r="B809">
            <v>17194101</v>
          </cell>
        </row>
        <row r="810">
          <cell r="A810" t="str">
            <v>0083T11999</v>
          </cell>
          <cell r="B810">
            <v>1477808</v>
          </cell>
        </row>
        <row r="811">
          <cell r="A811" t="str">
            <v>0083T21999</v>
          </cell>
          <cell r="B811">
            <v>3001646</v>
          </cell>
        </row>
        <row r="812">
          <cell r="A812" t="str">
            <v>0083T31999</v>
          </cell>
          <cell r="B812">
            <v>5156001</v>
          </cell>
        </row>
        <row r="813">
          <cell r="A813" t="str">
            <v>0083T41999</v>
          </cell>
          <cell r="B813">
            <v>7558646</v>
          </cell>
        </row>
        <row r="814">
          <cell r="A814" t="str">
            <v>0084A41999</v>
          </cell>
          <cell r="B814">
            <v>7145951</v>
          </cell>
        </row>
        <row r="815">
          <cell r="A815" t="str">
            <v>0084T11999</v>
          </cell>
          <cell r="B815">
            <v>952467</v>
          </cell>
        </row>
        <row r="816">
          <cell r="A816" t="str">
            <v>0084T21999</v>
          </cell>
          <cell r="B816">
            <v>1758650</v>
          </cell>
        </row>
        <row r="817">
          <cell r="A817" t="str">
            <v>0084T31999</v>
          </cell>
          <cell r="B817">
            <v>2062416</v>
          </cell>
        </row>
        <row r="818">
          <cell r="A818" t="str">
            <v>0084T41999</v>
          </cell>
          <cell r="B818">
            <v>2372418</v>
          </cell>
        </row>
        <row r="819">
          <cell r="A819" t="str">
            <v>0085A21997</v>
          </cell>
          <cell r="B819">
            <v>4132293</v>
          </cell>
        </row>
        <row r="820">
          <cell r="A820" t="str">
            <v>0085T11997</v>
          </cell>
          <cell r="B820">
            <v>297711</v>
          </cell>
        </row>
        <row r="821">
          <cell r="A821" t="str">
            <v>0085T21997</v>
          </cell>
          <cell r="B821">
            <v>252919</v>
          </cell>
        </row>
        <row r="822">
          <cell r="A822" t="str">
            <v>0085T31997</v>
          </cell>
          <cell r="B822">
            <v>243774</v>
          </cell>
        </row>
        <row r="823">
          <cell r="A823" t="str">
            <v>0085T41997</v>
          </cell>
          <cell r="B823">
            <v>3337889</v>
          </cell>
        </row>
        <row r="824">
          <cell r="A824" t="str">
            <v>0085A31998</v>
          </cell>
          <cell r="B824">
            <v>3202784</v>
          </cell>
        </row>
        <row r="825">
          <cell r="A825" t="str">
            <v>0085T11998</v>
          </cell>
          <cell r="B825">
            <v>190839</v>
          </cell>
        </row>
        <row r="826">
          <cell r="A826" t="str">
            <v>0085T21998</v>
          </cell>
          <cell r="B826">
            <v>182398</v>
          </cell>
        </row>
        <row r="827">
          <cell r="A827" t="str">
            <v>0085T31998</v>
          </cell>
          <cell r="B827">
            <v>11856</v>
          </cell>
        </row>
        <row r="828">
          <cell r="A828" t="str">
            <v>0085T41998</v>
          </cell>
          <cell r="B828">
            <v>1899512</v>
          </cell>
        </row>
        <row r="829">
          <cell r="A829" t="str">
            <v>0085A41999</v>
          </cell>
          <cell r="B829">
            <v>3186858</v>
          </cell>
        </row>
        <row r="830">
          <cell r="A830" t="str">
            <v>0085T11999</v>
          </cell>
          <cell r="B830">
            <v>216981</v>
          </cell>
        </row>
        <row r="831">
          <cell r="A831" t="str">
            <v>0085T21999</v>
          </cell>
          <cell r="B831">
            <v>598131</v>
          </cell>
        </row>
        <row r="832">
          <cell r="A832" t="str">
            <v>0085T31999</v>
          </cell>
          <cell r="B832">
            <v>1064631</v>
          </cell>
        </row>
        <row r="833">
          <cell r="A833" t="str">
            <v>0085T41999</v>
          </cell>
          <cell r="B833">
            <v>1307115</v>
          </cell>
        </row>
        <row r="834">
          <cell r="A834" t="str">
            <v>0086A21997</v>
          </cell>
          <cell r="B834">
            <v>3337244</v>
          </cell>
        </row>
        <row r="835">
          <cell r="A835" t="str">
            <v>0086T11997</v>
          </cell>
          <cell r="B835">
            <v>558392</v>
          </cell>
        </row>
        <row r="836">
          <cell r="A836" t="str">
            <v>0086T21997</v>
          </cell>
          <cell r="B836">
            <v>567442</v>
          </cell>
        </row>
        <row r="837">
          <cell r="A837" t="str">
            <v>0086T31997</v>
          </cell>
          <cell r="B837">
            <v>756450</v>
          </cell>
        </row>
        <row r="838">
          <cell r="A838" t="str">
            <v>0086T41997</v>
          </cell>
          <cell r="B838">
            <v>1454960</v>
          </cell>
        </row>
        <row r="839">
          <cell r="A839" t="str">
            <v>0086A31998</v>
          </cell>
          <cell r="B839">
            <v>5459951</v>
          </cell>
        </row>
        <row r="840">
          <cell r="A840" t="str">
            <v>0086T11998</v>
          </cell>
          <cell r="B840">
            <v>594852</v>
          </cell>
        </row>
        <row r="841">
          <cell r="A841" t="str">
            <v>0086T21998</v>
          </cell>
          <cell r="B841">
            <v>1242691</v>
          </cell>
        </row>
        <row r="842">
          <cell r="A842" t="str">
            <v>0086T31998</v>
          </cell>
          <cell r="B842">
            <v>442692</v>
          </cell>
        </row>
        <row r="843">
          <cell r="A843" t="str">
            <v>0086T41998</v>
          </cell>
          <cell r="B843">
            <v>1496730</v>
          </cell>
        </row>
        <row r="844">
          <cell r="A844" t="str">
            <v>0086A41999</v>
          </cell>
          <cell r="B844">
            <v>5860608</v>
          </cell>
        </row>
        <row r="845">
          <cell r="A845" t="str">
            <v>0086T11999</v>
          </cell>
          <cell r="B845">
            <v>518509</v>
          </cell>
        </row>
        <row r="846">
          <cell r="A846" t="str">
            <v>0086T21999</v>
          </cell>
          <cell r="B846">
            <v>1201533</v>
          </cell>
        </row>
        <row r="847">
          <cell r="A847" t="str">
            <v>0086T31999</v>
          </cell>
          <cell r="B847">
            <v>1642134</v>
          </cell>
        </row>
        <row r="848">
          <cell r="A848" t="str">
            <v>0086T41999</v>
          </cell>
          <cell r="B848">
            <v>2498432</v>
          </cell>
        </row>
        <row r="849">
          <cell r="A849" t="str">
            <v>0087A41999</v>
          </cell>
          <cell r="B849">
            <v>-1901515</v>
          </cell>
        </row>
        <row r="850">
          <cell r="A850" t="str">
            <v>0087T11999</v>
          </cell>
          <cell r="B850">
            <v>216977</v>
          </cell>
        </row>
        <row r="851">
          <cell r="A851" t="str">
            <v>0087T21999</v>
          </cell>
          <cell r="B851">
            <v>-41014</v>
          </cell>
        </row>
        <row r="852">
          <cell r="A852" t="str">
            <v>0087T31999</v>
          </cell>
          <cell r="B852">
            <v>-644349</v>
          </cell>
        </row>
        <row r="853">
          <cell r="A853" t="str">
            <v>0087T41999</v>
          </cell>
          <cell r="B853">
            <v>-1433129</v>
          </cell>
        </row>
        <row r="854">
          <cell r="A854" t="str">
            <v>0088A41999</v>
          </cell>
          <cell r="B854">
            <v>0</v>
          </cell>
        </row>
        <row r="855">
          <cell r="A855" t="str">
            <v>0088T11999</v>
          </cell>
          <cell r="B855">
            <v>0</v>
          </cell>
        </row>
        <row r="856">
          <cell r="A856" t="str">
            <v>0088T21999</v>
          </cell>
          <cell r="B856">
            <v>0</v>
          </cell>
        </row>
        <row r="857">
          <cell r="A857" t="str">
            <v>0088T31999</v>
          </cell>
          <cell r="B857">
            <v>0</v>
          </cell>
        </row>
        <row r="858">
          <cell r="A858" t="str">
            <v>0088T41999</v>
          </cell>
          <cell r="B858">
            <v>0</v>
          </cell>
        </row>
        <row r="859">
          <cell r="A859" t="str">
            <v>0089A41999</v>
          </cell>
          <cell r="B859">
            <v>155510</v>
          </cell>
        </row>
        <row r="860">
          <cell r="A860" t="str">
            <v>0089T11999</v>
          </cell>
          <cell r="B860">
            <v>28775</v>
          </cell>
        </row>
        <row r="861">
          <cell r="A861" t="str">
            <v>0089T21999</v>
          </cell>
          <cell r="B861">
            <v>30954</v>
          </cell>
        </row>
        <row r="862">
          <cell r="A862" t="str">
            <v>0089T31999</v>
          </cell>
          <cell r="B862">
            <v>38532</v>
          </cell>
        </row>
        <row r="863">
          <cell r="A863" t="str">
            <v>0089T41999</v>
          </cell>
          <cell r="B863">
            <v>57249</v>
          </cell>
        </row>
        <row r="864">
          <cell r="A864" t="str">
            <v>0090A41999</v>
          </cell>
          <cell r="B864">
            <v>1431748</v>
          </cell>
        </row>
        <row r="865">
          <cell r="A865" t="str">
            <v>0090T11999</v>
          </cell>
          <cell r="B865">
            <v>14470</v>
          </cell>
        </row>
        <row r="866">
          <cell r="A866" t="str">
            <v>0090T21999</v>
          </cell>
          <cell r="B866">
            <v>269682</v>
          </cell>
        </row>
        <row r="867">
          <cell r="A867" t="str">
            <v>0090T31999</v>
          </cell>
          <cell r="B867">
            <v>606252</v>
          </cell>
        </row>
        <row r="868">
          <cell r="A868" t="str">
            <v>0090T41999</v>
          </cell>
          <cell r="B868">
            <v>541344</v>
          </cell>
        </row>
        <row r="869">
          <cell r="A869" t="str">
            <v>0091A21997</v>
          </cell>
          <cell r="B869">
            <v>235197</v>
          </cell>
        </row>
        <row r="870">
          <cell r="A870" t="str">
            <v>0091T11997</v>
          </cell>
          <cell r="B870">
            <v>25793</v>
          </cell>
        </row>
        <row r="871">
          <cell r="A871" t="str">
            <v>0091T21997</v>
          </cell>
          <cell r="B871">
            <v>58405</v>
          </cell>
        </row>
        <row r="872">
          <cell r="A872" t="str">
            <v>0091T31997</v>
          </cell>
          <cell r="B872">
            <v>40408</v>
          </cell>
        </row>
        <row r="873">
          <cell r="A873" t="str">
            <v>0091T41997</v>
          </cell>
          <cell r="B873">
            <v>110591</v>
          </cell>
        </row>
        <row r="874">
          <cell r="A874" t="str">
            <v>0091A31998</v>
          </cell>
          <cell r="B874">
            <v>802783</v>
          </cell>
        </row>
        <row r="875">
          <cell r="A875" t="str">
            <v>0091T11998</v>
          </cell>
          <cell r="B875">
            <v>0</v>
          </cell>
        </row>
        <row r="876">
          <cell r="A876" t="str">
            <v>0091T21998</v>
          </cell>
          <cell r="B876">
            <v>192709</v>
          </cell>
        </row>
        <row r="877">
          <cell r="A877" t="str">
            <v>0091T31998</v>
          </cell>
          <cell r="B877">
            <v>192709</v>
          </cell>
        </row>
        <row r="878">
          <cell r="A878" t="str">
            <v>0091T41998</v>
          </cell>
          <cell r="B878">
            <v>673218</v>
          </cell>
        </row>
        <row r="879">
          <cell r="A879" t="str">
            <v>0091A41999</v>
          </cell>
          <cell r="B879">
            <v>1030915</v>
          </cell>
        </row>
        <row r="880">
          <cell r="A880" t="str">
            <v>0091T11999</v>
          </cell>
          <cell r="B880">
            <v>115184</v>
          </cell>
        </row>
        <row r="881">
          <cell r="A881" t="str">
            <v>0091T21999</v>
          </cell>
          <cell r="B881">
            <v>185418</v>
          </cell>
        </row>
        <row r="882">
          <cell r="A882" t="str">
            <v>0091T31999</v>
          </cell>
          <cell r="B882">
            <v>319947</v>
          </cell>
        </row>
        <row r="883">
          <cell r="A883" t="str">
            <v>0091T41999</v>
          </cell>
          <cell r="B883">
            <v>410366</v>
          </cell>
        </row>
        <row r="884">
          <cell r="A884" t="str">
            <v>0092A41999</v>
          </cell>
          <cell r="B884">
            <v>244671</v>
          </cell>
        </row>
        <row r="885">
          <cell r="A885" t="str">
            <v>0092T11999</v>
          </cell>
          <cell r="B885">
            <v>1996</v>
          </cell>
        </row>
        <row r="886">
          <cell r="A886" t="str">
            <v>0092T21999</v>
          </cell>
          <cell r="B886">
            <v>127915</v>
          </cell>
        </row>
        <row r="887">
          <cell r="A887" t="str">
            <v>0092T31999</v>
          </cell>
          <cell r="B887">
            <v>10591</v>
          </cell>
        </row>
        <row r="888">
          <cell r="A888" t="str">
            <v>0092T41999</v>
          </cell>
          <cell r="B888">
            <v>104169</v>
          </cell>
        </row>
        <row r="889">
          <cell r="A889" t="str">
            <v>0093A41999</v>
          </cell>
          <cell r="B889">
            <v>766396</v>
          </cell>
        </row>
        <row r="890">
          <cell r="A890" t="str">
            <v>0093T11999</v>
          </cell>
          <cell r="B890">
            <v>104425</v>
          </cell>
        </row>
        <row r="891">
          <cell r="A891" t="str">
            <v>0093T21999</v>
          </cell>
          <cell r="B891">
            <v>162333</v>
          </cell>
        </row>
        <row r="892">
          <cell r="A892" t="str">
            <v>0093T31999</v>
          </cell>
          <cell r="B892">
            <v>221446</v>
          </cell>
        </row>
        <row r="893">
          <cell r="A893" t="str">
            <v>0093T41999</v>
          </cell>
          <cell r="B893">
            <v>278192</v>
          </cell>
        </row>
        <row r="894">
          <cell r="A894" t="str">
            <v>0094A41999</v>
          </cell>
          <cell r="B894">
            <v>-823447</v>
          </cell>
        </row>
        <row r="895">
          <cell r="A895" t="str">
            <v>0094T11999</v>
          </cell>
          <cell r="B895">
            <v>247467</v>
          </cell>
        </row>
        <row r="896">
          <cell r="A896" t="str">
            <v>0094T21999</v>
          </cell>
          <cell r="B896">
            <v>108622</v>
          </cell>
        </row>
        <row r="897">
          <cell r="A897" t="str">
            <v>0094T31999</v>
          </cell>
          <cell r="B897">
            <v>-108657</v>
          </cell>
        </row>
        <row r="898">
          <cell r="A898" t="str">
            <v>0094T41999</v>
          </cell>
          <cell r="B898">
            <v>-1070879</v>
          </cell>
        </row>
        <row r="899">
          <cell r="A899" t="str">
            <v>0095A41999</v>
          </cell>
          <cell r="B899">
            <v>0</v>
          </cell>
        </row>
        <row r="900">
          <cell r="A900" t="str">
            <v>0095T11999</v>
          </cell>
          <cell r="B900">
            <v>0</v>
          </cell>
        </row>
        <row r="901">
          <cell r="A901" t="str">
            <v>0095T21999</v>
          </cell>
          <cell r="B901">
            <v>0</v>
          </cell>
        </row>
        <row r="902">
          <cell r="A902" t="str">
            <v>0095T31999</v>
          </cell>
          <cell r="B902">
            <v>0</v>
          </cell>
        </row>
        <row r="903">
          <cell r="A903" t="str">
            <v>0095T41999</v>
          </cell>
          <cell r="B903">
            <v>0</v>
          </cell>
        </row>
        <row r="904">
          <cell r="A904" t="str">
            <v>0096A41999</v>
          </cell>
          <cell r="B904">
            <v>0</v>
          </cell>
        </row>
        <row r="905">
          <cell r="A905" t="str">
            <v>0096T11999</v>
          </cell>
          <cell r="B905">
            <v>0</v>
          </cell>
        </row>
        <row r="906">
          <cell r="A906" t="str">
            <v>0096T21999</v>
          </cell>
          <cell r="B906">
            <v>0</v>
          </cell>
        </row>
        <row r="907">
          <cell r="A907" t="str">
            <v>0096T31999</v>
          </cell>
          <cell r="B907">
            <v>0</v>
          </cell>
        </row>
        <row r="908">
          <cell r="A908" t="str">
            <v>0096T41999</v>
          </cell>
          <cell r="B908">
            <v>0</v>
          </cell>
        </row>
        <row r="909">
          <cell r="A909" t="str">
            <v>0097A41999</v>
          </cell>
          <cell r="B909">
            <v>-823447</v>
          </cell>
        </row>
        <row r="910">
          <cell r="A910" t="str">
            <v>0097T11999</v>
          </cell>
          <cell r="B910">
            <v>247467</v>
          </cell>
        </row>
        <row r="911">
          <cell r="A911" t="str">
            <v>0097T21999</v>
          </cell>
          <cell r="B911">
            <v>108622</v>
          </cell>
        </row>
        <row r="912">
          <cell r="A912" t="str">
            <v>0097T31999</v>
          </cell>
          <cell r="B912">
            <v>-108657</v>
          </cell>
        </row>
        <row r="913">
          <cell r="A913" t="str">
            <v>0097T41999</v>
          </cell>
          <cell r="B913">
            <v>-1070879</v>
          </cell>
        </row>
        <row r="914">
          <cell r="A914" t="str">
            <v>0098A41999</v>
          </cell>
          <cell r="B914">
            <v>0</v>
          </cell>
        </row>
        <row r="915">
          <cell r="A915" t="str">
            <v>0098T11999</v>
          </cell>
          <cell r="B915">
            <v>0</v>
          </cell>
        </row>
        <row r="916">
          <cell r="A916" t="str">
            <v>0098T21999</v>
          </cell>
          <cell r="B916">
            <v>0</v>
          </cell>
        </row>
        <row r="917">
          <cell r="A917" t="str">
            <v>0098T31999</v>
          </cell>
          <cell r="B917">
            <v>0</v>
          </cell>
        </row>
        <row r="918">
          <cell r="A918" t="str">
            <v>0098T41999</v>
          </cell>
          <cell r="B918">
            <v>0</v>
          </cell>
        </row>
        <row r="919">
          <cell r="A919" t="str">
            <v>0099A21997</v>
          </cell>
          <cell r="B919">
            <v>391691</v>
          </cell>
        </row>
        <row r="920">
          <cell r="A920" t="str">
            <v>0099A31998</v>
          </cell>
          <cell r="B920">
            <v>-4673258</v>
          </cell>
        </row>
        <row r="921">
          <cell r="A921" t="str">
            <v>0099T11998</v>
          </cell>
          <cell r="B921">
            <v>535284</v>
          </cell>
        </row>
        <row r="922">
          <cell r="A922" t="str">
            <v>0099T21998</v>
          </cell>
          <cell r="B922">
            <v>-691264</v>
          </cell>
        </row>
        <row r="923">
          <cell r="A923" t="str">
            <v>0099T31998</v>
          </cell>
          <cell r="B923">
            <v>-40601</v>
          </cell>
        </row>
        <row r="924">
          <cell r="A924" t="str">
            <v>0099T41998</v>
          </cell>
          <cell r="B924">
            <v>4202138</v>
          </cell>
        </row>
        <row r="925">
          <cell r="A925" t="str">
            <v>0099A41999</v>
          </cell>
          <cell r="B925">
            <v>-823447</v>
          </cell>
        </row>
        <row r="926">
          <cell r="A926" t="str">
            <v>0099T11999</v>
          </cell>
          <cell r="B926">
            <v>247467</v>
          </cell>
        </row>
        <row r="927">
          <cell r="A927" t="str">
            <v>0099T21999</v>
          </cell>
          <cell r="B927">
            <v>108622</v>
          </cell>
        </row>
        <row r="928">
          <cell r="A928" t="str">
            <v>0099T31999</v>
          </cell>
          <cell r="B928">
            <v>-108657</v>
          </cell>
        </row>
        <row r="929">
          <cell r="A929" t="str">
            <v>0099T41999</v>
          </cell>
          <cell r="B929">
            <v>-1070879</v>
          </cell>
        </row>
        <row r="930">
          <cell r="A930" t="str">
            <v>0100A21997</v>
          </cell>
          <cell r="B930">
            <v>971756</v>
          </cell>
        </row>
        <row r="931">
          <cell r="A931" t="str">
            <v>0100A31998</v>
          </cell>
          <cell r="B931">
            <v>2917891</v>
          </cell>
        </row>
        <row r="932">
          <cell r="A932" t="str">
            <v>0100T11998</v>
          </cell>
          <cell r="B932">
            <v>386197</v>
          </cell>
        </row>
        <row r="933">
          <cell r="A933" t="str">
            <v>0100T21998</v>
          </cell>
          <cell r="B933">
            <v>570653</v>
          </cell>
        </row>
        <row r="934">
          <cell r="A934" t="str">
            <v>0100T31998</v>
          </cell>
          <cell r="B934">
            <v>634435</v>
          </cell>
        </row>
        <row r="935">
          <cell r="A935" t="str">
            <v>0100T41998</v>
          </cell>
          <cell r="B935">
            <v>1326606</v>
          </cell>
        </row>
        <row r="936">
          <cell r="A936" t="str">
            <v>0100A41999</v>
          </cell>
          <cell r="B936">
            <v>4186736</v>
          </cell>
        </row>
        <row r="937">
          <cell r="A937" t="str">
            <v>0100T11999</v>
          </cell>
          <cell r="B937">
            <v>586380</v>
          </cell>
        </row>
        <row r="938">
          <cell r="A938" t="str">
            <v>0100T21999</v>
          </cell>
          <cell r="B938">
            <v>375207</v>
          </cell>
        </row>
        <row r="939">
          <cell r="A939" t="str">
            <v>0100T31999</v>
          </cell>
          <cell r="B939">
            <v>1435195</v>
          </cell>
        </row>
        <row r="940">
          <cell r="A940" t="str">
            <v>0100T41999</v>
          </cell>
          <cell r="B940">
            <v>1789954</v>
          </cell>
        </row>
        <row r="941">
          <cell r="A941" t="str">
            <v>0101A21997</v>
          </cell>
          <cell r="B941">
            <v>2773796</v>
          </cell>
        </row>
        <row r="942">
          <cell r="A942" t="str">
            <v>0101A31998</v>
          </cell>
          <cell r="B942">
            <v>2294647</v>
          </cell>
        </row>
        <row r="943">
          <cell r="A943" t="str">
            <v>0101A41999</v>
          </cell>
          <cell r="B943">
            <v>40220</v>
          </cell>
        </row>
        <row r="944">
          <cell r="A944" t="str">
            <v>0101T11999</v>
          </cell>
          <cell r="B944">
            <v>0</v>
          </cell>
        </row>
        <row r="945">
          <cell r="A945" t="str">
            <v>0101T21999</v>
          </cell>
          <cell r="B945">
            <v>0</v>
          </cell>
        </row>
        <row r="946">
          <cell r="A946" t="str">
            <v>0101T31999</v>
          </cell>
          <cell r="B946">
            <v>0</v>
          </cell>
        </row>
        <row r="947">
          <cell r="A947" t="str">
            <v>0101T41999</v>
          </cell>
          <cell r="B947">
            <v>40220</v>
          </cell>
        </row>
        <row r="948">
          <cell r="A948" t="str">
            <v>0102A21997</v>
          </cell>
          <cell r="B948">
            <v>306294</v>
          </cell>
        </row>
        <row r="949">
          <cell r="A949" t="str">
            <v>0102A31998</v>
          </cell>
        </row>
        <row r="950">
          <cell r="A950" t="str">
            <v>0102T11998</v>
          </cell>
        </row>
        <row r="951">
          <cell r="A951" t="str">
            <v>0102T21998</v>
          </cell>
        </row>
        <row r="952">
          <cell r="A952" t="str">
            <v>0102T31998</v>
          </cell>
        </row>
        <row r="953">
          <cell r="A953" t="str">
            <v>0102T41998</v>
          </cell>
        </row>
        <row r="954">
          <cell r="A954" t="str">
            <v>0102A41999</v>
          </cell>
          <cell r="B954">
            <v>1087222</v>
          </cell>
        </row>
        <row r="955">
          <cell r="A955" t="str">
            <v>0102T11999</v>
          </cell>
          <cell r="B955">
            <v>25476</v>
          </cell>
        </row>
        <row r="956">
          <cell r="A956" t="str">
            <v>0102T21999</v>
          </cell>
          <cell r="B956">
            <v>134457</v>
          </cell>
        </row>
        <row r="957">
          <cell r="A957" t="str">
            <v>0102T31999</v>
          </cell>
          <cell r="B957">
            <v>365846</v>
          </cell>
        </row>
        <row r="958">
          <cell r="A958" t="str">
            <v>0102T41999</v>
          </cell>
          <cell r="B958">
            <v>561443</v>
          </cell>
        </row>
        <row r="959">
          <cell r="A959" t="str">
            <v>0103A21997</v>
          </cell>
          <cell r="B959">
            <v>3091420</v>
          </cell>
        </row>
        <row r="960">
          <cell r="A960" t="str">
            <v>0103A31998</v>
          </cell>
          <cell r="B960">
            <v>3644934</v>
          </cell>
        </row>
        <row r="961">
          <cell r="A961" t="str">
            <v>0103T11998</v>
          </cell>
          <cell r="B961">
            <v>851912</v>
          </cell>
        </row>
        <row r="962">
          <cell r="A962" t="str">
            <v>0103T21998</v>
          </cell>
          <cell r="B962">
            <v>769674</v>
          </cell>
        </row>
        <row r="963">
          <cell r="A963" t="str">
            <v>0103T31998</v>
          </cell>
          <cell r="B963">
            <v>1044386</v>
          </cell>
        </row>
        <row r="964">
          <cell r="A964" t="str">
            <v>0103T41998</v>
          </cell>
          <cell r="B964">
            <v>978962</v>
          </cell>
        </row>
        <row r="965">
          <cell r="A965" t="str">
            <v>0103A41999</v>
          </cell>
          <cell r="B965">
            <v>8241203</v>
          </cell>
        </row>
        <row r="966">
          <cell r="A966" t="str">
            <v>0103T11999</v>
          </cell>
          <cell r="B966">
            <v>712079</v>
          </cell>
        </row>
        <row r="967">
          <cell r="A967" t="str">
            <v>0103T21999</v>
          </cell>
          <cell r="B967">
            <v>1505210</v>
          </cell>
        </row>
        <row r="968">
          <cell r="A968" t="str">
            <v>0103T31999</v>
          </cell>
          <cell r="B968">
            <v>2536968</v>
          </cell>
        </row>
        <row r="969">
          <cell r="A969" t="str">
            <v>0103T41999</v>
          </cell>
          <cell r="B969">
            <v>3486946</v>
          </cell>
        </row>
        <row r="970">
          <cell r="A970" t="str">
            <v>0104A21997</v>
          </cell>
          <cell r="B970">
            <v>1244847</v>
          </cell>
        </row>
        <row r="971">
          <cell r="A971" t="str">
            <v>0104A31998</v>
          </cell>
          <cell r="B971">
            <v>1062129</v>
          </cell>
        </row>
        <row r="972">
          <cell r="A972" t="str">
            <v>0104T11998</v>
          </cell>
          <cell r="B972">
            <v>218717</v>
          </cell>
        </row>
        <row r="973">
          <cell r="A973" t="str">
            <v>0104T21998</v>
          </cell>
          <cell r="B973">
            <v>313996</v>
          </cell>
        </row>
        <row r="974">
          <cell r="A974" t="str">
            <v>0104T31998</v>
          </cell>
          <cell r="B974">
            <v>404595</v>
          </cell>
        </row>
        <row r="975">
          <cell r="A975" t="str">
            <v>0104T41998</v>
          </cell>
          <cell r="B975">
            <v>124821</v>
          </cell>
        </row>
        <row r="976">
          <cell r="A976" t="str">
            <v>0104A41999</v>
          </cell>
          <cell r="B976">
            <v>967446</v>
          </cell>
        </row>
        <row r="977">
          <cell r="A977" t="str">
            <v>0104T11999</v>
          </cell>
          <cell r="B977">
            <v>64735</v>
          </cell>
        </row>
        <row r="978">
          <cell r="A978" t="str">
            <v>0104T21999</v>
          </cell>
          <cell r="B978">
            <v>419385</v>
          </cell>
        </row>
        <row r="979">
          <cell r="A979" t="str">
            <v>0104T31999</v>
          </cell>
          <cell r="B979">
            <v>519661</v>
          </cell>
        </row>
        <row r="980">
          <cell r="A980" t="str">
            <v>0104T41999</v>
          </cell>
          <cell r="B980">
            <v>967446</v>
          </cell>
        </row>
        <row r="981">
          <cell r="A981" t="str">
            <v>0105A41999</v>
          </cell>
          <cell r="B981">
            <v>7942597</v>
          </cell>
        </row>
        <row r="982">
          <cell r="A982" t="str">
            <v>0105T11999</v>
          </cell>
          <cell r="B982">
            <v>7987528</v>
          </cell>
        </row>
        <row r="983">
          <cell r="A983" t="str">
            <v>0105T21999</v>
          </cell>
          <cell r="B983">
            <v>7991703</v>
          </cell>
        </row>
        <row r="984">
          <cell r="A984" t="str">
            <v>0105T31999</v>
          </cell>
          <cell r="B984">
            <v>7971721</v>
          </cell>
        </row>
        <row r="985">
          <cell r="A985" t="str">
            <v>0105T41999</v>
          </cell>
          <cell r="B985">
            <v>7942597</v>
          </cell>
        </row>
        <row r="986">
          <cell r="A986" t="str">
            <v>0106A41999</v>
          </cell>
          <cell r="B986">
            <v>27079</v>
          </cell>
        </row>
        <row r="987">
          <cell r="A987" t="str">
            <v>0106T11999</v>
          </cell>
          <cell r="B987">
            <v>27079</v>
          </cell>
        </row>
        <row r="988">
          <cell r="A988" t="str">
            <v>0106T21999</v>
          </cell>
          <cell r="B988">
            <v>27079</v>
          </cell>
        </row>
        <row r="989">
          <cell r="A989" t="str">
            <v>0106T31999</v>
          </cell>
          <cell r="B989">
            <v>27079</v>
          </cell>
        </row>
        <row r="990">
          <cell r="A990" t="str">
            <v>0106T41999</v>
          </cell>
          <cell r="B990">
            <v>27079</v>
          </cell>
        </row>
        <row r="991">
          <cell r="A991" t="str">
            <v>0107A41999</v>
          </cell>
          <cell r="B991">
            <v>0</v>
          </cell>
        </row>
        <row r="992">
          <cell r="A992" t="str">
            <v>0107T11999</v>
          </cell>
          <cell r="B992">
            <v>1156177</v>
          </cell>
        </row>
        <row r="993">
          <cell r="A993" t="str">
            <v>0107T21999</v>
          </cell>
          <cell r="B993">
            <v>0</v>
          </cell>
        </row>
        <row r="994">
          <cell r="A994" t="str">
            <v>0107T31999</v>
          </cell>
          <cell r="B994">
            <v>0</v>
          </cell>
        </row>
        <row r="995">
          <cell r="A995" t="str">
            <v>0107T41999</v>
          </cell>
          <cell r="B995">
            <v>0</v>
          </cell>
        </row>
        <row r="996">
          <cell r="A996" t="str">
            <v>0108A41999</v>
          </cell>
          <cell r="B996">
            <v>191416</v>
          </cell>
        </row>
        <row r="997">
          <cell r="A997" t="str">
            <v>0108T11999</v>
          </cell>
          <cell r="B997">
            <v>157816</v>
          </cell>
        </row>
        <row r="998">
          <cell r="A998" t="str">
            <v>0108T21999</v>
          </cell>
          <cell r="B998">
            <v>177244</v>
          </cell>
        </row>
        <row r="999">
          <cell r="A999" t="str">
            <v>0108T31999</v>
          </cell>
          <cell r="B999">
            <v>182079</v>
          </cell>
        </row>
        <row r="1000">
          <cell r="A1000" t="str">
            <v>0108T41999</v>
          </cell>
          <cell r="B1000">
            <v>191416</v>
          </cell>
        </row>
        <row r="1001">
          <cell r="A1001" t="str">
            <v>0109A41999</v>
          </cell>
          <cell r="B1001">
            <v>82215</v>
          </cell>
        </row>
        <row r="1002">
          <cell r="A1002" t="str">
            <v>0109T11999</v>
          </cell>
          <cell r="B1002">
            <v>14414</v>
          </cell>
        </row>
        <row r="1003">
          <cell r="A1003" t="str">
            <v>0109T21999</v>
          </cell>
          <cell r="B1003">
            <v>33842</v>
          </cell>
        </row>
        <row r="1004">
          <cell r="A1004" t="str">
            <v>0109T31999</v>
          </cell>
          <cell r="B1004">
            <v>4835</v>
          </cell>
        </row>
        <row r="1005">
          <cell r="A1005" t="str">
            <v>0109T41999</v>
          </cell>
          <cell r="B1005">
            <v>29124</v>
          </cell>
        </row>
        <row r="1006">
          <cell r="A1006" t="str">
            <v>0110A21997</v>
          </cell>
          <cell r="B1006">
            <v>379236</v>
          </cell>
        </row>
        <row r="1007">
          <cell r="A1007" t="str">
            <v>0110T11997</v>
          </cell>
          <cell r="B1007">
            <v>371279</v>
          </cell>
        </row>
        <row r="1008">
          <cell r="A1008" t="str">
            <v>0110T21997</v>
          </cell>
          <cell r="B1008">
            <v>373931</v>
          </cell>
        </row>
        <row r="1009">
          <cell r="A1009" t="str">
            <v>0110T31997</v>
          </cell>
          <cell r="B1009">
            <v>376584</v>
          </cell>
        </row>
        <row r="1010">
          <cell r="A1010" t="str">
            <v>0110T41997</v>
          </cell>
          <cell r="B1010">
            <v>379236</v>
          </cell>
        </row>
        <row r="1011">
          <cell r="A1011" t="str">
            <v>0110A31998</v>
          </cell>
          <cell r="B1011">
            <v>390073</v>
          </cell>
        </row>
        <row r="1012">
          <cell r="A1012" t="str">
            <v>0110T11998</v>
          </cell>
          <cell r="B1012">
            <v>381945</v>
          </cell>
        </row>
        <row r="1013">
          <cell r="A1013" t="str">
            <v>0110T21998</v>
          </cell>
          <cell r="B1013">
            <v>384655</v>
          </cell>
        </row>
        <row r="1014">
          <cell r="A1014" t="str">
            <v>0110T31998</v>
          </cell>
          <cell r="B1014">
            <v>387364</v>
          </cell>
        </row>
        <row r="1015">
          <cell r="A1015" t="str">
            <v>0110T41998</v>
          </cell>
          <cell r="B1015">
            <v>390073</v>
          </cell>
        </row>
        <row r="1016">
          <cell r="A1016" t="str">
            <v>0110A41999</v>
          </cell>
          <cell r="B1016">
            <v>388060</v>
          </cell>
        </row>
        <row r="1017">
          <cell r="A1017" t="str">
            <v>0110T11999</v>
          </cell>
          <cell r="B1017">
            <v>379570</v>
          </cell>
        </row>
        <row r="1018">
          <cell r="A1018" t="str">
            <v>0110T21999</v>
          </cell>
          <cell r="B1018">
            <v>382379</v>
          </cell>
        </row>
        <row r="1019">
          <cell r="A1019" t="str">
            <v>0110T31999</v>
          </cell>
          <cell r="B1019">
            <v>385208</v>
          </cell>
        </row>
        <row r="1020">
          <cell r="A1020" t="str">
            <v>0110T41999</v>
          </cell>
          <cell r="B1020">
            <v>388060</v>
          </cell>
        </row>
        <row r="1021">
          <cell r="A1021" t="str">
            <v>0111A41999</v>
          </cell>
        </row>
        <row r="1022">
          <cell r="A1022" t="str">
            <v>0114A21997</v>
          </cell>
          <cell r="B1022">
            <v>6</v>
          </cell>
        </row>
        <row r="1023">
          <cell r="A1023" t="str">
            <v>0114T11997</v>
          </cell>
          <cell r="B1023">
            <v>6</v>
          </cell>
        </row>
        <row r="1024">
          <cell r="A1024" t="str">
            <v>0114T21997</v>
          </cell>
          <cell r="B1024">
            <v>6</v>
          </cell>
        </row>
        <row r="1025">
          <cell r="A1025" t="str">
            <v>0114T31997</v>
          </cell>
          <cell r="B1025">
            <v>6</v>
          </cell>
        </row>
        <row r="1026">
          <cell r="A1026" t="str">
            <v>0114T41997</v>
          </cell>
          <cell r="B1026">
            <v>6</v>
          </cell>
        </row>
        <row r="1027">
          <cell r="A1027" t="str">
            <v>0114A31998</v>
          </cell>
          <cell r="B1027">
            <v>6</v>
          </cell>
        </row>
        <row r="1028">
          <cell r="A1028" t="str">
            <v>0114T11998</v>
          </cell>
          <cell r="B1028">
            <v>6</v>
          </cell>
        </row>
        <row r="1029">
          <cell r="A1029" t="str">
            <v>0114T21998</v>
          </cell>
          <cell r="B1029">
            <v>6</v>
          </cell>
        </row>
        <row r="1030">
          <cell r="A1030" t="str">
            <v>0114T31998</v>
          </cell>
          <cell r="B1030">
            <v>6</v>
          </cell>
        </row>
        <row r="1031">
          <cell r="A1031" t="str">
            <v>0114T41998</v>
          </cell>
          <cell r="B1031">
            <v>6</v>
          </cell>
        </row>
        <row r="1032">
          <cell r="A1032" t="str">
            <v>0114T11999</v>
          </cell>
          <cell r="B1032">
            <v>6</v>
          </cell>
        </row>
        <row r="1033">
          <cell r="A1033" t="str">
            <v>0114T21999</v>
          </cell>
          <cell r="B1033">
            <v>6</v>
          </cell>
        </row>
        <row r="1034">
          <cell r="A1034" t="str">
            <v>0114T31999</v>
          </cell>
          <cell r="B1034">
            <v>6</v>
          </cell>
        </row>
      </sheetData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/>
      <sheetData sheetId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13</v>
          </cell>
        </row>
        <row r="3">
          <cell r="A3" t="str">
            <v>0001T11997</v>
          </cell>
          <cell r="B3">
            <v>13</v>
          </cell>
        </row>
        <row r="4">
          <cell r="A4" t="str">
            <v>0001T41997</v>
          </cell>
          <cell r="B4">
            <v>13</v>
          </cell>
        </row>
        <row r="5">
          <cell r="A5" t="str">
            <v>0001A31998</v>
          </cell>
          <cell r="B5">
            <v>17</v>
          </cell>
        </row>
        <row r="6">
          <cell r="A6" t="str">
            <v>0001T11998</v>
          </cell>
          <cell r="B6">
            <v>16</v>
          </cell>
        </row>
        <row r="7">
          <cell r="A7" t="str">
            <v>0001T21998</v>
          </cell>
          <cell r="B7">
            <v>16</v>
          </cell>
        </row>
        <row r="8">
          <cell r="A8" t="str">
            <v>0001T31998</v>
          </cell>
          <cell r="B8">
            <v>17</v>
          </cell>
        </row>
        <row r="9">
          <cell r="A9" t="str">
            <v>0001T41998</v>
          </cell>
          <cell r="B9">
            <v>17</v>
          </cell>
        </row>
        <row r="10">
          <cell r="A10" t="str">
            <v>0001A41999</v>
          </cell>
          <cell r="B10">
            <v>17</v>
          </cell>
        </row>
        <row r="11">
          <cell r="A11" t="str">
            <v>0001T11999</v>
          </cell>
          <cell r="B11">
            <v>17</v>
          </cell>
        </row>
        <row r="12">
          <cell r="A12" t="str">
            <v>0001T21999</v>
          </cell>
          <cell r="B12">
            <v>17</v>
          </cell>
        </row>
        <row r="13">
          <cell r="A13" t="str">
            <v>0001T31999</v>
          </cell>
          <cell r="B13">
            <v>17</v>
          </cell>
        </row>
        <row r="14">
          <cell r="A14" t="str">
            <v>0001T41999</v>
          </cell>
          <cell r="B14">
            <v>17</v>
          </cell>
        </row>
        <row r="15">
          <cell r="A15" t="str">
            <v>0002A21997</v>
          </cell>
          <cell r="B15">
            <v>353</v>
          </cell>
        </row>
        <row r="16">
          <cell r="A16" t="str">
            <v>0002T11997</v>
          </cell>
          <cell r="B16">
            <v>350</v>
          </cell>
        </row>
        <row r="17">
          <cell r="A17" t="str">
            <v>0002T21997</v>
          </cell>
          <cell r="B17">
            <v>353</v>
          </cell>
        </row>
        <row r="18">
          <cell r="A18" t="str">
            <v>0002T31997</v>
          </cell>
          <cell r="B18">
            <v>353</v>
          </cell>
        </row>
        <row r="19">
          <cell r="A19" t="str">
            <v>0002T41997</v>
          </cell>
          <cell r="B19">
            <v>353</v>
          </cell>
        </row>
        <row r="20">
          <cell r="A20" t="str">
            <v>0002A31998</v>
          </cell>
          <cell r="B20">
            <v>372</v>
          </cell>
        </row>
        <row r="21">
          <cell r="A21" t="str">
            <v>0002T11998</v>
          </cell>
          <cell r="B21">
            <v>376</v>
          </cell>
        </row>
        <row r="22">
          <cell r="A22" t="str">
            <v>0002T21998</v>
          </cell>
          <cell r="B22">
            <v>374</v>
          </cell>
        </row>
        <row r="23">
          <cell r="A23" t="str">
            <v>0002T31998</v>
          </cell>
          <cell r="B23">
            <v>372</v>
          </cell>
        </row>
        <row r="24">
          <cell r="A24" t="str">
            <v>0002T41998</v>
          </cell>
          <cell r="B24">
            <v>372</v>
          </cell>
        </row>
        <row r="25">
          <cell r="A25" t="str">
            <v>0002A41999</v>
          </cell>
          <cell r="B25">
            <v>358</v>
          </cell>
        </row>
        <row r="26">
          <cell r="A26" t="str">
            <v>0002T11999</v>
          </cell>
          <cell r="B26">
            <v>368</v>
          </cell>
        </row>
        <row r="27">
          <cell r="A27" t="str">
            <v>0002T21999</v>
          </cell>
          <cell r="B27">
            <v>367</v>
          </cell>
        </row>
        <row r="28">
          <cell r="A28" t="str">
            <v>0002T31999</v>
          </cell>
          <cell r="B28">
            <v>413</v>
          </cell>
        </row>
        <row r="29">
          <cell r="A29" t="str">
            <v>0002T41999</v>
          </cell>
          <cell r="B29">
            <v>358</v>
          </cell>
        </row>
        <row r="30">
          <cell r="A30" t="str">
            <v>0003A21997</v>
          </cell>
          <cell r="B30">
            <v>91</v>
          </cell>
        </row>
        <row r="31">
          <cell r="A31" t="str">
            <v>0003T11997</v>
          </cell>
          <cell r="B31">
            <v>92</v>
          </cell>
        </row>
        <row r="32">
          <cell r="A32" t="str">
            <v>0003T21997</v>
          </cell>
          <cell r="B32">
            <v>94</v>
          </cell>
        </row>
        <row r="33">
          <cell r="A33" t="str">
            <v>0003T31997</v>
          </cell>
          <cell r="B33">
            <v>107</v>
          </cell>
        </row>
        <row r="34">
          <cell r="A34" t="str">
            <v>0003T41997</v>
          </cell>
          <cell r="B34">
            <v>91</v>
          </cell>
        </row>
        <row r="35">
          <cell r="A35" t="str">
            <v>0003A31998</v>
          </cell>
          <cell r="B35">
            <v>54</v>
          </cell>
        </row>
        <row r="36">
          <cell r="A36" t="str">
            <v>0003T11998</v>
          </cell>
          <cell r="B36">
            <v>58</v>
          </cell>
        </row>
        <row r="37">
          <cell r="A37" t="str">
            <v>0003T21998</v>
          </cell>
          <cell r="B37">
            <v>58</v>
          </cell>
        </row>
        <row r="38">
          <cell r="A38" t="str">
            <v>0003T31998</v>
          </cell>
          <cell r="B38">
            <v>54</v>
          </cell>
        </row>
        <row r="39">
          <cell r="A39" t="str">
            <v>0003T41998</v>
          </cell>
          <cell r="B39">
            <v>54</v>
          </cell>
        </row>
        <row r="40">
          <cell r="A40" t="str">
            <v>0003A41999</v>
          </cell>
          <cell r="B40">
            <v>56</v>
          </cell>
        </row>
        <row r="41">
          <cell r="A41" t="str">
            <v>0003T11999</v>
          </cell>
          <cell r="B41">
            <v>48</v>
          </cell>
        </row>
        <row r="42">
          <cell r="A42" t="str">
            <v>0003T21999</v>
          </cell>
          <cell r="B42">
            <v>47</v>
          </cell>
        </row>
        <row r="43">
          <cell r="A43" t="str">
            <v>0003T31999</v>
          </cell>
          <cell r="B43">
            <v>52</v>
          </cell>
        </row>
        <row r="44">
          <cell r="A44" t="str">
            <v>0003T41999</v>
          </cell>
          <cell r="B44">
            <v>56</v>
          </cell>
        </row>
        <row r="45">
          <cell r="A45" t="str">
            <v>0004A21997</v>
          </cell>
          <cell r="B45">
            <v>48859640</v>
          </cell>
        </row>
        <row r="46">
          <cell r="A46" t="str">
            <v>0004T11997</v>
          </cell>
          <cell r="B46">
            <v>12356060</v>
          </cell>
        </row>
        <row r="47">
          <cell r="A47" t="str">
            <v>0004T21997</v>
          </cell>
          <cell r="B47">
            <v>12913000</v>
          </cell>
        </row>
        <row r="48">
          <cell r="A48" t="str">
            <v>0004T31997</v>
          </cell>
          <cell r="B48">
            <v>11693436</v>
          </cell>
        </row>
        <row r="49">
          <cell r="A49" t="str">
            <v>0004T41997</v>
          </cell>
          <cell r="B49">
            <v>11897144</v>
          </cell>
        </row>
        <row r="50">
          <cell r="A50" t="str">
            <v>0004A31998</v>
          </cell>
          <cell r="B50">
            <v>50911343</v>
          </cell>
        </row>
        <row r="51">
          <cell r="A51" t="str">
            <v>0004T11998</v>
          </cell>
          <cell r="B51">
            <v>11294289</v>
          </cell>
        </row>
        <row r="52">
          <cell r="A52" t="str">
            <v>0004T21998</v>
          </cell>
          <cell r="B52">
            <v>13461147</v>
          </cell>
        </row>
        <row r="53">
          <cell r="A53" t="str">
            <v>0004T31998</v>
          </cell>
          <cell r="B53">
            <v>12547036</v>
          </cell>
        </row>
        <row r="54">
          <cell r="A54" t="str">
            <v>0004T41998</v>
          </cell>
          <cell r="B54">
            <v>13508871</v>
          </cell>
        </row>
        <row r="55">
          <cell r="A55" t="str">
            <v>0004A41999</v>
          </cell>
          <cell r="B55">
            <v>47547706</v>
          </cell>
        </row>
        <row r="56">
          <cell r="A56" t="str">
            <v>0004T11999</v>
          </cell>
          <cell r="B56">
            <v>13037494</v>
          </cell>
        </row>
        <row r="57">
          <cell r="A57" t="str">
            <v>0004T21999</v>
          </cell>
          <cell r="B57">
            <v>11939513</v>
          </cell>
        </row>
        <row r="58">
          <cell r="A58" t="str">
            <v>0004T31999</v>
          </cell>
          <cell r="B58">
            <v>11201291</v>
          </cell>
        </row>
        <row r="59">
          <cell r="A59" t="str">
            <v>0004T41999</v>
          </cell>
          <cell r="B59">
            <v>11369408</v>
          </cell>
        </row>
        <row r="60">
          <cell r="A60" t="str">
            <v>0005A21997</v>
          </cell>
          <cell r="B60">
            <v>0</v>
          </cell>
        </row>
        <row r="61">
          <cell r="A61" t="str">
            <v>0005T11997</v>
          </cell>
          <cell r="B61">
            <v>0</v>
          </cell>
        </row>
        <row r="62">
          <cell r="A62" t="str">
            <v>0005T21997</v>
          </cell>
          <cell r="B62">
            <v>0</v>
          </cell>
        </row>
        <row r="63">
          <cell r="A63" t="str">
            <v>0005T31997</v>
          </cell>
          <cell r="B63">
            <v>0</v>
          </cell>
        </row>
        <row r="64">
          <cell r="A64" t="str">
            <v>0005T41997</v>
          </cell>
          <cell r="B64">
            <v>0</v>
          </cell>
        </row>
        <row r="65">
          <cell r="A65" t="str">
            <v>0005A31998</v>
          </cell>
          <cell r="B65">
            <v>11783603</v>
          </cell>
        </row>
        <row r="66">
          <cell r="A66" t="str">
            <v>0005T11998</v>
          </cell>
          <cell r="B66">
            <v>2581726</v>
          </cell>
        </row>
        <row r="67">
          <cell r="A67" t="str">
            <v>0005T21998</v>
          </cell>
          <cell r="B67">
            <v>3139650</v>
          </cell>
        </row>
        <row r="68">
          <cell r="A68" t="str">
            <v>0005T31998</v>
          </cell>
          <cell r="B68">
            <v>2884688</v>
          </cell>
        </row>
        <row r="69">
          <cell r="A69" t="str">
            <v>0005T41998</v>
          </cell>
          <cell r="B69">
            <v>3157540</v>
          </cell>
        </row>
        <row r="70">
          <cell r="A70" t="str">
            <v>0005A41999</v>
          </cell>
          <cell r="B70">
            <v>19985115.620000001</v>
          </cell>
        </row>
        <row r="71">
          <cell r="A71" t="str">
            <v>0005T11999</v>
          </cell>
          <cell r="B71">
            <v>5224203</v>
          </cell>
        </row>
        <row r="72">
          <cell r="A72" t="str">
            <v>0005T21999</v>
          </cell>
          <cell r="B72">
            <v>5454416</v>
          </cell>
        </row>
        <row r="73">
          <cell r="A73" t="str">
            <v>0005T31999</v>
          </cell>
          <cell r="B73">
            <v>4733961</v>
          </cell>
        </row>
        <row r="74">
          <cell r="A74" t="str">
            <v>0005T41999</v>
          </cell>
          <cell r="B74">
            <v>4572535.62</v>
          </cell>
        </row>
        <row r="75">
          <cell r="A75" t="str">
            <v>0006A21997</v>
          </cell>
          <cell r="B75">
            <v>2636</v>
          </cell>
        </row>
        <row r="76">
          <cell r="A76" t="str">
            <v>0006A31998</v>
          </cell>
          <cell r="B76">
            <v>7011</v>
          </cell>
        </row>
        <row r="77">
          <cell r="A77" t="str">
            <v>0006T11998</v>
          </cell>
          <cell r="B77">
            <v>445</v>
          </cell>
        </row>
        <row r="78">
          <cell r="A78" t="str">
            <v>0006T21998</v>
          </cell>
          <cell r="B78">
            <v>1137</v>
          </cell>
        </row>
        <row r="79">
          <cell r="A79" t="str">
            <v>0006T31998</v>
          </cell>
          <cell r="B79">
            <v>1322</v>
          </cell>
        </row>
        <row r="80">
          <cell r="A80" t="str">
            <v>0006T41998</v>
          </cell>
          <cell r="B80">
            <v>4107</v>
          </cell>
        </row>
        <row r="81">
          <cell r="A81" t="str">
            <v>0006A41999</v>
          </cell>
          <cell r="B81">
            <v>29040</v>
          </cell>
        </row>
        <row r="82">
          <cell r="A82" t="str">
            <v>0006T11999</v>
          </cell>
          <cell r="B82">
            <v>2855</v>
          </cell>
        </row>
        <row r="83">
          <cell r="A83" t="str">
            <v>0006T21999</v>
          </cell>
          <cell r="B83">
            <v>3748</v>
          </cell>
        </row>
        <row r="84">
          <cell r="A84" t="str">
            <v>0006T31999</v>
          </cell>
          <cell r="B84">
            <v>11821</v>
          </cell>
        </row>
        <row r="85">
          <cell r="A85" t="str">
            <v>0006T41999</v>
          </cell>
          <cell r="B85">
            <v>10616</v>
          </cell>
        </row>
        <row r="86">
          <cell r="A86" t="str">
            <v>0007A21997</v>
          </cell>
          <cell r="B86">
            <v>2146</v>
          </cell>
        </row>
        <row r="87">
          <cell r="A87" t="str">
            <v>0007A31998</v>
          </cell>
          <cell r="B87">
            <v>4347</v>
          </cell>
        </row>
        <row r="88">
          <cell r="A88" t="str">
            <v>0007T11998</v>
          </cell>
        </row>
        <row r="89">
          <cell r="A89" t="str">
            <v>0007T21998</v>
          </cell>
          <cell r="B89">
            <v>730</v>
          </cell>
        </row>
        <row r="90">
          <cell r="A90" t="str">
            <v>0007T31998</v>
          </cell>
          <cell r="B90">
            <v>805</v>
          </cell>
        </row>
        <row r="91">
          <cell r="A91" t="str">
            <v>0007T41998</v>
          </cell>
          <cell r="B91">
            <v>2388</v>
          </cell>
        </row>
        <row r="92">
          <cell r="A92" t="str">
            <v>0007A41999</v>
          </cell>
          <cell r="B92">
            <v>22821</v>
          </cell>
        </row>
        <row r="93">
          <cell r="A93" t="str">
            <v>0007T11999</v>
          </cell>
          <cell r="B93">
            <v>1436</v>
          </cell>
        </row>
        <row r="94">
          <cell r="A94" t="str">
            <v>0007T21999</v>
          </cell>
          <cell r="B94">
            <v>2474</v>
          </cell>
        </row>
        <row r="95">
          <cell r="A95" t="str">
            <v>0007T31999</v>
          </cell>
          <cell r="B95">
            <v>9199</v>
          </cell>
        </row>
        <row r="96">
          <cell r="A96" t="str">
            <v>0007T41999</v>
          </cell>
          <cell r="B96">
            <v>9712</v>
          </cell>
        </row>
        <row r="97">
          <cell r="A97" t="str">
            <v>0008A31998</v>
          </cell>
          <cell r="B97">
            <v>0</v>
          </cell>
        </row>
        <row r="98">
          <cell r="A98" t="str">
            <v>0008T11998</v>
          </cell>
          <cell r="B98">
            <v>0</v>
          </cell>
        </row>
        <row r="99">
          <cell r="A99" t="str">
            <v>0008T21998</v>
          </cell>
          <cell r="B99">
            <v>0</v>
          </cell>
        </row>
        <row r="100">
          <cell r="A100" t="str">
            <v>0008T31998</v>
          </cell>
          <cell r="B100">
            <v>0</v>
          </cell>
        </row>
        <row r="101">
          <cell r="A101" t="str">
            <v>0008T41998</v>
          </cell>
          <cell r="B101">
            <v>0</v>
          </cell>
        </row>
        <row r="102">
          <cell r="A102" t="str">
            <v>0008A41999</v>
          </cell>
          <cell r="B102">
            <v>564</v>
          </cell>
        </row>
        <row r="103">
          <cell r="A103" t="str">
            <v>0008T11999</v>
          </cell>
          <cell r="B103">
            <v>84</v>
          </cell>
        </row>
        <row r="104">
          <cell r="A104" t="str">
            <v>0008T21999</v>
          </cell>
          <cell r="B104">
            <v>194</v>
          </cell>
        </row>
        <row r="105">
          <cell r="A105" t="str">
            <v>0008T31999</v>
          </cell>
          <cell r="B105">
            <v>75</v>
          </cell>
        </row>
        <row r="106">
          <cell r="A106" t="str">
            <v>0008T41999</v>
          </cell>
          <cell r="B106">
            <v>211</v>
          </cell>
        </row>
        <row r="107">
          <cell r="A107" t="str">
            <v>0009A31998</v>
          </cell>
          <cell r="B107">
            <v>0</v>
          </cell>
        </row>
        <row r="108">
          <cell r="A108" t="str">
            <v>0009T11998</v>
          </cell>
          <cell r="B108">
            <v>0</v>
          </cell>
        </row>
        <row r="109">
          <cell r="A109" t="str">
            <v>0009T21998</v>
          </cell>
          <cell r="B109">
            <v>0</v>
          </cell>
        </row>
        <row r="110">
          <cell r="A110" t="str">
            <v>0009T31998</v>
          </cell>
          <cell r="B110">
            <v>0</v>
          </cell>
        </row>
        <row r="111">
          <cell r="A111" t="str">
            <v>0009T41998</v>
          </cell>
          <cell r="B111">
            <v>0</v>
          </cell>
        </row>
        <row r="112">
          <cell r="A112" t="str">
            <v>0009A41999</v>
          </cell>
          <cell r="B112">
            <v>556</v>
          </cell>
        </row>
        <row r="113">
          <cell r="A113" t="str">
            <v>0009T11999</v>
          </cell>
          <cell r="B113">
            <v>82</v>
          </cell>
        </row>
        <row r="114">
          <cell r="A114" t="str">
            <v>0009T21999</v>
          </cell>
          <cell r="B114">
            <v>190</v>
          </cell>
        </row>
        <row r="115">
          <cell r="A115" t="str">
            <v>0009T31999</v>
          </cell>
          <cell r="B115">
            <v>73</v>
          </cell>
        </row>
        <row r="116">
          <cell r="A116" t="str">
            <v>0009T41999</v>
          </cell>
          <cell r="B116">
            <v>211</v>
          </cell>
        </row>
        <row r="117">
          <cell r="A117" t="str">
            <v>0010A21997</v>
          </cell>
          <cell r="B117">
            <v>1310</v>
          </cell>
        </row>
        <row r="118">
          <cell r="A118" t="str">
            <v>0010A31998</v>
          </cell>
          <cell r="B118">
            <v>422</v>
          </cell>
        </row>
        <row r="119">
          <cell r="A119" t="str">
            <v>0010T11998</v>
          </cell>
          <cell r="B119">
            <v>80</v>
          </cell>
        </row>
        <row r="120">
          <cell r="A120" t="str">
            <v>0010T21998</v>
          </cell>
          <cell r="B120">
            <v>91</v>
          </cell>
        </row>
        <row r="121">
          <cell r="A121" t="str">
            <v>0010T31998</v>
          </cell>
          <cell r="B121">
            <v>137</v>
          </cell>
        </row>
        <row r="122">
          <cell r="A122" t="str">
            <v>0010T41998</v>
          </cell>
          <cell r="B122">
            <v>114</v>
          </cell>
        </row>
        <row r="123">
          <cell r="A123" t="str">
            <v>0010A41999</v>
          </cell>
          <cell r="B123">
            <v>0</v>
          </cell>
        </row>
        <row r="124">
          <cell r="A124" t="str">
            <v>0010T11999</v>
          </cell>
          <cell r="B124">
            <v>0</v>
          </cell>
        </row>
        <row r="125">
          <cell r="A125" t="str">
            <v>0010T21999</v>
          </cell>
          <cell r="B125">
            <v>0</v>
          </cell>
        </row>
        <row r="126">
          <cell r="A126" t="str">
            <v>0010T31999</v>
          </cell>
          <cell r="B126">
            <v>0</v>
          </cell>
        </row>
        <row r="127">
          <cell r="A127" t="str">
            <v>0010T41999</v>
          </cell>
          <cell r="B127">
            <v>0</v>
          </cell>
        </row>
        <row r="128">
          <cell r="A128" t="str">
            <v>0011A21997</v>
          </cell>
          <cell r="B128">
            <v>6980</v>
          </cell>
        </row>
        <row r="129">
          <cell r="A129" t="str">
            <v>0011A31998</v>
          </cell>
          <cell r="B129">
            <v>5855</v>
          </cell>
        </row>
        <row r="130">
          <cell r="A130" t="str">
            <v>0011T11998</v>
          </cell>
          <cell r="B130">
            <v>1567</v>
          </cell>
        </row>
        <row r="131">
          <cell r="A131" t="str">
            <v>0011T21998</v>
          </cell>
          <cell r="B131">
            <v>1677</v>
          </cell>
        </row>
        <row r="132">
          <cell r="A132" t="str">
            <v>0011T31998</v>
          </cell>
          <cell r="B132">
            <v>1212</v>
          </cell>
        </row>
        <row r="133">
          <cell r="A133" t="str">
            <v>0011T41998</v>
          </cell>
          <cell r="B133">
            <v>1399</v>
          </cell>
        </row>
        <row r="134">
          <cell r="A134" t="str">
            <v>0011A41999</v>
          </cell>
          <cell r="B134">
            <v>0</v>
          </cell>
        </row>
        <row r="135">
          <cell r="A135" t="str">
            <v>0011T11999</v>
          </cell>
          <cell r="B135">
            <v>0</v>
          </cell>
        </row>
        <row r="136">
          <cell r="A136" t="str">
            <v>0011T21999</v>
          </cell>
          <cell r="B136">
            <v>0</v>
          </cell>
        </row>
        <row r="137">
          <cell r="A137" t="str">
            <v>0011T31999</v>
          </cell>
          <cell r="B137">
            <v>0</v>
          </cell>
        </row>
        <row r="138">
          <cell r="A138" t="str">
            <v>0011T41999</v>
          </cell>
          <cell r="B138">
            <v>0</v>
          </cell>
        </row>
        <row r="139">
          <cell r="A139" t="str">
            <v>0012A21997</v>
          </cell>
          <cell r="B139">
            <v>1024</v>
          </cell>
        </row>
        <row r="140">
          <cell r="A140" t="str">
            <v>0012T41997</v>
          </cell>
          <cell r="B140">
            <v>1024</v>
          </cell>
        </row>
        <row r="141">
          <cell r="A141" t="str">
            <v>0012A31998</v>
          </cell>
          <cell r="B141">
            <v>1025</v>
          </cell>
        </row>
        <row r="142">
          <cell r="A142" t="str">
            <v>0012T11998</v>
          </cell>
          <cell r="B142">
            <v>1025</v>
          </cell>
        </row>
        <row r="143">
          <cell r="A143" t="str">
            <v>0012T21998</v>
          </cell>
          <cell r="B143">
            <v>1025</v>
          </cell>
        </row>
        <row r="144">
          <cell r="A144" t="str">
            <v>0012T31998</v>
          </cell>
          <cell r="B144">
            <v>1025</v>
          </cell>
        </row>
        <row r="145">
          <cell r="A145" t="str">
            <v>0012T41998</v>
          </cell>
          <cell r="B145">
            <v>1025</v>
          </cell>
        </row>
        <row r="146">
          <cell r="A146" t="str">
            <v>0012A41999</v>
          </cell>
          <cell r="B146">
            <v>1035</v>
          </cell>
        </row>
        <row r="147">
          <cell r="A147" t="str">
            <v>0012T11999</v>
          </cell>
          <cell r="B147">
            <v>1035</v>
          </cell>
        </row>
        <row r="148">
          <cell r="A148" t="str">
            <v>0012T21999</v>
          </cell>
          <cell r="B148">
            <v>1035</v>
          </cell>
        </row>
        <row r="149">
          <cell r="A149" t="str">
            <v>0012T31999</v>
          </cell>
          <cell r="B149">
            <v>1035</v>
          </cell>
        </row>
        <row r="150">
          <cell r="A150" t="str">
            <v>0012T41999</v>
          </cell>
          <cell r="B150">
            <v>1035</v>
          </cell>
        </row>
        <row r="151">
          <cell r="A151" t="str">
            <v>0013A21997</v>
          </cell>
          <cell r="B151">
            <v>924</v>
          </cell>
        </row>
        <row r="152">
          <cell r="A152" t="str">
            <v>0013T41997</v>
          </cell>
          <cell r="B152">
            <v>924</v>
          </cell>
        </row>
        <row r="153">
          <cell r="A153" t="str">
            <v>0013A31998</v>
          </cell>
          <cell r="B153">
            <v>924</v>
          </cell>
        </row>
        <row r="154">
          <cell r="A154" t="str">
            <v>0013T11998</v>
          </cell>
          <cell r="B154">
            <v>924</v>
          </cell>
        </row>
        <row r="155">
          <cell r="A155" t="str">
            <v>0013T21998</v>
          </cell>
          <cell r="B155">
            <v>924</v>
          </cell>
        </row>
        <row r="156">
          <cell r="A156" t="str">
            <v>0013T31998</v>
          </cell>
          <cell r="B156">
            <v>924</v>
          </cell>
        </row>
        <row r="157">
          <cell r="A157" t="str">
            <v>0013T41998</v>
          </cell>
          <cell r="B157">
            <v>924</v>
          </cell>
        </row>
        <row r="158">
          <cell r="A158" t="str">
            <v>0013A41999</v>
          </cell>
          <cell r="B158">
            <v>934</v>
          </cell>
        </row>
        <row r="159">
          <cell r="A159" t="str">
            <v>0013T11999</v>
          </cell>
          <cell r="B159">
            <v>934</v>
          </cell>
        </row>
        <row r="160">
          <cell r="A160" t="str">
            <v>0013T21999</v>
          </cell>
          <cell r="B160">
            <v>934</v>
          </cell>
        </row>
        <row r="161">
          <cell r="A161" t="str">
            <v>0013T31999</v>
          </cell>
          <cell r="B161">
            <v>934</v>
          </cell>
        </row>
        <row r="162">
          <cell r="A162" t="str">
            <v>0013T41999</v>
          </cell>
          <cell r="B162">
            <v>934</v>
          </cell>
        </row>
        <row r="163">
          <cell r="A163" t="str">
            <v>0014A21997</v>
          </cell>
          <cell r="B163">
            <v>67621</v>
          </cell>
        </row>
        <row r="164">
          <cell r="A164" t="str">
            <v>0014T41997</v>
          </cell>
          <cell r="B164">
            <v>67621</v>
          </cell>
        </row>
        <row r="165">
          <cell r="A165" t="str">
            <v>0014A31998</v>
          </cell>
          <cell r="B165">
            <v>77653</v>
          </cell>
        </row>
        <row r="166">
          <cell r="A166" t="str">
            <v>0014T11998</v>
          </cell>
          <cell r="B166">
            <v>72968</v>
          </cell>
        </row>
        <row r="167">
          <cell r="A167" t="str">
            <v>0014T21998</v>
          </cell>
          <cell r="B167">
            <v>74810</v>
          </cell>
        </row>
        <row r="168">
          <cell r="A168" t="str">
            <v>0014T31998</v>
          </cell>
          <cell r="B168">
            <v>77272</v>
          </cell>
        </row>
        <row r="169">
          <cell r="A169" t="str">
            <v>0014T41998</v>
          </cell>
          <cell r="B169">
            <v>77653</v>
          </cell>
        </row>
        <row r="170">
          <cell r="A170" t="str">
            <v>0014A41999</v>
          </cell>
          <cell r="B170">
            <v>63195</v>
          </cell>
        </row>
        <row r="171">
          <cell r="A171" t="str">
            <v>0014T11999</v>
          </cell>
          <cell r="B171">
            <v>60283</v>
          </cell>
        </row>
        <row r="172">
          <cell r="A172" t="str">
            <v>0014T21999</v>
          </cell>
          <cell r="B172">
            <v>61145</v>
          </cell>
        </row>
        <row r="173">
          <cell r="A173" t="str">
            <v>0014T31999</v>
          </cell>
          <cell r="B173">
            <v>62659</v>
          </cell>
        </row>
        <row r="174">
          <cell r="A174" t="str">
            <v>0014T41999</v>
          </cell>
          <cell r="B174">
            <v>63195</v>
          </cell>
        </row>
        <row r="175">
          <cell r="A175" t="str">
            <v>0015A21997</v>
          </cell>
          <cell r="B175">
            <v>8</v>
          </cell>
        </row>
        <row r="176">
          <cell r="A176" t="str">
            <v>0015T11997</v>
          </cell>
          <cell r="B176">
            <v>8</v>
          </cell>
        </row>
        <row r="177">
          <cell r="A177" t="str">
            <v>0015T21997</v>
          </cell>
          <cell r="B177">
            <v>8</v>
          </cell>
        </row>
        <row r="178">
          <cell r="A178" t="str">
            <v>0015T31997</v>
          </cell>
          <cell r="B178">
            <v>8</v>
          </cell>
        </row>
        <row r="179">
          <cell r="A179" t="str">
            <v>0015T41997</v>
          </cell>
          <cell r="B179">
            <v>8</v>
          </cell>
        </row>
        <row r="180">
          <cell r="A180" t="str">
            <v>0015A31998</v>
          </cell>
          <cell r="B180">
            <v>6</v>
          </cell>
        </row>
        <row r="181">
          <cell r="A181" t="str">
            <v>0015T11998</v>
          </cell>
          <cell r="B181">
            <v>6</v>
          </cell>
        </row>
        <row r="182">
          <cell r="A182" t="str">
            <v>0015T21998</v>
          </cell>
          <cell r="B182">
            <v>6</v>
          </cell>
        </row>
        <row r="183">
          <cell r="A183" t="str">
            <v>0015T31998</v>
          </cell>
          <cell r="B183">
            <v>6</v>
          </cell>
        </row>
        <row r="184">
          <cell r="A184" t="str">
            <v>0015T41998</v>
          </cell>
          <cell r="B184">
            <v>6</v>
          </cell>
        </row>
        <row r="185">
          <cell r="A185" t="str">
            <v>0015A41999</v>
          </cell>
          <cell r="B185">
            <v>6</v>
          </cell>
        </row>
        <row r="186">
          <cell r="A186" t="str">
            <v>0015T11999</v>
          </cell>
          <cell r="B186">
            <v>6</v>
          </cell>
        </row>
        <row r="187">
          <cell r="A187" t="str">
            <v>0015T21999</v>
          </cell>
          <cell r="B187">
            <v>6</v>
          </cell>
        </row>
        <row r="188">
          <cell r="A188" t="str">
            <v>0015T31999</v>
          </cell>
          <cell r="B188">
            <v>6</v>
          </cell>
        </row>
        <row r="189">
          <cell r="A189" t="str">
            <v>0015T41999</v>
          </cell>
          <cell r="B189">
            <v>6</v>
          </cell>
        </row>
        <row r="190">
          <cell r="A190" t="str">
            <v>0016A21997</v>
          </cell>
          <cell r="B190">
            <v>762729</v>
          </cell>
        </row>
        <row r="191">
          <cell r="A191" t="str">
            <v>0016T11997</v>
          </cell>
          <cell r="B191">
            <v>749343</v>
          </cell>
        </row>
        <row r="192">
          <cell r="A192" t="str">
            <v>0016T21997</v>
          </cell>
          <cell r="B192">
            <v>753805</v>
          </cell>
        </row>
        <row r="193">
          <cell r="A193" t="str">
            <v>0016T31997</v>
          </cell>
          <cell r="B193">
            <v>758267</v>
          </cell>
        </row>
        <row r="194">
          <cell r="A194" t="str">
            <v>0016T41997</v>
          </cell>
          <cell r="B194">
            <v>762729</v>
          </cell>
        </row>
        <row r="195">
          <cell r="A195" t="str">
            <v>0016A31998</v>
          </cell>
          <cell r="B195">
            <v>780759</v>
          </cell>
        </row>
        <row r="196">
          <cell r="A196" t="str">
            <v>0016T11998</v>
          </cell>
          <cell r="B196">
            <v>767237</v>
          </cell>
        </row>
        <row r="197">
          <cell r="A197" t="str">
            <v>0016T21998</v>
          </cell>
          <cell r="B197">
            <v>771744</v>
          </cell>
        </row>
        <row r="198">
          <cell r="A198" t="str">
            <v>0016T31998</v>
          </cell>
          <cell r="B198">
            <v>776252</v>
          </cell>
        </row>
        <row r="199">
          <cell r="A199" t="str">
            <v>0016T41998</v>
          </cell>
          <cell r="B199">
            <v>780759</v>
          </cell>
        </row>
        <row r="200">
          <cell r="A200" t="str">
            <v>0016A41999</v>
          </cell>
          <cell r="B200">
            <v>799072</v>
          </cell>
        </row>
        <row r="201">
          <cell r="A201" t="str">
            <v>0016T21999</v>
          </cell>
          <cell r="B201">
            <v>799072</v>
          </cell>
        </row>
        <row r="202">
          <cell r="A202" t="str">
            <v>0016T41999</v>
          </cell>
          <cell r="B202">
            <v>799072</v>
          </cell>
        </row>
        <row r="203">
          <cell r="A203" t="str">
            <v>0017A21997</v>
          </cell>
          <cell r="B203">
            <v>5.2</v>
          </cell>
        </row>
        <row r="204">
          <cell r="A204" t="str">
            <v>0017T11997</v>
          </cell>
          <cell r="B204">
            <v>5.2</v>
          </cell>
        </row>
        <row r="205">
          <cell r="A205" t="str">
            <v>0017T21997</v>
          </cell>
          <cell r="B205">
            <v>5.2</v>
          </cell>
        </row>
        <row r="206">
          <cell r="A206" t="str">
            <v>0017T31997</v>
          </cell>
          <cell r="B206">
            <v>5.2</v>
          </cell>
        </row>
        <row r="207">
          <cell r="A207" t="str">
            <v>0017T41997</v>
          </cell>
          <cell r="B207">
            <v>5.2</v>
          </cell>
        </row>
        <row r="208">
          <cell r="A208" t="str">
            <v>0017A31998</v>
          </cell>
          <cell r="B208">
            <v>5.2</v>
          </cell>
        </row>
        <row r="209">
          <cell r="A209" t="str">
            <v>0017T11998</v>
          </cell>
          <cell r="B209">
            <v>5.2</v>
          </cell>
        </row>
        <row r="210">
          <cell r="A210" t="str">
            <v>0017T21998</v>
          </cell>
          <cell r="B210">
            <v>5.2</v>
          </cell>
        </row>
        <row r="211">
          <cell r="A211" t="str">
            <v>0017T31998</v>
          </cell>
          <cell r="B211">
            <v>5.2</v>
          </cell>
        </row>
        <row r="212">
          <cell r="A212" t="str">
            <v>0017T41998</v>
          </cell>
          <cell r="B212">
            <v>5.2</v>
          </cell>
        </row>
        <row r="213">
          <cell r="A213" t="str">
            <v>0017A41999</v>
          </cell>
          <cell r="B213">
            <v>5</v>
          </cell>
        </row>
        <row r="214">
          <cell r="A214" t="str">
            <v>0017T11999</v>
          </cell>
          <cell r="B214">
            <v>5.2</v>
          </cell>
        </row>
        <row r="215">
          <cell r="A215" t="str">
            <v>0017T21999</v>
          </cell>
          <cell r="B215">
            <v>5.2</v>
          </cell>
        </row>
        <row r="216">
          <cell r="A216" t="str">
            <v>0017T31999</v>
          </cell>
          <cell r="B216">
            <v>5</v>
          </cell>
        </row>
        <row r="217">
          <cell r="A217" t="str">
            <v>0017T41999</v>
          </cell>
          <cell r="B217">
            <v>5</v>
          </cell>
        </row>
        <row r="218">
          <cell r="A218" t="str">
            <v>0018A21997</v>
          </cell>
          <cell r="B218">
            <v>5.2</v>
          </cell>
        </row>
        <row r="219">
          <cell r="A219" t="str">
            <v>0018T11997</v>
          </cell>
          <cell r="B219">
            <v>5.2</v>
          </cell>
        </row>
        <row r="220">
          <cell r="A220" t="str">
            <v>0018T21997</v>
          </cell>
          <cell r="B220">
            <v>5.2</v>
          </cell>
        </row>
        <row r="221">
          <cell r="A221" t="str">
            <v>0018T31997</v>
          </cell>
          <cell r="B221">
            <v>5.2</v>
          </cell>
        </row>
        <row r="222">
          <cell r="A222" t="str">
            <v>0018T41997</v>
          </cell>
          <cell r="B222">
            <v>5.2</v>
          </cell>
        </row>
        <row r="223">
          <cell r="A223" t="str">
            <v>0018T11998</v>
          </cell>
          <cell r="B223">
            <v>5.2</v>
          </cell>
        </row>
        <row r="224">
          <cell r="A224" t="str">
            <v>0018T21998</v>
          </cell>
          <cell r="B224">
            <v>5.2</v>
          </cell>
        </row>
        <row r="225">
          <cell r="A225" t="str">
            <v>0018T31998</v>
          </cell>
          <cell r="B225">
            <v>5.2</v>
          </cell>
        </row>
        <row r="226">
          <cell r="A226" t="str">
            <v>0018T41998</v>
          </cell>
          <cell r="B226">
            <v>5.2</v>
          </cell>
        </row>
        <row r="227">
          <cell r="A227" t="str">
            <v>0018A41999</v>
          </cell>
          <cell r="B227">
            <v>5</v>
          </cell>
        </row>
        <row r="228">
          <cell r="A228" t="str">
            <v>0018T11999</v>
          </cell>
          <cell r="B228">
            <v>5.2</v>
          </cell>
        </row>
        <row r="229">
          <cell r="A229" t="str">
            <v>0018T21999</v>
          </cell>
          <cell r="B229">
            <v>5.2</v>
          </cell>
        </row>
        <row r="230">
          <cell r="A230" t="str">
            <v>0018T31999</v>
          </cell>
          <cell r="B230">
            <v>5</v>
          </cell>
        </row>
        <row r="231">
          <cell r="A231" t="str">
            <v>0018T41999</v>
          </cell>
          <cell r="B231">
            <v>5</v>
          </cell>
        </row>
        <row r="232">
          <cell r="A232" t="str">
            <v>0019A21997</v>
          </cell>
          <cell r="B232">
            <v>5.2</v>
          </cell>
        </row>
        <row r="233">
          <cell r="A233" t="str">
            <v>0019T11997</v>
          </cell>
          <cell r="B233">
            <v>5.2</v>
          </cell>
        </row>
        <row r="234">
          <cell r="A234" t="str">
            <v>0019T21997</v>
          </cell>
          <cell r="B234">
            <v>5.2</v>
          </cell>
        </row>
        <row r="235">
          <cell r="A235" t="str">
            <v>0019T31997</v>
          </cell>
          <cell r="B235">
            <v>5.2</v>
          </cell>
        </row>
        <row r="236">
          <cell r="A236" t="str">
            <v>0019T41997</v>
          </cell>
          <cell r="B236">
            <v>5.2</v>
          </cell>
        </row>
        <row r="237">
          <cell r="A237" t="str">
            <v>0019A31998</v>
          </cell>
          <cell r="B237">
            <v>5.2</v>
          </cell>
        </row>
        <row r="238">
          <cell r="A238" t="str">
            <v>0019T11998</v>
          </cell>
          <cell r="B238">
            <v>5.2</v>
          </cell>
        </row>
        <row r="239">
          <cell r="A239" t="str">
            <v>0019T21998</v>
          </cell>
          <cell r="B239">
            <v>5.2</v>
          </cell>
        </row>
        <row r="240">
          <cell r="A240" t="str">
            <v>0019T31998</v>
          </cell>
          <cell r="B240">
            <v>5.2</v>
          </cell>
        </row>
        <row r="241">
          <cell r="A241" t="str">
            <v>0019T41998</v>
          </cell>
          <cell r="B241">
            <v>5.2</v>
          </cell>
        </row>
        <row r="242">
          <cell r="A242" t="str">
            <v>0019A41999</v>
          </cell>
          <cell r="B242">
            <v>5</v>
          </cell>
        </row>
        <row r="243">
          <cell r="A243" t="str">
            <v>0019T11999</v>
          </cell>
          <cell r="B243">
            <v>5.2</v>
          </cell>
        </row>
        <row r="244">
          <cell r="A244" t="str">
            <v>0019T21999</v>
          </cell>
          <cell r="B244">
            <v>5.2</v>
          </cell>
        </row>
        <row r="245">
          <cell r="A245" t="str">
            <v>0019T31999</v>
          </cell>
          <cell r="B245">
            <v>5</v>
          </cell>
        </row>
        <row r="246">
          <cell r="A246" t="str">
            <v>0019T41999</v>
          </cell>
          <cell r="B246">
            <v>5</v>
          </cell>
        </row>
        <row r="247">
          <cell r="A247" t="str">
            <v>0020A21997</v>
          </cell>
          <cell r="B247">
            <v>5.2</v>
          </cell>
        </row>
        <row r="248">
          <cell r="A248" t="str">
            <v>0020T11997</v>
          </cell>
          <cell r="B248">
            <v>5.2</v>
          </cell>
        </row>
        <row r="249">
          <cell r="A249" t="str">
            <v>0020T21997</v>
          </cell>
          <cell r="B249">
            <v>5.2</v>
          </cell>
        </row>
        <row r="250">
          <cell r="A250" t="str">
            <v>0020T31997</v>
          </cell>
          <cell r="B250">
            <v>5.2</v>
          </cell>
        </row>
        <row r="251">
          <cell r="A251" t="str">
            <v>0020T41997</v>
          </cell>
          <cell r="B251">
            <v>5.2</v>
          </cell>
        </row>
        <row r="252">
          <cell r="A252" t="str">
            <v>0020T11998</v>
          </cell>
          <cell r="B252">
            <v>5.2</v>
          </cell>
        </row>
        <row r="253">
          <cell r="A253" t="str">
            <v>0020T21998</v>
          </cell>
          <cell r="B253">
            <v>5.2</v>
          </cell>
        </row>
        <row r="254">
          <cell r="A254" t="str">
            <v>0020T31998</v>
          </cell>
          <cell r="B254">
            <v>5.2</v>
          </cell>
        </row>
        <row r="255">
          <cell r="A255" t="str">
            <v>0020T41998</v>
          </cell>
          <cell r="B255">
            <v>5.2</v>
          </cell>
        </row>
        <row r="256">
          <cell r="A256" t="str">
            <v>0020A41999</v>
          </cell>
          <cell r="B256">
            <v>5</v>
          </cell>
        </row>
        <row r="257">
          <cell r="A257" t="str">
            <v>0020T11999</v>
          </cell>
          <cell r="B257">
            <v>5.2</v>
          </cell>
        </row>
        <row r="258">
          <cell r="A258" t="str">
            <v>0020T21999</v>
          </cell>
          <cell r="B258">
            <v>5.2</v>
          </cell>
        </row>
        <row r="259">
          <cell r="A259" t="str">
            <v>0020T31999</v>
          </cell>
          <cell r="B259">
            <v>5</v>
          </cell>
        </row>
        <row r="260">
          <cell r="A260" t="str">
            <v>0020T41999</v>
          </cell>
          <cell r="B260">
            <v>5</v>
          </cell>
        </row>
        <row r="261">
          <cell r="A261" t="str">
            <v>0021A31998</v>
          </cell>
        </row>
        <row r="262">
          <cell r="A262" t="str">
            <v>0021T11998</v>
          </cell>
        </row>
        <row r="263">
          <cell r="A263" t="str">
            <v>0021T21998</v>
          </cell>
        </row>
        <row r="264">
          <cell r="A264" t="str">
            <v>0021T31998</v>
          </cell>
        </row>
        <row r="265">
          <cell r="A265" t="str">
            <v>0021T41998</v>
          </cell>
        </row>
        <row r="266">
          <cell r="A266" t="str">
            <v>0021A41999</v>
          </cell>
          <cell r="B266">
            <v>15</v>
          </cell>
        </row>
        <row r="267">
          <cell r="A267" t="str">
            <v>0021T11999</v>
          </cell>
          <cell r="B267">
            <v>75</v>
          </cell>
        </row>
        <row r="268">
          <cell r="A268" t="str">
            <v>0021T21999</v>
          </cell>
          <cell r="B268">
            <v>90</v>
          </cell>
        </row>
        <row r="269">
          <cell r="A269" t="str">
            <v>0021T31999</v>
          </cell>
          <cell r="B269">
            <v>75</v>
          </cell>
        </row>
        <row r="270">
          <cell r="A270" t="str">
            <v>0021T41999</v>
          </cell>
          <cell r="B270">
            <v>15</v>
          </cell>
        </row>
        <row r="271">
          <cell r="A271" t="str">
            <v>0022A21997</v>
          </cell>
          <cell r="B271">
            <v>102226</v>
          </cell>
        </row>
        <row r="272">
          <cell r="A272" t="str">
            <v>0022T11997</v>
          </cell>
          <cell r="B272">
            <v>98184</v>
          </cell>
        </row>
        <row r="273">
          <cell r="A273" t="str">
            <v>0022T21997</v>
          </cell>
          <cell r="B273">
            <v>99446</v>
          </cell>
        </row>
        <row r="274">
          <cell r="A274" t="str">
            <v>0022T31997</v>
          </cell>
          <cell r="B274">
            <v>101578</v>
          </cell>
        </row>
        <row r="275">
          <cell r="A275" t="str">
            <v>0022T41997</v>
          </cell>
          <cell r="B275">
            <v>102226</v>
          </cell>
        </row>
        <row r="276">
          <cell r="A276" t="str">
            <v>0022A31998</v>
          </cell>
          <cell r="B276">
            <v>113479</v>
          </cell>
        </row>
        <row r="277">
          <cell r="A277" t="str">
            <v>0022T11998</v>
          </cell>
          <cell r="B277">
            <v>107083</v>
          </cell>
        </row>
        <row r="278">
          <cell r="A278" t="str">
            <v>0022T21998</v>
          </cell>
          <cell r="B278">
            <v>110253</v>
          </cell>
        </row>
        <row r="279">
          <cell r="A279" t="str">
            <v>0022T31998</v>
          </cell>
          <cell r="B279">
            <v>112890</v>
          </cell>
        </row>
        <row r="280">
          <cell r="A280" t="str">
            <v>0022T41998</v>
          </cell>
          <cell r="B280">
            <v>113479</v>
          </cell>
        </row>
        <row r="281">
          <cell r="A281" t="str">
            <v>0022A41999</v>
          </cell>
          <cell r="B281">
            <v>117919</v>
          </cell>
        </row>
        <row r="282">
          <cell r="A282" t="str">
            <v>0022T11999</v>
          </cell>
          <cell r="B282">
            <v>113932</v>
          </cell>
        </row>
        <row r="283">
          <cell r="A283" t="str">
            <v>0022T21999</v>
          </cell>
          <cell r="B283">
            <v>115450</v>
          </cell>
        </row>
        <row r="284">
          <cell r="A284" t="str">
            <v>0022T31999</v>
          </cell>
          <cell r="B284">
            <v>117271</v>
          </cell>
        </row>
        <row r="285">
          <cell r="A285" t="str">
            <v>0022T41999</v>
          </cell>
          <cell r="B285">
            <v>117919</v>
          </cell>
        </row>
        <row r="286">
          <cell r="A286" t="str">
            <v>0023A21997</v>
          </cell>
          <cell r="B286">
            <v>89973</v>
          </cell>
        </row>
        <row r="287">
          <cell r="A287" t="str">
            <v>0023T11997</v>
          </cell>
          <cell r="B287">
            <v>84184</v>
          </cell>
        </row>
        <row r="288">
          <cell r="A288" t="str">
            <v>0023T21997</v>
          </cell>
          <cell r="B288">
            <v>83080</v>
          </cell>
        </row>
        <row r="289">
          <cell r="A289" t="str">
            <v>0023T31997</v>
          </cell>
          <cell r="B289">
            <v>85212</v>
          </cell>
        </row>
        <row r="290">
          <cell r="A290" t="str">
            <v>0023T41997</v>
          </cell>
          <cell r="B290">
            <v>89973</v>
          </cell>
        </row>
        <row r="291">
          <cell r="A291" t="str">
            <v>0023A31998</v>
          </cell>
          <cell r="B291">
            <v>95657</v>
          </cell>
        </row>
        <row r="292">
          <cell r="A292" t="str">
            <v>0023T11998</v>
          </cell>
          <cell r="B292">
            <v>90414</v>
          </cell>
        </row>
        <row r="293">
          <cell r="A293" t="str">
            <v>0023T21998</v>
          </cell>
          <cell r="B293">
            <v>96407</v>
          </cell>
        </row>
        <row r="294">
          <cell r="A294" t="str">
            <v>0023T31998</v>
          </cell>
          <cell r="B294">
            <v>97738</v>
          </cell>
        </row>
        <row r="295">
          <cell r="A295" t="str">
            <v>0023T41998</v>
          </cell>
          <cell r="B295">
            <v>95657</v>
          </cell>
        </row>
        <row r="296">
          <cell r="A296" t="str">
            <v>0023A41999</v>
          </cell>
          <cell r="B296">
            <v>85823</v>
          </cell>
        </row>
        <row r="297">
          <cell r="A297" t="str">
            <v>0023T11999</v>
          </cell>
          <cell r="B297">
            <v>95511</v>
          </cell>
        </row>
        <row r="298">
          <cell r="A298" t="str">
            <v>0023T21999</v>
          </cell>
          <cell r="B298">
            <v>95708</v>
          </cell>
        </row>
        <row r="299">
          <cell r="A299" t="str">
            <v>0023T31999</v>
          </cell>
          <cell r="B299">
            <v>92916</v>
          </cell>
        </row>
        <row r="300">
          <cell r="A300" t="str">
            <v>0023T41999</v>
          </cell>
          <cell r="B300">
            <v>85823</v>
          </cell>
        </row>
        <row r="301">
          <cell r="A301" t="str">
            <v>0024A21997</v>
          </cell>
          <cell r="B301">
            <v>36732</v>
          </cell>
        </row>
        <row r="302">
          <cell r="A302" t="str">
            <v>0024T11997</v>
          </cell>
          <cell r="B302">
            <v>32742</v>
          </cell>
        </row>
        <row r="303">
          <cell r="A303" t="str">
            <v>0024T21997</v>
          </cell>
          <cell r="B303">
            <v>34419</v>
          </cell>
        </row>
        <row r="304">
          <cell r="A304" t="str">
            <v>0024T31997</v>
          </cell>
          <cell r="B304">
            <v>36212</v>
          </cell>
        </row>
        <row r="305">
          <cell r="A305" t="str">
            <v>0024T41997</v>
          </cell>
          <cell r="B305">
            <v>36732</v>
          </cell>
        </row>
        <row r="306">
          <cell r="A306" t="str">
            <v>0024A31998</v>
          </cell>
          <cell r="B306">
            <v>33920</v>
          </cell>
        </row>
        <row r="307">
          <cell r="A307" t="str">
            <v>0024T11998</v>
          </cell>
          <cell r="B307">
            <v>33168</v>
          </cell>
        </row>
        <row r="308">
          <cell r="A308" t="str">
            <v>0024T21998</v>
          </cell>
          <cell r="B308">
            <v>30066</v>
          </cell>
        </row>
        <row r="309">
          <cell r="A309" t="str">
            <v>0024T31998</v>
          </cell>
          <cell r="B309">
            <v>33075</v>
          </cell>
        </row>
        <row r="310">
          <cell r="A310" t="str">
            <v>0024T41998</v>
          </cell>
          <cell r="B310">
            <v>33920</v>
          </cell>
        </row>
        <row r="311">
          <cell r="A311" t="str">
            <v>0024A41999</v>
          </cell>
          <cell r="B311">
            <v>55989</v>
          </cell>
        </row>
        <row r="312">
          <cell r="A312" t="str">
            <v>0024T11999</v>
          </cell>
          <cell r="B312">
            <v>35891</v>
          </cell>
        </row>
        <row r="313">
          <cell r="A313" t="str">
            <v>0024T21999</v>
          </cell>
          <cell r="B313">
            <v>36988</v>
          </cell>
        </row>
        <row r="314">
          <cell r="A314" t="str">
            <v>0024T31999</v>
          </cell>
          <cell r="B314">
            <v>48584</v>
          </cell>
        </row>
        <row r="315">
          <cell r="A315" t="str">
            <v>0024T41999</v>
          </cell>
          <cell r="B315">
            <v>55989</v>
          </cell>
        </row>
        <row r="316">
          <cell r="A316" t="str">
            <v>0025A21997</v>
          </cell>
          <cell r="B316">
            <v>44972</v>
          </cell>
        </row>
        <row r="317">
          <cell r="A317" t="str">
            <v>0025T11997</v>
          </cell>
          <cell r="B317">
            <v>37914</v>
          </cell>
        </row>
        <row r="318">
          <cell r="A318" t="str">
            <v>0025T21997</v>
          </cell>
          <cell r="B318">
            <v>38991</v>
          </cell>
        </row>
        <row r="319">
          <cell r="A319" t="str">
            <v>0025T31997</v>
          </cell>
          <cell r="B319">
            <v>41960</v>
          </cell>
        </row>
        <row r="320">
          <cell r="A320" t="str">
            <v>0025T41997</v>
          </cell>
          <cell r="B320">
            <v>44972</v>
          </cell>
        </row>
        <row r="321">
          <cell r="A321" t="str">
            <v>0025A31998</v>
          </cell>
          <cell r="B321">
            <v>41963</v>
          </cell>
        </row>
        <row r="322">
          <cell r="A322" t="str">
            <v>0025T11998</v>
          </cell>
          <cell r="B322">
            <v>40268</v>
          </cell>
        </row>
        <row r="323">
          <cell r="A323" t="str">
            <v>0025T21998</v>
          </cell>
          <cell r="B323">
            <v>42007</v>
          </cell>
        </row>
        <row r="324">
          <cell r="A324" t="str">
            <v>0025T31998</v>
          </cell>
          <cell r="B324">
            <v>44304</v>
          </cell>
        </row>
        <row r="325">
          <cell r="A325" t="str">
            <v>0025T41998</v>
          </cell>
          <cell r="B325">
            <v>41963</v>
          </cell>
        </row>
        <row r="326">
          <cell r="A326" t="str">
            <v>0025A41999</v>
          </cell>
          <cell r="B326">
            <v>65041</v>
          </cell>
        </row>
        <row r="327">
          <cell r="A327" t="str">
            <v>0025T11999</v>
          </cell>
          <cell r="B327">
            <v>40897</v>
          </cell>
        </row>
        <row r="328">
          <cell r="A328" t="str">
            <v>0025T21999</v>
          </cell>
          <cell r="B328">
            <v>42330</v>
          </cell>
        </row>
        <row r="329">
          <cell r="A329" t="str">
            <v>0025T31999</v>
          </cell>
          <cell r="B329">
            <v>54290</v>
          </cell>
        </row>
        <row r="330">
          <cell r="A330" t="str">
            <v>0025T41999</v>
          </cell>
          <cell r="B330">
            <v>65041</v>
          </cell>
        </row>
        <row r="331">
          <cell r="A331" t="str">
            <v>0026A21997</v>
          </cell>
          <cell r="B331">
            <v>36632</v>
          </cell>
        </row>
        <row r="332">
          <cell r="A332" t="str">
            <v>0026T11997</v>
          </cell>
          <cell r="B332">
            <v>31242</v>
          </cell>
        </row>
        <row r="333">
          <cell r="A333" t="str">
            <v>0026T21997</v>
          </cell>
          <cell r="B333">
            <v>33121</v>
          </cell>
        </row>
        <row r="334">
          <cell r="A334" t="str">
            <v>0026T31997</v>
          </cell>
          <cell r="B334">
            <v>34871</v>
          </cell>
        </row>
        <row r="335">
          <cell r="A335" t="str">
            <v>0026T41997</v>
          </cell>
          <cell r="B335">
            <v>36632</v>
          </cell>
        </row>
        <row r="336">
          <cell r="A336" t="str">
            <v>0026A31998</v>
          </cell>
          <cell r="B336">
            <v>33189</v>
          </cell>
        </row>
        <row r="337">
          <cell r="A337" t="str">
            <v>0026T11998</v>
          </cell>
          <cell r="B337">
            <v>29723</v>
          </cell>
        </row>
        <row r="338">
          <cell r="A338" t="str">
            <v>0026T21998</v>
          </cell>
          <cell r="B338">
            <v>28607</v>
          </cell>
        </row>
        <row r="339">
          <cell r="A339" t="str">
            <v>0026T31998</v>
          </cell>
          <cell r="B339">
            <v>31014</v>
          </cell>
        </row>
        <row r="340">
          <cell r="A340" t="str">
            <v>0026T41998</v>
          </cell>
          <cell r="B340">
            <v>33189</v>
          </cell>
        </row>
        <row r="341">
          <cell r="A341" t="str">
            <v>0026A41999</v>
          </cell>
          <cell r="B341">
            <v>65041</v>
          </cell>
        </row>
        <row r="342">
          <cell r="A342" t="str">
            <v>0026T11999</v>
          </cell>
          <cell r="B342">
            <v>35891</v>
          </cell>
        </row>
        <row r="343">
          <cell r="A343" t="str">
            <v>0026T21999</v>
          </cell>
          <cell r="B343">
            <v>36988</v>
          </cell>
        </row>
        <row r="344">
          <cell r="A344" t="str">
            <v>0026T31999</v>
          </cell>
          <cell r="B344">
            <v>48584</v>
          </cell>
        </row>
        <row r="345">
          <cell r="A345" t="str">
            <v>0026T41999</v>
          </cell>
          <cell r="B345">
            <v>65041</v>
          </cell>
        </row>
        <row r="346">
          <cell r="A346" t="str">
            <v>0027A21997</v>
          </cell>
          <cell r="B346">
            <v>90211</v>
          </cell>
        </row>
        <row r="347">
          <cell r="A347" t="str">
            <v>0027T11997</v>
          </cell>
          <cell r="B347">
            <v>86508</v>
          </cell>
        </row>
        <row r="348">
          <cell r="A348" t="str">
            <v>0027T21997</v>
          </cell>
          <cell r="B348">
            <v>87680</v>
          </cell>
        </row>
        <row r="349">
          <cell r="A349" t="str">
            <v>0027T31997</v>
          </cell>
          <cell r="B349">
            <v>89684</v>
          </cell>
        </row>
        <row r="350">
          <cell r="A350" t="str">
            <v>0027T41997</v>
          </cell>
          <cell r="B350">
            <v>90211</v>
          </cell>
        </row>
        <row r="351">
          <cell r="A351" t="str">
            <v>0027A31998</v>
          </cell>
          <cell r="B351">
            <v>100359</v>
          </cell>
        </row>
        <row r="352">
          <cell r="A352" t="str">
            <v>0027T11998</v>
          </cell>
          <cell r="B352">
            <v>94711</v>
          </cell>
        </row>
        <row r="353">
          <cell r="A353" t="str">
            <v>0027T21998</v>
          </cell>
          <cell r="B353">
            <v>97460</v>
          </cell>
        </row>
        <row r="354">
          <cell r="A354" t="str">
            <v>0027T31998</v>
          </cell>
          <cell r="B354">
            <v>100024</v>
          </cell>
        </row>
        <row r="355">
          <cell r="A355" t="str">
            <v>0027T41998</v>
          </cell>
          <cell r="B355">
            <v>100359</v>
          </cell>
        </row>
        <row r="356">
          <cell r="A356" t="str">
            <v>0027A41999</v>
          </cell>
          <cell r="B356">
            <v>103240</v>
          </cell>
        </row>
        <row r="357">
          <cell r="A357" t="str">
            <v>0027T11999</v>
          </cell>
          <cell r="B357">
            <v>100662</v>
          </cell>
        </row>
        <row r="358">
          <cell r="A358" t="str">
            <v>0027T21999</v>
          </cell>
          <cell r="B358">
            <v>101573</v>
          </cell>
        </row>
        <row r="359">
          <cell r="A359" t="str">
            <v>0027T31999</v>
          </cell>
          <cell r="B359">
            <v>102846</v>
          </cell>
        </row>
        <row r="360">
          <cell r="A360" t="str">
            <v>0027T41999</v>
          </cell>
          <cell r="B360">
            <v>103240</v>
          </cell>
        </row>
        <row r="361">
          <cell r="A361" t="str">
            <v>0028A31998</v>
          </cell>
        </row>
        <row r="362">
          <cell r="A362" t="str">
            <v>0028T11998</v>
          </cell>
        </row>
        <row r="363">
          <cell r="A363" t="str">
            <v>0028T21998</v>
          </cell>
        </row>
        <row r="364">
          <cell r="A364" t="str">
            <v>0028T31998</v>
          </cell>
        </row>
        <row r="365">
          <cell r="A365" t="str">
            <v>0028T41998</v>
          </cell>
        </row>
        <row r="366">
          <cell r="A366" t="str">
            <v>0028A41999</v>
          </cell>
          <cell r="B366">
            <v>139955</v>
          </cell>
        </row>
        <row r="367">
          <cell r="A367" t="str">
            <v>0028T11999</v>
          </cell>
          <cell r="B367">
            <v>135077</v>
          </cell>
        </row>
        <row r="368">
          <cell r="A368" t="str">
            <v>0028T21999</v>
          </cell>
          <cell r="B368">
            <v>139823</v>
          </cell>
        </row>
        <row r="369">
          <cell r="A369" t="str">
            <v>0028T31999</v>
          </cell>
          <cell r="B369">
            <v>137672</v>
          </cell>
        </row>
        <row r="370">
          <cell r="A370" t="str">
            <v>0028T41999</v>
          </cell>
          <cell r="B370">
            <v>139955</v>
          </cell>
        </row>
        <row r="371">
          <cell r="A371" t="str">
            <v>0029A31998</v>
          </cell>
        </row>
        <row r="372">
          <cell r="A372" t="str">
            <v>0029T11998</v>
          </cell>
        </row>
        <row r="373">
          <cell r="A373" t="str">
            <v>0029T21998</v>
          </cell>
        </row>
        <row r="374">
          <cell r="A374" t="str">
            <v>0029T31998</v>
          </cell>
        </row>
        <row r="375">
          <cell r="A375" t="str">
            <v>0029T41998</v>
          </cell>
        </row>
        <row r="376">
          <cell r="A376" t="str">
            <v>0029A41999</v>
          </cell>
          <cell r="B376">
            <v>103240</v>
          </cell>
        </row>
        <row r="377">
          <cell r="A377" t="str">
            <v>0029T11999</v>
          </cell>
          <cell r="B377">
            <v>100662</v>
          </cell>
        </row>
        <row r="378">
          <cell r="A378" t="str">
            <v>0029T21999</v>
          </cell>
          <cell r="B378">
            <v>101573</v>
          </cell>
        </row>
        <row r="379">
          <cell r="A379" t="str">
            <v>0029T31999</v>
          </cell>
          <cell r="B379">
            <v>102846</v>
          </cell>
        </row>
        <row r="380">
          <cell r="A380" t="str">
            <v>0029T41999</v>
          </cell>
          <cell r="B380">
            <v>103240</v>
          </cell>
        </row>
        <row r="381">
          <cell r="A381" t="str">
            <v>0030A21997</v>
          </cell>
          <cell r="B381">
            <v>482</v>
          </cell>
        </row>
        <row r="382">
          <cell r="A382" t="str">
            <v>0030T11997</v>
          </cell>
          <cell r="B382">
            <v>464</v>
          </cell>
        </row>
        <row r="383">
          <cell r="A383" t="str">
            <v>0030T21997</v>
          </cell>
          <cell r="B383">
            <v>474</v>
          </cell>
        </row>
        <row r="384">
          <cell r="A384" t="str">
            <v>0030T31997</v>
          </cell>
          <cell r="B384">
            <v>481</v>
          </cell>
        </row>
        <row r="385">
          <cell r="A385" t="str">
            <v>0030T41997</v>
          </cell>
          <cell r="B385">
            <v>482</v>
          </cell>
        </row>
        <row r="386">
          <cell r="A386" t="str">
            <v>0030A31998</v>
          </cell>
          <cell r="B386">
            <v>189</v>
          </cell>
        </row>
        <row r="387">
          <cell r="A387" t="str">
            <v>0030T11998</v>
          </cell>
          <cell r="B387">
            <v>484</v>
          </cell>
        </row>
        <row r="388">
          <cell r="A388" t="str">
            <v>0030T21998</v>
          </cell>
          <cell r="B388">
            <v>192</v>
          </cell>
        </row>
        <row r="389">
          <cell r="A389" t="str">
            <v>0030T31998</v>
          </cell>
          <cell r="B389">
            <v>181</v>
          </cell>
        </row>
        <row r="390">
          <cell r="A390" t="str">
            <v>0030T41998</v>
          </cell>
          <cell r="B390">
            <v>189</v>
          </cell>
        </row>
        <row r="391">
          <cell r="A391" t="str">
            <v>0030A41999</v>
          </cell>
          <cell r="B391">
            <v>206</v>
          </cell>
        </row>
        <row r="392">
          <cell r="A392" t="str">
            <v>0030T11999</v>
          </cell>
          <cell r="B392">
            <v>198</v>
          </cell>
        </row>
        <row r="393">
          <cell r="A393" t="str">
            <v>0030T21999</v>
          </cell>
          <cell r="B393">
            <v>163</v>
          </cell>
        </row>
        <row r="394">
          <cell r="A394" t="str">
            <v>0030T31999</v>
          </cell>
          <cell r="B394">
            <v>186</v>
          </cell>
        </row>
        <row r="395">
          <cell r="A395" t="str">
            <v>0030T41999</v>
          </cell>
          <cell r="B395">
            <v>206</v>
          </cell>
        </row>
        <row r="396">
          <cell r="A396" t="str">
            <v>0031A21997</v>
          </cell>
          <cell r="B396">
            <v>31103047</v>
          </cell>
        </row>
        <row r="397">
          <cell r="A397" t="str">
            <v>0031T11997</v>
          </cell>
          <cell r="B397">
            <v>8453000</v>
          </cell>
        </row>
        <row r="398">
          <cell r="A398" t="str">
            <v>0031T21997</v>
          </cell>
          <cell r="B398">
            <v>7487945</v>
          </cell>
        </row>
        <row r="399">
          <cell r="A399" t="str">
            <v>0031T31997</v>
          </cell>
          <cell r="B399">
            <v>7682329</v>
          </cell>
        </row>
        <row r="400">
          <cell r="A400" t="str">
            <v>0031T41997</v>
          </cell>
          <cell r="B400">
            <v>7479773</v>
          </cell>
        </row>
        <row r="401">
          <cell r="A401" t="str">
            <v>0031A31998</v>
          </cell>
          <cell r="B401">
            <v>31275804</v>
          </cell>
        </row>
        <row r="402">
          <cell r="A402" t="str">
            <v>0031T11998</v>
          </cell>
          <cell r="B402">
            <v>7656349</v>
          </cell>
        </row>
        <row r="403">
          <cell r="A403" t="str">
            <v>0031T21998</v>
          </cell>
          <cell r="B403">
            <v>7776232</v>
          </cell>
        </row>
        <row r="404">
          <cell r="A404" t="str">
            <v>0031T31998</v>
          </cell>
          <cell r="B404">
            <v>7958177</v>
          </cell>
        </row>
        <row r="405">
          <cell r="A405" t="str">
            <v>0031T41998</v>
          </cell>
          <cell r="B405">
            <v>7885045</v>
          </cell>
        </row>
        <row r="406">
          <cell r="A406" t="str">
            <v>0031A41999</v>
          </cell>
          <cell r="B406">
            <v>29999523</v>
          </cell>
        </row>
        <row r="407">
          <cell r="A407" t="str">
            <v>0031T11999</v>
          </cell>
          <cell r="B407">
            <v>7726289</v>
          </cell>
        </row>
        <row r="408">
          <cell r="A408" t="str">
            <v>0031T21999</v>
          </cell>
          <cell r="B408">
            <v>7932812</v>
          </cell>
        </row>
        <row r="409">
          <cell r="A409" t="str">
            <v>0031T31999</v>
          </cell>
          <cell r="B409">
            <v>7290185</v>
          </cell>
        </row>
        <row r="410">
          <cell r="A410" t="str">
            <v>0031T41999</v>
          </cell>
          <cell r="B410">
            <v>7050237</v>
          </cell>
        </row>
        <row r="411">
          <cell r="A411" t="str">
            <v>0032A21997</v>
          </cell>
          <cell r="B411">
            <v>12688948</v>
          </cell>
        </row>
        <row r="412">
          <cell r="A412" t="str">
            <v>0032T11997</v>
          </cell>
          <cell r="B412">
            <v>2281397</v>
          </cell>
        </row>
        <row r="413">
          <cell r="A413" t="str">
            <v>0032T21997</v>
          </cell>
          <cell r="B413">
            <v>2885257</v>
          </cell>
        </row>
        <row r="414">
          <cell r="A414" t="str">
            <v>0032T31997</v>
          </cell>
          <cell r="B414">
            <v>3907402</v>
          </cell>
        </row>
        <row r="415">
          <cell r="A415" t="str">
            <v>0032T41997</v>
          </cell>
          <cell r="B415">
            <v>3614892</v>
          </cell>
        </row>
        <row r="416">
          <cell r="A416" t="str">
            <v>0032A31998</v>
          </cell>
          <cell r="B416">
            <v>13504405</v>
          </cell>
        </row>
        <row r="417">
          <cell r="A417" t="str">
            <v>0032T11998</v>
          </cell>
          <cell r="B417">
            <v>2912879</v>
          </cell>
        </row>
        <row r="418">
          <cell r="A418" t="str">
            <v>0032T21998</v>
          </cell>
          <cell r="B418">
            <v>3413667</v>
          </cell>
        </row>
        <row r="419">
          <cell r="A419" t="str">
            <v>0032T31998</v>
          </cell>
          <cell r="B419">
            <v>3799811</v>
          </cell>
        </row>
        <row r="420">
          <cell r="A420" t="str">
            <v>0032T41998</v>
          </cell>
          <cell r="B420">
            <v>3378048</v>
          </cell>
        </row>
        <row r="421">
          <cell r="A421" t="str">
            <v>0032A41999</v>
          </cell>
          <cell r="B421">
            <v>8109389</v>
          </cell>
        </row>
        <row r="422">
          <cell r="A422" t="str">
            <v>0032T11999</v>
          </cell>
          <cell r="B422">
            <v>2146871</v>
          </cell>
        </row>
        <row r="423">
          <cell r="A423" t="str">
            <v>0032T21999</v>
          </cell>
          <cell r="B423">
            <v>2532192</v>
          </cell>
        </row>
        <row r="424">
          <cell r="A424" t="str">
            <v>0032T31999</v>
          </cell>
          <cell r="B424">
            <v>271513</v>
          </cell>
        </row>
        <row r="425">
          <cell r="A425" t="str">
            <v>0032T41999</v>
          </cell>
          <cell r="B425">
            <v>3158813</v>
          </cell>
        </row>
        <row r="426">
          <cell r="A426" t="str">
            <v>0033A21997</v>
          </cell>
          <cell r="B426">
            <v>37183987</v>
          </cell>
        </row>
        <row r="427">
          <cell r="A427" t="str">
            <v>0033T11997</v>
          </cell>
          <cell r="B427">
            <v>8810652</v>
          </cell>
        </row>
        <row r="428">
          <cell r="A428" t="str">
            <v>0033T21997</v>
          </cell>
          <cell r="B428">
            <v>8980250</v>
          </cell>
        </row>
        <row r="429">
          <cell r="A429" t="str">
            <v>0033T31997</v>
          </cell>
          <cell r="B429">
            <v>9635353</v>
          </cell>
        </row>
        <row r="430">
          <cell r="A430" t="str">
            <v>0033T41997</v>
          </cell>
          <cell r="B430">
            <v>9757732</v>
          </cell>
        </row>
        <row r="431">
          <cell r="A431" t="str">
            <v>0033A31998</v>
          </cell>
          <cell r="B431">
            <v>41508607</v>
          </cell>
        </row>
        <row r="432">
          <cell r="A432" t="str">
            <v>0033T11998</v>
          </cell>
          <cell r="B432">
            <v>10214895</v>
          </cell>
        </row>
        <row r="433">
          <cell r="A433" t="str">
            <v>0033T21998</v>
          </cell>
          <cell r="B433">
            <v>10404255</v>
          </cell>
        </row>
        <row r="434">
          <cell r="A434" t="str">
            <v>0033T31998</v>
          </cell>
          <cell r="B434">
            <v>10546662</v>
          </cell>
        </row>
        <row r="435">
          <cell r="A435" t="str">
            <v>0033T41998</v>
          </cell>
          <cell r="B435">
            <v>10342795</v>
          </cell>
        </row>
        <row r="436">
          <cell r="A436" t="str">
            <v>0033A41999</v>
          </cell>
          <cell r="B436">
            <v>43659003</v>
          </cell>
        </row>
        <row r="437">
          <cell r="A437" t="str">
            <v>0033T11999</v>
          </cell>
          <cell r="B437">
            <v>10982556</v>
          </cell>
        </row>
        <row r="438">
          <cell r="A438" t="str">
            <v>0033T21999</v>
          </cell>
          <cell r="B438">
            <v>11059406</v>
          </cell>
        </row>
        <row r="439">
          <cell r="A439" t="str">
            <v>0033T31999</v>
          </cell>
          <cell r="B439">
            <v>11217953</v>
          </cell>
        </row>
        <row r="440">
          <cell r="A440" t="str">
            <v>0033T41999</v>
          </cell>
          <cell r="B440">
            <v>10399088</v>
          </cell>
        </row>
        <row r="441">
          <cell r="A441" t="str">
            <v>0034A21997</v>
          </cell>
          <cell r="B441">
            <v>14687233</v>
          </cell>
        </row>
        <row r="442">
          <cell r="A442" t="str">
            <v>0034T11997</v>
          </cell>
          <cell r="B442">
            <v>5386403</v>
          </cell>
        </row>
        <row r="443">
          <cell r="A443" t="str">
            <v>0034T21997</v>
          </cell>
          <cell r="B443">
            <v>1016672</v>
          </cell>
        </row>
        <row r="444">
          <cell r="A444" t="str">
            <v>0034T31997</v>
          </cell>
          <cell r="B444">
            <v>3597551</v>
          </cell>
        </row>
        <row r="445">
          <cell r="A445" t="str">
            <v>0034T41997</v>
          </cell>
          <cell r="B445">
            <v>4686607</v>
          </cell>
        </row>
        <row r="446">
          <cell r="A446" t="str">
            <v>0034A31998</v>
          </cell>
          <cell r="B446">
            <v>15435504</v>
          </cell>
        </row>
        <row r="447">
          <cell r="A447" t="str">
            <v>0034T11998</v>
          </cell>
          <cell r="B447">
            <v>4282613</v>
          </cell>
        </row>
        <row r="448">
          <cell r="A448" t="str">
            <v>0034T21998</v>
          </cell>
          <cell r="B448">
            <v>3379139</v>
          </cell>
        </row>
        <row r="449">
          <cell r="A449" t="str">
            <v>0034T31998</v>
          </cell>
          <cell r="B449">
            <v>3863087</v>
          </cell>
        </row>
        <row r="450">
          <cell r="A450" t="str">
            <v>0034T41998</v>
          </cell>
          <cell r="B450">
            <v>3910665</v>
          </cell>
        </row>
        <row r="451">
          <cell r="A451" t="str">
            <v>0034A41999</v>
          </cell>
          <cell r="B451">
            <v>34947107</v>
          </cell>
        </row>
        <row r="452">
          <cell r="A452" t="str">
            <v>0034T11999</v>
          </cell>
          <cell r="B452">
            <v>6793993</v>
          </cell>
        </row>
        <row r="453">
          <cell r="A453" t="str">
            <v>0034T21999</v>
          </cell>
          <cell r="B453">
            <v>7893381</v>
          </cell>
        </row>
        <row r="454">
          <cell r="A454" t="str">
            <v>0034T31999</v>
          </cell>
          <cell r="B454">
            <v>12264073</v>
          </cell>
        </row>
        <row r="455">
          <cell r="A455" t="str">
            <v>0034T41999</v>
          </cell>
          <cell r="B455">
            <v>7995660</v>
          </cell>
        </row>
        <row r="456">
          <cell r="A456" t="str">
            <v>0035A21997</v>
          </cell>
          <cell r="B456">
            <v>5726</v>
          </cell>
        </row>
        <row r="457">
          <cell r="A457" t="str">
            <v>0035T11997</v>
          </cell>
          <cell r="B457">
            <v>1448</v>
          </cell>
        </row>
        <row r="458">
          <cell r="A458" t="str">
            <v>0035T21997</v>
          </cell>
          <cell r="B458">
            <v>1340</v>
          </cell>
        </row>
        <row r="459">
          <cell r="A459" t="str">
            <v>0035T31997</v>
          </cell>
          <cell r="B459">
            <v>1369</v>
          </cell>
        </row>
        <row r="460">
          <cell r="A460" t="str">
            <v>0035T41997</v>
          </cell>
          <cell r="B460">
            <v>1569</v>
          </cell>
        </row>
        <row r="461">
          <cell r="A461" t="str">
            <v>0035A31998</v>
          </cell>
          <cell r="B461">
            <v>15051</v>
          </cell>
        </row>
        <row r="462">
          <cell r="A462" t="str">
            <v>0035T11998</v>
          </cell>
          <cell r="B462">
            <v>3558</v>
          </cell>
        </row>
        <row r="463">
          <cell r="A463" t="str">
            <v>0035T21998</v>
          </cell>
          <cell r="B463">
            <v>3841</v>
          </cell>
        </row>
        <row r="464">
          <cell r="A464" t="str">
            <v>0035T31998</v>
          </cell>
          <cell r="B464">
            <v>3349</v>
          </cell>
        </row>
        <row r="465">
          <cell r="A465" t="str">
            <v>0035T41998</v>
          </cell>
          <cell r="B465">
            <v>4303</v>
          </cell>
        </row>
        <row r="466">
          <cell r="A466" t="str">
            <v>0035A41999</v>
          </cell>
          <cell r="B466">
            <v>14514</v>
          </cell>
        </row>
        <row r="467">
          <cell r="A467" t="str">
            <v>0035T11999</v>
          </cell>
          <cell r="B467">
            <v>4933</v>
          </cell>
        </row>
        <row r="468">
          <cell r="A468" t="str">
            <v>0035T21999</v>
          </cell>
          <cell r="B468">
            <v>6908</v>
          </cell>
        </row>
        <row r="469">
          <cell r="A469" t="str">
            <v>0035T31999</v>
          </cell>
          <cell r="B469">
            <v>2673</v>
          </cell>
        </row>
        <row r="470">
          <cell r="A470" t="str">
            <v>0035T41999</v>
          </cell>
          <cell r="B470">
            <v>0</v>
          </cell>
        </row>
        <row r="471">
          <cell r="A471" t="str">
            <v>0036A21997</v>
          </cell>
          <cell r="B471">
            <v>4008</v>
          </cell>
        </row>
        <row r="472">
          <cell r="A472" t="str">
            <v>0036T11997</v>
          </cell>
          <cell r="B472">
            <v>1014</v>
          </cell>
        </row>
        <row r="473">
          <cell r="A473" t="str">
            <v>0036T21997</v>
          </cell>
          <cell r="B473">
            <v>938</v>
          </cell>
        </row>
        <row r="474">
          <cell r="A474" t="str">
            <v>0036T31997</v>
          </cell>
          <cell r="B474">
            <v>958</v>
          </cell>
        </row>
        <row r="475">
          <cell r="A475" t="str">
            <v>0036T41997</v>
          </cell>
          <cell r="B475">
            <v>1098</v>
          </cell>
        </row>
        <row r="476">
          <cell r="A476" t="str">
            <v>0036A31998</v>
          </cell>
          <cell r="B476">
            <v>9089</v>
          </cell>
        </row>
        <row r="477">
          <cell r="A477" t="str">
            <v>0036T11998</v>
          </cell>
          <cell r="B477">
            <v>1971</v>
          </cell>
        </row>
        <row r="478">
          <cell r="A478" t="str">
            <v>0036T21998</v>
          </cell>
          <cell r="B478">
            <v>2500</v>
          </cell>
        </row>
        <row r="479">
          <cell r="A479" t="str">
            <v>0036T31998</v>
          </cell>
          <cell r="B479">
            <v>2200</v>
          </cell>
        </row>
        <row r="480">
          <cell r="A480" t="str">
            <v>0036T41998</v>
          </cell>
          <cell r="B480">
            <v>2418</v>
          </cell>
        </row>
        <row r="481">
          <cell r="A481" t="str">
            <v>0036A41999</v>
          </cell>
          <cell r="B481">
            <v>8115</v>
          </cell>
        </row>
        <row r="482">
          <cell r="A482" t="str">
            <v>0036T11999</v>
          </cell>
          <cell r="B482">
            <v>3273</v>
          </cell>
        </row>
        <row r="483">
          <cell r="A483" t="str">
            <v>0036T21999</v>
          </cell>
          <cell r="B483">
            <v>3433</v>
          </cell>
        </row>
        <row r="484">
          <cell r="A484" t="str">
            <v>0036T31999</v>
          </cell>
          <cell r="B484">
            <v>1409</v>
          </cell>
        </row>
        <row r="485">
          <cell r="A485" t="str">
            <v>0036T41999</v>
          </cell>
          <cell r="B485">
            <v>0</v>
          </cell>
        </row>
        <row r="486">
          <cell r="A486" t="str">
            <v>0037A21997</v>
          </cell>
          <cell r="B486">
            <v>38110269</v>
          </cell>
        </row>
        <row r="487">
          <cell r="A487" t="str">
            <v>0037T11997</v>
          </cell>
          <cell r="B487">
            <v>33741356</v>
          </cell>
        </row>
        <row r="488">
          <cell r="A488" t="str">
            <v>0037T21997</v>
          </cell>
          <cell r="B488">
            <v>36847042</v>
          </cell>
        </row>
        <row r="489">
          <cell r="A489" t="str">
            <v>0037T31997</v>
          </cell>
          <cell r="B489">
            <v>39174349</v>
          </cell>
        </row>
        <row r="490">
          <cell r="A490" t="str">
            <v>0037T41997</v>
          </cell>
          <cell r="B490">
            <v>38110269</v>
          </cell>
        </row>
        <row r="491">
          <cell r="A491" t="str">
            <v>0037A31998</v>
          </cell>
          <cell r="B491">
            <v>43382809</v>
          </cell>
        </row>
        <row r="492">
          <cell r="A492" t="str">
            <v>0037T11998</v>
          </cell>
          <cell r="B492">
            <v>43748484</v>
          </cell>
        </row>
        <row r="493">
          <cell r="A493" t="str">
            <v>0037T21998</v>
          </cell>
          <cell r="B493">
            <v>40594503</v>
          </cell>
        </row>
        <row r="494">
          <cell r="A494" t="str">
            <v>0037T31998</v>
          </cell>
          <cell r="B494">
            <v>38926215</v>
          </cell>
        </row>
        <row r="495">
          <cell r="A495" t="str">
            <v>0037T41998</v>
          </cell>
          <cell r="B495">
            <v>43355696</v>
          </cell>
        </row>
        <row r="496">
          <cell r="A496" t="str">
            <v>0037A41999</v>
          </cell>
          <cell r="B496">
            <v>32114039</v>
          </cell>
        </row>
        <row r="497">
          <cell r="A497" t="str">
            <v>0037T11999</v>
          </cell>
          <cell r="B497">
            <v>38142155</v>
          </cell>
        </row>
        <row r="498">
          <cell r="A498" t="str">
            <v>0037T21999</v>
          </cell>
          <cell r="B498">
            <v>33270297</v>
          </cell>
        </row>
        <row r="499">
          <cell r="A499" t="str">
            <v>0037T31999</v>
          </cell>
          <cell r="B499">
            <v>33426150</v>
          </cell>
        </row>
        <row r="500">
          <cell r="A500" t="str">
            <v>0037T41999</v>
          </cell>
          <cell r="B500">
            <v>32114039</v>
          </cell>
        </row>
        <row r="501">
          <cell r="A501" t="str">
            <v>0038A21997</v>
          </cell>
          <cell r="B501">
            <v>11174977</v>
          </cell>
        </row>
        <row r="502">
          <cell r="A502" t="str">
            <v>0038T11997</v>
          </cell>
          <cell r="B502">
            <v>757880</v>
          </cell>
        </row>
        <row r="503">
          <cell r="A503" t="str">
            <v>0038T21997</v>
          </cell>
          <cell r="B503">
            <v>515362</v>
          </cell>
        </row>
        <row r="504">
          <cell r="A504" t="str">
            <v>0038T31997</v>
          </cell>
          <cell r="B504">
            <v>7610990</v>
          </cell>
        </row>
        <row r="505">
          <cell r="A505" t="str">
            <v>0038T41997</v>
          </cell>
          <cell r="B505">
            <v>11174977</v>
          </cell>
        </row>
        <row r="506">
          <cell r="A506" t="str">
            <v>0038A31998</v>
          </cell>
          <cell r="B506">
            <v>9160217</v>
          </cell>
        </row>
        <row r="507">
          <cell r="A507" t="str">
            <v>0038T11998</v>
          </cell>
          <cell r="B507">
            <v>14065476</v>
          </cell>
        </row>
        <row r="508">
          <cell r="A508" t="str">
            <v>0038T21998</v>
          </cell>
          <cell r="B508">
            <v>11150038</v>
          </cell>
        </row>
        <row r="509">
          <cell r="A509" t="str">
            <v>0038T31998</v>
          </cell>
          <cell r="B509">
            <v>6964458</v>
          </cell>
        </row>
        <row r="510">
          <cell r="A510" t="str">
            <v>0038T41998</v>
          </cell>
          <cell r="B510">
            <v>9160217</v>
          </cell>
        </row>
        <row r="511">
          <cell r="A511" t="str">
            <v>0038A41999</v>
          </cell>
          <cell r="B511">
            <v>456913</v>
          </cell>
        </row>
        <row r="512">
          <cell r="A512" t="str">
            <v>0038T11999</v>
          </cell>
          <cell r="B512">
            <v>3500569</v>
          </cell>
        </row>
        <row r="513">
          <cell r="A513" t="str">
            <v>0038T21999</v>
          </cell>
          <cell r="B513">
            <v>1485490</v>
          </cell>
        </row>
        <row r="514">
          <cell r="A514" t="str">
            <v>0038T31999</v>
          </cell>
          <cell r="B514">
            <v>1129875</v>
          </cell>
        </row>
        <row r="515">
          <cell r="A515" t="str">
            <v>0038T41999</v>
          </cell>
          <cell r="B515">
            <v>456913</v>
          </cell>
        </row>
        <row r="516">
          <cell r="A516" t="str">
            <v>0039A41999</v>
          </cell>
          <cell r="B516">
            <v>0</v>
          </cell>
        </row>
        <row r="517">
          <cell r="A517" t="str">
            <v>0039T11999</v>
          </cell>
          <cell r="B517">
            <v>0</v>
          </cell>
        </row>
        <row r="518">
          <cell r="A518" t="str">
            <v>0039T21999</v>
          </cell>
          <cell r="B518">
            <v>0</v>
          </cell>
        </row>
        <row r="519">
          <cell r="A519" t="str">
            <v>0039T31999</v>
          </cell>
          <cell r="B519">
            <v>0</v>
          </cell>
        </row>
        <row r="520">
          <cell r="A520" t="str">
            <v>0039T41999</v>
          </cell>
          <cell r="B520">
            <v>0</v>
          </cell>
        </row>
        <row r="521">
          <cell r="A521" t="str">
            <v>0040A21997</v>
          </cell>
          <cell r="B521">
            <v>30306832</v>
          </cell>
        </row>
        <row r="522">
          <cell r="A522" t="str">
            <v>0040T11997</v>
          </cell>
          <cell r="B522">
            <v>26667937</v>
          </cell>
        </row>
        <row r="523">
          <cell r="A523" t="str">
            <v>0040T21997</v>
          </cell>
          <cell r="B523">
            <v>27916367</v>
          </cell>
        </row>
        <row r="524">
          <cell r="A524" t="str">
            <v>0040T31997</v>
          </cell>
          <cell r="B524">
            <v>28585698</v>
          </cell>
        </row>
        <row r="525">
          <cell r="A525" t="str">
            <v>0040T41997</v>
          </cell>
          <cell r="B525">
            <v>30306832</v>
          </cell>
        </row>
        <row r="526">
          <cell r="A526" t="str">
            <v>0040A31998</v>
          </cell>
          <cell r="B526">
            <v>38771145</v>
          </cell>
        </row>
        <row r="527">
          <cell r="A527" t="str">
            <v>0040T11998</v>
          </cell>
          <cell r="B527">
            <v>34021219</v>
          </cell>
        </row>
        <row r="528">
          <cell r="A528" t="str">
            <v>0040T21998</v>
          </cell>
          <cell r="B528">
            <v>36280404</v>
          </cell>
        </row>
        <row r="529">
          <cell r="A529" t="str">
            <v>0040T31998</v>
          </cell>
          <cell r="B529">
            <v>37620322</v>
          </cell>
        </row>
        <row r="530">
          <cell r="A530" t="str">
            <v>0040T41998</v>
          </cell>
          <cell r="B530">
            <v>38771145</v>
          </cell>
        </row>
        <row r="531">
          <cell r="A531" t="str">
            <v>0040A41999</v>
          </cell>
          <cell r="B531">
            <v>41474029</v>
          </cell>
        </row>
        <row r="532">
          <cell r="A532" t="str">
            <v>0040T11999</v>
          </cell>
          <cell r="B532">
            <v>38886558</v>
          </cell>
        </row>
        <row r="533">
          <cell r="A533" t="str">
            <v>0040T21999</v>
          </cell>
          <cell r="B533">
            <v>40988918</v>
          </cell>
        </row>
        <row r="534">
          <cell r="A534" t="str">
            <v>0040T31999</v>
          </cell>
          <cell r="B534">
            <v>41370486</v>
          </cell>
        </row>
        <row r="535">
          <cell r="A535" t="str">
            <v>0040T41999</v>
          </cell>
          <cell r="B535">
            <v>41474029</v>
          </cell>
        </row>
        <row r="536">
          <cell r="A536" t="str">
            <v>0041A41999</v>
          </cell>
          <cell r="B536">
            <v>12609804</v>
          </cell>
        </row>
        <row r="537">
          <cell r="A537" t="str">
            <v>0041T11999</v>
          </cell>
          <cell r="B537">
            <v>10120512</v>
          </cell>
        </row>
        <row r="538">
          <cell r="A538" t="str">
            <v>0041T21999</v>
          </cell>
          <cell r="B538">
            <v>12963546</v>
          </cell>
        </row>
        <row r="539">
          <cell r="A539" t="str">
            <v>0041T31999</v>
          </cell>
          <cell r="B539">
            <v>12172583</v>
          </cell>
        </row>
        <row r="540">
          <cell r="A540" t="str">
            <v>0041T41999</v>
          </cell>
          <cell r="B540">
            <v>12609804</v>
          </cell>
        </row>
        <row r="541">
          <cell r="A541" t="str">
            <v>0042A21997</v>
          </cell>
          <cell r="B541">
            <v>814775</v>
          </cell>
        </row>
        <row r="542">
          <cell r="A542" t="str">
            <v>0042T11997</v>
          </cell>
          <cell r="B542">
            <v>406763</v>
          </cell>
        </row>
        <row r="543">
          <cell r="A543" t="str">
            <v>0042T21997</v>
          </cell>
          <cell r="B543">
            <v>374459</v>
          </cell>
        </row>
        <row r="544">
          <cell r="A544" t="str">
            <v>0042T31997</v>
          </cell>
          <cell r="B544">
            <v>427384</v>
          </cell>
        </row>
        <row r="545">
          <cell r="A545" t="str">
            <v>0042T41997</v>
          </cell>
          <cell r="B545">
            <v>814775</v>
          </cell>
        </row>
        <row r="546">
          <cell r="A546" t="str">
            <v>0042A31998</v>
          </cell>
          <cell r="B546">
            <v>1492315</v>
          </cell>
        </row>
        <row r="547">
          <cell r="A547" t="str">
            <v>0042T11998</v>
          </cell>
          <cell r="B547">
            <v>688855</v>
          </cell>
        </row>
        <row r="548">
          <cell r="A548" t="str">
            <v>0042T21998</v>
          </cell>
          <cell r="B548">
            <v>934899</v>
          </cell>
        </row>
        <row r="549">
          <cell r="A549" t="str">
            <v>0042T31998</v>
          </cell>
          <cell r="B549">
            <v>1289912</v>
          </cell>
        </row>
        <row r="550">
          <cell r="A550" t="str">
            <v>0042T41998</v>
          </cell>
          <cell r="B550">
            <v>1492315</v>
          </cell>
        </row>
        <row r="551">
          <cell r="A551" t="str">
            <v>0042A41999</v>
          </cell>
          <cell r="B551">
            <v>535811</v>
          </cell>
        </row>
        <row r="552">
          <cell r="A552" t="str">
            <v>0042T11999</v>
          </cell>
          <cell r="B552">
            <v>1436462</v>
          </cell>
        </row>
        <row r="553">
          <cell r="A553" t="str">
            <v>0042T21999</v>
          </cell>
          <cell r="B553">
            <v>201382</v>
          </cell>
        </row>
        <row r="554">
          <cell r="A554" t="str">
            <v>0042T31999</v>
          </cell>
          <cell r="B554">
            <v>376284</v>
          </cell>
        </row>
        <row r="555">
          <cell r="A555" t="str">
            <v>0042T41999</v>
          </cell>
          <cell r="B555">
            <v>535811</v>
          </cell>
        </row>
        <row r="556">
          <cell r="A556" t="str">
            <v>0043A21997</v>
          </cell>
          <cell r="B556">
            <v>-9460841</v>
          </cell>
        </row>
        <row r="557">
          <cell r="A557" t="str">
            <v>0043T11997</v>
          </cell>
          <cell r="B557">
            <v>-6638120</v>
          </cell>
        </row>
        <row r="558">
          <cell r="A558" t="str">
            <v>0043T21997</v>
          </cell>
          <cell r="B558">
            <v>-6579590</v>
          </cell>
        </row>
        <row r="559">
          <cell r="A559" t="str">
            <v>0043T31997</v>
          </cell>
          <cell r="B559">
            <v>-6551543</v>
          </cell>
        </row>
        <row r="560">
          <cell r="A560" t="str">
            <v>0043T41997</v>
          </cell>
          <cell r="B560">
            <v>-9460841</v>
          </cell>
        </row>
        <row r="561">
          <cell r="A561" t="str">
            <v>0043A31998</v>
          </cell>
          <cell r="B561">
            <v>-11579106</v>
          </cell>
        </row>
        <row r="562">
          <cell r="A562" t="str">
            <v>0043T11998</v>
          </cell>
          <cell r="B562">
            <v>-9458925</v>
          </cell>
        </row>
        <row r="563">
          <cell r="A563" t="str">
            <v>0043T21998</v>
          </cell>
          <cell r="B563">
            <v>-14875464</v>
          </cell>
        </row>
        <row r="564">
          <cell r="A564" t="str">
            <v>0043T31998</v>
          </cell>
          <cell r="B564">
            <v>-13762924</v>
          </cell>
        </row>
        <row r="565">
          <cell r="A565" t="str">
            <v>0043T41998</v>
          </cell>
          <cell r="B565">
            <v>-11579106</v>
          </cell>
        </row>
        <row r="566">
          <cell r="A566" t="str">
            <v>0043A41999</v>
          </cell>
          <cell r="B566">
            <v>29804</v>
          </cell>
        </row>
        <row r="567">
          <cell r="A567" t="str">
            <v>0043T11999</v>
          </cell>
          <cell r="B567">
            <v>29804</v>
          </cell>
        </row>
        <row r="568">
          <cell r="A568" t="str">
            <v>0043T21999</v>
          </cell>
          <cell r="B568">
            <v>29804</v>
          </cell>
        </row>
        <row r="569">
          <cell r="A569" t="str">
            <v>0043T31999</v>
          </cell>
          <cell r="B569">
            <v>29804</v>
          </cell>
        </row>
        <row r="570">
          <cell r="A570" t="str">
            <v>0043T41999</v>
          </cell>
          <cell r="B570">
            <v>29804</v>
          </cell>
        </row>
        <row r="571">
          <cell r="A571" t="str">
            <v>0044A41999</v>
          </cell>
          <cell r="B571">
            <v>0</v>
          </cell>
        </row>
        <row r="572">
          <cell r="A572" t="str">
            <v>0044T11999</v>
          </cell>
          <cell r="B572">
            <v>0</v>
          </cell>
        </row>
        <row r="573">
          <cell r="A573" t="str">
            <v>0044T21999</v>
          </cell>
          <cell r="B573">
            <v>0</v>
          </cell>
        </row>
        <row r="574">
          <cell r="A574" t="str">
            <v>0044T31999</v>
          </cell>
          <cell r="B574">
            <v>0</v>
          </cell>
        </row>
        <row r="575">
          <cell r="A575" t="str">
            <v>0044T41999</v>
          </cell>
          <cell r="B575">
            <v>0</v>
          </cell>
        </row>
        <row r="576">
          <cell r="A576" t="str">
            <v>0045A21997</v>
          </cell>
          <cell r="B576">
            <v>1769566</v>
          </cell>
        </row>
        <row r="577">
          <cell r="A577" t="str">
            <v>0045T11997</v>
          </cell>
          <cell r="B577">
            <v>9023356</v>
          </cell>
        </row>
        <row r="578">
          <cell r="A578" t="str">
            <v>0045T21997</v>
          </cell>
          <cell r="B578">
            <v>9315702</v>
          </cell>
        </row>
        <row r="579">
          <cell r="A579" t="str">
            <v>0045T31997</v>
          </cell>
          <cell r="B579">
            <v>2039054</v>
          </cell>
        </row>
        <row r="580">
          <cell r="A580" t="str">
            <v>0045T41997</v>
          </cell>
          <cell r="B580">
            <v>1769566</v>
          </cell>
        </row>
        <row r="581">
          <cell r="A581" t="str">
            <v>0045A31998</v>
          </cell>
          <cell r="B581">
            <v>2066125</v>
          </cell>
        </row>
        <row r="582">
          <cell r="A582" t="str">
            <v>0045T11998</v>
          </cell>
          <cell r="B582">
            <v>2132733</v>
          </cell>
        </row>
        <row r="583">
          <cell r="A583" t="str">
            <v>0045T21998</v>
          </cell>
          <cell r="B583">
            <v>2429269</v>
          </cell>
        </row>
        <row r="584">
          <cell r="A584" t="str">
            <v>0045T31998</v>
          </cell>
          <cell r="B584">
            <v>2188955</v>
          </cell>
        </row>
        <row r="585">
          <cell r="A585" t="str">
            <v>0045T41998</v>
          </cell>
          <cell r="B585">
            <v>2047294</v>
          </cell>
        </row>
        <row r="586">
          <cell r="A586" t="str">
            <v>0045A41999</v>
          </cell>
          <cell r="B586">
            <v>1398916</v>
          </cell>
        </row>
        <row r="587">
          <cell r="A587" t="str">
            <v>0045T11999</v>
          </cell>
          <cell r="B587">
            <v>1931497</v>
          </cell>
        </row>
        <row r="588">
          <cell r="A588" t="str">
            <v>0045T21999</v>
          </cell>
          <cell r="B588">
            <v>2231371</v>
          </cell>
        </row>
        <row r="589">
          <cell r="A589" t="str">
            <v>0045T31999</v>
          </cell>
          <cell r="B589">
            <v>1845946</v>
          </cell>
        </row>
        <row r="590">
          <cell r="A590" t="str">
            <v>0045T41999</v>
          </cell>
          <cell r="B590">
            <v>1398916</v>
          </cell>
        </row>
        <row r="591">
          <cell r="A591" t="str">
            <v>0046A41999</v>
          </cell>
          <cell r="B591">
            <v>0</v>
          </cell>
        </row>
        <row r="592">
          <cell r="A592" t="str">
            <v>0046T11999</v>
          </cell>
          <cell r="B592">
            <v>0</v>
          </cell>
        </row>
        <row r="593">
          <cell r="A593" t="str">
            <v>0046T21999</v>
          </cell>
          <cell r="B593">
            <v>0</v>
          </cell>
        </row>
        <row r="594">
          <cell r="A594" t="str">
            <v>0046T31999</v>
          </cell>
          <cell r="B594">
            <v>0</v>
          </cell>
        </row>
        <row r="595">
          <cell r="A595" t="str">
            <v>0046T41999</v>
          </cell>
          <cell r="B595">
            <v>0</v>
          </cell>
        </row>
        <row r="596">
          <cell r="A596" t="str">
            <v>0047A21997</v>
          </cell>
          <cell r="B596">
            <v>3504960</v>
          </cell>
        </row>
        <row r="597">
          <cell r="A597" t="str">
            <v>0047T11997</v>
          </cell>
          <cell r="B597">
            <v>3523540</v>
          </cell>
        </row>
        <row r="598">
          <cell r="A598" t="str">
            <v>0047T21997</v>
          </cell>
          <cell r="B598">
            <v>5304742</v>
          </cell>
        </row>
        <row r="599">
          <cell r="A599" t="str">
            <v>0047T31997</v>
          </cell>
          <cell r="B599">
            <v>7062766</v>
          </cell>
        </row>
        <row r="600">
          <cell r="A600" t="str">
            <v>0047T41997</v>
          </cell>
          <cell r="B600">
            <v>3504960</v>
          </cell>
        </row>
        <row r="601">
          <cell r="A601" t="str">
            <v>0047A31998</v>
          </cell>
          <cell r="B601">
            <v>3472113</v>
          </cell>
        </row>
        <row r="602">
          <cell r="A602" t="str">
            <v>0047T11998</v>
          </cell>
          <cell r="B602">
            <v>2297126</v>
          </cell>
        </row>
        <row r="603">
          <cell r="A603" t="str">
            <v>0047T21998</v>
          </cell>
          <cell r="B603">
            <v>4675356</v>
          </cell>
        </row>
        <row r="604">
          <cell r="A604" t="str">
            <v>0047T31998</v>
          </cell>
          <cell r="B604">
            <v>4625492</v>
          </cell>
        </row>
        <row r="605">
          <cell r="A605" t="str">
            <v>0047T41998</v>
          </cell>
          <cell r="B605">
            <v>3463831</v>
          </cell>
        </row>
        <row r="606">
          <cell r="A606" t="str">
            <v>0047A41999</v>
          </cell>
          <cell r="B606">
            <v>887978</v>
          </cell>
        </row>
        <row r="607">
          <cell r="A607" t="str">
            <v>0047T11999</v>
          </cell>
          <cell r="B607">
            <v>2507580</v>
          </cell>
        </row>
        <row r="608">
          <cell r="A608" t="str">
            <v>0047T21999</v>
          </cell>
          <cell r="B608">
            <v>1356487</v>
          </cell>
        </row>
        <row r="609">
          <cell r="A609" t="str">
            <v>0047T31999</v>
          </cell>
          <cell r="B609">
            <v>905946</v>
          </cell>
        </row>
        <row r="610">
          <cell r="A610" t="str">
            <v>0047T41999</v>
          </cell>
          <cell r="B610">
            <v>887978</v>
          </cell>
        </row>
        <row r="611">
          <cell r="A611" t="str">
            <v>0048A41999</v>
          </cell>
          <cell r="B611">
            <v>282092788</v>
          </cell>
        </row>
        <row r="612">
          <cell r="A612" t="str">
            <v>0048T11999</v>
          </cell>
          <cell r="B612">
            <v>272291128</v>
          </cell>
        </row>
        <row r="613">
          <cell r="A613" t="str">
            <v>0048T21999</v>
          </cell>
          <cell r="B613">
            <v>271431308</v>
          </cell>
        </row>
        <row r="614">
          <cell r="A614" t="str">
            <v>0048T31999</v>
          </cell>
          <cell r="B614">
            <v>281742309</v>
          </cell>
        </row>
        <row r="615">
          <cell r="A615" t="str">
            <v>0048T41999</v>
          </cell>
          <cell r="B615">
            <v>282092788</v>
          </cell>
        </row>
        <row r="616">
          <cell r="A616" t="str">
            <v>0049A41999</v>
          </cell>
          <cell r="B616">
            <v>0</v>
          </cell>
        </row>
        <row r="617">
          <cell r="A617" t="str">
            <v>0049T11999</v>
          </cell>
          <cell r="B617">
            <v>38886558</v>
          </cell>
        </row>
        <row r="618">
          <cell r="A618" t="str">
            <v>0049T21999</v>
          </cell>
          <cell r="B618">
            <v>0</v>
          </cell>
        </row>
        <row r="619">
          <cell r="A619" t="str">
            <v>0049T31999</v>
          </cell>
          <cell r="B619">
            <v>0</v>
          </cell>
        </row>
        <row r="620">
          <cell r="A620" t="str">
            <v>0049T41999</v>
          </cell>
          <cell r="B620">
            <v>0</v>
          </cell>
        </row>
        <row r="621">
          <cell r="A621" t="str">
            <v>0050A41999</v>
          </cell>
          <cell r="B621">
            <v>0</v>
          </cell>
        </row>
        <row r="622">
          <cell r="A622" t="str">
            <v>0050T11999</v>
          </cell>
          <cell r="B622">
            <v>0</v>
          </cell>
        </row>
        <row r="623">
          <cell r="A623" t="str">
            <v>0050T21999</v>
          </cell>
          <cell r="B623">
            <v>0</v>
          </cell>
        </row>
        <row r="624">
          <cell r="A624" t="str">
            <v>0050T31999</v>
          </cell>
          <cell r="B624">
            <v>0</v>
          </cell>
        </row>
        <row r="625">
          <cell r="A625" t="str">
            <v>0050T41999</v>
          </cell>
          <cell r="B625">
            <v>0</v>
          </cell>
        </row>
        <row r="626">
          <cell r="A626" t="str">
            <v>0051A41999</v>
          </cell>
          <cell r="B626">
            <v>0</v>
          </cell>
        </row>
        <row r="627">
          <cell r="A627" t="str">
            <v>0051T11999</v>
          </cell>
          <cell r="B627">
            <v>0</v>
          </cell>
        </row>
        <row r="628">
          <cell r="A628" t="str">
            <v>0051T21999</v>
          </cell>
          <cell r="B628">
            <v>0</v>
          </cell>
        </row>
        <row r="629">
          <cell r="A629" t="str">
            <v>0051T31999</v>
          </cell>
          <cell r="B629">
            <v>0</v>
          </cell>
        </row>
        <row r="630">
          <cell r="A630" t="str">
            <v>0051T41999</v>
          </cell>
          <cell r="B630">
            <v>0</v>
          </cell>
        </row>
        <row r="631">
          <cell r="A631" t="str">
            <v>0052A41999</v>
          </cell>
          <cell r="B631">
            <v>0</v>
          </cell>
        </row>
        <row r="632">
          <cell r="A632" t="str">
            <v>0052T11999</v>
          </cell>
          <cell r="B632">
            <v>0</v>
          </cell>
        </row>
        <row r="633">
          <cell r="A633" t="str">
            <v>0052T21999</v>
          </cell>
          <cell r="B633">
            <v>0</v>
          </cell>
        </row>
        <row r="634">
          <cell r="A634" t="str">
            <v>0052T31999</v>
          </cell>
          <cell r="B634">
            <v>0</v>
          </cell>
        </row>
        <row r="635">
          <cell r="A635" t="str">
            <v>0052T41999</v>
          </cell>
          <cell r="B635">
            <v>0</v>
          </cell>
        </row>
        <row r="636">
          <cell r="A636" t="str">
            <v>0053A41999</v>
          </cell>
          <cell r="B636">
            <v>0</v>
          </cell>
        </row>
        <row r="637">
          <cell r="A637" t="str">
            <v>0053T11999</v>
          </cell>
          <cell r="B637">
            <v>0</v>
          </cell>
        </row>
        <row r="638">
          <cell r="A638" t="str">
            <v>0053T21999</v>
          </cell>
          <cell r="B638">
            <v>0</v>
          </cell>
        </row>
        <row r="639">
          <cell r="A639" t="str">
            <v>0053T31999</v>
          </cell>
          <cell r="B639">
            <v>0</v>
          </cell>
        </row>
        <row r="640">
          <cell r="A640" t="str">
            <v>0053T41999</v>
          </cell>
          <cell r="B640">
            <v>0</v>
          </cell>
        </row>
        <row r="641">
          <cell r="A641" t="str">
            <v>0054A41999</v>
          </cell>
          <cell r="B641">
            <v>461684139</v>
          </cell>
        </row>
        <row r="642">
          <cell r="A642" t="str">
            <v>0054T11999</v>
          </cell>
          <cell r="B642">
            <v>438722340</v>
          </cell>
        </row>
        <row r="643">
          <cell r="A643" t="str">
            <v>0054T21999</v>
          </cell>
          <cell r="B643">
            <v>440730592</v>
          </cell>
        </row>
        <row r="644">
          <cell r="A644" t="str">
            <v>0054T31999</v>
          </cell>
          <cell r="B644">
            <v>455439621</v>
          </cell>
        </row>
        <row r="645">
          <cell r="A645" t="str">
            <v>0054T41999</v>
          </cell>
          <cell r="B645">
            <v>461684139</v>
          </cell>
        </row>
        <row r="646">
          <cell r="A646" t="str">
            <v>0055A41999</v>
          </cell>
          <cell r="B646">
            <v>9296182</v>
          </cell>
        </row>
        <row r="647">
          <cell r="A647" t="str">
            <v>0055T11999</v>
          </cell>
          <cell r="B647">
            <v>8241789</v>
          </cell>
        </row>
        <row r="648">
          <cell r="A648" t="str">
            <v>0055T21999</v>
          </cell>
          <cell r="B648">
            <v>8471220</v>
          </cell>
        </row>
        <row r="649">
          <cell r="A649" t="str">
            <v>0055T31999</v>
          </cell>
          <cell r="B649">
            <v>9144805</v>
          </cell>
        </row>
        <row r="650">
          <cell r="A650" t="str">
            <v>0055T41999</v>
          </cell>
          <cell r="B650">
            <v>9296182</v>
          </cell>
        </row>
        <row r="651">
          <cell r="A651" t="str">
            <v>0056A41999</v>
          </cell>
          <cell r="B651">
            <v>2516316</v>
          </cell>
        </row>
        <row r="652">
          <cell r="A652" t="str">
            <v>0056T11999</v>
          </cell>
          <cell r="B652">
            <v>1823494</v>
          </cell>
        </row>
        <row r="653">
          <cell r="A653" t="str">
            <v>0056T21999</v>
          </cell>
          <cell r="B653">
            <v>2040533</v>
          </cell>
        </row>
        <row r="654">
          <cell r="A654" t="str">
            <v>0056T31999</v>
          </cell>
          <cell r="B654">
            <v>2275032</v>
          </cell>
        </row>
        <row r="655">
          <cell r="A655" t="str">
            <v>0056T41999</v>
          </cell>
          <cell r="B655">
            <v>2516316</v>
          </cell>
        </row>
        <row r="656">
          <cell r="A656" t="str">
            <v>0057A41999</v>
          </cell>
          <cell r="B656">
            <v>186371217</v>
          </cell>
        </row>
        <row r="657">
          <cell r="A657" t="str">
            <v>0057T11999</v>
          </cell>
          <cell r="B657">
            <v>172849506</v>
          </cell>
        </row>
        <row r="658">
          <cell r="A658" t="str">
            <v>0057T21999</v>
          </cell>
          <cell r="B658">
            <v>175729971</v>
          </cell>
        </row>
        <row r="659">
          <cell r="A659" t="str">
            <v>0057T31999</v>
          </cell>
          <cell r="B659">
            <v>180567086</v>
          </cell>
        </row>
        <row r="660">
          <cell r="A660" t="str">
            <v>0057T41999</v>
          </cell>
          <cell r="B660">
            <v>186371217</v>
          </cell>
        </row>
        <row r="661">
          <cell r="A661" t="str">
            <v>0058A41999</v>
          </cell>
          <cell r="B661">
            <v>314206827</v>
          </cell>
        </row>
        <row r="662">
          <cell r="A662" t="str">
            <v>0058T11999</v>
          </cell>
          <cell r="B662">
            <v>310433283</v>
          </cell>
        </row>
        <row r="663">
          <cell r="A663" t="str">
            <v>0058T21999</v>
          </cell>
          <cell r="B663">
            <v>304701605</v>
          </cell>
        </row>
        <row r="664">
          <cell r="A664" t="str">
            <v>0058T31999</v>
          </cell>
          <cell r="B664">
            <v>315168459</v>
          </cell>
        </row>
        <row r="665">
          <cell r="A665" t="str">
            <v>0058T41999</v>
          </cell>
          <cell r="B665">
            <v>314206827</v>
          </cell>
        </row>
        <row r="666">
          <cell r="A666" t="str">
            <v>0059A21997</v>
          </cell>
          <cell r="B666">
            <v>18369454</v>
          </cell>
        </row>
        <row r="667">
          <cell r="A667" t="str">
            <v>0059T11997</v>
          </cell>
          <cell r="B667">
            <v>20607235</v>
          </cell>
        </row>
        <row r="668">
          <cell r="A668" t="str">
            <v>0059T21997</v>
          </cell>
          <cell r="B668">
            <v>23458226</v>
          </cell>
        </row>
        <row r="669">
          <cell r="A669" t="str">
            <v>0059T31997</v>
          </cell>
          <cell r="B669">
            <v>17079626</v>
          </cell>
        </row>
        <row r="670">
          <cell r="A670" t="str">
            <v>0059T41997</v>
          </cell>
          <cell r="B670">
            <v>18369454</v>
          </cell>
        </row>
        <row r="671">
          <cell r="A671" t="str">
            <v>0059A31998</v>
          </cell>
          <cell r="B671">
            <v>30138003</v>
          </cell>
        </row>
        <row r="672">
          <cell r="A672" t="str">
            <v>0059T11998</v>
          </cell>
          <cell r="B672">
            <v>24066749</v>
          </cell>
        </row>
        <row r="673">
          <cell r="A673" t="str">
            <v>0059T21998</v>
          </cell>
          <cell r="B673">
            <v>29115199</v>
          </cell>
        </row>
        <row r="674">
          <cell r="A674" t="str">
            <v>0059T31998</v>
          </cell>
          <cell r="B674">
            <v>28770915</v>
          </cell>
        </row>
        <row r="675">
          <cell r="A675" t="str">
            <v>0059T41998</v>
          </cell>
          <cell r="B675">
            <v>30138003</v>
          </cell>
        </row>
        <row r="676">
          <cell r="A676" t="str">
            <v>0059A41999</v>
          </cell>
          <cell r="B676">
            <v>23040859</v>
          </cell>
        </row>
        <row r="677">
          <cell r="A677" t="str">
            <v>0059T11999</v>
          </cell>
          <cell r="B677">
            <v>22206699</v>
          </cell>
        </row>
        <row r="678">
          <cell r="A678" t="str">
            <v>0059T21999</v>
          </cell>
          <cell r="B678">
            <v>23672356</v>
          </cell>
        </row>
        <row r="679">
          <cell r="A679" t="str">
            <v>0059T31999</v>
          </cell>
          <cell r="B679">
            <v>21942860</v>
          </cell>
        </row>
        <row r="680">
          <cell r="A680" t="str">
            <v>0059T41999</v>
          </cell>
          <cell r="B680">
            <v>23040859</v>
          </cell>
        </row>
        <row r="681">
          <cell r="A681" t="str">
            <v>0060A41999</v>
          </cell>
          <cell r="B681">
            <v>126710</v>
          </cell>
        </row>
        <row r="682">
          <cell r="A682" t="str">
            <v>0060T11999</v>
          </cell>
          <cell r="B682">
            <v>620698</v>
          </cell>
        </row>
        <row r="683">
          <cell r="A683" t="str">
            <v>0060T21999</v>
          </cell>
          <cell r="B683">
            <v>472807</v>
          </cell>
        </row>
        <row r="684">
          <cell r="A684" t="str">
            <v>0060T31999</v>
          </cell>
          <cell r="B684">
            <v>112644</v>
          </cell>
        </row>
        <row r="685">
          <cell r="A685" t="str">
            <v>0060T41999</v>
          </cell>
          <cell r="B685">
            <v>126710</v>
          </cell>
        </row>
        <row r="686">
          <cell r="A686" t="str">
            <v>0061A41999</v>
          </cell>
          <cell r="B686">
            <v>4236562</v>
          </cell>
        </row>
        <row r="687">
          <cell r="A687" t="str">
            <v>0061T11999</v>
          </cell>
          <cell r="B687">
            <v>1138923</v>
          </cell>
        </row>
        <row r="688">
          <cell r="A688" t="str">
            <v>0061T21999</v>
          </cell>
          <cell r="B688">
            <v>3457504</v>
          </cell>
        </row>
        <row r="689">
          <cell r="A689" t="str">
            <v>0061T31999</v>
          </cell>
          <cell r="B689">
            <v>4543266</v>
          </cell>
        </row>
        <row r="690">
          <cell r="A690" t="str">
            <v>0061T41999</v>
          </cell>
          <cell r="B690">
            <v>4236562</v>
          </cell>
        </row>
        <row r="691">
          <cell r="A691" t="str">
            <v>0062A41999</v>
          </cell>
          <cell r="B691">
            <v>0</v>
          </cell>
        </row>
        <row r="692">
          <cell r="A692" t="str">
            <v>0062T11999</v>
          </cell>
          <cell r="B692">
            <v>0</v>
          </cell>
        </row>
        <row r="693">
          <cell r="A693" t="str">
            <v>0062T21999</v>
          </cell>
          <cell r="B693">
            <v>0</v>
          </cell>
        </row>
        <row r="694">
          <cell r="A694" t="str">
            <v>0062T31999</v>
          </cell>
          <cell r="B694">
            <v>0</v>
          </cell>
        </row>
        <row r="695">
          <cell r="A695" t="str">
            <v>0062T41999</v>
          </cell>
          <cell r="B695">
            <v>0</v>
          </cell>
        </row>
        <row r="696">
          <cell r="A696" t="str">
            <v>0063A41999</v>
          </cell>
          <cell r="B696">
            <v>0</v>
          </cell>
        </row>
        <row r="697">
          <cell r="A697" t="str">
            <v>0063T11999</v>
          </cell>
          <cell r="B697">
            <v>0</v>
          </cell>
        </row>
        <row r="698">
          <cell r="A698" t="str">
            <v>0063T21999</v>
          </cell>
          <cell r="B698">
            <v>0</v>
          </cell>
        </row>
        <row r="699">
          <cell r="A699" t="str">
            <v>0063T31999</v>
          </cell>
          <cell r="B699">
            <v>0</v>
          </cell>
        </row>
        <row r="700">
          <cell r="A700" t="str">
            <v>0063T41999</v>
          </cell>
          <cell r="B700">
            <v>0</v>
          </cell>
        </row>
        <row r="701">
          <cell r="A701" t="str">
            <v>0064A41999</v>
          </cell>
          <cell r="B701">
            <v>6824371</v>
          </cell>
        </row>
        <row r="702">
          <cell r="A702" t="str">
            <v>0064T11999</v>
          </cell>
          <cell r="B702">
            <v>3760645</v>
          </cell>
        </row>
        <row r="703">
          <cell r="A703" t="str">
            <v>0064T21999</v>
          </cell>
          <cell r="B703">
            <v>3780434</v>
          </cell>
        </row>
        <row r="704">
          <cell r="A704" t="str">
            <v>0064T31999</v>
          </cell>
          <cell r="B704">
            <v>3780434</v>
          </cell>
        </row>
        <row r="705">
          <cell r="A705" t="str">
            <v>0064T41999</v>
          </cell>
          <cell r="B705">
            <v>6824371</v>
          </cell>
        </row>
        <row r="706">
          <cell r="A706" t="str">
            <v>0065A21997</v>
          </cell>
          <cell r="B706">
            <v>71461967</v>
          </cell>
        </row>
        <row r="707">
          <cell r="A707" t="str">
            <v>0065T11997</v>
          </cell>
          <cell r="B707">
            <v>17157366</v>
          </cell>
        </row>
        <row r="708">
          <cell r="A708" t="str">
            <v>0065T21997</v>
          </cell>
          <cell r="B708">
            <v>26157331</v>
          </cell>
        </row>
        <row r="709">
          <cell r="A709" t="str">
            <v>0065T31997</v>
          </cell>
          <cell r="B709">
            <v>51718243</v>
          </cell>
        </row>
        <row r="710">
          <cell r="A710" t="str">
            <v>0065T41997</v>
          </cell>
          <cell r="B710">
            <v>71461967</v>
          </cell>
        </row>
        <row r="711">
          <cell r="A711" t="str">
            <v>0065A31998</v>
          </cell>
          <cell r="B711">
            <v>95366861</v>
          </cell>
        </row>
        <row r="712">
          <cell r="A712" t="str">
            <v>0065T11998</v>
          </cell>
          <cell r="B712">
            <v>78540630</v>
          </cell>
        </row>
        <row r="713">
          <cell r="A713" t="str">
            <v>0065T21998</v>
          </cell>
          <cell r="B713">
            <v>82685322</v>
          </cell>
        </row>
        <row r="714">
          <cell r="A714" t="str">
            <v>0065T31998</v>
          </cell>
          <cell r="B714">
            <v>89830647</v>
          </cell>
        </row>
        <row r="715">
          <cell r="A715" t="str">
            <v>0065T41998</v>
          </cell>
          <cell r="B715">
            <v>95366861</v>
          </cell>
        </row>
        <row r="716">
          <cell r="A716" t="str">
            <v>0065A41999</v>
          </cell>
          <cell r="B716">
            <v>96917523</v>
          </cell>
        </row>
        <row r="717">
          <cell r="A717" t="str">
            <v>0065T11999</v>
          </cell>
          <cell r="B717">
            <v>94768004</v>
          </cell>
        </row>
        <row r="718">
          <cell r="A718" t="str">
            <v>0065T21999</v>
          </cell>
          <cell r="B718">
            <v>89150654</v>
          </cell>
        </row>
        <row r="719">
          <cell r="A719" t="str">
            <v>0065T31999</v>
          </cell>
          <cell r="B719">
            <v>89150654</v>
          </cell>
        </row>
        <row r="720">
          <cell r="A720" t="str">
            <v>0065T41999</v>
          </cell>
          <cell r="B720">
            <v>96917523</v>
          </cell>
        </row>
        <row r="721">
          <cell r="A721" t="str">
            <v>0066A41999</v>
          </cell>
          <cell r="B721">
            <v>95403120</v>
          </cell>
        </row>
        <row r="722">
          <cell r="A722" t="str">
            <v>0066T11999</v>
          </cell>
          <cell r="B722">
            <v>91370799</v>
          </cell>
        </row>
        <row r="723">
          <cell r="A723" t="str">
            <v>0066T21999</v>
          </cell>
          <cell r="B723">
            <v>87641162</v>
          </cell>
        </row>
        <row r="724">
          <cell r="A724" t="str">
            <v>0066T31999</v>
          </cell>
          <cell r="B724">
            <v>87641161</v>
          </cell>
        </row>
        <row r="725">
          <cell r="A725" t="str">
            <v>0066T41999</v>
          </cell>
          <cell r="B725">
            <v>95403120</v>
          </cell>
        </row>
        <row r="726">
          <cell r="A726" t="str">
            <v>0067A41999</v>
          </cell>
          <cell r="B726">
            <v>1514403</v>
          </cell>
        </row>
        <row r="727">
          <cell r="A727" t="str">
            <v>0067T11999</v>
          </cell>
          <cell r="B727">
            <v>3397206</v>
          </cell>
        </row>
        <row r="728">
          <cell r="A728" t="str">
            <v>0067T21999</v>
          </cell>
          <cell r="B728">
            <v>1509492</v>
          </cell>
        </row>
        <row r="729">
          <cell r="A729" t="str">
            <v>0067T31999</v>
          </cell>
          <cell r="B729">
            <v>1509493</v>
          </cell>
        </row>
        <row r="730">
          <cell r="A730" t="str">
            <v>0067T41999</v>
          </cell>
          <cell r="B730">
            <v>1514403</v>
          </cell>
        </row>
        <row r="731">
          <cell r="A731" t="str">
            <v>0068A41999</v>
          </cell>
          <cell r="B731">
            <v>119958382</v>
          </cell>
        </row>
        <row r="732">
          <cell r="A732" t="str">
            <v>0068T11999</v>
          </cell>
          <cell r="B732">
            <v>116974703</v>
          </cell>
        </row>
        <row r="733">
          <cell r="A733" t="str">
            <v>0068T21999</v>
          </cell>
          <cell r="B733">
            <v>112823010</v>
          </cell>
        </row>
        <row r="734">
          <cell r="A734" t="str">
            <v>0068T31999</v>
          </cell>
          <cell r="B734">
            <v>112823010</v>
          </cell>
        </row>
        <row r="735">
          <cell r="A735" t="str">
            <v>0068T41999</v>
          </cell>
          <cell r="B735">
            <v>119958382</v>
          </cell>
        </row>
        <row r="736">
          <cell r="A736" t="str">
            <v>0069A41999</v>
          </cell>
          <cell r="B736">
            <v>0</v>
          </cell>
        </row>
        <row r="737">
          <cell r="A737" t="str">
            <v>0069T11999</v>
          </cell>
          <cell r="B737">
            <v>0</v>
          </cell>
        </row>
        <row r="738">
          <cell r="A738" t="str">
            <v>0069T21999</v>
          </cell>
          <cell r="B738">
            <v>0</v>
          </cell>
        </row>
        <row r="739">
          <cell r="A739" t="str">
            <v>0069T31999</v>
          </cell>
          <cell r="B739">
            <v>0</v>
          </cell>
        </row>
        <row r="740">
          <cell r="A740" t="str">
            <v>0069T41999</v>
          </cell>
          <cell r="B740">
            <v>0</v>
          </cell>
        </row>
        <row r="741">
          <cell r="A741" t="str">
            <v>0070A41999</v>
          </cell>
          <cell r="B741">
            <v>0</v>
          </cell>
        </row>
        <row r="742">
          <cell r="A742" t="str">
            <v>0070T11999</v>
          </cell>
          <cell r="B742">
            <v>0</v>
          </cell>
        </row>
        <row r="743">
          <cell r="A743" t="str">
            <v>0070T21999</v>
          </cell>
          <cell r="B743">
            <v>0</v>
          </cell>
        </row>
        <row r="744">
          <cell r="A744" t="str">
            <v>0070T31999</v>
          </cell>
          <cell r="B744">
            <v>0</v>
          </cell>
        </row>
        <row r="745">
          <cell r="A745" t="str">
            <v>0070T41999</v>
          </cell>
          <cell r="B745">
            <v>0</v>
          </cell>
        </row>
        <row r="746">
          <cell r="A746" t="str">
            <v>0071A21997</v>
          </cell>
          <cell r="B746">
            <v>121532514</v>
          </cell>
        </row>
        <row r="747">
          <cell r="A747" t="str">
            <v>0071T11997</v>
          </cell>
          <cell r="B747">
            <v>57424612</v>
          </cell>
        </row>
        <row r="748">
          <cell r="A748" t="str">
            <v>0071T21997</v>
          </cell>
          <cell r="B748">
            <v>86953215</v>
          </cell>
        </row>
        <row r="749">
          <cell r="A749" t="str">
            <v>0071T31997</v>
          </cell>
          <cell r="B749">
            <v>89110268</v>
          </cell>
        </row>
        <row r="750">
          <cell r="A750" t="str">
            <v>0071T41997</v>
          </cell>
          <cell r="B750">
            <v>121532514</v>
          </cell>
        </row>
        <row r="751">
          <cell r="A751" t="str">
            <v>0071A31998</v>
          </cell>
          <cell r="B751">
            <v>187941067</v>
          </cell>
        </row>
        <row r="752">
          <cell r="A752" t="str">
            <v>0071T11998</v>
          </cell>
          <cell r="B752">
            <v>121895906</v>
          </cell>
        </row>
        <row r="753">
          <cell r="A753" t="str">
            <v>0071T21998</v>
          </cell>
          <cell r="B753">
            <v>116073301</v>
          </cell>
        </row>
        <row r="754">
          <cell r="A754" t="str">
            <v>0071T31998</v>
          </cell>
          <cell r="B754">
            <v>121010856</v>
          </cell>
        </row>
        <row r="755">
          <cell r="A755" t="str">
            <v>0071T41998</v>
          </cell>
          <cell r="B755">
            <v>179037389</v>
          </cell>
        </row>
        <row r="756">
          <cell r="A756" t="str">
            <v>0071A41999</v>
          </cell>
          <cell r="B756">
            <v>194248445</v>
          </cell>
        </row>
        <row r="757">
          <cell r="A757" t="str">
            <v>0071T11999</v>
          </cell>
          <cell r="B757">
            <v>193458580</v>
          </cell>
        </row>
        <row r="758">
          <cell r="A758" t="str">
            <v>0071T21999</v>
          </cell>
          <cell r="B758">
            <v>191878595</v>
          </cell>
        </row>
        <row r="759">
          <cell r="A759" t="str">
            <v>0071T31999</v>
          </cell>
          <cell r="B759">
            <v>191878595</v>
          </cell>
        </row>
        <row r="760">
          <cell r="A760" t="str">
            <v>0071T41999</v>
          </cell>
          <cell r="B760">
            <v>194248445</v>
          </cell>
        </row>
        <row r="761">
          <cell r="A761" t="str">
            <v>0072A41999</v>
          </cell>
          <cell r="B761">
            <v>208838305</v>
          </cell>
        </row>
        <row r="762">
          <cell r="A762" t="str">
            <v>0072T11999</v>
          </cell>
          <cell r="B762">
            <v>135003620</v>
          </cell>
        </row>
        <row r="763">
          <cell r="A763" t="str">
            <v>0072T21999</v>
          </cell>
          <cell r="B763">
            <v>136195997</v>
          </cell>
        </row>
        <row r="764">
          <cell r="A764" t="str">
            <v>0072T31999</v>
          </cell>
          <cell r="B764">
            <v>136195997</v>
          </cell>
        </row>
        <row r="765">
          <cell r="A765" t="str">
            <v>0072T41999</v>
          </cell>
          <cell r="B765">
            <v>208838305</v>
          </cell>
        </row>
        <row r="766">
          <cell r="A766" t="str">
            <v>0073A41999</v>
          </cell>
          <cell r="B766">
            <v>1608021</v>
          </cell>
        </row>
        <row r="767">
          <cell r="A767" t="str">
            <v>0073T11999</v>
          </cell>
          <cell r="B767">
            <v>8134622</v>
          </cell>
        </row>
        <row r="768">
          <cell r="A768" t="str">
            <v>0073T21999</v>
          </cell>
          <cell r="B768">
            <v>8382956</v>
          </cell>
        </row>
        <row r="769">
          <cell r="A769" t="str">
            <v>0073T31999</v>
          </cell>
          <cell r="B769">
            <v>8382956</v>
          </cell>
        </row>
        <row r="770">
          <cell r="A770" t="str">
            <v>0073T41999</v>
          </cell>
          <cell r="B770">
            <v>1608021</v>
          </cell>
        </row>
        <row r="771">
          <cell r="A771" t="str">
            <v>0074A41999</v>
          </cell>
          <cell r="B771">
            <v>0</v>
          </cell>
        </row>
        <row r="772">
          <cell r="A772" t="str">
            <v>0074T11999</v>
          </cell>
          <cell r="B772">
            <v>0</v>
          </cell>
        </row>
        <row r="773">
          <cell r="A773" t="str">
            <v>0074T21999</v>
          </cell>
          <cell r="B773">
            <v>0</v>
          </cell>
        </row>
        <row r="774">
          <cell r="A774" t="str">
            <v>0074T31999</v>
          </cell>
          <cell r="B774">
            <v>0</v>
          </cell>
        </row>
        <row r="775">
          <cell r="A775" t="str">
            <v>0074T41999</v>
          </cell>
          <cell r="B775">
            <v>0</v>
          </cell>
        </row>
        <row r="776">
          <cell r="A776" t="str">
            <v>0075A41999</v>
          </cell>
          <cell r="B776">
            <v>0</v>
          </cell>
        </row>
        <row r="777">
          <cell r="A777" t="str">
            <v>0075T11999</v>
          </cell>
          <cell r="B777">
            <v>59510651</v>
          </cell>
        </row>
        <row r="778">
          <cell r="A778" t="str">
            <v>0075T21999</v>
          </cell>
          <cell r="B778">
            <v>60036260</v>
          </cell>
        </row>
        <row r="779">
          <cell r="A779" t="str">
            <v>0075T31999</v>
          </cell>
          <cell r="B779">
            <v>0</v>
          </cell>
        </row>
        <row r="780">
          <cell r="A780" t="str">
            <v>0075T41999</v>
          </cell>
          <cell r="B780">
            <v>0</v>
          </cell>
        </row>
        <row r="781">
          <cell r="A781" t="str">
            <v>0076A41999</v>
          </cell>
          <cell r="B781">
            <v>0</v>
          </cell>
        </row>
        <row r="782">
          <cell r="A782" t="str">
            <v>0076T11999</v>
          </cell>
          <cell r="B782">
            <v>0</v>
          </cell>
        </row>
        <row r="783">
          <cell r="A783" t="str">
            <v>0076T21999</v>
          </cell>
          <cell r="B783">
            <v>0</v>
          </cell>
        </row>
        <row r="784">
          <cell r="A784" t="str">
            <v>0076T31999</v>
          </cell>
          <cell r="B784">
            <v>0</v>
          </cell>
        </row>
        <row r="785">
          <cell r="A785" t="str">
            <v>0076T41999</v>
          </cell>
          <cell r="B785">
            <v>0</v>
          </cell>
        </row>
        <row r="786">
          <cell r="A786" t="str">
            <v>0077A41999</v>
          </cell>
          <cell r="B786">
            <v>0</v>
          </cell>
        </row>
        <row r="787">
          <cell r="A787" t="str">
            <v>0077T11999</v>
          </cell>
          <cell r="B787">
            <v>0</v>
          </cell>
        </row>
        <row r="788">
          <cell r="A788" t="str">
            <v>0077T21999</v>
          </cell>
          <cell r="B788">
            <v>0</v>
          </cell>
        </row>
        <row r="789">
          <cell r="A789" t="str">
            <v>0077T31999</v>
          </cell>
          <cell r="B789">
            <v>0</v>
          </cell>
        </row>
        <row r="790">
          <cell r="A790" t="str">
            <v>0077T41999</v>
          </cell>
          <cell r="B790">
            <v>0</v>
          </cell>
        </row>
        <row r="791">
          <cell r="A791" t="str">
            <v>0078A41999</v>
          </cell>
          <cell r="B791">
            <v>-16197881</v>
          </cell>
        </row>
        <row r="792">
          <cell r="A792" t="str">
            <v>0078T11999</v>
          </cell>
          <cell r="B792">
            <v>11136945</v>
          </cell>
        </row>
        <row r="793">
          <cell r="A793" t="str">
            <v>0078T21999</v>
          </cell>
          <cell r="B793">
            <v>11494890</v>
          </cell>
        </row>
        <row r="794">
          <cell r="A794" t="str">
            <v>0078T31999</v>
          </cell>
          <cell r="B794">
            <v>-11635846</v>
          </cell>
        </row>
        <row r="795">
          <cell r="A795" t="str">
            <v>0078T41999</v>
          </cell>
          <cell r="B795">
            <v>-16197881</v>
          </cell>
        </row>
        <row r="796">
          <cell r="A796" t="str">
            <v>0079A41999</v>
          </cell>
          <cell r="B796">
            <v>4394210</v>
          </cell>
        </row>
        <row r="797">
          <cell r="A797" t="str">
            <v>0079T11999</v>
          </cell>
          <cell r="B797">
            <v>1946633</v>
          </cell>
        </row>
        <row r="798">
          <cell r="A798" t="str">
            <v>0079T21999</v>
          </cell>
          <cell r="B798">
            <v>1241728</v>
          </cell>
        </row>
        <row r="799">
          <cell r="A799" t="str">
            <v>0079T31999</v>
          </cell>
          <cell r="B799">
            <v>-1741813</v>
          </cell>
        </row>
        <row r="800">
          <cell r="A800" t="str">
            <v>0079T41999</v>
          </cell>
          <cell r="B800">
            <v>4394210</v>
          </cell>
        </row>
        <row r="801">
          <cell r="A801" t="str">
            <v>0080A21997</v>
          </cell>
          <cell r="B801">
            <v>42232313</v>
          </cell>
        </row>
        <row r="802">
          <cell r="A802" t="str">
            <v>0080T11997</v>
          </cell>
          <cell r="B802">
            <v>10020066</v>
          </cell>
        </row>
        <row r="803">
          <cell r="A803" t="str">
            <v>0080T21997</v>
          </cell>
          <cell r="B803">
            <v>9806068</v>
          </cell>
        </row>
        <row r="804">
          <cell r="A804" t="str">
            <v>0080T31997</v>
          </cell>
          <cell r="B804">
            <v>10414432</v>
          </cell>
        </row>
        <row r="805">
          <cell r="A805" t="str">
            <v>0080T41997</v>
          </cell>
          <cell r="B805">
            <v>11991747</v>
          </cell>
        </row>
        <row r="806">
          <cell r="A806" t="str">
            <v>0080A31998</v>
          </cell>
          <cell r="B806">
            <v>46348045</v>
          </cell>
        </row>
        <row r="807">
          <cell r="A807" t="str">
            <v>0080T11998</v>
          </cell>
          <cell r="B807">
            <v>11498747</v>
          </cell>
        </row>
        <row r="808">
          <cell r="A808" t="str">
            <v>0080T21998</v>
          </cell>
          <cell r="B808">
            <v>11333178</v>
          </cell>
        </row>
        <row r="809">
          <cell r="A809" t="str">
            <v>0080T31998</v>
          </cell>
          <cell r="B809">
            <v>11415521</v>
          </cell>
        </row>
        <row r="810">
          <cell r="A810" t="str">
            <v>0080T41998</v>
          </cell>
          <cell r="B810">
            <v>11291389</v>
          </cell>
        </row>
        <row r="811">
          <cell r="A811" t="str">
            <v>0080A41999</v>
          </cell>
          <cell r="B811">
            <v>42597569</v>
          </cell>
        </row>
        <row r="812">
          <cell r="A812" t="str">
            <v>0080T11999</v>
          </cell>
          <cell r="B812">
            <v>10945194</v>
          </cell>
        </row>
        <row r="813">
          <cell r="A813" t="str">
            <v>0080T21999</v>
          </cell>
          <cell r="B813">
            <v>21826224</v>
          </cell>
        </row>
        <row r="814">
          <cell r="A814" t="str">
            <v>0080T31999</v>
          </cell>
          <cell r="B814">
            <v>32130576</v>
          </cell>
        </row>
        <row r="815">
          <cell r="A815" t="str">
            <v>0080T41999</v>
          </cell>
          <cell r="B815">
            <v>42597569</v>
          </cell>
        </row>
        <row r="816">
          <cell r="A816" t="str">
            <v>0081A41999</v>
          </cell>
          <cell r="B816">
            <v>4263727</v>
          </cell>
        </row>
        <row r="817">
          <cell r="A817" t="str">
            <v>0081T11999</v>
          </cell>
          <cell r="B817">
            <v>916152</v>
          </cell>
        </row>
        <row r="818">
          <cell r="A818" t="str">
            <v>0081T21999</v>
          </cell>
          <cell r="B818">
            <v>1863495</v>
          </cell>
        </row>
        <row r="819">
          <cell r="A819" t="str">
            <v>0081T31999</v>
          </cell>
          <cell r="B819">
            <v>3094457</v>
          </cell>
        </row>
        <row r="820">
          <cell r="A820" t="str">
            <v>0081T41999</v>
          </cell>
          <cell r="B820">
            <v>4263727</v>
          </cell>
        </row>
        <row r="821">
          <cell r="A821" t="str">
            <v>0082A41999</v>
          </cell>
          <cell r="B821">
            <v>46881296</v>
          </cell>
        </row>
        <row r="822">
          <cell r="A822" t="str">
            <v>0082T11999</v>
          </cell>
          <cell r="B822">
            <v>11861346</v>
          </cell>
        </row>
        <row r="823">
          <cell r="A823" t="str">
            <v>0082T21999</v>
          </cell>
          <cell r="B823">
            <v>23689719</v>
          </cell>
        </row>
        <row r="824">
          <cell r="A824" t="str">
            <v>0082T31999</v>
          </cell>
          <cell r="B824">
            <v>35225033</v>
          </cell>
        </row>
        <row r="825">
          <cell r="A825" t="str">
            <v>0082T41999</v>
          </cell>
          <cell r="B825">
            <v>46881296</v>
          </cell>
        </row>
        <row r="826">
          <cell r="A826" t="str">
            <v>0083A21997</v>
          </cell>
          <cell r="B826">
            <v>25917073</v>
          </cell>
        </row>
        <row r="827">
          <cell r="A827" t="str">
            <v>0083T11997</v>
          </cell>
          <cell r="B827">
            <v>5085761</v>
          </cell>
        </row>
        <row r="828">
          <cell r="A828" t="str">
            <v>0083T21997</v>
          </cell>
          <cell r="B828">
            <v>6089403</v>
          </cell>
        </row>
        <row r="829">
          <cell r="A829" t="str">
            <v>0083T31997</v>
          </cell>
          <cell r="B829">
            <v>5417991</v>
          </cell>
        </row>
        <row r="830">
          <cell r="A830" t="str">
            <v>0083T41997</v>
          </cell>
          <cell r="B830">
            <v>9323918</v>
          </cell>
        </row>
        <row r="831">
          <cell r="A831" t="str">
            <v>0083A31998</v>
          </cell>
          <cell r="B831">
            <v>25486791</v>
          </cell>
        </row>
        <row r="832">
          <cell r="A832" t="str">
            <v>0083T11998</v>
          </cell>
          <cell r="B832">
            <v>5723651</v>
          </cell>
        </row>
        <row r="833">
          <cell r="A833" t="str">
            <v>0083T21998</v>
          </cell>
          <cell r="B833">
            <v>6877766</v>
          </cell>
        </row>
        <row r="834">
          <cell r="A834" t="str">
            <v>0083T31998</v>
          </cell>
          <cell r="B834">
            <v>5909932</v>
          </cell>
        </row>
        <row r="835">
          <cell r="A835" t="str">
            <v>0083T41998</v>
          </cell>
          <cell r="B835">
            <v>6669561</v>
          </cell>
        </row>
        <row r="836">
          <cell r="A836" t="str">
            <v>0083A41999</v>
          </cell>
          <cell r="B836">
            <v>27017270</v>
          </cell>
        </row>
        <row r="837">
          <cell r="A837" t="str">
            <v>0083T11999</v>
          </cell>
          <cell r="B837">
            <v>6752633</v>
          </cell>
        </row>
        <row r="838">
          <cell r="A838" t="str">
            <v>0083T21999</v>
          </cell>
          <cell r="B838">
            <v>12346133</v>
          </cell>
        </row>
        <row r="839">
          <cell r="A839" t="str">
            <v>0083T31999</v>
          </cell>
          <cell r="B839">
            <v>19362436</v>
          </cell>
        </row>
        <row r="840">
          <cell r="A840" t="str">
            <v>0083T41999</v>
          </cell>
          <cell r="B840">
            <v>27017270</v>
          </cell>
        </row>
        <row r="841">
          <cell r="A841" t="str">
            <v>0084A41999</v>
          </cell>
          <cell r="B841">
            <v>19864026</v>
          </cell>
        </row>
        <row r="842">
          <cell r="A842" t="str">
            <v>0084T11999</v>
          </cell>
          <cell r="B842">
            <v>5108713</v>
          </cell>
        </row>
        <row r="843">
          <cell r="A843" t="str">
            <v>0084T21999</v>
          </cell>
          <cell r="B843">
            <v>11343586</v>
          </cell>
        </row>
        <row r="844">
          <cell r="A844" t="str">
            <v>0084T31999</v>
          </cell>
          <cell r="B844">
            <v>15862596</v>
          </cell>
        </row>
        <row r="845">
          <cell r="A845" t="str">
            <v>0084T41999</v>
          </cell>
          <cell r="B845">
            <v>19864026</v>
          </cell>
        </row>
        <row r="846">
          <cell r="A846" t="str">
            <v>0085A21997</v>
          </cell>
          <cell r="B846">
            <v>9318195</v>
          </cell>
        </row>
        <row r="847">
          <cell r="A847" t="str">
            <v>0085T11997</v>
          </cell>
          <cell r="B847">
            <v>1113190</v>
          </cell>
        </row>
        <row r="848">
          <cell r="A848" t="str">
            <v>0085T21997</v>
          </cell>
          <cell r="B848">
            <v>826066</v>
          </cell>
        </row>
        <row r="849">
          <cell r="A849" t="str">
            <v>0085T31997</v>
          </cell>
          <cell r="B849">
            <v>866728</v>
          </cell>
        </row>
        <row r="850">
          <cell r="A850" t="str">
            <v>0085T41997</v>
          </cell>
          <cell r="B850">
            <v>6512211</v>
          </cell>
        </row>
        <row r="851">
          <cell r="A851" t="str">
            <v>0085A31998</v>
          </cell>
          <cell r="B851">
            <v>9560876</v>
          </cell>
        </row>
        <row r="852">
          <cell r="A852" t="str">
            <v>0085T11998</v>
          </cell>
          <cell r="B852">
            <v>970170</v>
          </cell>
        </row>
        <row r="853">
          <cell r="A853" t="str">
            <v>0085T21998</v>
          </cell>
          <cell r="B853">
            <v>7409707</v>
          </cell>
        </row>
        <row r="854">
          <cell r="A854" t="str">
            <v>0085T31998</v>
          </cell>
          <cell r="B854">
            <v>860210</v>
          </cell>
        </row>
        <row r="855">
          <cell r="A855" t="str">
            <v>0085T41998</v>
          </cell>
          <cell r="B855">
            <v>126809</v>
          </cell>
        </row>
        <row r="856">
          <cell r="A856" t="str">
            <v>0085A41999</v>
          </cell>
          <cell r="B856">
            <v>11724360</v>
          </cell>
        </row>
        <row r="857">
          <cell r="A857" t="str">
            <v>0085T11999</v>
          </cell>
          <cell r="B857">
            <v>1506424</v>
          </cell>
        </row>
        <row r="858">
          <cell r="A858" t="str">
            <v>0085T21999</v>
          </cell>
          <cell r="B858">
            <v>6215378</v>
          </cell>
        </row>
        <row r="859">
          <cell r="A859" t="str">
            <v>0085T31999</v>
          </cell>
          <cell r="B859">
            <v>8046292</v>
          </cell>
        </row>
        <row r="860">
          <cell r="A860" t="str">
            <v>0085T41999</v>
          </cell>
          <cell r="B860">
            <v>11724360</v>
          </cell>
        </row>
        <row r="861">
          <cell r="A861" t="str">
            <v>0086A21997</v>
          </cell>
          <cell r="B861">
            <v>8004808</v>
          </cell>
        </row>
        <row r="862">
          <cell r="A862" t="str">
            <v>0086T11997</v>
          </cell>
          <cell r="B862">
            <v>1610234</v>
          </cell>
        </row>
        <row r="863">
          <cell r="A863" t="str">
            <v>0086T21997</v>
          </cell>
          <cell r="B863">
            <v>2160500</v>
          </cell>
        </row>
        <row r="864">
          <cell r="A864" t="str">
            <v>0086T31997</v>
          </cell>
          <cell r="B864">
            <v>2022005</v>
          </cell>
        </row>
        <row r="865">
          <cell r="A865" t="str">
            <v>0086T41997</v>
          </cell>
          <cell r="B865">
            <v>2212069</v>
          </cell>
        </row>
        <row r="866">
          <cell r="A866" t="str">
            <v>0086A31998</v>
          </cell>
          <cell r="B866">
            <v>7875257</v>
          </cell>
        </row>
        <row r="867">
          <cell r="A867" t="str">
            <v>0086T11998</v>
          </cell>
          <cell r="B867">
            <v>1754020</v>
          </cell>
        </row>
        <row r="868">
          <cell r="A868" t="str">
            <v>0086T21998</v>
          </cell>
          <cell r="B868">
            <v>1975280</v>
          </cell>
        </row>
        <row r="869">
          <cell r="A869" t="str">
            <v>0086T31998</v>
          </cell>
          <cell r="B869">
            <v>1930021</v>
          </cell>
        </row>
        <row r="870">
          <cell r="A870" t="str">
            <v>0086T41998</v>
          </cell>
          <cell r="B870">
            <v>2087527</v>
          </cell>
        </row>
        <row r="871">
          <cell r="A871" t="str">
            <v>0086A41999</v>
          </cell>
          <cell r="B871">
            <v>6964724</v>
          </cell>
        </row>
        <row r="872">
          <cell r="A872" t="str">
            <v>0086T11999</v>
          </cell>
          <cell r="B872">
            <v>1784414</v>
          </cell>
        </row>
        <row r="873">
          <cell r="A873" t="str">
            <v>0086T21999</v>
          </cell>
          <cell r="B873">
            <v>3315943</v>
          </cell>
        </row>
        <row r="874">
          <cell r="A874" t="str">
            <v>0086T31999</v>
          </cell>
          <cell r="B874">
            <v>5194130</v>
          </cell>
        </row>
        <row r="875">
          <cell r="A875" t="str">
            <v>0086T41999</v>
          </cell>
          <cell r="B875">
            <v>6964724</v>
          </cell>
        </row>
        <row r="876">
          <cell r="A876" t="str">
            <v>0087A41999</v>
          </cell>
          <cell r="B876">
            <v>1174942</v>
          </cell>
        </row>
        <row r="877">
          <cell r="A877" t="str">
            <v>0087T11999</v>
          </cell>
          <cell r="B877">
            <v>1817875</v>
          </cell>
        </row>
        <row r="878">
          <cell r="A878" t="str">
            <v>0087T21999</v>
          </cell>
          <cell r="B878">
            <v>1812265</v>
          </cell>
        </row>
        <row r="879">
          <cell r="A879" t="str">
            <v>0087T31999</v>
          </cell>
          <cell r="B879">
            <v>2622175</v>
          </cell>
        </row>
        <row r="880">
          <cell r="A880" t="str">
            <v>0087T41999</v>
          </cell>
          <cell r="B880">
            <v>1174942</v>
          </cell>
        </row>
        <row r="881">
          <cell r="A881" t="str">
            <v>0088A41999</v>
          </cell>
          <cell r="B881">
            <v>0</v>
          </cell>
        </row>
        <row r="882">
          <cell r="A882" t="str">
            <v>0088T11999</v>
          </cell>
          <cell r="B882">
            <v>0</v>
          </cell>
        </row>
        <row r="883">
          <cell r="A883" t="str">
            <v>0088T21999</v>
          </cell>
          <cell r="B883">
            <v>0</v>
          </cell>
        </row>
        <row r="884">
          <cell r="A884" t="str">
            <v>0088T31999</v>
          </cell>
          <cell r="B884">
            <v>0</v>
          </cell>
        </row>
        <row r="885">
          <cell r="A885" t="str">
            <v>0088T41999</v>
          </cell>
          <cell r="B885">
            <v>0</v>
          </cell>
        </row>
        <row r="886">
          <cell r="A886" t="str">
            <v>0089A21997</v>
          </cell>
          <cell r="B886">
            <v>6367357</v>
          </cell>
        </row>
        <row r="887">
          <cell r="A887" t="str">
            <v>0089T11997</v>
          </cell>
          <cell r="B887">
            <v>606051</v>
          </cell>
        </row>
        <row r="888">
          <cell r="A888" t="str">
            <v>0089T21997</v>
          </cell>
          <cell r="B888">
            <v>1307958</v>
          </cell>
        </row>
        <row r="889">
          <cell r="A889" t="str">
            <v>0089T31997</v>
          </cell>
          <cell r="B889">
            <v>1673193</v>
          </cell>
        </row>
        <row r="890">
          <cell r="A890" t="str">
            <v>0089T41997</v>
          </cell>
          <cell r="B890">
            <v>2780155</v>
          </cell>
        </row>
        <row r="891">
          <cell r="A891" t="str">
            <v>0089A31998</v>
          </cell>
          <cell r="B891">
            <v>8471654</v>
          </cell>
        </row>
        <row r="892">
          <cell r="A892" t="str">
            <v>0089T11998</v>
          </cell>
          <cell r="B892">
            <v>1842518</v>
          </cell>
        </row>
        <row r="893">
          <cell r="A893" t="str">
            <v>0089T21998</v>
          </cell>
          <cell r="B893">
            <v>5279490</v>
          </cell>
        </row>
        <row r="894">
          <cell r="A894" t="str">
            <v>0089T31998</v>
          </cell>
          <cell r="B894">
            <v>79988</v>
          </cell>
        </row>
        <row r="895">
          <cell r="A895" t="str">
            <v>0089T41998</v>
          </cell>
          <cell r="B895">
            <v>3144677</v>
          </cell>
        </row>
        <row r="896">
          <cell r="A896" t="str">
            <v>0089A41999</v>
          </cell>
          <cell r="B896">
            <v>455813</v>
          </cell>
        </row>
        <row r="897">
          <cell r="A897" t="str">
            <v>0089T11999</v>
          </cell>
          <cell r="B897">
            <v>86953</v>
          </cell>
        </row>
        <row r="898">
          <cell r="A898" t="str">
            <v>0089T21999</v>
          </cell>
          <cell r="B898">
            <v>411207</v>
          </cell>
        </row>
        <row r="899">
          <cell r="A899" t="str">
            <v>0089T31999</v>
          </cell>
          <cell r="B899">
            <v>427434</v>
          </cell>
        </row>
        <row r="900">
          <cell r="A900" t="str">
            <v>0089T41999</v>
          </cell>
          <cell r="B900">
            <v>455813</v>
          </cell>
        </row>
        <row r="901">
          <cell r="A901" t="str">
            <v>0090A41999</v>
          </cell>
          <cell r="B901">
            <v>3603182</v>
          </cell>
        </row>
        <row r="902">
          <cell r="A902" t="str">
            <v>0090T11999</v>
          </cell>
          <cell r="B902">
            <v>1562196</v>
          </cell>
        </row>
        <row r="903">
          <cell r="A903" t="str">
            <v>0090T21999</v>
          </cell>
          <cell r="B903">
            <v>2018383</v>
          </cell>
        </row>
        <row r="904">
          <cell r="A904" t="str">
            <v>0090T31999</v>
          </cell>
          <cell r="B904">
            <v>2775467</v>
          </cell>
        </row>
        <row r="905">
          <cell r="A905" t="str">
            <v>0090T41999</v>
          </cell>
          <cell r="B905">
            <v>3603182</v>
          </cell>
        </row>
        <row r="906">
          <cell r="A906" t="str">
            <v>0091A41999</v>
          </cell>
          <cell r="B906">
            <v>10177697</v>
          </cell>
        </row>
        <row r="907">
          <cell r="A907" t="str">
            <v>0091T11999</v>
          </cell>
          <cell r="B907">
            <v>2243067</v>
          </cell>
        </row>
        <row r="908">
          <cell r="A908" t="str">
            <v>0091T21999</v>
          </cell>
          <cell r="B908">
            <v>4383457</v>
          </cell>
        </row>
        <row r="909">
          <cell r="A909" t="str">
            <v>0091T31999</v>
          </cell>
          <cell r="B909">
            <v>7758218</v>
          </cell>
        </row>
        <row r="910">
          <cell r="A910" t="str">
            <v>0091T41999</v>
          </cell>
          <cell r="B910">
            <v>10177697</v>
          </cell>
        </row>
        <row r="911">
          <cell r="A911" t="str">
            <v>0092A41999</v>
          </cell>
          <cell r="B911">
            <v>4307028</v>
          </cell>
        </row>
        <row r="912">
          <cell r="A912" t="str">
            <v>0092T11999</v>
          </cell>
          <cell r="B912">
            <v>696302</v>
          </cell>
        </row>
        <row r="913">
          <cell r="A913" t="str">
            <v>0092T21999</v>
          </cell>
          <cell r="B913">
            <v>2718206</v>
          </cell>
        </row>
        <row r="914">
          <cell r="A914" t="str">
            <v>0092T31999</v>
          </cell>
          <cell r="B914">
            <v>3875662</v>
          </cell>
        </row>
        <row r="915">
          <cell r="A915" t="str">
            <v>0092T41999</v>
          </cell>
          <cell r="B915">
            <v>4307028</v>
          </cell>
        </row>
        <row r="916">
          <cell r="A916" t="str">
            <v>0093A41999</v>
          </cell>
          <cell r="B916">
            <v>4846578</v>
          </cell>
        </row>
        <row r="917">
          <cell r="A917" t="str">
            <v>0093T11999</v>
          </cell>
          <cell r="B917">
            <v>1418977</v>
          </cell>
        </row>
        <row r="918">
          <cell r="A918" t="str">
            <v>0093T21999</v>
          </cell>
          <cell r="B918">
            <v>1618079</v>
          </cell>
        </row>
        <row r="919">
          <cell r="A919" t="str">
            <v>0093T31999</v>
          </cell>
          <cell r="B919">
            <v>4066991</v>
          </cell>
        </row>
        <row r="920">
          <cell r="A920" t="str">
            <v>0093T41999</v>
          </cell>
          <cell r="B920">
            <v>4846578</v>
          </cell>
        </row>
        <row r="921">
          <cell r="A921" t="str">
            <v>0094A41999</v>
          </cell>
          <cell r="B921">
            <v>-4394210</v>
          </cell>
        </row>
        <row r="922">
          <cell r="A922" t="str">
            <v>0094T11999</v>
          </cell>
          <cell r="B922">
            <v>1946633</v>
          </cell>
        </row>
        <row r="923">
          <cell r="A923" t="str">
            <v>0094T21999</v>
          </cell>
          <cell r="B923">
            <v>-1241728</v>
          </cell>
        </row>
        <row r="924">
          <cell r="A924" t="str">
            <v>0094T31999</v>
          </cell>
          <cell r="B924">
            <v>0</v>
          </cell>
        </row>
        <row r="925">
          <cell r="A925" t="str">
            <v>0094T41999</v>
          </cell>
          <cell r="B925">
            <v>-4394210</v>
          </cell>
        </row>
        <row r="926">
          <cell r="A926" t="str">
            <v>0095A41999</v>
          </cell>
          <cell r="B926">
            <v>0</v>
          </cell>
        </row>
        <row r="927">
          <cell r="A927" t="str">
            <v>0095T11999</v>
          </cell>
          <cell r="B927">
            <v>0</v>
          </cell>
        </row>
        <row r="928">
          <cell r="A928" t="str">
            <v>0095T21999</v>
          </cell>
          <cell r="B928">
            <v>0</v>
          </cell>
        </row>
        <row r="929">
          <cell r="A929" t="str">
            <v>0095T31999</v>
          </cell>
          <cell r="B929">
            <v>0</v>
          </cell>
        </row>
        <row r="930">
          <cell r="A930" t="str">
            <v>0095T41999</v>
          </cell>
          <cell r="B930">
            <v>0</v>
          </cell>
        </row>
        <row r="931">
          <cell r="A931" t="str">
            <v>0096A41999</v>
          </cell>
          <cell r="B931">
            <v>0</v>
          </cell>
        </row>
        <row r="932">
          <cell r="A932" t="str">
            <v>0096T11999</v>
          </cell>
          <cell r="B932">
            <v>0</v>
          </cell>
        </row>
        <row r="933">
          <cell r="A933" t="str">
            <v>0096T21999</v>
          </cell>
          <cell r="B933">
            <v>0</v>
          </cell>
        </row>
        <row r="934">
          <cell r="A934" t="str">
            <v>0096T31999</v>
          </cell>
          <cell r="B934">
            <v>0</v>
          </cell>
        </row>
        <row r="935">
          <cell r="A935" t="str">
            <v>0096T41999</v>
          </cell>
          <cell r="B935">
            <v>0</v>
          </cell>
        </row>
        <row r="936">
          <cell r="A936" t="str">
            <v>0097A41999</v>
          </cell>
          <cell r="B936">
            <v>0</v>
          </cell>
        </row>
        <row r="937">
          <cell r="A937" t="str">
            <v>0097T11999</v>
          </cell>
          <cell r="B937">
            <v>0</v>
          </cell>
        </row>
        <row r="938">
          <cell r="A938" t="str">
            <v>0097T21999</v>
          </cell>
          <cell r="B938">
            <v>0</v>
          </cell>
        </row>
        <row r="939">
          <cell r="A939" t="str">
            <v>0097T31999</v>
          </cell>
          <cell r="B939">
            <v>-1741813</v>
          </cell>
        </row>
        <row r="940">
          <cell r="A940" t="str">
            <v>0097T41999</v>
          </cell>
          <cell r="B940">
            <v>0</v>
          </cell>
        </row>
        <row r="941">
          <cell r="A941" t="str">
            <v>0098A41999</v>
          </cell>
          <cell r="B941">
            <v>0</v>
          </cell>
        </row>
        <row r="942">
          <cell r="A942" t="str">
            <v>0098T11999</v>
          </cell>
          <cell r="B942">
            <v>0</v>
          </cell>
        </row>
        <row r="943">
          <cell r="A943" t="str">
            <v>0098T21999</v>
          </cell>
          <cell r="B943">
            <v>0</v>
          </cell>
        </row>
        <row r="944">
          <cell r="A944" t="str">
            <v>0098T31999</v>
          </cell>
          <cell r="B944">
            <v>0</v>
          </cell>
        </row>
        <row r="945">
          <cell r="A945" t="str">
            <v>0098T41999</v>
          </cell>
          <cell r="B945">
            <v>0</v>
          </cell>
        </row>
        <row r="946">
          <cell r="A946" t="str">
            <v>0099A21997</v>
          </cell>
          <cell r="B946">
            <v>-4033934</v>
          </cell>
        </row>
        <row r="947">
          <cell r="A947" t="str">
            <v>0099T11997</v>
          </cell>
          <cell r="B947">
            <v>966599</v>
          </cell>
        </row>
        <row r="948">
          <cell r="A948" t="str">
            <v>0099T21997</v>
          </cell>
          <cell r="B948">
            <v>659563</v>
          </cell>
        </row>
        <row r="949">
          <cell r="A949" t="str">
            <v>0099T31997</v>
          </cell>
          <cell r="B949">
            <v>2063165</v>
          </cell>
        </row>
        <row r="950">
          <cell r="A950" t="str">
            <v>0099T41997</v>
          </cell>
          <cell r="B950">
            <v>-4033934</v>
          </cell>
        </row>
        <row r="951">
          <cell r="A951" t="str">
            <v>0099A31998</v>
          </cell>
          <cell r="B951">
            <v>-1629107</v>
          </cell>
        </row>
        <row r="952">
          <cell r="A952" t="str">
            <v>0099T11998</v>
          </cell>
          <cell r="B952">
            <v>1193476</v>
          </cell>
        </row>
        <row r="953">
          <cell r="A953" t="str">
            <v>0099T21998</v>
          </cell>
          <cell r="B953">
            <v>-9100354</v>
          </cell>
        </row>
        <row r="954">
          <cell r="A954" t="str">
            <v>0099T31998</v>
          </cell>
          <cell r="B954">
            <v>1558503</v>
          </cell>
        </row>
        <row r="955">
          <cell r="A955" t="str">
            <v>0099T41998</v>
          </cell>
          <cell r="B955">
            <v>-1462600</v>
          </cell>
        </row>
        <row r="956">
          <cell r="A956" t="str">
            <v>0099A41999</v>
          </cell>
          <cell r="B956">
            <v>-4394210</v>
          </cell>
        </row>
        <row r="957">
          <cell r="A957" t="str">
            <v>0099T11999</v>
          </cell>
          <cell r="B957">
            <v>1946633</v>
          </cell>
        </row>
        <row r="958">
          <cell r="A958" t="str">
            <v>0099T21999</v>
          </cell>
          <cell r="B958">
            <v>-1241728</v>
          </cell>
        </row>
        <row r="959">
          <cell r="A959" t="str">
            <v>0099T31999</v>
          </cell>
          <cell r="B959">
            <v>-1741813</v>
          </cell>
        </row>
        <row r="960">
          <cell r="A960" t="str">
            <v>0099T41999</v>
          </cell>
          <cell r="B960">
            <v>-4394210</v>
          </cell>
        </row>
        <row r="961">
          <cell r="A961" t="str">
            <v>0100A21997</v>
          </cell>
          <cell r="B961">
            <v>11051949</v>
          </cell>
        </row>
        <row r="962">
          <cell r="A962" t="str">
            <v>0100T11997</v>
          </cell>
          <cell r="B962">
            <v>2869243</v>
          </cell>
        </row>
        <row r="963">
          <cell r="A963" t="str">
            <v>0100T21997</v>
          </cell>
          <cell r="B963">
            <v>2190057</v>
          </cell>
        </row>
        <row r="964">
          <cell r="A964" t="str">
            <v>0100T31997</v>
          </cell>
          <cell r="B964">
            <v>1761459</v>
          </cell>
        </row>
        <row r="965">
          <cell r="A965" t="str">
            <v>0100T41997</v>
          </cell>
          <cell r="B965">
            <v>4231190</v>
          </cell>
        </row>
        <row r="966">
          <cell r="A966" t="str">
            <v>0100A31998</v>
          </cell>
          <cell r="B966">
            <v>7619036</v>
          </cell>
        </row>
        <row r="967">
          <cell r="A967" t="str">
            <v>0100T11998</v>
          </cell>
          <cell r="B967">
            <v>1441931</v>
          </cell>
        </row>
        <row r="968">
          <cell r="A968" t="str">
            <v>0100T21998</v>
          </cell>
          <cell r="B968">
            <v>4791047</v>
          </cell>
        </row>
        <row r="969">
          <cell r="A969" t="str">
            <v>0100T31998</v>
          </cell>
          <cell r="B969">
            <v>3912374</v>
          </cell>
        </row>
        <row r="970">
          <cell r="A970" t="str">
            <v>0100T41998</v>
          </cell>
        </row>
        <row r="971">
          <cell r="A971" t="str">
            <v>0100A41999</v>
          </cell>
          <cell r="B971">
            <v>19114382</v>
          </cell>
        </row>
        <row r="972">
          <cell r="A972" t="str">
            <v>0100T11999</v>
          </cell>
          <cell r="B972">
            <v>3174518</v>
          </cell>
        </row>
        <row r="973">
          <cell r="A973" t="str">
            <v>0100T21999</v>
          </cell>
          <cell r="B973">
            <v>4546097</v>
          </cell>
        </row>
        <row r="974">
          <cell r="A974" t="str">
            <v>0100T31999</v>
          </cell>
          <cell r="B974">
            <v>7098730</v>
          </cell>
        </row>
        <row r="975">
          <cell r="A975" t="str">
            <v>0100T41999</v>
          </cell>
          <cell r="B975">
            <v>9557191</v>
          </cell>
        </row>
        <row r="976">
          <cell r="A976" t="str">
            <v>0101A21997</v>
          </cell>
          <cell r="B976">
            <v>2682786</v>
          </cell>
        </row>
        <row r="977">
          <cell r="A977" t="str">
            <v>0101A31998</v>
          </cell>
          <cell r="B977">
            <v>2118265</v>
          </cell>
        </row>
        <row r="978">
          <cell r="A978" t="str">
            <v>0101A41999</v>
          </cell>
          <cell r="B978">
            <v>8423832</v>
          </cell>
        </row>
        <row r="979">
          <cell r="A979" t="str">
            <v>0101T11999</v>
          </cell>
          <cell r="B979">
            <v>0</v>
          </cell>
        </row>
        <row r="980">
          <cell r="A980" t="str">
            <v>0101T21999</v>
          </cell>
          <cell r="B980">
            <v>2090047</v>
          </cell>
        </row>
        <row r="981">
          <cell r="A981" t="str">
            <v>0101T31999</v>
          </cell>
          <cell r="B981">
            <v>3112953</v>
          </cell>
        </row>
        <row r="982">
          <cell r="A982" t="str">
            <v>0101T41999</v>
          </cell>
          <cell r="B982">
            <v>4211916</v>
          </cell>
        </row>
        <row r="983">
          <cell r="A983" t="str">
            <v>0102A21997</v>
          </cell>
          <cell r="B983">
            <v>3069365</v>
          </cell>
        </row>
        <row r="984">
          <cell r="A984" t="str">
            <v>0102T11997</v>
          </cell>
          <cell r="B984">
            <v>2175231</v>
          </cell>
        </row>
        <row r="985">
          <cell r="A985" t="str">
            <v>0102T21997</v>
          </cell>
          <cell r="B985">
            <v>2382208</v>
          </cell>
        </row>
        <row r="986">
          <cell r="A986" t="str">
            <v>0102T31997</v>
          </cell>
          <cell r="B986">
            <v>2136401</v>
          </cell>
        </row>
        <row r="987">
          <cell r="A987" t="str">
            <v>0102T41997</v>
          </cell>
          <cell r="B987">
            <v>3085260</v>
          </cell>
        </row>
        <row r="988">
          <cell r="A988" t="str">
            <v>0102A31998</v>
          </cell>
          <cell r="B988">
            <v>9096670</v>
          </cell>
        </row>
        <row r="989">
          <cell r="A989" t="str">
            <v>0102T11998</v>
          </cell>
          <cell r="B989">
            <v>1848846</v>
          </cell>
        </row>
        <row r="990">
          <cell r="A990" t="str">
            <v>0102T21998</v>
          </cell>
          <cell r="B990">
            <v>2479186</v>
          </cell>
        </row>
        <row r="991">
          <cell r="A991" t="str">
            <v>0102T31998</v>
          </cell>
          <cell r="B991">
            <v>2181903</v>
          </cell>
        </row>
        <row r="992">
          <cell r="A992" t="str">
            <v>0102T41998</v>
          </cell>
          <cell r="B992">
            <v>2586735</v>
          </cell>
        </row>
        <row r="993">
          <cell r="A993" t="str">
            <v>0102A41999</v>
          </cell>
          <cell r="B993">
            <v>21877448</v>
          </cell>
        </row>
        <row r="994">
          <cell r="A994" t="str">
            <v>0102T11999</v>
          </cell>
          <cell r="B994">
            <v>1805958</v>
          </cell>
        </row>
        <row r="995">
          <cell r="A995" t="str">
            <v>0102T21999</v>
          </cell>
          <cell r="B995">
            <v>4749058</v>
          </cell>
        </row>
        <row r="996">
          <cell r="A996" t="str">
            <v>0102T31999</v>
          </cell>
          <cell r="B996">
            <v>7791258</v>
          </cell>
        </row>
        <row r="997">
          <cell r="A997" t="str">
            <v>0102T41999</v>
          </cell>
          <cell r="B997">
            <v>10938724</v>
          </cell>
        </row>
        <row r="998">
          <cell r="A998" t="str">
            <v>0103A21997</v>
          </cell>
          <cell r="B998">
            <v>14685839</v>
          </cell>
        </row>
        <row r="999">
          <cell r="A999" t="str">
            <v>0103T11997</v>
          </cell>
          <cell r="B999">
            <v>2806276</v>
          </cell>
        </row>
        <row r="1000">
          <cell r="A1000" t="str">
            <v>0103T21997</v>
          </cell>
          <cell r="B1000">
            <v>2698888</v>
          </cell>
        </row>
        <row r="1001">
          <cell r="A1001" t="str">
            <v>0103T31997</v>
          </cell>
          <cell r="B1001">
            <v>3093725</v>
          </cell>
        </row>
        <row r="1002">
          <cell r="A1002" t="str">
            <v>0103T41997</v>
          </cell>
          <cell r="B1002">
            <v>5140866</v>
          </cell>
        </row>
        <row r="1003">
          <cell r="A1003" t="str">
            <v>0103A31998</v>
          </cell>
          <cell r="B1003">
            <v>13904130</v>
          </cell>
        </row>
        <row r="1004">
          <cell r="A1004" t="str">
            <v>0103T11998</v>
          </cell>
          <cell r="B1004">
            <v>3561551</v>
          </cell>
        </row>
        <row r="1005">
          <cell r="A1005" t="str">
            <v>0103T21998</v>
          </cell>
          <cell r="B1005">
            <v>3832943</v>
          </cell>
        </row>
        <row r="1006">
          <cell r="A1006" t="str">
            <v>0103T31998</v>
          </cell>
          <cell r="B1006">
            <v>3179778</v>
          </cell>
        </row>
        <row r="1007">
          <cell r="A1007" t="str">
            <v>0103T41998</v>
          </cell>
          <cell r="B1007">
            <v>3329858</v>
          </cell>
        </row>
        <row r="1008">
          <cell r="A1008" t="str">
            <v>0103A41999</v>
          </cell>
          <cell r="B1008">
            <v>26504734</v>
          </cell>
        </row>
        <row r="1009">
          <cell r="A1009" t="str">
            <v>0103T11999</v>
          </cell>
          <cell r="B1009">
            <v>3034453</v>
          </cell>
        </row>
        <row r="1010">
          <cell r="A1010" t="str">
            <v>0103T21999</v>
          </cell>
          <cell r="B1010">
            <v>6042208</v>
          </cell>
        </row>
        <row r="1011">
          <cell r="A1011" t="str">
            <v>0103T31999</v>
          </cell>
          <cell r="B1011">
            <v>9461344</v>
          </cell>
        </row>
        <row r="1012">
          <cell r="A1012" t="str">
            <v>0103T41999</v>
          </cell>
          <cell r="B1012">
            <v>13252367</v>
          </cell>
        </row>
        <row r="1013">
          <cell r="A1013" t="str">
            <v>0104A21997</v>
          </cell>
          <cell r="B1013">
            <v>59976261</v>
          </cell>
        </row>
        <row r="1014">
          <cell r="A1014" t="str">
            <v>0104T11997</v>
          </cell>
          <cell r="B1014">
            <v>2258632</v>
          </cell>
        </row>
        <row r="1015">
          <cell r="A1015" t="str">
            <v>0104T21997</v>
          </cell>
          <cell r="B1015">
            <v>9270360</v>
          </cell>
        </row>
        <row r="1016">
          <cell r="A1016" t="str">
            <v>0104T31997</v>
          </cell>
          <cell r="B1016">
            <v>17196290</v>
          </cell>
        </row>
        <row r="1017">
          <cell r="A1017" t="str">
            <v>0104T41997</v>
          </cell>
          <cell r="B1017">
            <v>31250978</v>
          </cell>
        </row>
        <row r="1018">
          <cell r="A1018" t="str">
            <v>0104A31998</v>
          </cell>
          <cell r="B1018">
            <v>24417692</v>
          </cell>
        </row>
        <row r="1019">
          <cell r="A1019" t="str">
            <v>0104T11998</v>
          </cell>
          <cell r="B1019">
            <v>8635700</v>
          </cell>
        </row>
        <row r="1020">
          <cell r="A1020" t="str">
            <v>0104T21998</v>
          </cell>
          <cell r="B1020">
            <v>8688621</v>
          </cell>
        </row>
        <row r="1021">
          <cell r="A1021" t="str">
            <v>0104T31998</v>
          </cell>
          <cell r="B1021">
            <v>4995063</v>
          </cell>
        </row>
        <row r="1022">
          <cell r="A1022" t="str">
            <v>0104T41998</v>
          </cell>
          <cell r="B1022">
            <v>2138308</v>
          </cell>
        </row>
        <row r="1023">
          <cell r="A1023" t="str">
            <v>0104A41999</v>
          </cell>
          <cell r="B1023">
            <v>1002406</v>
          </cell>
        </row>
        <row r="1024">
          <cell r="A1024" t="str">
            <v>0104T11999</v>
          </cell>
          <cell r="B1024">
            <v>0</v>
          </cell>
        </row>
        <row r="1025">
          <cell r="A1025" t="str">
            <v>0104T21999</v>
          </cell>
          <cell r="B1025">
            <v>0</v>
          </cell>
        </row>
        <row r="1026">
          <cell r="A1026" t="str">
            <v>0104T31999</v>
          </cell>
          <cell r="B1026">
            <v>947838</v>
          </cell>
        </row>
        <row r="1027">
          <cell r="A1027" t="str">
            <v>0104T41999</v>
          </cell>
          <cell r="B1027">
            <v>501203</v>
          </cell>
        </row>
        <row r="1028">
          <cell r="A1028" t="str">
            <v>0105A41999</v>
          </cell>
          <cell r="B1028">
            <v>0</v>
          </cell>
        </row>
        <row r="1029">
          <cell r="A1029" t="str">
            <v>0105T11999</v>
          </cell>
          <cell r="B1029">
            <v>22490859</v>
          </cell>
        </row>
        <row r="1030">
          <cell r="A1030" t="str">
            <v>0105T21999</v>
          </cell>
          <cell r="B1030">
            <v>22519902</v>
          </cell>
        </row>
        <row r="1031">
          <cell r="A1031" t="str">
            <v>0105T31999</v>
          </cell>
          <cell r="B1031">
            <v>31762245</v>
          </cell>
        </row>
        <row r="1032">
          <cell r="A1032" t="str">
            <v>0105T41999</v>
          </cell>
          <cell r="B1032">
            <v>0</v>
          </cell>
        </row>
        <row r="1033">
          <cell r="A1033" t="str">
            <v>0106A41999</v>
          </cell>
          <cell r="B1033">
            <v>0</v>
          </cell>
        </row>
        <row r="1034">
          <cell r="A1034" t="str">
            <v>0106T11999</v>
          </cell>
          <cell r="B1034">
            <v>0</v>
          </cell>
        </row>
        <row r="1035">
          <cell r="A1035" t="str">
            <v>0106T21999</v>
          </cell>
          <cell r="B1035">
            <v>0</v>
          </cell>
        </row>
        <row r="1036">
          <cell r="A1036" t="str">
            <v>0106T31999</v>
          </cell>
          <cell r="B1036">
            <v>0</v>
          </cell>
        </row>
        <row r="1037">
          <cell r="A1037" t="str">
            <v>0106T41999</v>
          </cell>
          <cell r="B1037">
            <v>0</v>
          </cell>
        </row>
        <row r="1038">
          <cell r="A1038" t="str">
            <v>0107A41999</v>
          </cell>
          <cell r="B1038">
            <v>0</v>
          </cell>
        </row>
        <row r="1039">
          <cell r="A1039" t="str">
            <v>0107T11999</v>
          </cell>
          <cell r="B1039">
            <v>0</v>
          </cell>
        </row>
        <row r="1040">
          <cell r="A1040" t="str">
            <v>0107T21999</v>
          </cell>
          <cell r="B1040">
            <v>0</v>
          </cell>
        </row>
        <row r="1041">
          <cell r="A1041" t="str">
            <v>0107T31999</v>
          </cell>
          <cell r="B1041">
            <v>0</v>
          </cell>
        </row>
        <row r="1042">
          <cell r="A1042" t="str">
            <v>0107T41999</v>
          </cell>
          <cell r="B1042">
            <v>0</v>
          </cell>
        </row>
        <row r="1043">
          <cell r="A1043" t="str">
            <v>0108A41999</v>
          </cell>
          <cell r="B1043">
            <v>836806</v>
          </cell>
        </row>
        <row r="1044">
          <cell r="A1044" t="str">
            <v>0108T11999</v>
          </cell>
          <cell r="B1044">
            <v>0</v>
          </cell>
        </row>
        <row r="1045">
          <cell r="A1045" t="str">
            <v>0108T21999</v>
          </cell>
          <cell r="B1045">
            <v>0</v>
          </cell>
        </row>
        <row r="1046">
          <cell r="A1046" t="str">
            <v>0108T31999</v>
          </cell>
          <cell r="B1046">
            <v>0</v>
          </cell>
        </row>
        <row r="1047">
          <cell r="A1047" t="str">
            <v>0108T41999</v>
          </cell>
          <cell r="B1047">
            <v>418403</v>
          </cell>
        </row>
        <row r="1048">
          <cell r="A1048" t="str">
            <v>0109A41999</v>
          </cell>
          <cell r="B1048">
            <v>7221330</v>
          </cell>
        </row>
        <row r="1049">
          <cell r="A1049" t="str">
            <v>0109T11999</v>
          </cell>
          <cell r="B1049">
            <v>0</v>
          </cell>
        </row>
        <row r="1050">
          <cell r="A1050" t="str">
            <v>0109T21999</v>
          </cell>
          <cell r="B1050">
            <v>0</v>
          </cell>
        </row>
        <row r="1051">
          <cell r="A1051" t="str">
            <v>0109T31999</v>
          </cell>
          <cell r="B1051">
            <v>0</v>
          </cell>
        </row>
        <row r="1052">
          <cell r="A1052" t="str">
            <v>0109T41999</v>
          </cell>
          <cell r="B1052">
            <v>3610665</v>
          </cell>
        </row>
        <row r="1053">
          <cell r="A1053" t="str">
            <v>0110A21997</v>
          </cell>
          <cell r="B1053">
            <v>762729</v>
          </cell>
        </row>
        <row r="1054">
          <cell r="A1054" t="str">
            <v>0110T11997</v>
          </cell>
          <cell r="B1054">
            <v>749343</v>
          </cell>
        </row>
        <row r="1055">
          <cell r="A1055" t="str">
            <v>0110T21997</v>
          </cell>
          <cell r="B1055">
            <v>753805</v>
          </cell>
        </row>
        <row r="1056">
          <cell r="A1056" t="str">
            <v>0110T31997</v>
          </cell>
          <cell r="B1056">
            <v>758267</v>
          </cell>
        </row>
        <row r="1057">
          <cell r="A1057" t="str">
            <v>0110T41997</v>
          </cell>
          <cell r="B1057">
            <v>762729</v>
          </cell>
        </row>
        <row r="1058">
          <cell r="A1058" t="str">
            <v>0110A31998</v>
          </cell>
          <cell r="B1058">
            <v>780759</v>
          </cell>
        </row>
        <row r="1059">
          <cell r="A1059" t="str">
            <v>0110T11998</v>
          </cell>
          <cell r="B1059">
            <v>767237</v>
          </cell>
        </row>
        <row r="1060">
          <cell r="A1060" t="str">
            <v>0110T21998</v>
          </cell>
          <cell r="B1060">
            <v>771744</v>
          </cell>
        </row>
        <row r="1061">
          <cell r="A1061" t="str">
            <v>0110T31998</v>
          </cell>
          <cell r="B1061">
            <v>776252</v>
          </cell>
        </row>
        <row r="1062">
          <cell r="A1062" t="str">
            <v>0110T41998</v>
          </cell>
          <cell r="B1062">
            <v>780759</v>
          </cell>
        </row>
        <row r="1063">
          <cell r="A1063" t="str">
            <v>0110A41999</v>
          </cell>
          <cell r="B1063">
            <v>805121</v>
          </cell>
        </row>
        <row r="1064">
          <cell r="A1064" t="str">
            <v>0110T11999</v>
          </cell>
          <cell r="B1064">
            <v>789450</v>
          </cell>
        </row>
        <row r="1065">
          <cell r="A1065" t="str">
            <v>0110T21999</v>
          </cell>
          <cell r="B1065">
            <v>794630</v>
          </cell>
        </row>
        <row r="1066">
          <cell r="A1066" t="str">
            <v>0110T31999</v>
          </cell>
          <cell r="B1066">
            <v>799876</v>
          </cell>
        </row>
        <row r="1067">
          <cell r="A1067" t="str">
            <v>0110T41999</v>
          </cell>
          <cell r="B1067">
            <v>805121</v>
          </cell>
        </row>
        <row r="1068">
          <cell r="A1068" t="str">
            <v>0111A41999</v>
          </cell>
        </row>
        <row r="1069">
          <cell r="A1069" t="str">
            <v>0114A21997</v>
          </cell>
          <cell r="B1069">
            <v>5.2</v>
          </cell>
        </row>
        <row r="1070">
          <cell r="A1070" t="str">
            <v>0114T11997</v>
          </cell>
          <cell r="B1070">
            <v>5</v>
          </cell>
        </row>
        <row r="1071">
          <cell r="A1071" t="str">
            <v>0114T21997</v>
          </cell>
          <cell r="B1071">
            <v>5</v>
          </cell>
        </row>
        <row r="1072">
          <cell r="A1072" t="str">
            <v>0114T31997</v>
          </cell>
          <cell r="B1072">
            <v>5</v>
          </cell>
        </row>
        <row r="1073">
          <cell r="A1073" t="str">
            <v>0114T41997</v>
          </cell>
          <cell r="B1073">
            <v>5</v>
          </cell>
        </row>
        <row r="1074">
          <cell r="A1074" t="str">
            <v>0114A31998</v>
          </cell>
          <cell r="B1074">
            <v>5.2</v>
          </cell>
        </row>
        <row r="1075">
          <cell r="A1075" t="str">
            <v>0114T11998</v>
          </cell>
          <cell r="B1075">
            <v>5.2</v>
          </cell>
        </row>
        <row r="1076">
          <cell r="A1076" t="str">
            <v>0114T21998</v>
          </cell>
          <cell r="B1076">
            <v>5.2</v>
          </cell>
        </row>
        <row r="1077">
          <cell r="A1077" t="str">
            <v>0114T31998</v>
          </cell>
          <cell r="B1077">
            <v>5.2</v>
          </cell>
        </row>
        <row r="1078">
          <cell r="A1078" t="str">
            <v>0114T41998</v>
          </cell>
          <cell r="B1078">
            <v>5.2</v>
          </cell>
        </row>
        <row r="1079">
          <cell r="A1079" t="str">
            <v>0114A41999</v>
          </cell>
          <cell r="B1079">
            <v>5.2</v>
          </cell>
        </row>
        <row r="1080">
          <cell r="A1080" t="str">
            <v>0114T11999</v>
          </cell>
          <cell r="B1080">
            <v>5.2</v>
          </cell>
        </row>
        <row r="1081">
          <cell r="A1081" t="str">
            <v>0114T21999</v>
          </cell>
          <cell r="B1081">
            <v>5.2</v>
          </cell>
        </row>
        <row r="1082">
          <cell r="A1082" t="str">
            <v>0114T31999</v>
          </cell>
          <cell r="B1082">
            <v>5.2</v>
          </cell>
        </row>
        <row r="1083">
          <cell r="A1083" t="str">
            <v>0114T41999</v>
          </cell>
          <cell r="B1083">
            <v>5.2</v>
          </cell>
        </row>
      </sheetData>
      <sheetData sheetId="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8.b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JO-TURISTICO"/>
      <sheetName val="longitud-redvial"/>
      <sheetName val="PLACAS"/>
      <sheetName val="SERPOST"/>
      <sheetName val="LICENCIAS-sexo"/>
      <sheetName val="LICENCIAS-CATEGORIA"/>
      <sheetName val="LICENCIAS-EXPEDICION"/>
      <sheetName val="CORPAC"/>
      <sheetName val="ESSALUD"/>
      <sheetName val="MINSA"/>
      <sheetName val="PRECIOS3"/>
      <sheetName val="PRECIOS2"/>
      <sheetName val="PRECIOS1"/>
      <sheetName val="AGROPECUARIO"/>
      <sheetName val="PESCA-COMERCIALIZ"/>
      <sheetName val="PESCA"/>
      <sheetName val="AGUA-FACTURACION"/>
      <sheetName val="AGUA-P Y C"/>
      <sheetName val="CREDITOS-DEPOSITOS"/>
      <sheetName val="SUNAT-contribuyentes"/>
      <sheetName val="INGRESOS-SUNAT"/>
      <sheetName val="ELECTRICIDAD FACTURACION"/>
      <sheetName val="GENERACION-ENERHIDRAULICA"/>
      <sheetName val="ELECTRICIDAD P YC "/>
      <sheetName val="MINERIA"/>
      <sheetName val="AGUA-P_Y_C"/>
      <sheetName val="ELECTRICIDAD_FACTURACION"/>
      <sheetName val="ELECTRICIDAD_P_YC_"/>
      <sheetName val="CD 6"/>
      <sheetName val="PAG_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1"/>
      <sheetName val="PAG13"/>
      <sheetName val="PAG14"/>
      <sheetName val="PAG15"/>
      <sheetName val="PAG16"/>
      <sheetName val="PAG17"/>
      <sheetName val="PAG18"/>
      <sheetName val="PAG19"/>
      <sheetName val="PAG20"/>
      <sheetName val="PAG21"/>
      <sheetName val="PAG22"/>
      <sheetName val="PAG23"/>
      <sheetName val="PAG24"/>
      <sheetName val="PAG25"/>
      <sheetName val="PAG27"/>
      <sheetName val="PAG30"/>
      <sheetName val="PAG31"/>
      <sheetName val="PAG32"/>
      <sheetName val="PAG33"/>
      <sheetName val="PAG34"/>
      <sheetName val="PAG35"/>
      <sheetName val="PAG36"/>
      <sheetName val="PAG41"/>
      <sheetName val="PAG42"/>
      <sheetName val="PAG43"/>
      <sheetName val="PAG44"/>
      <sheetName val="PAG45"/>
      <sheetName val="PAG46"/>
      <sheetName val="PAG47"/>
      <sheetName val="PAG48"/>
      <sheetName val="PAG49"/>
      <sheetName val="PAG50"/>
      <sheetName val="PAG51"/>
      <sheetName val="PAG52"/>
      <sheetName val="PAG53"/>
      <sheetName val="PAG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Hoja3"/>
      <sheetName val="Sol traspa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PAG25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2007ubig"/>
      <sheetName val="cruce"/>
    </sheetNames>
    <sheetDataSet>
      <sheetData sheetId="0"/>
      <sheetData sheetId="1"/>
      <sheetData sheetId="2">
        <row r="1">
          <cell r="B1" t="str">
            <v>ccdd</v>
          </cell>
          <cell r="C1" t="str">
            <v>ccpp</v>
          </cell>
          <cell r="D1" t="str">
            <v>ccdi</v>
          </cell>
          <cell r="E1" t="str">
            <v>DPTO_Nombre</v>
          </cell>
          <cell r="F1" t="str">
            <v>PROV_Nombre</v>
          </cell>
          <cell r="G1" t="str">
            <v>DIST_Nombre</v>
          </cell>
          <cell r="H1" t="str">
            <v>IdMuniciMetSca</v>
          </cell>
          <cell r="I1" t="str">
            <v>CatMuni</v>
          </cell>
        </row>
        <row r="2">
          <cell r="A2" t="str">
            <v>AMAZONASCHACHAPOYASCHACHAPOYAS</v>
          </cell>
          <cell r="B2" t="str">
            <v>01</v>
          </cell>
          <cell r="C2" t="str">
            <v>01</v>
          </cell>
          <cell r="D2" t="str">
            <v>01</v>
          </cell>
          <cell r="E2" t="str">
            <v>AMAZONAS</v>
          </cell>
          <cell r="F2" t="str">
            <v>CHACHAPOYAS</v>
          </cell>
          <cell r="G2" t="str">
            <v>CHACHAPOYAS</v>
          </cell>
          <cell r="H2" t="str">
            <v>010001</v>
          </cell>
          <cell r="I2" t="str">
            <v>1</v>
          </cell>
        </row>
        <row r="3">
          <cell r="A3" t="str">
            <v>AMAZONASCHACHAPOYASASUNCION</v>
          </cell>
          <cell r="B3" t="str">
            <v>01</v>
          </cell>
          <cell r="C3" t="str">
            <v>01</v>
          </cell>
          <cell r="D3" t="str">
            <v>02</v>
          </cell>
          <cell r="E3" t="str">
            <v>AMAZONAS</v>
          </cell>
          <cell r="F3" t="str">
            <v>CHACHAPOYAS</v>
          </cell>
          <cell r="G3" t="str">
            <v>ASUNCION</v>
          </cell>
          <cell r="H3" t="str">
            <v>010002</v>
          </cell>
          <cell r="I3" t="str">
            <v>2</v>
          </cell>
        </row>
        <row r="4">
          <cell r="A4" t="str">
            <v>AMAZONASCHACHAPOYASBALSAS</v>
          </cell>
          <cell r="B4" t="str">
            <v>01</v>
          </cell>
          <cell r="C4" t="str">
            <v>01</v>
          </cell>
          <cell r="D4" t="str">
            <v>03</v>
          </cell>
          <cell r="E4" t="str">
            <v>AMAZONAS</v>
          </cell>
          <cell r="F4" t="str">
            <v>CHACHAPOYAS</v>
          </cell>
          <cell r="G4" t="str">
            <v>BALSAS</v>
          </cell>
          <cell r="H4" t="str">
            <v>010016</v>
          </cell>
          <cell r="I4" t="str">
            <v>2</v>
          </cell>
        </row>
        <row r="5">
          <cell r="A5" t="str">
            <v>AMAZONASCHACHAPOYASCHETO</v>
          </cell>
          <cell r="B5" t="str">
            <v>01</v>
          </cell>
          <cell r="C5" t="str">
            <v>01</v>
          </cell>
          <cell r="D5" t="str">
            <v>04</v>
          </cell>
          <cell r="E5" t="str">
            <v>AMAZONAS</v>
          </cell>
          <cell r="F5" t="str">
            <v>CHACHAPOYAS</v>
          </cell>
          <cell r="G5" t="str">
            <v>CHETO</v>
          </cell>
          <cell r="H5" t="str">
            <v>010003</v>
          </cell>
          <cell r="I5" t="str">
            <v>2</v>
          </cell>
        </row>
        <row r="6">
          <cell r="A6" t="str">
            <v>AMAZONASCHACHAPOYASCHILIQUIN</v>
          </cell>
          <cell r="B6" t="str">
            <v>01</v>
          </cell>
          <cell r="C6" t="str">
            <v>01</v>
          </cell>
          <cell r="D6" t="str">
            <v>05</v>
          </cell>
          <cell r="E6" t="str">
            <v>AMAZONAS</v>
          </cell>
          <cell r="F6" t="str">
            <v>CHACHAPOYAS</v>
          </cell>
          <cell r="G6" t="str">
            <v>CHILIQUIN</v>
          </cell>
          <cell r="H6" t="str">
            <v>010004</v>
          </cell>
          <cell r="I6" t="str">
            <v>2</v>
          </cell>
        </row>
        <row r="7">
          <cell r="A7" t="str">
            <v>AMAZONASCHACHAPOYASCHUQUIBAMBA</v>
          </cell>
          <cell r="B7" t="str">
            <v>01</v>
          </cell>
          <cell r="C7" t="str">
            <v>01</v>
          </cell>
          <cell r="D7" t="str">
            <v>06</v>
          </cell>
          <cell r="E7" t="str">
            <v>AMAZONAS</v>
          </cell>
          <cell r="F7" t="str">
            <v>CHACHAPOYAS</v>
          </cell>
          <cell r="G7" t="str">
            <v>CHUQUIBAMBA</v>
          </cell>
          <cell r="H7" t="str">
            <v>010017</v>
          </cell>
          <cell r="I7" t="str">
            <v>2</v>
          </cell>
        </row>
        <row r="8">
          <cell r="A8" t="str">
            <v>AMAZONASCHACHAPOYASGRANADA</v>
          </cell>
          <cell r="B8" t="str">
            <v>01</v>
          </cell>
          <cell r="C8" t="str">
            <v>01</v>
          </cell>
          <cell r="D8" t="str">
            <v>07</v>
          </cell>
          <cell r="E8" t="str">
            <v>AMAZONAS</v>
          </cell>
          <cell r="F8" t="str">
            <v>CHACHAPOYAS</v>
          </cell>
          <cell r="G8" t="str">
            <v>GRANADA</v>
          </cell>
          <cell r="H8" t="str">
            <v>010005</v>
          </cell>
          <cell r="I8" t="str">
            <v>2</v>
          </cell>
        </row>
        <row r="9">
          <cell r="A9" t="str">
            <v>AMAZONASCHACHAPOYASHUANCAS</v>
          </cell>
          <cell r="B9" t="str">
            <v>01</v>
          </cell>
          <cell r="C9" t="str">
            <v>01</v>
          </cell>
          <cell r="D9" t="str">
            <v>08</v>
          </cell>
          <cell r="E9" t="str">
            <v>AMAZONAS</v>
          </cell>
          <cell r="F9" t="str">
            <v>CHACHAPOYAS</v>
          </cell>
          <cell r="G9" t="str">
            <v>HUANCAS</v>
          </cell>
          <cell r="H9" t="str">
            <v>012364</v>
          </cell>
          <cell r="I9" t="str">
            <v>2</v>
          </cell>
        </row>
        <row r="10">
          <cell r="A10" t="str">
            <v>AMAZONASCHACHAPOYASLA JALCA</v>
          </cell>
          <cell r="B10" t="str">
            <v>01</v>
          </cell>
          <cell r="C10" t="str">
            <v>01</v>
          </cell>
          <cell r="D10" t="str">
            <v>09</v>
          </cell>
          <cell r="E10" t="str">
            <v>AMAZONAS</v>
          </cell>
          <cell r="F10" t="str">
            <v>CHACHAPOYAS</v>
          </cell>
          <cell r="G10" t="str">
            <v>LA JALCA</v>
          </cell>
          <cell r="H10" t="str">
            <v>010018</v>
          </cell>
          <cell r="I10" t="str">
            <v>2</v>
          </cell>
        </row>
        <row r="11">
          <cell r="A11" t="str">
            <v>AMAZONASCHACHAPOYASLEIMEBAMBA</v>
          </cell>
          <cell r="B11" t="str">
            <v>01</v>
          </cell>
          <cell r="C11" t="str">
            <v>01</v>
          </cell>
          <cell r="D11" t="str">
            <v>10</v>
          </cell>
          <cell r="E11" t="str">
            <v>AMAZONAS</v>
          </cell>
          <cell r="F11" t="str">
            <v>CHACHAPOYAS</v>
          </cell>
          <cell r="G11" t="str">
            <v>LEIMEBAMBA</v>
          </cell>
          <cell r="H11" t="str">
            <v>010019</v>
          </cell>
          <cell r="I11" t="str">
            <v>2</v>
          </cell>
        </row>
        <row r="12">
          <cell r="A12" t="str">
            <v>AMAZONASCHACHAPOYASLEVANTO</v>
          </cell>
          <cell r="B12" t="str">
            <v>01</v>
          </cell>
          <cell r="C12" t="str">
            <v>01</v>
          </cell>
          <cell r="D12" t="str">
            <v>11</v>
          </cell>
          <cell r="E12" t="str">
            <v>AMAZONAS</v>
          </cell>
          <cell r="F12" t="str">
            <v>CHACHAPOYAS</v>
          </cell>
          <cell r="G12" t="str">
            <v>LEVANTO</v>
          </cell>
          <cell r="H12" t="str">
            <v>010007</v>
          </cell>
          <cell r="I12" t="str">
            <v>2</v>
          </cell>
        </row>
        <row r="13">
          <cell r="A13" t="str">
            <v>AMAZONASCHACHAPOYASMAGDALENA</v>
          </cell>
          <cell r="B13" t="str">
            <v>01</v>
          </cell>
          <cell r="C13" t="str">
            <v>01</v>
          </cell>
          <cell r="D13" t="str">
            <v>12</v>
          </cell>
          <cell r="E13" t="str">
            <v>AMAZONAS</v>
          </cell>
          <cell r="F13" t="str">
            <v>CHACHAPOYAS</v>
          </cell>
          <cell r="G13" t="str">
            <v>MAGDALENA</v>
          </cell>
          <cell r="H13" t="str">
            <v>010058</v>
          </cell>
          <cell r="I13" t="str">
            <v>2</v>
          </cell>
        </row>
        <row r="14">
          <cell r="A14" t="str">
            <v>AMAZONASCHACHAPOYASMARISCAL CASTILLA</v>
          </cell>
          <cell r="B14" t="str">
            <v>01</v>
          </cell>
          <cell r="C14" t="str">
            <v>01</v>
          </cell>
          <cell r="D14" t="str">
            <v>13</v>
          </cell>
          <cell r="E14" t="str">
            <v>AMAZONAS</v>
          </cell>
          <cell r="F14" t="str">
            <v>CHACHAPOYAS</v>
          </cell>
          <cell r="G14" t="str">
            <v>MARISCAL CASTILLA</v>
          </cell>
          <cell r="H14" t="str">
            <v>010020</v>
          </cell>
          <cell r="I14" t="str">
            <v>2</v>
          </cell>
        </row>
        <row r="15">
          <cell r="A15" t="str">
            <v>AMAZONASCHACHAPOYASMOLINOPAMPA</v>
          </cell>
          <cell r="B15" t="str">
            <v>01</v>
          </cell>
          <cell r="C15" t="str">
            <v>01</v>
          </cell>
          <cell r="D15" t="str">
            <v>14</v>
          </cell>
          <cell r="E15" t="str">
            <v>AMAZONAS</v>
          </cell>
          <cell r="F15" t="str">
            <v>CHACHAPOYAS</v>
          </cell>
          <cell r="G15" t="str">
            <v>MOLINOPAMPA</v>
          </cell>
          <cell r="H15" t="str">
            <v>010008</v>
          </cell>
          <cell r="I15" t="str">
            <v>2</v>
          </cell>
        </row>
        <row r="16">
          <cell r="A16" t="str">
            <v>AMAZONASCHACHAPOYASMONTEVIDEO</v>
          </cell>
          <cell r="B16" t="str">
            <v>01</v>
          </cell>
          <cell r="C16" t="str">
            <v>01</v>
          </cell>
          <cell r="D16" t="str">
            <v>15</v>
          </cell>
          <cell r="E16" t="str">
            <v>AMAZONAS</v>
          </cell>
          <cell r="F16" t="str">
            <v>CHACHAPOYAS</v>
          </cell>
          <cell r="G16" t="str">
            <v>MONTEVIDEO</v>
          </cell>
          <cell r="H16" t="str">
            <v>010021</v>
          </cell>
          <cell r="I16" t="str">
            <v>2</v>
          </cell>
        </row>
        <row r="17">
          <cell r="A17" t="str">
            <v>AMAZONASCHACHAPOYASOLLEROS</v>
          </cell>
          <cell r="B17" t="str">
            <v>01</v>
          </cell>
          <cell r="C17" t="str">
            <v>01</v>
          </cell>
          <cell r="D17" t="str">
            <v>16</v>
          </cell>
          <cell r="E17" t="str">
            <v>AMAZONAS</v>
          </cell>
          <cell r="F17" t="str">
            <v>CHACHAPOYAS</v>
          </cell>
          <cell r="G17" t="str">
            <v>OLLEROS</v>
          </cell>
          <cell r="H17" t="str">
            <v>010009</v>
          </cell>
          <cell r="I17" t="str">
            <v>2</v>
          </cell>
        </row>
        <row r="18">
          <cell r="A18" t="str">
            <v>AMAZONASCHACHAPOYASQUINJALCA</v>
          </cell>
          <cell r="B18" t="str">
            <v>01</v>
          </cell>
          <cell r="C18" t="str">
            <v>01</v>
          </cell>
          <cell r="D18" t="str">
            <v>17</v>
          </cell>
          <cell r="E18" t="str">
            <v>AMAZONAS</v>
          </cell>
          <cell r="F18" t="str">
            <v>CHACHAPOYAS</v>
          </cell>
          <cell r="G18" t="str">
            <v>QUINJALCA</v>
          </cell>
          <cell r="H18" t="str">
            <v>012368</v>
          </cell>
          <cell r="I18" t="str">
            <v>2</v>
          </cell>
        </row>
        <row r="19">
          <cell r="A19" t="str">
            <v>AMAZONASCHACHAPOYASSAN FRANCISCO DE DAGUAS</v>
          </cell>
          <cell r="B19" t="str">
            <v>01</v>
          </cell>
          <cell r="C19" t="str">
            <v>01</v>
          </cell>
          <cell r="D19" t="str">
            <v>18</v>
          </cell>
          <cell r="E19" t="str">
            <v>AMAZONAS</v>
          </cell>
          <cell r="F19" t="str">
            <v>CHACHAPOYAS</v>
          </cell>
          <cell r="G19" t="str">
            <v>SAN FRANCISCO DE DAGUAS</v>
          </cell>
          <cell r="H19" t="str">
            <v>010011</v>
          </cell>
          <cell r="I19" t="str">
            <v>2</v>
          </cell>
        </row>
        <row r="20">
          <cell r="A20" t="str">
            <v>AMAZONASCHACHAPOYASSAN ISIDRO DE MAINO</v>
          </cell>
          <cell r="B20" t="str">
            <v>01</v>
          </cell>
          <cell r="C20" t="str">
            <v>01</v>
          </cell>
          <cell r="D20" t="str">
            <v>19</v>
          </cell>
          <cell r="E20" t="str">
            <v>AMAZONAS</v>
          </cell>
          <cell r="F20" t="str">
            <v>CHACHAPOYAS</v>
          </cell>
          <cell r="G20" t="str">
            <v>SAN ISIDRO DE MAINO</v>
          </cell>
          <cell r="H20" t="str">
            <v>010059</v>
          </cell>
          <cell r="I20" t="str">
            <v>2</v>
          </cell>
        </row>
        <row r="21">
          <cell r="A21" t="str">
            <v>AMAZONASCHACHAPOYASSOLOCO</v>
          </cell>
          <cell r="B21" t="str">
            <v>01</v>
          </cell>
          <cell r="C21" t="str">
            <v>01</v>
          </cell>
          <cell r="D21" t="str">
            <v>20</v>
          </cell>
          <cell r="E21" t="str">
            <v>AMAZONAS</v>
          </cell>
          <cell r="F21" t="str">
            <v>CHACHAPOYAS</v>
          </cell>
          <cell r="G21" t="str">
            <v>SOLOCO</v>
          </cell>
          <cell r="H21" t="str">
            <v>010012</v>
          </cell>
          <cell r="I21" t="str">
            <v>2</v>
          </cell>
        </row>
        <row r="22">
          <cell r="A22" t="str">
            <v>AMAZONASCHACHAPOYASSONCHE</v>
          </cell>
          <cell r="B22" t="str">
            <v>01</v>
          </cell>
          <cell r="C22" t="str">
            <v>01</v>
          </cell>
          <cell r="D22" t="str">
            <v>21</v>
          </cell>
          <cell r="E22" t="str">
            <v>AMAZONAS</v>
          </cell>
          <cell r="F22" t="str">
            <v>CHACHAPOYAS</v>
          </cell>
          <cell r="G22" t="str">
            <v>SONCHE</v>
          </cell>
          <cell r="H22" t="str">
            <v>010013</v>
          </cell>
          <cell r="I22" t="str">
            <v>2</v>
          </cell>
        </row>
        <row r="23">
          <cell r="A23" t="str">
            <v>AMAZONASBAGUALA PECA</v>
          </cell>
          <cell r="B23" t="str">
            <v>01</v>
          </cell>
          <cell r="C23" t="str">
            <v>02</v>
          </cell>
          <cell r="D23" t="str">
            <v>01</v>
          </cell>
          <cell r="E23" t="str">
            <v>AMAZONAS</v>
          </cell>
          <cell r="F23" t="str">
            <v>BAGUA</v>
          </cell>
          <cell r="G23" t="str">
            <v>LA PECA</v>
          </cell>
          <cell r="H23" t="str">
            <v>010025</v>
          </cell>
          <cell r="I23" t="str">
            <v>2</v>
          </cell>
        </row>
        <row r="24">
          <cell r="A24" t="str">
            <v>AMAZONASBAGUAARAMANGO</v>
          </cell>
          <cell r="B24" t="str">
            <v>01</v>
          </cell>
          <cell r="C24" t="str">
            <v>02</v>
          </cell>
          <cell r="D24" t="str">
            <v>02</v>
          </cell>
          <cell r="E24" t="str">
            <v>AMAZONAS</v>
          </cell>
          <cell r="F24" t="str">
            <v>BAGUA</v>
          </cell>
          <cell r="G24" t="str">
            <v>ARAMANGO</v>
          </cell>
          <cell r="H24" t="str">
            <v>010026</v>
          </cell>
          <cell r="I24" t="str">
            <v>2</v>
          </cell>
        </row>
        <row r="25">
          <cell r="A25" t="str">
            <v>AMAZONASBAGUACOPALLIN</v>
          </cell>
          <cell r="B25" t="str">
            <v>01</v>
          </cell>
          <cell r="C25" t="str">
            <v>02</v>
          </cell>
          <cell r="D25" t="str">
            <v>03</v>
          </cell>
          <cell r="E25" t="str">
            <v>AMAZONAS</v>
          </cell>
          <cell r="F25" t="str">
            <v>BAGUA</v>
          </cell>
          <cell r="G25" t="str">
            <v>COPALLIN</v>
          </cell>
          <cell r="H25" t="str">
            <v>010027</v>
          </cell>
          <cell r="I25" t="str">
            <v>2</v>
          </cell>
        </row>
        <row r="26">
          <cell r="A26" t="str">
            <v>AMAZONASBAGUAEL PARCO</v>
          </cell>
          <cell r="B26" t="str">
            <v>01</v>
          </cell>
          <cell r="C26" t="str">
            <v>02</v>
          </cell>
          <cell r="D26" t="str">
            <v>04</v>
          </cell>
          <cell r="E26" t="str">
            <v>AMAZONAS</v>
          </cell>
          <cell r="F26" t="str">
            <v>BAGUA</v>
          </cell>
          <cell r="G26" t="str">
            <v>EL PARCO</v>
          </cell>
          <cell r="H26" t="str">
            <v>010028</v>
          </cell>
          <cell r="I26" t="str">
            <v>2</v>
          </cell>
        </row>
        <row r="27">
          <cell r="A27" t="str">
            <v>AMAZONASBAGUAIMAZA</v>
          </cell>
          <cell r="B27" t="str">
            <v>01</v>
          </cell>
          <cell r="C27" t="str">
            <v>02</v>
          </cell>
          <cell r="D27" t="str">
            <v>05</v>
          </cell>
          <cell r="E27" t="str">
            <v>AMAZONAS</v>
          </cell>
          <cell r="F27" t="str">
            <v>BAGUA</v>
          </cell>
          <cell r="G27" t="str">
            <v>IMAZA</v>
          </cell>
          <cell r="H27" t="str">
            <v>010029</v>
          </cell>
          <cell r="I27" t="str">
            <v>2</v>
          </cell>
        </row>
        <row r="28">
          <cell r="A28" t="str">
            <v>AMAZONASBONGARAJUMBILLA</v>
          </cell>
          <cell r="B28" t="str">
            <v>01</v>
          </cell>
          <cell r="C28" t="str">
            <v>03</v>
          </cell>
          <cell r="D28" t="str">
            <v>01</v>
          </cell>
          <cell r="E28" t="str">
            <v>AMAZONAS</v>
          </cell>
          <cell r="F28" t="str">
            <v>BONGARA</v>
          </cell>
          <cell r="G28" t="str">
            <v>JUMBILLA</v>
          </cell>
          <cell r="H28" t="str">
            <v>010030</v>
          </cell>
          <cell r="I28" t="str">
            <v>1</v>
          </cell>
        </row>
        <row r="29">
          <cell r="A29" t="str">
            <v>AMAZONASBONGARACHISQUILLA</v>
          </cell>
          <cell r="B29" t="str">
            <v>01</v>
          </cell>
          <cell r="C29" t="str">
            <v>03</v>
          </cell>
          <cell r="D29" t="str">
            <v>02</v>
          </cell>
          <cell r="E29" t="str">
            <v>AMAZONAS</v>
          </cell>
          <cell r="F29" t="str">
            <v>BONGARA</v>
          </cell>
          <cell r="G29" t="str">
            <v>CHISQUILLA</v>
          </cell>
          <cell r="H29" t="str">
            <v>012371</v>
          </cell>
          <cell r="I29" t="str">
            <v>2</v>
          </cell>
        </row>
        <row r="30">
          <cell r="A30" t="str">
            <v>AMAZONASBONGARACHURUJA</v>
          </cell>
          <cell r="B30" t="str">
            <v>01</v>
          </cell>
          <cell r="C30" t="str">
            <v>03</v>
          </cell>
          <cell r="D30" t="str">
            <v>03</v>
          </cell>
          <cell r="E30" t="str">
            <v>AMAZONAS</v>
          </cell>
          <cell r="F30" t="str">
            <v>BONGARA</v>
          </cell>
          <cell r="G30" t="str">
            <v>CHURUJA</v>
          </cell>
          <cell r="H30" t="str">
            <v>010014</v>
          </cell>
          <cell r="I30" t="str">
            <v>2</v>
          </cell>
        </row>
        <row r="31">
          <cell r="A31" t="str">
            <v>AMAZONASBONGARACOROSHA</v>
          </cell>
          <cell r="B31" t="str">
            <v>01</v>
          </cell>
          <cell r="C31" t="str">
            <v>03</v>
          </cell>
          <cell r="D31" t="str">
            <v>04</v>
          </cell>
          <cell r="E31" t="str">
            <v>AMAZONAS</v>
          </cell>
          <cell r="F31" t="str">
            <v>BONGARA</v>
          </cell>
          <cell r="G31" t="str">
            <v>COROSHA</v>
          </cell>
          <cell r="H31" t="str">
            <v>010032</v>
          </cell>
          <cell r="I31" t="str">
            <v>2</v>
          </cell>
        </row>
        <row r="32">
          <cell r="A32" t="str">
            <v>AMAZONASBONGARACUISPES</v>
          </cell>
          <cell r="B32" t="str">
            <v>01</v>
          </cell>
          <cell r="C32" t="str">
            <v>03</v>
          </cell>
          <cell r="D32" t="str">
            <v>05</v>
          </cell>
          <cell r="E32" t="str">
            <v>AMAZONAS</v>
          </cell>
          <cell r="F32" t="str">
            <v>BONGARA</v>
          </cell>
          <cell r="G32" t="str">
            <v>CUISPES</v>
          </cell>
          <cell r="H32" t="str">
            <v>010033</v>
          </cell>
          <cell r="I32" t="str">
            <v>2</v>
          </cell>
        </row>
        <row r="33">
          <cell r="A33" t="str">
            <v>AMAZONASBONGARAFLORIDA</v>
          </cell>
          <cell r="B33" t="str">
            <v>01</v>
          </cell>
          <cell r="C33" t="str">
            <v>03</v>
          </cell>
          <cell r="D33" t="str">
            <v>06</v>
          </cell>
          <cell r="E33" t="str">
            <v>AMAZONAS</v>
          </cell>
          <cell r="F33" t="str">
            <v>BONGARA</v>
          </cell>
          <cell r="G33" t="str">
            <v>FLORIDA</v>
          </cell>
          <cell r="H33" t="str">
            <v>010034</v>
          </cell>
          <cell r="I33" t="str">
            <v>2</v>
          </cell>
        </row>
        <row r="34">
          <cell r="A34" t="str">
            <v>AMAZONASBONGARAJAZAN</v>
          </cell>
          <cell r="B34" t="str">
            <v>01</v>
          </cell>
          <cell r="C34" t="str">
            <v>03</v>
          </cell>
          <cell r="D34" t="str">
            <v>07</v>
          </cell>
          <cell r="E34" t="str">
            <v>AMAZONAS</v>
          </cell>
          <cell r="F34" t="str">
            <v>BONGARA</v>
          </cell>
          <cell r="G34" t="str">
            <v>JAZAN</v>
          </cell>
          <cell r="H34" t="str">
            <v>010035</v>
          </cell>
          <cell r="I34" t="str">
            <v>2</v>
          </cell>
        </row>
        <row r="35">
          <cell r="A35" t="str">
            <v>AMAZONASBONGARARECTA</v>
          </cell>
          <cell r="B35" t="str">
            <v>01</v>
          </cell>
          <cell r="C35" t="str">
            <v>03</v>
          </cell>
          <cell r="D35" t="str">
            <v>08</v>
          </cell>
          <cell r="E35" t="str">
            <v>AMAZONAS</v>
          </cell>
          <cell r="F35" t="str">
            <v>BONGARA</v>
          </cell>
          <cell r="G35" t="str">
            <v>RECTA</v>
          </cell>
          <cell r="H35" t="str">
            <v>010036</v>
          </cell>
          <cell r="I35" t="str">
            <v>2</v>
          </cell>
        </row>
        <row r="36">
          <cell r="A36" t="str">
            <v>AMAZONASBONGARASAN CARLOS</v>
          </cell>
          <cell r="B36" t="str">
            <v>01</v>
          </cell>
          <cell r="C36" t="str">
            <v>03</v>
          </cell>
          <cell r="D36" t="str">
            <v>09</v>
          </cell>
          <cell r="E36" t="str">
            <v>AMAZONAS</v>
          </cell>
          <cell r="F36" t="str">
            <v>BONGARA</v>
          </cell>
          <cell r="G36" t="str">
            <v>SAN CARLOS</v>
          </cell>
          <cell r="H36" t="str">
            <v>010037</v>
          </cell>
          <cell r="I36" t="str">
            <v>2</v>
          </cell>
        </row>
        <row r="37">
          <cell r="A37" t="str">
            <v>AMAZONASBONGARASHIPASBAMBA</v>
          </cell>
          <cell r="B37" t="str">
            <v>01</v>
          </cell>
          <cell r="C37" t="str">
            <v>03</v>
          </cell>
          <cell r="D37" t="str">
            <v>10</v>
          </cell>
          <cell r="E37" t="str">
            <v>AMAZONAS</v>
          </cell>
          <cell r="F37" t="str">
            <v>BONGARA</v>
          </cell>
          <cell r="G37" t="str">
            <v>SHIPASBAMBA</v>
          </cell>
          <cell r="H37" t="str">
            <v>013251</v>
          </cell>
          <cell r="I37" t="str">
            <v>2</v>
          </cell>
        </row>
        <row r="38">
          <cell r="A38" t="str">
            <v>AMAZONASBONGARAVALERA</v>
          </cell>
          <cell r="B38" t="str">
            <v>01</v>
          </cell>
          <cell r="C38" t="str">
            <v>03</v>
          </cell>
          <cell r="D38" t="str">
            <v>11</v>
          </cell>
          <cell r="E38" t="str">
            <v>AMAZONAS</v>
          </cell>
          <cell r="F38" t="str">
            <v>BONGARA</v>
          </cell>
          <cell r="G38" t="str">
            <v>VALERA</v>
          </cell>
          <cell r="H38" t="str">
            <v>010015</v>
          </cell>
          <cell r="I38" t="str">
            <v>2</v>
          </cell>
        </row>
        <row r="39">
          <cell r="A39" t="str">
            <v>AMAZONASBONGARAYAMBRASBAMBA</v>
          </cell>
          <cell r="B39" t="str">
            <v>01</v>
          </cell>
          <cell r="C39" t="str">
            <v>03</v>
          </cell>
          <cell r="D39" t="str">
            <v>12</v>
          </cell>
          <cell r="E39" t="str">
            <v>AMAZONAS</v>
          </cell>
          <cell r="F39" t="str">
            <v>BONGARA</v>
          </cell>
          <cell r="G39" t="str">
            <v>YAMBRASBAMBA</v>
          </cell>
          <cell r="H39" t="str">
            <v>010039</v>
          </cell>
          <cell r="I39" t="str">
            <v>2</v>
          </cell>
        </row>
        <row r="40">
          <cell r="A40" t="str">
            <v>AMAZONASCONDORCANQUINIEVA</v>
          </cell>
          <cell r="B40" t="str">
            <v>01</v>
          </cell>
          <cell r="C40" t="str">
            <v>04</v>
          </cell>
          <cell r="D40" t="str">
            <v>01</v>
          </cell>
          <cell r="E40" t="str">
            <v>AMAZONAS</v>
          </cell>
          <cell r="F40" t="str">
            <v>CONDORCANQUI</v>
          </cell>
          <cell r="G40" t="str">
            <v>NIEVA</v>
          </cell>
          <cell r="H40" t="str">
            <v>010041</v>
          </cell>
          <cell r="I40" t="str">
            <v>1</v>
          </cell>
        </row>
        <row r="41">
          <cell r="A41" t="str">
            <v>AMAZONASCONDORCANQUIEL CENEPA</v>
          </cell>
          <cell r="B41" t="str">
            <v>01</v>
          </cell>
          <cell r="C41" t="str">
            <v>04</v>
          </cell>
          <cell r="D41" t="str">
            <v>02</v>
          </cell>
          <cell r="E41" t="str">
            <v>AMAZONAS</v>
          </cell>
          <cell r="F41" t="str">
            <v>CONDORCANQUI</v>
          </cell>
          <cell r="G41" t="str">
            <v>EL CENEPA</v>
          </cell>
          <cell r="H41" t="str">
            <v>010042</v>
          </cell>
          <cell r="I41" t="str">
            <v>2</v>
          </cell>
        </row>
        <row r="42">
          <cell r="A42" t="str">
            <v>AMAZONASCONDORCANQUIRIO SANTIAGO</v>
          </cell>
          <cell r="B42" t="str">
            <v>01</v>
          </cell>
          <cell r="C42" t="str">
            <v>04</v>
          </cell>
          <cell r="D42" t="str">
            <v>03</v>
          </cell>
          <cell r="E42" t="str">
            <v>AMAZONAS</v>
          </cell>
          <cell r="F42" t="str">
            <v>CONDORCANQUI</v>
          </cell>
          <cell r="G42" t="str">
            <v>RIO SANTIAGO</v>
          </cell>
          <cell r="H42" t="str">
            <v>012991</v>
          </cell>
          <cell r="I42" t="str">
            <v>2</v>
          </cell>
        </row>
        <row r="43">
          <cell r="A43" t="str">
            <v>AMAZONASLUYALAMUD</v>
          </cell>
          <cell r="B43" t="str">
            <v>01</v>
          </cell>
          <cell r="C43" t="str">
            <v>05</v>
          </cell>
          <cell r="D43" t="str">
            <v>01</v>
          </cell>
          <cell r="E43" t="str">
            <v>AMAZONAS</v>
          </cell>
          <cell r="F43" t="str">
            <v>LUYA</v>
          </cell>
          <cell r="G43" t="str">
            <v>LAMUD</v>
          </cell>
          <cell r="H43" t="str">
            <v>010044</v>
          </cell>
          <cell r="I43" t="str">
            <v>1</v>
          </cell>
        </row>
        <row r="44">
          <cell r="A44" t="str">
            <v>AMAZONASLUYACAMPORREDONDO</v>
          </cell>
          <cell r="B44" t="str">
            <v>01</v>
          </cell>
          <cell r="C44" t="str">
            <v>05</v>
          </cell>
          <cell r="D44" t="str">
            <v>02</v>
          </cell>
          <cell r="E44" t="str">
            <v>AMAZONAS</v>
          </cell>
          <cell r="F44" t="str">
            <v>LUYA</v>
          </cell>
          <cell r="G44" t="str">
            <v>CAMPORREDONDO</v>
          </cell>
          <cell r="H44" t="str">
            <v>010045</v>
          </cell>
          <cell r="I44" t="str">
            <v>2</v>
          </cell>
        </row>
        <row r="45">
          <cell r="A45" t="str">
            <v>AMAZONASLUYACOCABAMBA</v>
          </cell>
          <cell r="B45" t="str">
            <v>01</v>
          </cell>
          <cell r="C45" t="str">
            <v>05</v>
          </cell>
          <cell r="D45" t="str">
            <v>03</v>
          </cell>
          <cell r="E45" t="str">
            <v>AMAZONAS</v>
          </cell>
          <cell r="F45" t="str">
            <v>LUYA</v>
          </cell>
          <cell r="G45" t="str">
            <v>COCABAMBA</v>
          </cell>
          <cell r="H45" t="str">
            <v>010060</v>
          </cell>
          <cell r="I45" t="str">
            <v>2</v>
          </cell>
        </row>
        <row r="46">
          <cell r="A46" t="str">
            <v>AMAZONASLUYACOLCAMAR</v>
          </cell>
          <cell r="B46" t="str">
            <v>01</v>
          </cell>
          <cell r="C46" t="str">
            <v>05</v>
          </cell>
          <cell r="D46" t="str">
            <v>04</v>
          </cell>
          <cell r="E46" t="str">
            <v>AMAZONAS</v>
          </cell>
          <cell r="F46" t="str">
            <v>LUYA</v>
          </cell>
          <cell r="G46" t="str">
            <v>COLCAMAR</v>
          </cell>
          <cell r="H46" t="str">
            <v>010061</v>
          </cell>
          <cell r="I46" t="str">
            <v>2</v>
          </cell>
        </row>
        <row r="47">
          <cell r="A47" t="str">
            <v>AMAZONASLUYACONILA</v>
          </cell>
          <cell r="B47" t="str">
            <v>01</v>
          </cell>
          <cell r="C47" t="str">
            <v>05</v>
          </cell>
          <cell r="D47" t="str">
            <v>05</v>
          </cell>
          <cell r="E47" t="str">
            <v>AMAZONAS</v>
          </cell>
          <cell r="F47" t="str">
            <v>LUYA</v>
          </cell>
          <cell r="G47" t="str">
            <v>CONILA</v>
          </cell>
          <cell r="H47" t="str">
            <v>010046</v>
          </cell>
          <cell r="I47" t="str">
            <v>2</v>
          </cell>
        </row>
        <row r="48">
          <cell r="A48" t="str">
            <v>AMAZONASLUYAINGUILPATA</v>
          </cell>
          <cell r="B48" t="str">
            <v>01</v>
          </cell>
          <cell r="C48" t="str">
            <v>05</v>
          </cell>
          <cell r="D48" t="str">
            <v>06</v>
          </cell>
          <cell r="E48" t="str">
            <v>AMAZONAS</v>
          </cell>
          <cell r="F48" t="str">
            <v>LUYA</v>
          </cell>
          <cell r="G48" t="str">
            <v>INGUILPATA</v>
          </cell>
          <cell r="H48" t="str">
            <v>010047</v>
          </cell>
          <cell r="I48" t="str">
            <v>2</v>
          </cell>
        </row>
        <row r="49">
          <cell r="A49" t="str">
            <v>AMAZONASLUYALONGUITA</v>
          </cell>
          <cell r="B49" t="str">
            <v>01</v>
          </cell>
          <cell r="C49" t="str">
            <v>05</v>
          </cell>
          <cell r="D49" t="str">
            <v>07</v>
          </cell>
          <cell r="E49" t="str">
            <v>AMAZONAS</v>
          </cell>
          <cell r="F49" t="str">
            <v>LUYA</v>
          </cell>
          <cell r="G49" t="str">
            <v>LONGUITA</v>
          </cell>
          <cell r="H49" t="str">
            <v>010062</v>
          </cell>
          <cell r="I49" t="str">
            <v>2</v>
          </cell>
        </row>
        <row r="50">
          <cell r="A50" t="str">
            <v>AMAZONASLUYALONYA CHICO</v>
          </cell>
          <cell r="B50" t="str">
            <v>01</v>
          </cell>
          <cell r="C50" t="str">
            <v>05</v>
          </cell>
          <cell r="D50" t="str">
            <v>08</v>
          </cell>
          <cell r="E50" t="str">
            <v>AMAZONAS</v>
          </cell>
          <cell r="F50" t="str">
            <v>LUYA</v>
          </cell>
          <cell r="G50" t="str">
            <v>LONYA CHICO</v>
          </cell>
          <cell r="H50" t="str">
            <v>010048</v>
          </cell>
          <cell r="I50" t="str">
            <v>2</v>
          </cell>
        </row>
        <row r="51">
          <cell r="A51" t="str">
            <v>AMAZONASLUYALUYA</v>
          </cell>
          <cell r="B51" t="str">
            <v>01</v>
          </cell>
          <cell r="C51" t="str">
            <v>05</v>
          </cell>
          <cell r="D51" t="str">
            <v>09</v>
          </cell>
          <cell r="E51" t="str">
            <v>AMAZONAS</v>
          </cell>
          <cell r="F51" t="str">
            <v>LUYA</v>
          </cell>
          <cell r="G51" t="str">
            <v>LUYA</v>
          </cell>
          <cell r="H51" t="str">
            <v>010049</v>
          </cell>
          <cell r="I51" t="str">
            <v>2</v>
          </cell>
        </row>
        <row r="52">
          <cell r="A52" t="str">
            <v>AMAZONASLUYALUYA VIEJO</v>
          </cell>
          <cell r="B52" t="str">
            <v>01</v>
          </cell>
          <cell r="C52" t="str">
            <v>05</v>
          </cell>
          <cell r="D52" t="str">
            <v>10</v>
          </cell>
          <cell r="E52" t="str">
            <v>AMAZONAS</v>
          </cell>
          <cell r="F52" t="str">
            <v>LUYA</v>
          </cell>
          <cell r="G52" t="str">
            <v>LUYA VIEJO</v>
          </cell>
          <cell r="H52" t="str">
            <v>010050</v>
          </cell>
          <cell r="I52" t="str">
            <v>2</v>
          </cell>
        </row>
        <row r="53">
          <cell r="A53" t="str">
            <v>AMAZONASLUYAMARIA</v>
          </cell>
          <cell r="B53" t="str">
            <v>01</v>
          </cell>
          <cell r="C53" t="str">
            <v>05</v>
          </cell>
          <cell r="D53" t="str">
            <v>11</v>
          </cell>
          <cell r="E53" t="str">
            <v>AMAZONAS</v>
          </cell>
          <cell r="F53" t="str">
            <v>LUYA</v>
          </cell>
          <cell r="G53" t="str">
            <v>MARIA</v>
          </cell>
          <cell r="H53" t="str">
            <v>010063</v>
          </cell>
          <cell r="I53" t="str">
            <v>2</v>
          </cell>
        </row>
        <row r="54">
          <cell r="A54" t="str">
            <v>AMAZONASLUYAOCALLI</v>
          </cell>
          <cell r="B54" t="str">
            <v>01</v>
          </cell>
          <cell r="C54" t="str">
            <v>05</v>
          </cell>
          <cell r="D54" t="str">
            <v>12</v>
          </cell>
          <cell r="E54" t="str">
            <v>AMAZONAS</v>
          </cell>
          <cell r="F54" t="str">
            <v>LUYA</v>
          </cell>
          <cell r="G54" t="str">
            <v>OCALLI</v>
          </cell>
          <cell r="H54" t="str">
            <v>010051</v>
          </cell>
          <cell r="I54" t="str">
            <v>2</v>
          </cell>
        </row>
        <row r="55">
          <cell r="A55" t="str">
            <v>AMAZONASLUYAOCUMAL</v>
          </cell>
          <cell r="B55" t="str">
            <v>01</v>
          </cell>
          <cell r="C55" t="str">
            <v>05</v>
          </cell>
          <cell r="D55" t="str">
            <v>13</v>
          </cell>
          <cell r="E55" t="str">
            <v>AMAZONAS</v>
          </cell>
          <cell r="F55" t="str">
            <v>LUYA</v>
          </cell>
          <cell r="G55" t="str">
            <v>OCUMAL</v>
          </cell>
          <cell r="H55" t="str">
            <v>010052</v>
          </cell>
          <cell r="I55" t="str">
            <v>2</v>
          </cell>
        </row>
        <row r="56">
          <cell r="A56" t="str">
            <v>AMAZONASLUYAPISUQUIA</v>
          </cell>
          <cell r="B56" t="str">
            <v>01</v>
          </cell>
          <cell r="C56" t="str">
            <v>05</v>
          </cell>
          <cell r="D56" t="str">
            <v>14</v>
          </cell>
          <cell r="E56" t="str">
            <v>AMAZONAS</v>
          </cell>
          <cell r="F56" t="str">
            <v>LUYA</v>
          </cell>
          <cell r="G56" t="str">
            <v>PISUQUIA</v>
          </cell>
          <cell r="H56" t="str">
            <v>010064</v>
          </cell>
          <cell r="I56" t="str">
            <v>2</v>
          </cell>
        </row>
        <row r="57">
          <cell r="A57" t="str">
            <v>AMAZONASLUYAPROVIDENCIA</v>
          </cell>
          <cell r="B57" t="str">
            <v>01</v>
          </cell>
          <cell r="C57" t="str">
            <v>05</v>
          </cell>
          <cell r="D57" t="str">
            <v>15</v>
          </cell>
          <cell r="E57" t="str">
            <v>AMAZONAS</v>
          </cell>
          <cell r="F57" t="str">
            <v>LUYA</v>
          </cell>
          <cell r="G57" t="str">
            <v>PROVIDENCIA</v>
          </cell>
          <cell r="H57" t="str">
            <v>010053</v>
          </cell>
          <cell r="I57" t="str">
            <v>2</v>
          </cell>
        </row>
        <row r="58">
          <cell r="A58" t="str">
            <v>AMAZONASLUYASAN CRISTOBAL</v>
          </cell>
          <cell r="B58" t="str">
            <v>01</v>
          </cell>
          <cell r="C58" t="str">
            <v>05</v>
          </cell>
          <cell r="D58" t="str">
            <v>16</v>
          </cell>
          <cell r="E58" t="str">
            <v>AMAZONAS</v>
          </cell>
          <cell r="F58" t="str">
            <v>LUYA</v>
          </cell>
          <cell r="G58" t="str">
            <v>SAN CRISTOBAL</v>
          </cell>
          <cell r="H58" t="str">
            <v>010054</v>
          </cell>
          <cell r="I58" t="str">
            <v>2</v>
          </cell>
        </row>
        <row r="59">
          <cell r="A59" t="str">
            <v>AMAZONASLUYASAN FRANCISCO DEL YESO</v>
          </cell>
          <cell r="B59" t="str">
            <v>01</v>
          </cell>
          <cell r="C59" t="str">
            <v>05</v>
          </cell>
          <cell r="D59" t="str">
            <v>17</v>
          </cell>
          <cell r="E59" t="str">
            <v>AMAZONAS</v>
          </cell>
          <cell r="F59" t="str">
            <v>LUYA</v>
          </cell>
          <cell r="G59" t="str">
            <v>SAN FRANCISCO DEL YESO</v>
          </cell>
          <cell r="H59" t="str">
            <v>010022</v>
          </cell>
          <cell r="I59" t="str">
            <v>2</v>
          </cell>
        </row>
        <row r="60">
          <cell r="A60" t="str">
            <v>AMAZONASLUYASAN JERONIMO</v>
          </cell>
          <cell r="B60" t="str">
            <v>01</v>
          </cell>
          <cell r="C60" t="str">
            <v>05</v>
          </cell>
          <cell r="D60" t="str">
            <v>18</v>
          </cell>
          <cell r="E60" t="str">
            <v>AMAZONAS</v>
          </cell>
          <cell r="F60" t="str">
            <v>LUYA</v>
          </cell>
          <cell r="G60" t="str">
            <v>SAN JERONIMO</v>
          </cell>
          <cell r="H60" t="str">
            <v>010055</v>
          </cell>
          <cell r="I60" t="str">
            <v>2</v>
          </cell>
        </row>
        <row r="61">
          <cell r="A61" t="str">
            <v>AMAZONASLUYASAN JUAN DE LOPECANCHA</v>
          </cell>
          <cell r="B61" t="str">
            <v>01</v>
          </cell>
          <cell r="C61" t="str">
            <v>05</v>
          </cell>
          <cell r="D61" t="str">
            <v>19</v>
          </cell>
          <cell r="E61" t="str">
            <v>AMAZONAS</v>
          </cell>
          <cell r="F61" t="str">
            <v>LUYA</v>
          </cell>
          <cell r="G61" t="str">
            <v>SAN JUAN DE LOPECANCHA</v>
          </cell>
          <cell r="H61" t="str">
            <v>010065</v>
          </cell>
          <cell r="I61" t="str">
            <v>2</v>
          </cell>
        </row>
        <row r="62">
          <cell r="A62" t="str">
            <v>AMAZONASLUYASANTA CATALINA</v>
          </cell>
          <cell r="B62" t="str">
            <v>01</v>
          </cell>
          <cell r="C62" t="str">
            <v>05</v>
          </cell>
          <cell r="D62" t="str">
            <v>20</v>
          </cell>
          <cell r="E62" t="str">
            <v>AMAZONAS</v>
          </cell>
          <cell r="F62" t="str">
            <v>LUYA</v>
          </cell>
          <cell r="G62" t="str">
            <v>SANTA CATALINA</v>
          </cell>
          <cell r="H62" t="str">
            <v>010056</v>
          </cell>
          <cell r="I62" t="str">
            <v>2</v>
          </cell>
        </row>
        <row r="63">
          <cell r="A63" t="str">
            <v>AMAZONASLUYASANTO TOMAS</v>
          </cell>
          <cell r="B63" t="str">
            <v>01</v>
          </cell>
          <cell r="C63" t="str">
            <v>05</v>
          </cell>
          <cell r="D63" t="str">
            <v>21</v>
          </cell>
          <cell r="E63" t="str">
            <v>AMAZONAS</v>
          </cell>
          <cell r="F63" t="str">
            <v>LUYA</v>
          </cell>
          <cell r="G63" t="str">
            <v>SANTO TOMAS</v>
          </cell>
          <cell r="H63" t="str">
            <v>010023</v>
          </cell>
          <cell r="I63" t="str">
            <v>2</v>
          </cell>
        </row>
        <row r="64">
          <cell r="A64" t="str">
            <v>AMAZONASLUYATINGO</v>
          </cell>
          <cell r="B64" t="str">
            <v>01</v>
          </cell>
          <cell r="C64" t="str">
            <v>05</v>
          </cell>
          <cell r="D64" t="str">
            <v>22</v>
          </cell>
          <cell r="E64" t="str">
            <v>AMAZONAS</v>
          </cell>
          <cell r="F64" t="str">
            <v>LUYA</v>
          </cell>
          <cell r="G64" t="str">
            <v>TINGO</v>
          </cell>
          <cell r="H64" t="str">
            <v>010066</v>
          </cell>
          <cell r="I64" t="str">
            <v>2</v>
          </cell>
        </row>
        <row r="65">
          <cell r="A65" t="str">
            <v>AMAZONASLUYATRITA</v>
          </cell>
          <cell r="B65" t="str">
            <v>01</v>
          </cell>
          <cell r="C65" t="str">
            <v>05</v>
          </cell>
          <cell r="D65" t="str">
            <v>23</v>
          </cell>
          <cell r="E65" t="str">
            <v>AMAZONAS</v>
          </cell>
          <cell r="F65" t="str">
            <v>LUYA</v>
          </cell>
          <cell r="G65" t="str">
            <v>TRITA</v>
          </cell>
          <cell r="H65" t="str">
            <v>010057</v>
          </cell>
          <cell r="I65" t="str">
            <v>2</v>
          </cell>
        </row>
        <row r="66">
          <cell r="A66" t="str">
            <v>AMAZONASRODRIGUEZ DE MENDOZASAN NICOLAS</v>
          </cell>
          <cell r="B66" t="str">
            <v>01</v>
          </cell>
          <cell r="C66" t="str">
            <v>06</v>
          </cell>
          <cell r="D66" t="str">
            <v>01</v>
          </cell>
          <cell r="E66" t="str">
            <v>AMAZONAS</v>
          </cell>
          <cell r="F66" t="str">
            <v>RODRIGUEZ DE MENDOZA</v>
          </cell>
          <cell r="G66" t="str">
            <v>SAN NICOLAS</v>
          </cell>
          <cell r="H66" t="str">
            <v>010067</v>
          </cell>
          <cell r="I66" t="str">
            <v>1</v>
          </cell>
        </row>
        <row r="67">
          <cell r="A67" t="str">
            <v>AMAZONASRODRIGUEZ DE MENDOZACHIRIMOTO</v>
          </cell>
          <cell r="B67" t="str">
            <v>01</v>
          </cell>
          <cell r="C67" t="str">
            <v>06</v>
          </cell>
          <cell r="D67" t="str">
            <v>02</v>
          </cell>
          <cell r="E67" t="str">
            <v>AMAZONAS</v>
          </cell>
          <cell r="F67" t="str">
            <v>RODRIGUEZ DE MENDOZA</v>
          </cell>
          <cell r="G67" t="str">
            <v>CHIRIMOTO</v>
          </cell>
          <cell r="H67" t="str">
            <v>010068</v>
          </cell>
          <cell r="I67" t="str">
            <v>2</v>
          </cell>
        </row>
        <row r="68">
          <cell r="A68" t="str">
            <v>AMAZONASRODRIGUEZ DE MENDOZACOCHAMAL</v>
          </cell>
          <cell r="B68" t="str">
            <v>01</v>
          </cell>
          <cell r="C68" t="str">
            <v>06</v>
          </cell>
          <cell r="D68" t="str">
            <v>03</v>
          </cell>
          <cell r="E68" t="str">
            <v>AMAZONAS</v>
          </cell>
          <cell r="F68" t="str">
            <v>RODRIGUEZ DE MENDOZA</v>
          </cell>
          <cell r="G68" t="str">
            <v>COCHAMAL</v>
          </cell>
          <cell r="H68" t="str">
            <v>010069</v>
          </cell>
          <cell r="I68" t="str">
            <v>2</v>
          </cell>
        </row>
        <row r="69">
          <cell r="A69" t="str">
            <v>AMAZONASRODRIGUEZ DE MENDOZAHUAMBO</v>
          </cell>
          <cell r="B69" t="str">
            <v>01</v>
          </cell>
          <cell r="C69" t="str">
            <v>06</v>
          </cell>
          <cell r="D69" t="str">
            <v>04</v>
          </cell>
          <cell r="E69" t="str">
            <v>AMAZONAS</v>
          </cell>
          <cell r="F69" t="str">
            <v>RODRIGUEZ DE MENDOZA</v>
          </cell>
          <cell r="G69" t="str">
            <v>HUAMBO</v>
          </cell>
          <cell r="H69" t="str">
            <v>010070</v>
          </cell>
          <cell r="I69" t="str">
            <v>2</v>
          </cell>
        </row>
        <row r="70">
          <cell r="A70" t="str">
            <v>AMAZONASRODRIGUEZ DE MENDOZALIMABAMBA</v>
          </cell>
          <cell r="B70" t="str">
            <v>01</v>
          </cell>
          <cell r="C70" t="str">
            <v>06</v>
          </cell>
          <cell r="D70" t="str">
            <v>05</v>
          </cell>
          <cell r="E70" t="str">
            <v>AMAZONAS</v>
          </cell>
          <cell r="F70" t="str">
            <v>RODRIGUEZ DE MENDOZA</v>
          </cell>
          <cell r="G70" t="str">
            <v>LIMABAMBA</v>
          </cell>
          <cell r="H70" t="str">
            <v>010071</v>
          </cell>
          <cell r="I70" t="str">
            <v>2</v>
          </cell>
        </row>
        <row r="71">
          <cell r="A71" t="str">
            <v>AMAZONASRODRIGUEZ DE MENDOZALONGAR</v>
          </cell>
          <cell r="B71" t="str">
            <v>01</v>
          </cell>
          <cell r="C71" t="str">
            <v>06</v>
          </cell>
          <cell r="D71" t="str">
            <v>06</v>
          </cell>
          <cell r="E71" t="str">
            <v>AMAZONAS</v>
          </cell>
          <cell r="F71" t="str">
            <v>RODRIGUEZ DE MENDOZA</v>
          </cell>
          <cell r="G71" t="str">
            <v>LONGAR</v>
          </cell>
          <cell r="H71" t="str">
            <v>010072</v>
          </cell>
          <cell r="I71" t="str">
            <v>2</v>
          </cell>
        </row>
        <row r="72">
          <cell r="A72" t="str">
            <v>AMAZONASRODRIGUEZ DE MENDOZAMARISCAL BENAVIDES</v>
          </cell>
          <cell r="B72" t="str">
            <v>01</v>
          </cell>
          <cell r="C72" t="str">
            <v>06</v>
          </cell>
          <cell r="D72" t="str">
            <v>07</v>
          </cell>
          <cell r="E72" t="str">
            <v>AMAZONAS</v>
          </cell>
          <cell r="F72" t="str">
            <v>RODRIGUEZ DE MENDOZA</v>
          </cell>
          <cell r="G72" t="str">
            <v>MARISCAL BENAVIDES</v>
          </cell>
          <cell r="H72" t="str">
            <v>010073</v>
          </cell>
          <cell r="I72" t="str">
            <v>2</v>
          </cell>
        </row>
        <row r="73">
          <cell r="A73" t="str">
            <v>AMAZONASRODRIGUEZ DE MENDOZAMILPUC</v>
          </cell>
          <cell r="B73" t="str">
            <v>01</v>
          </cell>
          <cell r="C73" t="str">
            <v>06</v>
          </cell>
          <cell r="D73" t="str">
            <v>08</v>
          </cell>
          <cell r="E73" t="str">
            <v>AMAZONAS</v>
          </cell>
          <cell r="F73" t="str">
            <v>RODRIGUEZ DE MENDOZA</v>
          </cell>
          <cell r="G73" t="str">
            <v>MILPUC</v>
          </cell>
          <cell r="H73" t="str">
            <v>010074</v>
          </cell>
          <cell r="I73" t="str">
            <v>2</v>
          </cell>
        </row>
        <row r="74">
          <cell r="A74" t="str">
            <v>AMAZONASRODRIGUEZ DE MENDOZAOMIA</v>
          </cell>
          <cell r="B74" t="str">
            <v>01</v>
          </cell>
          <cell r="C74" t="str">
            <v>06</v>
          </cell>
          <cell r="D74" t="str">
            <v>09</v>
          </cell>
          <cell r="E74" t="str">
            <v>AMAZONAS</v>
          </cell>
          <cell r="F74" t="str">
            <v>RODRIGUEZ DE MENDOZA</v>
          </cell>
          <cell r="G74" t="str">
            <v>OMIA</v>
          </cell>
          <cell r="H74" t="str">
            <v>010075</v>
          </cell>
          <cell r="I74" t="str">
            <v>2</v>
          </cell>
        </row>
        <row r="75">
          <cell r="A75" t="str">
            <v>AMAZONASRODRIGUEZ DE MENDOZASANTA ROSA</v>
          </cell>
          <cell r="B75" t="str">
            <v>01</v>
          </cell>
          <cell r="C75" t="str">
            <v>06</v>
          </cell>
          <cell r="D75" t="str">
            <v>10</v>
          </cell>
          <cell r="E75" t="str">
            <v>AMAZONAS</v>
          </cell>
          <cell r="F75" t="str">
            <v>RODRIGUEZ DE MENDOZA</v>
          </cell>
          <cell r="G75" t="str">
            <v>SANTA ROSA</v>
          </cell>
          <cell r="H75" t="str">
            <v>010076</v>
          </cell>
          <cell r="I75" t="str">
            <v>2</v>
          </cell>
        </row>
        <row r="76">
          <cell r="A76" t="str">
            <v>AMAZONASRODRIGUEZ DE MENDOZATOTORA</v>
          </cell>
          <cell r="B76" t="str">
            <v>01</v>
          </cell>
          <cell r="C76" t="str">
            <v>06</v>
          </cell>
          <cell r="D76" t="str">
            <v>11</v>
          </cell>
          <cell r="E76" t="str">
            <v>AMAZONAS</v>
          </cell>
          <cell r="F76" t="str">
            <v>RODRIGUEZ DE MENDOZA</v>
          </cell>
          <cell r="G76" t="str">
            <v>TOTORA</v>
          </cell>
          <cell r="H76" t="str">
            <v>010077</v>
          </cell>
          <cell r="I76" t="str">
            <v>2</v>
          </cell>
        </row>
        <row r="77">
          <cell r="A77" t="str">
            <v>AMAZONASRODRIGUEZ DE MENDOZAVISTA ALEGRE</v>
          </cell>
          <cell r="B77" t="str">
            <v>01</v>
          </cell>
          <cell r="C77" t="str">
            <v>06</v>
          </cell>
          <cell r="D77" t="str">
            <v>12</v>
          </cell>
          <cell r="E77" t="str">
            <v>AMAZONAS</v>
          </cell>
          <cell r="F77" t="str">
            <v>RODRIGUEZ DE MENDOZA</v>
          </cell>
          <cell r="G77" t="str">
            <v>VISTA ALEGRE</v>
          </cell>
          <cell r="H77" t="str">
            <v>010040</v>
          </cell>
          <cell r="I77" t="str">
            <v>2</v>
          </cell>
        </row>
        <row r="78">
          <cell r="A78" t="str">
            <v>AMAZONASUTCUBAMBABAGUA GRANDE</v>
          </cell>
          <cell r="B78" t="str">
            <v>01</v>
          </cell>
          <cell r="C78" t="str">
            <v>07</v>
          </cell>
          <cell r="D78" t="str">
            <v>01</v>
          </cell>
          <cell r="E78" t="str">
            <v>AMAZONAS</v>
          </cell>
          <cell r="F78" t="str">
            <v>UTCUBAMBA</v>
          </cell>
          <cell r="G78" t="str">
            <v>BAGUA GRANDE</v>
          </cell>
          <cell r="H78" t="str">
            <v>010078</v>
          </cell>
          <cell r="I78" t="str">
            <v>1</v>
          </cell>
        </row>
        <row r="79">
          <cell r="A79" t="str">
            <v>AMAZONASUTCUBAMBACAJARURO</v>
          </cell>
          <cell r="B79" t="str">
            <v>01</v>
          </cell>
          <cell r="C79" t="str">
            <v>07</v>
          </cell>
          <cell r="D79" t="str">
            <v>02</v>
          </cell>
          <cell r="E79" t="str">
            <v>AMAZONAS</v>
          </cell>
          <cell r="F79" t="str">
            <v>UTCUBAMBA</v>
          </cell>
          <cell r="G79" t="str">
            <v>CAJARURO</v>
          </cell>
          <cell r="H79" t="str">
            <v>013253</v>
          </cell>
          <cell r="I79" t="str">
            <v>2</v>
          </cell>
        </row>
        <row r="80">
          <cell r="A80" t="str">
            <v>AMAZONASUTCUBAMBACUMBA</v>
          </cell>
          <cell r="B80" t="str">
            <v>01</v>
          </cell>
          <cell r="C80" t="str">
            <v>07</v>
          </cell>
          <cell r="D80" t="str">
            <v>03</v>
          </cell>
          <cell r="E80" t="str">
            <v>AMAZONAS</v>
          </cell>
          <cell r="F80" t="str">
            <v>UTCUBAMBA</v>
          </cell>
          <cell r="G80" t="str">
            <v>CUMBA</v>
          </cell>
          <cell r="H80" t="str">
            <v>010080</v>
          </cell>
          <cell r="I80" t="str">
            <v>2</v>
          </cell>
        </row>
        <row r="81">
          <cell r="A81" t="str">
            <v>AMAZONASUTCUBAMBAEL MILAGRO</v>
          </cell>
          <cell r="B81" t="str">
            <v>01</v>
          </cell>
          <cell r="C81" t="str">
            <v>07</v>
          </cell>
          <cell r="D81" t="str">
            <v>04</v>
          </cell>
          <cell r="E81" t="str">
            <v>AMAZONAS</v>
          </cell>
          <cell r="F81" t="str">
            <v>UTCUBAMBA</v>
          </cell>
          <cell r="G81" t="str">
            <v>EL MILAGRO</v>
          </cell>
          <cell r="H81" t="str">
            <v>012849</v>
          </cell>
          <cell r="I81" t="str">
            <v>2</v>
          </cell>
        </row>
        <row r="82">
          <cell r="A82" t="str">
            <v>AMAZONASUTCUBAMBAJAMALCA</v>
          </cell>
          <cell r="B82" t="str">
            <v>01</v>
          </cell>
          <cell r="C82" t="str">
            <v>07</v>
          </cell>
          <cell r="D82" t="str">
            <v>05</v>
          </cell>
          <cell r="E82" t="str">
            <v>AMAZONAS</v>
          </cell>
          <cell r="F82" t="str">
            <v>UTCUBAMBA</v>
          </cell>
          <cell r="G82" t="str">
            <v>JAMALCA</v>
          </cell>
          <cell r="H82" t="str">
            <v>010082</v>
          </cell>
          <cell r="I82" t="str">
            <v>2</v>
          </cell>
        </row>
        <row r="83">
          <cell r="A83" t="str">
            <v>AMAZONASUTCUBAMBALONYA GRANDE</v>
          </cell>
          <cell r="B83" t="str">
            <v>01</v>
          </cell>
          <cell r="C83" t="str">
            <v>07</v>
          </cell>
          <cell r="D83" t="str">
            <v>06</v>
          </cell>
          <cell r="E83" t="str">
            <v>AMAZONAS</v>
          </cell>
          <cell r="F83" t="str">
            <v>UTCUBAMBA</v>
          </cell>
          <cell r="G83" t="str">
            <v>LONYA GRANDE</v>
          </cell>
          <cell r="H83" t="str">
            <v>010083</v>
          </cell>
          <cell r="I83" t="str">
            <v>2</v>
          </cell>
        </row>
        <row r="84">
          <cell r="A84" t="str">
            <v>AMAZONASUTCUBAMBAYAMON</v>
          </cell>
          <cell r="B84" t="str">
            <v>01</v>
          </cell>
          <cell r="C84" t="str">
            <v>07</v>
          </cell>
          <cell r="D84" t="str">
            <v>07</v>
          </cell>
          <cell r="E84" t="str">
            <v>AMAZONAS</v>
          </cell>
          <cell r="F84" t="str">
            <v>UTCUBAMBA</v>
          </cell>
          <cell r="G84" t="str">
            <v>YAMON</v>
          </cell>
          <cell r="H84" t="str">
            <v>012810</v>
          </cell>
          <cell r="I84" t="str">
            <v>2</v>
          </cell>
        </row>
        <row r="85">
          <cell r="A85" t="str">
            <v>ANCASHHUARAZHUARAZ</v>
          </cell>
          <cell r="B85" t="str">
            <v>02</v>
          </cell>
          <cell r="C85" t="str">
            <v>01</v>
          </cell>
          <cell r="D85" t="str">
            <v>01</v>
          </cell>
          <cell r="E85" t="str">
            <v>ANCASH</v>
          </cell>
          <cell r="F85" t="str">
            <v>HUARAZ</v>
          </cell>
          <cell r="G85" t="str">
            <v>HUARAZ</v>
          </cell>
          <cell r="H85" t="str">
            <v>010085</v>
          </cell>
          <cell r="I85" t="str">
            <v>1</v>
          </cell>
        </row>
        <row r="86">
          <cell r="A86" t="str">
            <v>ANCASHHUARAZCOCHABAMBA</v>
          </cell>
          <cell r="B86" t="str">
            <v>02</v>
          </cell>
          <cell r="C86" t="str">
            <v>01</v>
          </cell>
          <cell r="D86" t="str">
            <v>02</v>
          </cell>
          <cell r="E86" t="str">
            <v>ANCASH</v>
          </cell>
          <cell r="F86" t="str">
            <v>HUARAZ</v>
          </cell>
          <cell r="G86" t="str">
            <v>COCHABAMBA</v>
          </cell>
          <cell r="H86" t="str">
            <v>012415</v>
          </cell>
          <cell r="I86" t="str">
            <v>2</v>
          </cell>
        </row>
        <row r="87">
          <cell r="A87" t="str">
            <v>ANCASHHUARAZCOLCABAMBA</v>
          </cell>
          <cell r="B87" t="str">
            <v>02</v>
          </cell>
          <cell r="C87" t="str">
            <v>01</v>
          </cell>
          <cell r="D87" t="str">
            <v>03</v>
          </cell>
          <cell r="E87" t="str">
            <v>ANCASH</v>
          </cell>
          <cell r="F87" t="str">
            <v>HUARAZ</v>
          </cell>
          <cell r="G87" t="str">
            <v>COLCABAMBA</v>
          </cell>
          <cell r="H87" t="str">
            <v>010088</v>
          </cell>
          <cell r="I87" t="str">
            <v>2</v>
          </cell>
        </row>
        <row r="88">
          <cell r="A88" t="str">
            <v>ANCASHHUARAZHUANCHAY</v>
          </cell>
          <cell r="B88" t="str">
            <v>02</v>
          </cell>
          <cell r="C88" t="str">
            <v>01</v>
          </cell>
          <cell r="D88" t="str">
            <v>04</v>
          </cell>
          <cell r="E88" t="str">
            <v>ANCASH</v>
          </cell>
          <cell r="F88" t="str">
            <v>HUARAZ</v>
          </cell>
          <cell r="G88" t="str">
            <v>HUANCHAY</v>
          </cell>
          <cell r="H88" t="str">
            <v>010234</v>
          </cell>
          <cell r="I88" t="str">
            <v>2</v>
          </cell>
        </row>
        <row r="89">
          <cell r="A89" t="str">
            <v>ANCASHHUARAZINDEPENDENCIA</v>
          </cell>
          <cell r="B89" t="str">
            <v>02</v>
          </cell>
          <cell r="C89" t="str">
            <v>01</v>
          </cell>
          <cell r="D89" t="str">
            <v>05</v>
          </cell>
          <cell r="E89" t="str">
            <v>ANCASH</v>
          </cell>
          <cell r="F89" t="str">
            <v>HUARAZ</v>
          </cell>
          <cell r="G89" t="str">
            <v>INDEPENDENCIA</v>
          </cell>
          <cell r="H89" t="str">
            <v>010086</v>
          </cell>
          <cell r="I89" t="str">
            <v>2</v>
          </cell>
        </row>
        <row r="90">
          <cell r="A90" t="str">
            <v>ANCASHHUARAZJANGAS</v>
          </cell>
          <cell r="B90" t="str">
            <v>02</v>
          </cell>
          <cell r="C90" t="str">
            <v>01</v>
          </cell>
          <cell r="D90" t="str">
            <v>06</v>
          </cell>
          <cell r="E90" t="str">
            <v>ANCASH</v>
          </cell>
          <cell r="F90" t="str">
            <v>HUARAZ</v>
          </cell>
          <cell r="G90" t="str">
            <v>JANGAS</v>
          </cell>
          <cell r="H90" t="str">
            <v>010089</v>
          </cell>
          <cell r="I90" t="str">
            <v>2</v>
          </cell>
        </row>
        <row r="91">
          <cell r="A91" t="str">
            <v>ANCASHHUARAZLA LIBERTAD</v>
          </cell>
          <cell r="B91" t="str">
            <v>02</v>
          </cell>
          <cell r="C91" t="str">
            <v>01</v>
          </cell>
          <cell r="D91" t="str">
            <v>07</v>
          </cell>
          <cell r="E91" t="str">
            <v>ANCASH</v>
          </cell>
          <cell r="F91" t="str">
            <v>HUARAZ</v>
          </cell>
          <cell r="G91" t="str">
            <v>LA LIBERTAD</v>
          </cell>
          <cell r="H91" t="str">
            <v>010090</v>
          </cell>
          <cell r="I91" t="str">
            <v>2</v>
          </cell>
        </row>
        <row r="92">
          <cell r="A92" t="str">
            <v>ANCASHHUARAZOLLEROS</v>
          </cell>
          <cell r="B92" t="str">
            <v>02</v>
          </cell>
          <cell r="C92" t="str">
            <v>01</v>
          </cell>
          <cell r="D92" t="str">
            <v>08</v>
          </cell>
          <cell r="E92" t="str">
            <v>ANCASH</v>
          </cell>
          <cell r="F92" t="str">
            <v>HUARAZ</v>
          </cell>
          <cell r="G92" t="str">
            <v>OLLEROS</v>
          </cell>
          <cell r="H92" t="str">
            <v>010091</v>
          </cell>
          <cell r="I92" t="str">
            <v>2</v>
          </cell>
        </row>
        <row r="93">
          <cell r="A93" t="str">
            <v>ANCASHHUARAZPAMPAS</v>
          </cell>
          <cell r="B93" t="str">
            <v>02</v>
          </cell>
          <cell r="C93" t="str">
            <v>01</v>
          </cell>
          <cell r="D93" t="str">
            <v>09</v>
          </cell>
          <cell r="E93" t="str">
            <v>ANCASH</v>
          </cell>
          <cell r="F93" t="str">
            <v>HUARAZ</v>
          </cell>
          <cell r="G93" t="str">
            <v>PAMPAS</v>
          </cell>
          <cell r="H93" t="str">
            <v>010092</v>
          </cell>
          <cell r="I93" t="str">
            <v>2</v>
          </cell>
        </row>
        <row r="94">
          <cell r="A94" t="str">
            <v>ANCASHHUARAZPARIACOTO</v>
          </cell>
          <cell r="B94" t="str">
            <v>02</v>
          </cell>
          <cell r="C94" t="str">
            <v>01</v>
          </cell>
          <cell r="D94" t="str">
            <v>10</v>
          </cell>
          <cell r="E94" t="str">
            <v>ANCASH</v>
          </cell>
          <cell r="F94" t="str">
            <v>HUARAZ</v>
          </cell>
          <cell r="G94" t="str">
            <v>PARIACOTO</v>
          </cell>
          <cell r="H94" t="str">
            <v>010093</v>
          </cell>
          <cell r="I94" t="str">
            <v>2</v>
          </cell>
        </row>
        <row r="95">
          <cell r="A95" t="str">
            <v>ANCASHHUARAZPIRA</v>
          </cell>
          <cell r="B95" t="str">
            <v>02</v>
          </cell>
          <cell r="C95" t="str">
            <v>01</v>
          </cell>
          <cell r="D95" t="str">
            <v>11</v>
          </cell>
          <cell r="E95" t="str">
            <v>ANCASH</v>
          </cell>
          <cell r="F95" t="str">
            <v>HUARAZ</v>
          </cell>
          <cell r="G95" t="str">
            <v>PIRA</v>
          </cell>
          <cell r="H95" t="str">
            <v>012416</v>
          </cell>
          <cell r="I95" t="str">
            <v>2</v>
          </cell>
        </row>
        <row r="96">
          <cell r="A96" t="str">
            <v>ANCASHHUARAZTARICA</v>
          </cell>
          <cell r="B96" t="str">
            <v>02</v>
          </cell>
          <cell r="C96" t="str">
            <v>01</v>
          </cell>
          <cell r="D96" t="str">
            <v>12</v>
          </cell>
          <cell r="E96" t="str">
            <v>ANCASH</v>
          </cell>
          <cell r="F96" t="str">
            <v>HUARAZ</v>
          </cell>
          <cell r="G96" t="str">
            <v>TARICA</v>
          </cell>
          <cell r="H96" t="str">
            <v>010095</v>
          </cell>
          <cell r="I96" t="str">
            <v>2</v>
          </cell>
        </row>
        <row r="97">
          <cell r="A97" t="str">
            <v>ANCASHAIJAAIJA</v>
          </cell>
          <cell r="B97" t="str">
            <v>02</v>
          </cell>
          <cell r="C97" t="str">
            <v>02</v>
          </cell>
          <cell r="D97" t="str">
            <v>01</v>
          </cell>
          <cell r="E97" t="str">
            <v>ANCASH</v>
          </cell>
          <cell r="F97" t="str">
            <v>AIJA</v>
          </cell>
          <cell r="G97" t="str">
            <v>AIJA</v>
          </cell>
          <cell r="H97" t="str">
            <v>010096</v>
          </cell>
          <cell r="I97" t="str">
            <v>1</v>
          </cell>
        </row>
        <row r="98">
          <cell r="A98" t="str">
            <v>ANCASHAIJACORIS</v>
          </cell>
          <cell r="B98" t="str">
            <v>02</v>
          </cell>
          <cell r="C98" t="str">
            <v>02</v>
          </cell>
          <cell r="D98" t="str">
            <v>02</v>
          </cell>
          <cell r="E98" t="str">
            <v>ANCASH</v>
          </cell>
          <cell r="F98" t="str">
            <v>AIJA</v>
          </cell>
          <cell r="G98" t="str">
            <v>CORIS</v>
          </cell>
          <cell r="H98" t="str">
            <v>010097</v>
          </cell>
          <cell r="I98" t="str">
            <v>2</v>
          </cell>
        </row>
        <row r="99">
          <cell r="A99" t="str">
            <v>ANCASHAIJAHUACLLAN</v>
          </cell>
          <cell r="B99" t="str">
            <v>02</v>
          </cell>
          <cell r="C99" t="str">
            <v>02</v>
          </cell>
          <cell r="D99" t="str">
            <v>03</v>
          </cell>
          <cell r="E99" t="str">
            <v>ANCASH</v>
          </cell>
          <cell r="F99" t="str">
            <v>AIJA</v>
          </cell>
          <cell r="G99" t="str">
            <v>HUACLLAN</v>
          </cell>
          <cell r="H99" t="str">
            <v>010098</v>
          </cell>
          <cell r="I99" t="str">
            <v>2</v>
          </cell>
        </row>
        <row r="100">
          <cell r="A100" t="str">
            <v>ANCASHAIJALA MERCED</v>
          </cell>
          <cell r="B100" t="str">
            <v>02</v>
          </cell>
          <cell r="C100" t="str">
            <v>02</v>
          </cell>
          <cell r="D100" t="str">
            <v>04</v>
          </cell>
          <cell r="E100" t="str">
            <v>ANCASH</v>
          </cell>
          <cell r="F100" t="str">
            <v>AIJA</v>
          </cell>
          <cell r="G100" t="str">
            <v>LA MERCED</v>
          </cell>
          <cell r="H100" t="str">
            <v>010099</v>
          </cell>
          <cell r="I100" t="str">
            <v>2</v>
          </cell>
        </row>
        <row r="101">
          <cell r="A101" t="str">
            <v>ANCASHAIJASUCCHA</v>
          </cell>
          <cell r="B101" t="str">
            <v>02</v>
          </cell>
          <cell r="C101" t="str">
            <v>02</v>
          </cell>
          <cell r="D101" t="str">
            <v>05</v>
          </cell>
          <cell r="E101" t="str">
            <v>ANCASH</v>
          </cell>
          <cell r="F101" t="str">
            <v>AIJA</v>
          </cell>
          <cell r="G101" t="str">
            <v>SUCCHA</v>
          </cell>
          <cell r="H101" t="str">
            <v>010100</v>
          </cell>
          <cell r="I101" t="str">
            <v>2</v>
          </cell>
        </row>
        <row r="102">
          <cell r="A102" t="str">
            <v>ANCASHANTONIO RAYMONDILLAMELLIN</v>
          </cell>
          <cell r="B102" t="str">
            <v>02</v>
          </cell>
          <cell r="C102" t="str">
            <v>03</v>
          </cell>
          <cell r="D102" t="str">
            <v>01</v>
          </cell>
          <cell r="E102" t="str">
            <v>ANCASH</v>
          </cell>
          <cell r="F102" t="str">
            <v>ANTONIO RAYMONDI</v>
          </cell>
          <cell r="G102" t="str">
            <v>LLAMELLIN</v>
          </cell>
          <cell r="H102" t="str">
            <v>010180</v>
          </cell>
          <cell r="I102" t="str">
            <v>1</v>
          </cell>
        </row>
        <row r="103">
          <cell r="A103" t="str">
            <v>ANCASHANTONIO RAYMONDIACZO</v>
          </cell>
          <cell r="B103" t="str">
            <v>02</v>
          </cell>
          <cell r="C103" t="str">
            <v>03</v>
          </cell>
          <cell r="D103" t="str">
            <v>02</v>
          </cell>
          <cell r="E103" t="str">
            <v>ANCASH</v>
          </cell>
          <cell r="F103" t="str">
            <v>ANTONIO RAYMONDI</v>
          </cell>
          <cell r="G103" t="str">
            <v>ACZO</v>
          </cell>
          <cell r="H103" t="str">
            <v>010181</v>
          </cell>
          <cell r="I103" t="str">
            <v>2</v>
          </cell>
        </row>
        <row r="104">
          <cell r="A104" t="str">
            <v>ANCASHANTONIO RAYMONDICHACCHO</v>
          </cell>
          <cell r="B104" t="str">
            <v>02</v>
          </cell>
          <cell r="C104" t="str">
            <v>03</v>
          </cell>
          <cell r="D104" t="str">
            <v>03</v>
          </cell>
          <cell r="E104" t="str">
            <v>ANCASH</v>
          </cell>
          <cell r="F104" t="str">
            <v>ANTONIO RAYMONDI</v>
          </cell>
          <cell r="G104" t="str">
            <v>CHACCHO</v>
          </cell>
          <cell r="H104" t="str">
            <v>012425</v>
          </cell>
          <cell r="I104" t="str">
            <v>2</v>
          </cell>
        </row>
        <row r="105">
          <cell r="A105" t="str">
            <v>ANCASHANTONIO RAYMONDICHINGAS</v>
          </cell>
          <cell r="B105" t="str">
            <v>02</v>
          </cell>
          <cell r="C105" t="str">
            <v>03</v>
          </cell>
          <cell r="D105" t="str">
            <v>04</v>
          </cell>
          <cell r="E105" t="str">
            <v>ANCASH</v>
          </cell>
          <cell r="F105" t="str">
            <v>ANTONIO RAYMONDI</v>
          </cell>
          <cell r="G105" t="str">
            <v>CHINGAS</v>
          </cell>
          <cell r="H105" t="str">
            <v>010183</v>
          </cell>
          <cell r="I105" t="str">
            <v>2</v>
          </cell>
        </row>
        <row r="106">
          <cell r="A106" t="str">
            <v>ANCASHANTONIO RAYMONDIMIRGAS</v>
          </cell>
          <cell r="B106" t="str">
            <v>02</v>
          </cell>
          <cell r="C106" t="str">
            <v>03</v>
          </cell>
          <cell r="D106" t="str">
            <v>05</v>
          </cell>
          <cell r="E106" t="str">
            <v>ANCASH</v>
          </cell>
          <cell r="F106" t="str">
            <v>ANTONIO RAYMONDI</v>
          </cell>
          <cell r="G106" t="str">
            <v>MIRGAS</v>
          </cell>
          <cell r="H106" t="str">
            <v>010184</v>
          </cell>
          <cell r="I106" t="str">
            <v>2</v>
          </cell>
        </row>
        <row r="107">
          <cell r="A107" t="str">
            <v>ANCASHANTONIO RAYMONDISAN JUAN DE RONTOY</v>
          </cell>
          <cell r="B107" t="str">
            <v>02</v>
          </cell>
          <cell r="C107" t="str">
            <v>03</v>
          </cell>
          <cell r="D107" t="str">
            <v>06</v>
          </cell>
          <cell r="E107" t="str">
            <v>ANCASH</v>
          </cell>
          <cell r="F107" t="str">
            <v>ANTONIO RAYMONDI</v>
          </cell>
          <cell r="G107" t="str">
            <v>SAN JUAN DE RONTOY</v>
          </cell>
          <cell r="H107" t="str">
            <v>012424</v>
          </cell>
          <cell r="I107" t="str">
            <v>2</v>
          </cell>
        </row>
        <row r="108">
          <cell r="A108" t="str">
            <v>ANCASHASUNCIONCHACAS</v>
          </cell>
          <cell r="B108" t="str">
            <v>02</v>
          </cell>
          <cell r="C108" t="str">
            <v>04</v>
          </cell>
          <cell r="D108" t="str">
            <v>01</v>
          </cell>
          <cell r="E108" t="str">
            <v>ANCASH</v>
          </cell>
          <cell r="F108" t="str">
            <v>ASUNCION</v>
          </cell>
          <cell r="G108" t="str">
            <v>CHACAS</v>
          </cell>
          <cell r="H108" t="str">
            <v>010186</v>
          </cell>
          <cell r="I108" t="str">
            <v>1</v>
          </cell>
        </row>
        <row r="109">
          <cell r="A109" t="str">
            <v>ANCASHASUNCIONACOCHACA</v>
          </cell>
          <cell r="B109" t="str">
            <v>02</v>
          </cell>
          <cell r="C109" t="str">
            <v>04</v>
          </cell>
          <cell r="D109" t="str">
            <v>02</v>
          </cell>
          <cell r="E109" t="str">
            <v>ANCASH</v>
          </cell>
          <cell r="F109" t="str">
            <v>ASUNCION</v>
          </cell>
          <cell r="G109" t="str">
            <v>ACOCHACA</v>
          </cell>
          <cell r="H109" t="str">
            <v>010187</v>
          </cell>
          <cell r="I109" t="str">
            <v>2</v>
          </cell>
        </row>
        <row r="110">
          <cell r="A110" t="str">
            <v>ANCASHBOLOGNESICHIQUIAN</v>
          </cell>
          <cell r="B110" t="str">
            <v>02</v>
          </cell>
          <cell r="C110" t="str">
            <v>05</v>
          </cell>
          <cell r="D110" t="str">
            <v>01</v>
          </cell>
          <cell r="E110" t="str">
            <v>ANCASH</v>
          </cell>
          <cell r="F110" t="str">
            <v>BOLOGNESI</v>
          </cell>
          <cell r="G110" t="str">
            <v>CHIQUIAN</v>
          </cell>
          <cell r="H110" t="str">
            <v>010101</v>
          </cell>
          <cell r="I110" t="str">
            <v>1</v>
          </cell>
        </row>
        <row r="111">
          <cell r="A111" t="str">
            <v>ANCASHBOLOGNESIABELARDO PARDO LEZAMETA</v>
          </cell>
          <cell r="B111" t="str">
            <v>02</v>
          </cell>
          <cell r="C111" t="str">
            <v>05</v>
          </cell>
          <cell r="D111" t="str">
            <v>02</v>
          </cell>
          <cell r="E111" t="str">
            <v>ANCASH</v>
          </cell>
          <cell r="F111" t="str">
            <v>BOLOGNESI</v>
          </cell>
          <cell r="G111" t="str">
            <v>ABELARDO PARDO LEZAMETA</v>
          </cell>
          <cell r="H111" t="str">
            <v>010102</v>
          </cell>
          <cell r="I111" t="str">
            <v>2</v>
          </cell>
        </row>
        <row r="112">
          <cell r="A112" t="str">
            <v>ANCASHBOLOGNESIANTONIO RAYMONDI</v>
          </cell>
          <cell r="B112" t="str">
            <v>02</v>
          </cell>
          <cell r="C112" t="str">
            <v>05</v>
          </cell>
          <cell r="D112" t="str">
            <v>03</v>
          </cell>
          <cell r="E112" t="str">
            <v>ANCASH</v>
          </cell>
          <cell r="F112" t="str">
            <v>BOLOGNESI</v>
          </cell>
          <cell r="G112" t="str">
            <v>ANTONIO RAYMONDI</v>
          </cell>
          <cell r="H112" t="str">
            <v>010103</v>
          </cell>
          <cell r="I112" t="str">
            <v>2</v>
          </cell>
        </row>
        <row r="113">
          <cell r="A113" t="str">
            <v>ANCASHBOLOGNESIAQUIA</v>
          </cell>
          <cell r="B113" t="str">
            <v>02</v>
          </cell>
          <cell r="C113" t="str">
            <v>05</v>
          </cell>
          <cell r="D113" t="str">
            <v>04</v>
          </cell>
          <cell r="E113" t="str">
            <v>ANCASH</v>
          </cell>
          <cell r="F113" t="str">
            <v>BOLOGNESI</v>
          </cell>
          <cell r="G113" t="str">
            <v>AQUIA</v>
          </cell>
          <cell r="H113" t="str">
            <v>010104</v>
          </cell>
          <cell r="I113" t="str">
            <v>2</v>
          </cell>
        </row>
        <row r="114">
          <cell r="A114" t="str">
            <v>ANCASHBOLOGNESICAJACAY</v>
          </cell>
          <cell r="B114" t="str">
            <v>02</v>
          </cell>
          <cell r="C114" t="str">
            <v>05</v>
          </cell>
          <cell r="D114" t="str">
            <v>05</v>
          </cell>
          <cell r="E114" t="str">
            <v>ANCASH</v>
          </cell>
          <cell r="F114" t="str">
            <v>BOLOGNESI</v>
          </cell>
          <cell r="G114" t="str">
            <v>CAJACAY</v>
          </cell>
          <cell r="H114" t="str">
            <v>010105</v>
          </cell>
          <cell r="I114" t="str">
            <v>2</v>
          </cell>
        </row>
        <row r="115">
          <cell r="A115" t="str">
            <v>ANCASHBOLOGNESICANIS</v>
          </cell>
          <cell r="B115" t="str">
            <v>02</v>
          </cell>
          <cell r="C115" t="str">
            <v>05</v>
          </cell>
          <cell r="D115" t="str">
            <v>06</v>
          </cell>
          <cell r="E115" t="str">
            <v>ANCASH</v>
          </cell>
          <cell r="F115" t="str">
            <v>BOLOGNESI</v>
          </cell>
          <cell r="G115" t="str">
            <v>CANIS</v>
          </cell>
          <cell r="H115" t="str">
            <v>011903</v>
          </cell>
          <cell r="I115" t="str">
            <v>2</v>
          </cell>
        </row>
        <row r="116">
          <cell r="A116" t="str">
            <v>ANCASHBOLOGNESICOLQUIOC</v>
          </cell>
          <cell r="B116" t="str">
            <v>02</v>
          </cell>
          <cell r="C116" t="str">
            <v>05</v>
          </cell>
          <cell r="D116" t="str">
            <v>07</v>
          </cell>
          <cell r="E116" t="str">
            <v>ANCASH</v>
          </cell>
          <cell r="F116" t="str">
            <v>BOLOGNESI</v>
          </cell>
          <cell r="G116" t="str">
            <v>COLQUIOC</v>
          </cell>
          <cell r="H116" t="str">
            <v>012403</v>
          </cell>
          <cell r="I116" t="str">
            <v>2</v>
          </cell>
        </row>
        <row r="117">
          <cell r="A117" t="str">
            <v>ANCASHBOLOGNESIHUALLANCA</v>
          </cell>
          <cell r="B117" t="str">
            <v>02</v>
          </cell>
          <cell r="C117" t="str">
            <v>05</v>
          </cell>
          <cell r="D117" t="str">
            <v>08</v>
          </cell>
          <cell r="E117" t="str">
            <v>ANCASH</v>
          </cell>
          <cell r="F117" t="str">
            <v>BOLOGNESI</v>
          </cell>
          <cell r="G117" t="str">
            <v>HUALLANCA</v>
          </cell>
          <cell r="H117" t="str">
            <v>010108</v>
          </cell>
          <cell r="I117" t="str">
            <v>2</v>
          </cell>
        </row>
        <row r="118">
          <cell r="A118" t="str">
            <v>ANCASHBOLOGNESIHUASTA</v>
          </cell>
          <cell r="B118" t="str">
            <v>02</v>
          </cell>
          <cell r="C118" t="str">
            <v>05</v>
          </cell>
          <cell r="D118" t="str">
            <v>09</v>
          </cell>
          <cell r="E118" t="str">
            <v>ANCASH</v>
          </cell>
          <cell r="F118" t="str">
            <v>BOLOGNESI</v>
          </cell>
          <cell r="G118" t="str">
            <v>HUASTA</v>
          </cell>
          <cell r="H118" t="str">
            <v>010109</v>
          </cell>
          <cell r="I118" t="str">
            <v>2</v>
          </cell>
        </row>
        <row r="119">
          <cell r="A119" t="str">
            <v>ANCASHBOLOGNESIHUAYLLACAYAN</v>
          </cell>
          <cell r="B119" t="str">
            <v>02</v>
          </cell>
          <cell r="C119" t="str">
            <v>05</v>
          </cell>
          <cell r="D119" t="str">
            <v>10</v>
          </cell>
          <cell r="E119" t="str">
            <v>ANCASH</v>
          </cell>
          <cell r="F119" t="str">
            <v>BOLOGNESI</v>
          </cell>
          <cell r="G119" t="str">
            <v>HUAYLLACAYAN</v>
          </cell>
          <cell r="H119" t="str">
            <v>010110</v>
          </cell>
          <cell r="I119" t="str">
            <v>2</v>
          </cell>
        </row>
        <row r="120">
          <cell r="A120" t="str">
            <v>ANCASHBOLOGNESILA PRIMAVERA</v>
          </cell>
          <cell r="B120" t="str">
            <v>02</v>
          </cell>
          <cell r="C120" t="str">
            <v>05</v>
          </cell>
          <cell r="D120" t="str">
            <v>11</v>
          </cell>
          <cell r="E120" t="str">
            <v>ANCASH</v>
          </cell>
          <cell r="F120" t="str">
            <v>BOLOGNESI</v>
          </cell>
          <cell r="G120" t="str">
            <v>LA PRIMAVERA</v>
          </cell>
          <cell r="H120" t="str">
            <v>012404</v>
          </cell>
          <cell r="I120" t="str">
            <v>2</v>
          </cell>
        </row>
        <row r="121">
          <cell r="A121" t="str">
            <v>ANCASHBOLOGNESIMANGAS</v>
          </cell>
          <cell r="B121" t="str">
            <v>02</v>
          </cell>
          <cell r="C121" t="str">
            <v>05</v>
          </cell>
          <cell r="D121" t="str">
            <v>12</v>
          </cell>
          <cell r="E121" t="str">
            <v>ANCASH</v>
          </cell>
          <cell r="F121" t="str">
            <v>BOLOGNESI</v>
          </cell>
          <cell r="G121" t="str">
            <v>MANGAS</v>
          </cell>
          <cell r="H121" t="str">
            <v>010112</v>
          </cell>
          <cell r="I121" t="str">
            <v>2</v>
          </cell>
        </row>
        <row r="122">
          <cell r="A122" t="str">
            <v>ANCASHBOLOGNESIPACLLON</v>
          </cell>
          <cell r="B122" t="str">
            <v>02</v>
          </cell>
          <cell r="C122" t="str">
            <v>05</v>
          </cell>
          <cell r="D122" t="str">
            <v>13</v>
          </cell>
          <cell r="E122" t="str">
            <v>ANCASH</v>
          </cell>
          <cell r="F122" t="str">
            <v>BOLOGNESI</v>
          </cell>
          <cell r="G122" t="str">
            <v>PACLLON</v>
          </cell>
          <cell r="H122" t="str">
            <v>012427</v>
          </cell>
          <cell r="I122" t="str">
            <v>2</v>
          </cell>
        </row>
        <row r="123">
          <cell r="A123" t="str">
            <v>ANCASHBOLOGNESISAN MIGUEL DE CORPANQUI</v>
          </cell>
          <cell r="B123" t="str">
            <v>02</v>
          </cell>
          <cell r="C123" t="str">
            <v>05</v>
          </cell>
          <cell r="D123" t="str">
            <v>14</v>
          </cell>
          <cell r="E123" t="str">
            <v>ANCASH</v>
          </cell>
          <cell r="F123" t="str">
            <v>BOLOGNESI</v>
          </cell>
          <cell r="G123" t="str">
            <v>SAN MIGUEL DE CORPANQUI</v>
          </cell>
          <cell r="H123" t="str">
            <v>010114</v>
          </cell>
          <cell r="I123" t="str">
            <v>2</v>
          </cell>
        </row>
        <row r="124">
          <cell r="A124" t="str">
            <v>ANCASHBOLOGNESITICLLOS</v>
          </cell>
          <cell r="B124" t="str">
            <v>02</v>
          </cell>
          <cell r="C124" t="str">
            <v>05</v>
          </cell>
          <cell r="D124" t="str">
            <v>15</v>
          </cell>
          <cell r="E124" t="str">
            <v>ANCASH</v>
          </cell>
          <cell r="F124" t="str">
            <v>BOLOGNESI</v>
          </cell>
          <cell r="G124" t="str">
            <v>TICLLOS</v>
          </cell>
          <cell r="H124" t="str">
            <v>010115</v>
          </cell>
          <cell r="I124" t="str">
            <v>2</v>
          </cell>
        </row>
        <row r="125">
          <cell r="A125" t="str">
            <v>ANCASHCARHUAZCARHUAZ</v>
          </cell>
          <cell r="B125" t="str">
            <v>02</v>
          </cell>
          <cell r="C125" t="str">
            <v>06</v>
          </cell>
          <cell r="D125" t="str">
            <v>01</v>
          </cell>
          <cell r="E125" t="str">
            <v>ANCASH</v>
          </cell>
          <cell r="F125" t="str">
            <v>CARHUAZ</v>
          </cell>
          <cell r="G125" t="str">
            <v>CARHUAZ</v>
          </cell>
          <cell r="H125" t="str">
            <v>010116</v>
          </cell>
          <cell r="I125" t="str">
            <v>1</v>
          </cell>
        </row>
        <row r="126">
          <cell r="A126" t="str">
            <v>ANCASHCARHUAZACOPAMPA</v>
          </cell>
          <cell r="B126" t="str">
            <v>02</v>
          </cell>
          <cell r="C126" t="str">
            <v>06</v>
          </cell>
          <cell r="D126" t="str">
            <v>02</v>
          </cell>
          <cell r="E126" t="str">
            <v>ANCASH</v>
          </cell>
          <cell r="F126" t="str">
            <v>CARHUAZ</v>
          </cell>
          <cell r="G126" t="str">
            <v>ACOPAMPA</v>
          </cell>
          <cell r="H126" t="str">
            <v>010117</v>
          </cell>
          <cell r="I126" t="str">
            <v>2</v>
          </cell>
        </row>
        <row r="127">
          <cell r="A127" t="str">
            <v>ANCASHCARHUAZAMASHCA</v>
          </cell>
          <cell r="B127" t="str">
            <v>02</v>
          </cell>
          <cell r="C127" t="str">
            <v>06</v>
          </cell>
          <cell r="D127" t="str">
            <v>03</v>
          </cell>
          <cell r="E127" t="str">
            <v>ANCASH</v>
          </cell>
          <cell r="F127" t="str">
            <v>CARHUAZ</v>
          </cell>
          <cell r="G127" t="str">
            <v>AMASHCA</v>
          </cell>
          <cell r="H127" t="str">
            <v>010118</v>
          </cell>
          <cell r="I127" t="str">
            <v>2</v>
          </cell>
        </row>
        <row r="128">
          <cell r="A128" t="str">
            <v>ANCASHCARHUAZANTA</v>
          </cell>
          <cell r="B128" t="str">
            <v>02</v>
          </cell>
          <cell r="C128" t="str">
            <v>06</v>
          </cell>
          <cell r="D128" t="str">
            <v>04</v>
          </cell>
          <cell r="E128" t="str">
            <v>ANCASH</v>
          </cell>
          <cell r="F128" t="str">
            <v>CARHUAZ</v>
          </cell>
          <cell r="G128" t="str">
            <v>ANTA</v>
          </cell>
          <cell r="H128" t="str">
            <v>010119</v>
          </cell>
          <cell r="I128" t="str">
            <v>2</v>
          </cell>
        </row>
        <row r="129">
          <cell r="A129" t="str">
            <v>ANCASHCARHUAZATAQUERO</v>
          </cell>
          <cell r="B129" t="str">
            <v>02</v>
          </cell>
          <cell r="C129" t="str">
            <v>06</v>
          </cell>
          <cell r="D129" t="str">
            <v>05</v>
          </cell>
          <cell r="E129" t="str">
            <v>ANCASH</v>
          </cell>
          <cell r="F129" t="str">
            <v>CARHUAZ</v>
          </cell>
          <cell r="G129" t="str">
            <v>ATAQUERO</v>
          </cell>
          <cell r="H129" t="str">
            <v>010120</v>
          </cell>
          <cell r="I129" t="str">
            <v>2</v>
          </cell>
        </row>
        <row r="130">
          <cell r="A130" t="str">
            <v>ANCASHCARHUAZMARCARA</v>
          </cell>
          <cell r="B130" t="str">
            <v>02</v>
          </cell>
          <cell r="C130" t="str">
            <v>06</v>
          </cell>
          <cell r="D130" t="str">
            <v>06</v>
          </cell>
          <cell r="E130" t="str">
            <v>ANCASH</v>
          </cell>
          <cell r="F130" t="str">
            <v>CARHUAZ</v>
          </cell>
          <cell r="G130" t="str">
            <v>MARCARA</v>
          </cell>
          <cell r="H130" t="str">
            <v>010121</v>
          </cell>
          <cell r="I130" t="str">
            <v>2</v>
          </cell>
        </row>
        <row r="131">
          <cell r="A131" t="str">
            <v>ANCASHCARHUAZPARIAHUANCA</v>
          </cell>
          <cell r="B131" t="str">
            <v>02</v>
          </cell>
          <cell r="C131" t="str">
            <v>06</v>
          </cell>
          <cell r="D131" t="str">
            <v>07</v>
          </cell>
          <cell r="E131" t="str">
            <v>ANCASH</v>
          </cell>
          <cell r="F131" t="str">
            <v>CARHUAZ</v>
          </cell>
          <cell r="G131" t="str">
            <v>PARIAHUANCA</v>
          </cell>
          <cell r="H131" t="str">
            <v>010122</v>
          </cell>
          <cell r="I131" t="str">
            <v>2</v>
          </cell>
        </row>
        <row r="132">
          <cell r="A132" t="str">
            <v>ANCASHCARHUAZSAN MIGUEL DE ACO</v>
          </cell>
          <cell r="B132" t="str">
            <v>02</v>
          </cell>
          <cell r="C132" t="str">
            <v>06</v>
          </cell>
          <cell r="D132" t="str">
            <v>08</v>
          </cell>
          <cell r="E132" t="str">
            <v>ANCASH</v>
          </cell>
          <cell r="F132" t="str">
            <v>CARHUAZ</v>
          </cell>
          <cell r="G132" t="str">
            <v>SAN MIGUEL DE ACO</v>
          </cell>
          <cell r="H132" t="str">
            <v>011867</v>
          </cell>
          <cell r="I132" t="str">
            <v>2</v>
          </cell>
        </row>
        <row r="133">
          <cell r="A133" t="str">
            <v>ANCASHCARHUAZSHILLA</v>
          </cell>
          <cell r="B133" t="str">
            <v>02</v>
          </cell>
          <cell r="C133" t="str">
            <v>06</v>
          </cell>
          <cell r="D133" t="str">
            <v>09</v>
          </cell>
          <cell r="E133" t="str">
            <v>ANCASH</v>
          </cell>
          <cell r="F133" t="str">
            <v>CARHUAZ</v>
          </cell>
          <cell r="G133" t="str">
            <v>SHILLA</v>
          </cell>
          <cell r="H133" t="str">
            <v>011891</v>
          </cell>
          <cell r="I133" t="str">
            <v>2</v>
          </cell>
        </row>
        <row r="134">
          <cell r="A134" t="str">
            <v>ANCASHCARHUAZTINCO</v>
          </cell>
          <cell r="B134" t="str">
            <v>02</v>
          </cell>
          <cell r="C134" t="str">
            <v>06</v>
          </cell>
          <cell r="D134" t="str">
            <v>10</v>
          </cell>
          <cell r="E134" t="str">
            <v>ANCASH</v>
          </cell>
          <cell r="F134" t="str">
            <v>CARHUAZ</v>
          </cell>
          <cell r="G134" t="str">
            <v>TINCO</v>
          </cell>
          <cell r="H134" t="str">
            <v>010125</v>
          </cell>
          <cell r="I134" t="str">
            <v>2</v>
          </cell>
        </row>
        <row r="135">
          <cell r="A135" t="str">
            <v>ANCASHCARHUAZYUNGAR</v>
          </cell>
          <cell r="B135" t="str">
            <v>02</v>
          </cell>
          <cell r="C135" t="str">
            <v>06</v>
          </cell>
          <cell r="D135" t="str">
            <v>11</v>
          </cell>
          <cell r="E135" t="str">
            <v>ANCASH</v>
          </cell>
          <cell r="F135" t="str">
            <v>CARHUAZ</v>
          </cell>
          <cell r="G135" t="str">
            <v>YUNGAR</v>
          </cell>
          <cell r="H135" t="str">
            <v>010126</v>
          </cell>
          <cell r="I135" t="str">
            <v>2</v>
          </cell>
        </row>
        <row r="136">
          <cell r="A136" t="str">
            <v>ANCASHCARLOS F. FITZCARRALDSAN LUIS</v>
          </cell>
          <cell r="B136" t="str">
            <v>02</v>
          </cell>
          <cell r="C136" t="str">
            <v>07</v>
          </cell>
          <cell r="D136" t="str">
            <v>01</v>
          </cell>
          <cell r="E136" t="str">
            <v>ANCASH</v>
          </cell>
          <cell r="F136" t="str">
            <v>CARLOS F. FITZCARRALD</v>
          </cell>
          <cell r="G136" t="str">
            <v>SAN LUIS</v>
          </cell>
          <cell r="H136" t="str">
            <v>010188</v>
          </cell>
          <cell r="I136" t="str">
            <v>1</v>
          </cell>
        </row>
        <row r="137">
          <cell r="A137" t="str">
            <v>ANCASHCARLOS F. FITZCARRALDSAN NICOLAS</v>
          </cell>
          <cell r="B137" t="str">
            <v>02</v>
          </cell>
          <cell r="C137" t="str">
            <v>07</v>
          </cell>
          <cell r="D137" t="str">
            <v>02</v>
          </cell>
          <cell r="E137" t="str">
            <v>ANCASH</v>
          </cell>
          <cell r="F137" t="str">
            <v>CARLOS F. FITZCARRALD</v>
          </cell>
          <cell r="G137" t="str">
            <v>SAN NICOLAS</v>
          </cell>
          <cell r="H137" t="str">
            <v>010189</v>
          </cell>
          <cell r="I137" t="str">
            <v>2</v>
          </cell>
        </row>
        <row r="138">
          <cell r="A138" t="str">
            <v>ANCASHCARLOS F. FITZCARRALDYAUYA</v>
          </cell>
          <cell r="B138" t="str">
            <v>02</v>
          </cell>
          <cell r="C138" t="str">
            <v>07</v>
          </cell>
          <cell r="D138" t="str">
            <v>03</v>
          </cell>
          <cell r="E138" t="str">
            <v>ANCASH</v>
          </cell>
          <cell r="F138" t="str">
            <v>CARLOS F. FITZCARRALD</v>
          </cell>
          <cell r="G138" t="str">
            <v>YAUYA</v>
          </cell>
          <cell r="H138" t="str">
            <v>010190</v>
          </cell>
          <cell r="I138" t="str">
            <v>2</v>
          </cell>
        </row>
        <row r="139">
          <cell r="A139" t="str">
            <v>ANCASHCASMACASMA</v>
          </cell>
          <cell r="B139" t="str">
            <v>02</v>
          </cell>
          <cell r="C139" t="str">
            <v>08</v>
          </cell>
          <cell r="D139" t="str">
            <v>01</v>
          </cell>
          <cell r="E139" t="str">
            <v>ANCASH</v>
          </cell>
          <cell r="F139" t="str">
            <v>CASMA</v>
          </cell>
          <cell r="G139" t="str">
            <v>CASMA</v>
          </cell>
          <cell r="H139" t="str">
            <v>010229</v>
          </cell>
          <cell r="I139" t="str">
            <v>1</v>
          </cell>
        </row>
        <row r="140">
          <cell r="A140" t="str">
            <v>ANCASHCASMABUENA VISTA ALTA</v>
          </cell>
          <cell r="B140" t="str">
            <v>02</v>
          </cell>
          <cell r="C140" t="str">
            <v>08</v>
          </cell>
          <cell r="D140" t="str">
            <v>02</v>
          </cell>
          <cell r="E140" t="str">
            <v>ANCASH</v>
          </cell>
          <cell r="F140" t="str">
            <v>CASMA</v>
          </cell>
          <cell r="G140" t="str">
            <v>BUENA VISTA ALTA</v>
          </cell>
          <cell r="H140" t="str">
            <v>010230</v>
          </cell>
          <cell r="I140" t="str">
            <v>2</v>
          </cell>
        </row>
        <row r="141">
          <cell r="A141" t="str">
            <v>ANCASHCASMACOMANDANTE NOEL</v>
          </cell>
          <cell r="B141" t="str">
            <v>02</v>
          </cell>
          <cell r="C141" t="str">
            <v>08</v>
          </cell>
          <cell r="D141" t="str">
            <v>03</v>
          </cell>
          <cell r="E141" t="str">
            <v>ANCASH</v>
          </cell>
          <cell r="F141" t="str">
            <v>CASMA</v>
          </cell>
          <cell r="G141" t="str">
            <v>COMANDANTE NOEL</v>
          </cell>
          <cell r="H141" t="str">
            <v>012429</v>
          </cell>
          <cell r="I141" t="str">
            <v>2</v>
          </cell>
        </row>
        <row r="142">
          <cell r="A142" t="str">
            <v>ANCASHCASMAYAUTAN</v>
          </cell>
          <cell r="B142" t="str">
            <v>02</v>
          </cell>
          <cell r="C142" t="str">
            <v>08</v>
          </cell>
          <cell r="D142" t="str">
            <v>04</v>
          </cell>
          <cell r="E142" t="str">
            <v>ANCASH</v>
          </cell>
          <cell r="F142" t="str">
            <v>CASMA</v>
          </cell>
          <cell r="G142" t="str">
            <v>YAUTAN</v>
          </cell>
          <cell r="H142" t="str">
            <v>010232</v>
          </cell>
          <cell r="I142" t="str">
            <v>2</v>
          </cell>
        </row>
        <row r="143">
          <cell r="A143" t="str">
            <v>ANCASHCORONGOCORONGO</v>
          </cell>
          <cell r="B143" t="str">
            <v>02</v>
          </cell>
          <cell r="C143" t="str">
            <v>09</v>
          </cell>
          <cell r="D143" t="str">
            <v>01</v>
          </cell>
          <cell r="E143" t="str">
            <v>ANCASH</v>
          </cell>
          <cell r="F143" t="str">
            <v>CORONGO</v>
          </cell>
          <cell r="G143" t="str">
            <v>CORONGO</v>
          </cell>
          <cell r="H143" t="str">
            <v>010195</v>
          </cell>
          <cell r="I143" t="str">
            <v>1</v>
          </cell>
        </row>
        <row r="144">
          <cell r="A144" t="str">
            <v>ANCASHCORONGOACO</v>
          </cell>
          <cell r="B144" t="str">
            <v>02</v>
          </cell>
          <cell r="C144" t="str">
            <v>09</v>
          </cell>
          <cell r="D144" t="str">
            <v>02</v>
          </cell>
          <cell r="E144" t="str">
            <v>ANCASH</v>
          </cell>
          <cell r="F144" t="str">
            <v>CORONGO</v>
          </cell>
          <cell r="G144" t="str">
            <v>ACO</v>
          </cell>
          <cell r="H144" t="str">
            <v>010196</v>
          </cell>
          <cell r="I144" t="str">
            <v>2</v>
          </cell>
        </row>
        <row r="145">
          <cell r="A145" t="str">
            <v>ANCASHCORONGOBAMBAS</v>
          </cell>
          <cell r="B145" t="str">
            <v>02</v>
          </cell>
          <cell r="C145" t="str">
            <v>09</v>
          </cell>
          <cell r="D145" t="str">
            <v>03</v>
          </cell>
          <cell r="E145" t="str">
            <v>ANCASH</v>
          </cell>
          <cell r="F145" t="str">
            <v>CORONGO</v>
          </cell>
          <cell r="G145" t="str">
            <v>BAMBAS</v>
          </cell>
          <cell r="H145" t="str">
            <v>011868</v>
          </cell>
          <cell r="I145" t="str">
            <v>2</v>
          </cell>
        </row>
        <row r="146">
          <cell r="A146" t="str">
            <v>ANCASHCORONGOCUSCA</v>
          </cell>
          <cell r="B146" t="str">
            <v>02</v>
          </cell>
          <cell r="C146" t="str">
            <v>09</v>
          </cell>
          <cell r="D146" t="str">
            <v>04</v>
          </cell>
          <cell r="E146" t="str">
            <v>ANCASH</v>
          </cell>
          <cell r="F146" t="str">
            <v>CORONGO</v>
          </cell>
          <cell r="G146" t="str">
            <v>CUSCA</v>
          </cell>
          <cell r="H146" t="str">
            <v>010198</v>
          </cell>
          <cell r="I146" t="str">
            <v>2</v>
          </cell>
        </row>
        <row r="147">
          <cell r="A147" t="str">
            <v>ANCASHCORONGOLA PAMPA</v>
          </cell>
          <cell r="B147" t="str">
            <v>02</v>
          </cell>
          <cell r="C147" t="str">
            <v>09</v>
          </cell>
          <cell r="D147" t="str">
            <v>05</v>
          </cell>
          <cell r="E147" t="str">
            <v>ANCASH</v>
          </cell>
          <cell r="F147" t="str">
            <v>CORONGO</v>
          </cell>
          <cell r="G147" t="str">
            <v>LA PAMPA</v>
          </cell>
          <cell r="H147" t="str">
            <v>010199</v>
          </cell>
          <cell r="I147" t="str">
            <v>2</v>
          </cell>
        </row>
        <row r="148">
          <cell r="A148" t="str">
            <v>ANCASHCORONGOYANAC</v>
          </cell>
          <cell r="B148" t="str">
            <v>02</v>
          </cell>
          <cell r="C148" t="str">
            <v>09</v>
          </cell>
          <cell r="D148" t="str">
            <v>06</v>
          </cell>
          <cell r="E148" t="str">
            <v>ANCASH</v>
          </cell>
          <cell r="F148" t="str">
            <v>CORONGO</v>
          </cell>
          <cell r="G148" t="str">
            <v>YANAC</v>
          </cell>
          <cell r="H148" t="str">
            <v>010200</v>
          </cell>
          <cell r="I148" t="str">
            <v>2</v>
          </cell>
        </row>
        <row r="149">
          <cell r="A149" t="str">
            <v>ANCASHCORONGOYUPAN</v>
          </cell>
          <cell r="B149" t="str">
            <v>02</v>
          </cell>
          <cell r="C149" t="str">
            <v>09</v>
          </cell>
          <cell r="D149" t="str">
            <v>07</v>
          </cell>
          <cell r="E149" t="str">
            <v>ANCASH</v>
          </cell>
          <cell r="F149" t="str">
            <v>CORONGO</v>
          </cell>
          <cell r="G149" t="str">
            <v>YUPAN</v>
          </cell>
          <cell r="H149" t="str">
            <v>012408</v>
          </cell>
          <cell r="I149" t="str">
            <v>2</v>
          </cell>
        </row>
        <row r="150">
          <cell r="A150" t="str">
            <v>ANCASHHUARIHUARI</v>
          </cell>
          <cell r="B150" t="str">
            <v>02</v>
          </cell>
          <cell r="C150" t="str">
            <v>10</v>
          </cell>
          <cell r="D150" t="str">
            <v>01</v>
          </cell>
          <cell r="E150" t="str">
            <v>ANCASH</v>
          </cell>
          <cell r="F150" t="str">
            <v>HUARI</v>
          </cell>
          <cell r="G150" t="str">
            <v>HUARI</v>
          </cell>
          <cell r="H150" t="str">
            <v>012393</v>
          </cell>
          <cell r="I150" t="str">
            <v>1</v>
          </cell>
        </row>
        <row r="151">
          <cell r="A151" t="str">
            <v>ANCASHHUARIANRA</v>
          </cell>
          <cell r="B151" t="str">
            <v>02</v>
          </cell>
          <cell r="C151" t="str">
            <v>10</v>
          </cell>
          <cell r="D151" t="str">
            <v>02</v>
          </cell>
          <cell r="E151" t="str">
            <v>ANCASH</v>
          </cell>
          <cell r="F151" t="str">
            <v>HUARI</v>
          </cell>
          <cell r="G151" t="str">
            <v>ANRA</v>
          </cell>
          <cell r="H151" t="str">
            <v>010165</v>
          </cell>
          <cell r="I151" t="str">
            <v>2</v>
          </cell>
        </row>
        <row r="152">
          <cell r="A152" t="str">
            <v>ANCASHHUARICAJAY</v>
          </cell>
          <cell r="B152" t="str">
            <v>02</v>
          </cell>
          <cell r="C152" t="str">
            <v>10</v>
          </cell>
          <cell r="D152" t="str">
            <v>03</v>
          </cell>
          <cell r="E152" t="str">
            <v>ANCASH</v>
          </cell>
          <cell r="F152" t="str">
            <v>HUARI</v>
          </cell>
          <cell r="G152" t="str">
            <v>CAJAY</v>
          </cell>
          <cell r="H152" t="str">
            <v>010166</v>
          </cell>
          <cell r="I152" t="str">
            <v>2</v>
          </cell>
        </row>
        <row r="153">
          <cell r="A153" t="str">
            <v>ANCASHHUARICHAVIN DE HUANTAR</v>
          </cell>
          <cell r="B153" t="str">
            <v>02</v>
          </cell>
          <cell r="C153" t="str">
            <v>10</v>
          </cell>
          <cell r="D153" t="str">
            <v>04</v>
          </cell>
          <cell r="E153" t="str">
            <v>ANCASH</v>
          </cell>
          <cell r="F153" t="str">
            <v>HUARI</v>
          </cell>
          <cell r="G153" t="str">
            <v>CHAVIN DE HUANTAR</v>
          </cell>
          <cell r="H153" t="str">
            <v>010167</v>
          </cell>
          <cell r="I153" t="str">
            <v>2</v>
          </cell>
        </row>
        <row r="154">
          <cell r="A154" t="str">
            <v>ANCASHHUARIHUACACHI</v>
          </cell>
          <cell r="B154" t="str">
            <v>02</v>
          </cell>
          <cell r="C154" t="str">
            <v>10</v>
          </cell>
          <cell r="D154" t="str">
            <v>05</v>
          </cell>
          <cell r="E154" t="str">
            <v>ANCASH</v>
          </cell>
          <cell r="F154" t="str">
            <v>HUARI</v>
          </cell>
          <cell r="G154" t="str">
            <v>HUACACHI</v>
          </cell>
          <cell r="H154" t="str">
            <v>011896</v>
          </cell>
          <cell r="I154" t="str">
            <v>2</v>
          </cell>
        </row>
        <row r="155">
          <cell r="A155" t="str">
            <v>ANCASHHUARIHUACCHIS</v>
          </cell>
          <cell r="B155" t="str">
            <v>02</v>
          </cell>
          <cell r="C155" t="str">
            <v>10</v>
          </cell>
          <cell r="D155" t="str">
            <v>06</v>
          </cell>
          <cell r="E155" t="str">
            <v>ANCASH</v>
          </cell>
          <cell r="F155" t="str">
            <v>HUARI</v>
          </cell>
          <cell r="G155" t="str">
            <v>HUACCHIS</v>
          </cell>
          <cell r="H155" t="str">
            <v>011881</v>
          </cell>
          <cell r="I155" t="str">
            <v>2</v>
          </cell>
        </row>
        <row r="156">
          <cell r="A156" t="str">
            <v>ANCASHHUARIHUACHIS</v>
          </cell>
          <cell r="B156" t="str">
            <v>02</v>
          </cell>
          <cell r="C156" t="str">
            <v>10</v>
          </cell>
          <cell r="D156" t="str">
            <v>07</v>
          </cell>
          <cell r="E156" t="str">
            <v>ANCASH</v>
          </cell>
          <cell r="F156" t="str">
            <v>HUARI</v>
          </cell>
          <cell r="G156" t="str">
            <v>HUACHIS</v>
          </cell>
          <cell r="H156" t="str">
            <v>010170</v>
          </cell>
          <cell r="I156" t="str">
            <v>2</v>
          </cell>
        </row>
        <row r="157">
          <cell r="A157" t="str">
            <v>ANCASHHUARIHUANTAR</v>
          </cell>
          <cell r="B157" t="str">
            <v>02</v>
          </cell>
          <cell r="C157" t="str">
            <v>10</v>
          </cell>
          <cell r="D157" t="str">
            <v>08</v>
          </cell>
          <cell r="E157" t="str">
            <v>ANCASH</v>
          </cell>
          <cell r="F157" t="str">
            <v>HUARI</v>
          </cell>
          <cell r="G157" t="str">
            <v>HUANTAR</v>
          </cell>
          <cell r="H157" t="str">
            <v>010171</v>
          </cell>
          <cell r="I157" t="str">
            <v>2</v>
          </cell>
        </row>
        <row r="158">
          <cell r="A158" t="str">
            <v>ANCASHHUARIMASIN</v>
          </cell>
          <cell r="B158" t="str">
            <v>02</v>
          </cell>
          <cell r="C158" t="str">
            <v>10</v>
          </cell>
          <cell r="D158" t="str">
            <v>09</v>
          </cell>
          <cell r="E158" t="str">
            <v>ANCASH</v>
          </cell>
          <cell r="F158" t="str">
            <v>HUARI</v>
          </cell>
          <cell r="G158" t="str">
            <v>MASIN</v>
          </cell>
          <cell r="H158" t="str">
            <v>010172</v>
          </cell>
          <cell r="I158" t="str">
            <v>2</v>
          </cell>
        </row>
        <row r="159">
          <cell r="A159" t="str">
            <v>ANCASHHUARIPAUCAS</v>
          </cell>
          <cell r="B159" t="str">
            <v>02</v>
          </cell>
          <cell r="C159" t="str">
            <v>10</v>
          </cell>
          <cell r="D159" t="str">
            <v>10</v>
          </cell>
          <cell r="E159" t="str">
            <v>ANCASH</v>
          </cell>
          <cell r="F159" t="str">
            <v>HUARI</v>
          </cell>
          <cell r="G159" t="str">
            <v>PAUCAS</v>
          </cell>
          <cell r="H159" t="str">
            <v>010173</v>
          </cell>
          <cell r="I159" t="str">
            <v>2</v>
          </cell>
        </row>
        <row r="160">
          <cell r="A160" t="str">
            <v>ANCASHHUARIPONTO</v>
          </cell>
          <cell r="B160" t="str">
            <v>02</v>
          </cell>
          <cell r="C160" t="str">
            <v>10</v>
          </cell>
          <cell r="D160" t="str">
            <v>11</v>
          </cell>
          <cell r="E160" t="str">
            <v>ANCASH</v>
          </cell>
          <cell r="F160" t="str">
            <v>HUARI</v>
          </cell>
          <cell r="G160" t="str">
            <v>PONTO</v>
          </cell>
          <cell r="H160" t="str">
            <v>010174</v>
          </cell>
          <cell r="I160" t="str">
            <v>2</v>
          </cell>
        </row>
        <row r="161">
          <cell r="A161" t="str">
            <v>ANCASHHUARIRAHUAPAMPA</v>
          </cell>
          <cell r="B161" t="str">
            <v>02</v>
          </cell>
          <cell r="C161" t="str">
            <v>10</v>
          </cell>
          <cell r="D161" t="str">
            <v>12</v>
          </cell>
          <cell r="E161" t="str">
            <v>ANCASH</v>
          </cell>
          <cell r="F161" t="str">
            <v>HUARI</v>
          </cell>
          <cell r="G161" t="str">
            <v>RAHUAPAMPA</v>
          </cell>
          <cell r="H161" t="str">
            <v>010175</v>
          </cell>
          <cell r="I161" t="str">
            <v>2</v>
          </cell>
        </row>
        <row r="162">
          <cell r="A162" t="str">
            <v>ANCASHHUARIRAPAYAN</v>
          </cell>
          <cell r="B162" t="str">
            <v>02</v>
          </cell>
          <cell r="C162" t="str">
            <v>10</v>
          </cell>
          <cell r="D162" t="str">
            <v>13</v>
          </cell>
          <cell r="E162" t="str">
            <v>ANCASH</v>
          </cell>
          <cell r="F162" t="str">
            <v>HUARI</v>
          </cell>
          <cell r="G162" t="str">
            <v>RAPAYAN</v>
          </cell>
          <cell r="H162" t="str">
            <v>010176</v>
          </cell>
          <cell r="I162" t="str">
            <v>2</v>
          </cell>
        </row>
        <row r="163">
          <cell r="A163" t="str">
            <v>ANCASHHUARISAN MARCOS</v>
          </cell>
          <cell r="B163" t="str">
            <v>02</v>
          </cell>
          <cell r="C163" t="str">
            <v>10</v>
          </cell>
          <cell r="D163" t="str">
            <v>14</v>
          </cell>
          <cell r="E163" t="str">
            <v>ANCASH</v>
          </cell>
          <cell r="F163" t="str">
            <v>HUARI</v>
          </cell>
          <cell r="G163" t="str">
            <v>SAN MARCOS</v>
          </cell>
          <cell r="H163" t="str">
            <v>011870</v>
          </cell>
          <cell r="I163" t="str">
            <v>2</v>
          </cell>
        </row>
        <row r="164">
          <cell r="A164" t="str">
            <v>ANCASHHUARISAN PEDRO DE CHANA</v>
          </cell>
          <cell r="B164" t="str">
            <v>02</v>
          </cell>
          <cell r="C164" t="str">
            <v>10</v>
          </cell>
          <cell r="D164" t="str">
            <v>15</v>
          </cell>
          <cell r="E164" t="str">
            <v>ANCASH</v>
          </cell>
          <cell r="F164" t="str">
            <v>HUARI</v>
          </cell>
          <cell r="G164" t="str">
            <v>SAN PEDRO DE CHANA</v>
          </cell>
          <cell r="H164" t="str">
            <v>010178</v>
          </cell>
          <cell r="I164" t="str">
            <v>2</v>
          </cell>
        </row>
        <row r="165">
          <cell r="A165" t="str">
            <v>ANCASHHUARIUCO</v>
          </cell>
          <cell r="B165" t="str">
            <v>02</v>
          </cell>
          <cell r="C165" t="str">
            <v>10</v>
          </cell>
          <cell r="D165" t="str">
            <v>16</v>
          </cell>
          <cell r="E165" t="str">
            <v>ANCASH</v>
          </cell>
          <cell r="F165" t="str">
            <v>HUARI</v>
          </cell>
          <cell r="G165" t="str">
            <v>UCO</v>
          </cell>
          <cell r="H165" t="str">
            <v>010179</v>
          </cell>
          <cell r="I165" t="str">
            <v>2</v>
          </cell>
        </row>
        <row r="166">
          <cell r="A166" t="str">
            <v>ANCASHHUARMEYHUARMEY</v>
          </cell>
          <cell r="B166" t="str">
            <v>02</v>
          </cell>
          <cell r="C166" t="str">
            <v>11</v>
          </cell>
          <cell r="D166" t="str">
            <v>01</v>
          </cell>
          <cell r="E166" t="str">
            <v>ANCASH</v>
          </cell>
          <cell r="F166" t="str">
            <v>HUARMEY</v>
          </cell>
          <cell r="G166" t="str">
            <v>HUARMEY</v>
          </cell>
          <cell r="H166" t="str">
            <v>011860</v>
          </cell>
          <cell r="I166" t="str">
            <v>1</v>
          </cell>
        </row>
        <row r="167">
          <cell r="A167" t="str">
            <v>ANCASHHUARMEYCOCHAPETI</v>
          </cell>
          <cell r="B167" t="str">
            <v>02</v>
          </cell>
          <cell r="C167" t="str">
            <v>11</v>
          </cell>
          <cell r="D167" t="str">
            <v>02</v>
          </cell>
          <cell r="E167" t="str">
            <v>ANCASH</v>
          </cell>
          <cell r="F167" t="str">
            <v>HUARMEY</v>
          </cell>
          <cell r="G167" t="str">
            <v>COCHAPETI</v>
          </cell>
          <cell r="H167" t="str">
            <v>010236</v>
          </cell>
          <cell r="I167" t="str">
            <v>2</v>
          </cell>
        </row>
        <row r="168">
          <cell r="A168" t="str">
            <v>ANCASHHUARMEYCULEBRAS</v>
          </cell>
          <cell r="B168" t="str">
            <v>02</v>
          </cell>
          <cell r="C168" t="str">
            <v>11</v>
          </cell>
          <cell r="D168" t="str">
            <v>03</v>
          </cell>
          <cell r="E168" t="str">
            <v>ANCASH</v>
          </cell>
          <cell r="F168" t="str">
            <v>HUARMEY</v>
          </cell>
          <cell r="G168" t="str">
            <v>CULEBRAS</v>
          </cell>
          <cell r="H168" t="str">
            <v>010237</v>
          </cell>
          <cell r="I168" t="str">
            <v>2</v>
          </cell>
        </row>
        <row r="169">
          <cell r="A169" t="str">
            <v>ANCASHHUARMEYHUAYAN</v>
          </cell>
          <cell r="B169" t="str">
            <v>02</v>
          </cell>
          <cell r="C169" t="str">
            <v>11</v>
          </cell>
          <cell r="D169" t="str">
            <v>04</v>
          </cell>
          <cell r="E169" t="str">
            <v>ANCASH</v>
          </cell>
          <cell r="F169" t="str">
            <v>HUARMEY</v>
          </cell>
          <cell r="G169" t="str">
            <v>HUAYAN</v>
          </cell>
          <cell r="H169" t="str">
            <v>010238</v>
          </cell>
          <cell r="I169" t="str">
            <v>2</v>
          </cell>
        </row>
        <row r="170">
          <cell r="A170" t="str">
            <v>ANCASHHUARMEYMALVAS</v>
          </cell>
          <cell r="B170" t="str">
            <v>02</v>
          </cell>
          <cell r="C170" t="str">
            <v>11</v>
          </cell>
          <cell r="D170" t="str">
            <v>05</v>
          </cell>
          <cell r="E170" t="str">
            <v>ANCASH</v>
          </cell>
          <cell r="F170" t="str">
            <v>HUARMEY</v>
          </cell>
          <cell r="G170" t="str">
            <v>MALVAS</v>
          </cell>
          <cell r="H170" t="str">
            <v>010239</v>
          </cell>
          <cell r="I170" t="str">
            <v>2</v>
          </cell>
        </row>
        <row r="171">
          <cell r="A171" t="str">
            <v>ANCASHHUAYLASCARAZ</v>
          </cell>
          <cell r="B171" t="str">
            <v>02</v>
          </cell>
          <cell r="C171" t="str">
            <v>12</v>
          </cell>
          <cell r="D171" t="str">
            <v>01</v>
          </cell>
          <cell r="E171" t="str">
            <v>ANCASH</v>
          </cell>
          <cell r="F171" t="str">
            <v>HUAYLAS</v>
          </cell>
          <cell r="G171" t="str">
            <v>CARAZ</v>
          </cell>
          <cell r="H171" t="str">
            <v>010127</v>
          </cell>
          <cell r="I171" t="str">
            <v>1</v>
          </cell>
        </row>
        <row r="172">
          <cell r="A172" t="str">
            <v>ANCASHHUAYLASHUALLANCA</v>
          </cell>
          <cell r="B172" t="str">
            <v>02</v>
          </cell>
          <cell r="C172" t="str">
            <v>12</v>
          </cell>
          <cell r="D172" t="str">
            <v>02</v>
          </cell>
          <cell r="E172" t="str">
            <v>ANCASH</v>
          </cell>
          <cell r="F172" t="str">
            <v>HUAYLAS</v>
          </cell>
          <cell r="G172" t="str">
            <v>HUALLANCA</v>
          </cell>
          <cell r="H172" t="str">
            <v>012394</v>
          </cell>
          <cell r="I172" t="str">
            <v>2</v>
          </cell>
        </row>
        <row r="173">
          <cell r="A173" t="str">
            <v>ANCASHHUAYLASHUATA</v>
          </cell>
          <cell r="B173" t="str">
            <v>02</v>
          </cell>
          <cell r="C173" t="str">
            <v>12</v>
          </cell>
          <cell r="D173" t="str">
            <v>03</v>
          </cell>
          <cell r="E173" t="str">
            <v>ANCASH</v>
          </cell>
          <cell r="F173" t="str">
            <v>HUAYLAS</v>
          </cell>
          <cell r="G173" t="str">
            <v>HUATA</v>
          </cell>
          <cell r="H173" t="str">
            <v>010129</v>
          </cell>
          <cell r="I173" t="str">
            <v>2</v>
          </cell>
        </row>
        <row r="174">
          <cell r="A174" t="str">
            <v>ANCASHHUAYLASHUAYLAS</v>
          </cell>
          <cell r="B174" t="str">
            <v>02</v>
          </cell>
          <cell r="C174" t="str">
            <v>12</v>
          </cell>
          <cell r="D174" t="str">
            <v>04</v>
          </cell>
          <cell r="E174" t="str">
            <v>ANCASH</v>
          </cell>
          <cell r="F174" t="str">
            <v>HUAYLAS</v>
          </cell>
          <cell r="G174" t="str">
            <v>HUAYLAS</v>
          </cell>
          <cell r="H174" t="str">
            <v>012412</v>
          </cell>
          <cell r="I174" t="str">
            <v>2</v>
          </cell>
        </row>
        <row r="175">
          <cell r="A175" t="str">
            <v>ANCASHHUAYLASMATO</v>
          </cell>
          <cell r="B175" t="str">
            <v>02</v>
          </cell>
          <cell r="C175" t="str">
            <v>12</v>
          </cell>
          <cell r="D175" t="str">
            <v>05</v>
          </cell>
          <cell r="E175" t="str">
            <v>ANCASH</v>
          </cell>
          <cell r="F175" t="str">
            <v>HUAYLAS</v>
          </cell>
          <cell r="G175" t="str">
            <v>MATO</v>
          </cell>
          <cell r="H175" t="str">
            <v>010131</v>
          </cell>
          <cell r="I175" t="str">
            <v>2</v>
          </cell>
        </row>
        <row r="176">
          <cell r="A176" t="str">
            <v>ANCASHHUAYLASPAMPAROMAS</v>
          </cell>
          <cell r="B176" t="str">
            <v>02</v>
          </cell>
          <cell r="C176" t="str">
            <v>12</v>
          </cell>
          <cell r="D176" t="str">
            <v>06</v>
          </cell>
          <cell r="E176" t="str">
            <v>ANCASH</v>
          </cell>
          <cell r="F176" t="str">
            <v>HUAYLAS</v>
          </cell>
          <cell r="G176" t="str">
            <v>PAMPAROMAS</v>
          </cell>
          <cell r="H176" t="str">
            <v>010132</v>
          </cell>
          <cell r="I176" t="str">
            <v>2</v>
          </cell>
        </row>
        <row r="177">
          <cell r="A177" t="str">
            <v>ANCASHHUAYLASPUEBLO LIBRE</v>
          </cell>
          <cell r="B177" t="str">
            <v>02</v>
          </cell>
          <cell r="C177" t="str">
            <v>12</v>
          </cell>
          <cell r="D177" t="str">
            <v>07</v>
          </cell>
          <cell r="E177" t="str">
            <v>ANCASH</v>
          </cell>
          <cell r="F177" t="str">
            <v>HUAYLAS</v>
          </cell>
          <cell r="G177" t="str">
            <v>PUEBLO LIBRE</v>
          </cell>
          <cell r="H177" t="str">
            <v>010133</v>
          </cell>
          <cell r="I177" t="str">
            <v>2</v>
          </cell>
        </row>
        <row r="178">
          <cell r="A178" t="str">
            <v>ANCASHHUAYLASSANTA CRUZ</v>
          </cell>
          <cell r="B178" t="str">
            <v>02</v>
          </cell>
          <cell r="C178" t="str">
            <v>12</v>
          </cell>
          <cell r="D178" t="str">
            <v>08</v>
          </cell>
          <cell r="E178" t="str">
            <v>ANCASH</v>
          </cell>
          <cell r="F178" t="str">
            <v>HUAYLAS</v>
          </cell>
          <cell r="G178" t="str">
            <v>SANTA CRUZ</v>
          </cell>
          <cell r="H178" t="str">
            <v>010134</v>
          </cell>
          <cell r="I178" t="str">
            <v>2</v>
          </cell>
        </row>
        <row r="179">
          <cell r="A179" t="str">
            <v>ANCASHHUAYLASSANTO TORIBIO</v>
          </cell>
          <cell r="B179" t="str">
            <v>02</v>
          </cell>
          <cell r="C179" t="str">
            <v>12</v>
          </cell>
          <cell r="D179" t="str">
            <v>09</v>
          </cell>
          <cell r="E179" t="str">
            <v>ANCASH</v>
          </cell>
          <cell r="F179" t="str">
            <v>HUAYLAS</v>
          </cell>
          <cell r="G179" t="str">
            <v>SANTO TORIBIO</v>
          </cell>
          <cell r="H179" t="str">
            <v>010135</v>
          </cell>
          <cell r="I179" t="str">
            <v>2</v>
          </cell>
        </row>
        <row r="180">
          <cell r="A180" t="str">
            <v>ANCASHHUAYLASYURACMARCA</v>
          </cell>
          <cell r="B180" t="str">
            <v>02</v>
          </cell>
          <cell r="C180" t="str">
            <v>12</v>
          </cell>
          <cell r="D180" t="str">
            <v>10</v>
          </cell>
          <cell r="E180" t="str">
            <v>ANCASH</v>
          </cell>
          <cell r="F180" t="str">
            <v>HUAYLAS</v>
          </cell>
          <cell r="G180" t="str">
            <v>YURACMARCA</v>
          </cell>
          <cell r="H180" t="str">
            <v>010136</v>
          </cell>
          <cell r="I180" t="str">
            <v>2</v>
          </cell>
        </row>
        <row r="181">
          <cell r="A181" t="str">
            <v>ANCASHMARISCAL LUZURIAGAPISCOBAMBA</v>
          </cell>
          <cell r="B181" t="str">
            <v>02</v>
          </cell>
          <cell r="C181" t="str">
            <v>13</v>
          </cell>
          <cell r="D181" t="str">
            <v>01</v>
          </cell>
          <cell r="E181" t="str">
            <v>ANCASH</v>
          </cell>
          <cell r="F181" t="str">
            <v>MARISCAL LUZURIAGA</v>
          </cell>
          <cell r="G181" t="str">
            <v>PISCOBAMBA</v>
          </cell>
          <cell r="H181" t="str">
            <v>010202</v>
          </cell>
          <cell r="I181" t="str">
            <v>1</v>
          </cell>
        </row>
        <row r="182">
          <cell r="A182" t="str">
            <v>ANCASHMARISCAL LUZURIAGACASCA</v>
          </cell>
          <cell r="B182" t="str">
            <v>02</v>
          </cell>
          <cell r="C182" t="str">
            <v>13</v>
          </cell>
          <cell r="D182" t="str">
            <v>02</v>
          </cell>
          <cell r="E182" t="str">
            <v>ANCASH</v>
          </cell>
          <cell r="F182" t="str">
            <v>MARISCAL LUZURIAGA</v>
          </cell>
          <cell r="G182" t="str">
            <v>CASCA</v>
          </cell>
          <cell r="H182" t="str">
            <v>010203</v>
          </cell>
          <cell r="I182" t="str">
            <v>2</v>
          </cell>
        </row>
        <row r="183">
          <cell r="A183" t="str">
            <v>ANCASHMARISCAL LUZURIAGAELEAZAR GUZMAN BARRON</v>
          </cell>
          <cell r="B183" t="str">
            <v>02</v>
          </cell>
          <cell r="C183" t="str">
            <v>13</v>
          </cell>
          <cell r="D183" t="str">
            <v>03</v>
          </cell>
          <cell r="E183" t="str">
            <v>ANCASH</v>
          </cell>
          <cell r="F183" t="str">
            <v>MARISCAL LUZURIAGA</v>
          </cell>
          <cell r="G183" t="str">
            <v>ELEAZAR GUZMAN BARRON</v>
          </cell>
          <cell r="H183" t="str">
            <v>011880</v>
          </cell>
          <cell r="I183" t="str">
            <v>2</v>
          </cell>
        </row>
        <row r="184">
          <cell r="A184" t="str">
            <v>ANCASHMARISCAL LUZURIAGAFIDEL OLIVAS ESCUDERO</v>
          </cell>
          <cell r="B184" t="str">
            <v>02</v>
          </cell>
          <cell r="C184" t="str">
            <v>13</v>
          </cell>
          <cell r="D184" t="str">
            <v>04</v>
          </cell>
          <cell r="E184" t="str">
            <v>ANCASH</v>
          </cell>
          <cell r="F184" t="str">
            <v>MARISCAL LUZURIAGA</v>
          </cell>
          <cell r="G184" t="str">
            <v>FIDEL OLIVAS ESCUDERO</v>
          </cell>
          <cell r="H184" t="str">
            <v>017986</v>
          </cell>
          <cell r="I184" t="str">
            <v>2</v>
          </cell>
        </row>
        <row r="185">
          <cell r="A185" t="str">
            <v>ANCASHMARISCAL LUZURIAGALLAMA</v>
          </cell>
          <cell r="B185" t="str">
            <v>02</v>
          </cell>
          <cell r="C185" t="str">
            <v>13</v>
          </cell>
          <cell r="D185" t="str">
            <v>05</v>
          </cell>
          <cell r="E185" t="str">
            <v>ANCASH</v>
          </cell>
          <cell r="F185" t="str">
            <v>MARISCAL LUZURIAGA</v>
          </cell>
          <cell r="G185" t="str">
            <v>LLAMA</v>
          </cell>
          <cell r="H185" t="str">
            <v>010206</v>
          </cell>
          <cell r="I185" t="str">
            <v>2</v>
          </cell>
        </row>
        <row r="186">
          <cell r="A186" t="str">
            <v>ANCASHMARISCAL LUZURIAGALLUMPA</v>
          </cell>
          <cell r="B186" t="str">
            <v>02</v>
          </cell>
          <cell r="C186" t="str">
            <v>13</v>
          </cell>
          <cell r="D186" t="str">
            <v>06</v>
          </cell>
          <cell r="E186" t="str">
            <v>ANCASH</v>
          </cell>
          <cell r="F186" t="str">
            <v>MARISCAL LUZURIAGA</v>
          </cell>
          <cell r="G186" t="str">
            <v>LLUMPA</v>
          </cell>
          <cell r="H186" t="str">
            <v>012999</v>
          </cell>
          <cell r="I186" t="str">
            <v>2</v>
          </cell>
        </row>
        <row r="187">
          <cell r="A187" t="str">
            <v>ANCASHMARISCAL LUZURIAGALUCMA</v>
          </cell>
          <cell r="B187" t="str">
            <v>02</v>
          </cell>
          <cell r="C187" t="str">
            <v>13</v>
          </cell>
          <cell r="D187" t="str">
            <v>07</v>
          </cell>
          <cell r="E187" t="str">
            <v>ANCASH</v>
          </cell>
          <cell r="F187" t="str">
            <v>MARISCAL LUZURIAGA</v>
          </cell>
          <cell r="G187" t="str">
            <v>LUCMA</v>
          </cell>
          <cell r="H187" t="str">
            <v>010208</v>
          </cell>
          <cell r="I187" t="str">
            <v>2</v>
          </cell>
        </row>
        <row r="188">
          <cell r="A188" t="str">
            <v>ANCASHMARISCAL LUZURIAGAMUSGA</v>
          </cell>
          <cell r="B188" t="str">
            <v>02</v>
          </cell>
          <cell r="C188" t="str">
            <v>13</v>
          </cell>
          <cell r="D188" t="str">
            <v>08</v>
          </cell>
          <cell r="E188" t="str">
            <v>ANCASH</v>
          </cell>
          <cell r="F188" t="str">
            <v>MARISCAL LUZURIAGA</v>
          </cell>
          <cell r="G188" t="str">
            <v>MUSGA</v>
          </cell>
          <cell r="H188" t="str">
            <v>010209</v>
          </cell>
          <cell r="I188" t="str">
            <v>2</v>
          </cell>
        </row>
        <row r="189">
          <cell r="A189" t="str">
            <v>ANCASHOCROSOCROS</v>
          </cell>
          <cell r="B189" t="str">
            <v>02</v>
          </cell>
          <cell r="C189" t="str">
            <v>14</v>
          </cell>
          <cell r="D189" t="str">
            <v>01</v>
          </cell>
          <cell r="E189" t="str">
            <v>ANCASH</v>
          </cell>
          <cell r="F189" t="str">
            <v>OCROS</v>
          </cell>
          <cell r="G189" t="str">
            <v>OCROS</v>
          </cell>
          <cell r="H189" t="str">
            <v>010147</v>
          </cell>
          <cell r="I189" t="str">
            <v>1</v>
          </cell>
        </row>
        <row r="190">
          <cell r="A190" t="str">
            <v>ANCASHOCROSACAS</v>
          </cell>
          <cell r="B190" t="str">
            <v>02</v>
          </cell>
          <cell r="C190" t="str">
            <v>14</v>
          </cell>
          <cell r="D190" t="str">
            <v>02</v>
          </cell>
          <cell r="E190" t="str">
            <v>ANCASH</v>
          </cell>
          <cell r="F190" t="str">
            <v>OCROS</v>
          </cell>
          <cell r="G190" t="str">
            <v>ACAS</v>
          </cell>
          <cell r="H190" t="str">
            <v>010148</v>
          </cell>
          <cell r="I190" t="str">
            <v>2</v>
          </cell>
        </row>
        <row r="191">
          <cell r="A191" t="str">
            <v>ANCASHOCROSCAJAMARQUILLA</v>
          </cell>
          <cell r="B191" t="str">
            <v>02</v>
          </cell>
          <cell r="C191" t="str">
            <v>14</v>
          </cell>
          <cell r="D191" t="str">
            <v>03</v>
          </cell>
          <cell r="E191" t="str">
            <v>ANCASH</v>
          </cell>
          <cell r="F191" t="str">
            <v>OCROS</v>
          </cell>
          <cell r="G191" t="str">
            <v>CAJAMARQUILLA</v>
          </cell>
          <cell r="H191" t="str">
            <v>010149</v>
          </cell>
          <cell r="I191" t="str">
            <v>2</v>
          </cell>
        </row>
        <row r="192">
          <cell r="A192" t="str">
            <v>ANCASHOCROSCARHUAPAMPA</v>
          </cell>
          <cell r="B192" t="str">
            <v>02</v>
          </cell>
          <cell r="C192" t="str">
            <v>14</v>
          </cell>
          <cell r="D192" t="str">
            <v>04</v>
          </cell>
          <cell r="E192" t="str">
            <v>ANCASH</v>
          </cell>
          <cell r="F192" t="str">
            <v>OCROS</v>
          </cell>
          <cell r="G192" t="str">
            <v>CARHUAPAMPA</v>
          </cell>
          <cell r="H192" t="str">
            <v>010150</v>
          </cell>
          <cell r="I192" t="str">
            <v>2</v>
          </cell>
        </row>
        <row r="193">
          <cell r="A193" t="str">
            <v>ANCASHOCROSCOCHAS</v>
          </cell>
          <cell r="B193" t="str">
            <v>02</v>
          </cell>
          <cell r="C193" t="str">
            <v>14</v>
          </cell>
          <cell r="D193" t="str">
            <v>05</v>
          </cell>
          <cell r="E193" t="str">
            <v>ANCASH</v>
          </cell>
          <cell r="F193" t="str">
            <v>OCROS</v>
          </cell>
          <cell r="G193" t="str">
            <v>COCHAS</v>
          </cell>
          <cell r="H193" t="str">
            <v>010151</v>
          </cell>
          <cell r="I193" t="str">
            <v>2</v>
          </cell>
        </row>
        <row r="194">
          <cell r="A194" t="str">
            <v>ANCASHOCROSCONGAS</v>
          </cell>
          <cell r="B194" t="str">
            <v>02</v>
          </cell>
          <cell r="C194" t="str">
            <v>14</v>
          </cell>
          <cell r="D194" t="str">
            <v>06</v>
          </cell>
          <cell r="E194" t="str">
            <v>ANCASH</v>
          </cell>
          <cell r="F194" t="str">
            <v>OCROS</v>
          </cell>
          <cell r="G194" t="str">
            <v>CONGAS</v>
          </cell>
          <cell r="H194" t="str">
            <v>011879</v>
          </cell>
          <cell r="I194" t="str">
            <v>2</v>
          </cell>
        </row>
        <row r="195">
          <cell r="A195" t="str">
            <v>ANCASHOCROSLLIPA</v>
          </cell>
          <cell r="B195" t="str">
            <v>02</v>
          </cell>
          <cell r="C195" t="str">
            <v>14</v>
          </cell>
          <cell r="D195" t="str">
            <v>07</v>
          </cell>
          <cell r="E195" t="str">
            <v>ANCASH</v>
          </cell>
          <cell r="F195" t="str">
            <v>OCROS</v>
          </cell>
          <cell r="G195" t="str">
            <v>LLIPA</v>
          </cell>
          <cell r="H195" t="str">
            <v>010153</v>
          </cell>
          <cell r="I195" t="str">
            <v>2</v>
          </cell>
        </row>
        <row r="196">
          <cell r="A196" t="str">
            <v>ANCASHOCROSSAN CRISTOBAL DE RAJAN</v>
          </cell>
          <cell r="B196" t="str">
            <v>02</v>
          </cell>
          <cell r="C196" t="str">
            <v>14</v>
          </cell>
          <cell r="D196" t="str">
            <v>08</v>
          </cell>
          <cell r="E196" t="str">
            <v>ANCASH</v>
          </cell>
          <cell r="F196" t="str">
            <v>OCROS</v>
          </cell>
          <cell r="G196" t="str">
            <v>SAN CRISTOBAL DE RAJAN</v>
          </cell>
          <cell r="H196" t="str">
            <v>010154</v>
          </cell>
          <cell r="I196" t="str">
            <v>2</v>
          </cell>
        </row>
        <row r="197">
          <cell r="A197" t="str">
            <v>ANCASHOCROSSAN PEDRO</v>
          </cell>
          <cell r="B197" t="str">
            <v>02</v>
          </cell>
          <cell r="C197" t="str">
            <v>14</v>
          </cell>
          <cell r="D197" t="str">
            <v>09</v>
          </cell>
          <cell r="E197" t="str">
            <v>ANCASH</v>
          </cell>
          <cell r="F197" t="str">
            <v>OCROS</v>
          </cell>
          <cell r="G197" t="str">
            <v>SAN PEDRO</v>
          </cell>
          <cell r="H197" t="str">
            <v>011877</v>
          </cell>
          <cell r="I197" t="str">
            <v>2</v>
          </cell>
        </row>
        <row r="198">
          <cell r="A198" t="str">
            <v>ANCASHOCROSSANTIAGO DE CHILCAS</v>
          </cell>
          <cell r="B198" t="str">
            <v>02</v>
          </cell>
          <cell r="C198" t="str">
            <v>14</v>
          </cell>
          <cell r="D198" t="str">
            <v>10</v>
          </cell>
          <cell r="E198" t="str">
            <v>ANCASH</v>
          </cell>
          <cell r="F198" t="str">
            <v>OCROS</v>
          </cell>
          <cell r="G198" t="str">
            <v>SANTIAGO DE CHILCAS</v>
          </cell>
          <cell r="H198" t="str">
            <v>011907</v>
          </cell>
          <cell r="I198" t="str">
            <v>2</v>
          </cell>
        </row>
        <row r="199">
          <cell r="A199" t="str">
            <v>ANCASHPALLASCACABANA</v>
          </cell>
          <cell r="B199" t="str">
            <v>02</v>
          </cell>
          <cell r="C199" t="str">
            <v>15</v>
          </cell>
          <cell r="D199" t="str">
            <v>01</v>
          </cell>
          <cell r="E199" t="str">
            <v>ANCASH</v>
          </cell>
          <cell r="F199" t="str">
            <v>PALLASCA</v>
          </cell>
          <cell r="G199" t="str">
            <v>CABANA</v>
          </cell>
          <cell r="H199" t="str">
            <v>012428</v>
          </cell>
          <cell r="I199" t="str">
            <v>1</v>
          </cell>
        </row>
        <row r="200">
          <cell r="A200" t="str">
            <v>ANCASHPALLASCABOLOGNESI</v>
          </cell>
          <cell r="B200" t="str">
            <v>02</v>
          </cell>
          <cell r="C200" t="str">
            <v>15</v>
          </cell>
          <cell r="D200" t="str">
            <v>02</v>
          </cell>
          <cell r="E200" t="str">
            <v>ANCASH</v>
          </cell>
          <cell r="F200" t="str">
            <v>PALLASCA</v>
          </cell>
          <cell r="G200" t="str">
            <v>BOLOGNESI</v>
          </cell>
          <cell r="H200" t="str">
            <v>010241</v>
          </cell>
          <cell r="I200" t="str">
            <v>2</v>
          </cell>
        </row>
        <row r="201">
          <cell r="A201" t="str">
            <v>ANCASHPALLASCACONCHUCOS</v>
          </cell>
          <cell r="B201" t="str">
            <v>02</v>
          </cell>
          <cell r="C201" t="str">
            <v>15</v>
          </cell>
          <cell r="D201" t="str">
            <v>03</v>
          </cell>
          <cell r="E201" t="str">
            <v>ANCASH</v>
          </cell>
          <cell r="F201" t="str">
            <v>PALLASCA</v>
          </cell>
          <cell r="G201" t="str">
            <v>CONCHUCOS</v>
          </cell>
          <cell r="H201" t="str">
            <v>010242</v>
          </cell>
          <cell r="I201" t="str">
            <v>2</v>
          </cell>
        </row>
        <row r="202">
          <cell r="A202" t="str">
            <v>ANCASHPALLASCAHUACASCHUQUE</v>
          </cell>
          <cell r="B202" t="str">
            <v>02</v>
          </cell>
          <cell r="C202" t="str">
            <v>15</v>
          </cell>
          <cell r="D202" t="str">
            <v>04</v>
          </cell>
          <cell r="E202" t="str">
            <v>ANCASH</v>
          </cell>
          <cell r="F202" t="str">
            <v>PALLASCA</v>
          </cell>
          <cell r="G202" t="str">
            <v>HUACASCHUQUE</v>
          </cell>
          <cell r="H202" t="str">
            <v>010243</v>
          </cell>
          <cell r="I202" t="str">
            <v>2</v>
          </cell>
        </row>
        <row r="203">
          <cell r="A203" t="str">
            <v>ANCASHPALLASCAHUANDOVAL</v>
          </cell>
          <cell r="B203" t="str">
            <v>02</v>
          </cell>
          <cell r="C203" t="str">
            <v>15</v>
          </cell>
          <cell r="D203" t="str">
            <v>05</v>
          </cell>
          <cell r="E203" t="str">
            <v>ANCASH</v>
          </cell>
          <cell r="F203" t="str">
            <v>PALLASCA</v>
          </cell>
          <cell r="G203" t="str">
            <v>HUANDOVAL</v>
          </cell>
          <cell r="H203" t="str">
            <v>010244</v>
          </cell>
          <cell r="I203" t="str">
            <v>2</v>
          </cell>
        </row>
        <row r="204">
          <cell r="A204" t="str">
            <v>ANCASHPALLASCALACABAMBA</v>
          </cell>
          <cell r="B204" t="str">
            <v>02</v>
          </cell>
          <cell r="C204" t="str">
            <v>15</v>
          </cell>
          <cell r="D204" t="str">
            <v>06</v>
          </cell>
          <cell r="E204" t="str">
            <v>ANCASH</v>
          </cell>
          <cell r="F204" t="str">
            <v>PALLASCA</v>
          </cell>
          <cell r="G204" t="str">
            <v>LACABAMBA</v>
          </cell>
          <cell r="H204" t="str">
            <v>010245</v>
          </cell>
          <cell r="I204" t="str">
            <v>2</v>
          </cell>
        </row>
        <row r="205">
          <cell r="A205" t="str">
            <v>ANCASHPALLASCALLAPO</v>
          </cell>
          <cell r="B205" t="str">
            <v>02</v>
          </cell>
          <cell r="C205" t="str">
            <v>15</v>
          </cell>
          <cell r="D205" t="str">
            <v>07</v>
          </cell>
          <cell r="E205" t="str">
            <v>ANCASH</v>
          </cell>
          <cell r="F205" t="str">
            <v>PALLASCA</v>
          </cell>
          <cell r="G205" t="str">
            <v>LLAPO</v>
          </cell>
          <cell r="H205" t="str">
            <v>010246</v>
          </cell>
          <cell r="I205" t="str">
            <v>2</v>
          </cell>
        </row>
        <row r="206">
          <cell r="A206" t="str">
            <v>ANCASHPALLASCAPALLASCA</v>
          </cell>
          <cell r="B206" t="str">
            <v>02</v>
          </cell>
          <cell r="C206" t="str">
            <v>15</v>
          </cell>
          <cell r="D206" t="str">
            <v>08</v>
          </cell>
          <cell r="E206" t="str">
            <v>ANCASH</v>
          </cell>
          <cell r="F206" t="str">
            <v>PALLASCA</v>
          </cell>
          <cell r="G206" t="str">
            <v>PALLASCA</v>
          </cell>
          <cell r="H206" t="str">
            <v>010247</v>
          </cell>
          <cell r="I206" t="str">
            <v>2</v>
          </cell>
        </row>
        <row r="207">
          <cell r="A207" t="str">
            <v>ANCASHPALLASCAPAMPAS</v>
          </cell>
          <cell r="B207" t="str">
            <v>02</v>
          </cell>
          <cell r="C207" t="str">
            <v>15</v>
          </cell>
          <cell r="D207" t="str">
            <v>09</v>
          </cell>
          <cell r="E207" t="str">
            <v>ANCASH</v>
          </cell>
          <cell r="F207" t="str">
            <v>PALLASCA</v>
          </cell>
          <cell r="G207" t="str">
            <v>PAMPAS</v>
          </cell>
          <cell r="H207" t="str">
            <v>012987</v>
          </cell>
          <cell r="I207" t="str">
            <v>2</v>
          </cell>
        </row>
        <row r="208">
          <cell r="A208" t="str">
            <v>ANCASHPALLASCASANTA ROSA</v>
          </cell>
          <cell r="B208" t="str">
            <v>02</v>
          </cell>
          <cell r="C208" t="str">
            <v>15</v>
          </cell>
          <cell r="D208" t="str">
            <v>10</v>
          </cell>
          <cell r="E208" t="str">
            <v>ANCASH</v>
          </cell>
          <cell r="F208" t="str">
            <v>PALLASCA</v>
          </cell>
          <cell r="G208" t="str">
            <v>SANTA ROSA</v>
          </cell>
          <cell r="H208" t="str">
            <v>010249</v>
          </cell>
          <cell r="I208" t="str">
            <v>2</v>
          </cell>
        </row>
        <row r="209">
          <cell r="A209" t="str">
            <v>ANCASHPALLASCATAUCA</v>
          </cell>
          <cell r="B209" t="str">
            <v>02</v>
          </cell>
          <cell r="C209" t="str">
            <v>15</v>
          </cell>
          <cell r="D209" t="str">
            <v>11</v>
          </cell>
          <cell r="E209" t="str">
            <v>ANCASH</v>
          </cell>
          <cell r="F209" t="str">
            <v>PALLASCA</v>
          </cell>
          <cell r="G209" t="str">
            <v>TAUCA</v>
          </cell>
          <cell r="H209" t="str">
            <v>010250</v>
          </cell>
          <cell r="I209" t="str">
            <v>2</v>
          </cell>
        </row>
        <row r="210">
          <cell r="A210" t="str">
            <v>ANCASHPOMABAMBAPOMABAMBA</v>
          </cell>
          <cell r="B210" t="str">
            <v>02</v>
          </cell>
          <cell r="C210" t="str">
            <v>16</v>
          </cell>
          <cell r="D210" t="str">
            <v>01</v>
          </cell>
          <cell r="E210" t="str">
            <v>ANCASH</v>
          </cell>
          <cell r="F210" t="str">
            <v>POMABAMBA</v>
          </cell>
          <cell r="G210" t="str">
            <v>POMABAMBA</v>
          </cell>
          <cell r="H210" t="str">
            <v>010191</v>
          </cell>
          <cell r="I210" t="str">
            <v>1</v>
          </cell>
        </row>
        <row r="211">
          <cell r="A211" t="str">
            <v>ANCASHPOMABAMBAHUAYLLAN</v>
          </cell>
          <cell r="B211" t="str">
            <v>02</v>
          </cell>
          <cell r="C211" t="str">
            <v>16</v>
          </cell>
          <cell r="D211" t="str">
            <v>02</v>
          </cell>
          <cell r="E211" t="str">
            <v>ANCASH</v>
          </cell>
          <cell r="F211" t="str">
            <v>POMABAMBA</v>
          </cell>
          <cell r="G211" t="str">
            <v>HUAYLLAN</v>
          </cell>
          <cell r="H211" t="str">
            <v>010192</v>
          </cell>
          <cell r="I211" t="str">
            <v>2</v>
          </cell>
        </row>
        <row r="212">
          <cell r="A212" t="str">
            <v>ANCASHPOMABAMBAPAROBAMBA</v>
          </cell>
          <cell r="B212" t="str">
            <v>02</v>
          </cell>
          <cell r="C212" t="str">
            <v>16</v>
          </cell>
          <cell r="D212" t="str">
            <v>03</v>
          </cell>
          <cell r="E212" t="str">
            <v>ANCASH</v>
          </cell>
          <cell r="F212" t="str">
            <v>POMABAMBA</v>
          </cell>
          <cell r="G212" t="str">
            <v>PAROBAMBA</v>
          </cell>
          <cell r="H212" t="str">
            <v>010193</v>
          </cell>
          <cell r="I212" t="str">
            <v>2</v>
          </cell>
        </row>
        <row r="213">
          <cell r="A213" t="str">
            <v>ANCASHPOMABAMBAQUINUABAMBA</v>
          </cell>
          <cell r="B213" t="str">
            <v>02</v>
          </cell>
          <cell r="C213" t="str">
            <v>16</v>
          </cell>
          <cell r="D213" t="str">
            <v>04</v>
          </cell>
          <cell r="E213" t="str">
            <v>ANCASH</v>
          </cell>
          <cell r="F213" t="str">
            <v>POMABAMBA</v>
          </cell>
          <cell r="G213" t="str">
            <v>QUINUABAMBA</v>
          </cell>
          <cell r="H213" t="str">
            <v>012397</v>
          </cell>
          <cell r="I213" t="str">
            <v>2</v>
          </cell>
        </row>
        <row r="214">
          <cell r="A214" t="str">
            <v>ANCASHRECUAYRECUAY</v>
          </cell>
          <cell r="B214" t="str">
            <v>02</v>
          </cell>
          <cell r="C214" t="str">
            <v>17</v>
          </cell>
          <cell r="D214" t="str">
            <v>01</v>
          </cell>
          <cell r="E214" t="str">
            <v>ANCASH</v>
          </cell>
          <cell r="F214" t="str">
            <v>RECUAY</v>
          </cell>
          <cell r="G214" t="str">
            <v>RECUAY</v>
          </cell>
          <cell r="H214" t="str">
            <v>011899</v>
          </cell>
          <cell r="I214" t="str">
            <v>1</v>
          </cell>
        </row>
        <row r="215">
          <cell r="A215" t="str">
            <v>ANCASHRECUAYCATAC</v>
          </cell>
          <cell r="B215" t="str">
            <v>02</v>
          </cell>
          <cell r="C215" t="str">
            <v>17</v>
          </cell>
          <cell r="D215" t="str">
            <v>02</v>
          </cell>
          <cell r="E215" t="str">
            <v>ANCASH</v>
          </cell>
          <cell r="F215" t="str">
            <v>RECUAY</v>
          </cell>
          <cell r="G215" t="str">
            <v>CATAC</v>
          </cell>
          <cell r="H215" t="str">
            <v>011900</v>
          </cell>
          <cell r="I215" t="str">
            <v>2</v>
          </cell>
        </row>
        <row r="216">
          <cell r="A216" t="str">
            <v>ANCASHRECUAYCOTAPARACO</v>
          </cell>
          <cell r="B216" t="str">
            <v>02</v>
          </cell>
          <cell r="C216" t="str">
            <v>17</v>
          </cell>
          <cell r="D216" t="str">
            <v>03</v>
          </cell>
          <cell r="E216" t="str">
            <v>ANCASH</v>
          </cell>
          <cell r="F216" t="str">
            <v>RECUAY</v>
          </cell>
          <cell r="G216" t="str">
            <v>COTAPARACO</v>
          </cell>
          <cell r="H216" t="str">
            <v>010139</v>
          </cell>
          <cell r="I216" t="str">
            <v>2</v>
          </cell>
        </row>
        <row r="217">
          <cell r="A217" t="str">
            <v>ANCASHRECUAYHUAYLLAPAMPA</v>
          </cell>
          <cell r="B217" t="str">
            <v>02</v>
          </cell>
          <cell r="C217" t="str">
            <v>17</v>
          </cell>
          <cell r="D217" t="str">
            <v>04</v>
          </cell>
          <cell r="E217" t="str">
            <v>ANCASH</v>
          </cell>
          <cell r="F217" t="str">
            <v>RECUAY</v>
          </cell>
          <cell r="G217" t="str">
            <v>HUAYLLAPAMPA</v>
          </cell>
          <cell r="H217" t="str">
            <v>010140</v>
          </cell>
          <cell r="I217" t="str">
            <v>2</v>
          </cell>
        </row>
        <row r="218">
          <cell r="A218" t="str">
            <v>ANCASHRECUAYLLACLLIN</v>
          </cell>
          <cell r="B218" t="str">
            <v>02</v>
          </cell>
          <cell r="C218" t="str">
            <v>17</v>
          </cell>
          <cell r="D218" t="str">
            <v>05</v>
          </cell>
          <cell r="E218" t="str">
            <v>ANCASH</v>
          </cell>
          <cell r="F218" t="str">
            <v>RECUAY</v>
          </cell>
          <cell r="G218" t="str">
            <v>LLACLLIN</v>
          </cell>
          <cell r="H218" t="str">
            <v>010141</v>
          </cell>
          <cell r="I218" t="str">
            <v>2</v>
          </cell>
        </row>
        <row r="219">
          <cell r="A219" t="str">
            <v>ANCASHRECUAYMARCA</v>
          </cell>
          <cell r="B219" t="str">
            <v>02</v>
          </cell>
          <cell r="C219" t="str">
            <v>17</v>
          </cell>
          <cell r="D219" t="str">
            <v>06</v>
          </cell>
          <cell r="E219" t="str">
            <v>ANCASH</v>
          </cell>
          <cell r="F219" t="str">
            <v>RECUAY</v>
          </cell>
          <cell r="G219" t="str">
            <v>MARCA</v>
          </cell>
          <cell r="H219" t="str">
            <v>011893</v>
          </cell>
          <cell r="I219" t="str">
            <v>2</v>
          </cell>
        </row>
        <row r="220">
          <cell r="A220" t="str">
            <v>ANCASHRECUAYPAMPAS CHICO</v>
          </cell>
          <cell r="B220" t="str">
            <v>02</v>
          </cell>
          <cell r="C220" t="str">
            <v>17</v>
          </cell>
          <cell r="D220" t="str">
            <v>07</v>
          </cell>
          <cell r="E220" t="str">
            <v>ANCASH</v>
          </cell>
          <cell r="F220" t="str">
            <v>RECUAY</v>
          </cell>
          <cell r="G220" t="str">
            <v>PAMPAS CHICO</v>
          </cell>
          <cell r="H220" t="str">
            <v>010143</v>
          </cell>
          <cell r="I220" t="str">
            <v>2</v>
          </cell>
        </row>
        <row r="221">
          <cell r="A221" t="str">
            <v>ANCASHRECUAYPARARIN</v>
          </cell>
          <cell r="B221" t="str">
            <v>02</v>
          </cell>
          <cell r="C221" t="str">
            <v>17</v>
          </cell>
          <cell r="D221" t="str">
            <v>08</v>
          </cell>
          <cell r="E221" t="str">
            <v>ANCASH</v>
          </cell>
          <cell r="F221" t="str">
            <v>RECUAY</v>
          </cell>
          <cell r="G221" t="str">
            <v>PARARIN</v>
          </cell>
          <cell r="H221" t="str">
            <v>011876</v>
          </cell>
          <cell r="I221" t="str">
            <v>2</v>
          </cell>
        </row>
        <row r="222">
          <cell r="A222" t="str">
            <v>ANCASHRECUAYTAPACOCHA</v>
          </cell>
          <cell r="B222" t="str">
            <v>02</v>
          </cell>
          <cell r="C222" t="str">
            <v>17</v>
          </cell>
          <cell r="D222" t="str">
            <v>09</v>
          </cell>
          <cell r="E222" t="str">
            <v>ANCASH</v>
          </cell>
          <cell r="F222" t="str">
            <v>RECUAY</v>
          </cell>
          <cell r="G222" t="str">
            <v>TAPACOCHA</v>
          </cell>
          <cell r="H222" t="str">
            <v>010145</v>
          </cell>
          <cell r="I222" t="str">
            <v>2</v>
          </cell>
        </row>
        <row r="223">
          <cell r="A223" t="str">
            <v>ANCASHRECUAYTICAPAMPA</v>
          </cell>
          <cell r="B223" t="str">
            <v>02</v>
          </cell>
          <cell r="C223" t="str">
            <v>17</v>
          </cell>
          <cell r="D223" t="str">
            <v>10</v>
          </cell>
          <cell r="E223" t="str">
            <v>ANCASH</v>
          </cell>
          <cell r="F223" t="str">
            <v>RECUAY</v>
          </cell>
          <cell r="G223" t="str">
            <v>TICAPAMPA</v>
          </cell>
          <cell r="H223" t="str">
            <v>010146</v>
          </cell>
          <cell r="I223" t="str">
            <v>2</v>
          </cell>
        </row>
        <row r="224">
          <cell r="A224" t="str">
            <v>ANCASHSANTACHIMBOTE</v>
          </cell>
          <cell r="B224" t="str">
            <v>02</v>
          </cell>
          <cell r="C224" t="str">
            <v>18</v>
          </cell>
          <cell r="D224" t="str">
            <v>01</v>
          </cell>
          <cell r="E224" t="str">
            <v>ANCASH</v>
          </cell>
          <cell r="F224" t="str">
            <v>SANTA</v>
          </cell>
          <cell r="G224" t="str">
            <v>CHIMBOTE</v>
          </cell>
          <cell r="H224" t="str">
            <v>010220</v>
          </cell>
          <cell r="I224" t="str">
            <v>1</v>
          </cell>
        </row>
        <row r="225">
          <cell r="A225" t="str">
            <v>ANCASHSANTACACERES DEL PERU</v>
          </cell>
          <cell r="B225" t="str">
            <v>02</v>
          </cell>
          <cell r="C225" t="str">
            <v>18</v>
          </cell>
          <cell r="D225" t="str">
            <v>02</v>
          </cell>
          <cell r="E225" t="str">
            <v>ANCASH</v>
          </cell>
          <cell r="F225" t="str">
            <v>SANTA</v>
          </cell>
          <cell r="G225" t="str">
            <v>CACERES DEL PERU</v>
          </cell>
          <cell r="H225" t="str">
            <v>010223</v>
          </cell>
          <cell r="I225" t="str">
            <v>2</v>
          </cell>
        </row>
        <row r="226">
          <cell r="A226" t="str">
            <v>ANCASHSANTACOISHCO</v>
          </cell>
          <cell r="B226" t="str">
            <v>02</v>
          </cell>
          <cell r="C226" t="str">
            <v>18</v>
          </cell>
          <cell r="D226" t="str">
            <v>03</v>
          </cell>
          <cell r="E226" t="str">
            <v>ANCASH</v>
          </cell>
          <cell r="F226" t="str">
            <v>SANTA</v>
          </cell>
          <cell r="G226" t="str">
            <v>COISHCO</v>
          </cell>
          <cell r="H226" t="str">
            <v>010221</v>
          </cell>
          <cell r="I226" t="str">
            <v>2</v>
          </cell>
        </row>
        <row r="227">
          <cell r="A227" t="str">
            <v>ANCASHSANTAMACATE</v>
          </cell>
          <cell r="B227" t="str">
            <v>02</v>
          </cell>
          <cell r="C227" t="str">
            <v>18</v>
          </cell>
          <cell r="D227" t="str">
            <v>04</v>
          </cell>
          <cell r="E227" t="str">
            <v>ANCASH</v>
          </cell>
          <cell r="F227" t="str">
            <v>SANTA</v>
          </cell>
          <cell r="G227" t="str">
            <v>MACATE</v>
          </cell>
          <cell r="H227" t="str">
            <v>010224</v>
          </cell>
          <cell r="I227" t="str">
            <v>2</v>
          </cell>
        </row>
        <row r="228">
          <cell r="A228" t="str">
            <v>ANCASHSANTAMORO</v>
          </cell>
          <cell r="B228" t="str">
            <v>02</v>
          </cell>
          <cell r="C228" t="str">
            <v>18</v>
          </cell>
          <cell r="D228" t="str">
            <v>05</v>
          </cell>
          <cell r="E228" t="str">
            <v>ANCASH</v>
          </cell>
          <cell r="F228" t="str">
            <v>SANTA</v>
          </cell>
          <cell r="G228" t="str">
            <v>MORO</v>
          </cell>
          <cell r="H228" t="str">
            <v>010225</v>
          </cell>
          <cell r="I228" t="str">
            <v>2</v>
          </cell>
        </row>
        <row r="229">
          <cell r="A229" t="str">
            <v>ANCASHSANTANEPEÑA</v>
          </cell>
          <cell r="B229" t="str">
            <v>02</v>
          </cell>
          <cell r="C229" t="str">
            <v>18</v>
          </cell>
          <cell r="D229" t="str">
            <v>06</v>
          </cell>
          <cell r="E229" t="str">
            <v>ANCASH</v>
          </cell>
          <cell r="F229" t="str">
            <v>SANTA</v>
          </cell>
          <cell r="G229" t="str">
            <v>NEPEÑA</v>
          </cell>
          <cell r="H229" t="str">
            <v>010226</v>
          </cell>
          <cell r="I229" t="str">
            <v>2</v>
          </cell>
        </row>
        <row r="230">
          <cell r="A230" t="str">
            <v>ANCASHSANTASAMANCO</v>
          </cell>
          <cell r="B230" t="str">
            <v>02</v>
          </cell>
          <cell r="C230" t="str">
            <v>18</v>
          </cell>
          <cell r="D230" t="str">
            <v>07</v>
          </cell>
          <cell r="E230" t="str">
            <v>ANCASH</v>
          </cell>
          <cell r="F230" t="str">
            <v>SANTA</v>
          </cell>
          <cell r="G230" t="str">
            <v>SAMANCO</v>
          </cell>
          <cell r="H230" t="str">
            <v>010227</v>
          </cell>
          <cell r="I230" t="str">
            <v>2</v>
          </cell>
        </row>
        <row r="231">
          <cell r="A231" t="str">
            <v>ANCASHSANTASANTA</v>
          </cell>
          <cell r="B231" t="str">
            <v>02</v>
          </cell>
          <cell r="C231" t="str">
            <v>18</v>
          </cell>
          <cell r="D231" t="str">
            <v>08</v>
          </cell>
          <cell r="E231" t="str">
            <v>ANCASH</v>
          </cell>
          <cell r="F231" t="str">
            <v>SANTA</v>
          </cell>
          <cell r="G231" t="str">
            <v>SANTA</v>
          </cell>
          <cell r="H231" t="str">
            <v>010228</v>
          </cell>
          <cell r="I231" t="str">
            <v>2</v>
          </cell>
        </row>
        <row r="232">
          <cell r="A232" t="str">
            <v>ANCASHSANTANUEVO CHIMBOTE</v>
          </cell>
          <cell r="B232" t="str">
            <v>02</v>
          </cell>
          <cell r="C232" t="str">
            <v>18</v>
          </cell>
          <cell r="D232" t="str">
            <v>09</v>
          </cell>
          <cell r="E232" t="str">
            <v>ANCASH</v>
          </cell>
          <cell r="F232" t="str">
            <v>SANTA</v>
          </cell>
          <cell r="G232" t="str">
            <v>NUEVO CHIMBOTE</v>
          </cell>
          <cell r="H232" t="str">
            <v>011858</v>
          </cell>
          <cell r="I232" t="str">
            <v>2</v>
          </cell>
        </row>
        <row r="233">
          <cell r="A233" t="str">
            <v>ANCASHSIHUASSIHUAS</v>
          </cell>
          <cell r="B233" t="str">
            <v>02</v>
          </cell>
          <cell r="C233" t="str">
            <v>19</v>
          </cell>
          <cell r="D233" t="str">
            <v>01</v>
          </cell>
          <cell r="E233" t="str">
            <v>ANCASH</v>
          </cell>
          <cell r="F233" t="str">
            <v>SIHUAS</v>
          </cell>
          <cell r="G233" t="str">
            <v>SIHUAS</v>
          </cell>
          <cell r="H233" t="str">
            <v>010210</v>
          </cell>
          <cell r="I233" t="str">
            <v>1</v>
          </cell>
        </row>
        <row r="234">
          <cell r="A234" t="str">
            <v>ANCASHSIHUASACOBAMBA</v>
          </cell>
          <cell r="B234" t="str">
            <v>02</v>
          </cell>
          <cell r="C234" t="str">
            <v>19</v>
          </cell>
          <cell r="D234" t="str">
            <v>02</v>
          </cell>
          <cell r="E234" t="str">
            <v>ANCASH</v>
          </cell>
          <cell r="F234" t="str">
            <v>SIHUAS</v>
          </cell>
          <cell r="G234" t="str">
            <v>ACOBAMBA</v>
          </cell>
          <cell r="H234" t="str">
            <v>011895</v>
          </cell>
          <cell r="I234" t="str">
            <v>2</v>
          </cell>
        </row>
        <row r="235">
          <cell r="A235" t="str">
            <v>ANCASHSIHUASALFONSO UGARTE</v>
          </cell>
          <cell r="B235" t="str">
            <v>02</v>
          </cell>
          <cell r="C235" t="str">
            <v>19</v>
          </cell>
          <cell r="D235" t="str">
            <v>03</v>
          </cell>
          <cell r="E235" t="str">
            <v>ANCASH</v>
          </cell>
          <cell r="F235" t="str">
            <v>SIHUAS</v>
          </cell>
          <cell r="G235" t="str">
            <v>ALFONSO UGARTE</v>
          </cell>
          <cell r="H235" t="str">
            <v>010212</v>
          </cell>
          <cell r="I235" t="str">
            <v>2</v>
          </cell>
        </row>
        <row r="236">
          <cell r="A236" t="str">
            <v>ANCASHSIHUASCASHAPAMPA</v>
          </cell>
          <cell r="B236" t="str">
            <v>02</v>
          </cell>
          <cell r="C236" t="str">
            <v>19</v>
          </cell>
          <cell r="D236" t="str">
            <v>04</v>
          </cell>
          <cell r="E236" t="str">
            <v>ANCASH</v>
          </cell>
          <cell r="F236" t="str">
            <v>SIHUAS</v>
          </cell>
          <cell r="G236" t="str">
            <v>CASHAPAMPA</v>
          </cell>
          <cell r="H236" t="str">
            <v>010213</v>
          </cell>
          <cell r="I236" t="str">
            <v>2</v>
          </cell>
        </row>
        <row r="237">
          <cell r="A237" t="str">
            <v>ANCASHSIHUASCHINGALPO</v>
          </cell>
          <cell r="B237" t="str">
            <v>02</v>
          </cell>
          <cell r="C237" t="str">
            <v>19</v>
          </cell>
          <cell r="D237" t="str">
            <v>05</v>
          </cell>
          <cell r="E237" t="str">
            <v>ANCASH</v>
          </cell>
          <cell r="F237" t="str">
            <v>SIHUAS</v>
          </cell>
          <cell r="G237" t="str">
            <v>CHINGALPO</v>
          </cell>
          <cell r="H237" t="str">
            <v>010214</v>
          </cell>
          <cell r="I237" t="str">
            <v>2</v>
          </cell>
        </row>
        <row r="238">
          <cell r="A238" t="str">
            <v>ANCASHSIHUASHUAYLLABAMBA</v>
          </cell>
          <cell r="B238" t="str">
            <v>02</v>
          </cell>
          <cell r="C238" t="str">
            <v>19</v>
          </cell>
          <cell r="D238" t="str">
            <v>06</v>
          </cell>
          <cell r="E238" t="str">
            <v>ANCASH</v>
          </cell>
          <cell r="F238" t="str">
            <v>SIHUAS</v>
          </cell>
          <cell r="G238" t="str">
            <v>HUAYLLABAMBA</v>
          </cell>
          <cell r="H238" t="str">
            <v>011897</v>
          </cell>
          <cell r="I238" t="str">
            <v>2</v>
          </cell>
        </row>
        <row r="239">
          <cell r="A239" t="str">
            <v>ANCASHSIHUASQUICHES</v>
          </cell>
          <cell r="B239" t="str">
            <v>02</v>
          </cell>
          <cell r="C239" t="str">
            <v>19</v>
          </cell>
          <cell r="D239" t="str">
            <v>07</v>
          </cell>
          <cell r="E239" t="str">
            <v>ANCASH</v>
          </cell>
          <cell r="F239" t="str">
            <v>SIHUAS</v>
          </cell>
          <cell r="G239" t="str">
            <v>QUICHES</v>
          </cell>
          <cell r="H239" t="str">
            <v>010216</v>
          </cell>
          <cell r="I239" t="str">
            <v>2</v>
          </cell>
        </row>
        <row r="240">
          <cell r="A240" t="str">
            <v>ANCASHSIHUASRAGASH</v>
          </cell>
          <cell r="B240" t="str">
            <v>02</v>
          </cell>
          <cell r="C240" t="str">
            <v>19</v>
          </cell>
          <cell r="D240" t="str">
            <v>08</v>
          </cell>
          <cell r="E240" t="str">
            <v>ANCASH</v>
          </cell>
          <cell r="F240" t="str">
            <v>SIHUAS</v>
          </cell>
          <cell r="G240" t="str">
            <v>RAGASH</v>
          </cell>
          <cell r="H240" t="str">
            <v>010217</v>
          </cell>
          <cell r="I240" t="str">
            <v>2</v>
          </cell>
        </row>
        <row r="241">
          <cell r="A241" t="str">
            <v>ANCASHSIHUASSAN JUAN</v>
          </cell>
          <cell r="B241" t="str">
            <v>02</v>
          </cell>
          <cell r="C241" t="str">
            <v>19</v>
          </cell>
          <cell r="D241" t="str">
            <v>09</v>
          </cell>
          <cell r="E241" t="str">
            <v>ANCASH</v>
          </cell>
          <cell r="F241" t="str">
            <v>SIHUAS</v>
          </cell>
          <cell r="G241" t="str">
            <v>SAN JUAN</v>
          </cell>
          <cell r="H241" t="str">
            <v>010218</v>
          </cell>
          <cell r="I241" t="str">
            <v>2</v>
          </cell>
        </row>
        <row r="242">
          <cell r="A242" t="str">
            <v>ANCASHSIHUASSICSIBAMBA</v>
          </cell>
          <cell r="B242" t="str">
            <v>02</v>
          </cell>
          <cell r="C242" t="str">
            <v>19</v>
          </cell>
          <cell r="D242" t="str">
            <v>10</v>
          </cell>
          <cell r="E242" t="str">
            <v>ANCASH</v>
          </cell>
          <cell r="F242" t="str">
            <v>SIHUAS</v>
          </cell>
          <cell r="G242" t="str">
            <v>SICSIBAMBA</v>
          </cell>
          <cell r="H242" t="str">
            <v>011901</v>
          </cell>
          <cell r="I242" t="str">
            <v>2</v>
          </cell>
        </row>
        <row r="243">
          <cell r="A243" t="str">
            <v>ANCASHYUNGAYYUNGAY</v>
          </cell>
          <cell r="B243" t="str">
            <v>02</v>
          </cell>
          <cell r="C243" t="str">
            <v>20</v>
          </cell>
          <cell r="D243" t="str">
            <v>01</v>
          </cell>
          <cell r="E243" t="str">
            <v>ANCASH</v>
          </cell>
          <cell r="F243" t="str">
            <v>YUNGAY</v>
          </cell>
          <cell r="G243" t="str">
            <v>YUNGAY</v>
          </cell>
          <cell r="H243" t="str">
            <v>010157</v>
          </cell>
          <cell r="I243" t="str">
            <v>1</v>
          </cell>
        </row>
        <row r="244">
          <cell r="A244" t="str">
            <v>ANCASHYUNGAYCASCAPARA</v>
          </cell>
          <cell r="B244" t="str">
            <v>02</v>
          </cell>
          <cell r="C244" t="str">
            <v>20</v>
          </cell>
          <cell r="D244" t="str">
            <v>02</v>
          </cell>
          <cell r="E244" t="str">
            <v>ANCASH</v>
          </cell>
          <cell r="F244" t="str">
            <v>YUNGAY</v>
          </cell>
          <cell r="G244" t="str">
            <v>CASCAPARA</v>
          </cell>
          <cell r="H244" t="str">
            <v>010158</v>
          </cell>
          <cell r="I244" t="str">
            <v>2</v>
          </cell>
        </row>
        <row r="245">
          <cell r="A245" t="str">
            <v>ANCASHYUNGAYMANCOS</v>
          </cell>
          <cell r="B245" t="str">
            <v>02</v>
          </cell>
          <cell r="C245" t="str">
            <v>20</v>
          </cell>
          <cell r="D245" t="str">
            <v>03</v>
          </cell>
          <cell r="E245" t="str">
            <v>ANCASH</v>
          </cell>
          <cell r="F245" t="str">
            <v>YUNGAY</v>
          </cell>
          <cell r="G245" t="str">
            <v>MANCOS</v>
          </cell>
          <cell r="H245" t="str">
            <v>010159</v>
          </cell>
          <cell r="I245" t="str">
            <v>2</v>
          </cell>
        </row>
        <row r="246">
          <cell r="A246" t="str">
            <v>ANCASHYUNGAYMATACOTO</v>
          </cell>
          <cell r="B246" t="str">
            <v>02</v>
          </cell>
          <cell r="C246" t="str">
            <v>20</v>
          </cell>
          <cell r="D246" t="str">
            <v>04</v>
          </cell>
          <cell r="E246" t="str">
            <v>ANCASH</v>
          </cell>
          <cell r="F246" t="str">
            <v>YUNGAY</v>
          </cell>
          <cell r="G246" t="str">
            <v>MATACOTO</v>
          </cell>
          <cell r="H246" t="str">
            <v>010160</v>
          </cell>
          <cell r="I246" t="str">
            <v>2</v>
          </cell>
        </row>
        <row r="247">
          <cell r="A247" t="str">
            <v>ANCASHYUNGAYQUILLO</v>
          </cell>
          <cell r="B247" t="str">
            <v>02</v>
          </cell>
          <cell r="C247" t="str">
            <v>20</v>
          </cell>
          <cell r="D247" t="str">
            <v>05</v>
          </cell>
          <cell r="E247" t="str">
            <v>ANCASH</v>
          </cell>
          <cell r="F247" t="str">
            <v>YUNGAY</v>
          </cell>
          <cell r="G247" t="str">
            <v>QUILLO</v>
          </cell>
          <cell r="H247" t="str">
            <v>011864</v>
          </cell>
          <cell r="I247" t="str">
            <v>2</v>
          </cell>
        </row>
        <row r="248">
          <cell r="A248" t="str">
            <v>ANCASHYUNGAYRANRAHIRCA</v>
          </cell>
          <cell r="B248" t="str">
            <v>02</v>
          </cell>
          <cell r="C248" t="str">
            <v>20</v>
          </cell>
          <cell r="D248" t="str">
            <v>06</v>
          </cell>
          <cell r="E248" t="str">
            <v>ANCASH</v>
          </cell>
          <cell r="F248" t="str">
            <v>YUNGAY</v>
          </cell>
          <cell r="G248" t="str">
            <v>RANRAHIRCA</v>
          </cell>
          <cell r="H248" t="str">
            <v>010161</v>
          </cell>
          <cell r="I248" t="str">
            <v>2</v>
          </cell>
        </row>
        <row r="249">
          <cell r="A249" t="str">
            <v>ANCASHYUNGAYSHUPLUY</v>
          </cell>
          <cell r="B249" t="str">
            <v>02</v>
          </cell>
          <cell r="C249" t="str">
            <v>20</v>
          </cell>
          <cell r="D249" t="str">
            <v>07</v>
          </cell>
          <cell r="E249" t="str">
            <v>ANCASH</v>
          </cell>
          <cell r="F249" t="str">
            <v>YUNGAY</v>
          </cell>
          <cell r="G249" t="str">
            <v>SHUPLUY</v>
          </cell>
          <cell r="H249" t="str">
            <v>010162</v>
          </cell>
          <cell r="I249" t="str">
            <v>2</v>
          </cell>
        </row>
        <row r="250">
          <cell r="A250" t="str">
            <v>ANCASHYUNGAYYANAMA</v>
          </cell>
          <cell r="B250" t="str">
            <v>02</v>
          </cell>
          <cell r="C250" t="str">
            <v>20</v>
          </cell>
          <cell r="D250" t="str">
            <v>08</v>
          </cell>
          <cell r="E250" t="str">
            <v>ANCASH</v>
          </cell>
          <cell r="F250" t="str">
            <v>YUNGAY</v>
          </cell>
          <cell r="G250" t="str">
            <v>YANAMA</v>
          </cell>
          <cell r="H250" t="str">
            <v>010163</v>
          </cell>
          <cell r="I250" t="str">
            <v>2</v>
          </cell>
        </row>
        <row r="251">
          <cell r="A251" t="str">
            <v>APURIMACABANCAYABANCAY</v>
          </cell>
          <cell r="B251" t="str">
            <v>03</v>
          </cell>
          <cell r="C251" t="str">
            <v>01</v>
          </cell>
          <cell r="D251" t="str">
            <v>01</v>
          </cell>
          <cell r="E251" t="str">
            <v>APURIMAC</v>
          </cell>
          <cell r="F251" t="str">
            <v>ABANCAY</v>
          </cell>
          <cell r="G251" t="str">
            <v>ABANCAY</v>
          </cell>
          <cell r="H251" t="str">
            <v>010251</v>
          </cell>
          <cell r="I251" t="str">
            <v>1</v>
          </cell>
        </row>
        <row r="252">
          <cell r="A252" t="str">
            <v>APURIMACABANCAYCHACOCHE</v>
          </cell>
          <cell r="B252" t="str">
            <v>03</v>
          </cell>
          <cell r="C252" t="str">
            <v>01</v>
          </cell>
          <cell r="D252" t="str">
            <v>02</v>
          </cell>
          <cell r="E252" t="str">
            <v>APURIMAC</v>
          </cell>
          <cell r="F252" t="str">
            <v>ABANCAY</v>
          </cell>
          <cell r="G252" t="str">
            <v>CHACOCHE</v>
          </cell>
          <cell r="H252" t="str">
            <v>010252</v>
          </cell>
          <cell r="I252" t="str">
            <v>2</v>
          </cell>
        </row>
        <row r="253">
          <cell r="A253" t="str">
            <v>APURIMACABANCAYCIRCA</v>
          </cell>
          <cell r="B253" t="str">
            <v>03</v>
          </cell>
          <cell r="C253" t="str">
            <v>01</v>
          </cell>
          <cell r="D253" t="str">
            <v>03</v>
          </cell>
          <cell r="E253" t="str">
            <v>APURIMAC</v>
          </cell>
          <cell r="F253" t="str">
            <v>ABANCAY</v>
          </cell>
          <cell r="G253" t="str">
            <v>CIRCA</v>
          </cell>
          <cell r="H253" t="str">
            <v>011909</v>
          </cell>
          <cell r="I253" t="str">
            <v>2</v>
          </cell>
        </row>
        <row r="254">
          <cell r="A254" t="str">
            <v>APURIMACABANCAYCURAHUASI</v>
          </cell>
          <cell r="B254" t="str">
            <v>03</v>
          </cell>
          <cell r="C254" t="str">
            <v>01</v>
          </cell>
          <cell r="D254" t="str">
            <v>04</v>
          </cell>
          <cell r="E254" t="str">
            <v>APURIMAC</v>
          </cell>
          <cell r="F254" t="str">
            <v>ABANCAY</v>
          </cell>
          <cell r="G254" t="str">
            <v>CURAHUASI</v>
          </cell>
          <cell r="H254" t="str">
            <v>010254</v>
          </cell>
          <cell r="I254" t="str">
            <v>2</v>
          </cell>
        </row>
        <row r="255">
          <cell r="A255" t="str">
            <v>APURIMACABANCAYHUANIPACA</v>
          </cell>
          <cell r="B255" t="str">
            <v>03</v>
          </cell>
          <cell r="C255" t="str">
            <v>01</v>
          </cell>
          <cell r="D255" t="str">
            <v>05</v>
          </cell>
          <cell r="E255" t="str">
            <v>APURIMAC</v>
          </cell>
          <cell r="F255" t="str">
            <v>ABANCAY</v>
          </cell>
          <cell r="G255" t="str">
            <v>HUANIPACA</v>
          </cell>
          <cell r="H255" t="str">
            <v>011913</v>
          </cell>
          <cell r="I255" t="str">
            <v>2</v>
          </cell>
        </row>
        <row r="256">
          <cell r="A256" t="str">
            <v>APURIMACABANCAYLAMBRAMA</v>
          </cell>
          <cell r="B256" t="str">
            <v>03</v>
          </cell>
          <cell r="C256" t="str">
            <v>01</v>
          </cell>
          <cell r="D256" t="str">
            <v>06</v>
          </cell>
          <cell r="E256" t="str">
            <v>APURIMAC</v>
          </cell>
          <cell r="F256" t="str">
            <v>ABANCAY</v>
          </cell>
          <cell r="G256" t="str">
            <v>LAMBRAMA</v>
          </cell>
          <cell r="H256" t="str">
            <v>010256</v>
          </cell>
          <cell r="I256" t="str">
            <v>2</v>
          </cell>
        </row>
        <row r="257">
          <cell r="A257" t="str">
            <v>APURIMACABANCAYPICHIRHUA</v>
          </cell>
          <cell r="B257" t="str">
            <v>03</v>
          </cell>
          <cell r="C257" t="str">
            <v>01</v>
          </cell>
          <cell r="D257" t="str">
            <v>07</v>
          </cell>
          <cell r="E257" t="str">
            <v>APURIMAC</v>
          </cell>
          <cell r="F257" t="str">
            <v>ABANCAY</v>
          </cell>
          <cell r="G257" t="str">
            <v>PICHIRHUA</v>
          </cell>
          <cell r="H257" t="str">
            <v>010257</v>
          </cell>
          <cell r="I257" t="str">
            <v>2</v>
          </cell>
        </row>
        <row r="258">
          <cell r="A258" t="str">
            <v>APURIMACABANCAYSAN PEDRO DE CACHORA</v>
          </cell>
          <cell r="B258" t="str">
            <v>03</v>
          </cell>
          <cell r="C258" t="str">
            <v>01</v>
          </cell>
          <cell r="D258" t="str">
            <v>08</v>
          </cell>
          <cell r="E258" t="str">
            <v>APURIMAC</v>
          </cell>
          <cell r="F258" t="str">
            <v>ABANCAY</v>
          </cell>
          <cell r="G258" t="str">
            <v>SAN PEDRO DE CACHORA</v>
          </cell>
          <cell r="H258" t="str">
            <v>010258</v>
          </cell>
          <cell r="I258" t="str">
            <v>2</v>
          </cell>
        </row>
        <row r="259">
          <cell r="A259" t="str">
            <v>APURIMACABANCAYTAMBURCO</v>
          </cell>
          <cell r="B259" t="str">
            <v>03</v>
          </cell>
          <cell r="C259" t="str">
            <v>01</v>
          </cell>
          <cell r="D259" t="str">
            <v>09</v>
          </cell>
          <cell r="E259" t="str">
            <v>APURIMAC</v>
          </cell>
          <cell r="F259" t="str">
            <v>ABANCAY</v>
          </cell>
          <cell r="G259" t="str">
            <v>TAMBURCO</v>
          </cell>
          <cell r="H259" t="str">
            <v>010259</v>
          </cell>
          <cell r="I259" t="str">
            <v>2</v>
          </cell>
        </row>
        <row r="260">
          <cell r="A260" t="str">
            <v>APURIMACANDAHUAYLASANDAHUAYLAS</v>
          </cell>
          <cell r="B260" t="str">
            <v>03</v>
          </cell>
          <cell r="C260" t="str">
            <v>02</v>
          </cell>
          <cell r="D260" t="str">
            <v>01</v>
          </cell>
          <cell r="E260" t="str">
            <v>APURIMAC</v>
          </cell>
          <cell r="F260" t="str">
            <v>ANDAHUAYLAS</v>
          </cell>
          <cell r="G260" t="str">
            <v>ANDAHUAYLAS</v>
          </cell>
          <cell r="H260" t="str">
            <v>010271</v>
          </cell>
          <cell r="I260" t="str">
            <v>1</v>
          </cell>
        </row>
        <row r="261">
          <cell r="A261" t="str">
            <v>APURIMACANDAHUAYLASANDARAPA</v>
          </cell>
          <cell r="B261" t="str">
            <v>03</v>
          </cell>
          <cell r="C261" t="str">
            <v>02</v>
          </cell>
          <cell r="D261" t="str">
            <v>02</v>
          </cell>
          <cell r="E261" t="str">
            <v>APURIMAC</v>
          </cell>
          <cell r="F261" t="str">
            <v>ANDAHUAYLAS</v>
          </cell>
          <cell r="G261" t="str">
            <v>ANDARAPA</v>
          </cell>
          <cell r="H261" t="str">
            <v>010279</v>
          </cell>
          <cell r="I261" t="str">
            <v>2</v>
          </cell>
        </row>
        <row r="262">
          <cell r="A262" t="str">
            <v>APURIMACANDAHUAYLASCHIARA</v>
          </cell>
          <cell r="B262" t="str">
            <v>03</v>
          </cell>
          <cell r="C262" t="str">
            <v>02</v>
          </cell>
          <cell r="D262" t="str">
            <v>03</v>
          </cell>
          <cell r="E262" t="str">
            <v>APURIMAC</v>
          </cell>
          <cell r="F262" t="str">
            <v>ANDAHUAYLAS</v>
          </cell>
          <cell r="G262" t="str">
            <v>CHIARA</v>
          </cell>
          <cell r="H262" t="str">
            <v>010272</v>
          </cell>
          <cell r="I262" t="str">
            <v>2</v>
          </cell>
        </row>
        <row r="263">
          <cell r="A263" t="str">
            <v>APURIMACANDAHUAYLASHUANCARAMA</v>
          </cell>
          <cell r="B263" t="str">
            <v>03</v>
          </cell>
          <cell r="C263" t="str">
            <v>02</v>
          </cell>
          <cell r="D263" t="str">
            <v>04</v>
          </cell>
          <cell r="E263" t="str">
            <v>APURIMAC</v>
          </cell>
          <cell r="F263" t="str">
            <v>ANDAHUAYLAS</v>
          </cell>
          <cell r="G263" t="str">
            <v>HUANCARAMA</v>
          </cell>
          <cell r="H263" t="str">
            <v>010280</v>
          </cell>
          <cell r="I263" t="str">
            <v>2</v>
          </cell>
        </row>
        <row r="264">
          <cell r="A264" t="str">
            <v>APURIMACANDAHUAYLASHUANCARAY</v>
          </cell>
          <cell r="B264" t="str">
            <v>03</v>
          </cell>
          <cell r="C264" t="str">
            <v>02</v>
          </cell>
          <cell r="D264" t="str">
            <v>05</v>
          </cell>
          <cell r="E264" t="str">
            <v>APURIMAC</v>
          </cell>
          <cell r="F264" t="str">
            <v>ANDAHUAYLAS</v>
          </cell>
          <cell r="G264" t="str">
            <v>HUANCARAY</v>
          </cell>
          <cell r="H264" t="str">
            <v>010273</v>
          </cell>
          <cell r="I264" t="str">
            <v>2</v>
          </cell>
        </row>
        <row r="265">
          <cell r="A265" t="str">
            <v>APURIMACANDAHUAYLASHUAYANA</v>
          </cell>
          <cell r="B265" t="str">
            <v>03</v>
          </cell>
          <cell r="C265" t="str">
            <v>02</v>
          </cell>
          <cell r="D265" t="str">
            <v>06</v>
          </cell>
          <cell r="E265" t="str">
            <v>APURIMAC</v>
          </cell>
          <cell r="F265" t="str">
            <v>ANDAHUAYLAS</v>
          </cell>
          <cell r="G265" t="str">
            <v>HUAYANA</v>
          </cell>
          <cell r="H265" t="str">
            <v>010285</v>
          </cell>
          <cell r="I265" t="str">
            <v>2</v>
          </cell>
        </row>
        <row r="266">
          <cell r="A266" t="str">
            <v>APURIMACANDAHUAYLASKISHUARA</v>
          </cell>
          <cell r="B266" t="str">
            <v>03</v>
          </cell>
          <cell r="C266" t="str">
            <v>02</v>
          </cell>
          <cell r="D266" t="str">
            <v>07</v>
          </cell>
          <cell r="E266" t="str">
            <v>APURIMAC</v>
          </cell>
          <cell r="F266" t="str">
            <v>ANDAHUAYLAS</v>
          </cell>
          <cell r="G266" t="str">
            <v>KISHUARA</v>
          </cell>
          <cell r="H266" t="str">
            <v>010281</v>
          </cell>
          <cell r="I266" t="str">
            <v>2</v>
          </cell>
        </row>
        <row r="267">
          <cell r="A267" t="str">
            <v>APURIMACANDAHUAYLASPACOBAMBA</v>
          </cell>
          <cell r="B267" t="str">
            <v>03</v>
          </cell>
          <cell r="C267" t="str">
            <v>02</v>
          </cell>
          <cell r="D267" t="str">
            <v>08</v>
          </cell>
          <cell r="E267" t="str">
            <v>APURIMAC</v>
          </cell>
          <cell r="F267" t="str">
            <v>ANDAHUAYLAS</v>
          </cell>
          <cell r="G267" t="str">
            <v>PACOBAMBA</v>
          </cell>
          <cell r="H267" t="str">
            <v>010282</v>
          </cell>
          <cell r="I267" t="str">
            <v>2</v>
          </cell>
        </row>
        <row r="268">
          <cell r="A268" t="str">
            <v>APURIMACANDAHUAYLASPACUCHA</v>
          </cell>
          <cell r="B268" t="str">
            <v>03</v>
          </cell>
          <cell r="C268" t="str">
            <v>02</v>
          </cell>
          <cell r="D268" t="str">
            <v>09</v>
          </cell>
          <cell r="E268" t="str">
            <v>APURIMAC</v>
          </cell>
          <cell r="F268" t="str">
            <v>ANDAHUAYLAS</v>
          </cell>
          <cell r="G268" t="str">
            <v>PACUCHA</v>
          </cell>
          <cell r="H268" t="str">
            <v>010283</v>
          </cell>
          <cell r="I268" t="str">
            <v>2</v>
          </cell>
        </row>
        <row r="269">
          <cell r="A269" t="str">
            <v>APURIMACANDAHUAYLASPAMPACHIRI</v>
          </cell>
          <cell r="B269" t="str">
            <v>03</v>
          </cell>
          <cell r="C269" t="str">
            <v>02</v>
          </cell>
          <cell r="D269" t="str">
            <v>10</v>
          </cell>
          <cell r="E269" t="str">
            <v>APURIMAC</v>
          </cell>
          <cell r="F269" t="str">
            <v>ANDAHUAYLAS</v>
          </cell>
          <cell r="G269" t="str">
            <v>PAMPACHIRI</v>
          </cell>
          <cell r="H269" t="str">
            <v>010286</v>
          </cell>
          <cell r="I269" t="str">
            <v>2</v>
          </cell>
        </row>
        <row r="270">
          <cell r="A270" t="str">
            <v>APURIMACANDAHUAYLASPOMACOCHA</v>
          </cell>
          <cell r="B270" t="str">
            <v>03</v>
          </cell>
          <cell r="C270" t="str">
            <v>02</v>
          </cell>
          <cell r="D270" t="str">
            <v>11</v>
          </cell>
          <cell r="E270" t="str">
            <v>APURIMAC</v>
          </cell>
          <cell r="F270" t="str">
            <v>ANDAHUAYLAS</v>
          </cell>
          <cell r="G270" t="str">
            <v>POMACOCHA</v>
          </cell>
          <cell r="H270" t="str">
            <v>010287</v>
          </cell>
          <cell r="I270" t="str">
            <v>2</v>
          </cell>
        </row>
        <row r="271">
          <cell r="A271" t="str">
            <v>APURIMACANDAHUAYLASSAN ANTONIO DE CACHI</v>
          </cell>
          <cell r="B271" t="str">
            <v>03</v>
          </cell>
          <cell r="C271" t="str">
            <v>02</v>
          </cell>
          <cell r="D271" t="str">
            <v>12</v>
          </cell>
          <cell r="E271" t="str">
            <v>APURIMAC</v>
          </cell>
          <cell r="F271" t="str">
            <v>ANDAHUAYLAS</v>
          </cell>
          <cell r="G271" t="str">
            <v>SAN ANTONIO DE CACHI</v>
          </cell>
          <cell r="H271" t="str">
            <v>010274</v>
          </cell>
          <cell r="I271" t="str">
            <v>2</v>
          </cell>
        </row>
        <row r="272">
          <cell r="A272" t="str">
            <v>APURIMACANDAHUAYLASSAN JERONIMO</v>
          </cell>
          <cell r="B272" t="str">
            <v>03</v>
          </cell>
          <cell r="C272" t="str">
            <v>02</v>
          </cell>
          <cell r="D272" t="str">
            <v>13</v>
          </cell>
          <cell r="E272" t="str">
            <v>APURIMAC</v>
          </cell>
          <cell r="F272" t="str">
            <v>ANDAHUAYLAS</v>
          </cell>
          <cell r="G272" t="str">
            <v>SAN JERONIMO</v>
          </cell>
          <cell r="H272" t="str">
            <v>010275</v>
          </cell>
          <cell r="I272" t="str">
            <v>2</v>
          </cell>
        </row>
        <row r="273">
          <cell r="A273" t="str">
            <v>APURIMACANDAHUAYLASSAN MIGUEL DE CHACCRAMPA</v>
          </cell>
          <cell r="B273" t="str">
            <v>03</v>
          </cell>
          <cell r="C273" t="str">
            <v>02</v>
          </cell>
          <cell r="D273" t="str">
            <v>14</v>
          </cell>
          <cell r="E273" t="str">
            <v>APURIMAC</v>
          </cell>
          <cell r="F273" t="str">
            <v>ANDAHUAYLAS</v>
          </cell>
          <cell r="G273" t="str">
            <v>SAN MIGUEL DE CHACCRAMPA</v>
          </cell>
          <cell r="H273" t="str">
            <v>010288</v>
          </cell>
          <cell r="I273" t="str">
            <v>2</v>
          </cell>
        </row>
        <row r="274">
          <cell r="A274" t="str">
            <v>APURIMACANDAHUAYLASSANTA MARIA DE CHICMO</v>
          </cell>
          <cell r="B274" t="str">
            <v>03</v>
          </cell>
          <cell r="C274" t="str">
            <v>02</v>
          </cell>
          <cell r="D274" t="str">
            <v>15</v>
          </cell>
          <cell r="E274" t="str">
            <v>APURIMAC</v>
          </cell>
          <cell r="F274" t="str">
            <v>ANDAHUAYLAS</v>
          </cell>
          <cell r="G274" t="str">
            <v>SANTA MARIA DE CHICMO</v>
          </cell>
          <cell r="H274" t="str">
            <v>010276</v>
          </cell>
          <cell r="I274" t="str">
            <v>2</v>
          </cell>
        </row>
        <row r="275">
          <cell r="A275" t="str">
            <v>APURIMACANDAHUAYLASTALAVERA</v>
          </cell>
          <cell r="B275" t="str">
            <v>03</v>
          </cell>
          <cell r="C275" t="str">
            <v>02</v>
          </cell>
          <cell r="D275" t="str">
            <v>16</v>
          </cell>
          <cell r="E275" t="str">
            <v>APURIMAC</v>
          </cell>
          <cell r="F275" t="str">
            <v>ANDAHUAYLAS</v>
          </cell>
          <cell r="G275" t="str">
            <v>TALAVERA</v>
          </cell>
          <cell r="H275" t="str">
            <v>010277</v>
          </cell>
          <cell r="I275" t="str">
            <v>2</v>
          </cell>
        </row>
        <row r="276">
          <cell r="A276" t="str">
            <v>APURIMACANDAHUAYLASTUMAY HUARACA</v>
          </cell>
          <cell r="B276" t="str">
            <v>03</v>
          </cell>
          <cell r="C276" t="str">
            <v>02</v>
          </cell>
          <cell r="D276" t="str">
            <v>17</v>
          </cell>
          <cell r="E276" t="str">
            <v>APURIMAC</v>
          </cell>
          <cell r="F276" t="str">
            <v>ANDAHUAYLAS</v>
          </cell>
          <cell r="G276" t="str">
            <v>TUMAY HUARACA</v>
          </cell>
          <cell r="H276" t="str">
            <v>010289</v>
          </cell>
          <cell r="I276" t="str">
            <v>2</v>
          </cell>
        </row>
        <row r="277">
          <cell r="A277" t="str">
            <v>APURIMACANDAHUAYLASTURPO</v>
          </cell>
          <cell r="B277" t="str">
            <v>03</v>
          </cell>
          <cell r="C277" t="str">
            <v>02</v>
          </cell>
          <cell r="D277" t="str">
            <v>18</v>
          </cell>
          <cell r="E277" t="str">
            <v>APURIMAC</v>
          </cell>
          <cell r="F277" t="str">
            <v>ANDAHUAYLAS</v>
          </cell>
          <cell r="G277" t="str">
            <v>TURPO</v>
          </cell>
          <cell r="H277" t="str">
            <v>010278</v>
          </cell>
          <cell r="I277" t="str">
            <v>2</v>
          </cell>
        </row>
        <row r="278">
          <cell r="A278" t="str">
            <v>APURIMACANDAHUAYLASKAQUIABAMBA</v>
          </cell>
          <cell r="B278" t="str">
            <v>03</v>
          </cell>
          <cell r="C278" t="str">
            <v>02</v>
          </cell>
          <cell r="D278" t="str">
            <v>19</v>
          </cell>
          <cell r="E278" t="str">
            <v>APURIMAC</v>
          </cell>
          <cell r="F278" t="str">
            <v>ANDAHUAYLAS</v>
          </cell>
          <cell r="G278" t="str">
            <v>KAQUIABAMBA</v>
          </cell>
          <cell r="H278" t="str">
            <v>011931</v>
          </cell>
          <cell r="I278" t="str">
            <v>2</v>
          </cell>
        </row>
        <row r="279">
          <cell r="A279" t="str">
            <v>APURIMACANTABAMBAANTABAMBA</v>
          </cell>
          <cell r="B279" t="str">
            <v>03</v>
          </cell>
          <cell r="C279" t="str">
            <v>03</v>
          </cell>
          <cell r="D279" t="str">
            <v>01</v>
          </cell>
          <cell r="E279" t="str">
            <v>APURIMAC</v>
          </cell>
          <cell r="F279" t="str">
            <v>ANTABAMBA</v>
          </cell>
          <cell r="G279" t="str">
            <v>ANTABAMBA</v>
          </cell>
          <cell r="H279" t="str">
            <v>010290</v>
          </cell>
          <cell r="I279" t="str">
            <v>1</v>
          </cell>
        </row>
        <row r="280">
          <cell r="A280" t="str">
            <v>APURIMACANTABAMBAEL ORO</v>
          </cell>
          <cell r="B280" t="str">
            <v>03</v>
          </cell>
          <cell r="C280" t="str">
            <v>03</v>
          </cell>
          <cell r="D280" t="str">
            <v>02</v>
          </cell>
          <cell r="E280" t="str">
            <v>APURIMAC</v>
          </cell>
          <cell r="F280" t="str">
            <v>ANTABAMBA</v>
          </cell>
          <cell r="G280" t="str">
            <v>EL ORO</v>
          </cell>
          <cell r="H280" t="str">
            <v>010265</v>
          </cell>
          <cell r="I280" t="str">
            <v>2</v>
          </cell>
        </row>
        <row r="281">
          <cell r="A281" t="str">
            <v>APURIMACANTABAMBAHUAQUIRCA</v>
          </cell>
          <cell r="B281" t="str">
            <v>03</v>
          </cell>
          <cell r="C281" t="str">
            <v>03</v>
          </cell>
          <cell r="D281" t="str">
            <v>03</v>
          </cell>
          <cell r="E281" t="str">
            <v>APURIMAC</v>
          </cell>
          <cell r="F281" t="str">
            <v>ANTABAMBA</v>
          </cell>
          <cell r="G281" t="str">
            <v>HUAQUIRCA</v>
          </cell>
          <cell r="H281" t="str">
            <v>010291</v>
          </cell>
          <cell r="I281" t="str">
            <v>2</v>
          </cell>
        </row>
        <row r="282">
          <cell r="A282" t="str">
            <v>APURIMACANTABAMBAJUAN ESPINOZA MEDRANO</v>
          </cell>
          <cell r="B282" t="str">
            <v>03</v>
          </cell>
          <cell r="C282" t="str">
            <v>03</v>
          </cell>
          <cell r="D282" t="str">
            <v>04</v>
          </cell>
          <cell r="E282" t="str">
            <v>APURIMAC</v>
          </cell>
          <cell r="F282" t="str">
            <v>ANTABAMBA</v>
          </cell>
          <cell r="G282" t="str">
            <v>JUAN ESPINOZA MEDRANO</v>
          </cell>
          <cell r="H282" t="str">
            <v>010292</v>
          </cell>
          <cell r="I282" t="str">
            <v>2</v>
          </cell>
        </row>
        <row r="283">
          <cell r="A283" t="str">
            <v>APURIMACANTABAMBAOROPESA</v>
          </cell>
          <cell r="B283" t="str">
            <v>03</v>
          </cell>
          <cell r="C283" t="str">
            <v>03</v>
          </cell>
          <cell r="D283" t="str">
            <v>05</v>
          </cell>
          <cell r="E283" t="str">
            <v>APURIMAC</v>
          </cell>
          <cell r="F283" t="str">
            <v>ANTABAMBA</v>
          </cell>
          <cell r="G283" t="str">
            <v>OROPESA</v>
          </cell>
          <cell r="H283" t="str">
            <v>010323</v>
          </cell>
          <cell r="I283" t="str">
            <v>2</v>
          </cell>
        </row>
        <row r="284">
          <cell r="A284" t="str">
            <v>APURIMACANTABAMBAPACHACONAS</v>
          </cell>
          <cell r="B284" t="str">
            <v>03</v>
          </cell>
          <cell r="C284" t="str">
            <v>03</v>
          </cell>
          <cell r="D284" t="str">
            <v>06</v>
          </cell>
          <cell r="E284" t="str">
            <v>APURIMAC</v>
          </cell>
          <cell r="F284" t="str">
            <v>ANTABAMBA</v>
          </cell>
          <cell r="G284" t="str">
            <v>PACHACONAS</v>
          </cell>
          <cell r="H284" t="str">
            <v>010266</v>
          </cell>
          <cell r="I284" t="str">
            <v>2</v>
          </cell>
        </row>
        <row r="285">
          <cell r="A285" t="str">
            <v>APURIMACANTABAMBASABAINO</v>
          </cell>
          <cell r="B285" t="str">
            <v>03</v>
          </cell>
          <cell r="C285" t="str">
            <v>03</v>
          </cell>
          <cell r="D285" t="str">
            <v>07</v>
          </cell>
          <cell r="E285" t="str">
            <v>APURIMAC</v>
          </cell>
          <cell r="F285" t="str">
            <v>ANTABAMBA</v>
          </cell>
          <cell r="G285" t="str">
            <v>SABAINO</v>
          </cell>
          <cell r="H285" t="str">
            <v>010293</v>
          </cell>
          <cell r="I285" t="str">
            <v>2</v>
          </cell>
        </row>
        <row r="286">
          <cell r="A286" t="str">
            <v>APURIMACAYMARAESCHALHUANCA</v>
          </cell>
          <cell r="B286" t="str">
            <v>03</v>
          </cell>
          <cell r="C286" t="str">
            <v>04</v>
          </cell>
          <cell r="D286" t="str">
            <v>01</v>
          </cell>
          <cell r="E286" t="str">
            <v>APURIMAC</v>
          </cell>
          <cell r="F286" t="str">
            <v>AYMARAES</v>
          </cell>
          <cell r="G286" t="str">
            <v>CHALHUANCA</v>
          </cell>
          <cell r="H286" t="str">
            <v>010294</v>
          </cell>
          <cell r="I286" t="str">
            <v>1</v>
          </cell>
        </row>
        <row r="287">
          <cell r="A287" t="str">
            <v>APURIMACAYMARAESCAPAYA</v>
          </cell>
          <cell r="B287" t="str">
            <v>03</v>
          </cell>
          <cell r="C287" t="str">
            <v>04</v>
          </cell>
          <cell r="D287" t="str">
            <v>02</v>
          </cell>
          <cell r="E287" t="str">
            <v>APURIMAC</v>
          </cell>
          <cell r="F287" t="str">
            <v>AYMARAES</v>
          </cell>
          <cell r="G287" t="str">
            <v>CAPAYA</v>
          </cell>
          <cell r="H287" t="str">
            <v>010295</v>
          </cell>
          <cell r="I287" t="str">
            <v>2</v>
          </cell>
        </row>
        <row r="288">
          <cell r="A288" t="str">
            <v>APURIMACAYMARAESCARAYBAMBA</v>
          </cell>
          <cell r="B288" t="str">
            <v>03</v>
          </cell>
          <cell r="C288" t="str">
            <v>04</v>
          </cell>
          <cell r="D288" t="str">
            <v>03</v>
          </cell>
          <cell r="E288" t="str">
            <v>APURIMAC</v>
          </cell>
          <cell r="F288" t="str">
            <v>AYMARAES</v>
          </cell>
          <cell r="G288" t="str">
            <v>CARAYBAMBA</v>
          </cell>
          <cell r="H288" t="str">
            <v>010296</v>
          </cell>
          <cell r="I288" t="str">
            <v>2</v>
          </cell>
        </row>
        <row r="289">
          <cell r="A289" t="str">
            <v>APURIMACAYMARAESCHAPIMARCA</v>
          </cell>
          <cell r="B289" t="str">
            <v>03</v>
          </cell>
          <cell r="C289" t="str">
            <v>04</v>
          </cell>
          <cell r="D289" t="str">
            <v>04</v>
          </cell>
          <cell r="E289" t="str">
            <v>APURIMAC</v>
          </cell>
          <cell r="F289" t="str">
            <v>AYMARAES</v>
          </cell>
          <cell r="G289" t="str">
            <v>CHAPIMARCA</v>
          </cell>
          <cell r="H289" t="str">
            <v>011917</v>
          </cell>
          <cell r="I289" t="str">
            <v>2</v>
          </cell>
        </row>
        <row r="290">
          <cell r="A290" t="str">
            <v>APURIMACAYMARAESCOLCABAMBA</v>
          </cell>
          <cell r="B290" t="str">
            <v>03</v>
          </cell>
          <cell r="C290" t="str">
            <v>04</v>
          </cell>
          <cell r="D290" t="str">
            <v>05</v>
          </cell>
          <cell r="E290" t="str">
            <v>APURIMAC</v>
          </cell>
          <cell r="F290" t="str">
            <v>AYMARAES</v>
          </cell>
          <cell r="G290" t="str">
            <v>COLCABAMBA</v>
          </cell>
          <cell r="H290" t="str">
            <v>010261</v>
          </cell>
          <cell r="I290" t="str">
            <v>2</v>
          </cell>
        </row>
        <row r="291">
          <cell r="A291" t="str">
            <v>APURIMACAYMARAESCOTARUSE</v>
          </cell>
          <cell r="B291" t="str">
            <v>03</v>
          </cell>
          <cell r="C291" t="str">
            <v>04</v>
          </cell>
          <cell r="D291" t="str">
            <v>06</v>
          </cell>
          <cell r="E291" t="str">
            <v>APURIMAC</v>
          </cell>
          <cell r="F291" t="str">
            <v>AYMARAES</v>
          </cell>
          <cell r="G291" t="str">
            <v>COTARUSE</v>
          </cell>
          <cell r="H291" t="str">
            <v>010297</v>
          </cell>
          <cell r="I291" t="str">
            <v>2</v>
          </cell>
        </row>
        <row r="292">
          <cell r="A292" t="str">
            <v>APURIMACAYMARAESHUAYLLO</v>
          </cell>
          <cell r="B292" t="str">
            <v>03</v>
          </cell>
          <cell r="C292" t="str">
            <v>04</v>
          </cell>
          <cell r="D292" t="str">
            <v>07</v>
          </cell>
          <cell r="E292" t="str">
            <v>APURIMAC</v>
          </cell>
          <cell r="F292" t="str">
            <v>AYMARAES</v>
          </cell>
          <cell r="G292" t="str">
            <v>HUAYLLO</v>
          </cell>
          <cell r="H292" t="str">
            <v>011911</v>
          </cell>
          <cell r="I292" t="str">
            <v>2</v>
          </cell>
        </row>
        <row r="293">
          <cell r="A293" t="str">
            <v>APURIMACAYMARAESJUSTO APU SAHUARAURA</v>
          </cell>
          <cell r="B293" t="str">
            <v>03</v>
          </cell>
          <cell r="C293" t="str">
            <v>04</v>
          </cell>
          <cell r="D293" t="str">
            <v>08</v>
          </cell>
          <cell r="E293" t="str">
            <v>APURIMAC</v>
          </cell>
          <cell r="F293" t="str">
            <v>AYMARAES</v>
          </cell>
          <cell r="G293" t="str">
            <v>JUSTO APU SAHUARAURA</v>
          </cell>
          <cell r="H293" t="str">
            <v>010267</v>
          </cell>
          <cell r="I293" t="str">
            <v>2</v>
          </cell>
        </row>
        <row r="294">
          <cell r="A294" t="str">
            <v>APURIMACAYMARAESLUCRE</v>
          </cell>
          <cell r="B294" t="str">
            <v>03</v>
          </cell>
          <cell r="C294" t="str">
            <v>04</v>
          </cell>
          <cell r="D294" t="str">
            <v>09</v>
          </cell>
          <cell r="E294" t="str">
            <v>APURIMAC</v>
          </cell>
          <cell r="F294" t="str">
            <v>AYMARAES</v>
          </cell>
          <cell r="G294" t="str">
            <v>LUCRE</v>
          </cell>
          <cell r="H294" t="str">
            <v>010262</v>
          </cell>
          <cell r="I294" t="str">
            <v>2</v>
          </cell>
        </row>
        <row r="295">
          <cell r="A295" t="str">
            <v>APURIMACAYMARAESPOCOHUANCA</v>
          </cell>
          <cell r="B295" t="str">
            <v>03</v>
          </cell>
          <cell r="C295" t="str">
            <v>04</v>
          </cell>
          <cell r="D295" t="str">
            <v>10</v>
          </cell>
          <cell r="E295" t="str">
            <v>APURIMAC</v>
          </cell>
          <cell r="F295" t="str">
            <v>AYMARAES</v>
          </cell>
          <cell r="G295" t="str">
            <v>POCOHUANCA</v>
          </cell>
          <cell r="H295" t="str">
            <v>010268</v>
          </cell>
          <cell r="I295" t="str">
            <v>2</v>
          </cell>
        </row>
        <row r="296">
          <cell r="A296" t="str">
            <v>APURIMACAYMARAESSAN JUAN DE CHACÑA</v>
          </cell>
          <cell r="B296" t="str">
            <v>03</v>
          </cell>
          <cell r="C296" t="str">
            <v>04</v>
          </cell>
          <cell r="D296" t="str">
            <v>11</v>
          </cell>
          <cell r="E296" t="str">
            <v>APURIMAC</v>
          </cell>
          <cell r="F296" t="str">
            <v>AYMARAES</v>
          </cell>
          <cell r="G296" t="str">
            <v>SAN JUAN DE CHACÑA</v>
          </cell>
          <cell r="H296" t="str">
            <v>010263</v>
          </cell>
          <cell r="I296" t="str">
            <v>2</v>
          </cell>
        </row>
        <row r="297">
          <cell r="A297" t="str">
            <v>APURIMACAYMARAESSAÑAYCA</v>
          </cell>
          <cell r="B297" t="str">
            <v>03</v>
          </cell>
          <cell r="C297" t="str">
            <v>04</v>
          </cell>
          <cell r="D297" t="str">
            <v>12</v>
          </cell>
          <cell r="E297" t="str">
            <v>APURIMAC</v>
          </cell>
          <cell r="F297" t="str">
            <v>AYMARAES</v>
          </cell>
          <cell r="G297" t="str">
            <v>SAÑAYCA</v>
          </cell>
          <cell r="H297" t="str">
            <v>010299</v>
          </cell>
          <cell r="I297" t="str">
            <v>2</v>
          </cell>
        </row>
        <row r="298">
          <cell r="A298" t="str">
            <v>APURIMACAYMARAESSORAYA</v>
          </cell>
          <cell r="B298" t="str">
            <v>03</v>
          </cell>
          <cell r="C298" t="str">
            <v>04</v>
          </cell>
          <cell r="D298" t="str">
            <v>13</v>
          </cell>
          <cell r="E298" t="str">
            <v>APURIMAC</v>
          </cell>
          <cell r="F298" t="str">
            <v>AYMARAES</v>
          </cell>
          <cell r="G298" t="str">
            <v>SORAYA</v>
          </cell>
          <cell r="H298" t="str">
            <v>010300</v>
          </cell>
          <cell r="I298" t="str">
            <v>2</v>
          </cell>
        </row>
        <row r="299">
          <cell r="A299" t="str">
            <v>APURIMACAYMARAESTAPAIRIHUA</v>
          </cell>
          <cell r="B299" t="str">
            <v>03</v>
          </cell>
          <cell r="C299" t="str">
            <v>04</v>
          </cell>
          <cell r="D299" t="str">
            <v>14</v>
          </cell>
          <cell r="E299" t="str">
            <v>APURIMAC</v>
          </cell>
          <cell r="F299" t="str">
            <v>AYMARAES</v>
          </cell>
          <cell r="G299" t="str">
            <v>TAPAIRIHUA</v>
          </cell>
          <cell r="H299" t="str">
            <v>010269</v>
          </cell>
          <cell r="I299" t="str">
            <v>2</v>
          </cell>
        </row>
        <row r="300">
          <cell r="A300" t="str">
            <v>APURIMACAYMARAESTINTAY</v>
          </cell>
          <cell r="B300" t="str">
            <v>03</v>
          </cell>
          <cell r="C300" t="str">
            <v>04</v>
          </cell>
          <cell r="D300" t="str">
            <v>15</v>
          </cell>
          <cell r="E300" t="str">
            <v>APURIMAC</v>
          </cell>
          <cell r="F300" t="str">
            <v>AYMARAES</v>
          </cell>
          <cell r="G300" t="str">
            <v>TINTAY</v>
          </cell>
          <cell r="H300" t="str">
            <v>010264</v>
          </cell>
          <cell r="I300" t="str">
            <v>2</v>
          </cell>
        </row>
        <row r="301">
          <cell r="A301" t="str">
            <v>APURIMACAYMARAESTORAYA</v>
          </cell>
          <cell r="B301" t="str">
            <v>03</v>
          </cell>
          <cell r="C301" t="str">
            <v>04</v>
          </cell>
          <cell r="D301" t="str">
            <v>16</v>
          </cell>
          <cell r="E301" t="str">
            <v>APURIMAC</v>
          </cell>
          <cell r="F301" t="str">
            <v>AYMARAES</v>
          </cell>
          <cell r="G301" t="str">
            <v>TORAYA</v>
          </cell>
          <cell r="H301" t="str">
            <v>010301</v>
          </cell>
          <cell r="I301" t="str">
            <v>2</v>
          </cell>
        </row>
        <row r="302">
          <cell r="A302" t="str">
            <v>APURIMACAYMARAESYANACA</v>
          </cell>
          <cell r="B302" t="str">
            <v>03</v>
          </cell>
          <cell r="C302" t="str">
            <v>04</v>
          </cell>
          <cell r="D302" t="str">
            <v>17</v>
          </cell>
          <cell r="E302" t="str">
            <v>APURIMAC</v>
          </cell>
          <cell r="F302" t="str">
            <v>AYMARAES</v>
          </cell>
          <cell r="G302" t="str">
            <v>YANACA</v>
          </cell>
          <cell r="H302" t="str">
            <v>010270</v>
          </cell>
          <cell r="I302" t="str">
            <v>2</v>
          </cell>
        </row>
        <row r="303">
          <cell r="A303" t="str">
            <v>APURIMACCOTABAMBASTAMBOBAMBA</v>
          </cell>
          <cell r="B303" t="str">
            <v>03</v>
          </cell>
          <cell r="C303" t="str">
            <v>05</v>
          </cell>
          <cell r="D303" t="str">
            <v>01</v>
          </cell>
          <cell r="E303" t="str">
            <v>APURIMAC</v>
          </cell>
          <cell r="F303" t="str">
            <v>COTABAMBAS</v>
          </cell>
          <cell r="G303" t="str">
            <v>TAMBOBAMBA</v>
          </cell>
          <cell r="H303" t="str">
            <v>010302</v>
          </cell>
          <cell r="I303" t="str">
            <v>1</v>
          </cell>
        </row>
        <row r="304">
          <cell r="A304" t="str">
            <v>APURIMACCOTABAMBASCOTABAMBAS</v>
          </cell>
          <cell r="B304" t="str">
            <v>03</v>
          </cell>
          <cell r="C304" t="str">
            <v>05</v>
          </cell>
          <cell r="D304" t="str">
            <v>02</v>
          </cell>
          <cell r="E304" t="str">
            <v>APURIMAC</v>
          </cell>
          <cell r="F304" t="str">
            <v>COTABAMBAS</v>
          </cell>
          <cell r="G304" t="str">
            <v>COTABAMBAS</v>
          </cell>
          <cell r="H304" t="str">
            <v>010303</v>
          </cell>
          <cell r="I304" t="str">
            <v>2</v>
          </cell>
        </row>
        <row r="305">
          <cell r="A305" t="str">
            <v>APURIMACCOTABAMBASCOYLLURQUI</v>
          </cell>
          <cell r="B305" t="str">
            <v>03</v>
          </cell>
          <cell r="C305" t="str">
            <v>05</v>
          </cell>
          <cell r="D305" t="str">
            <v>03</v>
          </cell>
          <cell r="E305" t="str">
            <v>APURIMAC</v>
          </cell>
          <cell r="F305" t="str">
            <v>COTABAMBAS</v>
          </cell>
          <cell r="G305" t="str">
            <v>COYLLURQUI</v>
          </cell>
          <cell r="H305" t="str">
            <v>010304</v>
          </cell>
          <cell r="I305" t="str">
            <v>2</v>
          </cell>
        </row>
        <row r="306">
          <cell r="A306" t="str">
            <v>APURIMACCOTABAMBASHAQUIRA</v>
          </cell>
          <cell r="B306" t="str">
            <v>03</v>
          </cell>
          <cell r="C306" t="str">
            <v>05</v>
          </cell>
          <cell r="D306" t="str">
            <v>04</v>
          </cell>
          <cell r="E306" t="str">
            <v>APURIMAC</v>
          </cell>
          <cell r="F306" t="str">
            <v>COTABAMBAS</v>
          </cell>
          <cell r="G306" t="str">
            <v>HAQUIRA</v>
          </cell>
          <cell r="H306" t="str">
            <v>011919</v>
          </cell>
          <cell r="I306" t="str">
            <v>2</v>
          </cell>
        </row>
        <row r="307">
          <cell r="A307" t="str">
            <v>APURIMACCOTABAMBASMARA</v>
          </cell>
          <cell r="B307" t="str">
            <v>03</v>
          </cell>
          <cell r="C307" t="str">
            <v>05</v>
          </cell>
          <cell r="D307" t="str">
            <v>05</v>
          </cell>
          <cell r="E307" t="str">
            <v>APURIMAC</v>
          </cell>
          <cell r="F307" t="str">
            <v>COTABAMBAS</v>
          </cell>
          <cell r="G307" t="str">
            <v>MARA</v>
          </cell>
          <cell r="H307" t="str">
            <v>010306</v>
          </cell>
          <cell r="I307" t="str">
            <v>2</v>
          </cell>
        </row>
        <row r="308">
          <cell r="A308" t="str">
            <v>APURIMACCOTABAMBASCHALLHUAHUACHO</v>
          </cell>
          <cell r="B308" t="str">
            <v>03</v>
          </cell>
          <cell r="C308" t="str">
            <v>05</v>
          </cell>
          <cell r="D308" t="str">
            <v>06</v>
          </cell>
          <cell r="E308" t="str">
            <v>APURIMAC</v>
          </cell>
          <cell r="F308" t="str">
            <v>COTABAMBAS</v>
          </cell>
          <cell r="G308" t="str">
            <v>CHALLHUAHUACHO</v>
          </cell>
          <cell r="H308" t="str">
            <v>010307</v>
          </cell>
          <cell r="I308" t="str">
            <v>2</v>
          </cell>
        </row>
        <row r="309">
          <cell r="A309" t="str">
            <v>APURIMACCHINCHEROSCHINCHEROS</v>
          </cell>
          <cell r="B309" t="str">
            <v>03</v>
          </cell>
          <cell r="C309" t="str">
            <v>06</v>
          </cell>
          <cell r="D309" t="str">
            <v>01</v>
          </cell>
          <cell r="E309" t="str">
            <v>APURIMAC</v>
          </cell>
          <cell r="F309" t="str">
            <v>CHINCHEROS</v>
          </cell>
          <cell r="G309" t="str">
            <v>CHINCHEROS</v>
          </cell>
          <cell r="H309" t="str">
            <v>010308</v>
          </cell>
          <cell r="I309" t="str">
            <v>1</v>
          </cell>
        </row>
        <row r="310">
          <cell r="A310" t="str">
            <v>APURIMACCHINCHEROSANCO-HUALLO</v>
          </cell>
          <cell r="B310" t="str">
            <v>03</v>
          </cell>
          <cell r="C310" t="str">
            <v>06</v>
          </cell>
          <cell r="D310" t="str">
            <v>02</v>
          </cell>
          <cell r="E310" t="str">
            <v>APURIMAC</v>
          </cell>
          <cell r="F310" t="str">
            <v>CHINCHEROS</v>
          </cell>
          <cell r="G310" t="str">
            <v>ANCO-HUALLO</v>
          </cell>
          <cell r="H310" t="str">
            <v>010309</v>
          </cell>
          <cell r="I310" t="str">
            <v>2</v>
          </cell>
        </row>
        <row r="311">
          <cell r="A311" t="str">
            <v>APURIMACCHINCHEROSCOCHARCAS</v>
          </cell>
          <cell r="B311" t="str">
            <v>03</v>
          </cell>
          <cell r="C311" t="str">
            <v>06</v>
          </cell>
          <cell r="D311" t="str">
            <v>03</v>
          </cell>
          <cell r="E311" t="str">
            <v>APURIMAC</v>
          </cell>
          <cell r="F311" t="str">
            <v>CHINCHEROS</v>
          </cell>
          <cell r="G311" t="str">
            <v>COCHARCAS</v>
          </cell>
          <cell r="H311" t="str">
            <v>010310</v>
          </cell>
          <cell r="I311" t="str">
            <v>2</v>
          </cell>
        </row>
        <row r="312">
          <cell r="A312" t="str">
            <v>APURIMACCHINCHEROSHUACCANA</v>
          </cell>
          <cell r="B312" t="str">
            <v>03</v>
          </cell>
          <cell r="C312" t="str">
            <v>06</v>
          </cell>
          <cell r="D312" t="str">
            <v>04</v>
          </cell>
          <cell r="E312" t="str">
            <v>APURIMAC</v>
          </cell>
          <cell r="F312" t="str">
            <v>CHINCHEROS</v>
          </cell>
          <cell r="G312" t="str">
            <v>HUACCANA</v>
          </cell>
          <cell r="H312" t="str">
            <v>010311</v>
          </cell>
          <cell r="I312" t="str">
            <v>2</v>
          </cell>
        </row>
        <row r="313">
          <cell r="A313" t="str">
            <v>APURIMACCHINCHEROSOCOBAMBA</v>
          </cell>
          <cell r="B313" t="str">
            <v>03</v>
          </cell>
          <cell r="C313" t="str">
            <v>06</v>
          </cell>
          <cell r="D313" t="str">
            <v>05</v>
          </cell>
          <cell r="E313" t="str">
            <v>APURIMAC</v>
          </cell>
          <cell r="F313" t="str">
            <v>CHINCHEROS</v>
          </cell>
          <cell r="G313" t="str">
            <v>OCOBAMBA</v>
          </cell>
          <cell r="H313" t="str">
            <v>010312</v>
          </cell>
          <cell r="I313" t="str">
            <v>2</v>
          </cell>
        </row>
        <row r="314">
          <cell r="A314" t="str">
            <v>APURIMACCHINCHEROSONGOY</v>
          </cell>
          <cell r="B314" t="str">
            <v>03</v>
          </cell>
          <cell r="C314" t="str">
            <v>06</v>
          </cell>
          <cell r="D314" t="str">
            <v>06</v>
          </cell>
          <cell r="E314" t="str">
            <v>APURIMAC</v>
          </cell>
          <cell r="F314" t="str">
            <v>CHINCHEROS</v>
          </cell>
          <cell r="G314" t="str">
            <v>ONGOY</v>
          </cell>
          <cell r="H314" t="str">
            <v>011927</v>
          </cell>
          <cell r="I314" t="str">
            <v>2</v>
          </cell>
        </row>
        <row r="315">
          <cell r="A315" t="str">
            <v>APURIMACCHINCHEROSURANMARCA</v>
          </cell>
          <cell r="B315" t="str">
            <v>03</v>
          </cell>
          <cell r="C315" t="str">
            <v>06</v>
          </cell>
          <cell r="D315" t="str">
            <v>07</v>
          </cell>
          <cell r="E315" t="str">
            <v>APURIMAC</v>
          </cell>
          <cell r="F315" t="str">
            <v>CHINCHEROS</v>
          </cell>
          <cell r="G315" t="str">
            <v>URANMARCA</v>
          </cell>
          <cell r="H315" t="str">
            <v>010314</v>
          </cell>
          <cell r="I315" t="str">
            <v>2</v>
          </cell>
        </row>
        <row r="316">
          <cell r="A316" t="str">
            <v>APURIMACCHINCHEROSRANRACANCHA</v>
          </cell>
          <cell r="B316" t="str">
            <v>03</v>
          </cell>
          <cell r="C316" t="str">
            <v>06</v>
          </cell>
          <cell r="D316" t="str">
            <v>08</v>
          </cell>
          <cell r="E316" t="str">
            <v>APURIMAC</v>
          </cell>
          <cell r="F316" t="str">
            <v>CHINCHEROS</v>
          </cell>
          <cell r="G316" t="str">
            <v>RANRACANCHA</v>
          </cell>
          <cell r="H316" t="str">
            <v>010315</v>
          </cell>
          <cell r="I316" t="str">
            <v>2</v>
          </cell>
        </row>
        <row r="317">
          <cell r="A317" t="str">
            <v>APURIMACGRAUCHUQUIBAMBILLA</v>
          </cell>
          <cell r="B317" t="str">
            <v>03</v>
          </cell>
          <cell r="C317" t="str">
            <v>07</v>
          </cell>
          <cell r="D317" t="str">
            <v>01</v>
          </cell>
          <cell r="E317" t="str">
            <v>APURIMAC</v>
          </cell>
          <cell r="F317" t="str">
            <v>GRAU</v>
          </cell>
          <cell r="G317" t="str">
            <v>CHUQUIBAMBILLA</v>
          </cell>
          <cell r="H317" t="str">
            <v>010316</v>
          </cell>
          <cell r="I317" t="str">
            <v>1</v>
          </cell>
        </row>
        <row r="318">
          <cell r="A318" t="str">
            <v>APURIMACGRAUCURPAHUASI</v>
          </cell>
          <cell r="B318" t="str">
            <v>03</v>
          </cell>
          <cell r="C318" t="str">
            <v>07</v>
          </cell>
          <cell r="D318" t="str">
            <v>02</v>
          </cell>
          <cell r="E318" t="str">
            <v>APURIMAC</v>
          </cell>
          <cell r="F318" t="str">
            <v>GRAU</v>
          </cell>
          <cell r="G318" t="str">
            <v>CURPAHUASI</v>
          </cell>
          <cell r="H318" t="str">
            <v>012438</v>
          </cell>
          <cell r="I318" t="str">
            <v>2</v>
          </cell>
        </row>
        <row r="319">
          <cell r="A319" t="str">
            <v>APURIMACGRAUGAMARRA</v>
          </cell>
          <cell r="B319" t="str">
            <v>03</v>
          </cell>
          <cell r="C319" t="str">
            <v>07</v>
          </cell>
          <cell r="D319" t="str">
            <v>03</v>
          </cell>
          <cell r="E319" t="str">
            <v>APURIMAC</v>
          </cell>
          <cell r="F319" t="str">
            <v>GRAU</v>
          </cell>
          <cell r="G319" t="str">
            <v>GAMARRA</v>
          </cell>
          <cell r="H319" t="str">
            <v>010318</v>
          </cell>
          <cell r="I319" t="str">
            <v>2</v>
          </cell>
        </row>
        <row r="320">
          <cell r="A320" t="str">
            <v>APURIMACGRAUHUAYLLATI</v>
          </cell>
          <cell r="B320" t="str">
            <v>03</v>
          </cell>
          <cell r="C320" t="str">
            <v>07</v>
          </cell>
          <cell r="D320" t="str">
            <v>04</v>
          </cell>
          <cell r="E320" t="str">
            <v>APURIMAC</v>
          </cell>
          <cell r="F320" t="str">
            <v>GRAU</v>
          </cell>
          <cell r="G320" t="str">
            <v>HUAYLLATI</v>
          </cell>
          <cell r="H320" t="str">
            <v>011920</v>
          </cell>
          <cell r="I320" t="str">
            <v>2</v>
          </cell>
        </row>
        <row r="321">
          <cell r="A321" t="str">
            <v>APURIMACGRAUMAMARA</v>
          </cell>
          <cell r="B321" t="str">
            <v>03</v>
          </cell>
          <cell r="C321" t="str">
            <v>07</v>
          </cell>
          <cell r="D321" t="str">
            <v>05</v>
          </cell>
          <cell r="E321" t="str">
            <v>APURIMAC</v>
          </cell>
          <cell r="F321" t="str">
            <v>GRAU</v>
          </cell>
          <cell r="G321" t="str">
            <v>MAMARA</v>
          </cell>
          <cell r="H321" t="str">
            <v>010325</v>
          </cell>
          <cell r="I321" t="str">
            <v>2</v>
          </cell>
        </row>
        <row r="322">
          <cell r="A322" t="str">
            <v>APURIMACGRAUMICAELA BASTIDAS</v>
          </cell>
          <cell r="B322" t="str">
            <v>03</v>
          </cell>
          <cell r="C322" t="str">
            <v>07</v>
          </cell>
          <cell r="D322" t="str">
            <v>06</v>
          </cell>
          <cell r="E322" t="str">
            <v>APURIMAC</v>
          </cell>
          <cell r="F322" t="str">
            <v>GRAU</v>
          </cell>
          <cell r="G322" t="str">
            <v>MICAELA BASTIDAS</v>
          </cell>
          <cell r="H322" t="str">
            <v>010326</v>
          </cell>
          <cell r="I322" t="str">
            <v>2</v>
          </cell>
        </row>
        <row r="323">
          <cell r="A323" t="str">
            <v>APURIMACGRAUPATAYPAMPA</v>
          </cell>
          <cell r="B323" t="str">
            <v>03</v>
          </cell>
          <cell r="C323" t="str">
            <v>07</v>
          </cell>
          <cell r="D323" t="str">
            <v>07</v>
          </cell>
          <cell r="E323" t="str">
            <v>APURIMAC</v>
          </cell>
          <cell r="F323" t="str">
            <v>GRAU</v>
          </cell>
          <cell r="G323" t="str">
            <v>PATAYPAMPA</v>
          </cell>
          <cell r="H323" t="str">
            <v>012445</v>
          </cell>
          <cell r="I323" t="str">
            <v>2</v>
          </cell>
        </row>
        <row r="324">
          <cell r="A324" t="str">
            <v>APURIMACGRAUPROGRESO</v>
          </cell>
          <cell r="B324" t="str">
            <v>03</v>
          </cell>
          <cell r="C324" t="str">
            <v>07</v>
          </cell>
          <cell r="D324" t="str">
            <v>08</v>
          </cell>
          <cell r="E324" t="str">
            <v>APURIMAC</v>
          </cell>
          <cell r="F324" t="str">
            <v>GRAU</v>
          </cell>
          <cell r="G324" t="str">
            <v>PROGRESO</v>
          </cell>
          <cell r="H324" t="str">
            <v>010327</v>
          </cell>
          <cell r="I324" t="str">
            <v>2</v>
          </cell>
        </row>
        <row r="325">
          <cell r="A325" t="str">
            <v>APURIMACGRAUSAN ANTONIO</v>
          </cell>
          <cell r="B325" t="str">
            <v>03</v>
          </cell>
          <cell r="C325" t="str">
            <v>07</v>
          </cell>
          <cell r="D325" t="str">
            <v>09</v>
          </cell>
          <cell r="E325" t="str">
            <v>APURIMAC</v>
          </cell>
          <cell r="F325" t="str">
            <v>GRAU</v>
          </cell>
          <cell r="G325" t="str">
            <v>SAN ANTONIO</v>
          </cell>
          <cell r="H325" t="str">
            <v>010328</v>
          </cell>
          <cell r="I325" t="str">
            <v>2</v>
          </cell>
        </row>
        <row r="326">
          <cell r="A326" t="str">
            <v>APURIMACGRAUSANTA ROSA</v>
          </cell>
          <cell r="B326" t="str">
            <v>03</v>
          </cell>
          <cell r="C326" t="str">
            <v>07</v>
          </cell>
          <cell r="D326" t="str">
            <v>10</v>
          </cell>
          <cell r="E326" t="str">
            <v>APURIMAC</v>
          </cell>
          <cell r="F326" t="str">
            <v>GRAU</v>
          </cell>
          <cell r="G326" t="str">
            <v>SANTA ROSA</v>
          </cell>
          <cell r="H326" t="str">
            <v>010320</v>
          </cell>
          <cell r="I326" t="str">
            <v>2</v>
          </cell>
        </row>
        <row r="327">
          <cell r="A327" t="str">
            <v>APURIMACGRAUTURPAY</v>
          </cell>
          <cell r="B327" t="str">
            <v>03</v>
          </cell>
          <cell r="C327" t="str">
            <v>07</v>
          </cell>
          <cell r="D327" t="str">
            <v>11</v>
          </cell>
          <cell r="E327" t="str">
            <v>APURIMAC</v>
          </cell>
          <cell r="F327" t="str">
            <v>GRAU</v>
          </cell>
          <cell r="G327" t="str">
            <v>TURPAY</v>
          </cell>
          <cell r="H327" t="str">
            <v>010321</v>
          </cell>
          <cell r="I327" t="str">
            <v>2</v>
          </cell>
        </row>
        <row r="328">
          <cell r="A328" t="str">
            <v>APURIMACGRAUVILCABAMBA</v>
          </cell>
          <cell r="B328" t="str">
            <v>03</v>
          </cell>
          <cell r="C328" t="str">
            <v>07</v>
          </cell>
          <cell r="D328" t="str">
            <v>12</v>
          </cell>
          <cell r="E328" t="str">
            <v>APURIMAC</v>
          </cell>
          <cell r="F328" t="str">
            <v>GRAU</v>
          </cell>
          <cell r="G328" t="str">
            <v>VILCABAMBA</v>
          </cell>
          <cell r="H328" t="str">
            <v>010329</v>
          </cell>
          <cell r="I328" t="str">
            <v>2</v>
          </cell>
        </row>
        <row r="329">
          <cell r="A329" t="str">
            <v>APURIMACGRAUVIRUNDO</v>
          </cell>
          <cell r="B329" t="str">
            <v>03</v>
          </cell>
          <cell r="C329" t="str">
            <v>07</v>
          </cell>
          <cell r="D329" t="str">
            <v>13</v>
          </cell>
          <cell r="E329" t="str">
            <v>APURIMAC</v>
          </cell>
          <cell r="F329" t="str">
            <v>GRAU</v>
          </cell>
          <cell r="G329" t="str">
            <v>VIRUNDO</v>
          </cell>
          <cell r="H329" t="str">
            <v>010322</v>
          </cell>
          <cell r="I329" t="str">
            <v>2</v>
          </cell>
        </row>
        <row r="330">
          <cell r="A330" t="str">
            <v>APURIMACGRAUCURASCO</v>
          </cell>
          <cell r="B330" t="str">
            <v>03</v>
          </cell>
          <cell r="C330" t="str">
            <v>07</v>
          </cell>
          <cell r="D330" t="str">
            <v>14</v>
          </cell>
          <cell r="E330" t="str">
            <v>APURIMAC</v>
          </cell>
          <cell r="F330" t="str">
            <v>GRAU</v>
          </cell>
          <cell r="G330" t="str">
            <v>CURASCO</v>
          </cell>
          <cell r="H330" t="str">
            <v>010330</v>
          </cell>
          <cell r="I330" t="str">
            <v>2</v>
          </cell>
        </row>
        <row r="331">
          <cell r="A331" t="str">
            <v>AREQUIPAAREQUIPAAREQUIPA</v>
          </cell>
          <cell r="B331" t="str">
            <v>04</v>
          </cell>
          <cell r="C331" t="str">
            <v>01</v>
          </cell>
          <cell r="D331" t="str">
            <v>01</v>
          </cell>
          <cell r="E331" t="str">
            <v>AREQUIPA</v>
          </cell>
          <cell r="F331" t="str">
            <v>AREQUIPA</v>
          </cell>
          <cell r="G331" t="str">
            <v>AREQUIPA</v>
          </cell>
          <cell r="H331" t="str">
            <v>010331</v>
          </cell>
          <cell r="I331" t="str">
            <v>1</v>
          </cell>
        </row>
        <row r="332">
          <cell r="A332" t="str">
            <v>AREQUIPAAREQUIPAALTO SELVA ALEGRE</v>
          </cell>
          <cell r="B332" t="str">
            <v>04</v>
          </cell>
          <cell r="C332" t="str">
            <v>01</v>
          </cell>
          <cell r="D332" t="str">
            <v>02</v>
          </cell>
          <cell r="E332" t="str">
            <v>AREQUIPA</v>
          </cell>
          <cell r="F332" t="str">
            <v>AREQUIPA</v>
          </cell>
          <cell r="G332" t="str">
            <v>ALTO SELVA ALEGRE</v>
          </cell>
          <cell r="H332" t="str">
            <v>010343</v>
          </cell>
          <cell r="I332" t="str">
            <v>2</v>
          </cell>
        </row>
        <row r="333">
          <cell r="A333" t="str">
            <v>AREQUIPAAREQUIPACAYMA</v>
          </cell>
          <cell r="B333" t="str">
            <v>04</v>
          </cell>
          <cell r="C333" t="str">
            <v>01</v>
          </cell>
          <cell r="D333" t="str">
            <v>03</v>
          </cell>
          <cell r="E333" t="str">
            <v>AREQUIPA</v>
          </cell>
          <cell r="F333" t="str">
            <v>AREQUIPA</v>
          </cell>
          <cell r="G333" t="str">
            <v>CAYMA</v>
          </cell>
          <cell r="H333" t="str">
            <v>010332</v>
          </cell>
          <cell r="I333" t="str">
            <v>2</v>
          </cell>
        </row>
        <row r="334">
          <cell r="A334" t="str">
            <v>AREQUIPAAREQUIPACERRO COLORADO</v>
          </cell>
          <cell r="B334" t="str">
            <v>04</v>
          </cell>
          <cell r="C334" t="str">
            <v>01</v>
          </cell>
          <cell r="D334" t="str">
            <v>04</v>
          </cell>
          <cell r="E334" t="str">
            <v>AREQUIPA</v>
          </cell>
          <cell r="F334" t="str">
            <v>AREQUIPA</v>
          </cell>
          <cell r="G334" t="str">
            <v>CERRO COLORADO</v>
          </cell>
          <cell r="H334" t="str">
            <v>010334</v>
          </cell>
          <cell r="I334" t="str">
            <v>2</v>
          </cell>
        </row>
        <row r="335">
          <cell r="A335" t="str">
            <v>AREQUIPAAREQUIPACHARACATO</v>
          </cell>
          <cell r="B335" t="str">
            <v>04</v>
          </cell>
          <cell r="C335" t="str">
            <v>01</v>
          </cell>
          <cell r="D335" t="str">
            <v>05</v>
          </cell>
          <cell r="E335" t="str">
            <v>AREQUIPA</v>
          </cell>
          <cell r="F335" t="str">
            <v>AREQUIPA</v>
          </cell>
          <cell r="G335" t="str">
            <v>CHARACATO</v>
          </cell>
          <cell r="H335" t="str">
            <v>010346</v>
          </cell>
          <cell r="I335" t="str">
            <v>2</v>
          </cell>
        </row>
        <row r="336">
          <cell r="A336" t="str">
            <v>AREQUIPAAREQUIPACHIGUATA</v>
          </cell>
          <cell r="B336" t="str">
            <v>04</v>
          </cell>
          <cell r="C336" t="str">
            <v>01</v>
          </cell>
          <cell r="D336" t="str">
            <v>06</v>
          </cell>
          <cell r="E336" t="str">
            <v>AREQUIPA</v>
          </cell>
          <cell r="F336" t="str">
            <v>AREQUIPA</v>
          </cell>
          <cell r="G336" t="str">
            <v>CHIGUATA</v>
          </cell>
          <cell r="H336" t="str">
            <v>010347</v>
          </cell>
          <cell r="I336" t="str">
            <v>2</v>
          </cell>
        </row>
        <row r="337">
          <cell r="A337" t="str">
            <v>AREQUIPAAREQUIPAJACOBO HUNTER</v>
          </cell>
          <cell r="B337" t="str">
            <v>04</v>
          </cell>
          <cell r="C337" t="str">
            <v>01</v>
          </cell>
          <cell r="D337" t="str">
            <v>07</v>
          </cell>
          <cell r="E337" t="str">
            <v>AREQUIPA</v>
          </cell>
          <cell r="F337" t="str">
            <v>AREQUIPA</v>
          </cell>
          <cell r="G337" t="str">
            <v>JACOBO HUNTER</v>
          </cell>
          <cell r="H337" t="str">
            <v>010339</v>
          </cell>
          <cell r="I337" t="str">
            <v>2</v>
          </cell>
        </row>
        <row r="338">
          <cell r="A338" t="str">
            <v>AREQUIPAAREQUIPALA JOYA</v>
          </cell>
          <cell r="B338" t="str">
            <v>04</v>
          </cell>
          <cell r="C338" t="str">
            <v>01</v>
          </cell>
          <cell r="D338" t="str">
            <v>08</v>
          </cell>
          <cell r="E338" t="str">
            <v>AREQUIPA</v>
          </cell>
          <cell r="F338" t="str">
            <v>AREQUIPA</v>
          </cell>
          <cell r="G338" t="str">
            <v>LA JOYA</v>
          </cell>
          <cell r="H338" t="str">
            <v>010355</v>
          </cell>
          <cell r="I338" t="str">
            <v>2</v>
          </cell>
        </row>
        <row r="339">
          <cell r="A339" t="str">
            <v>AREQUIPAAREQUIPAMARIANO MELGAR</v>
          </cell>
          <cell r="B339" t="str">
            <v>04</v>
          </cell>
          <cell r="C339" t="str">
            <v>01</v>
          </cell>
          <cell r="D339" t="str">
            <v>09</v>
          </cell>
          <cell r="E339" t="str">
            <v>AREQUIPA</v>
          </cell>
          <cell r="F339" t="str">
            <v>AREQUIPA</v>
          </cell>
          <cell r="G339" t="str">
            <v>MARIANO MELGAR</v>
          </cell>
          <cell r="H339" t="str">
            <v>010344</v>
          </cell>
          <cell r="I339" t="str">
            <v>2</v>
          </cell>
        </row>
        <row r="340">
          <cell r="A340" t="str">
            <v>AREQUIPAAREQUIPAMIRAFLORES</v>
          </cell>
          <cell r="B340" t="str">
            <v>04</v>
          </cell>
          <cell r="C340" t="str">
            <v>01</v>
          </cell>
          <cell r="D340" t="str">
            <v>10</v>
          </cell>
          <cell r="E340" t="str">
            <v>AREQUIPA</v>
          </cell>
          <cell r="F340" t="str">
            <v>AREQUIPA</v>
          </cell>
          <cell r="G340" t="str">
            <v>MIRAFLORES</v>
          </cell>
          <cell r="H340" t="str">
            <v>010345</v>
          </cell>
          <cell r="I340" t="str">
            <v>2</v>
          </cell>
        </row>
        <row r="341">
          <cell r="A341" t="str">
            <v>AREQUIPAAREQUIPAMOLLEBAYA</v>
          </cell>
          <cell r="B341" t="str">
            <v>04</v>
          </cell>
          <cell r="C341" t="str">
            <v>01</v>
          </cell>
          <cell r="D341" t="str">
            <v>11</v>
          </cell>
          <cell r="E341" t="str">
            <v>AREQUIPA</v>
          </cell>
          <cell r="F341" t="str">
            <v>AREQUIPA</v>
          </cell>
          <cell r="G341" t="str">
            <v>MOLLEBAYA</v>
          </cell>
          <cell r="H341" t="str">
            <v>010348</v>
          </cell>
          <cell r="I341" t="str">
            <v>2</v>
          </cell>
        </row>
        <row r="342">
          <cell r="A342" t="str">
            <v>AREQUIPAAREQUIPAPAUCARPATA</v>
          </cell>
          <cell r="B342" t="str">
            <v>04</v>
          </cell>
          <cell r="C342" t="str">
            <v>01</v>
          </cell>
          <cell r="D342" t="str">
            <v>12</v>
          </cell>
          <cell r="E342" t="str">
            <v>AREQUIPA</v>
          </cell>
          <cell r="F342" t="str">
            <v>AREQUIPA</v>
          </cell>
          <cell r="G342" t="str">
            <v>PAUCARPATA</v>
          </cell>
          <cell r="H342" t="str">
            <v>010340</v>
          </cell>
          <cell r="I342" t="str">
            <v>2</v>
          </cell>
        </row>
        <row r="343">
          <cell r="A343" t="str">
            <v>AREQUIPAAREQUIPAPOCSI</v>
          </cell>
          <cell r="B343" t="str">
            <v>04</v>
          </cell>
          <cell r="C343" t="str">
            <v>01</v>
          </cell>
          <cell r="D343" t="str">
            <v>13</v>
          </cell>
          <cell r="E343" t="str">
            <v>AREQUIPA</v>
          </cell>
          <cell r="F343" t="str">
            <v>AREQUIPA</v>
          </cell>
          <cell r="G343" t="str">
            <v>POCSI</v>
          </cell>
          <cell r="H343" t="str">
            <v>010349</v>
          </cell>
          <cell r="I343" t="str">
            <v>2</v>
          </cell>
        </row>
        <row r="344">
          <cell r="A344" t="str">
            <v>AREQUIPAAREQUIPAPOLOBAYA</v>
          </cell>
          <cell r="B344" t="str">
            <v>04</v>
          </cell>
          <cell r="C344" t="str">
            <v>01</v>
          </cell>
          <cell r="D344" t="str">
            <v>14</v>
          </cell>
          <cell r="E344" t="str">
            <v>AREQUIPA</v>
          </cell>
          <cell r="F344" t="str">
            <v>AREQUIPA</v>
          </cell>
          <cell r="G344" t="str">
            <v>POLOBAYA</v>
          </cell>
          <cell r="H344" t="str">
            <v>010350</v>
          </cell>
          <cell r="I344" t="str">
            <v>2</v>
          </cell>
        </row>
        <row r="345">
          <cell r="A345" t="str">
            <v>AREQUIPAAREQUIPAQUEQUEÑA</v>
          </cell>
          <cell r="B345" t="str">
            <v>04</v>
          </cell>
          <cell r="C345" t="str">
            <v>01</v>
          </cell>
          <cell r="D345" t="str">
            <v>15</v>
          </cell>
          <cell r="E345" t="str">
            <v>AREQUIPA</v>
          </cell>
          <cell r="F345" t="str">
            <v>AREQUIPA</v>
          </cell>
          <cell r="G345" t="str">
            <v>QUEQUEÑA</v>
          </cell>
          <cell r="H345" t="str">
            <v>010351</v>
          </cell>
          <cell r="I345" t="str">
            <v>2</v>
          </cell>
        </row>
        <row r="346">
          <cell r="A346" t="str">
            <v>AREQUIPAAREQUIPASABANDIA</v>
          </cell>
          <cell r="B346" t="str">
            <v>04</v>
          </cell>
          <cell r="C346" t="str">
            <v>01</v>
          </cell>
          <cell r="D346" t="str">
            <v>16</v>
          </cell>
          <cell r="E346" t="str">
            <v>AREQUIPA</v>
          </cell>
          <cell r="F346" t="str">
            <v>AREQUIPA</v>
          </cell>
          <cell r="G346" t="str">
            <v>SABANDIA</v>
          </cell>
          <cell r="H346" t="str">
            <v>010352</v>
          </cell>
          <cell r="I346" t="str">
            <v>2</v>
          </cell>
        </row>
        <row r="347">
          <cell r="A347" t="str">
            <v>AREQUIPAAREQUIPASACHACA</v>
          </cell>
          <cell r="B347" t="str">
            <v>04</v>
          </cell>
          <cell r="C347" t="str">
            <v>01</v>
          </cell>
          <cell r="D347" t="str">
            <v>17</v>
          </cell>
          <cell r="E347" t="str">
            <v>AREQUIPA</v>
          </cell>
          <cell r="F347" t="str">
            <v>AREQUIPA</v>
          </cell>
          <cell r="G347" t="str">
            <v>SACHACA</v>
          </cell>
          <cell r="H347" t="str">
            <v>010336</v>
          </cell>
          <cell r="I347" t="str">
            <v>2</v>
          </cell>
        </row>
        <row r="348">
          <cell r="A348" t="str">
            <v>AREQUIPAAREQUIPASAN JUAN DE SIGUAS</v>
          </cell>
          <cell r="B348" t="str">
            <v>04</v>
          </cell>
          <cell r="C348" t="str">
            <v>01</v>
          </cell>
          <cell r="D348" t="str">
            <v>18</v>
          </cell>
          <cell r="E348" t="str">
            <v>AREQUIPA</v>
          </cell>
          <cell r="F348" t="str">
            <v>AREQUIPA</v>
          </cell>
          <cell r="G348" t="str">
            <v>SAN JUAN DE SIGUAS</v>
          </cell>
          <cell r="H348" t="str">
            <v>010418</v>
          </cell>
          <cell r="I348" t="str">
            <v>2</v>
          </cell>
        </row>
        <row r="349">
          <cell r="A349" t="str">
            <v>AREQUIPAAREQUIPASAN JUAN DE TARUCANI</v>
          </cell>
          <cell r="B349" t="str">
            <v>04</v>
          </cell>
          <cell r="C349" t="str">
            <v>01</v>
          </cell>
          <cell r="D349" t="str">
            <v>19</v>
          </cell>
          <cell r="E349" t="str">
            <v>AREQUIPA</v>
          </cell>
          <cell r="F349" t="str">
            <v>AREQUIPA</v>
          </cell>
          <cell r="G349" t="str">
            <v>SAN JUAN DE TARUCANI</v>
          </cell>
          <cell r="H349" t="str">
            <v>010353</v>
          </cell>
          <cell r="I349" t="str">
            <v>2</v>
          </cell>
        </row>
        <row r="350">
          <cell r="A350" t="str">
            <v>AREQUIPAAREQUIPASANTA ISABEL DE SIGUAS</v>
          </cell>
          <cell r="B350" t="str">
            <v>04</v>
          </cell>
          <cell r="C350" t="str">
            <v>01</v>
          </cell>
          <cell r="D350" t="str">
            <v>20</v>
          </cell>
          <cell r="E350" t="str">
            <v>AREQUIPA</v>
          </cell>
          <cell r="F350" t="str">
            <v>AREQUIPA</v>
          </cell>
          <cell r="G350" t="str">
            <v>SANTA ISABEL DE SIGUAS</v>
          </cell>
          <cell r="H350" t="str">
            <v>010357</v>
          </cell>
          <cell r="I350" t="str">
            <v>2</v>
          </cell>
        </row>
        <row r="351">
          <cell r="A351" t="str">
            <v>AREQUIPAAREQUIPASANTA RITA DE SIGUAS</v>
          </cell>
          <cell r="B351" t="str">
            <v>04</v>
          </cell>
          <cell r="C351" t="str">
            <v>01</v>
          </cell>
          <cell r="D351" t="str">
            <v>21</v>
          </cell>
          <cell r="E351" t="str">
            <v>AREQUIPA</v>
          </cell>
          <cell r="F351" t="str">
            <v>AREQUIPA</v>
          </cell>
          <cell r="G351" t="str">
            <v>SANTA RITA DE SIGUAS</v>
          </cell>
          <cell r="H351" t="str">
            <v>010358</v>
          </cell>
          <cell r="I351" t="str">
            <v>2</v>
          </cell>
        </row>
        <row r="352">
          <cell r="A352" t="str">
            <v>AREQUIPAAREQUIPASOCABAYA</v>
          </cell>
          <cell r="B352" t="str">
            <v>04</v>
          </cell>
          <cell r="C352" t="str">
            <v>01</v>
          </cell>
          <cell r="D352" t="str">
            <v>22</v>
          </cell>
          <cell r="E352" t="str">
            <v>AREQUIPA</v>
          </cell>
          <cell r="F352" t="str">
            <v>AREQUIPA</v>
          </cell>
          <cell r="G352" t="str">
            <v>SOCABAYA</v>
          </cell>
          <cell r="H352" t="str">
            <v>010341</v>
          </cell>
          <cell r="I352" t="str">
            <v>2</v>
          </cell>
        </row>
        <row r="353">
          <cell r="A353" t="str">
            <v>AREQUIPAAREQUIPATIABAYA</v>
          </cell>
          <cell r="B353" t="str">
            <v>04</v>
          </cell>
          <cell r="C353" t="str">
            <v>01</v>
          </cell>
          <cell r="D353" t="str">
            <v>23</v>
          </cell>
          <cell r="E353" t="str">
            <v>AREQUIPA</v>
          </cell>
          <cell r="F353" t="str">
            <v>AREQUIPA</v>
          </cell>
          <cell r="G353" t="str">
            <v>TIABAYA</v>
          </cell>
          <cell r="H353" t="str">
            <v>010337</v>
          </cell>
          <cell r="I353" t="str">
            <v>2</v>
          </cell>
        </row>
        <row r="354">
          <cell r="A354" t="str">
            <v>AREQUIPAAREQUIPAUCHUMAYO</v>
          </cell>
          <cell r="B354" t="str">
            <v>04</v>
          </cell>
          <cell r="C354" t="str">
            <v>01</v>
          </cell>
          <cell r="D354" t="str">
            <v>24</v>
          </cell>
          <cell r="E354" t="str">
            <v>AREQUIPA</v>
          </cell>
          <cell r="F354" t="str">
            <v>AREQUIPA</v>
          </cell>
          <cell r="G354" t="str">
            <v>UCHUMAYO</v>
          </cell>
          <cell r="H354" t="str">
            <v>010338</v>
          </cell>
          <cell r="I354" t="str">
            <v>2</v>
          </cell>
        </row>
        <row r="355">
          <cell r="A355" t="str">
            <v>AREQUIPAAREQUIPAVITOR</v>
          </cell>
          <cell r="B355" t="str">
            <v>04</v>
          </cell>
          <cell r="C355" t="str">
            <v>01</v>
          </cell>
          <cell r="D355" t="str">
            <v>25</v>
          </cell>
          <cell r="E355" t="str">
            <v>AREQUIPA</v>
          </cell>
          <cell r="F355" t="str">
            <v>AREQUIPA</v>
          </cell>
          <cell r="G355" t="str">
            <v>VITOR</v>
          </cell>
          <cell r="H355" t="str">
            <v>010359</v>
          </cell>
          <cell r="I355" t="str">
            <v>2</v>
          </cell>
        </row>
        <row r="356">
          <cell r="A356" t="str">
            <v>AREQUIPAAREQUIPAYANAHUARA</v>
          </cell>
          <cell r="B356" t="str">
            <v>04</v>
          </cell>
          <cell r="C356" t="str">
            <v>01</v>
          </cell>
          <cell r="D356" t="str">
            <v>26</v>
          </cell>
          <cell r="E356" t="str">
            <v>AREQUIPA</v>
          </cell>
          <cell r="F356" t="str">
            <v>AREQUIPA</v>
          </cell>
          <cell r="G356" t="str">
            <v>YANAHUARA</v>
          </cell>
          <cell r="H356" t="str">
            <v>010333</v>
          </cell>
          <cell r="I356" t="str">
            <v>2</v>
          </cell>
        </row>
        <row r="357">
          <cell r="A357" t="str">
            <v>AREQUIPAAREQUIPAYARABAMBA</v>
          </cell>
          <cell r="B357" t="str">
            <v>04</v>
          </cell>
          <cell r="C357" t="str">
            <v>01</v>
          </cell>
          <cell r="D357" t="str">
            <v>27</v>
          </cell>
          <cell r="E357" t="str">
            <v>AREQUIPA</v>
          </cell>
          <cell r="F357" t="str">
            <v>AREQUIPA</v>
          </cell>
          <cell r="G357" t="str">
            <v>YARABAMBA</v>
          </cell>
          <cell r="H357" t="str">
            <v>010354</v>
          </cell>
          <cell r="I357" t="str">
            <v>2</v>
          </cell>
        </row>
        <row r="358">
          <cell r="A358" t="str">
            <v>AREQUIPAAREQUIPAYURA</v>
          </cell>
          <cell r="B358" t="str">
            <v>04</v>
          </cell>
          <cell r="C358" t="str">
            <v>01</v>
          </cell>
          <cell r="D358" t="str">
            <v>28</v>
          </cell>
          <cell r="E358" t="str">
            <v>AREQUIPA</v>
          </cell>
          <cell r="F358" t="str">
            <v>AREQUIPA</v>
          </cell>
          <cell r="G358" t="str">
            <v>YURA</v>
          </cell>
          <cell r="H358" t="str">
            <v>010335</v>
          </cell>
          <cell r="I358" t="str">
            <v>2</v>
          </cell>
        </row>
        <row r="359">
          <cell r="A359" t="str">
            <v>AREQUIPAAREQUIPAJOSE LUIS BUSTAMANTE Y RIVERO</v>
          </cell>
          <cell r="B359" t="str">
            <v>04</v>
          </cell>
          <cell r="C359" t="str">
            <v>01</v>
          </cell>
          <cell r="D359" t="str">
            <v>29</v>
          </cell>
          <cell r="E359" t="str">
            <v>AREQUIPA</v>
          </cell>
          <cell r="F359" t="str">
            <v>AREQUIPA</v>
          </cell>
          <cell r="G359" t="str">
            <v>JOSE LUIS BUSTAMANTE Y RIVERO</v>
          </cell>
          <cell r="H359" t="str">
            <v>010342</v>
          </cell>
          <cell r="I359" t="str">
            <v>2</v>
          </cell>
        </row>
        <row r="360">
          <cell r="A360" t="str">
            <v>AREQUIPACAMANACAMANA</v>
          </cell>
          <cell r="B360" t="str">
            <v>04</v>
          </cell>
          <cell r="C360" t="str">
            <v>02</v>
          </cell>
          <cell r="D360" t="str">
            <v>01</v>
          </cell>
          <cell r="E360" t="str">
            <v>AREQUIPA</v>
          </cell>
          <cell r="F360" t="str">
            <v>CAMANA</v>
          </cell>
          <cell r="G360" t="str">
            <v>CAMANA</v>
          </cell>
          <cell r="H360" t="str">
            <v>010361</v>
          </cell>
          <cell r="I360" t="str">
            <v>1</v>
          </cell>
        </row>
        <row r="361">
          <cell r="A361" t="str">
            <v>AREQUIPACAMANAJOSE MARIA QUIMPER</v>
          </cell>
          <cell r="B361" t="str">
            <v>04</v>
          </cell>
          <cell r="C361" t="str">
            <v>02</v>
          </cell>
          <cell r="D361" t="str">
            <v>02</v>
          </cell>
          <cell r="E361" t="str">
            <v>AREQUIPA</v>
          </cell>
          <cell r="F361" t="str">
            <v>CAMANA</v>
          </cell>
          <cell r="G361" t="str">
            <v>JOSE MARIA QUIMPER</v>
          </cell>
          <cell r="H361" t="str">
            <v>010362</v>
          </cell>
          <cell r="I361" t="str">
            <v>2</v>
          </cell>
        </row>
        <row r="362">
          <cell r="A362" t="str">
            <v>AREQUIPACAMANAMARIANO NICOLAS VALCARCEL</v>
          </cell>
          <cell r="B362" t="str">
            <v>04</v>
          </cell>
          <cell r="C362" t="str">
            <v>02</v>
          </cell>
          <cell r="D362" t="str">
            <v>03</v>
          </cell>
          <cell r="E362" t="str">
            <v>AREQUIPA</v>
          </cell>
          <cell r="F362" t="str">
            <v>CAMANA</v>
          </cell>
          <cell r="G362" t="str">
            <v>MARIANO NICOLAS VALCARCEL</v>
          </cell>
          <cell r="H362" t="str">
            <v>010363</v>
          </cell>
          <cell r="I362" t="str">
            <v>2</v>
          </cell>
        </row>
        <row r="363">
          <cell r="A363" t="str">
            <v>AREQUIPACAMANAMARISCAL CACERES</v>
          </cell>
          <cell r="B363" t="str">
            <v>04</v>
          </cell>
          <cell r="C363" t="str">
            <v>02</v>
          </cell>
          <cell r="D363" t="str">
            <v>04</v>
          </cell>
          <cell r="E363" t="str">
            <v>AREQUIPA</v>
          </cell>
          <cell r="F363" t="str">
            <v>CAMANA</v>
          </cell>
          <cell r="G363" t="str">
            <v>MARISCAL CACERES</v>
          </cell>
          <cell r="H363" t="str">
            <v>010364</v>
          </cell>
          <cell r="I363" t="str">
            <v>2</v>
          </cell>
        </row>
        <row r="364">
          <cell r="A364" t="str">
            <v>AREQUIPACAMANANICOLAS DE PIEROLA</v>
          </cell>
          <cell r="B364" t="str">
            <v>04</v>
          </cell>
          <cell r="C364" t="str">
            <v>02</v>
          </cell>
          <cell r="D364" t="str">
            <v>05</v>
          </cell>
          <cell r="E364" t="str">
            <v>AREQUIPA</v>
          </cell>
          <cell r="F364" t="str">
            <v>CAMANA</v>
          </cell>
          <cell r="G364" t="str">
            <v>NICOLAS DE PIEROLA</v>
          </cell>
          <cell r="H364" t="str">
            <v>010365</v>
          </cell>
          <cell r="I364" t="str">
            <v>2</v>
          </cell>
        </row>
        <row r="365">
          <cell r="A365" t="str">
            <v>AREQUIPACAMANAOCOÑA</v>
          </cell>
          <cell r="B365" t="str">
            <v>04</v>
          </cell>
          <cell r="C365" t="str">
            <v>02</v>
          </cell>
          <cell r="D365" t="str">
            <v>06</v>
          </cell>
          <cell r="E365" t="str">
            <v>AREQUIPA</v>
          </cell>
          <cell r="F365" t="str">
            <v>CAMANA</v>
          </cell>
          <cell r="G365" t="str">
            <v>OCOÑA</v>
          </cell>
          <cell r="H365" t="str">
            <v>010366</v>
          </cell>
          <cell r="I365" t="str">
            <v>2</v>
          </cell>
        </row>
        <row r="366">
          <cell r="A366" t="str">
            <v>AREQUIPACAMANAQUILCA</v>
          </cell>
          <cell r="B366" t="str">
            <v>04</v>
          </cell>
          <cell r="C366" t="str">
            <v>02</v>
          </cell>
          <cell r="D366" t="str">
            <v>07</v>
          </cell>
          <cell r="E366" t="str">
            <v>AREQUIPA</v>
          </cell>
          <cell r="F366" t="str">
            <v>CAMANA</v>
          </cell>
          <cell r="G366" t="str">
            <v>QUILCA</v>
          </cell>
          <cell r="H366" t="str">
            <v>010367</v>
          </cell>
          <cell r="I366" t="str">
            <v>2</v>
          </cell>
        </row>
        <row r="367">
          <cell r="A367" t="str">
            <v>AREQUIPACAMANASAMUEL PASTOR</v>
          </cell>
          <cell r="B367" t="str">
            <v>04</v>
          </cell>
          <cell r="C367" t="str">
            <v>02</v>
          </cell>
          <cell r="D367" t="str">
            <v>08</v>
          </cell>
          <cell r="E367" t="str">
            <v>AREQUIPA</v>
          </cell>
          <cell r="F367" t="str">
            <v>CAMANA</v>
          </cell>
          <cell r="G367" t="str">
            <v>SAMUEL PASTOR</v>
          </cell>
          <cell r="H367" t="str">
            <v>010368</v>
          </cell>
          <cell r="I367" t="str">
            <v>2</v>
          </cell>
        </row>
        <row r="368">
          <cell r="A368" t="str">
            <v>AREQUIPACARAVELICARAVELI</v>
          </cell>
          <cell r="B368" t="str">
            <v>04</v>
          </cell>
          <cell r="C368" t="str">
            <v>03</v>
          </cell>
          <cell r="D368" t="str">
            <v>01</v>
          </cell>
          <cell r="E368" t="str">
            <v>AREQUIPA</v>
          </cell>
          <cell r="F368" t="str">
            <v>CARAVELI</v>
          </cell>
          <cell r="G368" t="str">
            <v>CARAVELI</v>
          </cell>
          <cell r="H368" t="str">
            <v>010369</v>
          </cell>
          <cell r="I368" t="str">
            <v>1</v>
          </cell>
        </row>
        <row r="369">
          <cell r="A369" t="str">
            <v>AREQUIPACARAVELIACARI</v>
          </cell>
          <cell r="B369" t="str">
            <v>04</v>
          </cell>
          <cell r="C369" t="str">
            <v>03</v>
          </cell>
          <cell r="D369" t="str">
            <v>02</v>
          </cell>
          <cell r="E369" t="str">
            <v>AREQUIPA</v>
          </cell>
          <cell r="F369" t="str">
            <v>CARAVELI</v>
          </cell>
          <cell r="G369" t="str">
            <v>ACARI</v>
          </cell>
          <cell r="H369" t="str">
            <v>010370</v>
          </cell>
          <cell r="I369" t="str">
            <v>2</v>
          </cell>
        </row>
        <row r="370">
          <cell r="A370" t="str">
            <v>AREQUIPACARAVELIATICO</v>
          </cell>
          <cell r="B370" t="str">
            <v>04</v>
          </cell>
          <cell r="C370" t="str">
            <v>03</v>
          </cell>
          <cell r="D370" t="str">
            <v>03</v>
          </cell>
          <cell r="E370" t="str">
            <v>AREQUIPA</v>
          </cell>
          <cell r="F370" t="str">
            <v>CARAVELI</v>
          </cell>
          <cell r="G370" t="str">
            <v>ATICO</v>
          </cell>
          <cell r="H370" t="str">
            <v>010371</v>
          </cell>
          <cell r="I370" t="str">
            <v>2</v>
          </cell>
        </row>
        <row r="371">
          <cell r="A371" t="str">
            <v>AREQUIPACARAVELIATIQUIPA</v>
          </cell>
          <cell r="B371" t="str">
            <v>04</v>
          </cell>
          <cell r="C371" t="str">
            <v>03</v>
          </cell>
          <cell r="D371" t="str">
            <v>04</v>
          </cell>
          <cell r="E371" t="str">
            <v>AREQUIPA</v>
          </cell>
          <cell r="F371" t="str">
            <v>CARAVELI</v>
          </cell>
          <cell r="G371" t="str">
            <v>ATIQUIPA</v>
          </cell>
          <cell r="H371" t="str">
            <v>010372</v>
          </cell>
          <cell r="I371" t="str">
            <v>2</v>
          </cell>
        </row>
        <row r="372">
          <cell r="A372" t="str">
            <v>AREQUIPACARAVELIBELLA UNION</v>
          </cell>
          <cell r="B372" t="str">
            <v>04</v>
          </cell>
          <cell r="C372" t="str">
            <v>03</v>
          </cell>
          <cell r="D372" t="str">
            <v>05</v>
          </cell>
          <cell r="E372" t="str">
            <v>AREQUIPA</v>
          </cell>
          <cell r="F372" t="str">
            <v>CARAVELI</v>
          </cell>
          <cell r="G372" t="str">
            <v>BELLA UNION</v>
          </cell>
          <cell r="H372" t="str">
            <v>010373</v>
          </cell>
          <cell r="I372" t="str">
            <v>2</v>
          </cell>
        </row>
        <row r="373">
          <cell r="A373" t="str">
            <v>AREQUIPACARAVELICAHUACHO</v>
          </cell>
          <cell r="B373" t="str">
            <v>04</v>
          </cell>
          <cell r="C373" t="str">
            <v>03</v>
          </cell>
          <cell r="D373" t="str">
            <v>06</v>
          </cell>
          <cell r="E373" t="str">
            <v>AREQUIPA</v>
          </cell>
          <cell r="F373" t="str">
            <v>CARAVELI</v>
          </cell>
          <cell r="G373" t="str">
            <v>CAHUACHO</v>
          </cell>
          <cell r="H373" t="str">
            <v>010374</v>
          </cell>
          <cell r="I373" t="str">
            <v>2</v>
          </cell>
        </row>
        <row r="374">
          <cell r="A374" t="str">
            <v>AREQUIPACARAVELICHALA</v>
          </cell>
          <cell r="B374" t="str">
            <v>04</v>
          </cell>
          <cell r="C374" t="str">
            <v>03</v>
          </cell>
          <cell r="D374" t="str">
            <v>07</v>
          </cell>
          <cell r="E374" t="str">
            <v>AREQUIPA</v>
          </cell>
          <cell r="F374" t="str">
            <v>CARAVELI</v>
          </cell>
          <cell r="G374" t="str">
            <v>CHALA</v>
          </cell>
          <cell r="H374" t="str">
            <v>011951</v>
          </cell>
          <cell r="I374" t="str">
            <v>2</v>
          </cell>
        </row>
        <row r="375">
          <cell r="A375" t="str">
            <v>AREQUIPACARAVELICHAPARRA</v>
          </cell>
          <cell r="B375" t="str">
            <v>04</v>
          </cell>
          <cell r="C375" t="str">
            <v>03</v>
          </cell>
          <cell r="D375" t="str">
            <v>08</v>
          </cell>
          <cell r="E375" t="str">
            <v>AREQUIPA</v>
          </cell>
          <cell r="F375" t="str">
            <v>CARAVELI</v>
          </cell>
          <cell r="G375" t="str">
            <v>CHAPARRA</v>
          </cell>
          <cell r="H375" t="str">
            <v>010376</v>
          </cell>
          <cell r="I375" t="str">
            <v>2</v>
          </cell>
        </row>
        <row r="376">
          <cell r="A376" t="str">
            <v>AREQUIPACARAVELIHUANUHUANU</v>
          </cell>
          <cell r="B376" t="str">
            <v>04</v>
          </cell>
          <cell r="C376" t="str">
            <v>03</v>
          </cell>
          <cell r="D376" t="str">
            <v>09</v>
          </cell>
          <cell r="E376" t="str">
            <v>AREQUIPA</v>
          </cell>
          <cell r="F376" t="str">
            <v>CARAVELI</v>
          </cell>
          <cell r="G376" t="str">
            <v>HUANUHUANU</v>
          </cell>
          <cell r="H376" t="str">
            <v>010377</v>
          </cell>
          <cell r="I376" t="str">
            <v>2</v>
          </cell>
        </row>
        <row r="377">
          <cell r="A377" t="str">
            <v>AREQUIPACARAVELIJAQUI</v>
          </cell>
          <cell r="B377" t="str">
            <v>04</v>
          </cell>
          <cell r="C377" t="str">
            <v>03</v>
          </cell>
          <cell r="D377" t="str">
            <v>10</v>
          </cell>
          <cell r="E377" t="str">
            <v>AREQUIPA</v>
          </cell>
          <cell r="F377" t="str">
            <v>CARAVELI</v>
          </cell>
          <cell r="G377" t="str">
            <v>JAQUI</v>
          </cell>
          <cell r="H377" t="str">
            <v>010378</v>
          </cell>
          <cell r="I377" t="str">
            <v>2</v>
          </cell>
        </row>
        <row r="378">
          <cell r="A378" t="str">
            <v>AREQUIPACARAVELILOMAS</v>
          </cell>
          <cell r="B378" t="str">
            <v>04</v>
          </cell>
          <cell r="C378" t="str">
            <v>03</v>
          </cell>
          <cell r="D378" t="str">
            <v>11</v>
          </cell>
          <cell r="E378" t="str">
            <v>AREQUIPA</v>
          </cell>
          <cell r="F378" t="str">
            <v>CARAVELI</v>
          </cell>
          <cell r="G378" t="str">
            <v>LOMAS</v>
          </cell>
          <cell r="H378" t="str">
            <v>010379</v>
          </cell>
          <cell r="I378" t="str">
            <v>2</v>
          </cell>
        </row>
        <row r="379">
          <cell r="A379" t="str">
            <v>AREQUIPACARAVELIQUICACHA</v>
          </cell>
          <cell r="B379" t="str">
            <v>04</v>
          </cell>
          <cell r="C379" t="str">
            <v>03</v>
          </cell>
          <cell r="D379" t="str">
            <v>12</v>
          </cell>
          <cell r="E379" t="str">
            <v>AREQUIPA</v>
          </cell>
          <cell r="F379" t="str">
            <v>CARAVELI</v>
          </cell>
          <cell r="G379" t="str">
            <v>QUICACHA</v>
          </cell>
          <cell r="H379" t="str">
            <v>010380</v>
          </cell>
          <cell r="I379" t="str">
            <v>2</v>
          </cell>
        </row>
        <row r="380">
          <cell r="A380" t="str">
            <v>AREQUIPACARAVELIYAUCA</v>
          </cell>
          <cell r="B380" t="str">
            <v>04</v>
          </cell>
          <cell r="C380" t="str">
            <v>03</v>
          </cell>
          <cell r="D380" t="str">
            <v>13</v>
          </cell>
          <cell r="E380" t="str">
            <v>AREQUIPA</v>
          </cell>
          <cell r="F380" t="str">
            <v>CARAVELI</v>
          </cell>
          <cell r="G380" t="str">
            <v>YAUCA</v>
          </cell>
          <cell r="H380" t="str">
            <v>010381</v>
          </cell>
          <cell r="I380" t="str">
            <v>2</v>
          </cell>
        </row>
        <row r="381">
          <cell r="A381" t="str">
            <v>AREQUIPACASTILLAAPLAO</v>
          </cell>
          <cell r="B381" t="str">
            <v>04</v>
          </cell>
          <cell r="C381" t="str">
            <v>04</v>
          </cell>
          <cell r="D381" t="str">
            <v>01</v>
          </cell>
          <cell r="E381" t="str">
            <v>AREQUIPA</v>
          </cell>
          <cell r="F381" t="str">
            <v>CASTILLA</v>
          </cell>
          <cell r="G381" t="str">
            <v>APLAO</v>
          </cell>
          <cell r="H381" t="str">
            <v>012461</v>
          </cell>
          <cell r="I381" t="str">
            <v>1</v>
          </cell>
        </row>
        <row r="382">
          <cell r="A382" t="str">
            <v>AREQUIPACASTILLAANDAGUA</v>
          </cell>
          <cell r="B382" t="str">
            <v>04</v>
          </cell>
          <cell r="C382" t="str">
            <v>04</v>
          </cell>
          <cell r="D382" t="str">
            <v>02</v>
          </cell>
          <cell r="E382" t="str">
            <v>AREQUIPA</v>
          </cell>
          <cell r="F382" t="str">
            <v>CASTILLA</v>
          </cell>
          <cell r="G382" t="str">
            <v>ANDAGUA</v>
          </cell>
          <cell r="H382" t="str">
            <v>010383</v>
          </cell>
          <cell r="I382" t="str">
            <v>2</v>
          </cell>
        </row>
        <row r="383">
          <cell r="A383" t="str">
            <v>AREQUIPACASTILLAAYO</v>
          </cell>
          <cell r="B383" t="str">
            <v>04</v>
          </cell>
          <cell r="C383" t="str">
            <v>04</v>
          </cell>
          <cell r="D383" t="str">
            <v>03</v>
          </cell>
          <cell r="E383" t="str">
            <v>AREQUIPA</v>
          </cell>
          <cell r="F383" t="str">
            <v>CASTILLA</v>
          </cell>
          <cell r="G383" t="str">
            <v>AYO</v>
          </cell>
          <cell r="H383" t="str">
            <v>010384</v>
          </cell>
          <cell r="I383" t="str">
            <v>2</v>
          </cell>
        </row>
        <row r="384">
          <cell r="A384" t="str">
            <v>AREQUIPACASTILLACHACHAS</v>
          </cell>
          <cell r="B384" t="str">
            <v>04</v>
          </cell>
          <cell r="C384" t="str">
            <v>04</v>
          </cell>
          <cell r="D384" t="str">
            <v>04</v>
          </cell>
          <cell r="E384" t="str">
            <v>AREQUIPA</v>
          </cell>
          <cell r="F384" t="str">
            <v>CASTILLA</v>
          </cell>
          <cell r="G384" t="str">
            <v>CHACHAS</v>
          </cell>
          <cell r="H384" t="str">
            <v>010385</v>
          </cell>
          <cell r="I384" t="str">
            <v>2</v>
          </cell>
        </row>
        <row r="385">
          <cell r="A385" t="str">
            <v>AREQUIPACASTILLACHILCAYMARCA</v>
          </cell>
          <cell r="B385" t="str">
            <v>04</v>
          </cell>
          <cell r="C385" t="str">
            <v>04</v>
          </cell>
          <cell r="D385" t="str">
            <v>05</v>
          </cell>
          <cell r="E385" t="str">
            <v>AREQUIPA</v>
          </cell>
          <cell r="F385" t="str">
            <v>CASTILLA</v>
          </cell>
          <cell r="G385" t="str">
            <v>CHILCAYMARCA</v>
          </cell>
          <cell r="H385" t="str">
            <v>010386</v>
          </cell>
          <cell r="I385" t="str">
            <v>2</v>
          </cell>
        </row>
        <row r="386">
          <cell r="A386" t="str">
            <v>AREQUIPACASTILLACHOCO</v>
          </cell>
          <cell r="B386" t="str">
            <v>04</v>
          </cell>
          <cell r="C386" t="str">
            <v>04</v>
          </cell>
          <cell r="D386" t="str">
            <v>06</v>
          </cell>
          <cell r="E386" t="str">
            <v>AREQUIPA</v>
          </cell>
          <cell r="F386" t="str">
            <v>CASTILLA</v>
          </cell>
          <cell r="G386" t="str">
            <v>CHOCO</v>
          </cell>
          <cell r="H386" t="str">
            <v>010395</v>
          </cell>
          <cell r="I386" t="str">
            <v>2</v>
          </cell>
        </row>
        <row r="387">
          <cell r="A387" t="str">
            <v>AREQUIPACASTILLAHUANCARQUI</v>
          </cell>
          <cell r="B387" t="str">
            <v>04</v>
          </cell>
          <cell r="C387" t="str">
            <v>04</v>
          </cell>
          <cell r="D387" t="str">
            <v>07</v>
          </cell>
          <cell r="E387" t="str">
            <v>AREQUIPA</v>
          </cell>
          <cell r="F387" t="str">
            <v>CASTILLA</v>
          </cell>
          <cell r="G387" t="str">
            <v>HUANCARQUI</v>
          </cell>
          <cell r="H387" t="str">
            <v>010387</v>
          </cell>
          <cell r="I387" t="str">
            <v>2</v>
          </cell>
        </row>
        <row r="388">
          <cell r="A388" t="str">
            <v>AREQUIPACASTILLAMACHAGUAY</v>
          </cell>
          <cell r="B388" t="str">
            <v>04</v>
          </cell>
          <cell r="C388" t="str">
            <v>04</v>
          </cell>
          <cell r="D388" t="str">
            <v>08</v>
          </cell>
          <cell r="E388" t="str">
            <v>AREQUIPA</v>
          </cell>
          <cell r="F388" t="str">
            <v>CASTILLA</v>
          </cell>
          <cell r="G388" t="str">
            <v>MACHAGUAY</v>
          </cell>
          <cell r="H388" t="str">
            <v>010388</v>
          </cell>
          <cell r="I388" t="str">
            <v>2</v>
          </cell>
        </row>
        <row r="389">
          <cell r="A389" t="str">
            <v>AREQUIPACASTILLAORCOPAMPA</v>
          </cell>
          <cell r="B389" t="str">
            <v>04</v>
          </cell>
          <cell r="C389" t="str">
            <v>04</v>
          </cell>
          <cell r="D389" t="str">
            <v>09</v>
          </cell>
          <cell r="E389" t="str">
            <v>AREQUIPA</v>
          </cell>
          <cell r="F389" t="str">
            <v>CASTILLA</v>
          </cell>
          <cell r="G389" t="str">
            <v>ORCOPAMPA</v>
          </cell>
          <cell r="H389" t="str">
            <v>010389</v>
          </cell>
          <cell r="I389" t="str">
            <v>2</v>
          </cell>
        </row>
        <row r="390">
          <cell r="A390" t="str">
            <v>AREQUIPACASTILLAPAMPACOLCA</v>
          </cell>
          <cell r="B390" t="str">
            <v>04</v>
          </cell>
          <cell r="C390" t="str">
            <v>04</v>
          </cell>
          <cell r="D390" t="str">
            <v>10</v>
          </cell>
          <cell r="E390" t="str">
            <v>AREQUIPA</v>
          </cell>
          <cell r="F390" t="str">
            <v>CASTILLA</v>
          </cell>
          <cell r="G390" t="str">
            <v>PAMPACOLCA</v>
          </cell>
          <cell r="H390" t="str">
            <v>010390</v>
          </cell>
          <cell r="I390" t="str">
            <v>2</v>
          </cell>
        </row>
        <row r="391">
          <cell r="A391" t="str">
            <v>AREQUIPACASTILLATIPAN</v>
          </cell>
          <cell r="B391" t="str">
            <v>04</v>
          </cell>
          <cell r="C391" t="str">
            <v>04</v>
          </cell>
          <cell r="D391" t="str">
            <v>11</v>
          </cell>
          <cell r="E391" t="str">
            <v>AREQUIPA</v>
          </cell>
          <cell r="F391" t="str">
            <v>CASTILLA</v>
          </cell>
          <cell r="G391" t="str">
            <v>TIPAN</v>
          </cell>
          <cell r="H391" t="str">
            <v>010391</v>
          </cell>
          <cell r="I391" t="str">
            <v>2</v>
          </cell>
        </row>
        <row r="392">
          <cell r="A392" t="str">
            <v>AREQUIPACASTILLAUÑON</v>
          </cell>
          <cell r="B392" t="str">
            <v>04</v>
          </cell>
          <cell r="C392" t="str">
            <v>04</v>
          </cell>
          <cell r="D392" t="str">
            <v>12</v>
          </cell>
          <cell r="E392" t="str">
            <v>AREQUIPA</v>
          </cell>
          <cell r="F392" t="str">
            <v>CASTILLA</v>
          </cell>
          <cell r="G392" t="str">
            <v>UÑON</v>
          </cell>
          <cell r="H392" t="str">
            <v>010433</v>
          </cell>
          <cell r="I392" t="str">
            <v>2</v>
          </cell>
        </row>
        <row r="393">
          <cell r="A393" t="str">
            <v>AREQUIPACASTILLAURACA</v>
          </cell>
          <cell r="B393" t="str">
            <v>04</v>
          </cell>
          <cell r="C393" t="str">
            <v>04</v>
          </cell>
          <cell r="D393" t="str">
            <v>13</v>
          </cell>
          <cell r="E393" t="str">
            <v>AREQUIPA</v>
          </cell>
          <cell r="F393" t="str">
            <v>CASTILLA</v>
          </cell>
          <cell r="G393" t="str">
            <v>URACA</v>
          </cell>
          <cell r="H393" t="str">
            <v>010393</v>
          </cell>
          <cell r="I393" t="str">
            <v>2</v>
          </cell>
        </row>
        <row r="394">
          <cell r="A394" t="str">
            <v>AREQUIPACASTILLAVIRACO</v>
          </cell>
          <cell r="B394" t="str">
            <v>04</v>
          </cell>
          <cell r="C394" t="str">
            <v>04</v>
          </cell>
          <cell r="D394" t="str">
            <v>14</v>
          </cell>
          <cell r="E394" t="str">
            <v>AREQUIPA</v>
          </cell>
          <cell r="F394" t="str">
            <v>CASTILLA</v>
          </cell>
          <cell r="G394" t="str">
            <v>VIRACO</v>
          </cell>
          <cell r="H394" t="str">
            <v>010394</v>
          </cell>
          <cell r="I394" t="str">
            <v>2</v>
          </cell>
        </row>
        <row r="395">
          <cell r="A395" t="str">
            <v>AREQUIPACAYLLOMACHIVAY</v>
          </cell>
          <cell r="B395" t="str">
            <v>04</v>
          </cell>
          <cell r="C395" t="str">
            <v>05</v>
          </cell>
          <cell r="D395" t="str">
            <v>01</v>
          </cell>
          <cell r="E395" t="str">
            <v>AREQUIPA</v>
          </cell>
          <cell r="F395" t="str">
            <v>CAYLLOMA</v>
          </cell>
          <cell r="G395" t="str">
            <v>CHIVAY</v>
          </cell>
          <cell r="H395" t="str">
            <v>010396</v>
          </cell>
          <cell r="I395" t="str">
            <v>1</v>
          </cell>
        </row>
        <row r="396">
          <cell r="A396" t="str">
            <v>AREQUIPACAYLLOMAACHOMA</v>
          </cell>
          <cell r="B396" t="str">
            <v>04</v>
          </cell>
          <cell r="C396" t="str">
            <v>05</v>
          </cell>
          <cell r="D396" t="str">
            <v>02</v>
          </cell>
          <cell r="E396" t="str">
            <v>AREQUIPA</v>
          </cell>
          <cell r="F396" t="str">
            <v>CAYLLOMA</v>
          </cell>
          <cell r="G396" t="str">
            <v>ACHOMA</v>
          </cell>
          <cell r="H396" t="str">
            <v>012458</v>
          </cell>
          <cell r="I396" t="str">
            <v>2</v>
          </cell>
        </row>
        <row r="397">
          <cell r="A397" t="str">
            <v>AREQUIPACAYLLOMACABANACONDE</v>
          </cell>
          <cell r="B397" t="str">
            <v>04</v>
          </cell>
          <cell r="C397" t="str">
            <v>05</v>
          </cell>
          <cell r="D397" t="str">
            <v>03</v>
          </cell>
          <cell r="E397" t="str">
            <v>AREQUIPA</v>
          </cell>
          <cell r="F397" t="str">
            <v>CAYLLOMA</v>
          </cell>
          <cell r="G397" t="str">
            <v>CABANACONDE</v>
          </cell>
          <cell r="H397" t="str">
            <v>010398</v>
          </cell>
          <cell r="I397" t="str">
            <v>2</v>
          </cell>
        </row>
        <row r="398">
          <cell r="A398" t="str">
            <v>AREQUIPACAYLLOMACALLALLI</v>
          </cell>
          <cell r="B398" t="str">
            <v>04</v>
          </cell>
          <cell r="C398" t="str">
            <v>05</v>
          </cell>
          <cell r="D398" t="str">
            <v>04</v>
          </cell>
          <cell r="E398" t="str">
            <v>AREQUIPA</v>
          </cell>
          <cell r="F398" t="str">
            <v>CAYLLOMA</v>
          </cell>
          <cell r="G398" t="str">
            <v>CALLALLI</v>
          </cell>
          <cell r="H398" t="str">
            <v>010405</v>
          </cell>
          <cell r="I398" t="str">
            <v>2</v>
          </cell>
        </row>
        <row r="399">
          <cell r="A399" t="str">
            <v>AREQUIPACAYLLOMACAYLLOMA</v>
          </cell>
          <cell r="B399" t="str">
            <v>04</v>
          </cell>
          <cell r="C399" t="str">
            <v>05</v>
          </cell>
          <cell r="D399" t="str">
            <v>05</v>
          </cell>
          <cell r="E399" t="str">
            <v>AREQUIPA</v>
          </cell>
          <cell r="F399" t="str">
            <v>CAYLLOMA</v>
          </cell>
          <cell r="G399" t="str">
            <v>CAYLLOMA</v>
          </cell>
          <cell r="H399" t="str">
            <v>010406</v>
          </cell>
          <cell r="I399" t="str">
            <v>2</v>
          </cell>
        </row>
        <row r="400">
          <cell r="A400" t="str">
            <v>AREQUIPACAYLLOMACOPORAQUE</v>
          </cell>
          <cell r="B400" t="str">
            <v>04</v>
          </cell>
          <cell r="C400" t="str">
            <v>05</v>
          </cell>
          <cell r="D400" t="str">
            <v>06</v>
          </cell>
          <cell r="E400" t="str">
            <v>AREQUIPA</v>
          </cell>
          <cell r="F400" t="str">
            <v>CAYLLOMA</v>
          </cell>
          <cell r="G400" t="str">
            <v>COPORAQUE</v>
          </cell>
          <cell r="H400" t="str">
            <v>011963</v>
          </cell>
          <cell r="I400" t="str">
            <v>2</v>
          </cell>
        </row>
        <row r="401">
          <cell r="A401" t="str">
            <v>AREQUIPACAYLLOMAHUAMBO</v>
          </cell>
          <cell r="B401" t="str">
            <v>04</v>
          </cell>
          <cell r="C401" t="str">
            <v>05</v>
          </cell>
          <cell r="D401" t="str">
            <v>07</v>
          </cell>
          <cell r="E401" t="str">
            <v>AREQUIPA</v>
          </cell>
          <cell r="F401" t="str">
            <v>CAYLLOMA</v>
          </cell>
          <cell r="G401" t="str">
            <v>HUAMBO</v>
          </cell>
          <cell r="H401" t="str">
            <v>010399</v>
          </cell>
          <cell r="I401" t="str">
            <v>2</v>
          </cell>
        </row>
        <row r="402">
          <cell r="A402" t="str">
            <v>AREQUIPACAYLLOMAHUANCA</v>
          </cell>
          <cell r="B402" t="str">
            <v>04</v>
          </cell>
          <cell r="C402" t="str">
            <v>05</v>
          </cell>
          <cell r="D402" t="str">
            <v>08</v>
          </cell>
          <cell r="E402" t="str">
            <v>AREQUIPA</v>
          </cell>
          <cell r="F402" t="str">
            <v>CAYLLOMA</v>
          </cell>
          <cell r="G402" t="str">
            <v>HUANCA</v>
          </cell>
          <cell r="H402" t="str">
            <v>010400</v>
          </cell>
          <cell r="I402" t="str">
            <v>2</v>
          </cell>
        </row>
        <row r="403">
          <cell r="A403" t="str">
            <v>AREQUIPACAYLLOMAICHUPAMPA</v>
          </cell>
          <cell r="B403" t="str">
            <v>04</v>
          </cell>
          <cell r="C403" t="str">
            <v>05</v>
          </cell>
          <cell r="D403" t="str">
            <v>09</v>
          </cell>
          <cell r="E403" t="str">
            <v>AREQUIPA</v>
          </cell>
          <cell r="F403" t="str">
            <v>CAYLLOMA</v>
          </cell>
          <cell r="G403" t="str">
            <v>ICHUPAMPA</v>
          </cell>
          <cell r="H403" t="str">
            <v>010408</v>
          </cell>
          <cell r="I403" t="str">
            <v>2</v>
          </cell>
        </row>
        <row r="404">
          <cell r="A404" t="str">
            <v>AREQUIPACAYLLOMALARI</v>
          </cell>
          <cell r="B404" t="str">
            <v>04</v>
          </cell>
          <cell r="C404" t="str">
            <v>05</v>
          </cell>
          <cell r="D404" t="str">
            <v>10</v>
          </cell>
          <cell r="E404" t="str">
            <v>AREQUIPA</v>
          </cell>
          <cell r="F404" t="str">
            <v>CAYLLOMA</v>
          </cell>
          <cell r="G404" t="str">
            <v>LARI</v>
          </cell>
          <cell r="H404" t="str">
            <v>010409</v>
          </cell>
          <cell r="I404" t="str">
            <v>2</v>
          </cell>
        </row>
        <row r="405">
          <cell r="A405" t="str">
            <v>AREQUIPACAYLLOMALLUTA</v>
          </cell>
          <cell r="B405" t="str">
            <v>04</v>
          </cell>
          <cell r="C405" t="str">
            <v>05</v>
          </cell>
          <cell r="D405" t="str">
            <v>11</v>
          </cell>
          <cell r="E405" t="str">
            <v>AREQUIPA</v>
          </cell>
          <cell r="F405" t="str">
            <v>CAYLLOMA</v>
          </cell>
          <cell r="G405" t="str">
            <v>LLUTA</v>
          </cell>
          <cell r="H405" t="str">
            <v>010401</v>
          </cell>
          <cell r="I405" t="str">
            <v>2</v>
          </cell>
        </row>
        <row r="406">
          <cell r="A406" t="str">
            <v>AREQUIPACAYLLOMAMACA</v>
          </cell>
          <cell r="B406" t="str">
            <v>04</v>
          </cell>
          <cell r="C406" t="str">
            <v>05</v>
          </cell>
          <cell r="D406" t="str">
            <v>12</v>
          </cell>
          <cell r="E406" t="str">
            <v>AREQUIPA</v>
          </cell>
          <cell r="F406" t="str">
            <v>CAYLLOMA</v>
          </cell>
          <cell r="G406" t="str">
            <v>MACA</v>
          </cell>
          <cell r="H406" t="str">
            <v>010402</v>
          </cell>
          <cell r="I406" t="str">
            <v>2</v>
          </cell>
        </row>
        <row r="407">
          <cell r="A407" t="str">
            <v>AREQUIPACAYLLOMAMADRIGAL</v>
          </cell>
          <cell r="B407" t="str">
            <v>04</v>
          </cell>
          <cell r="C407" t="str">
            <v>05</v>
          </cell>
          <cell r="D407" t="str">
            <v>13</v>
          </cell>
          <cell r="E407" t="str">
            <v>AREQUIPA</v>
          </cell>
          <cell r="F407" t="str">
            <v>CAYLLOMA</v>
          </cell>
          <cell r="G407" t="str">
            <v>MADRIGAL</v>
          </cell>
          <cell r="H407" t="str">
            <v>010410</v>
          </cell>
          <cell r="I407" t="str">
            <v>2</v>
          </cell>
        </row>
        <row r="408">
          <cell r="A408" t="str">
            <v>AREQUIPACAYLLOMASAN ANTONIO DE CHUCA</v>
          </cell>
          <cell r="B408" t="str">
            <v>04</v>
          </cell>
          <cell r="C408" t="str">
            <v>05</v>
          </cell>
          <cell r="D408" t="str">
            <v>14</v>
          </cell>
          <cell r="E408" t="str">
            <v>AREQUIPA</v>
          </cell>
          <cell r="F408" t="str">
            <v>CAYLLOMA</v>
          </cell>
          <cell r="G408" t="str">
            <v>SAN ANTONIO DE CHUCA</v>
          </cell>
          <cell r="H408" t="str">
            <v>010411</v>
          </cell>
          <cell r="I408" t="str">
            <v>2</v>
          </cell>
        </row>
        <row r="409">
          <cell r="A409" t="str">
            <v>AREQUIPACAYLLOMASIBAYO</v>
          </cell>
          <cell r="B409" t="str">
            <v>04</v>
          </cell>
          <cell r="C409" t="str">
            <v>05</v>
          </cell>
          <cell r="D409" t="str">
            <v>15</v>
          </cell>
          <cell r="E409" t="str">
            <v>AREQUIPA</v>
          </cell>
          <cell r="F409" t="str">
            <v>CAYLLOMA</v>
          </cell>
          <cell r="G409" t="str">
            <v>SIBAYO</v>
          </cell>
          <cell r="H409" t="str">
            <v>010412</v>
          </cell>
          <cell r="I409" t="str">
            <v>2</v>
          </cell>
        </row>
        <row r="410">
          <cell r="A410" t="str">
            <v>AREQUIPACAYLLOMATAPAY</v>
          </cell>
          <cell r="B410" t="str">
            <v>04</v>
          </cell>
          <cell r="C410" t="str">
            <v>05</v>
          </cell>
          <cell r="D410" t="str">
            <v>16</v>
          </cell>
          <cell r="E410" t="str">
            <v>AREQUIPA</v>
          </cell>
          <cell r="F410" t="str">
            <v>CAYLLOMA</v>
          </cell>
          <cell r="G410" t="str">
            <v>TAPAY</v>
          </cell>
          <cell r="H410" t="str">
            <v>010403</v>
          </cell>
          <cell r="I410" t="str">
            <v>2</v>
          </cell>
        </row>
        <row r="411">
          <cell r="A411" t="str">
            <v>AREQUIPACAYLLOMATISCO</v>
          </cell>
          <cell r="B411" t="str">
            <v>04</v>
          </cell>
          <cell r="C411" t="str">
            <v>05</v>
          </cell>
          <cell r="D411" t="str">
            <v>17</v>
          </cell>
          <cell r="E411" t="str">
            <v>AREQUIPA</v>
          </cell>
          <cell r="F411" t="str">
            <v>CAYLLOMA</v>
          </cell>
          <cell r="G411" t="str">
            <v>TISCO</v>
          </cell>
          <cell r="H411" t="str">
            <v>010413</v>
          </cell>
          <cell r="I411" t="str">
            <v>2</v>
          </cell>
        </row>
        <row r="412">
          <cell r="A412" t="str">
            <v>AREQUIPACAYLLOMATUTI</v>
          </cell>
          <cell r="B412" t="str">
            <v>04</v>
          </cell>
          <cell r="C412" t="str">
            <v>05</v>
          </cell>
          <cell r="D412" t="str">
            <v>18</v>
          </cell>
          <cell r="E412" t="str">
            <v>AREQUIPA</v>
          </cell>
          <cell r="F412" t="str">
            <v>CAYLLOMA</v>
          </cell>
          <cell r="G412" t="str">
            <v>TUTI</v>
          </cell>
          <cell r="H412" t="str">
            <v>010414</v>
          </cell>
          <cell r="I412" t="str">
            <v>2</v>
          </cell>
        </row>
        <row r="413">
          <cell r="A413" t="str">
            <v>AREQUIPACAYLLOMAYANQUE</v>
          </cell>
          <cell r="B413" t="str">
            <v>04</v>
          </cell>
          <cell r="C413" t="str">
            <v>05</v>
          </cell>
          <cell r="D413" t="str">
            <v>19</v>
          </cell>
          <cell r="E413" t="str">
            <v>AREQUIPA</v>
          </cell>
          <cell r="F413" t="str">
            <v>CAYLLOMA</v>
          </cell>
          <cell r="G413" t="str">
            <v>YANQUE</v>
          </cell>
          <cell r="H413" t="str">
            <v>011965</v>
          </cell>
          <cell r="I413" t="str">
            <v>2</v>
          </cell>
        </row>
        <row r="414">
          <cell r="A414" t="str">
            <v>AREQUIPACAYLLOMAMAJES</v>
          </cell>
          <cell r="B414" t="str">
            <v>04</v>
          </cell>
          <cell r="C414" t="str">
            <v>05</v>
          </cell>
          <cell r="D414" t="str">
            <v>20</v>
          </cell>
          <cell r="E414" t="str">
            <v>AREQUIPA</v>
          </cell>
          <cell r="F414" t="str">
            <v>CAYLLOMA</v>
          </cell>
          <cell r="G414" t="str">
            <v>MAJES</v>
          </cell>
          <cell r="H414" t="str">
            <v>010360</v>
          </cell>
          <cell r="I414" t="str">
            <v>2</v>
          </cell>
        </row>
        <row r="415">
          <cell r="A415" t="str">
            <v>AREQUIPACONDESUYOSCHUQUIBAMBA</v>
          </cell>
          <cell r="B415" t="str">
            <v>04</v>
          </cell>
          <cell r="C415" t="str">
            <v>06</v>
          </cell>
          <cell r="D415" t="str">
            <v>01</v>
          </cell>
          <cell r="E415" t="str">
            <v>AREQUIPA</v>
          </cell>
          <cell r="F415" t="str">
            <v>CONDESUYOS</v>
          </cell>
          <cell r="G415" t="str">
            <v>CHUQUIBAMBA</v>
          </cell>
          <cell r="H415" t="str">
            <v>011954</v>
          </cell>
          <cell r="I415" t="str">
            <v>1</v>
          </cell>
        </row>
        <row r="416">
          <cell r="A416" t="str">
            <v>AREQUIPACONDESUYOSANDARAY</v>
          </cell>
          <cell r="B416" t="str">
            <v>04</v>
          </cell>
          <cell r="C416" t="str">
            <v>06</v>
          </cell>
          <cell r="D416" t="str">
            <v>02</v>
          </cell>
          <cell r="E416" t="str">
            <v>AREQUIPA</v>
          </cell>
          <cell r="F416" t="str">
            <v>CONDESUYOS</v>
          </cell>
          <cell r="G416" t="str">
            <v>ANDARAY</v>
          </cell>
          <cell r="H416" t="str">
            <v>010416</v>
          </cell>
          <cell r="I416" t="str">
            <v>2</v>
          </cell>
        </row>
        <row r="417">
          <cell r="A417" t="str">
            <v>AREQUIPACONDESUYOSCAYARANI</v>
          </cell>
          <cell r="B417" t="str">
            <v>04</v>
          </cell>
          <cell r="C417" t="str">
            <v>06</v>
          </cell>
          <cell r="D417" t="str">
            <v>03</v>
          </cell>
          <cell r="E417" t="str">
            <v>AREQUIPA</v>
          </cell>
          <cell r="F417" t="str">
            <v>CONDESUYOS</v>
          </cell>
          <cell r="G417" t="str">
            <v>CAYARANI</v>
          </cell>
          <cell r="H417" t="str">
            <v>010417</v>
          </cell>
          <cell r="I417" t="str">
            <v>2</v>
          </cell>
        </row>
        <row r="418">
          <cell r="A418" t="str">
            <v>AREQUIPACONDESUYOSCHICHAS</v>
          </cell>
          <cell r="B418" t="str">
            <v>04</v>
          </cell>
          <cell r="C418" t="str">
            <v>06</v>
          </cell>
          <cell r="D418" t="str">
            <v>04</v>
          </cell>
          <cell r="E418" t="str">
            <v>AREQUIPA</v>
          </cell>
          <cell r="F418" t="str">
            <v>CONDESUYOS</v>
          </cell>
          <cell r="G418" t="str">
            <v>CHICHAS</v>
          </cell>
          <cell r="H418" t="str">
            <v>010356</v>
          </cell>
          <cell r="I418" t="str">
            <v>2</v>
          </cell>
        </row>
        <row r="419">
          <cell r="A419" t="str">
            <v>AREQUIPACONDESUYOSIRAY</v>
          </cell>
          <cell r="B419" t="str">
            <v>04</v>
          </cell>
          <cell r="C419" t="str">
            <v>06</v>
          </cell>
          <cell r="D419" t="str">
            <v>05</v>
          </cell>
          <cell r="E419" t="str">
            <v>AREQUIPA</v>
          </cell>
          <cell r="F419" t="str">
            <v>CONDESUYOS</v>
          </cell>
          <cell r="G419" t="str">
            <v>IRAY</v>
          </cell>
          <cell r="H419" t="str">
            <v>010419</v>
          </cell>
          <cell r="I419" t="str">
            <v>2</v>
          </cell>
        </row>
        <row r="420">
          <cell r="A420" t="str">
            <v>AREQUIPACONDESUYOSRIO GRANDE</v>
          </cell>
          <cell r="B420" t="str">
            <v>04</v>
          </cell>
          <cell r="C420" t="str">
            <v>06</v>
          </cell>
          <cell r="D420" t="str">
            <v>06</v>
          </cell>
          <cell r="E420" t="str">
            <v>AREQUIPA</v>
          </cell>
          <cell r="F420" t="str">
            <v>CONDESUYOS</v>
          </cell>
          <cell r="G420" t="str">
            <v>RIO GRANDE</v>
          </cell>
          <cell r="H420" t="str">
            <v>010420</v>
          </cell>
          <cell r="I420" t="str">
            <v>2</v>
          </cell>
        </row>
        <row r="421">
          <cell r="A421" t="str">
            <v>AREQUIPACONDESUYOSSALAMANCA</v>
          </cell>
          <cell r="B421" t="str">
            <v>04</v>
          </cell>
          <cell r="C421" t="str">
            <v>06</v>
          </cell>
          <cell r="D421" t="str">
            <v>07</v>
          </cell>
          <cell r="E421" t="str">
            <v>AREQUIPA</v>
          </cell>
          <cell r="F421" t="str">
            <v>CONDESUYOS</v>
          </cell>
          <cell r="G421" t="str">
            <v>SALAMANCA</v>
          </cell>
          <cell r="H421" t="str">
            <v>010421</v>
          </cell>
          <cell r="I421" t="str">
            <v>2</v>
          </cell>
        </row>
        <row r="422">
          <cell r="A422" t="str">
            <v>AREQUIPACONDESUYOSYANAQUIHUA</v>
          </cell>
          <cell r="B422" t="str">
            <v>04</v>
          </cell>
          <cell r="C422" t="str">
            <v>06</v>
          </cell>
          <cell r="D422" t="str">
            <v>08</v>
          </cell>
          <cell r="E422" t="str">
            <v>AREQUIPA</v>
          </cell>
          <cell r="F422" t="str">
            <v>CONDESUYOS</v>
          </cell>
          <cell r="G422" t="str">
            <v>YANAQUIHUA</v>
          </cell>
          <cell r="H422" t="str">
            <v>012459</v>
          </cell>
          <cell r="I422" t="str">
            <v>2</v>
          </cell>
        </row>
        <row r="423">
          <cell r="A423" t="str">
            <v>AREQUIPAISLAYMOLLENDO</v>
          </cell>
          <cell r="B423" t="str">
            <v>04</v>
          </cell>
          <cell r="C423" t="str">
            <v>07</v>
          </cell>
          <cell r="D423" t="str">
            <v>01</v>
          </cell>
          <cell r="E423" t="str">
            <v>AREQUIPA</v>
          </cell>
          <cell r="F423" t="str">
            <v>ISLAY</v>
          </cell>
          <cell r="G423" t="str">
            <v>MOLLENDO</v>
          </cell>
          <cell r="H423" t="str">
            <v>010423</v>
          </cell>
          <cell r="I423" t="str">
            <v>1</v>
          </cell>
        </row>
        <row r="424">
          <cell r="A424" t="str">
            <v>AREQUIPAISLAYCOCACHACRA</v>
          </cell>
          <cell r="B424" t="str">
            <v>04</v>
          </cell>
          <cell r="C424" t="str">
            <v>07</v>
          </cell>
          <cell r="D424" t="str">
            <v>02</v>
          </cell>
          <cell r="E424" t="str">
            <v>AREQUIPA</v>
          </cell>
          <cell r="F424" t="str">
            <v>ISLAY</v>
          </cell>
          <cell r="G424" t="str">
            <v>COCACHACRA</v>
          </cell>
          <cell r="H424" t="str">
            <v>010424</v>
          </cell>
          <cell r="I424" t="str">
            <v>2</v>
          </cell>
        </row>
        <row r="425">
          <cell r="A425" t="str">
            <v>AREQUIPAISLAYDEAN VALDIVIA</v>
          </cell>
          <cell r="B425" t="str">
            <v>04</v>
          </cell>
          <cell r="C425" t="str">
            <v>07</v>
          </cell>
          <cell r="D425" t="str">
            <v>03</v>
          </cell>
          <cell r="E425" t="str">
            <v>AREQUIPA</v>
          </cell>
          <cell r="F425" t="str">
            <v>ISLAY</v>
          </cell>
          <cell r="G425" t="str">
            <v>DEAN VALDIVIA</v>
          </cell>
          <cell r="H425" t="str">
            <v>010425</v>
          </cell>
          <cell r="I425" t="str">
            <v>2</v>
          </cell>
        </row>
        <row r="426">
          <cell r="A426" t="str">
            <v>AREQUIPAISLAYISLAY</v>
          </cell>
          <cell r="B426" t="str">
            <v>04</v>
          </cell>
          <cell r="C426" t="str">
            <v>07</v>
          </cell>
          <cell r="D426" t="str">
            <v>04</v>
          </cell>
          <cell r="E426" t="str">
            <v>AREQUIPA</v>
          </cell>
          <cell r="F426" t="str">
            <v>ISLAY</v>
          </cell>
          <cell r="G426" t="str">
            <v>ISLAY</v>
          </cell>
          <cell r="H426" t="str">
            <v>010426</v>
          </cell>
          <cell r="I426" t="str">
            <v>2</v>
          </cell>
        </row>
        <row r="427">
          <cell r="A427" t="str">
            <v>AREQUIPAISLAYMEJIA</v>
          </cell>
          <cell r="B427" t="str">
            <v>04</v>
          </cell>
          <cell r="C427" t="str">
            <v>07</v>
          </cell>
          <cell r="D427" t="str">
            <v>05</v>
          </cell>
          <cell r="E427" t="str">
            <v>AREQUIPA</v>
          </cell>
          <cell r="F427" t="str">
            <v>ISLAY</v>
          </cell>
          <cell r="G427" t="str">
            <v>MEJIA</v>
          </cell>
          <cell r="H427" t="str">
            <v>013016</v>
          </cell>
          <cell r="I427" t="str">
            <v>2</v>
          </cell>
        </row>
        <row r="428">
          <cell r="A428" t="str">
            <v>AREQUIPAISLAYPUNTA DE BOMBON</v>
          </cell>
          <cell r="B428" t="str">
            <v>04</v>
          </cell>
          <cell r="C428" t="str">
            <v>07</v>
          </cell>
          <cell r="D428" t="str">
            <v>06</v>
          </cell>
          <cell r="E428" t="str">
            <v>AREQUIPA</v>
          </cell>
          <cell r="F428" t="str">
            <v>ISLAY</v>
          </cell>
          <cell r="G428" t="str">
            <v>PUNTA DE BOMBON</v>
          </cell>
          <cell r="H428" t="str">
            <v>010428</v>
          </cell>
          <cell r="I428" t="str">
            <v>2</v>
          </cell>
        </row>
        <row r="429">
          <cell r="A429" t="str">
            <v>AREQUIPALA UNIONCOTAHUASI</v>
          </cell>
          <cell r="B429" t="str">
            <v>04</v>
          </cell>
          <cell r="C429" t="str">
            <v>08</v>
          </cell>
          <cell r="D429" t="str">
            <v>01</v>
          </cell>
          <cell r="E429" t="str">
            <v>AREQUIPA</v>
          </cell>
          <cell r="F429" t="str">
            <v>LA UNION</v>
          </cell>
          <cell r="G429" t="str">
            <v>COTAHUASI</v>
          </cell>
          <cell r="H429" t="str">
            <v>010429</v>
          </cell>
          <cell r="I429" t="str">
            <v>1</v>
          </cell>
        </row>
        <row r="430">
          <cell r="A430" t="str">
            <v>AREQUIPALA UNIONALCA</v>
          </cell>
          <cell r="B430" t="str">
            <v>04</v>
          </cell>
          <cell r="C430" t="str">
            <v>08</v>
          </cell>
          <cell r="D430" t="str">
            <v>02</v>
          </cell>
          <cell r="E430" t="str">
            <v>AREQUIPA</v>
          </cell>
          <cell r="F430" t="str">
            <v>LA UNION</v>
          </cell>
          <cell r="G430" t="str">
            <v>ALCA</v>
          </cell>
          <cell r="H430" t="str">
            <v>010430</v>
          </cell>
          <cell r="I430" t="str">
            <v>2</v>
          </cell>
        </row>
        <row r="431">
          <cell r="A431" t="str">
            <v>AREQUIPALA UNIONCHARCANA</v>
          </cell>
          <cell r="B431" t="str">
            <v>04</v>
          </cell>
          <cell r="C431" t="str">
            <v>08</v>
          </cell>
          <cell r="D431" t="str">
            <v>03</v>
          </cell>
          <cell r="E431" t="str">
            <v>AREQUIPA</v>
          </cell>
          <cell r="F431" t="str">
            <v>LA UNION</v>
          </cell>
          <cell r="G431" t="str">
            <v>CHARCANA</v>
          </cell>
          <cell r="H431" t="str">
            <v>010431</v>
          </cell>
          <cell r="I431" t="str">
            <v>2</v>
          </cell>
        </row>
        <row r="432">
          <cell r="A432" t="str">
            <v>AREQUIPALA UNIONHUAYNACOTAS</v>
          </cell>
          <cell r="B432" t="str">
            <v>04</v>
          </cell>
          <cell r="C432" t="str">
            <v>08</v>
          </cell>
          <cell r="D432" t="str">
            <v>04</v>
          </cell>
          <cell r="E432" t="str">
            <v>AREQUIPA</v>
          </cell>
          <cell r="F432" t="str">
            <v>LA UNION</v>
          </cell>
          <cell r="G432" t="str">
            <v>HUAYNACOTAS</v>
          </cell>
          <cell r="H432" t="str">
            <v>010432</v>
          </cell>
          <cell r="I432" t="str">
            <v>2</v>
          </cell>
        </row>
        <row r="433">
          <cell r="A433" t="str">
            <v>AREQUIPALA UNIONPAMPAMARCA</v>
          </cell>
          <cell r="B433" t="str">
            <v>04</v>
          </cell>
          <cell r="C433" t="str">
            <v>08</v>
          </cell>
          <cell r="D433" t="str">
            <v>05</v>
          </cell>
          <cell r="E433" t="str">
            <v>AREQUIPA</v>
          </cell>
          <cell r="F433" t="str">
            <v>LA UNION</v>
          </cell>
          <cell r="G433" t="str">
            <v>PAMPAMARCA</v>
          </cell>
          <cell r="H433" t="str">
            <v>011962</v>
          </cell>
          <cell r="I433" t="str">
            <v>2</v>
          </cell>
        </row>
        <row r="434">
          <cell r="A434" t="str">
            <v>AREQUIPALA UNIONPUYCA</v>
          </cell>
          <cell r="B434" t="str">
            <v>04</v>
          </cell>
          <cell r="C434" t="str">
            <v>08</v>
          </cell>
          <cell r="D434" t="str">
            <v>06</v>
          </cell>
          <cell r="E434" t="str">
            <v>AREQUIPA</v>
          </cell>
          <cell r="F434" t="str">
            <v>LA UNION</v>
          </cell>
          <cell r="G434" t="str">
            <v>PUYCA</v>
          </cell>
          <cell r="H434" t="str">
            <v>010434</v>
          </cell>
          <cell r="I434" t="str">
            <v>2</v>
          </cell>
        </row>
        <row r="435">
          <cell r="A435" t="str">
            <v>AREQUIPALA UNIONQUECHUALLA</v>
          </cell>
          <cell r="B435" t="str">
            <v>04</v>
          </cell>
          <cell r="C435" t="str">
            <v>08</v>
          </cell>
          <cell r="D435" t="str">
            <v>07</v>
          </cell>
          <cell r="E435" t="str">
            <v>AREQUIPA</v>
          </cell>
          <cell r="F435" t="str">
            <v>LA UNION</v>
          </cell>
          <cell r="G435" t="str">
            <v>QUECHUALLA</v>
          </cell>
          <cell r="H435" t="str">
            <v>012460</v>
          </cell>
          <cell r="I435" t="str">
            <v>2</v>
          </cell>
        </row>
        <row r="436">
          <cell r="A436" t="str">
            <v>AREQUIPALA UNIONSAYLA</v>
          </cell>
          <cell r="B436" t="str">
            <v>04</v>
          </cell>
          <cell r="C436" t="str">
            <v>08</v>
          </cell>
          <cell r="D436" t="str">
            <v>08</v>
          </cell>
          <cell r="E436" t="str">
            <v>AREQUIPA</v>
          </cell>
          <cell r="F436" t="str">
            <v>LA UNION</v>
          </cell>
          <cell r="G436" t="str">
            <v>SAYLA</v>
          </cell>
          <cell r="H436" t="str">
            <v>010436</v>
          </cell>
          <cell r="I436" t="str">
            <v>2</v>
          </cell>
        </row>
        <row r="437">
          <cell r="A437" t="str">
            <v>AREQUIPALA UNIONTAURIA</v>
          </cell>
          <cell r="B437" t="str">
            <v>04</v>
          </cell>
          <cell r="C437" t="str">
            <v>08</v>
          </cell>
          <cell r="D437" t="str">
            <v>09</v>
          </cell>
          <cell r="E437" t="str">
            <v>AREQUIPA</v>
          </cell>
          <cell r="F437" t="str">
            <v>LA UNION</v>
          </cell>
          <cell r="G437" t="str">
            <v>TAURIA</v>
          </cell>
          <cell r="H437" t="str">
            <v>010437</v>
          </cell>
          <cell r="I437" t="str">
            <v>2</v>
          </cell>
        </row>
        <row r="438">
          <cell r="A438" t="str">
            <v>AREQUIPALA UNIONTOMEPAMPA</v>
          </cell>
          <cell r="B438" t="str">
            <v>04</v>
          </cell>
          <cell r="C438" t="str">
            <v>08</v>
          </cell>
          <cell r="D438" t="str">
            <v>10</v>
          </cell>
          <cell r="E438" t="str">
            <v>AREQUIPA</v>
          </cell>
          <cell r="F438" t="str">
            <v>LA UNION</v>
          </cell>
          <cell r="G438" t="str">
            <v>TOMEPAMPA</v>
          </cell>
          <cell r="H438" t="str">
            <v>010438</v>
          </cell>
          <cell r="I438" t="str">
            <v>2</v>
          </cell>
        </row>
        <row r="439">
          <cell r="A439" t="str">
            <v>AREQUIPALA UNIONTORO</v>
          </cell>
          <cell r="B439" t="str">
            <v>04</v>
          </cell>
          <cell r="C439" t="str">
            <v>08</v>
          </cell>
          <cell r="D439" t="str">
            <v>11</v>
          </cell>
          <cell r="E439" t="str">
            <v>AREQUIPA</v>
          </cell>
          <cell r="F439" t="str">
            <v>LA UNION</v>
          </cell>
          <cell r="G439" t="str">
            <v>TORO</v>
          </cell>
          <cell r="H439" t="str">
            <v>010439</v>
          </cell>
          <cell r="I439" t="str">
            <v>2</v>
          </cell>
        </row>
        <row r="440">
          <cell r="A440" t="str">
            <v>AYACUCHOHUAMANGAAYACUCHO</v>
          </cell>
          <cell r="B440" t="str">
            <v>05</v>
          </cell>
          <cell r="C440" t="str">
            <v>01</v>
          </cell>
          <cell r="D440" t="str">
            <v>01</v>
          </cell>
          <cell r="E440" t="str">
            <v>AYACUCHO</v>
          </cell>
          <cell r="F440" t="str">
            <v>HUAMANGA</v>
          </cell>
          <cell r="G440" t="str">
            <v>AYACUCHO</v>
          </cell>
          <cell r="H440" t="str">
            <v>010440</v>
          </cell>
          <cell r="I440" t="str">
            <v>1</v>
          </cell>
        </row>
        <row r="441">
          <cell r="A441" t="str">
            <v>AYACUCHOHUAMANGAACOCRO</v>
          </cell>
          <cell r="B441" t="str">
            <v>05</v>
          </cell>
          <cell r="C441" t="str">
            <v>01</v>
          </cell>
          <cell r="D441" t="str">
            <v>02</v>
          </cell>
          <cell r="E441" t="str">
            <v>AYACUCHO</v>
          </cell>
          <cell r="F441" t="str">
            <v>HUAMANGA</v>
          </cell>
          <cell r="G441" t="str">
            <v>ACOCRO</v>
          </cell>
          <cell r="H441" t="str">
            <v>011972</v>
          </cell>
          <cell r="I441" t="str">
            <v>2</v>
          </cell>
        </row>
        <row r="442">
          <cell r="A442" t="str">
            <v>AYACUCHOHUAMANGAACOS VINCHOS</v>
          </cell>
          <cell r="B442" t="str">
            <v>05</v>
          </cell>
          <cell r="C442" t="str">
            <v>01</v>
          </cell>
          <cell r="D442" t="str">
            <v>03</v>
          </cell>
          <cell r="E442" t="str">
            <v>AYACUCHO</v>
          </cell>
          <cell r="F442" t="str">
            <v>HUAMANGA</v>
          </cell>
          <cell r="G442" t="str">
            <v>ACOS VINCHOS</v>
          </cell>
          <cell r="H442" t="str">
            <v>010445</v>
          </cell>
          <cell r="I442" t="str">
            <v>2</v>
          </cell>
        </row>
        <row r="443">
          <cell r="A443" t="str">
            <v>AYACUCHOHUAMANGACARMEN ALTO</v>
          </cell>
          <cell r="B443" t="str">
            <v>05</v>
          </cell>
          <cell r="C443" t="str">
            <v>01</v>
          </cell>
          <cell r="D443" t="str">
            <v>04</v>
          </cell>
          <cell r="E443" t="str">
            <v>AYACUCHO</v>
          </cell>
          <cell r="F443" t="str">
            <v>HUAMANGA</v>
          </cell>
          <cell r="G443" t="str">
            <v>CARMEN ALTO</v>
          </cell>
          <cell r="H443" t="str">
            <v>012479</v>
          </cell>
          <cell r="I443" t="str">
            <v>2</v>
          </cell>
        </row>
        <row r="444">
          <cell r="A444" t="str">
            <v>AYACUCHOHUAMANGACHIARA</v>
          </cell>
          <cell r="B444" t="str">
            <v>05</v>
          </cell>
          <cell r="C444" t="str">
            <v>01</v>
          </cell>
          <cell r="D444" t="str">
            <v>05</v>
          </cell>
          <cell r="E444" t="str">
            <v>AYACUCHO</v>
          </cell>
          <cell r="F444" t="str">
            <v>HUAMANGA</v>
          </cell>
          <cell r="G444" t="str">
            <v>CHIARA</v>
          </cell>
          <cell r="H444" t="str">
            <v>012993</v>
          </cell>
          <cell r="I444" t="str">
            <v>2</v>
          </cell>
        </row>
        <row r="445">
          <cell r="A445" t="str">
            <v>AYACUCHOHUAMANGAOCROS</v>
          </cell>
          <cell r="B445" t="str">
            <v>05</v>
          </cell>
          <cell r="C445" t="str">
            <v>01</v>
          </cell>
          <cell r="D445" t="str">
            <v>06</v>
          </cell>
          <cell r="E445" t="str">
            <v>AYACUCHO</v>
          </cell>
          <cell r="F445" t="str">
            <v>HUAMANGA</v>
          </cell>
          <cell r="G445" t="str">
            <v>OCROS</v>
          </cell>
          <cell r="H445" t="str">
            <v>010447</v>
          </cell>
          <cell r="I445" t="str">
            <v>2</v>
          </cell>
        </row>
        <row r="446">
          <cell r="A446" t="str">
            <v>AYACUCHOHUAMANGAPACAYCASA</v>
          </cell>
          <cell r="B446" t="str">
            <v>05</v>
          </cell>
          <cell r="C446" t="str">
            <v>01</v>
          </cell>
          <cell r="D446" t="str">
            <v>07</v>
          </cell>
          <cell r="E446" t="str">
            <v>AYACUCHO</v>
          </cell>
          <cell r="F446" t="str">
            <v>HUAMANGA</v>
          </cell>
          <cell r="G446" t="str">
            <v>PACAYCASA</v>
          </cell>
          <cell r="H446" t="str">
            <v>010448</v>
          </cell>
          <cell r="I446" t="str">
            <v>2</v>
          </cell>
        </row>
        <row r="447">
          <cell r="A447" t="str">
            <v>AYACUCHOHUAMANGAQUINUA</v>
          </cell>
          <cell r="B447" t="str">
            <v>05</v>
          </cell>
          <cell r="C447" t="str">
            <v>01</v>
          </cell>
          <cell r="D447" t="str">
            <v>08</v>
          </cell>
          <cell r="E447" t="str">
            <v>AYACUCHO</v>
          </cell>
          <cell r="F447" t="str">
            <v>HUAMANGA</v>
          </cell>
          <cell r="G447" t="str">
            <v>QUINUA</v>
          </cell>
          <cell r="H447" t="str">
            <v>010449</v>
          </cell>
          <cell r="I447" t="str">
            <v>2</v>
          </cell>
        </row>
        <row r="448">
          <cell r="A448" t="str">
            <v>AYACUCHOHUAMANGASAN JOSE DE TICLLAS</v>
          </cell>
          <cell r="B448" t="str">
            <v>05</v>
          </cell>
          <cell r="C448" t="str">
            <v>01</v>
          </cell>
          <cell r="D448" t="str">
            <v>09</v>
          </cell>
          <cell r="E448" t="str">
            <v>AYACUCHO</v>
          </cell>
          <cell r="F448" t="str">
            <v>HUAMANGA</v>
          </cell>
          <cell r="G448" t="str">
            <v>SAN JOSE DE TICLLAS</v>
          </cell>
          <cell r="H448" t="str">
            <v>010450</v>
          </cell>
          <cell r="I448" t="str">
            <v>2</v>
          </cell>
        </row>
        <row r="449">
          <cell r="A449" t="str">
            <v>AYACUCHOHUAMANGASAN JUAN BAUTISTA</v>
          </cell>
          <cell r="B449" t="str">
            <v>05</v>
          </cell>
          <cell r="C449" t="str">
            <v>01</v>
          </cell>
          <cell r="D449" t="str">
            <v>10</v>
          </cell>
          <cell r="E449" t="str">
            <v>AYACUCHO</v>
          </cell>
          <cell r="F449" t="str">
            <v>HUAMANGA</v>
          </cell>
          <cell r="G449" t="str">
            <v>SAN JUAN BAUTISTA</v>
          </cell>
          <cell r="H449" t="str">
            <v>010442</v>
          </cell>
          <cell r="I449" t="str">
            <v>2</v>
          </cell>
        </row>
        <row r="450">
          <cell r="A450" t="str">
            <v>AYACUCHOHUAMANGASANTIAGO DE PISCHA</v>
          </cell>
          <cell r="B450" t="str">
            <v>05</v>
          </cell>
          <cell r="C450" t="str">
            <v>01</v>
          </cell>
          <cell r="D450" t="str">
            <v>11</v>
          </cell>
          <cell r="E450" t="str">
            <v>AYACUCHO</v>
          </cell>
          <cell r="F450" t="str">
            <v>HUAMANGA</v>
          </cell>
          <cell r="G450" t="str">
            <v>SANTIAGO DE PISCHA</v>
          </cell>
          <cell r="H450" t="str">
            <v>010451</v>
          </cell>
          <cell r="I450" t="str">
            <v>2</v>
          </cell>
        </row>
        <row r="451">
          <cell r="A451" t="str">
            <v>AYACUCHOHUAMANGASOCOS</v>
          </cell>
          <cell r="B451" t="str">
            <v>05</v>
          </cell>
          <cell r="C451" t="str">
            <v>01</v>
          </cell>
          <cell r="D451" t="str">
            <v>12</v>
          </cell>
          <cell r="E451" t="str">
            <v>AYACUCHO</v>
          </cell>
          <cell r="F451" t="str">
            <v>HUAMANGA</v>
          </cell>
          <cell r="G451" t="str">
            <v>SOCOS</v>
          </cell>
          <cell r="H451" t="str">
            <v>010452</v>
          </cell>
          <cell r="I451" t="str">
            <v>2</v>
          </cell>
        </row>
        <row r="452">
          <cell r="A452" t="str">
            <v>AYACUCHOHUAMANGATAMBILLO</v>
          </cell>
          <cell r="B452" t="str">
            <v>05</v>
          </cell>
          <cell r="C452" t="str">
            <v>01</v>
          </cell>
          <cell r="D452" t="str">
            <v>13</v>
          </cell>
          <cell r="E452" t="str">
            <v>AYACUCHO</v>
          </cell>
          <cell r="F452" t="str">
            <v>HUAMANGA</v>
          </cell>
          <cell r="G452" t="str">
            <v>TAMBILLO</v>
          </cell>
          <cell r="H452" t="str">
            <v>013023</v>
          </cell>
          <cell r="I452" t="str">
            <v>2</v>
          </cell>
        </row>
        <row r="453">
          <cell r="A453" t="str">
            <v>AYACUCHOHUAMANGAVINCHOS</v>
          </cell>
          <cell r="B453" t="str">
            <v>05</v>
          </cell>
          <cell r="C453" t="str">
            <v>01</v>
          </cell>
          <cell r="D453" t="str">
            <v>14</v>
          </cell>
          <cell r="E453" t="str">
            <v>AYACUCHO</v>
          </cell>
          <cell r="F453" t="str">
            <v>HUAMANGA</v>
          </cell>
          <cell r="G453" t="str">
            <v>VINCHOS</v>
          </cell>
          <cell r="H453" t="str">
            <v>010454</v>
          </cell>
          <cell r="I453" t="str">
            <v>2</v>
          </cell>
        </row>
        <row r="454">
          <cell r="A454" t="str">
            <v>AYACUCHOHUAMANGAJESUS NAZARENO</v>
          </cell>
          <cell r="B454" t="str">
            <v>05</v>
          </cell>
          <cell r="C454" t="str">
            <v>01</v>
          </cell>
          <cell r="D454" t="str">
            <v>15</v>
          </cell>
          <cell r="E454" t="str">
            <v>AYACUCHO</v>
          </cell>
          <cell r="F454" t="str">
            <v>HUAMANGA</v>
          </cell>
          <cell r="G454" t="str">
            <v>JESUS NAZARENO</v>
          </cell>
          <cell r="H454" t="str">
            <v>010443</v>
          </cell>
          <cell r="I454" t="str">
            <v>2</v>
          </cell>
        </row>
        <row r="455">
          <cell r="A455" t="str">
            <v>AYACUCHOCANGALLOCANGALLO</v>
          </cell>
          <cell r="B455" t="str">
            <v>05</v>
          </cell>
          <cell r="C455" t="str">
            <v>02</v>
          </cell>
          <cell r="D455" t="str">
            <v>01</v>
          </cell>
          <cell r="E455" t="str">
            <v>AYACUCHO</v>
          </cell>
          <cell r="F455" t="str">
            <v>CANGALLO</v>
          </cell>
          <cell r="G455" t="str">
            <v>CANGALLO</v>
          </cell>
          <cell r="H455" t="str">
            <v>010455</v>
          </cell>
          <cell r="I455" t="str">
            <v>1</v>
          </cell>
        </row>
        <row r="456">
          <cell r="A456" t="str">
            <v>AYACUCHOCANGALLOCHUSCHI</v>
          </cell>
          <cell r="B456" t="str">
            <v>05</v>
          </cell>
          <cell r="C456" t="str">
            <v>02</v>
          </cell>
          <cell r="D456" t="str">
            <v>02</v>
          </cell>
          <cell r="E456" t="str">
            <v>AYACUCHO</v>
          </cell>
          <cell r="F456" t="str">
            <v>CANGALLO</v>
          </cell>
          <cell r="G456" t="str">
            <v>CHUSCHI</v>
          </cell>
          <cell r="H456" t="str">
            <v>010456</v>
          </cell>
          <cell r="I456" t="str">
            <v>2</v>
          </cell>
        </row>
        <row r="457">
          <cell r="A457" t="str">
            <v>AYACUCHOCANGALLOLOS MOROCHUCOS</v>
          </cell>
          <cell r="B457" t="str">
            <v>05</v>
          </cell>
          <cell r="C457" t="str">
            <v>02</v>
          </cell>
          <cell r="D457" t="str">
            <v>03</v>
          </cell>
          <cell r="E457" t="str">
            <v>AYACUCHO</v>
          </cell>
          <cell r="F457" t="str">
            <v>CANGALLO</v>
          </cell>
          <cell r="G457" t="str">
            <v>LOS MOROCHUCOS</v>
          </cell>
          <cell r="H457" t="str">
            <v>010457</v>
          </cell>
          <cell r="I457" t="str">
            <v>2</v>
          </cell>
        </row>
        <row r="458">
          <cell r="A458" t="str">
            <v>AYACUCHOCANGALLOMARIA PARADO DE BELLIDO</v>
          </cell>
          <cell r="B458" t="str">
            <v>05</v>
          </cell>
          <cell r="C458" t="str">
            <v>02</v>
          </cell>
          <cell r="D458" t="str">
            <v>04</v>
          </cell>
          <cell r="E458" t="str">
            <v>AYACUCHO</v>
          </cell>
          <cell r="F458" t="str">
            <v>CANGALLO</v>
          </cell>
          <cell r="G458" t="str">
            <v>MARIA PARADO DE BELLIDO</v>
          </cell>
          <cell r="H458" t="str">
            <v>010458</v>
          </cell>
          <cell r="I458" t="str">
            <v>2</v>
          </cell>
        </row>
        <row r="459">
          <cell r="A459" t="str">
            <v>AYACUCHOCANGALLOPARAS</v>
          </cell>
          <cell r="B459" t="str">
            <v>05</v>
          </cell>
          <cell r="C459" t="str">
            <v>02</v>
          </cell>
          <cell r="D459" t="str">
            <v>05</v>
          </cell>
          <cell r="E459" t="str">
            <v>AYACUCHO</v>
          </cell>
          <cell r="F459" t="str">
            <v>CANGALLO</v>
          </cell>
          <cell r="G459" t="str">
            <v>PARAS</v>
          </cell>
          <cell r="H459" t="str">
            <v>011970</v>
          </cell>
          <cell r="I459" t="str">
            <v>2</v>
          </cell>
        </row>
        <row r="460">
          <cell r="A460" t="str">
            <v>AYACUCHOCANGALLOTOTOS</v>
          </cell>
          <cell r="B460" t="str">
            <v>05</v>
          </cell>
          <cell r="C460" t="str">
            <v>02</v>
          </cell>
          <cell r="D460" t="str">
            <v>06</v>
          </cell>
          <cell r="E460" t="str">
            <v>AYACUCHO</v>
          </cell>
          <cell r="F460" t="str">
            <v>CANGALLO</v>
          </cell>
          <cell r="G460" t="str">
            <v>TOTOS</v>
          </cell>
          <cell r="H460" t="str">
            <v>010460</v>
          </cell>
          <cell r="I460" t="str">
            <v>2</v>
          </cell>
        </row>
        <row r="461">
          <cell r="A461" t="str">
            <v>AYACUCHOHUANCA SANCOSSANCOS</v>
          </cell>
          <cell r="B461" t="str">
            <v>05</v>
          </cell>
          <cell r="C461" t="str">
            <v>03</v>
          </cell>
          <cell r="D461" t="str">
            <v>01</v>
          </cell>
          <cell r="E461" t="str">
            <v>AYACUCHO</v>
          </cell>
          <cell r="F461" t="str">
            <v>HUANCA SANCOS</v>
          </cell>
          <cell r="G461" t="str">
            <v>SANCOS</v>
          </cell>
          <cell r="H461" t="str">
            <v>010461</v>
          </cell>
          <cell r="I461" t="str">
            <v>1</v>
          </cell>
        </row>
        <row r="462">
          <cell r="A462" t="str">
            <v>AYACUCHOHUANCA SANCOSCARAPO</v>
          </cell>
          <cell r="B462" t="str">
            <v>05</v>
          </cell>
          <cell r="C462" t="str">
            <v>03</v>
          </cell>
          <cell r="D462" t="str">
            <v>02</v>
          </cell>
          <cell r="E462" t="str">
            <v>AYACUCHO</v>
          </cell>
          <cell r="F462" t="str">
            <v>HUANCA SANCOS</v>
          </cell>
          <cell r="G462" t="str">
            <v>CARAPO</v>
          </cell>
          <cell r="H462" t="str">
            <v>010462</v>
          </cell>
          <cell r="I462" t="str">
            <v>2</v>
          </cell>
        </row>
        <row r="463">
          <cell r="A463" t="str">
            <v>AYACUCHOHUANCA SANCOSSACSAMARCA</v>
          </cell>
          <cell r="B463" t="str">
            <v>05</v>
          </cell>
          <cell r="C463" t="str">
            <v>03</v>
          </cell>
          <cell r="D463" t="str">
            <v>03</v>
          </cell>
          <cell r="E463" t="str">
            <v>AYACUCHO</v>
          </cell>
          <cell r="F463" t="str">
            <v>HUANCA SANCOS</v>
          </cell>
          <cell r="G463" t="str">
            <v>SACSAMARCA</v>
          </cell>
          <cell r="H463" t="str">
            <v>010463</v>
          </cell>
          <cell r="I463" t="str">
            <v>2</v>
          </cell>
        </row>
        <row r="464">
          <cell r="A464" t="str">
            <v>AYACUCHOHUANCA SANCOSSANTIAGO DE LUCANAMARCA</v>
          </cell>
          <cell r="B464" t="str">
            <v>05</v>
          </cell>
          <cell r="C464" t="str">
            <v>03</v>
          </cell>
          <cell r="D464" t="str">
            <v>04</v>
          </cell>
          <cell r="E464" t="str">
            <v>AYACUCHO</v>
          </cell>
          <cell r="F464" t="str">
            <v>HUANCA SANCOS</v>
          </cell>
          <cell r="G464" t="str">
            <v>SANTIAGO DE LUCANAMARCA</v>
          </cell>
          <cell r="H464" t="str">
            <v>010464</v>
          </cell>
          <cell r="I464" t="str">
            <v>2</v>
          </cell>
        </row>
        <row r="465">
          <cell r="A465" t="str">
            <v>AYACUCHOHUANTAHUANTA</v>
          </cell>
          <cell r="B465" t="str">
            <v>05</v>
          </cell>
          <cell r="C465" t="str">
            <v>04</v>
          </cell>
          <cell r="D465" t="str">
            <v>01</v>
          </cell>
          <cell r="E465" t="str">
            <v>AYACUCHO</v>
          </cell>
          <cell r="F465" t="str">
            <v>HUANTA</v>
          </cell>
          <cell r="G465" t="str">
            <v>HUANTA</v>
          </cell>
          <cell r="H465" t="str">
            <v>011974</v>
          </cell>
          <cell r="I465" t="str">
            <v>1</v>
          </cell>
        </row>
        <row r="466">
          <cell r="A466" t="str">
            <v>AYACUCHOHUANTAAYAHUANCO</v>
          </cell>
          <cell r="B466" t="str">
            <v>05</v>
          </cell>
          <cell r="C466" t="str">
            <v>04</v>
          </cell>
          <cell r="D466" t="str">
            <v>02</v>
          </cell>
          <cell r="E466" t="str">
            <v>AYACUCHO</v>
          </cell>
          <cell r="F466" t="str">
            <v>HUANTA</v>
          </cell>
          <cell r="G466" t="str">
            <v>AYAHUANCO</v>
          </cell>
          <cell r="H466" t="str">
            <v>010466</v>
          </cell>
          <cell r="I466" t="str">
            <v>2</v>
          </cell>
        </row>
        <row r="467">
          <cell r="A467" t="str">
            <v>AYACUCHOHUANTAHUAMANGUILLA</v>
          </cell>
          <cell r="B467" t="str">
            <v>05</v>
          </cell>
          <cell r="C467" t="str">
            <v>04</v>
          </cell>
          <cell r="D467" t="str">
            <v>03</v>
          </cell>
          <cell r="E467" t="str">
            <v>AYACUCHO</v>
          </cell>
          <cell r="F467" t="str">
            <v>HUANTA</v>
          </cell>
          <cell r="G467" t="str">
            <v>HUAMANGUILLA</v>
          </cell>
          <cell r="H467" t="str">
            <v>010467</v>
          </cell>
          <cell r="I467" t="str">
            <v>2</v>
          </cell>
        </row>
        <row r="468">
          <cell r="A468" t="str">
            <v>AYACUCHOHUANTAIGUAIN</v>
          </cell>
          <cell r="B468" t="str">
            <v>05</v>
          </cell>
          <cell r="C468" t="str">
            <v>04</v>
          </cell>
          <cell r="D468" t="str">
            <v>04</v>
          </cell>
          <cell r="E468" t="str">
            <v>AYACUCHO</v>
          </cell>
          <cell r="F468" t="str">
            <v>HUANTA</v>
          </cell>
          <cell r="G468" t="str">
            <v>IGUAIN</v>
          </cell>
          <cell r="H468" t="str">
            <v>010468</v>
          </cell>
          <cell r="I468" t="str">
            <v>2</v>
          </cell>
        </row>
        <row r="469">
          <cell r="A469" t="str">
            <v>AYACUCHOHUANTALURICOCHA</v>
          </cell>
          <cell r="B469" t="str">
            <v>05</v>
          </cell>
          <cell r="C469" t="str">
            <v>04</v>
          </cell>
          <cell r="D469" t="str">
            <v>05</v>
          </cell>
          <cell r="E469" t="str">
            <v>AYACUCHO</v>
          </cell>
          <cell r="F469" t="str">
            <v>HUANTA</v>
          </cell>
          <cell r="G469" t="str">
            <v>LURICOCHA</v>
          </cell>
          <cell r="H469" t="str">
            <v>010469</v>
          </cell>
          <cell r="I469" t="str">
            <v>2</v>
          </cell>
        </row>
        <row r="470">
          <cell r="A470" t="str">
            <v>AYACUCHOHUANTASANTILLANA</v>
          </cell>
          <cell r="B470" t="str">
            <v>05</v>
          </cell>
          <cell r="C470" t="str">
            <v>04</v>
          </cell>
          <cell r="D470" t="str">
            <v>06</v>
          </cell>
          <cell r="E470" t="str">
            <v>AYACUCHO</v>
          </cell>
          <cell r="F470" t="str">
            <v>HUANTA</v>
          </cell>
          <cell r="G470" t="str">
            <v>SANTILLANA</v>
          </cell>
          <cell r="H470" t="str">
            <v>010470</v>
          </cell>
          <cell r="I470" t="str">
            <v>2</v>
          </cell>
        </row>
        <row r="471">
          <cell r="A471" t="str">
            <v>AYACUCHOHUANTASIVIA</v>
          </cell>
          <cell r="B471" t="str">
            <v>05</v>
          </cell>
          <cell r="C471" t="str">
            <v>04</v>
          </cell>
          <cell r="D471" t="str">
            <v>07</v>
          </cell>
          <cell r="E471" t="str">
            <v>AYACUCHO</v>
          </cell>
          <cell r="F471" t="str">
            <v>HUANTA</v>
          </cell>
          <cell r="G471" t="str">
            <v>SIVIA</v>
          </cell>
          <cell r="H471" t="str">
            <v>010477</v>
          </cell>
          <cell r="I471" t="str">
            <v>2</v>
          </cell>
        </row>
        <row r="472">
          <cell r="A472" t="str">
            <v>AYACUCHOHUANTALLOCHEGUA</v>
          </cell>
          <cell r="B472" t="str">
            <v>05</v>
          </cell>
          <cell r="C472" t="str">
            <v>04</v>
          </cell>
          <cell r="D472" t="str">
            <v>08</v>
          </cell>
          <cell r="E472" t="str">
            <v>AYACUCHO</v>
          </cell>
          <cell r="F472" t="str">
            <v>HUANTA</v>
          </cell>
          <cell r="G472" t="str">
            <v>LLOCHEGUA</v>
          </cell>
          <cell r="H472" t="str">
            <v>012484</v>
          </cell>
          <cell r="I472" t="str">
            <v>2</v>
          </cell>
        </row>
        <row r="473">
          <cell r="A473" t="str">
            <v>AYACUCHOLA MARSAN MIGUEL</v>
          </cell>
          <cell r="B473" t="str">
            <v>05</v>
          </cell>
          <cell r="C473" t="str">
            <v>05</v>
          </cell>
          <cell r="D473" t="str">
            <v>01</v>
          </cell>
          <cell r="E473" t="str">
            <v>AYACUCHO</v>
          </cell>
          <cell r="F473" t="str">
            <v>LA MAR</v>
          </cell>
          <cell r="G473" t="str">
            <v>SAN MIGUEL</v>
          </cell>
          <cell r="H473" t="str">
            <v>010471</v>
          </cell>
          <cell r="I473" t="str">
            <v>1</v>
          </cell>
        </row>
        <row r="474">
          <cell r="A474" t="str">
            <v>AYACUCHOLA MARANCO</v>
          </cell>
          <cell r="B474" t="str">
            <v>05</v>
          </cell>
          <cell r="C474" t="str">
            <v>05</v>
          </cell>
          <cell r="D474" t="str">
            <v>02</v>
          </cell>
          <cell r="E474" t="str">
            <v>AYACUCHO</v>
          </cell>
          <cell r="F474" t="str">
            <v>LA MAR</v>
          </cell>
          <cell r="G474" t="str">
            <v>ANCO</v>
          </cell>
          <cell r="H474" t="str">
            <v>010472</v>
          </cell>
          <cell r="I474" t="str">
            <v>2</v>
          </cell>
        </row>
        <row r="475">
          <cell r="A475" t="str">
            <v>AYACUCHOLA MARAYNA</v>
          </cell>
          <cell r="B475" t="str">
            <v>05</v>
          </cell>
          <cell r="C475" t="str">
            <v>05</v>
          </cell>
          <cell r="D475" t="str">
            <v>03</v>
          </cell>
          <cell r="E475" t="str">
            <v>AYACUCHO</v>
          </cell>
          <cell r="F475" t="str">
            <v>LA MAR</v>
          </cell>
          <cell r="G475" t="str">
            <v>AYNA</v>
          </cell>
          <cell r="H475" t="str">
            <v>010479</v>
          </cell>
          <cell r="I475" t="str">
            <v>2</v>
          </cell>
        </row>
        <row r="476">
          <cell r="A476" t="str">
            <v>AYACUCHOLA MARCHILCAS</v>
          </cell>
          <cell r="B476" t="str">
            <v>05</v>
          </cell>
          <cell r="C476" t="str">
            <v>05</v>
          </cell>
          <cell r="D476" t="str">
            <v>04</v>
          </cell>
          <cell r="E476" t="str">
            <v>AYACUCHO</v>
          </cell>
          <cell r="F476" t="str">
            <v>LA MAR</v>
          </cell>
          <cell r="G476" t="str">
            <v>CHILCAS</v>
          </cell>
          <cell r="H476" t="str">
            <v>010473</v>
          </cell>
          <cell r="I476" t="str">
            <v>2</v>
          </cell>
        </row>
        <row r="477">
          <cell r="A477" t="str">
            <v>AYACUCHOLA MARCHUNGUI</v>
          </cell>
          <cell r="B477" t="str">
            <v>05</v>
          </cell>
          <cell r="C477" t="str">
            <v>05</v>
          </cell>
          <cell r="D477" t="str">
            <v>05</v>
          </cell>
          <cell r="E477" t="str">
            <v>AYACUCHO</v>
          </cell>
          <cell r="F477" t="str">
            <v>LA MAR</v>
          </cell>
          <cell r="G477" t="str">
            <v>CHUNGUI</v>
          </cell>
          <cell r="H477" t="str">
            <v>012506</v>
          </cell>
          <cell r="I477" t="str">
            <v>2</v>
          </cell>
        </row>
        <row r="478">
          <cell r="A478" t="str">
            <v>AYACUCHOLA MARLUIS CARRANZA</v>
          </cell>
          <cell r="B478" t="str">
            <v>05</v>
          </cell>
          <cell r="C478" t="str">
            <v>05</v>
          </cell>
          <cell r="D478" t="str">
            <v>06</v>
          </cell>
          <cell r="E478" t="str">
            <v>AYACUCHO</v>
          </cell>
          <cell r="F478" t="str">
            <v>LA MAR</v>
          </cell>
          <cell r="G478" t="str">
            <v>LUIS CARRANZA</v>
          </cell>
          <cell r="H478" t="str">
            <v>012482</v>
          </cell>
          <cell r="I478" t="str">
            <v>2</v>
          </cell>
        </row>
        <row r="479">
          <cell r="A479" t="str">
            <v>AYACUCHOLA MARSANTA ROSA</v>
          </cell>
          <cell r="B479" t="str">
            <v>05</v>
          </cell>
          <cell r="C479" t="str">
            <v>05</v>
          </cell>
          <cell r="D479" t="str">
            <v>07</v>
          </cell>
          <cell r="E479" t="str">
            <v>AYACUCHO</v>
          </cell>
          <cell r="F479" t="str">
            <v>LA MAR</v>
          </cell>
          <cell r="G479" t="str">
            <v>SANTA ROSA</v>
          </cell>
          <cell r="H479" t="str">
            <v>010480</v>
          </cell>
          <cell r="I479" t="str">
            <v>2</v>
          </cell>
        </row>
        <row r="480">
          <cell r="A480" t="str">
            <v>AYACUCHOLA MARTAMBO</v>
          </cell>
          <cell r="B480" t="str">
            <v>05</v>
          </cell>
          <cell r="C480" t="str">
            <v>05</v>
          </cell>
          <cell r="D480" t="str">
            <v>08</v>
          </cell>
          <cell r="E480" t="str">
            <v>AYACUCHO</v>
          </cell>
          <cell r="F480" t="str">
            <v>LA MAR</v>
          </cell>
          <cell r="G480" t="str">
            <v>TAMBO</v>
          </cell>
          <cell r="H480" t="str">
            <v>012483</v>
          </cell>
          <cell r="I480" t="str">
            <v>2</v>
          </cell>
        </row>
        <row r="481">
          <cell r="A481" t="str">
            <v>AYACUCHOLUCANASPUQUIO</v>
          </cell>
          <cell r="B481" t="str">
            <v>05</v>
          </cell>
          <cell r="C481" t="str">
            <v>06</v>
          </cell>
          <cell r="D481" t="str">
            <v>01</v>
          </cell>
          <cell r="E481" t="str">
            <v>AYACUCHO</v>
          </cell>
          <cell r="F481" t="str">
            <v>LUCANAS</v>
          </cell>
          <cell r="G481" t="str">
            <v>PUQUIO</v>
          </cell>
          <cell r="H481" t="str">
            <v>010512</v>
          </cell>
          <cell r="I481" t="str">
            <v>1</v>
          </cell>
        </row>
        <row r="482">
          <cell r="A482" t="str">
            <v>AYACUCHOLUCANASAUCARA</v>
          </cell>
          <cell r="B482" t="str">
            <v>05</v>
          </cell>
          <cell r="C482" t="str">
            <v>06</v>
          </cell>
          <cell r="D482" t="str">
            <v>02</v>
          </cell>
          <cell r="E482" t="str">
            <v>AYACUCHO</v>
          </cell>
          <cell r="F482" t="str">
            <v>LUCANAS</v>
          </cell>
          <cell r="G482" t="str">
            <v>AUCARA</v>
          </cell>
          <cell r="H482" t="str">
            <v>010519</v>
          </cell>
          <cell r="I482" t="str">
            <v>2</v>
          </cell>
        </row>
        <row r="483">
          <cell r="A483" t="str">
            <v>AYACUCHOLUCANASCABANA</v>
          </cell>
          <cell r="B483" t="str">
            <v>05</v>
          </cell>
          <cell r="C483" t="str">
            <v>06</v>
          </cell>
          <cell r="D483" t="str">
            <v>03</v>
          </cell>
          <cell r="E483" t="str">
            <v>AYACUCHO</v>
          </cell>
          <cell r="F483" t="str">
            <v>LUCANAS</v>
          </cell>
          <cell r="G483" t="str">
            <v>CABANA</v>
          </cell>
          <cell r="H483" t="str">
            <v>010520</v>
          </cell>
          <cell r="I483" t="str">
            <v>2</v>
          </cell>
        </row>
        <row r="484">
          <cell r="A484" t="str">
            <v>AYACUCHOLUCANASCARMEN SALCEDO</v>
          </cell>
          <cell r="B484" t="str">
            <v>05</v>
          </cell>
          <cell r="C484" t="str">
            <v>06</v>
          </cell>
          <cell r="D484" t="str">
            <v>04</v>
          </cell>
          <cell r="E484" t="str">
            <v>AYACUCHO</v>
          </cell>
          <cell r="F484" t="str">
            <v>LUCANAS</v>
          </cell>
          <cell r="G484" t="str">
            <v>CARMEN SALCEDO</v>
          </cell>
          <cell r="H484" t="str">
            <v>010521</v>
          </cell>
          <cell r="I484" t="str">
            <v>2</v>
          </cell>
        </row>
        <row r="485">
          <cell r="A485" t="str">
            <v>AYACUCHOLUCANASCHAVIÑA</v>
          </cell>
          <cell r="B485" t="str">
            <v>05</v>
          </cell>
          <cell r="C485" t="str">
            <v>06</v>
          </cell>
          <cell r="D485" t="str">
            <v>05</v>
          </cell>
          <cell r="E485" t="str">
            <v>AYACUCHO</v>
          </cell>
          <cell r="F485" t="str">
            <v>LUCANAS</v>
          </cell>
          <cell r="G485" t="str">
            <v>CHAVIÑA</v>
          </cell>
          <cell r="H485" t="str">
            <v>010531</v>
          </cell>
          <cell r="I485" t="str">
            <v>2</v>
          </cell>
        </row>
        <row r="486">
          <cell r="A486" t="str">
            <v>AYACUCHOLUCANASCHIPAO</v>
          </cell>
          <cell r="B486" t="str">
            <v>05</v>
          </cell>
          <cell r="C486" t="str">
            <v>06</v>
          </cell>
          <cell r="D486" t="str">
            <v>06</v>
          </cell>
          <cell r="E486" t="str">
            <v>AYACUCHO</v>
          </cell>
          <cell r="F486" t="str">
            <v>LUCANAS</v>
          </cell>
          <cell r="G486" t="str">
            <v>CHIPAO</v>
          </cell>
          <cell r="H486" t="str">
            <v>012492</v>
          </cell>
          <cell r="I486" t="str">
            <v>2</v>
          </cell>
        </row>
        <row r="487">
          <cell r="A487" t="str">
            <v>AYACUCHOLUCANASHUAC-HUAS</v>
          </cell>
          <cell r="B487" t="str">
            <v>05</v>
          </cell>
          <cell r="C487" t="str">
            <v>06</v>
          </cell>
          <cell r="D487" t="str">
            <v>07</v>
          </cell>
          <cell r="E487" t="str">
            <v>AYACUCHO</v>
          </cell>
          <cell r="F487" t="str">
            <v>LUCANAS</v>
          </cell>
          <cell r="G487" t="str">
            <v>HUAC-HUAS</v>
          </cell>
          <cell r="H487" t="str">
            <v>010524</v>
          </cell>
          <cell r="I487" t="str">
            <v>2</v>
          </cell>
        </row>
        <row r="488">
          <cell r="A488" t="str">
            <v>AYACUCHOLUCANASLARAMATE</v>
          </cell>
          <cell r="B488" t="str">
            <v>05</v>
          </cell>
          <cell r="C488" t="str">
            <v>06</v>
          </cell>
          <cell r="D488" t="str">
            <v>08</v>
          </cell>
          <cell r="E488" t="str">
            <v>AYACUCHO</v>
          </cell>
          <cell r="F488" t="str">
            <v>LUCANAS</v>
          </cell>
          <cell r="G488" t="str">
            <v>LARAMATE</v>
          </cell>
          <cell r="H488" t="str">
            <v>010525</v>
          </cell>
          <cell r="I488" t="str">
            <v>2</v>
          </cell>
        </row>
        <row r="489">
          <cell r="A489" t="str">
            <v>AYACUCHOLUCANASLEONCIO PRADO</v>
          </cell>
          <cell r="B489" t="str">
            <v>05</v>
          </cell>
          <cell r="C489" t="str">
            <v>06</v>
          </cell>
          <cell r="D489" t="str">
            <v>09</v>
          </cell>
          <cell r="E489" t="str">
            <v>AYACUCHO</v>
          </cell>
          <cell r="F489" t="str">
            <v>LUCANAS</v>
          </cell>
          <cell r="G489" t="str">
            <v>LEONCIO PRADO</v>
          </cell>
          <cell r="H489" t="str">
            <v>010513</v>
          </cell>
          <cell r="I489" t="str">
            <v>2</v>
          </cell>
        </row>
        <row r="490">
          <cell r="A490" t="str">
            <v>AYACUCHOLUCANASLLAUTA</v>
          </cell>
          <cell r="B490" t="str">
            <v>05</v>
          </cell>
          <cell r="C490" t="str">
            <v>06</v>
          </cell>
          <cell r="D490" t="str">
            <v>10</v>
          </cell>
          <cell r="E490" t="str">
            <v>AYACUCHO</v>
          </cell>
          <cell r="F490" t="str">
            <v>LUCANAS</v>
          </cell>
          <cell r="G490" t="str">
            <v>LLAUTA</v>
          </cell>
          <cell r="H490" t="str">
            <v>010526</v>
          </cell>
          <cell r="I490" t="str">
            <v>2</v>
          </cell>
        </row>
        <row r="491">
          <cell r="A491" t="str">
            <v>AYACUCHOLUCANASLUCANAS</v>
          </cell>
          <cell r="B491" t="str">
            <v>05</v>
          </cell>
          <cell r="C491" t="str">
            <v>06</v>
          </cell>
          <cell r="D491" t="str">
            <v>11</v>
          </cell>
          <cell r="E491" t="str">
            <v>AYACUCHO</v>
          </cell>
          <cell r="F491" t="str">
            <v>LUCANAS</v>
          </cell>
          <cell r="G491" t="str">
            <v>LUCANAS</v>
          </cell>
          <cell r="H491" t="str">
            <v>012493</v>
          </cell>
          <cell r="I491" t="str">
            <v>2</v>
          </cell>
        </row>
        <row r="492">
          <cell r="A492" t="str">
            <v>AYACUCHOLUCANASOCAÑA</v>
          </cell>
          <cell r="B492" t="str">
            <v>05</v>
          </cell>
          <cell r="C492" t="str">
            <v>06</v>
          </cell>
          <cell r="D492" t="str">
            <v>12</v>
          </cell>
          <cell r="E492" t="str">
            <v>AYACUCHO</v>
          </cell>
          <cell r="F492" t="str">
            <v>LUCANAS</v>
          </cell>
          <cell r="G492" t="str">
            <v>OCAÑA</v>
          </cell>
          <cell r="H492" t="str">
            <v>012494</v>
          </cell>
          <cell r="I492" t="str">
            <v>2</v>
          </cell>
        </row>
        <row r="493">
          <cell r="A493" t="str">
            <v>AYACUCHOLUCANASOTOCA</v>
          </cell>
          <cell r="B493" t="str">
            <v>05</v>
          </cell>
          <cell r="C493" t="str">
            <v>06</v>
          </cell>
          <cell r="D493" t="str">
            <v>13</v>
          </cell>
          <cell r="E493" t="str">
            <v>AYACUCHO</v>
          </cell>
          <cell r="F493" t="str">
            <v>LUCANAS</v>
          </cell>
          <cell r="G493" t="str">
            <v>OTOCA</v>
          </cell>
          <cell r="H493" t="str">
            <v>010529</v>
          </cell>
          <cell r="I493" t="str">
            <v>2</v>
          </cell>
        </row>
        <row r="494">
          <cell r="A494" t="str">
            <v>AYACUCHOLUCANASSAISA</v>
          </cell>
          <cell r="B494" t="str">
            <v>05</v>
          </cell>
          <cell r="C494" t="str">
            <v>06</v>
          </cell>
          <cell r="D494" t="str">
            <v>14</v>
          </cell>
          <cell r="E494" t="str">
            <v>AYACUCHO</v>
          </cell>
          <cell r="F494" t="str">
            <v>LUCANAS</v>
          </cell>
          <cell r="G494" t="str">
            <v>SAISA</v>
          </cell>
          <cell r="H494" t="str">
            <v>010514</v>
          </cell>
          <cell r="I494" t="str">
            <v>2</v>
          </cell>
        </row>
        <row r="495">
          <cell r="A495" t="str">
            <v>AYACUCHOLUCANASSAN CRISTOBAL</v>
          </cell>
          <cell r="B495" t="str">
            <v>05</v>
          </cell>
          <cell r="C495" t="str">
            <v>06</v>
          </cell>
          <cell r="D495" t="str">
            <v>15</v>
          </cell>
          <cell r="E495" t="str">
            <v>AYACUCHO</v>
          </cell>
          <cell r="F495" t="str">
            <v>LUCANAS</v>
          </cell>
          <cell r="G495" t="str">
            <v>SAN CRISTOBAL</v>
          </cell>
          <cell r="H495" t="str">
            <v>010515</v>
          </cell>
          <cell r="I495" t="str">
            <v>2</v>
          </cell>
        </row>
        <row r="496">
          <cell r="A496" t="str">
            <v>AYACUCHOLUCANASSAN JUAN</v>
          </cell>
          <cell r="B496" t="str">
            <v>05</v>
          </cell>
          <cell r="C496" t="str">
            <v>06</v>
          </cell>
          <cell r="D496" t="str">
            <v>16</v>
          </cell>
          <cell r="E496" t="str">
            <v>AYACUCHO</v>
          </cell>
          <cell r="F496" t="str">
            <v>LUCANAS</v>
          </cell>
          <cell r="G496" t="str">
            <v>SAN JUAN</v>
          </cell>
          <cell r="H496" t="str">
            <v>010516</v>
          </cell>
          <cell r="I496" t="str">
            <v>2</v>
          </cell>
        </row>
        <row r="497">
          <cell r="A497" t="str">
            <v>AYACUCHOLUCANASSAN PEDRO</v>
          </cell>
          <cell r="B497" t="str">
            <v>05</v>
          </cell>
          <cell r="C497" t="str">
            <v>06</v>
          </cell>
          <cell r="D497" t="str">
            <v>17</v>
          </cell>
          <cell r="E497" t="str">
            <v>AYACUCHO</v>
          </cell>
          <cell r="F497" t="str">
            <v>LUCANAS</v>
          </cell>
          <cell r="G497" t="str">
            <v>SAN PEDRO</v>
          </cell>
          <cell r="H497" t="str">
            <v>010517</v>
          </cell>
          <cell r="I497" t="str">
            <v>2</v>
          </cell>
        </row>
        <row r="498">
          <cell r="A498" t="str">
            <v>AYACUCHOLUCANASSAN PEDRO DE PALCO</v>
          </cell>
          <cell r="B498" t="str">
            <v>05</v>
          </cell>
          <cell r="C498" t="str">
            <v>06</v>
          </cell>
          <cell r="D498" t="str">
            <v>18</v>
          </cell>
          <cell r="E498" t="str">
            <v>AYACUCHO</v>
          </cell>
          <cell r="F498" t="str">
            <v>LUCANAS</v>
          </cell>
          <cell r="G498" t="str">
            <v>SAN PEDRO DE PALCO</v>
          </cell>
          <cell r="H498" t="str">
            <v>012495</v>
          </cell>
          <cell r="I498" t="str">
            <v>2</v>
          </cell>
        </row>
        <row r="499">
          <cell r="A499" t="str">
            <v>AYACUCHOLUCANASSANCOS</v>
          </cell>
          <cell r="B499" t="str">
            <v>05</v>
          </cell>
          <cell r="C499" t="str">
            <v>06</v>
          </cell>
          <cell r="D499" t="str">
            <v>19</v>
          </cell>
          <cell r="E499" t="str">
            <v>AYACUCHO</v>
          </cell>
          <cell r="F499" t="str">
            <v>LUCANAS</v>
          </cell>
          <cell r="G499" t="str">
            <v>SANCOS</v>
          </cell>
          <cell r="H499" t="str">
            <v>010532</v>
          </cell>
          <cell r="I499" t="str">
            <v>2</v>
          </cell>
        </row>
        <row r="500">
          <cell r="A500" t="str">
            <v>AYACUCHOLUCANASSANTA ANA DE HUAYCAHUACHO</v>
          </cell>
          <cell r="B500" t="str">
            <v>05</v>
          </cell>
          <cell r="C500" t="str">
            <v>06</v>
          </cell>
          <cell r="D500" t="str">
            <v>20</v>
          </cell>
          <cell r="E500" t="str">
            <v>AYACUCHO</v>
          </cell>
          <cell r="F500" t="str">
            <v>LUCANAS</v>
          </cell>
          <cell r="G500" t="str">
            <v>SANTA ANA DE HUAYCAHUACHO</v>
          </cell>
          <cell r="H500" t="str">
            <v>010523</v>
          </cell>
          <cell r="I500" t="str">
            <v>2</v>
          </cell>
        </row>
        <row r="501">
          <cell r="A501" t="str">
            <v>AYACUCHOLUCANASSANTA LUCIA</v>
          </cell>
          <cell r="B501" t="str">
            <v>05</v>
          </cell>
          <cell r="C501" t="str">
            <v>06</v>
          </cell>
          <cell r="D501" t="str">
            <v>21</v>
          </cell>
          <cell r="E501" t="str">
            <v>AYACUCHO</v>
          </cell>
          <cell r="F501" t="str">
            <v>LUCANAS</v>
          </cell>
          <cell r="G501" t="str">
            <v>SANTA LUCIA</v>
          </cell>
          <cell r="H501" t="str">
            <v>010518</v>
          </cell>
          <cell r="I501" t="str">
            <v>2</v>
          </cell>
        </row>
        <row r="502">
          <cell r="A502" t="str">
            <v>AYACUCHOPARINACOCHASCORACORA</v>
          </cell>
          <cell r="B502" t="str">
            <v>05</v>
          </cell>
          <cell r="C502" t="str">
            <v>07</v>
          </cell>
          <cell r="D502" t="str">
            <v>01</v>
          </cell>
          <cell r="E502" t="str">
            <v>AYACUCHO</v>
          </cell>
          <cell r="F502" t="str">
            <v>PARINACOCHAS</v>
          </cell>
          <cell r="G502" t="str">
            <v>CORACORA</v>
          </cell>
          <cell r="H502" t="str">
            <v>012496</v>
          </cell>
          <cell r="I502" t="str">
            <v>1</v>
          </cell>
        </row>
        <row r="503">
          <cell r="A503" t="str">
            <v>AYACUCHOPARINACOCHASCHUMPI</v>
          </cell>
          <cell r="B503" t="str">
            <v>05</v>
          </cell>
          <cell r="C503" t="str">
            <v>07</v>
          </cell>
          <cell r="D503" t="str">
            <v>02</v>
          </cell>
          <cell r="E503" t="str">
            <v>AYACUCHO</v>
          </cell>
          <cell r="F503" t="str">
            <v>PARINACOCHAS</v>
          </cell>
          <cell r="G503" t="str">
            <v>CHUMPI</v>
          </cell>
          <cell r="H503" t="str">
            <v>012497</v>
          </cell>
          <cell r="I503" t="str">
            <v>2</v>
          </cell>
        </row>
        <row r="504">
          <cell r="A504" t="str">
            <v>AYACUCHOPARINACOCHASCORONEL CASTAÑEDA</v>
          </cell>
          <cell r="B504" t="str">
            <v>05</v>
          </cell>
          <cell r="C504" t="str">
            <v>07</v>
          </cell>
          <cell r="D504" t="str">
            <v>03</v>
          </cell>
          <cell r="E504" t="str">
            <v>AYACUCHO</v>
          </cell>
          <cell r="F504" t="str">
            <v>PARINACOCHAS</v>
          </cell>
          <cell r="G504" t="str">
            <v>CORONEL CASTAÑEDA</v>
          </cell>
          <cell r="H504" t="str">
            <v>010535</v>
          </cell>
          <cell r="I504" t="str">
            <v>2</v>
          </cell>
        </row>
        <row r="505">
          <cell r="A505" t="str">
            <v>AYACUCHOPARINACOCHASPACAPAUSA</v>
          </cell>
          <cell r="B505" t="str">
            <v>05</v>
          </cell>
          <cell r="C505" t="str">
            <v>07</v>
          </cell>
          <cell r="D505" t="str">
            <v>04</v>
          </cell>
          <cell r="E505" t="str">
            <v>AYACUCHO</v>
          </cell>
          <cell r="F505" t="str">
            <v>PARINACOCHAS</v>
          </cell>
          <cell r="G505" t="str">
            <v>PACAPAUSA</v>
          </cell>
          <cell r="H505" t="str">
            <v>010536</v>
          </cell>
          <cell r="I505" t="str">
            <v>2</v>
          </cell>
        </row>
        <row r="506">
          <cell r="A506" t="str">
            <v>AYACUCHOPARINACOCHASPULLO</v>
          </cell>
          <cell r="B506" t="str">
            <v>05</v>
          </cell>
          <cell r="C506" t="str">
            <v>07</v>
          </cell>
          <cell r="D506" t="str">
            <v>05</v>
          </cell>
          <cell r="E506" t="str">
            <v>AYACUCHO</v>
          </cell>
          <cell r="F506" t="str">
            <v>PARINACOCHAS</v>
          </cell>
          <cell r="G506" t="str">
            <v>PULLO</v>
          </cell>
          <cell r="H506" t="str">
            <v>012498</v>
          </cell>
          <cell r="I506" t="str">
            <v>2</v>
          </cell>
        </row>
        <row r="507">
          <cell r="A507" t="str">
            <v>AYACUCHOPARINACOCHASPUYUSCA</v>
          </cell>
          <cell r="B507" t="str">
            <v>05</v>
          </cell>
          <cell r="C507" t="str">
            <v>07</v>
          </cell>
          <cell r="D507" t="str">
            <v>06</v>
          </cell>
          <cell r="E507" t="str">
            <v>AYACUCHO</v>
          </cell>
          <cell r="F507" t="str">
            <v>PARINACOCHAS</v>
          </cell>
          <cell r="G507" t="str">
            <v>PUYUSCA</v>
          </cell>
          <cell r="H507" t="str">
            <v>010538</v>
          </cell>
          <cell r="I507" t="str">
            <v>2</v>
          </cell>
        </row>
        <row r="508">
          <cell r="A508" t="str">
            <v>AYACUCHOPARINACOCHASSAN FRANCISCO DE RAVACAYCO</v>
          </cell>
          <cell r="B508" t="str">
            <v>05</v>
          </cell>
          <cell r="C508" t="str">
            <v>07</v>
          </cell>
          <cell r="D508" t="str">
            <v>07</v>
          </cell>
          <cell r="E508" t="str">
            <v>AYACUCHO</v>
          </cell>
          <cell r="F508" t="str">
            <v>PARINACOCHAS</v>
          </cell>
          <cell r="G508" t="str">
            <v>SAN FRANCISCO DE RAVACAYCO</v>
          </cell>
          <cell r="H508" t="str">
            <v>010539</v>
          </cell>
          <cell r="I508" t="str">
            <v>2</v>
          </cell>
        </row>
        <row r="509">
          <cell r="A509" t="str">
            <v>AYACUCHOPARINACOCHASUPAHUACHO</v>
          </cell>
          <cell r="B509" t="str">
            <v>05</v>
          </cell>
          <cell r="C509" t="str">
            <v>07</v>
          </cell>
          <cell r="D509" t="str">
            <v>08</v>
          </cell>
          <cell r="E509" t="str">
            <v>AYACUCHO</v>
          </cell>
          <cell r="F509" t="str">
            <v>PARINACOCHAS</v>
          </cell>
          <cell r="G509" t="str">
            <v>UPAHUACHO</v>
          </cell>
          <cell r="H509" t="str">
            <v>010540</v>
          </cell>
          <cell r="I509" t="str">
            <v>2</v>
          </cell>
        </row>
        <row r="510">
          <cell r="A510" t="str">
            <v>AYACUCHOPAUCAR DEL SARA SARAPAUSA</v>
          </cell>
          <cell r="B510" t="str">
            <v>05</v>
          </cell>
          <cell r="C510" t="str">
            <v>08</v>
          </cell>
          <cell r="D510" t="str">
            <v>01</v>
          </cell>
          <cell r="E510" t="str">
            <v>AYACUCHO</v>
          </cell>
          <cell r="F510" t="str">
            <v>PAUCAR DEL SARA SARA</v>
          </cell>
          <cell r="G510" t="str">
            <v>PAUSA</v>
          </cell>
          <cell r="H510" t="str">
            <v>010541</v>
          </cell>
          <cell r="I510" t="str">
            <v>1</v>
          </cell>
        </row>
        <row r="511">
          <cell r="A511" t="str">
            <v>AYACUCHOPAUCAR DEL SARA SARACOLTA</v>
          </cell>
          <cell r="B511" t="str">
            <v>05</v>
          </cell>
          <cell r="C511" t="str">
            <v>08</v>
          </cell>
          <cell r="D511" t="str">
            <v>02</v>
          </cell>
          <cell r="E511" t="str">
            <v>AYACUCHO</v>
          </cell>
          <cell r="F511" t="str">
            <v>PAUCAR DEL SARA SARA</v>
          </cell>
          <cell r="G511" t="str">
            <v>COLTA</v>
          </cell>
          <cell r="H511" t="str">
            <v>010542</v>
          </cell>
          <cell r="I511" t="str">
            <v>2</v>
          </cell>
        </row>
        <row r="512">
          <cell r="A512" t="str">
            <v>AYACUCHOPAUCAR DEL SARA SARACORCULLA</v>
          </cell>
          <cell r="B512" t="str">
            <v>05</v>
          </cell>
          <cell r="C512" t="str">
            <v>08</v>
          </cell>
          <cell r="D512" t="str">
            <v>03</v>
          </cell>
          <cell r="E512" t="str">
            <v>AYACUCHO</v>
          </cell>
          <cell r="F512" t="str">
            <v>PAUCAR DEL SARA SARA</v>
          </cell>
          <cell r="G512" t="str">
            <v>CORCULLA</v>
          </cell>
          <cell r="H512" t="str">
            <v>010543</v>
          </cell>
          <cell r="I512" t="str">
            <v>2</v>
          </cell>
        </row>
        <row r="513">
          <cell r="A513" t="str">
            <v>AYACUCHOPAUCAR DEL SARA SARALAMPA</v>
          </cell>
          <cell r="B513" t="str">
            <v>05</v>
          </cell>
          <cell r="C513" t="str">
            <v>08</v>
          </cell>
          <cell r="D513" t="str">
            <v>04</v>
          </cell>
          <cell r="E513" t="str">
            <v>AYACUCHO</v>
          </cell>
          <cell r="F513" t="str">
            <v>PAUCAR DEL SARA SARA</v>
          </cell>
          <cell r="G513" t="str">
            <v>LAMPA</v>
          </cell>
          <cell r="H513" t="str">
            <v>012501</v>
          </cell>
          <cell r="I513" t="str">
            <v>2</v>
          </cell>
        </row>
        <row r="514">
          <cell r="A514" t="str">
            <v>AYACUCHOPAUCAR DEL SARA SARAMARCABAMBA</v>
          </cell>
          <cell r="B514" t="str">
            <v>05</v>
          </cell>
          <cell r="C514" t="str">
            <v>08</v>
          </cell>
          <cell r="D514" t="str">
            <v>05</v>
          </cell>
          <cell r="E514" t="str">
            <v>AYACUCHO</v>
          </cell>
          <cell r="F514" t="str">
            <v>PAUCAR DEL SARA SARA</v>
          </cell>
          <cell r="G514" t="str">
            <v>MARCABAMBA</v>
          </cell>
          <cell r="H514" t="str">
            <v>010545</v>
          </cell>
          <cell r="I514" t="str">
            <v>2</v>
          </cell>
        </row>
        <row r="515">
          <cell r="A515" t="str">
            <v>AYACUCHOPAUCAR DEL SARA SARAOYOLO</v>
          </cell>
          <cell r="B515" t="str">
            <v>05</v>
          </cell>
          <cell r="C515" t="str">
            <v>08</v>
          </cell>
          <cell r="D515" t="str">
            <v>06</v>
          </cell>
          <cell r="E515" t="str">
            <v>AYACUCHO</v>
          </cell>
          <cell r="F515" t="str">
            <v>PAUCAR DEL SARA SARA</v>
          </cell>
          <cell r="G515" t="str">
            <v>OYOLO</v>
          </cell>
          <cell r="H515" t="str">
            <v>010546</v>
          </cell>
          <cell r="I515" t="str">
            <v>2</v>
          </cell>
        </row>
        <row r="516">
          <cell r="A516" t="str">
            <v>AYACUCHOPAUCAR DEL SARA SARAPARARCA</v>
          </cell>
          <cell r="B516" t="str">
            <v>05</v>
          </cell>
          <cell r="C516" t="str">
            <v>08</v>
          </cell>
          <cell r="D516" t="str">
            <v>07</v>
          </cell>
          <cell r="E516" t="str">
            <v>AYACUCHO</v>
          </cell>
          <cell r="F516" t="str">
            <v>PAUCAR DEL SARA SARA</v>
          </cell>
          <cell r="G516" t="str">
            <v>PARARCA</v>
          </cell>
          <cell r="H516" t="str">
            <v>010547</v>
          </cell>
          <cell r="I516" t="str">
            <v>2</v>
          </cell>
        </row>
        <row r="517">
          <cell r="A517" t="str">
            <v>AYACUCHOPAUCAR DEL SARA SARASAN JAVIER DE ALPABAMBA</v>
          </cell>
          <cell r="B517" t="str">
            <v>05</v>
          </cell>
          <cell r="C517" t="str">
            <v>08</v>
          </cell>
          <cell r="D517" t="str">
            <v>08</v>
          </cell>
          <cell r="E517" t="str">
            <v>AYACUCHO</v>
          </cell>
          <cell r="F517" t="str">
            <v>PAUCAR DEL SARA SARA</v>
          </cell>
          <cell r="G517" t="str">
            <v>SAN JAVIER DE ALPABAMBA</v>
          </cell>
          <cell r="H517" t="str">
            <v>012503</v>
          </cell>
          <cell r="I517" t="str">
            <v>2</v>
          </cell>
        </row>
        <row r="518">
          <cell r="A518" t="str">
            <v>AYACUCHOPAUCAR DEL SARA SARASAN JOSE DE USHUA</v>
          </cell>
          <cell r="B518" t="str">
            <v>05</v>
          </cell>
          <cell r="C518" t="str">
            <v>08</v>
          </cell>
          <cell r="D518" t="str">
            <v>09</v>
          </cell>
          <cell r="E518" t="str">
            <v>AYACUCHO</v>
          </cell>
          <cell r="F518" t="str">
            <v>PAUCAR DEL SARA SARA</v>
          </cell>
          <cell r="G518" t="str">
            <v>SAN JOSE DE USHUA</v>
          </cell>
          <cell r="H518" t="str">
            <v>012504</v>
          </cell>
          <cell r="I518" t="str">
            <v>2</v>
          </cell>
        </row>
        <row r="519">
          <cell r="A519" t="str">
            <v>AYACUCHOPAUCAR DEL SARA SARASARA SARA</v>
          </cell>
          <cell r="B519" t="str">
            <v>05</v>
          </cell>
          <cell r="C519" t="str">
            <v>08</v>
          </cell>
          <cell r="D519" t="str">
            <v>10</v>
          </cell>
          <cell r="E519" t="str">
            <v>AYACUCHO</v>
          </cell>
          <cell r="F519" t="str">
            <v>PAUCAR DEL SARA SARA</v>
          </cell>
          <cell r="G519" t="str">
            <v>SARA SARA</v>
          </cell>
          <cell r="H519" t="str">
            <v>010550</v>
          </cell>
          <cell r="I519" t="str">
            <v>2</v>
          </cell>
        </row>
        <row r="520">
          <cell r="A520" t="str">
            <v>AYACUCHOSUCREQUEROBAMBA</v>
          </cell>
          <cell r="B520" t="str">
            <v>05</v>
          </cell>
          <cell r="C520" t="str">
            <v>09</v>
          </cell>
          <cell r="D520" t="str">
            <v>01</v>
          </cell>
          <cell r="E520" t="str">
            <v>AYACUCHO</v>
          </cell>
          <cell r="F520" t="str">
            <v>SUCRE</v>
          </cell>
          <cell r="G520" t="str">
            <v>QUEROBAMBA</v>
          </cell>
          <cell r="H520" t="str">
            <v>010481</v>
          </cell>
          <cell r="I520" t="str">
            <v>1</v>
          </cell>
        </row>
        <row r="521">
          <cell r="A521" t="str">
            <v>AYACUCHOSUCREBELEN</v>
          </cell>
          <cell r="B521" t="str">
            <v>05</v>
          </cell>
          <cell r="C521" t="str">
            <v>09</v>
          </cell>
          <cell r="D521" t="str">
            <v>02</v>
          </cell>
          <cell r="E521" t="str">
            <v>AYACUCHO</v>
          </cell>
          <cell r="F521" t="str">
            <v>SUCRE</v>
          </cell>
          <cell r="G521" t="str">
            <v>BELEN</v>
          </cell>
          <cell r="H521" t="str">
            <v>010482</v>
          </cell>
          <cell r="I521" t="str">
            <v>2</v>
          </cell>
        </row>
        <row r="522">
          <cell r="A522" t="str">
            <v>AYACUCHOSUCRECHALCOS</v>
          </cell>
          <cell r="B522" t="str">
            <v>05</v>
          </cell>
          <cell r="C522" t="str">
            <v>09</v>
          </cell>
          <cell r="D522" t="str">
            <v>03</v>
          </cell>
          <cell r="E522" t="str">
            <v>AYACUCHO</v>
          </cell>
          <cell r="F522" t="str">
            <v>SUCRE</v>
          </cell>
          <cell r="G522" t="str">
            <v>CHALCOS</v>
          </cell>
          <cell r="H522" t="str">
            <v>010483</v>
          </cell>
          <cell r="I522" t="str">
            <v>2</v>
          </cell>
        </row>
        <row r="523">
          <cell r="A523" t="str">
            <v>AYACUCHOSUCRECHILCAYOC</v>
          </cell>
          <cell r="B523" t="str">
            <v>05</v>
          </cell>
          <cell r="C523" t="str">
            <v>09</v>
          </cell>
          <cell r="D523" t="str">
            <v>04</v>
          </cell>
          <cell r="E523" t="str">
            <v>AYACUCHO</v>
          </cell>
          <cell r="F523" t="str">
            <v>SUCRE</v>
          </cell>
          <cell r="G523" t="str">
            <v>CHILCAYOC</v>
          </cell>
          <cell r="H523" t="str">
            <v>010484</v>
          </cell>
          <cell r="I523" t="str">
            <v>2</v>
          </cell>
        </row>
        <row r="524">
          <cell r="A524" t="str">
            <v>AYACUCHOSUCREHUACAÑA</v>
          </cell>
          <cell r="B524" t="str">
            <v>05</v>
          </cell>
          <cell r="C524" t="str">
            <v>09</v>
          </cell>
          <cell r="D524" t="str">
            <v>05</v>
          </cell>
          <cell r="E524" t="str">
            <v>AYACUCHO</v>
          </cell>
          <cell r="F524" t="str">
            <v>SUCRE</v>
          </cell>
          <cell r="G524" t="str">
            <v>HUACAÑA</v>
          </cell>
          <cell r="H524" t="str">
            <v>010485</v>
          </cell>
          <cell r="I524" t="str">
            <v>2</v>
          </cell>
        </row>
        <row r="525">
          <cell r="A525" t="str">
            <v>AYACUCHOSUCREMORCOLLA</v>
          </cell>
          <cell r="B525" t="str">
            <v>05</v>
          </cell>
          <cell r="C525" t="str">
            <v>09</v>
          </cell>
          <cell r="D525" t="str">
            <v>06</v>
          </cell>
          <cell r="E525" t="str">
            <v>AYACUCHO</v>
          </cell>
          <cell r="F525" t="str">
            <v>SUCRE</v>
          </cell>
          <cell r="G525" t="str">
            <v>MORCOLLA</v>
          </cell>
          <cell r="H525" t="str">
            <v>012499</v>
          </cell>
          <cell r="I525" t="str">
            <v>2</v>
          </cell>
        </row>
        <row r="526">
          <cell r="A526" t="str">
            <v>AYACUCHOSUCREPAICO</v>
          </cell>
          <cell r="B526" t="str">
            <v>05</v>
          </cell>
          <cell r="C526" t="str">
            <v>09</v>
          </cell>
          <cell r="D526" t="str">
            <v>07</v>
          </cell>
          <cell r="E526" t="str">
            <v>AYACUCHO</v>
          </cell>
          <cell r="F526" t="str">
            <v>SUCRE</v>
          </cell>
          <cell r="G526" t="str">
            <v>PAICO</v>
          </cell>
          <cell r="H526" t="str">
            <v>012485</v>
          </cell>
          <cell r="I526" t="str">
            <v>2</v>
          </cell>
        </row>
        <row r="527">
          <cell r="A527" t="str">
            <v>AYACUCHOSUCRESAN PEDRO DE LARCAY</v>
          </cell>
          <cell r="B527" t="str">
            <v>05</v>
          </cell>
          <cell r="C527" t="str">
            <v>09</v>
          </cell>
          <cell r="D527" t="str">
            <v>08</v>
          </cell>
          <cell r="E527" t="str">
            <v>AYACUCHO</v>
          </cell>
          <cell r="F527" t="str">
            <v>SUCRE</v>
          </cell>
          <cell r="G527" t="str">
            <v>SAN PEDRO DE LARCAY</v>
          </cell>
          <cell r="H527" t="str">
            <v>010488</v>
          </cell>
          <cell r="I527" t="str">
            <v>2</v>
          </cell>
        </row>
        <row r="528">
          <cell r="A528" t="str">
            <v>AYACUCHOSUCRESAN SALVADOR DE QUIJE</v>
          </cell>
          <cell r="B528" t="str">
            <v>05</v>
          </cell>
          <cell r="C528" t="str">
            <v>09</v>
          </cell>
          <cell r="D528" t="str">
            <v>09</v>
          </cell>
          <cell r="E528" t="str">
            <v>AYACUCHO</v>
          </cell>
          <cell r="F528" t="str">
            <v>SUCRE</v>
          </cell>
          <cell r="G528" t="str">
            <v>SAN SALVADOR DE QUIJE</v>
          </cell>
          <cell r="H528" t="str">
            <v>010489</v>
          </cell>
          <cell r="I528" t="str">
            <v>2</v>
          </cell>
        </row>
        <row r="529">
          <cell r="A529" t="str">
            <v>AYACUCHOSUCRESANTIAGO DE PAUCARAY</v>
          </cell>
          <cell r="B529" t="str">
            <v>05</v>
          </cell>
          <cell r="C529" t="str">
            <v>09</v>
          </cell>
          <cell r="D529" t="str">
            <v>10</v>
          </cell>
          <cell r="E529" t="str">
            <v>AYACUCHO</v>
          </cell>
          <cell r="F529" t="str">
            <v>SUCRE</v>
          </cell>
          <cell r="G529" t="str">
            <v>SANTIAGO DE PAUCARAY</v>
          </cell>
          <cell r="H529" t="str">
            <v>010490</v>
          </cell>
          <cell r="I529" t="str">
            <v>2</v>
          </cell>
        </row>
        <row r="530">
          <cell r="A530" t="str">
            <v>AYACUCHOSUCRESORAS</v>
          </cell>
          <cell r="B530" t="str">
            <v>05</v>
          </cell>
          <cell r="C530" t="str">
            <v>09</v>
          </cell>
          <cell r="D530" t="str">
            <v>11</v>
          </cell>
          <cell r="E530" t="str">
            <v>AYACUCHO</v>
          </cell>
          <cell r="F530" t="str">
            <v>SUCRE</v>
          </cell>
          <cell r="G530" t="str">
            <v>SORAS</v>
          </cell>
          <cell r="H530" t="str">
            <v>010491</v>
          </cell>
          <cell r="I530" t="str">
            <v>2</v>
          </cell>
        </row>
        <row r="531">
          <cell r="A531" t="str">
            <v>AYACUCHOVICTOR FAJARDOHUANCAPI</v>
          </cell>
          <cell r="B531" t="str">
            <v>05</v>
          </cell>
          <cell r="C531" t="str">
            <v>10</v>
          </cell>
          <cell r="D531" t="str">
            <v>01</v>
          </cell>
          <cell r="E531" t="str">
            <v>AYACUCHO</v>
          </cell>
          <cell r="F531" t="str">
            <v>VICTOR FAJARDO</v>
          </cell>
          <cell r="G531" t="str">
            <v>HUANCAPI</v>
          </cell>
          <cell r="H531" t="str">
            <v>010492</v>
          </cell>
          <cell r="I531" t="str">
            <v>1</v>
          </cell>
        </row>
        <row r="532">
          <cell r="A532" t="str">
            <v>AYACUCHOVICTOR FAJARDOALCAMENCA</v>
          </cell>
          <cell r="B532" t="str">
            <v>05</v>
          </cell>
          <cell r="C532" t="str">
            <v>10</v>
          </cell>
          <cell r="D532" t="str">
            <v>02</v>
          </cell>
          <cell r="E532" t="str">
            <v>AYACUCHO</v>
          </cell>
          <cell r="F532" t="str">
            <v>VICTOR FAJARDO</v>
          </cell>
          <cell r="G532" t="str">
            <v>ALCAMENCA</v>
          </cell>
          <cell r="H532" t="str">
            <v>010493</v>
          </cell>
          <cell r="I532" t="str">
            <v>2</v>
          </cell>
        </row>
        <row r="533">
          <cell r="A533" t="str">
            <v>AYACUCHOVICTOR FAJARDOAPONGO</v>
          </cell>
          <cell r="B533" t="str">
            <v>05</v>
          </cell>
          <cell r="C533" t="str">
            <v>10</v>
          </cell>
          <cell r="D533" t="str">
            <v>03</v>
          </cell>
          <cell r="E533" t="str">
            <v>AYACUCHO</v>
          </cell>
          <cell r="F533" t="str">
            <v>VICTOR FAJARDO</v>
          </cell>
          <cell r="G533" t="str">
            <v>APONGO</v>
          </cell>
          <cell r="H533" t="str">
            <v>010494</v>
          </cell>
          <cell r="I533" t="str">
            <v>2</v>
          </cell>
        </row>
        <row r="534">
          <cell r="A534" t="str">
            <v>AYACUCHOVICTOR FAJARDOASQUIPATA</v>
          </cell>
          <cell r="B534" t="str">
            <v>05</v>
          </cell>
          <cell r="C534" t="str">
            <v>10</v>
          </cell>
          <cell r="D534" t="str">
            <v>04</v>
          </cell>
          <cell r="E534" t="str">
            <v>AYACUCHO</v>
          </cell>
          <cell r="F534" t="str">
            <v>VICTOR FAJARDO</v>
          </cell>
          <cell r="G534" t="str">
            <v>ASQUIPATA</v>
          </cell>
          <cell r="H534" t="str">
            <v>010495</v>
          </cell>
          <cell r="I534" t="str">
            <v>2</v>
          </cell>
        </row>
        <row r="535">
          <cell r="A535" t="str">
            <v>AYACUCHOVICTOR FAJARDOCANARIA</v>
          </cell>
          <cell r="B535" t="str">
            <v>05</v>
          </cell>
          <cell r="C535" t="str">
            <v>10</v>
          </cell>
          <cell r="D535" t="str">
            <v>05</v>
          </cell>
          <cell r="E535" t="str">
            <v>AYACUCHO</v>
          </cell>
          <cell r="F535" t="str">
            <v>VICTOR FAJARDO</v>
          </cell>
          <cell r="G535" t="str">
            <v>CANARIA</v>
          </cell>
          <cell r="H535" t="str">
            <v>010496</v>
          </cell>
          <cell r="I535" t="str">
            <v>2</v>
          </cell>
        </row>
        <row r="536">
          <cell r="A536" t="str">
            <v>AYACUCHOVICTOR FAJARDOCAYARA</v>
          </cell>
          <cell r="B536" t="str">
            <v>05</v>
          </cell>
          <cell r="C536" t="str">
            <v>10</v>
          </cell>
          <cell r="D536" t="str">
            <v>06</v>
          </cell>
          <cell r="E536" t="str">
            <v>AYACUCHO</v>
          </cell>
          <cell r="F536" t="str">
            <v>VICTOR FAJARDO</v>
          </cell>
          <cell r="G536" t="str">
            <v>CAYARA</v>
          </cell>
          <cell r="H536" t="str">
            <v>010497</v>
          </cell>
          <cell r="I536" t="str">
            <v>2</v>
          </cell>
        </row>
        <row r="537">
          <cell r="A537" t="str">
            <v>AYACUCHOVICTOR FAJARDOCOLCA</v>
          </cell>
          <cell r="B537" t="str">
            <v>05</v>
          </cell>
          <cell r="C537" t="str">
            <v>10</v>
          </cell>
          <cell r="D537" t="str">
            <v>07</v>
          </cell>
          <cell r="E537" t="str">
            <v>AYACUCHO</v>
          </cell>
          <cell r="F537" t="str">
            <v>VICTOR FAJARDO</v>
          </cell>
          <cell r="G537" t="str">
            <v>COLCA</v>
          </cell>
          <cell r="H537" t="str">
            <v>011967</v>
          </cell>
          <cell r="I537" t="str">
            <v>2</v>
          </cell>
        </row>
        <row r="538">
          <cell r="A538" t="str">
            <v>AYACUCHOVICTOR FAJARDOHUAMANQUIQUIA</v>
          </cell>
          <cell r="B538" t="str">
            <v>05</v>
          </cell>
          <cell r="C538" t="str">
            <v>10</v>
          </cell>
          <cell r="D538" t="str">
            <v>08</v>
          </cell>
          <cell r="E538" t="str">
            <v>AYACUCHO</v>
          </cell>
          <cell r="F538" t="str">
            <v>VICTOR FAJARDO</v>
          </cell>
          <cell r="G538" t="str">
            <v>HUAMANQUIQUIA</v>
          </cell>
          <cell r="H538" t="str">
            <v>012486</v>
          </cell>
          <cell r="I538" t="str">
            <v>2</v>
          </cell>
        </row>
        <row r="539">
          <cell r="A539" t="str">
            <v>AYACUCHOVICTOR FAJARDOHUANCARAYLLA</v>
          </cell>
          <cell r="B539" t="str">
            <v>05</v>
          </cell>
          <cell r="C539" t="str">
            <v>10</v>
          </cell>
          <cell r="D539" t="str">
            <v>09</v>
          </cell>
          <cell r="E539" t="str">
            <v>AYACUCHO</v>
          </cell>
          <cell r="F539" t="str">
            <v>VICTOR FAJARDO</v>
          </cell>
          <cell r="G539" t="str">
            <v>HUANCARAYLLA</v>
          </cell>
          <cell r="H539" t="str">
            <v>010500</v>
          </cell>
          <cell r="I539" t="str">
            <v>2</v>
          </cell>
        </row>
        <row r="540">
          <cell r="A540" t="str">
            <v>AYACUCHOVICTOR FAJARDOHUAYA</v>
          </cell>
          <cell r="B540" t="str">
            <v>05</v>
          </cell>
          <cell r="C540" t="str">
            <v>10</v>
          </cell>
          <cell r="D540" t="str">
            <v>10</v>
          </cell>
          <cell r="E540" t="str">
            <v>AYACUCHO</v>
          </cell>
          <cell r="F540" t="str">
            <v>VICTOR FAJARDO</v>
          </cell>
          <cell r="G540" t="str">
            <v>HUAYA</v>
          </cell>
          <cell r="H540" t="str">
            <v>010501</v>
          </cell>
          <cell r="I540" t="str">
            <v>2</v>
          </cell>
        </row>
        <row r="541">
          <cell r="A541" t="str">
            <v>AYACUCHOVICTOR FAJARDOSARHUA</v>
          </cell>
          <cell r="B541" t="str">
            <v>05</v>
          </cell>
          <cell r="C541" t="str">
            <v>10</v>
          </cell>
          <cell r="D541" t="str">
            <v>11</v>
          </cell>
          <cell r="E541" t="str">
            <v>AYACUCHO</v>
          </cell>
          <cell r="F541" t="str">
            <v>VICTOR FAJARDO</v>
          </cell>
          <cell r="G541" t="str">
            <v>SARHUA</v>
          </cell>
          <cell r="H541" t="str">
            <v>010502</v>
          </cell>
          <cell r="I541" t="str">
            <v>2</v>
          </cell>
        </row>
        <row r="542">
          <cell r="A542" t="str">
            <v>AYACUCHOVICTOR FAJARDOVILCANCHOS</v>
          </cell>
          <cell r="B542" t="str">
            <v>05</v>
          </cell>
          <cell r="C542" t="str">
            <v>10</v>
          </cell>
          <cell r="D542" t="str">
            <v>12</v>
          </cell>
          <cell r="E542" t="str">
            <v>AYACUCHO</v>
          </cell>
          <cell r="F542" t="str">
            <v>VICTOR FAJARDO</v>
          </cell>
          <cell r="G542" t="str">
            <v>VILCANCHOS</v>
          </cell>
          <cell r="H542" t="str">
            <v>010503</v>
          </cell>
          <cell r="I542" t="str">
            <v>2</v>
          </cell>
        </row>
        <row r="543">
          <cell r="A543" t="str">
            <v>AYACUCHOVILCAS HUAMANVILCAS HUAMAN</v>
          </cell>
          <cell r="B543" t="str">
            <v>05</v>
          </cell>
          <cell r="C543" t="str">
            <v>11</v>
          </cell>
          <cell r="D543" t="str">
            <v>01</v>
          </cell>
          <cell r="E543" t="str">
            <v>AYACUCHO</v>
          </cell>
          <cell r="F543" t="str">
            <v>VILCAS HUAMAN</v>
          </cell>
          <cell r="G543" t="str">
            <v>VILCAS HUAMAN</v>
          </cell>
          <cell r="H543" t="str">
            <v>010504</v>
          </cell>
          <cell r="I543" t="str">
            <v>1</v>
          </cell>
        </row>
        <row r="544">
          <cell r="A544" t="str">
            <v>AYACUCHOVILCAS HUAMANACCOMARCA</v>
          </cell>
          <cell r="B544" t="str">
            <v>05</v>
          </cell>
          <cell r="C544" t="str">
            <v>11</v>
          </cell>
          <cell r="D544" t="str">
            <v>02</v>
          </cell>
          <cell r="E544" t="str">
            <v>AYACUCHO</v>
          </cell>
          <cell r="F544" t="str">
            <v>VILCAS HUAMAN</v>
          </cell>
          <cell r="G544" t="str">
            <v>ACCOMARCA</v>
          </cell>
          <cell r="H544" t="str">
            <v>010505</v>
          </cell>
          <cell r="I544" t="str">
            <v>2</v>
          </cell>
        </row>
        <row r="545">
          <cell r="A545" t="str">
            <v>AYACUCHOVILCAS HUAMANCARHUANCA</v>
          </cell>
          <cell r="B545" t="str">
            <v>05</v>
          </cell>
          <cell r="C545" t="str">
            <v>11</v>
          </cell>
          <cell r="D545" t="str">
            <v>03</v>
          </cell>
          <cell r="E545" t="str">
            <v>AYACUCHO</v>
          </cell>
          <cell r="F545" t="str">
            <v>VILCAS HUAMAN</v>
          </cell>
          <cell r="G545" t="str">
            <v>CARHUANCA</v>
          </cell>
          <cell r="H545" t="str">
            <v>010506</v>
          </cell>
          <cell r="I545" t="str">
            <v>2</v>
          </cell>
        </row>
        <row r="546">
          <cell r="A546" t="str">
            <v>AYACUCHOVILCAS HUAMANCONCEPCION</v>
          </cell>
          <cell r="B546" t="str">
            <v>05</v>
          </cell>
          <cell r="C546" t="str">
            <v>11</v>
          </cell>
          <cell r="D546" t="str">
            <v>04</v>
          </cell>
          <cell r="E546" t="str">
            <v>AYACUCHO</v>
          </cell>
          <cell r="F546" t="str">
            <v>VILCAS HUAMAN</v>
          </cell>
          <cell r="G546" t="str">
            <v>CONCEPCION</v>
          </cell>
          <cell r="H546" t="str">
            <v>010507</v>
          </cell>
          <cell r="I546" t="str">
            <v>2</v>
          </cell>
        </row>
        <row r="547">
          <cell r="A547" t="str">
            <v>AYACUCHOVILCAS HUAMANHUAMBALPA</v>
          </cell>
          <cell r="B547" t="str">
            <v>05</v>
          </cell>
          <cell r="C547" t="str">
            <v>11</v>
          </cell>
          <cell r="D547" t="str">
            <v>05</v>
          </cell>
          <cell r="E547" t="str">
            <v>AYACUCHO</v>
          </cell>
          <cell r="F547" t="str">
            <v>VILCAS HUAMAN</v>
          </cell>
          <cell r="G547" t="str">
            <v>HUAMBALPA</v>
          </cell>
          <cell r="H547" t="str">
            <v>010508</v>
          </cell>
          <cell r="I547" t="str">
            <v>2</v>
          </cell>
        </row>
        <row r="548">
          <cell r="A548" t="str">
            <v>AYACUCHOVILCAS HUAMANINDEPENDENCIA</v>
          </cell>
          <cell r="B548" t="str">
            <v>05</v>
          </cell>
          <cell r="C548" t="str">
            <v>11</v>
          </cell>
          <cell r="D548" t="str">
            <v>06</v>
          </cell>
          <cell r="E548" t="str">
            <v>AYACUCHO</v>
          </cell>
          <cell r="F548" t="str">
            <v>VILCAS HUAMAN</v>
          </cell>
          <cell r="G548" t="str">
            <v>INDEPENDENCIA</v>
          </cell>
          <cell r="H548" t="str">
            <v>011973</v>
          </cell>
          <cell r="I548" t="str">
            <v>2</v>
          </cell>
        </row>
        <row r="549">
          <cell r="A549" t="str">
            <v>AYACUCHOVILCAS HUAMANSAURAMA</v>
          </cell>
          <cell r="B549" t="str">
            <v>05</v>
          </cell>
          <cell r="C549" t="str">
            <v>11</v>
          </cell>
          <cell r="D549" t="str">
            <v>07</v>
          </cell>
          <cell r="E549" t="str">
            <v>AYACUCHO</v>
          </cell>
          <cell r="F549" t="str">
            <v>VILCAS HUAMAN</v>
          </cell>
          <cell r="G549" t="str">
            <v>SAURAMA</v>
          </cell>
          <cell r="H549" t="str">
            <v>010510</v>
          </cell>
          <cell r="I549" t="str">
            <v>2</v>
          </cell>
        </row>
        <row r="550">
          <cell r="A550" t="str">
            <v>AYACUCHOVILCAS HUAMANVISCHONGO</v>
          </cell>
          <cell r="B550" t="str">
            <v>05</v>
          </cell>
          <cell r="C550" t="str">
            <v>11</v>
          </cell>
          <cell r="D550" t="str">
            <v>08</v>
          </cell>
          <cell r="E550" t="str">
            <v>AYACUCHO</v>
          </cell>
          <cell r="F550" t="str">
            <v>VILCAS HUAMAN</v>
          </cell>
          <cell r="G550" t="str">
            <v>VISCHONGO</v>
          </cell>
          <cell r="H550" t="str">
            <v>012491</v>
          </cell>
          <cell r="I550" t="str">
            <v>2</v>
          </cell>
        </row>
        <row r="551">
          <cell r="A551" t="str">
            <v>CAJAMARCACAJAMARCACAJAMARCA</v>
          </cell>
          <cell r="B551" t="str">
            <v>06</v>
          </cell>
          <cell r="C551" t="str">
            <v>01</v>
          </cell>
          <cell r="D551" t="str">
            <v>01</v>
          </cell>
          <cell r="E551" t="str">
            <v>CAJAMARCA</v>
          </cell>
          <cell r="F551" t="str">
            <v>CAJAMARCA</v>
          </cell>
          <cell r="G551" t="str">
            <v>CAJAMARCA</v>
          </cell>
          <cell r="H551" t="str">
            <v>010551</v>
          </cell>
          <cell r="I551" t="str">
            <v>1</v>
          </cell>
        </row>
        <row r="552">
          <cell r="A552" t="str">
            <v>CAJAMARCACAJAMARCAASUNCION</v>
          </cell>
          <cell r="B552" t="str">
            <v>06</v>
          </cell>
          <cell r="C552" t="str">
            <v>01</v>
          </cell>
          <cell r="D552" t="str">
            <v>02</v>
          </cell>
          <cell r="E552" t="str">
            <v>CAJAMARCA</v>
          </cell>
          <cell r="F552" t="str">
            <v>CAJAMARCA</v>
          </cell>
          <cell r="G552" t="str">
            <v>ASUNCION</v>
          </cell>
          <cell r="H552" t="str">
            <v>010557</v>
          </cell>
          <cell r="I552" t="str">
            <v>2</v>
          </cell>
        </row>
        <row r="553">
          <cell r="A553" t="str">
            <v>CAJAMARCACAJAMARCACHETILLA</v>
          </cell>
          <cell r="B553" t="str">
            <v>06</v>
          </cell>
          <cell r="C553" t="str">
            <v>01</v>
          </cell>
          <cell r="D553" t="str">
            <v>03</v>
          </cell>
          <cell r="E553" t="str">
            <v>CAJAMARCA</v>
          </cell>
          <cell r="F553" t="str">
            <v>CAJAMARCA</v>
          </cell>
          <cell r="G553" t="str">
            <v>CHETILLA</v>
          </cell>
          <cell r="H553" t="str">
            <v>010558</v>
          </cell>
          <cell r="I553" t="str">
            <v>2</v>
          </cell>
        </row>
        <row r="554">
          <cell r="A554" t="str">
            <v>CAJAMARCACAJAMARCACOSPAN</v>
          </cell>
          <cell r="B554" t="str">
            <v>06</v>
          </cell>
          <cell r="C554" t="str">
            <v>01</v>
          </cell>
          <cell r="D554" t="str">
            <v>04</v>
          </cell>
          <cell r="E554" t="str">
            <v>CAJAMARCA</v>
          </cell>
          <cell r="F554" t="str">
            <v>CAJAMARCA</v>
          </cell>
          <cell r="G554" t="str">
            <v>COSPAN</v>
          </cell>
          <cell r="H554" t="str">
            <v>010559</v>
          </cell>
          <cell r="I554" t="str">
            <v>2</v>
          </cell>
        </row>
        <row r="555">
          <cell r="A555" t="str">
            <v>CAJAMARCACAJAMARCAENCAÑADA</v>
          </cell>
          <cell r="B555" t="str">
            <v>06</v>
          </cell>
          <cell r="C555" t="str">
            <v>01</v>
          </cell>
          <cell r="D555" t="str">
            <v>05</v>
          </cell>
          <cell r="E555" t="str">
            <v>CAJAMARCA</v>
          </cell>
          <cell r="F555" t="str">
            <v>CAJAMARCA</v>
          </cell>
          <cell r="G555" t="str">
            <v>ENCAÑADA</v>
          </cell>
          <cell r="H555" t="str">
            <v>010552</v>
          </cell>
          <cell r="I555" t="str">
            <v>2</v>
          </cell>
        </row>
        <row r="556">
          <cell r="A556" t="str">
            <v>CAJAMARCACAJAMARCAJESUS</v>
          </cell>
          <cell r="B556" t="str">
            <v>06</v>
          </cell>
          <cell r="C556" t="str">
            <v>01</v>
          </cell>
          <cell r="D556" t="str">
            <v>06</v>
          </cell>
          <cell r="E556" t="str">
            <v>CAJAMARCA</v>
          </cell>
          <cell r="F556" t="str">
            <v>CAJAMARCA</v>
          </cell>
          <cell r="G556" t="str">
            <v>JESUS</v>
          </cell>
          <cell r="H556" t="str">
            <v>010560</v>
          </cell>
          <cell r="I556" t="str">
            <v>2</v>
          </cell>
        </row>
        <row r="557">
          <cell r="A557" t="str">
            <v>CAJAMARCACAJAMARCALLACANORA</v>
          </cell>
          <cell r="B557" t="str">
            <v>06</v>
          </cell>
          <cell r="C557" t="str">
            <v>01</v>
          </cell>
          <cell r="D557" t="str">
            <v>07</v>
          </cell>
          <cell r="E557" t="str">
            <v>CAJAMARCA</v>
          </cell>
          <cell r="F557" t="str">
            <v>CAJAMARCA</v>
          </cell>
          <cell r="G557" t="str">
            <v>LLACANORA</v>
          </cell>
          <cell r="H557" t="str">
            <v>010553</v>
          </cell>
          <cell r="I557" t="str">
            <v>2</v>
          </cell>
        </row>
        <row r="558">
          <cell r="A558" t="str">
            <v>CAJAMARCACAJAMARCALOS BAÑOS DEL INCA</v>
          </cell>
          <cell r="B558" t="str">
            <v>06</v>
          </cell>
          <cell r="C558" t="str">
            <v>01</v>
          </cell>
          <cell r="D558" t="str">
            <v>08</v>
          </cell>
          <cell r="E558" t="str">
            <v>CAJAMARCA</v>
          </cell>
          <cell r="F558" t="str">
            <v>CAJAMARCA</v>
          </cell>
          <cell r="G558" t="str">
            <v>LOS BAÑOS DEL INCA</v>
          </cell>
          <cell r="H558" t="str">
            <v>010554</v>
          </cell>
          <cell r="I558" t="str">
            <v>2</v>
          </cell>
        </row>
        <row r="559">
          <cell r="A559" t="str">
            <v>CAJAMARCACAJAMARCAMAGDALENA</v>
          </cell>
          <cell r="B559" t="str">
            <v>06</v>
          </cell>
          <cell r="C559" t="str">
            <v>01</v>
          </cell>
          <cell r="D559" t="str">
            <v>09</v>
          </cell>
          <cell r="E559" t="str">
            <v>CAJAMARCA</v>
          </cell>
          <cell r="F559" t="str">
            <v>CAJAMARCA</v>
          </cell>
          <cell r="G559" t="str">
            <v>MAGDALENA</v>
          </cell>
          <cell r="H559" t="str">
            <v>010561</v>
          </cell>
          <cell r="I559" t="str">
            <v>2</v>
          </cell>
        </row>
        <row r="560">
          <cell r="A560" t="str">
            <v>CAJAMARCACAJAMARCAMATARA</v>
          </cell>
          <cell r="B560" t="str">
            <v>06</v>
          </cell>
          <cell r="C560" t="str">
            <v>01</v>
          </cell>
          <cell r="D560" t="str">
            <v>10</v>
          </cell>
          <cell r="E560" t="str">
            <v>CAJAMARCA</v>
          </cell>
          <cell r="F560" t="str">
            <v>CAJAMARCA</v>
          </cell>
          <cell r="G560" t="str">
            <v>MATARA</v>
          </cell>
          <cell r="H560" t="str">
            <v>010555</v>
          </cell>
          <cell r="I560" t="str">
            <v>2</v>
          </cell>
        </row>
        <row r="561">
          <cell r="A561" t="str">
            <v>CAJAMARCACAJAMARCANAMORA</v>
          </cell>
          <cell r="B561" t="str">
            <v>06</v>
          </cell>
          <cell r="C561" t="str">
            <v>01</v>
          </cell>
          <cell r="D561" t="str">
            <v>11</v>
          </cell>
          <cell r="E561" t="str">
            <v>CAJAMARCA</v>
          </cell>
          <cell r="F561" t="str">
            <v>CAJAMARCA</v>
          </cell>
          <cell r="G561" t="str">
            <v>NAMORA</v>
          </cell>
          <cell r="H561" t="str">
            <v>012004</v>
          </cell>
          <cell r="I561" t="str">
            <v>2</v>
          </cell>
        </row>
        <row r="562">
          <cell r="A562" t="str">
            <v>CAJAMARCACAJAMARCASAN JUAN</v>
          </cell>
          <cell r="B562" t="str">
            <v>06</v>
          </cell>
          <cell r="C562" t="str">
            <v>01</v>
          </cell>
          <cell r="D562" t="str">
            <v>12</v>
          </cell>
          <cell r="E562" t="str">
            <v>CAJAMARCA</v>
          </cell>
          <cell r="F562" t="str">
            <v>CAJAMARCA</v>
          </cell>
          <cell r="G562" t="str">
            <v>SAN JUAN</v>
          </cell>
          <cell r="H562" t="str">
            <v>010562</v>
          </cell>
          <cell r="I562" t="str">
            <v>2</v>
          </cell>
        </row>
        <row r="563">
          <cell r="A563" t="str">
            <v>CAJAMARCACAJABAMBACAJABAMBA</v>
          </cell>
          <cell r="B563" t="str">
            <v>06</v>
          </cell>
          <cell r="C563" t="str">
            <v>02</v>
          </cell>
          <cell r="D563" t="str">
            <v>01</v>
          </cell>
          <cell r="E563" t="str">
            <v>CAJAMARCA</v>
          </cell>
          <cell r="F563" t="str">
            <v>CAJABAMBA</v>
          </cell>
          <cell r="G563" t="str">
            <v>CAJABAMBA</v>
          </cell>
          <cell r="H563" t="str">
            <v>012024</v>
          </cell>
          <cell r="I563" t="str">
            <v>1</v>
          </cell>
        </row>
        <row r="564">
          <cell r="A564" t="str">
            <v>CAJAMARCACAJABAMBACACHACHI</v>
          </cell>
          <cell r="B564" t="str">
            <v>06</v>
          </cell>
          <cell r="C564" t="str">
            <v>02</v>
          </cell>
          <cell r="D564" t="str">
            <v>02</v>
          </cell>
          <cell r="E564" t="str">
            <v>CAJAMARCA</v>
          </cell>
          <cell r="F564" t="str">
            <v>CAJABAMBA</v>
          </cell>
          <cell r="G564" t="str">
            <v>CACHACHI</v>
          </cell>
          <cell r="H564" t="str">
            <v>010564</v>
          </cell>
          <cell r="I564" t="str">
            <v>2</v>
          </cell>
        </row>
        <row r="565">
          <cell r="A565" t="str">
            <v>CAJAMARCACAJABAMBACONDEBAMBA</v>
          </cell>
          <cell r="B565" t="str">
            <v>06</v>
          </cell>
          <cell r="C565" t="str">
            <v>02</v>
          </cell>
          <cell r="D565" t="str">
            <v>03</v>
          </cell>
          <cell r="E565" t="str">
            <v>CAJAMARCA</v>
          </cell>
          <cell r="F565" t="str">
            <v>CAJABAMBA</v>
          </cell>
          <cell r="G565" t="str">
            <v>CONDEBAMBA</v>
          </cell>
          <cell r="H565" t="str">
            <v>010565</v>
          </cell>
          <cell r="I565" t="str">
            <v>2</v>
          </cell>
        </row>
        <row r="566">
          <cell r="A566" t="str">
            <v>CAJAMARCACAJABAMBASITACOCHA</v>
          </cell>
          <cell r="B566" t="str">
            <v>06</v>
          </cell>
          <cell r="C566" t="str">
            <v>02</v>
          </cell>
          <cell r="D566" t="str">
            <v>04</v>
          </cell>
          <cell r="E566" t="str">
            <v>CAJAMARCA</v>
          </cell>
          <cell r="F566" t="str">
            <v>CAJABAMBA</v>
          </cell>
          <cell r="G566" t="str">
            <v>SITACOCHA</v>
          </cell>
          <cell r="H566" t="str">
            <v>010566</v>
          </cell>
          <cell r="I566" t="str">
            <v>2</v>
          </cell>
        </row>
        <row r="567">
          <cell r="A567" t="str">
            <v>CAJAMARCACELENDINCELENDIN</v>
          </cell>
          <cell r="B567" t="str">
            <v>06</v>
          </cell>
          <cell r="C567" t="str">
            <v>03</v>
          </cell>
          <cell r="D567" t="str">
            <v>01</v>
          </cell>
          <cell r="E567" t="str">
            <v>CAJAMARCA</v>
          </cell>
          <cell r="F567" t="str">
            <v>CELENDIN</v>
          </cell>
          <cell r="G567" t="str">
            <v>CELENDIN</v>
          </cell>
          <cell r="H567" t="str">
            <v>010567</v>
          </cell>
          <cell r="I567" t="str">
            <v>1</v>
          </cell>
        </row>
        <row r="568">
          <cell r="A568" t="str">
            <v>CAJAMARCACELENDINCHUMUCH</v>
          </cell>
          <cell r="B568" t="str">
            <v>06</v>
          </cell>
          <cell r="C568" t="str">
            <v>03</v>
          </cell>
          <cell r="D568" t="str">
            <v>02</v>
          </cell>
          <cell r="E568" t="str">
            <v>CAJAMARCA</v>
          </cell>
          <cell r="F568" t="str">
            <v>CELENDIN</v>
          </cell>
          <cell r="G568" t="str">
            <v>CHUMUCH</v>
          </cell>
          <cell r="H568" t="str">
            <v>010575</v>
          </cell>
          <cell r="I568" t="str">
            <v>2</v>
          </cell>
        </row>
        <row r="569">
          <cell r="A569" t="str">
            <v>CAJAMARCACELENDINCORTEGANA</v>
          </cell>
          <cell r="B569" t="str">
            <v>06</v>
          </cell>
          <cell r="C569" t="str">
            <v>03</v>
          </cell>
          <cell r="D569" t="str">
            <v>03</v>
          </cell>
          <cell r="E569" t="str">
            <v>CAJAMARCA</v>
          </cell>
          <cell r="F569" t="str">
            <v>CELENDIN</v>
          </cell>
          <cell r="G569" t="str">
            <v>CORTEGANA</v>
          </cell>
          <cell r="H569" t="str">
            <v>010576</v>
          </cell>
          <cell r="I569" t="str">
            <v>2</v>
          </cell>
        </row>
        <row r="570">
          <cell r="A570" t="str">
            <v>CAJAMARCACELENDINHUASMIN</v>
          </cell>
          <cell r="B570" t="str">
            <v>06</v>
          </cell>
          <cell r="C570" t="str">
            <v>03</v>
          </cell>
          <cell r="D570" t="str">
            <v>04</v>
          </cell>
          <cell r="E570" t="str">
            <v>CAJAMARCA</v>
          </cell>
          <cell r="F570" t="str">
            <v>CELENDIN</v>
          </cell>
          <cell r="G570" t="str">
            <v>HUASMIN</v>
          </cell>
          <cell r="H570" t="str">
            <v>010568</v>
          </cell>
          <cell r="I570" t="str">
            <v>2</v>
          </cell>
        </row>
        <row r="571">
          <cell r="A571" t="str">
            <v>CAJAMARCACELENDINJORGE CHAVEZ</v>
          </cell>
          <cell r="B571" t="str">
            <v>06</v>
          </cell>
          <cell r="C571" t="str">
            <v>03</v>
          </cell>
          <cell r="D571" t="str">
            <v>05</v>
          </cell>
          <cell r="E571" t="str">
            <v>CAJAMARCA</v>
          </cell>
          <cell r="F571" t="str">
            <v>CELENDIN</v>
          </cell>
          <cell r="G571" t="str">
            <v>JORGE CHAVEZ</v>
          </cell>
          <cell r="H571" t="str">
            <v>010569</v>
          </cell>
          <cell r="I571" t="str">
            <v>2</v>
          </cell>
        </row>
        <row r="572">
          <cell r="A572" t="str">
            <v>CAJAMARCACELENDINJOSE GALVEZ</v>
          </cell>
          <cell r="B572" t="str">
            <v>06</v>
          </cell>
          <cell r="C572" t="str">
            <v>03</v>
          </cell>
          <cell r="D572" t="str">
            <v>06</v>
          </cell>
          <cell r="E572" t="str">
            <v>CAJAMARCA</v>
          </cell>
          <cell r="F572" t="str">
            <v>CELENDIN</v>
          </cell>
          <cell r="G572" t="str">
            <v>JOSE GALVEZ</v>
          </cell>
          <cell r="H572" t="str">
            <v>010570</v>
          </cell>
          <cell r="I572" t="str">
            <v>2</v>
          </cell>
        </row>
        <row r="573">
          <cell r="A573" t="str">
            <v>CAJAMARCACELENDINMIGUEL IGLESIAS</v>
          </cell>
          <cell r="B573" t="str">
            <v>06</v>
          </cell>
          <cell r="C573" t="str">
            <v>03</v>
          </cell>
          <cell r="D573" t="str">
            <v>07</v>
          </cell>
          <cell r="E573" t="str">
            <v>CAJAMARCA</v>
          </cell>
          <cell r="F573" t="str">
            <v>CELENDIN</v>
          </cell>
          <cell r="G573" t="str">
            <v>MIGUEL IGLESIAS</v>
          </cell>
          <cell r="H573" t="str">
            <v>010577</v>
          </cell>
          <cell r="I573" t="str">
            <v>2</v>
          </cell>
        </row>
        <row r="574">
          <cell r="A574" t="str">
            <v>CAJAMARCACELENDINOXAMARCA</v>
          </cell>
          <cell r="B574" t="str">
            <v>06</v>
          </cell>
          <cell r="C574" t="str">
            <v>03</v>
          </cell>
          <cell r="D574" t="str">
            <v>08</v>
          </cell>
          <cell r="E574" t="str">
            <v>CAJAMARCA</v>
          </cell>
          <cell r="F574" t="str">
            <v>CELENDIN</v>
          </cell>
          <cell r="G574" t="str">
            <v>OXAMARCA</v>
          </cell>
          <cell r="H574" t="str">
            <v>010571</v>
          </cell>
          <cell r="I574" t="str">
            <v>2</v>
          </cell>
        </row>
        <row r="575">
          <cell r="A575" t="str">
            <v>CAJAMARCACELENDINSOROCHUCO</v>
          </cell>
          <cell r="B575" t="str">
            <v>06</v>
          </cell>
          <cell r="C575" t="str">
            <v>03</v>
          </cell>
          <cell r="D575" t="str">
            <v>09</v>
          </cell>
          <cell r="E575" t="str">
            <v>CAJAMARCA</v>
          </cell>
          <cell r="F575" t="str">
            <v>CELENDIN</v>
          </cell>
          <cell r="G575" t="str">
            <v>SOROCHUCO</v>
          </cell>
          <cell r="H575" t="str">
            <v>010572</v>
          </cell>
          <cell r="I575" t="str">
            <v>2</v>
          </cell>
        </row>
        <row r="576">
          <cell r="A576" t="str">
            <v>CAJAMARCACELENDINSUCRE</v>
          </cell>
          <cell r="B576" t="str">
            <v>06</v>
          </cell>
          <cell r="C576" t="str">
            <v>03</v>
          </cell>
          <cell r="D576" t="str">
            <v>10</v>
          </cell>
          <cell r="E576" t="str">
            <v>CAJAMARCA</v>
          </cell>
          <cell r="F576" t="str">
            <v>CELENDIN</v>
          </cell>
          <cell r="G576" t="str">
            <v>SUCRE</v>
          </cell>
          <cell r="H576" t="str">
            <v>012027</v>
          </cell>
          <cell r="I576" t="str">
            <v>2</v>
          </cell>
        </row>
        <row r="577">
          <cell r="A577" t="str">
            <v>CAJAMARCACELENDINUTCO</v>
          </cell>
          <cell r="B577" t="str">
            <v>06</v>
          </cell>
          <cell r="C577" t="str">
            <v>03</v>
          </cell>
          <cell r="D577" t="str">
            <v>11</v>
          </cell>
          <cell r="E577" t="str">
            <v>CAJAMARCA</v>
          </cell>
          <cell r="F577" t="str">
            <v>CELENDIN</v>
          </cell>
          <cell r="G577" t="str">
            <v>UTCO</v>
          </cell>
          <cell r="H577" t="str">
            <v>010574</v>
          </cell>
          <cell r="I577" t="str">
            <v>2</v>
          </cell>
        </row>
        <row r="578">
          <cell r="A578" t="str">
            <v>CAJAMARCACELENDINLA LIBERTAD DE PALLAN</v>
          </cell>
          <cell r="B578" t="str">
            <v>06</v>
          </cell>
          <cell r="C578" t="str">
            <v>03</v>
          </cell>
          <cell r="D578" t="str">
            <v>12</v>
          </cell>
          <cell r="E578" t="str">
            <v>CAJAMARCA</v>
          </cell>
          <cell r="F578" t="str">
            <v>CELENDIN</v>
          </cell>
          <cell r="G578" t="str">
            <v>LA LIBERTAD DE PALLAN</v>
          </cell>
          <cell r="H578" t="str">
            <v>010578</v>
          </cell>
          <cell r="I578" t="str">
            <v>2</v>
          </cell>
        </row>
        <row r="579">
          <cell r="A579" t="str">
            <v>CAJAMARCACHOTACHOTA</v>
          </cell>
          <cell r="B579" t="str">
            <v>06</v>
          </cell>
          <cell r="C579" t="str">
            <v>04</v>
          </cell>
          <cell r="D579" t="str">
            <v>01</v>
          </cell>
          <cell r="E579" t="str">
            <v>CAJAMARCA</v>
          </cell>
          <cell r="F579" t="str">
            <v>CHOTA</v>
          </cell>
          <cell r="G579" t="str">
            <v>CHOTA</v>
          </cell>
          <cell r="H579" t="str">
            <v>010579</v>
          </cell>
          <cell r="I579" t="str">
            <v>1</v>
          </cell>
        </row>
        <row r="580">
          <cell r="A580" t="str">
            <v>CAJAMARCACHOTAANGUIA</v>
          </cell>
          <cell r="B580" t="str">
            <v>06</v>
          </cell>
          <cell r="C580" t="str">
            <v>04</v>
          </cell>
          <cell r="D580" t="str">
            <v>02</v>
          </cell>
          <cell r="E580" t="str">
            <v>CAJAMARCA</v>
          </cell>
          <cell r="F580" t="str">
            <v>CHOTA</v>
          </cell>
          <cell r="G580" t="str">
            <v>ANGUIA</v>
          </cell>
          <cell r="H580" t="str">
            <v>010580</v>
          </cell>
          <cell r="I580" t="str">
            <v>2</v>
          </cell>
        </row>
        <row r="581">
          <cell r="A581" t="str">
            <v>CAJAMARCACHOTACHADIN</v>
          </cell>
          <cell r="B581" t="str">
            <v>06</v>
          </cell>
          <cell r="C581" t="str">
            <v>04</v>
          </cell>
          <cell r="D581" t="str">
            <v>03</v>
          </cell>
          <cell r="E581" t="str">
            <v>CAJAMARCA</v>
          </cell>
          <cell r="F581" t="str">
            <v>CHOTA</v>
          </cell>
          <cell r="G581" t="str">
            <v>CHADIN</v>
          </cell>
          <cell r="H581" t="str">
            <v>010581</v>
          </cell>
          <cell r="I581" t="str">
            <v>2</v>
          </cell>
        </row>
        <row r="582">
          <cell r="A582" t="str">
            <v>CAJAMARCACHOTACHIGUIRIP</v>
          </cell>
          <cell r="B582" t="str">
            <v>06</v>
          </cell>
          <cell r="C582" t="str">
            <v>04</v>
          </cell>
          <cell r="D582" t="str">
            <v>04</v>
          </cell>
          <cell r="E582" t="str">
            <v>CAJAMARCA</v>
          </cell>
          <cell r="F582" t="str">
            <v>CHOTA</v>
          </cell>
          <cell r="G582" t="str">
            <v>CHIGUIRIP</v>
          </cell>
          <cell r="H582" t="str">
            <v>010582</v>
          </cell>
          <cell r="I582" t="str">
            <v>2</v>
          </cell>
        </row>
        <row r="583">
          <cell r="A583" t="str">
            <v>CAJAMARCACHOTACHIMBAN</v>
          </cell>
          <cell r="B583" t="str">
            <v>06</v>
          </cell>
          <cell r="C583" t="str">
            <v>04</v>
          </cell>
          <cell r="D583" t="str">
            <v>05</v>
          </cell>
          <cell r="E583" t="str">
            <v>CAJAMARCA</v>
          </cell>
          <cell r="F583" t="str">
            <v>CHOTA</v>
          </cell>
          <cell r="G583" t="str">
            <v>CHIMBAN</v>
          </cell>
          <cell r="H583" t="str">
            <v>010583</v>
          </cell>
          <cell r="I583" t="str">
            <v>2</v>
          </cell>
        </row>
        <row r="584">
          <cell r="A584" t="str">
            <v>CAJAMARCACHOTACHOROPAMPA</v>
          </cell>
          <cell r="B584" t="str">
            <v>06</v>
          </cell>
          <cell r="C584" t="str">
            <v>04</v>
          </cell>
          <cell r="D584" t="str">
            <v>06</v>
          </cell>
          <cell r="E584" t="str">
            <v>CAJAMARCA</v>
          </cell>
          <cell r="F584" t="str">
            <v>CHOTA</v>
          </cell>
          <cell r="G584" t="str">
            <v>CHOROPAMPA</v>
          </cell>
          <cell r="H584" t="str">
            <v>010584</v>
          </cell>
          <cell r="I584" t="str">
            <v>2</v>
          </cell>
        </row>
        <row r="585">
          <cell r="A585" t="str">
            <v>CAJAMARCACHOTACOCHABAMBA</v>
          </cell>
          <cell r="B585" t="str">
            <v>06</v>
          </cell>
          <cell r="C585" t="str">
            <v>04</v>
          </cell>
          <cell r="D585" t="str">
            <v>07</v>
          </cell>
          <cell r="E585" t="str">
            <v>CAJAMARCA</v>
          </cell>
          <cell r="F585" t="str">
            <v>CHOTA</v>
          </cell>
          <cell r="G585" t="str">
            <v>COCHABAMBA</v>
          </cell>
          <cell r="H585" t="str">
            <v>012011</v>
          </cell>
          <cell r="I585" t="str">
            <v>2</v>
          </cell>
        </row>
        <row r="586">
          <cell r="A586" t="str">
            <v>CAJAMARCACHOTACONCHAN</v>
          </cell>
          <cell r="B586" t="str">
            <v>06</v>
          </cell>
          <cell r="C586" t="str">
            <v>04</v>
          </cell>
          <cell r="D586" t="str">
            <v>08</v>
          </cell>
          <cell r="E586" t="str">
            <v>CAJAMARCA</v>
          </cell>
          <cell r="F586" t="str">
            <v>CHOTA</v>
          </cell>
          <cell r="G586" t="str">
            <v>CONCHAN</v>
          </cell>
          <cell r="H586" t="str">
            <v>010585</v>
          </cell>
          <cell r="I586" t="str">
            <v>2</v>
          </cell>
        </row>
        <row r="587">
          <cell r="A587" t="str">
            <v>CAJAMARCACHOTAHUAMBOS</v>
          </cell>
          <cell r="B587" t="str">
            <v>06</v>
          </cell>
          <cell r="C587" t="str">
            <v>04</v>
          </cell>
          <cell r="D587" t="str">
            <v>09</v>
          </cell>
          <cell r="E587" t="str">
            <v>CAJAMARCA</v>
          </cell>
          <cell r="F587" t="str">
            <v>CHOTA</v>
          </cell>
          <cell r="G587" t="str">
            <v>HUAMBOS</v>
          </cell>
          <cell r="H587" t="str">
            <v>010591</v>
          </cell>
          <cell r="I587" t="str">
            <v>2</v>
          </cell>
        </row>
        <row r="588">
          <cell r="A588" t="str">
            <v>CAJAMARCACHOTALAJAS</v>
          </cell>
          <cell r="B588" t="str">
            <v>06</v>
          </cell>
          <cell r="C588" t="str">
            <v>04</v>
          </cell>
          <cell r="D588" t="str">
            <v>10</v>
          </cell>
          <cell r="E588" t="str">
            <v>CAJAMARCA</v>
          </cell>
          <cell r="F588" t="str">
            <v>CHOTA</v>
          </cell>
          <cell r="G588" t="str">
            <v>LAJAS</v>
          </cell>
          <cell r="H588" t="str">
            <v>010592</v>
          </cell>
          <cell r="I588" t="str">
            <v>2</v>
          </cell>
        </row>
        <row r="589">
          <cell r="A589" t="str">
            <v>CAJAMARCACHOTALLAMA</v>
          </cell>
          <cell r="B589" t="str">
            <v>06</v>
          </cell>
          <cell r="C589" t="str">
            <v>04</v>
          </cell>
          <cell r="D589" t="str">
            <v>11</v>
          </cell>
          <cell r="E589" t="str">
            <v>CAJAMARCA</v>
          </cell>
          <cell r="F589" t="str">
            <v>CHOTA</v>
          </cell>
          <cell r="G589" t="str">
            <v>LLAMA</v>
          </cell>
          <cell r="H589" t="str">
            <v>010593</v>
          </cell>
          <cell r="I589" t="str">
            <v>2</v>
          </cell>
        </row>
        <row r="590">
          <cell r="A590" t="str">
            <v>CAJAMARCACHOTAMIRACOSTA</v>
          </cell>
          <cell r="B590" t="str">
            <v>06</v>
          </cell>
          <cell r="C590" t="str">
            <v>04</v>
          </cell>
          <cell r="D590" t="str">
            <v>12</v>
          </cell>
          <cell r="E590" t="str">
            <v>CAJAMARCA</v>
          </cell>
          <cell r="F590" t="str">
            <v>CHOTA</v>
          </cell>
          <cell r="G590" t="str">
            <v>MIRACOSTA</v>
          </cell>
          <cell r="H590" t="str">
            <v>010594</v>
          </cell>
          <cell r="I590" t="str">
            <v>2</v>
          </cell>
        </row>
        <row r="591">
          <cell r="A591" t="str">
            <v>CAJAMARCACHOTAPACCHA</v>
          </cell>
          <cell r="B591" t="str">
            <v>06</v>
          </cell>
          <cell r="C591" t="str">
            <v>04</v>
          </cell>
          <cell r="D591" t="str">
            <v>13</v>
          </cell>
          <cell r="E591" t="str">
            <v>CAJAMARCA</v>
          </cell>
          <cell r="F591" t="str">
            <v>CHOTA</v>
          </cell>
          <cell r="G591" t="str">
            <v>PACCHA</v>
          </cell>
          <cell r="H591" t="str">
            <v>010586</v>
          </cell>
          <cell r="I591" t="str">
            <v>2</v>
          </cell>
        </row>
        <row r="592">
          <cell r="A592" t="str">
            <v>CAJAMARCACHOTAPION</v>
          </cell>
          <cell r="B592" t="str">
            <v>06</v>
          </cell>
          <cell r="C592" t="str">
            <v>04</v>
          </cell>
          <cell r="D592" t="str">
            <v>14</v>
          </cell>
          <cell r="E592" t="str">
            <v>CAJAMARCA</v>
          </cell>
          <cell r="F592" t="str">
            <v>CHOTA</v>
          </cell>
          <cell r="G592" t="str">
            <v>PION</v>
          </cell>
          <cell r="H592" t="str">
            <v>012028</v>
          </cell>
          <cell r="I592" t="str">
            <v>2</v>
          </cell>
        </row>
        <row r="593">
          <cell r="A593" t="str">
            <v>CAJAMARCACHOTAQUEROCOTO</v>
          </cell>
          <cell r="B593" t="str">
            <v>06</v>
          </cell>
          <cell r="C593" t="str">
            <v>04</v>
          </cell>
          <cell r="D593" t="str">
            <v>15</v>
          </cell>
          <cell r="E593" t="str">
            <v>CAJAMARCA</v>
          </cell>
          <cell r="F593" t="str">
            <v>CHOTA</v>
          </cell>
          <cell r="G593" t="str">
            <v>QUEROCOTO</v>
          </cell>
          <cell r="H593" t="str">
            <v>010595</v>
          </cell>
          <cell r="I593" t="str">
            <v>2</v>
          </cell>
        </row>
        <row r="594">
          <cell r="A594" t="str">
            <v>CAJAMARCACHOTASAN JUAN DE LICUPIS</v>
          </cell>
          <cell r="B594" t="str">
            <v>06</v>
          </cell>
          <cell r="C594" t="str">
            <v>04</v>
          </cell>
          <cell r="D594" t="str">
            <v>16</v>
          </cell>
          <cell r="E594" t="str">
            <v>CAJAMARCA</v>
          </cell>
          <cell r="F594" t="str">
            <v>CHOTA</v>
          </cell>
          <cell r="G594" t="str">
            <v>SAN JUAN DE LICUPIS</v>
          </cell>
          <cell r="H594" t="str">
            <v>010596</v>
          </cell>
          <cell r="I594" t="str">
            <v>2</v>
          </cell>
        </row>
        <row r="595">
          <cell r="A595" t="str">
            <v>CAJAMARCACHOTATACABAMBA</v>
          </cell>
          <cell r="B595" t="str">
            <v>06</v>
          </cell>
          <cell r="C595" t="str">
            <v>04</v>
          </cell>
          <cell r="D595" t="str">
            <v>17</v>
          </cell>
          <cell r="E595" t="str">
            <v>CAJAMARCA</v>
          </cell>
          <cell r="F595" t="str">
            <v>CHOTA</v>
          </cell>
          <cell r="G595" t="str">
            <v>TACABAMBA</v>
          </cell>
          <cell r="H595" t="str">
            <v>010588</v>
          </cell>
          <cell r="I595" t="str">
            <v>2</v>
          </cell>
        </row>
        <row r="596">
          <cell r="A596" t="str">
            <v>CAJAMARCACHOTATOCMOCHE</v>
          </cell>
          <cell r="B596" t="str">
            <v>06</v>
          </cell>
          <cell r="C596" t="str">
            <v>04</v>
          </cell>
          <cell r="D596" t="str">
            <v>18</v>
          </cell>
          <cell r="E596" t="str">
            <v>CAJAMARCA</v>
          </cell>
          <cell r="F596" t="str">
            <v>CHOTA</v>
          </cell>
          <cell r="G596" t="str">
            <v>TOCMOCHE</v>
          </cell>
          <cell r="H596" t="str">
            <v>010597</v>
          </cell>
          <cell r="I596" t="str">
            <v>2</v>
          </cell>
        </row>
        <row r="597">
          <cell r="A597" t="str">
            <v>CAJAMARCACHOTACHALAMARCA</v>
          </cell>
          <cell r="B597" t="str">
            <v>06</v>
          </cell>
          <cell r="C597" t="str">
            <v>04</v>
          </cell>
          <cell r="D597" t="str">
            <v>19</v>
          </cell>
          <cell r="E597" t="str">
            <v>CAJAMARCA</v>
          </cell>
          <cell r="F597" t="str">
            <v>CHOTA</v>
          </cell>
          <cell r="G597" t="str">
            <v>CHALAMARCA</v>
          </cell>
          <cell r="H597" t="str">
            <v>010589</v>
          </cell>
          <cell r="I597" t="str">
            <v>2</v>
          </cell>
        </row>
        <row r="598">
          <cell r="A598" t="str">
            <v>CAJAMARCACONTUMAZACONTUMAZA</v>
          </cell>
          <cell r="B598" t="str">
            <v>06</v>
          </cell>
          <cell r="C598" t="str">
            <v>05</v>
          </cell>
          <cell r="D598" t="str">
            <v>01</v>
          </cell>
          <cell r="E598" t="str">
            <v>CAJAMARCA</v>
          </cell>
          <cell r="F598" t="str">
            <v>CONTUMAZA</v>
          </cell>
          <cell r="G598" t="str">
            <v>CONTUMAZA</v>
          </cell>
          <cell r="H598" t="str">
            <v>010598</v>
          </cell>
          <cell r="I598" t="str">
            <v>1</v>
          </cell>
        </row>
        <row r="599">
          <cell r="A599" t="str">
            <v>CAJAMARCACONTUMAZACHILETE</v>
          </cell>
          <cell r="B599" t="str">
            <v>06</v>
          </cell>
          <cell r="C599" t="str">
            <v>05</v>
          </cell>
          <cell r="D599" t="str">
            <v>02</v>
          </cell>
          <cell r="E599" t="str">
            <v>CAJAMARCA</v>
          </cell>
          <cell r="F599" t="str">
            <v>CONTUMAZA</v>
          </cell>
          <cell r="G599" t="str">
            <v>CHILETE</v>
          </cell>
          <cell r="H599" t="str">
            <v>010599</v>
          </cell>
          <cell r="I599" t="str">
            <v>2</v>
          </cell>
        </row>
        <row r="600">
          <cell r="A600" t="str">
            <v>CAJAMARCACONTUMAZACUPISNIQUE</v>
          </cell>
          <cell r="B600" t="str">
            <v>06</v>
          </cell>
          <cell r="C600" t="str">
            <v>05</v>
          </cell>
          <cell r="D600" t="str">
            <v>03</v>
          </cell>
          <cell r="E600" t="str">
            <v>CAJAMARCA</v>
          </cell>
          <cell r="F600" t="str">
            <v>CONTUMAZA</v>
          </cell>
          <cell r="G600" t="str">
            <v>CUPISNIQUE</v>
          </cell>
          <cell r="H600" t="str">
            <v>010600</v>
          </cell>
          <cell r="I600" t="str">
            <v>2</v>
          </cell>
        </row>
        <row r="601">
          <cell r="A601" t="str">
            <v>CAJAMARCACONTUMAZAGUZMANGO</v>
          </cell>
          <cell r="B601" t="str">
            <v>06</v>
          </cell>
          <cell r="C601" t="str">
            <v>05</v>
          </cell>
          <cell r="D601" t="str">
            <v>04</v>
          </cell>
          <cell r="E601" t="str">
            <v>CAJAMARCA</v>
          </cell>
          <cell r="F601" t="str">
            <v>CONTUMAZA</v>
          </cell>
          <cell r="G601" t="str">
            <v>GUZMANGO</v>
          </cell>
          <cell r="H601" t="str">
            <v>010601</v>
          </cell>
          <cell r="I601" t="str">
            <v>2</v>
          </cell>
        </row>
        <row r="602">
          <cell r="A602" t="str">
            <v>CAJAMARCACONTUMAZASAN BENITO</v>
          </cell>
          <cell r="B602" t="str">
            <v>06</v>
          </cell>
          <cell r="C602" t="str">
            <v>05</v>
          </cell>
          <cell r="D602" t="str">
            <v>05</v>
          </cell>
          <cell r="E602" t="str">
            <v>CAJAMARCA</v>
          </cell>
          <cell r="F602" t="str">
            <v>CONTUMAZA</v>
          </cell>
          <cell r="G602" t="str">
            <v>SAN BENITO</v>
          </cell>
          <cell r="H602" t="str">
            <v>012032</v>
          </cell>
          <cell r="I602" t="str">
            <v>2</v>
          </cell>
        </row>
        <row r="603">
          <cell r="A603" t="str">
            <v>CAJAMARCACONTUMAZASANTA CRUZ DE TOLED</v>
          </cell>
          <cell r="B603" t="str">
            <v>06</v>
          </cell>
          <cell r="C603" t="str">
            <v>05</v>
          </cell>
          <cell r="D603" t="str">
            <v>06</v>
          </cell>
          <cell r="E603" t="str">
            <v>CAJAMARCA</v>
          </cell>
          <cell r="F603" t="str">
            <v>CONTUMAZA</v>
          </cell>
          <cell r="G603" t="str">
            <v>SANTA CRUZ DE TOLED</v>
          </cell>
          <cell r="H603" t="str">
            <v>010603</v>
          </cell>
          <cell r="I603" t="str">
            <v>2</v>
          </cell>
        </row>
        <row r="604">
          <cell r="A604" t="str">
            <v>CAJAMARCACONTUMAZATANTARICA</v>
          </cell>
          <cell r="B604" t="str">
            <v>06</v>
          </cell>
          <cell r="C604" t="str">
            <v>05</v>
          </cell>
          <cell r="D604" t="str">
            <v>07</v>
          </cell>
          <cell r="E604" t="str">
            <v>CAJAMARCA</v>
          </cell>
          <cell r="F604" t="str">
            <v>CONTUMAZA</v>
          </cell>
          <cell r="G604" t="str">
            <v>TANTARICA</v>
          </cell>
          <cell r="H604" t="str">
            <v>012009</v>
          </cell>
          <cell r="I604" t="str">
            <v>2</v>
          </cell>
        </row>
        <row r="605">
          <cell r="A605" t="str">
            <v>CAJAMARCACONTUMAZAYONAN</v>
          </cell>
          <cell r="B605" t="str">
            <v>06</v>
          </cell>
          <cell r="C605" t="str">
            <v>05</v>
          </cell>
          <cell r="D605" t="str">
            <v>08</v>
          </cell>
          <cell r="E605" t="str">
            <v>CAJAMARCA</v>
          </cell>
          <cell r="F605" t="str">
            <v>CONTUMAZA</v>
          </cell>
          <cell r="G605" t="str">
            <v>YONAN</v>
          </cell>
          <cell r="H605" t="str">
            <v>010605</v>
          </cell>
          <cell r="I605" t="str">
            <v>2</v>
          </cell>
        </row>
        <row r="606">
          <cell r="A606" t="str">
            <v>CAJAMARCACUTERVOCUTERVO</v>
          </cell>
          <cell r="B606" t="str">
            <v>06</v>
          </cell>
          <cell r="C606" t="str">
            <v>06</v>
          </cell>
          <cell r="D606" t="str">
            <v>01</v>
          </cell>
          <cell r="E606" t="str">
            <v>CAJAMARCA</v>
          </cell>
          <cell r="F606" t="str">
            <v>CUTERVO</v>
          </cell>
          <cell r="G606" t="str">
            <v>CUTERVO</v>
          </cell>
          <cell r="H606" t="str">
            <v>010652</v>
          </cell>
          <cell r="I606" t="str">
            <v>1</v>
          </cell>
        </row>
        <row r="607">
          <cell r="A607" t="str">
            <v>CAJAMARCACUTERVOCALLAYUC</v>
          </cell>
          <cell r="B607" t="str">
            <v>06</v>
          </cell>
          <cell r="C607" t="str">
            <v>06</v>
          </cell>
          <cell r="D607" t="str">
            <v>02</v>
          </cell>
          <cell r="E607" t="str">
            <v>CAJAMARCA</v>
          </cell>
          <cell r="F607" t="str">
            <v>CUTERVO</v>
          </cell>
          <cell r="G607" t="str">
            <v>CALLAYUC</v>
          </cell>
          <cell r="H607" t="str">
            <v>012012</v>
          </cell>
          <cell r="I607" t="str">
            <v>2</v>
          </cell>
        </row>
        <row r="608">
          <cell r="A608" t="str">
            <v>CAJAMARCACUTERVOCHOROS</v>
          </cell>
          <cell r="B608" t="str">
            <v>06</v>
          </cell>
          <cell r="C608" t="str">
            <v>06</v>
          </cell>
          <cell r="D608" t="str">
            <v>03</v>
          </cell>
          <cell r="E608" t="str">
            <v>CAJAMARCA</v>
          </cell>
          <cell r="F608" t="str">
            <v>CUTERVO</v>
          </cell>
          <cell r="G608" t="str">
            <v>CHOROS</v>
          </cell>
          <cell r="H608" t="str">
            <v>010646</v>
          </cell>
          <cell r="I608" t="str">
            <v>2</v>
          </cell>
        </row>
        <row r="609">
          <cell r="A609" t="str">
            <v>CAJAMARCACUTERVOCUJILLO</v>
          </cell>
          <cell r="B609" t="str">
            <v>06</v>
          </cell>
          <cell r="C609" t="str">
            <v>06</v>
          </cell>
          <cell r="D609" t="str">
            <v>04</v>
          </cell>
          <cell r="E609" t="str">
            <v>CAJAMARCA</v>
          </cell>
          <cell r="F609" t="str">
            <v>CUTERVO</v>
          </cell>
          <cell r="G609" t="str">
            <v>CUJILLO</v>
          </cell>
          <cell r="H609" t="str">
            <v>010647</v>
          </cell>
          <cell r="I609" t="str">
            <v>2</v>
          </cell>
        </row>
        <row r="610">
          <cell r="A610" t="str">
            <v>CAJAMARCACUTERVOLA RAMADA</v>
          </cell>
          <cell r="B610" t="str">
            <v>06</v>
          </cell>
          <cell r="C610" t="str">
            <v>06</v>
          </cell>
          <cell r="D610" t="str">
            <v>05</v>
          </cell>
          <cell r="E610" t="str">
            <v>CAJAMARCA</v>
          </cell>
          <cell r="F610" t="str">
            <v>CUTERVO</v>
          </cell>
          <cell r="G610" t="str">
            <v>LA RAMADA</v>
          </cell>
          <cell r="H610" t="str">
            <v>010653</v>
          </cell>
          <cell r="I610" t="str">
            <v>2</v>
          </cell>
        </row>
        <row r="611">
          <cell r="A611" t="str">
            <v>CAJAMARCACUTERVOPIMPINGOS</v>
          </cell>
          <cell r="B611" t="str">
            <v>06</v>
          </cell>
          <cell r="C611" t="str">
            <v>06</v>
          </cell>
          <cell r="D611" t="str">
            <v>06</v>
          </cell>
          <cell r="E611" t="str">
            <v>CAJAMARCA</v>
          </cell>
          <cell r="F611" t="str">
            <v>CUTERVO</v>
          </cell>
          <cell r="G611" t="str">
            <v>PIMPINGOS</v>
          </cell>
          <cell r="H611" t="str">
            <v>010648</v>
          </cell>
          <cell r="I611" t="str">
            <v>2</v>
          </cell>
        </row>
        <row r="612">
          <cell r="A612" t="str">
            <v>CAJAMARCACUTERVOQUEROCOTILLO</v>
          </cell>
          <cell r="B612" t="str">
            <v>06</v>
          </cell>
          <cell r="C612" t="str">
            <v>06</v>
          </cell>
          <cell r="D612" t="str">
            <v>07</v>
          </cell>
          <cell r="E612" t="str">
            <v>CAJAMARCA</v>
          </cell>
          <cell r="F612" t="str">
            <v>CUTERVO</v>
          </cell>
          <cell r="G612" t="str">
            <v>QUEROCOTILLO</v>
          </cell>
          <cell r="H612" t="str">
            <v>010654</v>
          </cell>
          <cell r="I612" t="str">
            <v>2</v>
          </cell>
        </row>
        <row r="613">
          <cell r="A613" t="str">
            <v>CAJAMARCACUTERVOSAN ANDRES DE CUTERVO</v>
          </cell>
          <cell r="B613" t="str">
            <v>06</v>
          </cell>
          <cell r="C613" t="str">
            <v>06</v>
          </cell>
          <cell r="D613" t="str">
            <v>08</v>
          </cell>
          <cell r="E613" t="str">
            <v>CAJAMARCA</v>
          </cell>
          <cell r="F613" t="str">
            <v>CUTERVO</v>
          </cell>
          <cell r="G613" t="str">
            <v>SAN ANDRES DE CUTERVO</v>
          </cell>
          <cell r="H613" t="str">
            <v>012005</v>
          </cell>
          <cell r="I613" t="str">
            <v>2</v>
          </cell>
        </row>
        <row r="614">
          <cell r="A614" t="str">
            <v>CAJAMARCACUTERVOSAN JUAN DE CUTERVO</v>
          </cell>
          <cell r="B614" t="str">
            <v>06</v>
          </cell>
          <cell r="C614" t="str">
            <v>06</v>
          </cell>
          <cell r="D614" t="str">
            <v>09</v>
          </cell>
          <cell r="E614" t="str">
            <v>CAJAMARCA</v>
          </cell>
          <cell r="F614" t="str">
            <v>CUTERVO</v>
          </cell>
          <cell r="G614" t="str">
            <v>SAN JUAN DE CUTERVO</v>
          </cell>
          <cell r="H614" t="str">
            <v>010649</v>
          </cell>
          <cell r="I614" t="str">
            <v>2</v>
          </cell>
        </row>
        <row r="615">
          <cell r="A615" t="str">
            <v>CAJAMARCACUTERVOSAN LUIS DE LUCMA</v>
          </cell>
          <cell r="B615" t="str">
            <v>06</v>
          </cell>
          <cell r="C615" t="str">
            <v>06</v>
          </cell>
          <cell r="D615" t="str">
            <v>10</v>
          </cell>
          <cell r="E615" t="str">
            <v>CAJAMARCA</v>
          </cell>
          <cell r="F615" t="str">
            <v>CUTERVO</v>
          </cell>
          <cell r="G615" t="str">
            <v>SAN LUIS DE LUCMA</v>
          </cell>
          <cell r="H615" t="str">
            <v>010656</v>
          </cell>
          <cell r="I615" t="str">
            <v>2</v>
          </cell>
        </row>
        <row r="616">
          <cell r="A616" t="str">
            <v>CAJAMARCACUTERVOSANTA CRUZ</v>
          </cell>
          <cell r="B616" t="str">
            <v>06</v>
          </cell>
          <cell r="C616" t="str">
            <v>06</v>
          </cell>
          <cell r="D616" t="str">
            <v>11</v>
          </cell>
          <cell r="E616" t="str">
            <v>CAJAMARCA</v>
          </cell>
          <cell r="F616" t="str">
            <v>CUTERVO</v>
          </cell>
          <cell r="G616" t="str">
            <v>SANTA CRUZ</v>
          </cell>
          <cell r="H616" t="str">
            <v>010650</v>
          </cell>
          <cell r="I616" t="str">
            <v>2</v>
          </cell>
        </row>
        <row r="617">
          <cell r="A617" t="str">
            <v>CAJAMARCACUTERVOSANTO DOMINGO DE LA CAPILLA</v>
          </cell>
          <cell r="B617" t="str">
            <v>06</v>
          </cell>
          <cell r="C617" t="str">
            <v>06</v>
          </cell>
          <cell r="D617" t="str">
            <v>12</v>
          </cell>
          <cell r="E617" t="str">
            <v>CAJAMARCA</v>
          </cell>
          <cell r="F617" t="str">
            <v>CUTERVO</v>
          </cell>
          <cell r="G617" t="str">
            <v>SANTO DOMINGO DE LA CAPILLA</v>
          </cell>
          <cell r="H617" t="str">
            <v>012509</v>
          </cell>
          <cell r="I617" t="str">
            <v>2</v>
          </cell>
        </row>
        <row r="618">
          <cell r="A618" t="str">
            <v>CAJAMARCACUTERVOSANTO TOMAS</v>
          </cell>
          <cell r="B618" t="str">
            <v>06</v>
          </cell>
          <cell r="C618" t="str">
            <v>06</v>
          </cell>
          <cell r="D618" t="str">
            <v>13</v>
          </cell>
          <cell r="E618" t="str">
            <v>CAJAMARCA</v>
          </cell>
          <cell r="F618" t="str">
            <v>CUTERVO</v>
          </cell>
          <cell r="G618" t="str">
            <v>SANTO TOMAS</v>
          </cell>
          <cell r="H618" t="str">
            <v>010658</v>
          </cell>
          <cell r="I618" t="str">
            <v>2</v>
          </cell>
        </row>
        <row r="619">
          <cell r="A619" t="str">
            <v>CAJAMARCACUTERVOSOCOTA</v>
          </cell>
          <cell r="B619" t="str">
            <v>06</v>
          </cell>
          <cell r="C619" t="str">
            <v>06</v>
          </cell>
          <cell r="D619" t="str">
            <v>14</v>
          </cell>
          <cell r="E619" t="str">
            <v>CAJAMARCA</v>
          </cell>
          <cell r="F619" t="str">
            <v>CUTERVO</v>
          </cell>
          <cell r="G619" t="str">
            <v>SOCOTA</v>
          </cell>
          <cell r="H619" t="str">
            <v>010659</v>
          </cell>
          <cell r="I619" t="str">
            <v>2</v>
          </cell>
        </row>
        <row r="620">
          <cell r="A620" t="str">
            <v>CAJAMARCACUTERVOTORIBIO CASANOVA</v>
          </cell>
          <cell r="B620" t="str">
            <v>06</v>
          </cell>
          <cell r="C620" t="str">
            <v>06</v>
          </cell>
          <cell r="D620" t="str">
            <v>15</v>
          </cell>
          <cell r="E620" t="str">
            <v>CAJAMARCA</v>
          </cell>
          <cell r="F620" t="str">
            <v>CUTERVO</v>
          </cell>
          <cell r="G620" t="str">
            <v>TORIBIO CASANOVA</v>
          </cell>
          <cell r="H620" t="str">
            <v>010651</v>
          </cell>
          <cell r="I620" t="str">
            <v>2</v>
          </cell>
        </row>
        <row r="621">
          <cell r="A621" t="str">
            <v>CAJAMARCAHUALGAYOCBAMBAMARCA</v>
          </cell>
          <cell r="B621" t="str">
            <v>06</v>
          </cell>
          <cell r="C621" t="str">
            <v>07</v>
          </cell>
          <cell r="D621" t="str">
            <v>01</v>
          </cell>
          <cell r="E621" t="str">
            <v>CAJAMARCA</v>
          </cell>
          <cell r="F621" t="str">
            <v>HUALGAYOC</v>
          </cell>
          <cell r="G621" t="str">
            <v>BAMBAMARCA</v>
          </cell>
          <cell r="H621" t="str">
            <v>010606</v>
          </cell>
          <cell r="I621" t="str">
            <v>1</v>
          </cell>
        </row>
        <row r="622">
          <cell r="A622" t="str">
            <v>CAJAMARCAHUALGAYOCCHUGUR</v>
          </cell>
          <cell r="B622" t="str">
            <v>06</v>
          </cell>
          <cell r="C622" t="str">
            <v>07</v>
          </cell>
          <cell r="D622" t="str">
            <v>02</v>
          </cell>
          <cell r="E622" t="str">
            <v>CAJAMARCA</v>
          </cell>
          <cell r="F622" t="str">
            <v>HUALGAYOC</v>
          </cell>
          <cell r="G622" t="str">
            <v>CHUGUR</v>
          </cell>
          <cell r="H622" t="str">
            <v>012025</v>
          </cell>
          <cell r="I622" t="str">
            <v>2</v>
          </cell>
        </row>
        <row r="623">
          <cell r="A623" t="str">
            <v>CAJAMARCAHUALGAYOCHUALGAYOC</v>
          </cell>
          <cell r="B623" t="str">
            <v>06</v>
          </cell>
          <cell r="C623" t="str">
            <v>07</v>
          </cell>
          <cell r="D623" t="str">
            <v>03</v>
          </cell>
          <cell r="E623" t="str">
            <v>CAJAMARCA</v>
          </cell>
          <cell r="F623" t="str">
            <v>HUALGAYOC</v>
          </cell>
          <cell r="G623" t="str">
            <v>HUALGAYOC</v>
          </cell>
          <cell r="H623" t="str">
            <v>010608</v>
          </cell>
          <cell r="I623" t="str">
            <v>2</v>
          </cell>
        </row>
        <row r="624">
          <cell r="A624" t="str">
            <v>CAJAMARCAJAENJAEN</v>
          </cell>
          <cell r="B624" t="str">
            <v>06</v>
          </cell>
          <cell r="C624" t="str">
            <v>08</v>
          </cell>
          <cell r="D624" t="str">
            <v>01</v>
          </cell>
          <cell r="E624" t="str">
            <v>CAJAMARCA</v>
          </cell>
          <cell r="F624" t="str">
            <v>JAEN</v>
          </cell>
          <cell r="G624" t="str">
            <v>JAEN</v>
          </cell>
          <cell r="H624" t="str">
            <v>012013</v>
          </cell>
          <cell r="I624" t="str">
            <v>1</v>
          </cell>
        </row>
        <row r="625">
          <cell r="A625" t="str">
            <v>CAJAMARCAJAENBELLAVISTA</v>
          </cell>
          <cell r="B625" t="str">
            <v>06</v>
          </cell>
          <cell r="C625" t="str">
            <v>08</v>
          </cell>
          <cell r="D625" t="str">
            <v>02</v>
          </cell>
          <cell r="E625" t="str">
            <v>CAJAMARCA</v>
          </cell>
          <cell r="F625" t="str">
            <v>JAEN</v>
          </cell>
          <cell r="G625" t="str">
            <v>BELLAVISTA</v>
          </cell>
          <cell r="H625" t="str">
            <v>010640</v>
          </cell>
          <cell r="I625" t="str">
            <v>2</v>
          </cell>
        </row>
        <row r="626">
          <cell r="A626" t="str">
            <v>CAJAMARCAJAENCHONTALI</v>
          </cell>
          <cell r="B626" t="str">
            <v>06</v>
          </cell>
          <cell r="C626" t="str">
            <v>08</v>
          </cell>
          <cell r="D626" t="str">
            <v>03</v>
          </cell>
          <cell r="E626" t="str">
            <v>CAJAMARCA</v>
          </cell>
          <cell r="F626" t="str">
            <v>JAEN</v>
          </cell>
          <cell r="G626" t="str">
            <v>CHONTALI</v>
          </cell>
          <cell r="H626" t="str">
            <v>010634</v>
          </cell>
          <cell r="I626" t="str">
            <v>2</v>
          </cell>
        </row>
        <row r="627">
          <cell r="A627" t="str">
            <v>CAJAMARCAJAENCOLASAY</v>
          </cell>
          <cell r="B627" t="str">
            <v>06</v>
          </cell>
          <cell r="C627" t="str">
            <v>08</v>
          </cell>
          <cell r="D627" t="str">
            <v>04</v>
          </cell>
          <cell r="E627" t="str">
            <v>CAJAMARCA</v>
          </cell>
          <cell r="F627" t="str">
            <v>JAEN</v>
          </cell>
          <cell r="G627" t="str">
            <v>COLASAY</v>
          </cell>
          <cell r="H627" t="str">
            <v>012508</v>
          </cell>
          <cell r="I627" t="str">
            <v>2</v>
          </cell>
        </row>
        <row r="628">
          <cell r="A628" t="str">
            <v>CAJAMARCAJAENHUABAL</v>
          </cell>
          <cell r="B628" t="str">
            <v>06</v>
          </cell>
          <cell r="C628" t="str">
            <v>08</v>
          </cell>
          <cell r="D628" t="str">
            <v>05</v>
          </cell>
          <cell r="E628" t="str">
            <v>CAJAMARCA</v>
          </cell>
          <cell r="F628" t="str">
            <v>JAEN</v>
          </cell>
          <cell r="G628" t="str">
            <v>HUABAL</v>
          </cell>
          <cell r="H628" t="str">
            <v>010641</v>
          </cell>
          <cell r="I628" t="str">
            <v>2</v>
          </cell>
        </row>
        <row r="629">
          <cell r="A629" t="str">
            <v>CAJAMARCAJAENLAS PIRIAS</v>
          </cell>
          <cell r="B629" t="str">
            <v>06</v>
          </cell>
          <cell r="C629" t="str">
            <v>08</v>
          </cell>
          <cell r="D629" t="str">
            <v>06</v>
          </cell>
          <cell r="E629" t="str">
            <v>CAJAMARCA</v>
          </cell>
          <cell r="F629" t="str">
            <v>JAEN</v>
          </cell>
          <cell r="G629" t="str">
            <v>LAS PIRIAS</v>
          </cell>
          <cell r="H629" t="str">
            <v>010642</v>
          </cell>
          <cell r="I629" t="str">
            <v>2</v>
          </cell>
        </row>
        <row r="630">
          <cell r="A630" t="str">
            <v>CAJAMARCAJAENPOMAHUACA</v>
          </cell>
          <cell r="B630" t="str">
            <v>06</v>
          </cell>
          <cell r="C630" t="str">
            <v>08</v>
          </cell>
          <cell r="D630" t="str">
            <v>07</v>
          </cell>
          <cell r="E630" t="str">
            <v>CAJAMARCA</v>
          </cell>
          <cell r="F630" t="str">
            <v>JAEN</v>
          </cell>
          <cell r="G630" t="str">
            <v>POMAHUACA</v>
          </cell>
          <cell r="H630" t="str">
            <v>010636</v>
          </cell>
          <cell r="I630" t="str">
            <v>2</v>
          </cell>
        </row>
        <row r="631">
          <cell r="A631" t="str">
            <v>CAJAMARCAJAENPUCARA</v>
          </cell>
          <cell r="B631" t="str">
            <v>06</v>
          </cell>
          <cell r="C631" t="str">
            <v>08</v>
          </cell>
          <cell r="D631" t="str">
            <v>08</v>
          </cell>
          <cell r="E631" t="str">
            <v>CAJAMARCA</v>
          </cell>
          <cell r="F631" t="str">
            <v>JAEN</v>
          </cell>
          <cell r="G631" t="str">
            <v>PUCARA</v>
          </cell>
          <cell r="H631" t="str">
            <v>010637</v>
          </cell>
          <cell r="I631" t="str">
            <v>2</v>
          </cell>
        </row>
        <row r="632">
          <cell r="A632" t="str">
            <v>CAJAMARCAJAENSALLIQUE</v>
          </cell>
          <cell r="B632" t="str">
            <v>06</v>
          </cell>
          <cell r="C632" t="str">
            <v>08</v>
          </cell>
          <cell r="D632" t="str">
            <v>09</v>
          </cell>
          <cell r="E632" t="str">
            <v>CAJAMARCA</v>
          </cell>
          <cell r="F632" t="str">
            <v>JAEN</v>
          </cell>
          <cell r="G632" t="str">
            <v>SALLIQUE</v>
          </cell>
          <cell r="H632" t="str">
            <v>010638</v>
          </cell>
          <cell r="I632" t="str">
            <v>2</v>
          </cell>
        </row>
        <row r="633">
          <cell r="A633" t="str">
            <v>CAJAMARCAJAENSAN FELIPE</v>
          </cell>
          <cell r="B633" t="str">
            <v>06</v>
          </cell>
          <cell r="C633" t="str">
            <v>08</v>
          </cell>
          <cell r="D633" t="str">
            <v>10</v>
          </cell>
          <cell r="E633" t="str">
            <v>CAJAMARCA</v>
          </cell>
          <cell r="F633" t="str">
            <v>JAEN</v>
          </cell>
          <cell r="G633" t="str">
            <v>SAN FELIPE</v>
          </cell>
          <cell r="H633" t="str">
            <v>010639</v>
          </cell>
          <cell r="I633" t="str">
            <v>2</v>
          </cell>
        </row>
        <row r="634">
          <cell r="A634" t="str">
            <v>CAJAMARCAJAENSAN JOSE DEL ALTO</v>
          </cell>
          <cell r="B634" t="str">
            <v>06</v>
          </cell>
          <cell r="C634" t="str">
            <v>08</v>
          </cell>
          <cell r="D634" t="str">
            <v>11</v>
          </cell>
          <cell r="E634" t="str">
            <v>CAJAMARCA</v>
          </cell>
          <cell r="F634" t="str">
            <v>JAEN</v>
          </cell>
          <cell r="G634" t="str">
            <v>SAN JOSE DEL ALTO</v>
          </cell>
          <cell r="H634" t="str">
            <v>010643</v>
          </cell>
          <cell r="I634" t="str">
            <v>2</v>
          </cell>
        </row>
        <row r="635">
          <cell r="A635" t="str">
            <v>CAJAMARCAJAENSANTA ROSA</v>
          </cell>
          <cell r="B635" t="str">
            <v>06</v>
          </cell>
          <cell r="C635" t="str">
            <v>08</v>
          </cell>
          <cell r="D635" t="str">
            <v>12</v>
          </cell>
          <cell r="E635" t="str">
            <v>CAJAMARCA</v>
          </cell>
          <cell r="F635" t="str">
            <v>JAEN</v>
          </cell>
          <cell r="G635" t="str">
            <v>SANTA ROSA</v>
          </cell>
          <cell r="H635" t="str">
            <v>010644</v>
          </cell>
          <cell r="I635" t="str">
            <v>2</v>
          </cell>
        </row>
        <row r="636">
          <cell r="A636" t="str">
            <v>CAJAMARCASAN IGNACIOSAN IGNACIO</v>
          </cell>
          <cell r="B636" t="str">
            <v>06</v>
          </cell>
          <cell r="C636" t="str">
            <v>09</v>
          </cell>
          <cell r="D636" t="str">
            <v>01</v>
          </cell>
          <cell r="E636" t="str">
            <v>CAJAMARCA</v>
          </cell>
          <cell r="F636" t="str">
            <v>SAN IGNACIO</v>
          </cell>
          <cell r="G636" t="str">
            <v>SAN IGNACIO</v>
          </cell>
          <cell r="H636" t="str">
            <v>010660</v>
          </cell>
          <cell r="I636" t="str">
            <v>1</v>
          </cell>
        </row>
        <row r="637">
          <cell r="A637" t="str">
            <v>CAJAMARCASAN IGNACIOCHIRINOS</v>
          </cell>
          <cell r="B637" t="str">
            <v>06</v>
          </cell>
          <cell r="C637" t="str">
            <v>09</v>
          </cell>
          <cell r="D637" t="str">
            <v>02</v>
          </cell>
          <cell r="E637" t="str">
            <v>CAJAMARCA</v>
          </cell>
          <cell r="F637" t="str">
            <v>SAN IGNACIO</v>
          </cell>
          <cell r="G637" t="str">
            <v>CHIRINOS</v>
          </cell>
          <cell r="H637" t="str">
            <v>010661</v>
          </cell>
          <cell r="I637" t="str">
            <v>2</v>
          </cell>
        </row>
        <row r="638">
          <cell r="A638" t="str">
            <v>CAJAMARCASAN IGNACIOHUARANGO</v>
          </cell>
          <cell r="B638" t="str">
            <v>06</v>
          </cell>
          <cell r="C638" t="str">
            <v>09</v>
          </cell>
          <cell r="D638" t="str">
            <v>03</v>
          </cell>
          <cell r="E638" t="str">
            <v>CAJAMARCA</v>
          </cell>
          <cell r="F638" t="str">
            <v>SAN IGNACIO</v>
          </cell>
          <cell r="G638" t="str">
            <v>HUARANGO</v>
          </cell>
          <cell r="H638" t="str">
            <v>010662</v>
          </cell>
          <cell r="I638" t="str">
            <v>2</v>
          </cell>
        </row>
        <row r="639">
          <cell r="A639" t="str">
            <v>CAJAMARCASAN IGNACIOLA COIPA</v>
          </cell>
          <cell r="B639" t="str">
            <v>06</v>
          </cell>
          <cell r="C639" t="str">
            <v>09</v>
          </cell>
          <cell r="D639" t="str">
            <v>04</v>
          </cell>
          <cell r="E639" t="str">
            <v>CAJAMARCA</v>
          </cell>
          <cell r="F639" t="str">
            <v>SAN IGNACIO</v>
          </cell>
          <cell r="G639" t="str">
            <v>LA COIPA</v>
          </cell>
          <cell r="H639" t="str">
            <v>010663</v>
          </cell>
          <cell r="I639" t="str">
            <v>2</v>
          </cell>
        </row>
        <row r="640">
          <cell r="A640" t="str">
            <v>CAJAMARCASAN IGNACIONAMBALLE</v>
          </cell>
          <cell r="B640" t="str">
            <v>06</v>
          </cell>
          <cell r="C640" t="str">
            <v>09</v>
          </cell>
          <cell r="D640" t="str">
            <v>05</v>
          </cell>
          <cell r="E640" t="str">
            <v>CAJAMARCA</v>
          </cell>
          <cell r="F640" t="str">
            <v>SAN IGNACIO</v>
          </cell>
          <cell r="G640" t="str">
            <v>NAMBALLE</v>
          </cell>
          <cell r="H640" t="str">
            <v>010664</v>
          </cell>
          <cell r="I640" t="str">
            <v>2</v>
          </cell>
        </row>
        <row r="641">
          <cell r="A641" t="str">
            <v>CAJAMARCASAN IGNACIOSAN JOSE DE LOURDES</v>
          </cell>
          <cell r="B641" t="str">
            <v>06</v>
          </cell>
          <cell r="C641" t="str">
            <v>09</v>
          </cell>
          <cell r="D641" t="str">
            <v>06</v>
          </cell>
          <cell r="E641" t="str">
            <v>CAJAMARCA</v>
          </cell>
          <cell r="F641" t="str">
            <v>SAN IGNACIO</v>
          </cell>
          <cell r="G641" t="str">
            <v>SAN JOSE DE LOURDES</v>
          </cell>
          <cell r="H641" t="str">
            <v>012522</v>
          </cell>
          <cell r="I641" t="str">
            <v>2</v>
          </cell>
        </row>
        <row r="642">
          <cell r="A642" t="str">
            <v>CAJAMARCASAN IGNACIOTABACONAS</v>
          </cell>
          <cell r="B642" t="str">
            <v>06</v>
          </cell>
          <cell r="C642" t="str">
            <v>09</v>
          </cell>
          <cell r="D642" t="str">
            <v>07</v>
          </cell>
          <cell r="E642" t="str">
            <v>CAJAMARCA</v>
          </cell>
          <cell r="F642" t="str">
            <v>SAN IGNACIO</v>
          </cell>
          <cell r="G642" t="str">
            <v>TABACONAS</v>
          </cell>
          <cell r="H642" t="str">
            <v>010666</v>
          </cell>
          <cell r="I642" t="str">
            <v>2</v>
          </cell>
        </row>
        <row r="643">
          <cell r="A643" t="str">
            <v>CAJAMARCASAN MARCOSPEDRO GALVEZ</v>
          </cell>
          <cell r="B643" t="str">
            <v>06</v>
          </cell>
          <cell r="C643" t="str">
            <v>10</v>
          </cell>
          <cell r="D643" t="str">
            <v>01</v>
          </cell>
          <cell r="E643" t="str">
            <v>CAJAMARCA</v>
          </cell>
          <cell r="F643" t="str">
            <v>SAN MARCOS</v>
          </cell>
          <cell r="G643" t="str">
            <v>PEDRO GALVEZ</v>
          </cell>
          <cell r="H643" t="str">
            <v>010609</v>
          </cell>
          <cell r="I643" t="str">
            <v>1</v>
          </cell>
        </row>
        <row r="644">
          <cell r="A644" t="str">
            <v>CAJAMARCASAN MARCOSCHANCAY</v>
          </cell>
          <cell r="B644" t="str">
            <v>06</v>
          </cell>
          <cell r="C644" t="str">
            <v>10</v>
          </cell>
          <cell r="D644" t="str">
            <v>02</v>
          </cell>
          <cell r="E644" t="str">
            <v>CAJAMARCA</v>
          </cell>
          <cell r="F644" t="str">
            <v>SAN MARCOS</v>
          </cell>
          <cell r="G644" t="str">
            <v>CHANCAY</v>
          </cell>
          <cell r="H644" t="str">
            <v>010610</v>
          </cell>
          <cell r="I644" t="str">
            <v>2</v>
          </cell>
        </row>
        <row r="645">
          <cell r="A645" t="str">
            <v>CAJAMARCASAN MARCOSEDUARDO VILLANUEVA</v>
          </cell>
          <cell r="B645" t="str">
            <v>06</v>
          </cell>
          <cell r="C645" t="str">
            <v>10</v>
          </cell>
          <cell r="D645" t="str">
            <v>03</v>
          </cell>
          <cell r="E645" t="str">
            <v>CAJAMARCA</v>
          </cell>
          <cell r="F645" t="str">
            <v>SAN MARCOS</v>
          </cell>
          <cell r="G645" t="str">
            <v>EDUARDO VILLANUEVA</v>
          </cell>
          <cell r="H645" t="str">
            <v>010611</v>
          </cell>
          <cell r="I645" t="str">
            <v>2</v>
          </cell>
        </row>
        <row r="646">
          <cell r="A646" t="str">
            <v>CAJAMARCASAN MARCOSGREGORIO PITA</v>
          </cell>
          <cell r="B646" t="str">
            <v>06</v>
          </cell>
          <cell r="C646" t="str">
            <v>10</v>
          </cell>
          <cell r="D646" t="str">
            <v>04</v>
          </cell>
          <cell r="E646" t="str">
            <v>CAJAMARCA</v>
          </cell>
          <cell r="F646" t="str">
            <v>SAN MARCOS</v>
          </cell>
          <cell r="G646" t="str">
            <v>GREGORIO PITA</v>
          </cell>
          <cell r="H646" t="str">
            <v>010612</v>
          </cell>
          <cell r="I646" t="str">
            <v>2</v>
          </cell>
        </row>
        <row r="647">
          <cell r="A647" t="str">
            <v>CAJAMARCASAN MARCOSICHOCAN</v>
          </cell>
          <cell r="B647" t="str">
            <v>06</v>
          </cell>
          <cell r="C647" t="str">
            <v>10</v>
          </cell>
          <cell r="D647" t="str">
            <v>05</v>
          </cell>
          <cell r="E647" t="str">
            <v>CAJAMARCA</v>
          </cell>
          <cell r="F647" t="str">
            <v>SAN MARCOS</v>
          </cell>
          <cell r="G647" t="str">
            <v>ICHOCAN</v>
          </cell>
          <cell r="H647" t="str">
            <v>010613</v>
          </cell>
          <cell r="I647" t="str">
            <v>2</v>
          </cell>
        </row>
        <row r="648">
          <cell r="A648" t="str">
            <v>CAJAMARCASAN MARCOSJOSE MANUEL QUIROZ</v>
          </cell>
          <cell r="B648" t="str">
            <v>06</v>
          </cell>
          <cell r="C648" t="str">
            <v>10</v>
          </cell>
          <cell r="D648" t="str">
            <v>06</v>
          </cell>
          <cell r="E648" t="str">
            <v>CAJAMARCA</v>
          </cell>
          <cell r="F648" t="str">
            <v>SAN MARCOS</v>
          </cell>
          <cell r="G648" t="str">
            <v>JOSE MANUEL QUIROZ</v>
          </cell>
          <cell r="H648" t="str">
            <v>010614</v>
          </cell>
          <cell r="I648" t="str">
            <v>2</v>
          </cell>
        </row>
        <row r="649">
          <cell r="A649" t="str">
            <v>CAJAMARCASAN MARCOSJOSE SABOGAL</v>
          </cell>
          <cell r="B649" t="str">
            <v>06</v>
          </cell>
          <cell r="C649" t="str">
            <v>10</v>
          </cell>
          <cell r="D649" t="str">
            <v>07</v>
          </cell>
          <cell r="E649" t="str">
            <v>CAJAMARCA</v>
          </cell>
          <cell r="F649" t="str">
            <v>SAN MARCOS</v>
          </cell>
          <cell r="G649" t="str">
            <v>JOSE SABOGAL</v>
          </cell>
          <cell r="H649" t="str">
            <v>010615</v>
          </cell>
          <cell r="I649" t="str">
            <v>2</v>
          </cell>
        </row>
        <row r="650">
          <cell r="A650" t="str">
            <v>CAJAMARCASAN MIGUELSAN MIGUEL</v>
          </cell>
          <cell r="B650" t="str">
            <v>06</v>
          </cell>
          <cell r="C650" t="str">
            <v>11</v>
          </cell>
          <cell r="D650" t="str">
            <v>01</v>
          </cell>
          <cell r="E650" t="str">
            <v>CAJAMARCA</v>
          </cell>
          <cell r="F650" t="str">
            <v>SAN MIGUEL</v>
          </cell>
          <cell r="G650" t="str">
            <v>SAN MIGUEL</v>
          </cell>
          <cell r="H650" t="str">
            <v>010616</v>
          </cell>
          <cell r="I650" t="str">
            <v>1</v>
          </cell>
        </row>
        <row r="651">
          <cell r="A651" t="str">
            <v>CAJAMARCASAN MIGUELBOLIVAR</v>
          </cell>
          <cell r="B651" t="str">
            <v>06</v>
          </cell>
          <cell r="C651" t="str">
            <v>11</v>
          </cell>
          <cell r="D651" t="str">
            <v>02</v>
          </cell>
          <cell r="E651" t="str">
            <v>CAJAMARCA</v>
          </cell>
          <cell r="F651" t="str">
            <v>SAN MIGUEL</v>
          </cell>
          <cell r="G651" t="str">
            <v>BOLIVAR</v>
          </cell>
          <cell r="H651" t="str">
            <v>010622</v>
          </cell>
          <cell r="I651" t="str">
            <v>2</v>
          </cell>
        </row>
        <row r="652">
          <cell r="A652" t="str">
            <v>CAJAMARCASAN MIGUELCALQUIS</v>
          </cell>
          <cell r="B652" t="str">
            <v>06</v>
          </cell>
          <cell r="C652" t="str">
            <v>11</v>
          </cell>
          <cell r="D652" t="str">
            <v>03</v>
          </cell>
          <cell r="E652" t="str">
            <v>CAJAMARCA</v>
          </cell>
          <cell r="F652" t="str">
            <v>SAN MIGUEL</v>
          </cell>
          <cell r="G652" t="str">
            <v>CALQUIS</v>
          </cell>
          <cell r="H652" t="str">
            <v>010617</v>
          </cell>
          <cell r="I652" t="str">
            <v>2</v>
          </cell>
        </row>
        <row r="653">
          <cell r="A653" t="str">
            <v>CAJAMARCASAN MIGUELCATILLUC</v>
          </cell>
          <cell r="B653" t="str">
            <v>06</v>
          </cell>
          <cell r="C653" t="str">
            <v>11</v>
          </cell>
          <cell r="D653" t="str">
            <v>04</v>
          </cell>
          <cell r="E653" t="str">
            <v>CAJAMARCA</v>
          </cell>
          <cell r="F653" t="str">
            <v>SAN MIGUEL</v>
          </cell>
          <cell r="G653" t="str">
            <v>CATILLUC</v>
          </cell>
          <cell r="H653" t="str">
            <v>010618</v>
          </cell>
          <cell r="I653" t="str">
            <v>2</v>
          </cell>
        </row>
        <row r="654">
          <cell r="A654" t="str">
            <v>CAJAMARCASAN MIGUELEL PRADO</v>
          </cell>
          <cell r="B654" t="str">
            <v>06</v>
          </cell>
          <cell r="C654" t="str">
            <v>11</v>
          </cell>
          <cell r="D654" t="str">
            <v>05</v>
          </cell>
          <cell r="E654" t="str">
            <v>CAJAMARCA</v>
          </cell>
          <cell r="F654" t="str">
            <v>SAN MIGUEL</v>
          </cell>
          <cell r="G654" t="str">
            <v>EL PRADO</v>
          </cell>
          <cell r="H654" t="str">
            <v>012029</v>
          </cell>
          <cell r="I654" t="str">
            <v>2</v>
          </cell>
        </row>
        <row r="655">
          <cell r="A655" t="str">
            <v>CAJAMARCASAN MIGUELLA FLORIDA</v>
          </cell>
          <cell r="B655" t="str">
            <v>06</v>
          </cell>
          <cell r="C655" t="str">
            <v>11</v>
          </cell>
          <cell r="D655" t="str">
            <v>06</v>
          </cell>
          <cell r="E655" t="str">
            <v>CAJAMARCA</v>
          </cell>
          <cell r="F655" t="str">
            <v>SAN MIGUEL</v>
          </cell>
          <cell r="G655" t="str">
            <v>LA FLORIDA</v>
          </cell>
          <cell r="H655" t="str">
            <v>010624</v>
          </cell>
          <cell r="I655" t="str">
            <v>2</v>
          </cell>
        </row>
        <row r="656">
          <cell r="A656" t="str">
            <v>CAJAMARCASAN MIGUELLLAPA</v>
          </cell>
          <cell r="B656" t="str">
            <v>06</v>
          </cell>
          <cell r="C656" t="str">
            <v>11</v>
          </cell>
          <cell r="D656" t="str">
            <v>07</v>
          </cell>
          <cell r="E656" t="str">
            <v>CAJAMARCA</v>
          </cell>
          <cell r="F656" t="str">
            <v>SAN MIGUEL</v>
          </cell>
          <cell r="G656" t="str">
            <v>LLAPA</v>
          </cell>
          <cell r="H656" t="str">
            <v>010619</v>
          </cell>
          <cell r="I656" t="str">
            <v>2</v>
          </cell>
        </row>
        <row r="657">
          <cell r="A657" t="str">
            <v>CAJAMARCASAN MIGUELNANCHOC</v>
          </cell>
          <cell r="B657" t="str">
            <v>06</v>
          </cell>
          <cell r="C657" t="str">
            <v>11</v>
          </cell>
          <cell r="D657" t="str">
            <v>08</v>
          </cell>
          <cell r="E657" t="str">
            <v>CAJAMARCA</v>
          </cell>
          <cell r="F657" t="str">
            <v>SAN MIGUEL</v>
          </cell>
          <cell r="G657" t="str">
            <v>NANCHOC</v>
          </cell>
          <cell r="H657" t="str">
            <v>010625</v>
          </cell>
          <cell r="I657" t="str">
            <v>2</v>
          </cell>
        </row>
        <row r="658">
          <cell r="A658" t="str">
            <v>CAJAMARCASAN MIGUELNIEPOS</v>
          </cell>
          <cell r="B658" t="str">
            <v>06</v>
          </cell>
          <cell r="C658" t="str">
            <v>11</v>
          </cell>
          <cell r="D658" t="str">
            <v>09</v>
          </cell>
          <cell r="E658" t="str">
            <v>CAJAMARCA</v>
          </cell>
          <cell r="F658" t="str">
            <v>SAN MIGUEL</v>
          </cell>
          <cell r="G658" t="str">
            <v>NIEPOS</v>
          </cell>
          <cell r="H658" t="str">
            <v>010626</v>
          </cell>
          <cell r="I658" t="str">
            <v>2</v>
          </cell>
        </row>
        <row r="659">
          <cell r="A659" t="str">
            <v>CAJAMARCASAN MIGUELSAN GREGORIO</v>
          </cell>
          <cell r="B659" t="str">
            <v>06</v>
          </cell>
          <cell r="C659" t="str">
            <v>11</v>
          </cell>
          <cell r="D659" t="str">
            <v>10</v>
          </cell>
          <cell r="E659" t="str">
            <v>CAJAMARCA</v>
          </cell>
          <cell r="F659" t="str">
            <v>SAN MIGUEL</v>
          </cell>
          <cell r="G659" t="str">
            <v>SAN GREGORIO</v>
          </cell>
          <cell r="H659" t="str">
            <v>010627</v>
          </cell>
          <cell r="I659" t="str">
            <v>2</v>
          </cell>
        </row>
        <row r="660">
          <cell r="A660" t="str">
            <v>CAJAMARCASAN MIGUELSAN SILVESTRE DE COCHAN</v>
          </cell>
          <cell r="B660" t="str">
            <v>06</v>
          </cell>
          <cell r="C660" t="str">
            <v>11</v>
          </cell>
          <cell r="D660" t="str">
            <v>11</v>
          </cell>
          <cell r="E660" t="str">
            <v>CAJAMARCA</v>
          </cell>
          <cell r="F660" t="str">
            <v>SAN MIGUEL</v>
          </cell>
          <cell r="G660" t="str">
            <v>SAN SILVESTRE DE COCHAN</v>
          </cell>
          <cell r="H660" t="str">
            <v>010620</v>
          </cell>
          <cell r="I660" t="str">
            <v>2</v>
          </cell>
        </row>
        <row r="661">
          <cell r="A661" t="str">
            <v>CAJAMARCASAN MIGUELTONGOD</v>
          </cell>
          <cell r="B661" t="str">
            <v>06</v>
          </cell>
          <cell r="C661" t="str">
            <v>11</v>
          </cell>
          <cell r="D661" t="str">
            <v>12</v>
          </cell>
          <cell r="E661" t="str">
            <v>CAJAMARCA</v>
          </cell>
          <cell r="F661" t="str">
            <v>SAN MIGUEL</v>
          </cell>
          <cell r="G661" t="str">
            <v>TONGOD</v>
          </cell>
          <cell r="H661" t="str">
            <v>010621</v>
          </cell>
          <cell r="I661" t="str">
            <v>2</v>
          </cell>
        </row>
        <row r="662">
          <cell r="A662" t="str">
            <v>CAJAMARCASAN MIGUELUNION AGUA BLANCA</v>
          </cell>
          <cell r="B662" t="str">
            <v>06</v>
          </cell>
          <cell r="C662" t="str">
            <v>11</v>
          </cell>
          <cell r="D662" t="str">
            <v>13</v>
          </cell>
          <cell r="E662" t="str">
            <v>CAJAMARCA</v>
          </cell>
          <cell r="F662" t="str">
            <v>SAN MIGUEL</v>
          </cell>
          <cell r="G662" t="str">
            <v>UNION AGUA BLANCA</v>
          </cell>
          <cell r="H662" t="str">
            <v>010628</v>
          </cell>
          <cell r="I662" t="str">
            <v>2</v>
          </cell>
        </row>
        <row r="663">
          <cell r="A663" t="str">
            <v>CAJAMARCASAN PABLOSAN PABLO</v>
          </cell>
          <cell r="B663" t="str">
            <v>06</v>
          </cell>
          <cell r="C663" t="str">
            <v>12</v>
          </cell>
          <cell r="D663" t="str">
            <v>01</v>
          </cell>
          <cell r="E663" t="str">
            <v>CAJAMARCA</v>
          </cell>
          <cell r="F663" t="str">
            <v>SAN PABLO</v>
          </cell>
          <cell r="G663" t="str">
            <v>SAN PABLO</v>
          </cell>
          <cell r="H663" t="str">
            <v>010629</v>
          </cell>
          <cell r="I663" t="str">
            <v>1</v>
          </cell>
        </row>
        <row r="664">
          <cell r="A664" t="str">
            <v>CAJAMARCASAN PABLOSAN BERNARDINO</v>
          </cell>
          <cell r="B664" t="str">
            <v>06</v>
          </cell>
          <cell r="C664" t="str">
            <v>12</v>
          </cell>
          <cell r="D664" t="str">
            <v>02</v>
          </cell>
          <cell r="E664" t="str">
            <v>CAJAMARCA</v>
          </cell>
          <cell r="F664" t="str">
            <v>SAN PABLO</v>
          </cell>
          <cell r="G664" t="str">
            <v>SAN BERNARDINO</v>
          </cell>
          <cell r="H664" t="str">
            <v>010630</v>
          </cell>
          <cell r="I664" t="str">
            <v>2</v>
          </cell>
        </row>
        <row r="665">
          <cell r="A665" t="str">
            <v>CAJAMARCASAN PABLOSAN LUIS</v>
          </cell>
          <cell r="B665" t="str">
            <v>06</v>
          </cell>
          <cell r="C665" t="str">
            <v>12</v>
          </cell>
          <cell r="D665" t="str">
            <v>03</v>
          </cell>
          <cell r="E665" t="str">
            <v>CAJAMARCA</v>
          </cell>
          <cell r="F665" t="str">
            <v>SAN PABLO</v>
          </cell>
          <cell r="G665" t="str">
            <v>SAN LUIS</v>
          </cell>
          <cell r="H665" t="str">
            <v>010631</v>
          </cell>
          <cell r="I665" t="str">
            <v>2</v>
          </cell>
        </row>
        <row r="666">
          <cell r="A666" t="str">
            <v>CAJAMARCASAN PABLOTUMBADEN</v>
          </cell>
          <cell r="B666" t="str">
            <v>06</v>
          </cell>
          <cell r="C666" t="str">
            <v>12</v>
          </cell>
          <cell r="D666" t="str">
            <v>04</v>
          </cell>
          <cell r="E666" t="str">
            <v>CAJAMARCA</v>
          </cell>
          <cell r="F666" t="str">
            <v>SAN PABLO</v>
          </cell>
          <cell r="G666" t="str">
            <v>TUMBADEN</v>
          </cell>
          <cell r="H666" t="str">
            <v>012035</v>
          </cell>
          <cell r="I666" t="str">
            <v>2</v>
          </cell>
        </row>
        <row r="667">
          <cell r="A667" t="str">
            <v>CAJAMARCASANTA CRUZSANTA CRUZ</v>
          </cell>
          <cell r="B667" t="str">
            <v>06</v>
          </cell>
          <cell r="C667" t="str">
            <v>13</v>
          </cell>
          <cell r="D667" t="str">
            <v>01</v>
          </cell>
          <cell r="E667" t="str">
            <v>CAJAMARCA</v>
          </cell>
          <cell r="F667" t="str">
            <v>SANTA CRUZ</v>
          </cell>
          <cell r="G667" t="str">
            <v>SANTA CRUZ</v>
          </cell>
          <cell r="H667" t="str">
            <v>010667</v>
          </cell>
          <cell r="I667" t="str">
            <v>1</v>
          </cell>
        </row>
        <row r="668">
          <cell r="A668" t="str">
            <v>CAJAMARCASANTA CRUZANDABAMBA</v>
          </cell>
          <cell r="B668" t="str">
            <v>06</v>
          </cell>
          <cell r="C668" t="str">
            <v>13</v>
          </cell>
          <cell r="D668" t="str">
            <v>02</v>
          </cell>
          <cell r="E668" t="str">
            <v>CAJAMARCA</v>
          </cell>
          <cell r="F668" t="str">
            <v>SANTA CRUZ</v>
          </cell>
          <cell r="G668" t="str">
            <v>ANDABAMBA</v>
          </cell>
          <cell r="H668" t="str">
            <v>010668</v>
          </cell>
          <cell r="I668" t="str">
            <v>2</v>
          </cell>
        </row>
        <row r="669">
          <cell r="A669" t="str">
            <v>CAJAMARCASANTA CRUZCATACHE</v>
          </cell>
          <cell r="B669" t="str">
            <v>06</v>
          </cell>
          <cell r="C669" t="str">
            <v>13</v>
          </cell>
          <cell r="D669" t="str">
            <v>03</v>
          </cell>
          <cell r="E669" t="str">
            <v>CAJAMARCA</v>
          </cell>
          <cell r="F669" t="str">
            <v>SANTA CRUZ</v>
          </cell>
          <cell r="G669" t="str">
            <v>CATACHE</v>
          </cell>
          <cell r="H669" t="str">
            <v>010669</v>
          </cell>
          <cell r="I669" t="str">
            <v>2</v>
          </cell>
        </row>
        <row r="670">
          <cell r="A670" t="str">
            <v>CAJAMARCASANTA CRUZCHANCAYBAÑOS</v>
          </cell>
          <cell r="B670" t="str">
            <v>06</v>
          </cell>
          <cell r="C670" t="str">
            <v>13</v>
          </cell>
          <cell r="D670" t="str">
            <v>04</v>
          </cell>
          <cell r="E670" t="str">
            <v>CAJAMARCA</v>
          </cell>
          <cell r="F670" t="str">
            <v>SANTA CRUZ</v>
          </cell>
          <cell r="G670" t="str">
            <v>CHANCAYBAÑOS</v>
          </cell>
          <cell r="H670" t="str">
            <v>010670</v>
          </cell>
          <cell r="I670" t="str">
            <v>2</v>
          </cell>
        </row>
        <row r="671">
          <cell r="A671" t="str">
            <v>CAJAMARCASANTA CRUZLA ESPERANZA</v>
          </cell>
          <cell r="B671" t="str">
            <v>06</v>
          </cell>
          <cell r="C671" t="str">
            <v>13</v>
          </cell>
          <cell r="D671" t="str">
            <v>05</v>
          </cell>
          <cell r="E671" t="str">
            <v>CAJAMARCA</v>
          </cell>
          <cell r="F671" t="str">
            <v>SANTA CRUZ</v>
          </cell>
          <cell r="G671" t="str">
            <v>LA ESPERANZA</v>
          </cell>
          <cell r="H671" t="str">
            <v>010671</v>
          </cell>
          <cell r="I671" t="str">
            <v>2</v>
          </cell>
        </row>
        <row r="672">
          <cell r="A672" t="str">
            <v>CAJAMARCASANTA CRUZNINABAMBA</v>
          </cell>
          <cell r="B672" t="str">
            <v>06</v>
          </cell>
          <cell r="C672" t="str">
            <v>13</v>
          </cell>
          <cell r="D672" t="str">
            <v>06</v>
          </cell>
          <cell r="E672" t="str">
            <v>CAJAMARCA</v>
          </cell>
          <cell r="F672" t="str">
            <v>SANTA CRUZ</v>
          </cell>
          <cell r="G672" t="str">
            <v>NINABAMBA</v>
          </cell>
          <cell r="H672" t="str">
            <v>010672</v>
          </cell>
          <cell r="I672" t="str">
            <v>2</v>
          </cell>
        </row>
        <row r="673">
          <cell r="A673" t="str">
            <v>CAJAMARCASANTA CRUZPULAN</v>
          </cell>
          <cell r="B673" t="str">
            <v>06</v>
          </cell>
          <cell r="C673" t="str">
            <v>13</v>
          </cell>
          <cell r="D673" t="str">
            <v>07</v>
          </cell>
          <cell r="E673" t="str">
            <v>CAJAMARCA</v>
          </cell>
          <cell r="F673" t="str">
            <v>SANTA CRUZ</v>
          </cell>
          <cell r="G673" t="str">
            <v>PULAN</v>
          </cell>
          <cell r="H673" t="str">
            <v>010673</v>
          </cell>
          <cell r="I673" t="str">
            <v>2</v>
          </cell>
        </row>
        <row r="674">
          <cell r="A674" t="str">
            <v>CAJAMARCASANTA CRUZSAUCEPAMPA</v>
          </cell>
          <cell r="B674" t="str">
            <v>06</v>
          </cell>
          <cell r="C674" t="str">
            <v>13</v>
          </cell>
          <cell r="D674" t="str">
            <v>08</v>
          </cell>
          <cell r="E674" t="str">
            <v>CAJAMARCA</v>
          </cell>
          <cell r="F674" t="str">
            <v>SANTA CRUZ</v>
          </cell>
          <cell r="G674" t="str">
            <v>SAUCEPAMPA</v>
          </cell>
          <cell r="H674" t="str">
            <v>010674</v>
          </cell>
          <cell r="I674" t="str">
            <v>2</v>
          </cell>
        </row>
        <row r="675">
          <cell r="A675" t="str">
            <v>CAJAMARCASANTA CRUZSEXI</v>
          </cell>
          <cell r="B675" t="str">
            <v>06</v>
          </cell>
          <cell r="C675" t="str">
            <v>13</v>
          </cell>
          <cell r="D675" t="str">
            <v>09</v>
          </cell>
          <cell r="E675" t="str">
            <v>CAJAMARCA</v>
          </cell>
          <cell r="F675" t="str">
            <v>SANTA CRUZ</v>
          </cell>
          <cell r="G675" t="str">
            <v>SEXI</v>
          </cell>
          <cell r="H675" t="str">
            <v>010675</v>
          </cell>
          <cell r="I675" t="str">
            <v>2</v>
          </cell>
        </row>
        <row r="676">
          <cell r="A676" t="str">
            <v>CAJAMARCASANTA CRUZUTICYACU</v>
          </cell>
          <cell r="B676" t="str">
            <v>06</v>
          </cell>
          <cell r="C676" t="str">
            <v>13</v>
          </cell>
          <cell r="D676" t="str">
            <v>10</v>
          </cell>
          <cell r="E676" t="str">
            <v>CAJAMARCA</v>
          </cell>
          <cell r="F676" t="str">
            <v>SANTA CRUZ</v>
          </cell>
          <cell r="G676" t="str">
            <v>UTICYACU</v>
          </cell>
          <cell r="H676" t="str">
            <v>010676</v>
          </cell>
          <cell r="I676" t="str">
            <v>2</v>
          </cell>
        </row>
        <row r="677">
          <cell r="A677" t="str">
            <v>CAJAMARCASANTA CRUZYAUYUCAN</v>
          </cell>
          <cell r="B677" t="str">
            <v>06</v>
          </cell>
          <cell r="C677" t="str">
            <v>13</v>
          </cell>
          <cell r="D677" t="str">
            <v>11</v>
          </cell>
          <cell r="E677" t="str">
            <v>CAJAMARCA</v>
          </cell>
          <cell r="F677" t="str">
            <v>SANTA CRUZ</v>
          </cell>
          <cell r="G677" t="str">
            <v>YAUYUCAN</v>
          </cell>
          <cell r="H677" t="str">
            <v>010677</v>
          </cell>
          <cell r="I677" t="str">
            <v>2</v>
          </cell>
        </row>
        <row r="678">
          <cell r="A678" t="str">
            <v>CALLAOCALLAOCALLAO</v>
          </cell>
          <cell r="B678" t="str">
            <v>07</v>
          </cell>
          <cell r="C678" t="str">
            <v>01</v>
          </cell>
          <cell r="D678" t="str">
            <v>01</v>
          </cell>
          <cell r="E678" t="str">
            <v>CALLAO</v>
          </cell>
          <cell r="F678" t="str">
            <v>CALLAO</v>
          </cell>
          <cell r="G678" t="str">
            <v>CALLAO</v>
          </cell>
          <cell r="H678" t="str">
            <v>010678</v>
          </cell>
          <cell r="I678" t="str">
            <v>1</v>
          </cell>
        </row>
        <row r="679">
          <cell r="A679" t="str">
            <v>CALLAOCALLAOBELLAVISTA</v>
          </cell>
          <cell r="B679" t="str">
            <v>07</v>
          </cell>
          <cell r="C679" t="str">
            <v>01</v>
          </cell>
          <cell r="D679" t="str">
            <v>02</v>
          </cell>
          <cell r="E679" t="str">
            <v>CALLAO</v>
          </cell>
          <cell r="F679" t="str">
            <v>CALLAO</v>
          </cell>
          <cell r="G679" t="str">
            <v>BELLAVISTA</v>
          </cell>
          <cell r="H679" t="str">
            <v>010680</v>
          </cell>
          <cell r="I679" t="str">
            <v>2</v>
          </cell>
        </row>
        <row r="680">
          <cell r="A680" t="str">
            <v>CALLAOCALLAOCARMEN DE LA LEGUA REYNOSO</v>
          </cell>
          <cell r="B680" t="str">
            <v>07</v>
          </cell>
          <cell r="C680" t="str">
            <v>01</v>
          </cell>
          <cell r="D680" t="str">
            <v>03</v>
          </cell>
          <cell r="E680" t="str">
            <v>CALLAO</v>
          </cell>
          <cell r="F680" t="str">
            <v>CALLAO</v>
          </cell>
          <cell r="G680" t="str">
            <v>CARMEN DE LA LEGUA REYNOSO</v>
          </cell>
          <cell r="H680" t="str">
            <v>010681</v>
          </cell>
          <cell r="I680" t="str">
            <v>2</v>
          </cell>
        </row>
        <row r="681">
          <cell r="A681" t="str">
            <v>CALLAOCALLAOLA PERLA</v>
          </cell>
          <cell r="B681" t="str">
            <v>07</v>
          </cell>
          <cell r="C681" t="str">
            <v>01</v>
          </cell>
          <cell r="D681" t="str">
            <v>04</v>
          </cell>
          <cell r="E681" t="str">
            <v>CALLAO</v>
          </cell>
          <cell r="F681" t="str">
            <v>CALLAO</v>
          </cell>
          <cell r="G681" t="str">
            <v>LA PERLA</v>
          </cell>
          <cell r="H681" t="str">
            <v>013017</v>
          </cell>
          <cell r="I681" t="str">
            <v>2</v>
          </cell>
        </row>
        <row r="682">
          <cell r="A682" t="str">
            <v>CALLAOCALLAOLA PUNTA</v>
          </cell>
          <cell r="B682" t="str">
            <v>07</v>
          </cell>
          <cell r="C682" t="str">
            <v>01</v>
          </cell>
          <cell r="D682" t="str">
            <v>05</v>
          </cell>
          <cell r="E682" t="str">
            <v>CALLAO</v>
          </cell>
          <cell r="F682" t="str">
            <v>CALLAO</v>
          </cell>
          <cell r="G682" t="str">
            <v>LA PUNTA</v>
          </cell>
          <cell r="H682" t="str">
            <v>010683</v>
          </cell>
          <cell r="I682" t="str">
            <v>2</v>
          </cell>
        </row>
        <row r="683">
          <cell r="A683" t="str">
            <v>CALLAOCALLAOVENTANILLA</v>
          </cell>
          <cell r="B683" t="str">
            <v>07</v>
          </cell>
          <cell r="C683" t="str">
            <v>01</v>
          </cell>
          <cell r="D683" t="str">
            <v>06</v>
          </cell>
          <cell r="E683" t="str">
            <v>CALLAO</v>
          </cell>
          <cell r="F683" t="str">
            <v>CALLAO</v>
          </cell>
          <cell r="G683" t="str">
            <v>VENTANILLA</v>
          </cell>
          <cell r="H683" t="str">
            <v>013019</v>
          </cell>
          <cell r="I683" t="str">
            <v>2</v>
          </cell>
        </row>
        <row r="684">
          <cell r="A684" t="str">
            <v>CUSCOCUSCOCUSCO</v>
          </cell>
          <cell r="B684" t="str">
            <v>08</v>
          </cell>
          <cell r="C684" t="str">
            <v>01</v>
          </cell>
          <cell r="D684" t="str">
            <v>01</v>
          </cell>
          <cell r="E684" t="str">
            <v>CUSCO</v>
          </cell>
          <cell r="F684" t="str">
            <v>CUSCO</v>
          </cell>
          <cell r="G684" t="str">
            <v>CUSCO</v>
          </cell>
          <cell r="H684" t="str">
            <v>010684</v>
          </cell>
          <cell r="I684" t="str">
            <v>1</v>
          </cell>
        </row>
        <row r="685">
          <cell r="A685" t="str">
            <v>CUSCOCUSCOCCORCA</v>
          </cell>
          <cell r="B685" t="str">
            <v>08</v>
          </cell>
          <cell r="C685" t="str">
            <v>01</v>
          </cell>
          <cell r="D685" t="str">
            <v>02</v>
          </cell>
          <cell r="E685" t="str">
            <v>CUSCO</v>
          </cell>
          <cell r="F685" t="str">
            <v>CUSCO</v>
          </cell>
          <cell r="G685" t="str">
            <v>CCORCA</v>
          </cell>
          <cell r="H685" t="str">
            <v>010685</v>
          </cell>
          <cell r="I685" t="str">
            <v>2</v>
          </cell>
        </row>
        <row r="686">
          <cell r="A686" t="str">
            <v>CUSCOCUSCOPOROY</v>
          </cell>
          <cell r="B686" t="str">
            <v>08</v>
          </cell>
          <cell r="C686" t="str">
            <v>01</v>
          </cell>
          <cell r="D686" t="str">
            <v>03</v>
          </cell>
          <cell r="E686" t="str">
            <v>CUSCO</v>
          </cell>
          <cell r="F686" t="str">
            <v>CUSCO</v>
          </cell>
          <cell r="G686" t="str">
            <v>POROY</v>
          </cell>
          <cell r="H686" t="str">
            <v>010686</v>
          </cell>
          <cell r="I686" t="str">
            <v>2</v>
          </cell>
        </row>
        <row r="687">
          <cell r="A687" t="str">
            <v>CUSCOCUSCOSAN JERONIMO</v>
          </cell>
          <cell r="B687" t="str">
            <v>08</v>
          </cell>
          <cell r="C687" t="str">
            <v>01</v>
          </cell>
          <cell r="D687" t="str">
            <v>04</v>
          </cell>
          <cell r="E687" t="str">
            <v>CUSCO</v>
          </cell>
          <cell r="F687" t="str">
            <v>CUSCO</v>
          </cell>
          <cell r="G687" t="str">
            <v>SAN JERONIMO</v>
          </cell>
          <cell r="H687" t="str">
            <v>010687</v>
          </cell>
          <cell r="I687" t="str">
            <v>2</v>
          </cell>
        </row>
        <row r="688">
          <cell r="A688" t="str">
            <v>CUSCOCUSCOSAN SEBASTIAN</v>
          </cell>
          <cell r="B688" t="str">
            <v>08</v>
          </cell>
          <cell r="C688" t="str">
            <v>01</v>
          </cell>
          <cell r="D688" t="str">
            <v>05</v>
          </cell>
          <cell r="E688" t="str">
            <v>CUSCO</v>
          </cell>
          <cell r="F688" t="str">
            <v>CUSCO</v>
          </cell>
          <cell r="G688" t="str">
            <v>SAN SEBASTIAN</v>
          </cell>
          <cell r="H688" t="str">
            <v>010688</v>
          </cell>
          <cell r="I688" t="str">
            <v>2</v>
          </cell>
        </row>
        <row r="689">
          <cell r="A689" t="str">
            <v>CUSCOCUSCOSANTIAGO</v>
          </cell>
          <cell r="B689" t="str">
            <v>08</v>
          </cell>
          <cell r="C689" t="str">
            <v>01</v>
          </cell>
          <cell r="D689" t="str">
            <v>06</v>
          </cell>
          <cell r="E689" t="str">
            <v>CUSCO</v>
          </cell>
          <cell r="F689" t="str">
            <v>CUSCO</v>
          </cell>
          <cell r="G689" t="str">
            <v>SANTIAGO</v>
          </cell>
          <cell r="H689" t="str">
            <v>010689</v>
          </cell>
          <cell r="I689" t="str">
            <v>2</v>
          </cell>
        </row>
        <row r="690">
          <cell r="A690" t="str">
            <v>CUSCOCUSCOSAYLLA</v>
          </cell>
          <cell r="B690" t="str">
            <v>08</v>
          </cell>
          <cell r="C690" t="str">
            <v>01</v>
          </cell>
          <cell r="D690" t="str">
            <v>07</v>
          </cell>
          <cell r="E690" t="str">
            <v>CUSCO</v>
          </cell>
          <cell r="F690" t="str">
            <v>CUSCO</v>
          </cell>
          <cell r="G690" t="str">
            <v>SAYLLA</v>
          </cell>
          <cell r="H690" t="str">
            <v>010690</v>
          </cell>
          <cell r="I690" t="str">
            <v>2</v>
          </cell>
        </row>
        <row r="691">
          <cell r="A691" t="str">
            <v>CUSCOCUSCOWANCHAQ</v>
          </cell>
          <cell r="B691" t="str">
            <v>08</v>
          </cell>
          <cell r="C691" t="str">
            <v>01</v>
          </cell>
          <cell r="D691" t="str">
            <v>08</v>
          </cell>
          <cell r="E691" t="str">
            <v>CUSCO</v>
          </cell>
          <cell r="F691" t="str">
            <v>CUSCO</v>
          </cell>
          <cell r="G691" t="str">
            <v>WANCHAQ</v>
          </cell>
          <cell r="H691" t="str">
            <v>010691</v>
          </cell>
          <cell r="I691" t="str">
            <v>2</v>
          </cell>
        </row>
        <row r="692">
          <cell r="A692" t="str">
            <v>CUSCOACOMAYOACOMAYO</v>
          </cell>
          <cell r="B692" t="str">
            <v>08</v>
          </cell>
          <cell r="C692" t="str">
            <v>02</v>
          </cell>
          <cell r="D692" t="str">
            <v>01</v>
          </cell>
          <cell r="E692" t="str">
            <v>CUSCO</v>
          </cell>
          <cell r="F692" t="str">
            <v>ACOMAYO</v>
          </cell>
          <cell r="G692" t="str">
            <v>ACOMAYO</v>
          </cell>
          <cell r="H692" t="str">
            <v>010762</v>
          </cell>
          <cell r="I692" t="str">
            <v>1</v>
          </cell>
        </row>
        <row r="693">
          <cell r="A693" t="str">
            <v>CUSCOACOMAYOACOPIA</v>
          </cell>
          <cell r="B693" t="str">
            <v>08</v>
          </cell>
          <cell r="C693" t="str">
            <v>02</v>
          </cell>
          <cell r="D693" t="str">
            <v>02</v>
          </cell>
          <cell r="E693" t="str">
            <v>CUSCO</v>
          </cell>
          <cell r="F693" t="str">
            <v>ACOMAYO</v>
          </cell>
          <cell r="G693" t="str">
            <v>ACOPIA</v>
          </cell>
          <cell r="H693" t="str">
            <v>010763</v>
          </cell>
          <cell r="I693" t="str">
            <v>2</v>
          </cell>
        </row>
        <row r="694">
          <cell r="A694" t="str">
            <v>CUSCOACOMAYOACOS</v>
          </cell>
          <cell r="B694" t="str">
            <v>08</v>
          </cell>
          <cell r="C694" t="str">
            <v>02</v>
          </cell>
          <cell r="D694" t="str">
            <v>03</v>
          </cell>
          <cell r="E694" t="str">
            <v>CUSCO</v>
          </cell>
          <cell r="F694" t="str">
            <v>ACOMAYO</v>
          </cell>
          <cell r="G694" t="str">
            <v>ACOS</v>
          </cell>
          <cell r="H694" t="str">
            <v>010764</v>
          </cell>
          <cell r="I694" t="str">
            <v>2</v>
          </cell>
        </row>
        <row r="695">
          <cell r="A695" t="str">
            <v>CUSCOACOMAYOMOSOC LLACTA</v>
          </cell>
          <cell r="B695" t="str">
            <v>08</v>
          </cell>
          <cell r="C695" t="str">
            <v>02</v>
          </cell>
          <cell r="D695" t="str">
            <v>04</v>
          </cell>
          <cell r="E695" t="str">
            <v>CUSCO</v>
          </cell>
          <cell r="F695" t="str">
            <v>ACOMAYO</v>
          </cell>
          <cell r="G695" t="str">
            <v>MOSOC LLACTA</v>
          </cell>
          <cell r="H695" t="str">
            <v>012052</v>
          </cell>
          <cell r="I695" t="str">
            <v>2</v>
          </cell>
        </row>
        <row r="696">
          <cell r="A696" t="str">
            <v>CUSCOACOMAYOPOMACANCHI</v>
          </cell>
          <cell r="B696" t="str">
            <v>08</v>
          </cell>
          <cell r="C696" t="str">
            <v>02</v>
          </cell>
          <cell r="D696" t="str">
            <v>05</v>
          </cell>
          <cell r="E696" t="str">
            <v>CUSCO</v>
          </cell>
          <cell r="F696" t="str">
            <v>ACOMAYO</v>
          </cell>
          <cell r="G696" t="str">
            <v>POMACANCHI</v>
          </cell>
          <cell r="H696" t="str">
            <v>010766</v>
          </cell>
          <cell r="I696" t="str">
            <v>2</v>
          </cell>
        </row>
        <row r="697">
          <cell r="A697" t="str">
            <v>CUSCOACOMAYORONDOCAN</v>
          </cell>
          <cell r="B697" t="str">
            <v>08</v>
          </cell>
          <cell r="C697" t="str">
            <v>02</v>
          </cell>
          <cell r="D697" t="str">
            <v>06</v>
          </cell>
          <cell r="E697" t="str">
            <v>CUSCO</v>
          </cell>
          <cell r="F697" t="str">
            <v>ACOMAYO</v>
          </cell>
          <cell r="G697" t="str">
            <v>RONDOCAN</v>
          </cell>
          <cell r="H697" t="str">
            <v>012574</v>
          </cell>
          <cell r="I697" t="str">
            <v>2</v>
          </cell>
        </row>
        <row r="698">
          <cell r="A698" t="str">
            <v>CUSCOACOMAYOSANGARARA</v>
          </cell>
          <cell r="B698" t="str">
            <v>08</v>
          </cell>
          <cell r="C698" t="str">
            <v>02</v>
          </cell>
          <cell r="D698" t="str">
            <v>07</v>
          </cell>
          <cell r="E698" t="str">
            <v>CUSCO</v>
          </cell>
          <cell r="F698" t="str">
            <v>ACOMAYO</v>
          </cell>
          <cell r="G698" t="str">
            <v>SANGARARA</v>
          </cell>
          <cell r="H698" t="str">
            <v>010767</v>
          </cell>
          <cell r="I698" t="str">
            <v>2</v>
          </cell>
        </row>
        <row r="699">
          <cell r="A699" t="str">
            <v>CUSCOANTAANTA</v>
          </cell>
          <cell r="B699" t="str">
            <v>08</v>
          </cell>
          <cell r="C699" t="str">
            <v>03</v>
          </cell>
          <cell r="D699" t="str">
            <v>01</v>
          </cell>
          <cell r="E699" t="str">
            <v>CUSCO</v>
          </cell>
          <cell r="F699" t="str">
            <v>ANTA</v>
          </cell>
          <cell r="G699" t="str">
            <v>ANTA</v>
          </cell>
          <cell r="H699" t="str">
            <v>010692</v>
          </cell>
          <cell r="I699" t="str">
            <v>1</v>
          </cell>
        </row>
        <row r="700">
          <cell r="A700" t="str">
            <v>CUSCOANTAANCAHUASI</v>
          </cell>
          <cell r="B700" t="str">
            <v>08</v>
          </cell>
          <cell r="C700" t="str">
            <v>03</v>
          </cell>
          <cell r="D700" t="str">
            <v>02</v>
          </cell>
          <cell r="E700" t="str">
            <v>CUSCO</v>
          </cell>
          <cell r="F700" t="str">
            <v>ANTA</v>
          </cell>
          <cell r="G700" t="str">
            <v>ANCAHUASI</v>
          </cell>
          <cell r="H700" t="str">
            <v>012594</v>
          </cell>
          <cell r="I700" t="str">
            <v>2</v>
          </cell>
        </row>
        <row r="701">
          <cell r="A701" t="str">
            <v>CUSCOANTACACHIMAYO</v>
          </cell>
          <cell r="B701" t="str">
            <v>08</v>
          </cell>
          <cell r="C701" t="str">
            <v>03</v>
          </cell>
          <cell r="D701" t="str">
            <v>03</v>
          </cell>
          <cell r="E701" t="str">
            <v>CUSCO</v>
          </cell>
          <cell r="F701" t="str">
            <v>ANTA</v>
          </cell>
          <cell r="G701" t="str">
            <v>CACHIMAYO</v>
          </cell>
          <cell r="H701" t="str">
            <v>010694</v>
          </cell>
          <cell r="I701" t="str">
            <v>2</v>
          </cell>
        </row>
        <row r="702">
          <cell r="A702" t="str">
            <v>CUSCOANTACHINCHAYPUJIO</v>
          </cell>
          <cell r="B702" t="str">
            <v>08</v>
          </cell>
          <cell r="C702" t="str">
            <v>03</v>
          </cell>
          <cell r="D702" t="str">
            <v>04</v>
          </cell>
          <cell r="E702" t="str">
            <v>CUSCO</v>
          </cell>
          <cell r="F702" t="str">
            <v>ANTA</v>
          </cell>
          <cell r="G702" t="str">
            <v>CHINCHAYPUJIO</v>
          </cell>
          <cell r="H702" t="str">
            <v>012575</v>
          </cell>
          <cell r="I702" t="str">
            <v>2</v>
          </cell>
        </row>
        <row r="703">
          <cell r="A703" t="str">
            <v>CUSCOANTAHUAROCONDO</v>
          </cell>
          <cell r="B703" t="str">
            <v>08</v>
          </cell>
          <cell r="C703" t="str">
            <v>03</v>
          </cell>
          <cell r="D703" t="str">
            <v>05</v>
          </cell>
          <cell r="E703" t="str">
            <v>CUSCO</v>
          </cell>
          <cell r="F703" t="str">
            <v>ANTA</v>
          </cell>
          <cell r="G703" t="str">
            <v>HUAROCONDO</v>
          </cell>
          <cell r="H703" t="str">
            <v>010696</v>
          </cell>
          <cell r="I703" t="str">
            <v>2</v>
          </cell>
        </row>
        <row r="704">
          <cell r="A704" t="str">
            <v>CUSCOANTALIMATAMBO</v>
          </cell>
          <cell r="B704" t="str">
            <v>08</v>
          </cell>
          <cell r="C704" t="str">
            <v>03</v>
          </cell>
          <cell r="D704" t="str">
            <v>06</v>
          </cell>
          <cell r="E704" t="str">
            <v>CUSCO</v>
          </cell>
          <cell r="F704" t="str">
            <v>ANTA</v>
          </cell>
          <cell r="G704" t="str">
            <v>LIMATAMBO</v>
          </cell>
          <cell r="H704" t="str">
            <v>010697</v>
          </cell>
          <cell r="I704" t="str">
            <v>2</v>
          </cell>
        </row>
        <row r="705">
          <cell r="A705" t="str">
            <v>CUSCOANTAMOLLEPATA</v>
          </cell>
          <cell r="B705" t="str">
            <v>08</v>
          </cell>
          <cell r="C705" t="str">
            <v>03</v>
          </cell>
          <cell r="D705" t="str">
            <v>07</v>
          </cell>
          <cell r="E705" t="str">
            <v>CUSCO</v>
          </cell>
          <cell r="F705" t="str">
            <v>ANTA</v>
          </cell>
          <cell r="G705" t="str">
            <v>MOLLEPATA</v>
          </cell>
          <cell r="H705" t="str">
            <v>010698</v>
          </cell>
          <cell r="I705" t="str">
            <v>2</v>
          </cell>
        </row>
        <row r="706">
          <cell r="A706" t="str">
            <v>CUSCOANTAPUCYURA</v>
          </cell>
          <cell r="B706" t="str">
            <v>08</v>
          </cell>
          <cell r="C706" t="str">
            <v>03</v>
          </cell>
          <cell r="D706" t="str">
            <v>08</v>
          </cell>
          <cell r="E706" t="str">
            <v>CUSCO</v>
          </cell>
          <cell r="F706" t="str">
            <v>ANTA</v>
          </cell>
          <cell r="G706" t="str">
            <v>PUCYURA</v>
          </cell>
          <cell r="H706" t="str">
            <v>012192</v>
          </cell>
          <cell r="I706" t="str">
            <v>2</v>
          </cell>
        </row>
        <row r="707">
          <cell r="A707" t="str">
            <v>CUSCOANTAZURITE</v>
          </cell>
          <cell r="B707" t="str">
            <v>08</v>
          </cell>
          <cell r="C707" t="str">
            <v>03</v>
          </cell>
          <cell r="D707" t="str">
            <v>09</v>
          </cell>
          <cell r="E707" t="str">
            <v>CUSCO</v>
          </cell>
          <cell r="F707" t="str">
            <v>ANTA</v>
          </cell>
          <cell r="G707" t="str">
            <v>ZURITE</v>
          </cell>
          <cell r="H707" t="str">
            <v>010700</v>
          </cell>
          <cell r="I707" t="str">
            <v>2</v>
          </cell>
        </row>
        <row r="708">
          <cell r="A708" t="str">
            <v>CUSCOCALCACALCA</v>
          </cell>
          <cell r="B708" t="str">
            <v>08</v>
          </cell>
          <cell r="C708" t="str">
            <v>04</v>
          </cell>
          <cell r="D708" t="str">
            <v>01</v>
          </cell>
          <cell r="E708" t="str">
            <v>CUSCO</v>
          </cell>
          <cell r="F708" t="str">
            <v>CALCA</v>
          </cell>
          <cell r="G708" t="str">
            <v>CALCA</v>
          </cell>
          <cell r="H708" t="str">
            <v>012059</v>
          </cell>
          <cell r="I708" t="str">
            <v>1</v>
          </cell>
        </row>
        <row r="709">
          <cell r="A709" t="str">
            <v>CUSCOCALCACOYA</v>
          </cell>
          <cell r="B709" t="str">
            <v>08</v>
          </cell>
          <cell r="C709" t="str">
            <v>04</v>
          </cell>
          <cell r="D709" t="str">
            <v>02</v>
          </cell>
          <cell r="E709" t="str">
            <v>CUSCO</v>
          </cell>
          <cell r="F709" t="str">
            <v>CALCA</v>
          </cell>
          <cell r="G709" t="str">
            <v>COYA</v>
          </cell>
          <cell r="H709" t="str">
            <v>010702</v>
          </cell>
          <cell r="I709" t="str">
            <v>2</v>
          </cell>
        </row>
        <row r="710">
          <cell r="A710" t="str">
            <v>CUSCOCALCALAMAY</v>
          </cell>
          <cell r="B710" t="str">
            <v>08</v>
          </cell>
          <cell r="C710" t="str">
            <v>04</v>
          </cell>
          <cell r="D710" t="str">
            <v>03</v>
          </cell>
          <cell r="E710" t="str">
            <v>CUSCO</v>
          </cell>
          <cell r="F710" t="str">
            <v>CALCA</v>
          </cell>
          <cell r="G710" t="str">
            <v>LAMAY</v>
          </cell>
          <cell r="H710" t="str">
            <v>010703</v>
          </cell>
          <cell r="I710" t="str">
            <v>2</v>
          </cell>
        </row>
        <row r="711">
          <cell r="A711" t="str">
            <v>CUSCOCALCALARES</v>
          </cell>
          <cell r="B711" t="str">
            <v>08</v>
          </cell>
          <cell r="C711" t="str">
            <v>04</v>
          </cell>
          <cell r="D711" t="str">
            <v>04</v>
          </cell>
          <cell r="E711" t="str">
            <v>CUSCO</v>
          </cell>
          <cell r="F711" t="str">
            <v>CALCA</v>
          </cell>
          <cell r="G711" t="str">
            <v>LARES</v>
          </cell>
          <cell r="H711" t="str">
            <v>012065</v>
          </cell>
          <cell r="I711" t="str">
            <v>2</v>
          </cell>
        </row>
        <row r="712">
          <cell r="A712" t="str">
            <v>CUSCOCALCAPISAC</v>
          </cell>
          <cell r="B712" t="str">
            <v>08</v>
          </cell>
          <cell r="C712" t="str">
            <v>04</v>
          </cell>
          <cell r="D712" t="str">
            <v>05</v>
          </cell>
          <cell r="E712" t="str">
            <v>CUSCO</v>
          </cell>
          <cell r="F712" t="str">
            <v>CALCA</v>
          </cell>
          <cell r="G712" t="str">
            <v>PISAC</v>
          </cell>
          <cell r="H712" t="str">
            <v>010705</v>
          </cell>
          <cell r="I712" t="str">
            <v>2</v>
          </cell>
        </row>
        <row r="713">
          <cell r="A713" t="str">
            <v>CUSCOCALCASAN SALVADOR</v>
          </cell>
          <cell r="B713" t="str">
            <v>08</v>
          </cell>
          <cell r="C713" t="str">
            <v>04</v>
          </cell>
          <cell r="D713" t="str">
            <v>06</v>
          </cell>
          <cell r="E713" t="str">
            <v>CUSCO</v>
          </cell>
          <cell r="F713" t="str">
            <v>CALCA</v>
          </cell>
          <cell r="G713" t="str">
            <v>SAN SALVADOR</v>
          </cell>
          <cell r="H713" t="str">
            <v>010706</v>
          </cell>
          <cell r="I713" t="str">
            <v>2</v>
          </cell>
        </row>
        <row r="714">
          <cell r="A714" t="str">
            <v>CUSCOCALCATARAY</v>
          </cell>
          <cell r="B714" t="str">
            <v>08</v>
          </cell>
          <cell r="C714" t="str">
            <v>04</v>
          </cell>
          <cell r="D714" t="str">
            <v>07</v>
          </cell>
          <cell r="E714" t="str">
            <v>CUSCO</v>
          </cell>
          <cell r="F714" t="str">
            <v>CALCA</v>
          </cell>
          <cell r="G714" t="str">
            <v>TARAY</v>
          </cell>
          <cell r="H714" t="str">
            <v>013252</v>
          </cell>
          <cell r="I714" t="str">
            <v>2</v>
          </cell>
        </row>
        <row r="715">
          <cell r="A715" t="str">
            <v>CUSCOCALCAYANATILE</v>
          </cell>
          <cell r="B715" t="str">
            <v>08</v>
          </cell>
          <cell r="C715" t="str">
            <v>04</v>
          </cell>
          <cell r="D715" t="str">
            <v>08</v>
          </cell>
          <cell r="E715" t="str">
            <v>CUSCO</v>
          </cell>
          <cell r="F715" t="str">
            <v>CALCA</v>
          </cell>
          <cell r="G715" t="str">
            <v>YANATILE</v>
          </cell>
          <cell r="H715" t="str">
            <v>010708</v>
          </cell>
          <cell r="I715" t="str">
            <v>2</v>
          </cell>
        </row>
        <row r="716">
          <cell r="A716" t="str">
            <v>CUSCOCANASYANAOCA</v>
          </cell>
          <cell r="B716" t="str">
            <v>08</v>
          </cell>
          <cell r="C716" t="str">
            <v>05</v>
          </cell>
          <cell r="D716" t="str">
            <v>01</v>
          </cell>
          <cell r="E716" t="str">
            <v>CUSCO</v>
          </cell>
          <cell r="F716" t="str">
            <v>CANAS</v>
          </cell>
          <cell r="G716" t="str">
            <v>YANAOCA</v>
          </cell>
          <cell r="H716" t="str">
            <v>012060</v>
          </cell>
          <cell r="I716" t="str">
            <v>1</v>
          </cell>
        </row>
        <row r="717">
          <cell r="A717" t="str">
            <v>CUSCOCANASCHECCA</v>
          </cell>
          <cell r="B717" t="str">
            <v>08</v>
          </cell>
          <cell r="C717" t="str">
            <v>05</v>
          </cell>
          <cell r="D717" t="str">
            <v>02</v>
          </cell>
          <cell r="E717" t="str">
            <v>CUSCO</v>
          </cell>
          <cell r="F717" t="str">
            <v>CANAS</v>
          </cell>
          <cell r="G717" t="str">
            <v>CHECCA</v>
          </cell>
          <cell r="H717" t="str">
            <v>010769</v>
          </cell>
          <cell r="I717" t="str">
            <v>2</v>
          </cell>
        </row>
        <row r="718">
          <cell r="A718" t="str">
            <v>CUSCOCANASKUNTURKANKI</v>
          </cell>
          <cell r="B718" t="str">
            <v>08</v>
          </cell>
          <cell r="C718" t="str">
            <v>05</v>
          </cell>
          <cell r="D718" t="str">
            <v>03</v>
          </cell>
          <cell r="E718" t="str">
            <v>CUSCO</v>
          </cell>
          <cell r="F718" t="str">
            <v>CANAS</v>
          </cell>
          <cell r="G718" t="str">
            <v>KUNTURKANKI</v>
          </cell>
          <cell r="H718" t="str">
            <v>010770</v>
          </cell>
          <cell r="I718" t="str">
            <v>2</v>
          </cell>
        </row>
        <row r="719">
          <cell r="A719" t="str">
            <v>CUSCOCANASLANGUI</v>
          </cell>
          <cell r="B719" t="str">
            <v>08</v>
          </cell>
          <cell r="C719" t="str">
            <v>05</v>
          </cell>
          <cell r="D719" t="str">
            <v>04</v>
          </cell>
          <cell r="E719" t="str">
            <v>CUSCO</v>
          </cell>
          <cell r="F719" t="str">
            <v>CANAS</v>
          </cell>
          <cell r="G719" t="str">
            <v>LANGUI</v>
          </cell>
          <cell r="H719" t="str">
            <v>010771</v>
          </cell>
          <cell r="I719" t="str">
            <v>2</v>
          </cell>
        </row>
        <row r="720">
          <cell r="A720" t="str">
            <v>CUSCOCANASLAYO</v>
          </cell>
          <cell r="B720" t="str">
            <v>08</v>
          </cell>
          <cell r="C720" t="str">
            <v>05</v>
          </cell>
          <cell r="D720" t="str">
            <v>05</v>
          </cell>
          <cell r="E720" t="str">
            <v>CUSCO</v>
          </cell>
          <cell r="F720" t="str">
            <v>CANAS</v>
          </cell>
          <cell r="G720" t="str">
            <v>LAYO</v>
          </cell>
          <cell r="H720" t="str">
            <v>010772</v>
          </cell>
          <cell r="I720" t="str">
            <v>2</v>
          </cell>
        </row>
        <row r="721">
          <cell r="A721" t="str">
            <v>CUSCOCANASPAMPAMARCA</v>
          </cell>
          <cell r="B721" t="str">
            <v>08</v>
          </cell>
          <cell r="C721" t="str">
            <v>05</v>
          </cell>
          <cell r="D721" t="str">
            <v>06</v>
          </cell>
          <cell r="E721" t="str">
            <v>CUSCO</v>
          </cell>
          <cell r="F721" t="str">
            <v>CANAS</v>
          </cell>
          <cell r="G721" t="str">
            <v>PAMPAMARCA</v>
          </cell>
          <cell r="H721" t="str">
            <v>010773</v>
          </cell>
          <cell r="I721" t="str">
            <v>2</v>
          </cell>
        </row>
        <row r="722">
          <cell r="A722" t="str">
            <v>CUSCOCANASQUEHUE</v>
          </cell>
          <cell r="B722" t="str">
            <v>08</v>
          </cell>
          <cell r="C722" t="str">
            <v>05</v>
          </cell>
          <cell r="D722" t="str">
            <v>07</v>
          </cell>
          <cell r="E722" t="str">
            <v>CUSCO</v>
          </cell>
          <cell r="F722" t="str">
            <v>CANAS</v>
          </cell>
          <cell r="G722" t="str">
            <v>QUEHUE</v>
          </cell>
          <cell r="H722" t="str">
            <v>012824</v>
          </cell>
          <cell r="I722" t="str">
            <v>2</v>
          </cell>
        </row>
        <row r="723">
          <cell r="A723" t="str">
            <v>CUSCOCANASTUPAC AMARU</v>
          </cell>
          <cell r="B723" t="str">
            <v>08</v>
          </cell>
          <cell r="C723" t="str">
            <v>05</v>
          </cell>
          <cell r="D723" t="str">
            <v>08</v>
          </cell>
          <cell r="E723" t="str">
            <v>CUSCO</v>
          </cell>
          <cell r="F723" t="str">
            <v>CANAS</v>
          </cell>
          <cell r="G723" t="str">
            <v>TUPAC AMARU</v>
          </cell>
          <cell r="H723" t="str">
            <v>010775</v>
          </cell>
          <cell r="I723" t="str">
            <v>2</v>
          </cell>
        </row>
        <row r="724">
          <cell r="A724" t="str">
            <v>CUSCOCANCHISSICUANI</v>
          </cell>
          <cell r="B724" t="str">
            <v>08</v>
          </cell>
          <cell r="C724" t="str">
            <v>06</v>
          </cell>
          <cell r="D724" t="str">
            <v>01</v>
          </cell>
          <cell r="E724" t="str">
            <v>CUSCO</v>
          </cell>
          <cell r="F724" t="str">
            <v>CANCHIS</v>
          </cell>
          <cell r="G724" t="str">
            <v>SICUANI</v>
          </cell>
          <cell r="H724" t="str">
            <v>010754</v>
          </cell>
          <cell r="I724" t="str">
            <v>1</v>
          </cell>
        </row>
        <row r="725">
          <cell r="A725" t="str">
            <v>CUSCOCANCHISCHECACUPE</v>
          </cell>
          <cell r="B725" t="str">
            <v>08</v>
          </cell>
          <cell r="C725" t="str">
            <v>06</v>
          </cell>
          <cell r="D725" t="str">
            <v>02</v>
          </cell>
          <cell r="E725" t="str">
            <v>CUSCO</v>
          </cell>
          <cell r="F725" t="str">
            <v>CANCHIS</v>
          </cell>
          <cell r="G725" t="str">
            <v>CHECACUPE</v>
          </cell>
          <cell r="H725" t="str">
            <v>012584</v>
          </cell>
          <cell r="I725" t="str">
            <v>2</v>
          </cell>
        </row>
        <row r="726">
          <cell r="A726" t="str">
            <v>CUSCOCANCHISCOMBAPATA</v>
          </cell>
          <cell r="B726" t="str">
            <v>08</v>
          </cell>
          <cell r="C726" t="str">
            <v>06</v>
          </cell>
          <cell r="D726" t="str">
            <v>03</v>
          </cell>
          <cell r="E726" t="str">
            <v>CUSCO</v>
          </cell>
          <cell r="F726" t="str">
            <v>CANCHIS</v>
          </cell>
          <cell r="G726" t="str">
            <v>COMBAPATA</v>
          </cell>
          <cell r="H726" t="str">
            <v>010756</v>
          </cell>
          <cell r="I726" t="str">
            <v>2</v>
          </cell>
        </row>
        <row r="727">
          <cell r="A727" t="str">
            <v>CUSCOCANCHISMARANGANI</v>
          </cell>
          <cell r="B727" t="str">
            <v>08</v>
          </cell>
          <cell r="C727" t="str">
            <v>06</v>
          </cell>
          <cell r="D727" t="str">
            <v>04</v>
          </cell>
          <cell r="E727" t="str">
            <v>CUSCO</v>
          </cell>
          <cell r="F727" t="str">
            <v>CANCHIS</v>
          </cell>
          <cell r="G727" t="str">
            <v>MARANGANI</v>
          </cell>
          <cell r="H727" t="str">
            <v>012057</v>
          </cell>
          <cell r="I727" t="str">
            <v>2</v>
          </cell>
        </row>
        <row r="728">
          <cell r="A728" t="str">
            <v>CUSCOCANCHISPITUMARCA</v>
          </cell>
          <cell r="B728" t="str">
            <v>08</v>
          </cell>
          <cell r="C728" t="str">
            <v>06</v>
          </cell>
          <cell r="D728" t="str">
            <v>05</v>
          </cell>
          <cell r="E728" t="str">
            <v>CUSCO</v>
          </cell>
          <cell r="F728" t="str">
            <v>CANCHIS</v>
          </cell>
          <cell r="G728" t="str">
            <v>PITUMARCA</v>
          </cell>
          <cell r="H728" t="str">
            <v>012585</v>
          </cell>
          <cell r="I728" t="str">
            <v>2</v>
          </cell>
        </row>
        <row r="729">
          <cell r="A729" t="str">
            <v>CUSCOCANCHISSAN PABLO</v>
          </cell>
          <cell r="B729" t="str">
            <v>08</v>
          </cell>
          <cell r="C729" t="str">
            <v>06</v>
          </cell>
          <cell r="D729" t="str">
            <v>06</v>
          </cell>
          <cell r="E729" t="str">
            <v>CUSCO</v>
          </cell>
          <cell r="F729" t="str">
            <v>CANCHIS</v>
          </cell>
          <cell r="G729" t="str">
            <v>SAN PABLO</v>
          </cell>
          <cell r="H729" t="str">
            <v>010759</v>
          </cell>
          <cell r="I729" t="str">
            <v>2</v>
          </cell>
        </row>
        <row r="730">
          <cell r="A730" t="str">
            <v>CUSCOCANCHISSAN PEDRO</v>
          </cell>
          <cell r="B730" t="str">
            <v>08</v>
          </cell>
          <cell r="C730" t="str">
            <v>06</v>
          </cell>
          <cell r="D730" t="str">
            <v>07</v>
          </cell>
          <cell r="E730" t="str">
            <v>CUSCO</v>
          </cell>
          <cell r="F730" t="str">
            <v>CANCHIS</v>
          </cell>
          <cell r="G730" t="str">
            <v>SAN PEDRO</v>
          </cell>
          <cell r="H730" t="str">
            <v>010760</v>
          </cell>
          <cell r="I730" t="str">
            <v>2</v>
          </cell>
        </row>
        <row r="731">
          <cell r="A731" t="str">
            <v>CUSCOCANCHISTINTA</v>
          </cell>
          <cell r="B731" t="str">
            <v>08</v>
          </cell>
          <cell r="C731" t="str">
            <v>06</v>
          </cell>
          <cell r="D731" t="str">
            <v>08</v>
          </cell>
          <cell r="E731" t="str">
            <v>CUSCO</v>
          </cell>
          <cell r="F731" t="str">
            <v>CANCHIS</v>
          </cell>
          <cell r="G731" t="str">
            <v>TINTA</v>
          </cell>
          <cell r="H731" t="str">
            <v>010761</v>
          </cell>
          <cell r="I731" t="str">
            <v>2</v>
          </cell>
        </row>
        <row r="732">
          <cell r="A732" t="str">
            <v>CUSCOCHUMBIVILCASSANTO TOMAS</v>
          </cell>
          <cell r="B732" t="str">
            <v>08</v>
          </cell>
          <cell r="C732" t="str">
            <v>07</v>
          </cell>
          <cell r="D732" t="str">
            <v>01</v>
          </cell>
          <cell r="E732" t="str">
            <v>CUSCO</v>
          </cell>
          <cell r="F732" t="str">
            <v>CHUMBIVILCAS</v>
          </cell>
          <cell r="G732" t="str">
            <v>SANTO TOMAS</v>
          </cell>
          <cell r="H732" t="str">
            <v>010776</v>
          </cell>
          <cell r="I732" t="str">
            <v>1</v>
          </cell>
        </row>
        <row r="733">
          <cell r="A733" t="str">
            <v>CUSCOCHUMBIVILCASCAPACMARCA</v>
          </cell>
          <cell r="B733" t="str">
            <v>08</v>
          </cell>
          <cell r="C733" t="str">
            <v>07</v>
          </cell>
          <cell r="D733" t="str">
            <v>02</v>
          </cell>
          <cell r="E733" t="str">
            <v>CUSCO</v>
          </cell>
          <cell r="F733" t="str">
            <v>CHUMBIVILCAS</v>
          </cell>
          <cell r="G733" t="str">
            <v>CAPACMARCA</v>
          </cell>
          <cell r="H733" t="str">
            <v>010777</v>
          </cell>
          <cell r="I733" t="str">
            <v>2</v>
          </cell>
        </row>
        <row r="734">
          <cell r="A734" t="str">
            <v>CUSCOCHUMBIVILCASCHAMACA</v>
          </cell>
          <cell r="B734" t="str">
            <v>08</v>
          </cell>
          <cell r="C734" t="str">
            <v>07</v>
          </cell>
          <cell r="D734" t="str">
            <v>03</v>
          </cell>
          <cell r="E734" t="str">
            <v>CUSCO</v>
          </cell>
          <cell r="F734" t="str">
            <v>CHUMBIVILCAS</v>
          </cell>
          <cell r="G734" t="str">
            <v>CHAMACA</v>
          </cell>
          <cell r="H734" t="str">
            <v>010778</v>
          </cell>
          <cell r="I734" t="str">
            <v>2</v>
          </cell>
        </row>
        <row r="735">
          <cell r="A735" t="str">
            <v>CUSCOCHUMBIVILCASCOLQUEMARCA</v>
          </cell>
          <cell r="B735" t="str">
            <v>08</v>
          </cell>
          <cell r="C735" t="str">
            <v>07</v>
          </cell>
          <cell r="D735" t="str">
            <v>04</v>
          </cell>
          <cell r="E735" t="str">
            <v>CUSCO</v>
          </cell>
          <cell r="F735" t="str">
            <v>CHUMBIVILCAS</v>
          </cell>
          <cell r="G735" t="str">
            <v>COLQUEMARCA</v>
          </cell>
          <cell r="H735" t="str">
            <v>010779</v>
          </cell>
          <cell r="I735" t="str">
            <v>2</v>
          </cell>
        </row>
        <row r="736">
          <cell r="A736" t="str">
            <v>CUSCOCHUMBIVILCASLIVITACA</v>
          </cell>
          <cell r="B736" t="str">
            <v>08</v>
          </cell>
          <cell r="C736" t="str">
            <v>07</v>
          </cell>
          <cell r="D736" t="str">
            <v>05</v>
          </cell>
          <cell r="E736" t="str">
            <v>CUSCO</v>
          </cell>
          <cell r="F736" t="str">
            <v>CHUMBIVILCAS</v>
          </cell>
          <cell r="G736" t="str">
            <v>LIVITACA</v>
          </cell>
          <cell r="H736" t="str">
            <v>010780</v>
          </cell>
          <cell r="I736" t="str">
            <v>2</v>
          </cell>
        </row>
        <row r="737">
          <cell r="A737" t="str">
            <v>CUSCOCHUMBIVILCASLLUSCO</v>
          </cell>
          <cell r="B737" t="str">
            <v>08</v>
          </cell>
          <cell r="C737" t="str">
            <v>07</v>
          </cell>
          <cell r="D737" t="str">
            <v>06</v>
          </cell>
          <cell r="E737" t="str">
            <v>CUSCO</v>
          </cell>
          <cell r="F737" t="str">
            <v>CHUMBIVILCAS</v>
          </cell>
          <cell r="G737" t="str">
            <v>LLUSCO</v>
          </cell>
          <cell r="H737" t="str">
            <v>012040</v>
          </cell>
          <cell r="I737" t="str">
            <v>2</v>
          </cell>
        </row>
        <row r="738">
          <cell r="A738" t="str">
            <v>CUSCOCHUMBIVILCASQUIÑOTA</v>
          </cell>
          <cell r="B738" t="str">
            <v>08</v>
          </cell>
          <cell r="C738" t="str">
            <v>07</v>
          </cell>
          <cell r="D738" t="str">
            <v>07</v>
          </cell>
          <cell r="E738" t="str">
            <v>CUSCO</v>
          </cell>
          <cell r="F738" t="str">
            <v>CHUMBIVILCAS</v>
          </cell>
          <cell r="G738" t="str">
            <v>QUIÑOTA</v>
          </cell>
          <cell r="H738" t="str">
            <v>010782</v>
          </cell>
          <cell r="I738" t="str">
            <v>2</v>
          </cell>
        </row>
        <row r="739">
          <cell r="A739" t="str">
            <v>CUSCOCHUMBIVILCASVELILLE</v>
          </cell>
          <cell r="B739" t="str">
            <v>08</v>
          </cell>
          <cell r="C739" t="str">
            <v>07</v>
          </cell>
          <cell r="D739" t="str">
            <v>08</v>
          </cell>
          <cell r="E739" t="str">
            <v>CUSCO</v>
          </cell>
          <cell r="F739" t="str">
            <v>CHUMBIVILCAS</v>
          </cell>
          <cell r="G739" t="str">
            <v>VELILLE</v>
          </cell>
          <cell r="H739" t="str">
            <v>010783</v>
          </cell>
          <cell r="I739" t="str">
            <v>2</v>
          </cell>
        </row>
        <row r="740">
          <cell r="A740" t="str">
            <v>CUSCOESPINARESPINAR</v>
          </cell>
          <cell r="B740" t="str">
            <v>08</v>
          </cell>
          <cell r="C740" t="str">
            <v>08</v>
          </cell>
          <cell r="D740" t="str">
            <v>01</v>
          </cell>
          <cell r="E740" t="str">
            <v>CUSCO</v>
          </cell>
          <cell r="F740" t="str">
            <v>ESPINAR</v>
          </cell>
          <cell r="G740" t="str">
            <v>ESPINAR</v>
          </cell>
          <cell r="H740" t="str">
            <v>010784</v>
          </cell>
          <cell r="I740" t="str">
            <v>1</v>
          </cell>
        </row>
        <row r="741">
          <cell r="A741" t="str">
            <v>CUSCOESPINARCONDOROMA</v>
          </cell>
          <cell r="B741" t="str">
            <v>08</v>
          </cell>
          <cell r="C741" t="str">
            <v>08</v>
          </cell>
          <cell r="D741" t="str">
            <v>02</v>
          </cell>
          <cell r="E741" t="str">
            <v>CUSCO</v>
          </cell>
          <cell r="F741" t="str">
            <v>ESPINAR</v>
          </cell>
          <cell r="G741" t="str">
            <v>CONDOROMA</v>
          </cell>
          <cell r="H741" t="str">
            <v>010785</v>
          </cell>
          <cell r="I741" t="str">
            <v>2</v>
          </cell>
        </row>
        <row r="742">
          <cell r="A742" t="str">
            <v>CUSCOESPINARCOPORAQUE</v>
          </cell>
          <cell r="B742" t="str">
            <v>08</v>
          </cell>
          <cell r="C742" t="str">
            <v>08</v>
          </cell>
          <cell r="D742" t="str">
            <v>03</v>
          </cell>
          <cell r="E742" t="str">
            <v>CUSCO</v>
          </cell>
          <cell r="F742" t="str">
            <v>ESPINAR</v>
          </cell>
          <cell r="G742" t="str">
            <v>COPORAQUE</v>
          </cell>
          <cell r="H742" t="str">
            <v>010786</v>
          </cell>
          <cell r="I742" t="str">
            <v>2</v>
          </cell>
        </row>
        <row r="743">
          <cell r="A743" t="str">
            <v>CUSCOESPINAROCORURO</v>
          </cell>
          <cell r="B743" t="str">
            <v>08</v>
          </cell>
          <cell r="C743" t="str">
            <v>08</v>
          </cell>
          <cell r="D743" t="str">
            <v>04</v>
          </cell>
          <cell r="E743" t="str">
            <v>CUSCO</v>
          </cell>
          <cell r="F743" t="str">
            <v>ESPINAR</v>
          </cell>
          <cell r="G743" t="str">
            <v>OCORURO</v>
          </cell>
          <cell r="H743" t="str">
            <v>010787</v>
          </cell>
          <cell r="I743" t="str">
            <v>2</v>
          </cell>
        </row>
        <row r="744">
          <cell r="A744" t="str">
            <v>CUSCOESPINARPALLPATA</v>
          </cell>
          <cell r="B744" t="str">
            <v>08</v>
          </cell>
          <cell r="C744" t="str">
            <v>08</v>
          </cell>
          <cell r="D744" t="str">
            <v>05</v>
          </cell>
          <cell r="E744" t="str">
            <v>CUSCO</v>
          </cell>
          <cell r="F744" t="str">
            <v>ESPINAR</v>
          </cell>
          <cell r="G744" t="str">
            <v>PALLPATA</v>
          </cell>
          <cell r="H744" t="str">
            <v>010788</v>
          </cell>
          <cell r="I744" t="str">
            <v>2</v>
          </cell>
        </row>
        <row r="745">
          <cell r="A745" t="str">
            <v>CUSCOESPINARPICHIGUA</v>
          </cell>
          <cell r="B745" t="str">
            <v>08</v>
          </cell>
          <cell r="C745" t="str">
            <v>08</v>
          </cell>
          <cell r="D745" t="str">
            <v>06</v>
          </cell>
          <cell r="E745" t="str">
            <v>CUSCO</v>
          </cell>
          <cell r="F745" t="str">
            <v>ESPINAR</v>
          </cell>
          <cell r="G745" t="str">
            <v>PICHIGUA</v>
          </cell>
          <cell r="H745" t="str">
            <v>010789</v>
          </cell>
          <cell r="I745" t="str">
            <v>2</v>
          </cell>
        </row>
        <row r="746">
          <cell r="A746" t="str">
            <v>CUSCOESPINARSUYCKUTAMBO</v>
          </cell>
          <cell r="B746" t="str">
            <v>08</v>
          </cell>
          <cell r="C746" t="str">
            <v>08</v>
          </cell>
          <cell r="D746" t="str">
            <v>07</v>
          </cell>
          <cell r="E746" t="str">
            <v>CUSCO</v>
          </cell>
          <cell r="F746" t="str">
            <v>ESPINAR</v>
          </cell>
          <cell r="G746" t="str">
            <v>SUYCKUTAMBO</v>
          </cell>
          <cell r="H746" t="str">
            <v>010790</v>
          </cell>
          <cell r="I746" t="str">
            <v>2</v>
          </cell>
        </row>
        <row r="747">
          <cell r="A747" t="str">
            <v>CUSCOESPINARALTO PICHIGUA</v>
          </cell>
          <cell r="B747" t="str">
            <v>08</v>
          </cell>
          <cell r="C747" t="str">
            <v>08</v>
          </cell>
          <cell r="D747" t="str">
            <v>08</v>
          </cell>
          <cell r="E747" t="str">
            <v>CUSCO</v>
          </cell>
          <cell r="F747" t="str">
            <v>ESPINAR</v>
          </cell>
          <cell r="G747" t="str">
            <v>ALTO PICHIGUA</v>
          </cell>
          <cell r="H747" t="str">
            <v>010791</v>
          </cell>
          <cell r="I747" t="str">
            <v>2</v>
          </cell>
        </row>
        <row r="748">
          <cell r="A748" t="str">
            <v>CUSCOLA CONVENCIONSANTA ANA</v>
          </cell>
          <cell r="B748" t="str">
            <v>08</v>
          </cell>
          <cell r="C748" t="str">
            <v>09</v>
          </cell>
          <cell r="D748" t="str">
            <v>01</v>
          </cell>
          <cell r="E748" t="str">
            <v>CUSCO</v>
          </cell>
          <cell r="F748" t="str">
            <v>LA CONVENCION</v>
          </cell>
          <cell r="G748" t="str">
            <v>SANTA ANA</v>
          </cell>
          <cell r="H748" t="str">
            <v>010709</v>
          </cell>
          <cell r="I748" t="str">
            <v>1</v>
          </cell>
        </row>
        <row r="749">
          <cell r="A749" t="str">
            <v>CUSCOLA CONVENCIONECHARATE</v>
          </cell>
          <cell r="B749" t="str">
            <v>08</v>
          </cell>
          <cell r="C749" t="str">
            <v>09</v>
          </cell>
          <cell r="D749" t="str">
            <v>02</v>
          </cell>
          <cell r="E749" t="str">
            <v>CUSCO</v>
          </cell>
          <cell r="F749" t="str">
            <v>LA CONVENCION</v>
          </cell>
          <cell r="G749" t="str">
            <v>ECHARATE</v>
          </cell>
          <cell r="H749" t="str">
            <v>010714</v>
          </cell>
          <cell r="I749" t="str">
            <v>2</v>
          </cell>
        </row>
        <row r="750">
          <cell r="A750" t="str">
            <v>CUSCOLA CONVENCIONHUAYOPATA</v>
          </cell>
          <cell r="B750" t="str">
            <v>08</v>
          </cell>
          <cell r="C750" t="str">
            <v>09</v>
          </cell>
          <cell r="D750" t="str">
            <v>03</v>
          </cell>
          <cell r="E750" t="str">
            <v>CUSCO</v>
          </cell>
          <cell r="F750" t="str">
            <v>LA CONVENCION</v>
          </cell>
          <cell r="G750" t="str">
            <v>HUAYOPATA</v>
          </cell>
          <cell r="H750" t="str">
            <v>012589</v>
          </cell>
          <cell r="I750" t="str">
            <v>2</v>
          </cell>
        </row>
        <row r="751">
          <cell r="A751" t="str">
            <v>CUSCOLA CONVENCIONMARANURA</v>
          </cell>
          <cell r="B751" t="str">
            <v>08</v>
          </cell>
          <cell r="C751" t="str">
            <v>09</v>
          </cell>
          <cell r="D751" t="str">
            <v>04</v>
          </cell>
          <cell r="E751" t="str">
            <v>CUSCO</v>
          </cell>
          <cell r="F751" t="str">
            <v>LA CONVENCION</v>
          </cell>
          <cell r="G751" t="str">
            <v>MARANURA</v>
          </cell>
          <cell r="H751" t="str">
            <v>010711</v>
          </cell>
          <cell r="I751" t="str">
            <v>2</v>
          </cell>
        </row>
        <row r="752">
          <cell r="A752" t="str">
            <v>CUSCOLA CONVENCIONOCOBAMBA</v>
          </cell>
          <cell r="B752" t="str">
            <v>08</v>
          </cell>
          <cell r="C752" t="str">
            <v>09</v>
          </cell>
          <cell r="D752" t="str">
            <v>05</v>
          </cell>
          <cell r="E752" t="str">
            <v>CUSCO</v>
          </cell>
          <cell r="F752" t="str">
            <v>LA CONVENCION</v>
          </cell>
          <cell r="G752" t="str">
            <v>OCOBAMBA</v>
          </cell>
          <cell r="H752" t="str">
            <v>012590</v>
          </cell>
          <cell r="I752" t="str">
            <v>2</v>
          </cell>
        </row>
        <row r="753">
          <cell r="A753" t="str">
            <v>CUSCOLA CONVENCIONQUELLOUNO</v>
          </cell>
          <cell r="B753" t="str">
            <v>08</v>
          </cell>
          <cell r="C753" t="str">
            <v>09</v>
          </cell>
          <cell r="D753" t="str">
            <v>06</v>
          </cell>
          <cell r="E753" t="str">
            <v>CUSCO</v>
          </cell>
          <cell r="F753" t="str">
            <v>LA CONVENCION</v>
          </cell>
          <cell r="G753" t="str">
            <v>QUELLOUNO</v>
          </cell>
          <cell r="H753" t="str">
            <v>010716</v>
          </cell>
          <cell r="I753" t="str">
            <v>2</v>
          </cell>
        </row>
        <row r="754">
          <cell r="A754" t="str">
            <v>CUSCOLA CONVENCIONQUIMBIRI</v>
          </cell>
          <cell r="B754" t="str">
            <v>08</v>
          </cell>
          <cell r="C754" t="str">
            <v>09</v>
          </cell>
          <cell r="D754" t="str">
            <v>07</v>
          </cell>
          <cell r="E754" t="str">
            <v>CUSCO</v>
          </cell>
          <cell r="F754" t="str">
            <v>LA CONVENCION</v>
          </cell>
          <cell r="G754" t="str">
            <v>QUIMBIRI</v>
          </cell>
          <cell r="H754" t="str">
            <v>010717</v>
          </cell>
          <cell r="I754" t="str">
            <v>2</v>
          </cell>
        </row>
        <row r="755">
          <cell r="A755" t="str">
            <v>CUSCOLA CONVENCIONSANTA TERESA</v>
          </cell>
          <cell r="B755" t="str">
            <v>08</v>
          </cell>
          <cell r="C755" t="str">
            <v>09</v>
          </cell>
          <cell r="D755" t="str">
            <v>08</v>
          </cell>
          <cell r="E755" t="str">
            <v>CUSCO</v>
          </cell>
          <cell r="F755" t="str">
            <v>LA CONVENCION</v>
          </cell>
          <cell r="G755" t="str">
            <v>SANTA TERESA</v>
          </cell>
          <cell r="H755" t="str">
            <v>010712</v>
          </cell>
          <cell r="I755" t="str">
            <v>2</v>
          </cell>
        </row>
        <row r="756">
          <cell r="A756" t="str">
            <v>CUSCOLA CONVENCIONVILCABAMBA</v>
          </cell>
          <cell r="B756" t="str">
            <v>08</v>
          </cell>
          <cell r="C756" t="str">
            <v>09</v>
          </cell>
          <cell r="D756" t="str">
            <v>09</v>
          </cell>
          <cell r="E756" t="str">
            <v>CUSCO</v>
          </cell>
          <cell r="F756" t="str">
            <v>LA CONVENCION</v>
          </cell>
          <cell r="G756" t="str">
            <v>VILCABAMBA</v>
          </cell>
          <cell r="H756" t="str">
            <v>010713</v>
          </cell>
          <cell r="I756" t="str">
            <v>2</v>
          </cell>
        </row>
        <row r="757">
          <cell r="A757" t="str">
            <v>CUSCOLA CONVENCIONPICHARI</v>
          </cell>
          <cell r="B757" t="str">
            <v>08</v>
          </cell>
          <cell r="C757" t="str">
            <v>09</v>
          </cell>
          <cell r="D757" t="str">
            <v>10</v>
          </cell>
          <cell r="E757" t="str">
            <v>CUSCO</v>
          </cell>
          <cell r="F757" t="str">
            <v>LA CONVENCION</v>
          </cell>
          <cell r="G757" t="str">
            <v>PICHARI</v>
          </cell>
          <cell r="H757" t="str">
            <v>010718</v>
          </cell>
          <cell r="I757" t="str">
            <v>2</v>
          </cell>
        </row>
        <row r="758">
          <cell r="A758" t="str">
            <v>CUSCOPARUROPARURO</v>
          </cell>
          <cell r="B758" t="str">
            <v>08</v>
          </cell>
          <cell r="C758" t="str">
            <v>10</v>
          </cell>
          <cell r="D758" t="str">
            <v>01</v>
          </cell>
          <cell r="E758" t="str">
            <v>CUSCO</v>
          </cell>
          <cell r="F758" t="str">
            <v>PARURO</v>
          </cell>
          <cell r="G758" t="str">
            <v>PARURO</v>
          </cell>
          <cell r="H758" t="str">
            <v>010720</v>
          </cell>
          <cell r="I758" t="str">
            <v>1</v>
          </cell>
        </row>
        <row r="759">
          <cell r="A759" t="str">
            <v>CUSCOPARUROACCHA</v>
          </cell>
          <cell r="B759" t="str">
            <v>08</v>
          </cell>
          <cell r="C759" t="str">
            <v>10</v>
          </cell>
          <cell r="D759" t="str">
            <v>02</v>
          </cell>
          <cell r="E759" t="str">
            <v>CUSCO</v>
          </cell>
          <cell r="F759" t="str">
            <v>PARURO</v>
          </cell>
          <cell r="G759" t="str">
            <v>ACCHA</v>
          </cell>
          <cell r="H759" t="str">
            <v>010721</v>
          </cell>
          <cell r="I759" t="str">
            <v>2</v>
          </cell>
        </row>
        <row r="760">
          <cell r="A760" t="str">
            <v>CUSCOPARUROCCAPI</v>
          </cell>
          <cell r="B760" t="str">
            <v>08</v>
          </cell>
          <cell r="C760" t="str">
            <v>10</v>
          </cell>
          <cell r="D760" t="str">
            <v>03</v>
          </cell>
          <cell r="E760" t="str">
            <v>CUSCO</v>
          </cell>
          <cell r="F760" t="str">
            <v>PARURO</v>
          </cell>
          <cell r="G760" t="str">
            <v>CCAPI</v>
          </cell>
          <cell r="H760" t="str">
            <v>010722</v>
          </cell>
          <cell r="I760" t="str">
            <v>2</v>
          </cell>
        </row>
        <row r="761">
          <cell r="A761" t="str">
            <v>CUSCOPARUROCOLCHA</v>
          </cell>
          <cell r="B761" t="str">
            <v>08</v>
          </cell>
          <cell r="C761" t="str">
            <v>10</v>
          </cell>
          <cell r="D761" t="str">
            <v>04</v>
          </cell>
          <cell r="E761" t="str">
            <v>CUSCO</v>
          </cell>
          <cell r="F761" t="str">
            <v>PARURO</v>
          </cell>
          <cell r="G761" t="str">
            <v>COLCHA</v>
          </cell>
          <cell r="H761" t="str">
            <v>010723</v>
          </cell>
          <cell r="I761" t="str">
            <v>2</v>
          </cell>
        </row>
        <row r="762">
          <cell r="A762" t="str">
            <v>CUSCOPARUROHUANOQUITE</v>
          </cell>
          <cell r="B762" t="str">
            <v>08</v>
          </cell>
          <cell r="C762" t="str">
            <v>10</v>
          </cell>
          <cell r="D762" t="str">
            <v>05</v>
          </cell>
          <cell r="E762" t="str">
            <v>CUSCO</v>
          </cell>
          <cell r="F762" t="str">
            <v>PARURO</v>
          </cell>
          <cell r="G762" t="str">
            <v>HUANOQUITE</v>
          </cell>
          <cell r="H762" t="str">
            <v>010724</v>
          </cell>
          <cell r="I762" t="str">
            <v>2</v>
          </cell>
        </row>
        <row r="763">
          <cell r="A763" t="str">
            <v>CUSCOPARUROOMACHA</v>
          </cell>
          <cell r="B763" t="str">
            <v>08</v>
          </cell>
          <cell r="C763" t="str">
            <v>10</v>
          </cell>
          <cell r="D763" t="str">
            <v>06</v>
          </cell>
          <cell r="E763" t="str">
            <v>CUSCO</v>
          </cell>
          <cell r="F763" t="str">
            <v>PARURO</v>
          </cell>
          <cell r="G763" t="str">
            <v>OMACHA</v>
          </cell>
          <cell r="H763" t="str">
            <v>010725</v>
          </cell>
          <cell r="I763" t="str">
            <v>2</v>
          </cell>
        </row>
        <row r="764">
          <cell r="A764" t="str">
            <v>CUSCOPARUROPACCARITAMBO</v>
          </cell>
          <cell r="B764" t="str">
            <v>08</v>
          </cell>
          <cell r="C764" t="str">
            <v>10</v>
          </cell>
          <cell r="D764" t="str">
            <v>07</v>
          </cell>
          <cell r="E764" t="str">
            <v>CUSCO</v>
          </cell>
          <cell r="F764" t="str">
            <v>PARURO</v>
          </cell>
          <cell r="G764" t="str">
            <v>PACCARITAMBO</v>
          </cell>
          <cell r="H764" t="str">
            <v>010751</v>
          </cell>
          <cell r="I764" t="str">
            <v>2</v>
          </cell>
        </row>
        <row r="765">
          <cell r="A765" t="str">
            <v>CUSCOPARUROPILLPINTO</v>
          </cell>
          <cell r="B765" t="str">
            <v>08</v>
          </cell>
          <cell r="C765" t="str">
            <v>10</v>
          </cell>
          <cell r="D765" t="str">
            <v>08</v>
          </cell>
          <cell r="E765" t="str">
            <v>CUSCO</v>
          </cell>
          <cell r="F765" t="str">
            <v>PARURO</v>
          </cell>
          <cell r="G765" t="str">
            <v>PILLPINTO</v>
          </cell>
          <cell r="H765" t="str">
            <v>010727</v>
          </cell>
          <cell r="I765" t="str">
            <v>2</v>
          </cell>
        </row>
        <row r="766">
          <cell r="A766" t="str">
            <v>CUSCOPARUROYAURISQUE</v>
          </cell>
          <cell r="B766" t="str">
            <v>08</v>
          </cell>
          <cell r="C766" t="str">
            <v>10</v>
          </cell>
          <cell r="D766" t="str">
            <v>09</v>
          </cell>
          <cell r="E766" t="str">
            <v>CUSCO</v>
          </cell>
          <cell r="F766" t="str">
            <v>PARURO</v>
          </cell>
          <cell r="G766" t="str">
            <v>YAURISQUE</v>
          </cell>
          <cell r="H766" t="str">
            <v>010728</v>
          </cell>
          <cell r="I766" t="str">
            <v>2</v>
          </cell>
        </row>
        <row r="767">
          <cell r="A767" t="str">
            <v>CUSCOPAUCARTAMBOPAUCARTAMBO</v>
          </cell>
          <cell r="B767" t="str">
            <v>08</v>
          </cell>
          <cell r="C767" t="str">
            <v>11</v>
          </cell>
          <cell r="D767" t="str">
            <v>01</v>
          </cell>
          <cell r="E767" t="str">
            <v>CUSCO</v>
          </cell>
          <cell r="F767" t="str">
            <v>PAUCARTAMBO</v>
          </cell>
          <cell r="G767" t="str">
            <v>PAUCARTAMBO</v>
          </cell>
          <cell r="H767" t="str">
            <v>010729</v>
          </cell>
          <cell r="I767" t="str">
            <v>1</v>
          </cell>
        </row>
        <row r="768">
          <cell r="A768" t="str">
            <v>CUSCOPAUCARTAMBOCAICAY</v>
          </cell>
          <cell r="B768" t="str">
            <v>08</v>
          </cell>
          <cell r="C768" t="str">
            <v>11</v>
          </cell>
          <cell r="D768" t="str">
            <v>02</v>
          </cell>
          <cell r="E768" t="str">
            <v>CUSCO</v>
          </cell>
          <cell r="F768" t="str">
            <v>PAUCARTAMBO</v>
          </cell>
          <cell r="G768" t="str">
            <v>CAICAY</v>
          </cell>
          <cell r="H768" t="str">
            <v>010730</v>
          </cell>
          <cell r="I768" t="str">
            <v>2</v>
          </cell>
        </row>
        <row r="769">
          <cell r="A769" t="str">
            <v>CUSCOPAUCARTAMBOCHALLABAMBA</v>
          </cell>
          <cell r="B769" t="str">
            <v>08</v>
          </cell>
          <cell r="C769" t="str">
            <v>11</v>
          </cell>
          <cell r="D769" t="str">
            <v>03</v>
          </cell>
          <cell r="E769" t="str">
            <v>CUSCO</v>
          </cell>
          <cell r="F769" t="str">
            <v>PAUCARTAMBO</v>
          </cell>
          <cell r="G769" t="str">
            <v>CHALLABAMBA</v>
          </cell>
          <cell r="H769" t="str">
            <v>010731</v>
          </cell>
          <cell r="I769" t="str">
            <v>2</v>
          </cell>
        </row>
        <row r="770">
          <cell r="A770" t="str">
            <v>CUSCOPAUCARTAMBOCOLQUEPATA</v>
          </cell>
          <cell r="B770" t="str">
            <v>08</v>
          </cell>
          <cell r="C770" t="str">
            <v>11</v>
          </cell>
          <cell r="D770" t="str">
            <v>04</v>
          </cell>
          <cell r="E770" t="str">
            <v>CUSCO</v>
          </cell>
          <cell r="F770" t="str">
            <v>PAUCARTAMBO</v>
          </cell>
          <cell r="G770" t="str">
            <v>COLQUEPATA</v>
          </cell>
          <cell r="H770" t="str">
            <v>010732</v>
          </cell>
          <cell r="I770" t="str">
            <v>2</v>
          </cell>
        </row>
        <row r="771">
          <cell r="A771" t="str">
            <v>CUSCOPAUCARTAMBOHUANCARANI</v>
          </cell>
          <cell r="B771" t="str">
            <v>08</v>
          </cell>
          <cell r="C771" t="str">
            <v>11</v>
          </cell>
          <cell r="D771" t="str">
            <v>05</v>
          </cell>
          <cell r="E771" t="str">
            <v>CUSCO</v>
          </cell>
          <cell r="F771" t="str">
            <v>PAUCARTAMBO</v>
          </cell>
          <cell r="G771" t="str">
            <v>HUANCARANI</v>
          </cell>
          <cell r="H771" t="str">
            <v>010733</v>
          </cell>
          <cell r="I771" t="str">
            <v>2</v>
          </cell>
        </row>
        <row r="772">
          <cell r="A772" t="str">
            <v>CUSCOPAUCARTAMBOKOSÑIPATA</v>
          </cell>
          <cell r="B772" t="str">
            <v>08</v>
          </cell>
          <cell r="C772" t="str">
            <v>11</v>
          </cell>
          <cell r="D772" t="str">
            <v>06</v>
          </cell>
          <cell r="E772" t="str">
            <v>CUSCO</v>
          </cell>
          <cell r="F772" t="str">
            <v>PAUCARTAMBO</v>
          </cell>
          <cell r="G772" t="str">
            <v>KOSÑIPATA</v>
          </cell>
          <cell r="H772" t="str">
            <v>010734</v>
          </cell>
          <cell r="I772" t="str">
            <v>2</v>
          </cell>
        </row>
        <row r="773">
          <cell r="A773" t="str">
            <v>CUSCOQUISPICANCHIURCOS</v>
          </cell>
          <cell r="B773" t="str">
            <v>08</v>
          </cell>
          <cell r="C773" t="str">
            <v>12</v>
          </cell>
          <cell r="D773" t="str">
            <v>01</v>
          </cell>
          <cell r="E773" t="str">
            <v>CUSCO</v>
          </cell>
          <cell r="F773" t="str">
            <v>QUISPICANCHI</v>
          </cell>
          <cell r="G773" t="str">
            <v>URCOS</v>
          </cell>
          <cell r="H773" t="str">
            <v>010735</v>
          </cell>
          <cell r="I773" t="str">
            <v>1</v>
          </cell>
        </row>
        <row r="774">
          <cell r="A774" t="str">
            <v>CUSCOQUISPICANCHIANDAHUAYLILLAS</v>
          </cell>
          <cell r="B774" t="str">
            <v>08</v>
          </cell>
          <cell r="C774" t="str">
            <v>12</v>
          </cell>
          <cell r="D774" t="str">
            <v>02</v>
          </cell>
          <cell r="E774" t="str">
            <v>CUSCO</v>
          </cell>
          <cell r="F774" t="str">
            <v>QUISPICANCHI</v>
          </cell>
          <cell r="G774" t="str">
            <v>ANDAHUAYLILLAS</v>
          </cell>
          <cell r="H774" t="str">
            <v>010736</v>
          </cell>
          <cell r="I774" t="str">
            <v>2</v>
          </cell>
        </row>
        <row r="775">
          <cell r="A775" t="str">
            <v>CUSCOQUISPICANCHICAMANTI</v>
          </cell>
          <cell r="B775" t="str">
            <v>08</v>
          </cell>
          <cell r="C775" t="str">
            <v>12</v>
          </cell>
          <cell r="D775" t="str">
            <v>03</v>
          </cell>
          <cell r="E775" t="str">
            <v>CUSCO</v>
          </cell>
          <cell r="F775" t="str">
            <v>QUISPICANCHI</v>
          </cell>
          <cell r="G775" t="str">
            <v>CAMANTI</v>
          </cell>
          <cell r="H775" t="str">
            <v>010742</v>
          </cell>
          <cell r="I775" t="str">
            <v>2</v>
          </cell>
        </row>
        <row r="776">
          <cell r="A776" t="str">
            <v>CUSCOQUISPICANCHICCARHUAYO</v>
          </cell>
          <cell r="B776" t="str">
            <v>08</v>
          </cell>
          <cell r="C776" t="str">
            <v>12</v>
          </cell>
          <cell r="D776" t="str">
            <v>04</v>
          </cell>
          <cell r="E776" t="str">
            <v>CUSCO</v>
          </cell>
          <cell r="F776" t="str">
            <v>QUISPICANCHI</v>
          </cell>
          <cell r="G776" t="str">
            <v>CCARHUAYO</v>
          </cell>
          <cell r="H776" t="str">
            <v>010743</v>
          </cell>
          <cell r="I776" t="str">
            <v>2</v>
          </cell>
        </row>
        <row r="777">
          <cell r="A777" t="str">
            <v>CUSCOQUISPICANCHICCATCA</v>
          </cell>
          <cell r="B777" t="str">
            <v>08</v>
          </cell>
          <cell r="C777" t="str">
            <v>12</v>
          </cell>
          <cell r="D777" t="str">
            <v>05</v>
          </cell>
          <cell r="E777" t="str">
            <v>CUSCO</v>
          </cell>
          <cell r="F777" t="str">
            <v>QUISPICANCHI</v>
          </cell>
          <cell r="G777" t="str">
            <v>CCATCA</v>
          </cell>
          <cell r="H777" t="str">
            <v>012834</v>
          </cell>
          <cell r="I777" t="str">
            <v>2</v>
          </cell>
        </row>
        <row r="778">
          <cell r="A778" t="str">
            <v>CUSCOQUISPICANCHICUSIPATA</v>
          </cell>
          <cell r="B778" t="str">
            <v>08</v>
          </cell>
          <cell r="C778" t="str">
            <v>12</v>
          </cell>
          <cell r="D778" t="str">
            <v>06</v>
          </cell>
          <cell r="E778" t="str">
            <v>CUSCO</v>
          </cell>
          <cell r="F778" t="str">
            <v>QUISPICANCHI</v>
          </cell>
          <cell r="G778" t="str">
            <v>CUSIPATA</v>
          </cell>
          <cell r="H778" t="str">
            <v>012047</v>
          </cell>
          <cell r="I778" t="str">
            <v>2</v>
          </cell>
        </row>
        <row r="779">
          <cell r="A779" t="str">
            <v>CUSCOQUISPICANCHIHUARO</v>
          </cell>
          <cell r="B779" t="str">
            <v>08</v>
          </cell>
          <cell r="C779" t="str">
            <v>12</v>
          </cell>
          <cell r="D779" t="str">
            <v>07</v>
          </cell>
          <cell r="E779" t="str">
            <v>CUSCO</v>
          </cell>
          <cell r="F779" t="str">
            <v>QUISPICANCHI</v>
          </cell>
          <cell r="G779" t="str">
            <v>HUARO</v>
          </cell>
          <cell r="H779" t="str">
            <v>010738</v>
          </cell>
          <cell r="I779" t="str">
            <v>2</v>
          </cell>
        </row>
        <row r="780">
          <cell r="A780" t="str">
            <v>CUSCOQUISPICANCHILUCRE</v>
          </cell>
          <cell r="B780" t="str">
            <v>08</v>
          </cell>
          <cell r="C780" t="str">
            <v>12</v>
          </cell>
          <cell r="D780" t="str">
            <v>08</v>
          </cell>
          <cell r="E780" t="str">
            <v>CUSCO</v>
          </cell>
          <cell r="F780" t="str">
            <v>QUISPICANCHI</v>
          </cell>
          <cell r="G780" t="str">
            <v>LUCRE</v>
          </cell>
          <cell r="H780" t="str">
            <v>010739</v>
          </cell>
          <cell r="I780" t="str">
            <v>2</v>
          </cell>
        </row>
        <row r="781">
          <cell r="A781" t="str">
            <v>CUSCOQUISPICANCHIMARCAPATA</v>
          </cell>
          <cell r="B781" t="str">
            <v>08</v>
          </cell>
          <cell r="C781" t="str">
            <v>12</v>
          </cell>
          <cell r="D781" t="str">
            <v>09</v>
          </cell>
          <cell r="E781" t="str">
            <v>CUSCO</v>
          </cell>
          <cell r="F781" t="str">
            <v>QUISPICANCHI</v>
          </cell>
          <cell r="G781" t="str">
            <v>MARCAPATA</v>
          </cell>
          <cell r="H781" t="str">
            <v>010745</v>
          </cell>
          <cell r="I781" t="str">
            <v>2</v>
          </cell>
        </row>
        <row r="782">
          <cell r="A782" t="str">
            <v>CUSCOQUISPICANCHIOCONGATE</v>
          </cell>
          <cell r="B782" t="str">
            <v>08</v>
          </cell>
          <cell r="C782" t="str">
            <v>12</v>
          </cell>
          <cell r="D782" t="str">
            <v>10</v>
          </cell>
          <cell r="E782" t="str">
            <v>CUSCO</v>
          </cell>
          <cell r="F782" t="str">
            <v>QUISPICANCHI</v>
          </cell>
          <cell r="G782" t="str">
            <v>OCONGATE</v>
          </cell>
          <cell r="H782" t="str">
            <v>012056</v>
          </cell>
          <cell r="I782" t="str">
            <v>2</v>
          </cell>
        </row>
        <row r="783">
          <cell r="A783" t="str">
            <v>CUSCOQUISPICANCHIOROPESA</v>
          </cell>
          <cell r="B783" t="str">
            <v>08</v>
          </cell>
          <cell r="C783" t="str">
            <v>12</v>
          </cell>
          <cell r="D783" t="str">
            <v>11</v>
          </cell>
          <cell r="E783" t="str">
            <v>CUSCO</v>
          </cell>
          <cell r="F783" t="str">
            <v>QUISPICANCHI</v>
          </cell>
          <cell r="G783" t="str">
            <v>OROPESA</v>
          </cell>
          <cell r="H783" t="str">
            <v>012048</v>
          </cell>
          <cell r="I783" t="str">
            <v>2</v>
          </cell>
        </row>
        <row r="784">
          <cell r="A784" t="str">
            <v>CUSCOQUISPICANCHIQUIQUIJANA</v>
          </cell>
          <cell r="B784" t="str">
            <v>08</v>
          </cell>
          <cell r="C784" t="str">
            <v>12</v>
          </cell>
          <cell r="D784" t="str">
            <v>12</v>
          </cell>
          <cell r="E784" t="str">
            <v>CUSCO</v>
          </cell>
          <cell r="F784" t="str">
            <v>QUISPICANCHI</v>
          </cell>
          <cell r="G784" t="str">
            <v>QUIQUIJANA</v>
          </cell>
          <cell r="H784" t="str">
            <v>010741</v>
          </cell>
          <cell r="I784" t="str">
            <v>2</v>
          </cell>
        </row>
        <row r="785">
          <cell r="A785" t="str">
            <v>CUSCOURUBAMBAURUBAMBA</v>
          </cell>
          <cell r="B785" t="str">
            <v>08</v>
          </cell>
          <cell r="C785" t="str">
            <v>13</v>
          </cell>
          <cell r="D785" t="str">
            <v>01</v>
          </cell>
          <cell r="E785" t="str">
            <v>CUSCO</v>
          </cell>
          <cell r="F785" t="str">
            <v>URUBAMBA</v>
          </cell>
          <cell r="G785" t="str">
            <v>URUBAMBA</v>
          </cell>
          <cell r="H785" t="str">
            <v>012070</v>
          </cell>
          <cell r="I785" t="str">
            <v>1</v>
          </cell>
        </row>
        <row r="786">
          <cell r="A786" t="str">
            <v>CUSCOURUBAMBACHINCHERO</v>
          </cell>
          <cell r="B786" t="str">
            <v>08</v>
          </cell>
          <cell r="C786" t="str">
            <v>13</v>
          </cell>
          <cell r="D786" t="str">
            <v>02</v>
          </cell>
          <cell r="E786" t="str">
            <v>CUSCO</v>
          </cell>
          <cell r="F786" t="str">
            <v>URUBAMBA</v>
          </cell>
          <cell r="G786" t="str">
            <v>CHINCHERO</v>
          </cell>
          <cell r="H786" t="str">
            <v>012054</v>
          </cell>
          <cell r="I786" t="str">
            <v>2</v>
          </cell>
        </row>
        <row r="787">
          <cell r="A787" t="str">
            <v>CUSCOURUBAMBAHUAYLLABAMBA</v>
          </cell>
          <cell r="B787" t="str">
            <v>08</v>
          </cell>
          <cell r="C787" t="str">
            <v>13</v>
          </cell>
          <cell r="D787" t="str">
            <v>03</v>
          </cell>
          <cell r="E787" t="str">
            <v>CUSCO</v>
          </cell>
          <cell r="F787" t="str">
            <v>URUBAMBA</v>
          </cell>
          <cell r="G787" t="str">
            <v>HUAYLLABAMBA</v>
          </cell>
          <cell r="H787" t="str">
            <v>010749</v>
          </cell>
          <cell r="I787" t="str">
            <v>2</v>
          </cell>
        </row>
        <row r="788">
          <cell r="A788" t="str">
            <v>CUSCOURUBAMBAMACHUPICCHU</v>
          </cell>
          <cell r="B788" t="str">
            <v>08</v>
          </cell>
          <cell r="C788" t="str">
            <v>13</v>
          </cell>
          <cell r="D788" t="str">
            <v>04</v>
          </cell>
          <cell r="E788" t="str">
            <v>CUSCO</v>
          </cell>
          <cell r="F788" t="str">
            <v>URUBAMBA</v>
          </cell>
          <cell r="G788" t="str">
            <v>MACHUPICCHU</v>
          </cell>
          <cell r="H788" t="str">
            <v>010750</v>
          </cell>
          <cell r="I788" t="str">
            <v>2</v>
          </cell>
        </row>
        <row r="789">
          <cell r="A789" t="str">
            <v>CUSCOURUBAMBAMARAS</v>
          </cell>
          <cell r="B789" t="str">
            <v>08</v>
          </cell>
          <cell r="C789" t="str">
            <v>13</v>
          </cell>
          <cell r="D789" t="str">
            <v>05</v>
          </cell>
          <cell r="E789" t="str">
            <v>CUSCO</v>
          </cell>
          <cell r="F789" t="str">
            <v>URUBAMBA</v>
          </cell>
          <cell r="G789" t="str">
            <v>MARAS</v>
          </cell>
          <cell r="H789" t="str">
            <v>010726</v>
          </cell>
          <cell r="I789" t="str">
            <v>2</v>
          </cell>
        </row>
        <row r="790">
          <cell r="A790" t="str">
            <v>CUSCOURUBAMBAOLLANTAYTAMBO</v>
          </cell>
          <cell r="B790" t="str">
            <v>08</v>
          </cell>
          <cell r="C790" t="str">
            <v>13</v>
          </cell>
          <cell r="D790" t="str">
            <v>06</v>
          </cell>
          <cell r="E790" t="str">
            <v>CUSCO</v>
          </cell>
          <cell r="F790" t="str">
            <v>URUBAMBA</v>
          </cell>
          <cell r="G790" t="str">
            <v>OLLANTAYTAMBO</v>
          </cell>
          <cell r="H790" t="str">
            <v>012572</v>
          </cell>
          <cell r="I790" t="str">
            <v>2</v>
          </cell>
        </row>
        <row r="791">
          <cell r="A791" t="str">
            <v>CUSCOURUBAMBAYUCAY</v>
          </cell>
          <cell r="B791" t="str">
            <v>08</v>
          </cell>
          <cell r="C791" t="str">
            <v>13</v>
          </cell>
          <cell r="D791" t="str">
            <v>07</v>
          </cell>
          <cell r="E791" t="str">
            <v>CUSCO</v>
          </cell>
          <cell r="F791" t="str">
            <v>URUBAMBA</v>
          </cell>
          <cell r="G791" t="str">
            <v>YUCAY</v>
          </cell>
          <cell r="H791" t="str">
            <v>010753</v>
          </cell>
          <cell r="I791" t="str">
            <v>2</v>
          </cell>
        </row>
        <row r="792">
          <cell r="A792" t="str">
            <v>HUANCAVELICAHUANCAVELICAHUANCAVELICA</v>
          </cell>
          <cell r="B792" t="str">
            <v>09</v>
          </cell>
          <cell r="C792" t="str">
            <v>01</v>
          </cell>
          <cell r="D792" t="str">
            <v>01</v>
          </cell>
          <cell r="E792" t="str">
            <v>HUANCAVELICA</v>
          </cell>
          <cell r="F792" t="str">
            <v>HUANCAVELICA</v>
          </cell>
          <cell r="G792" t="str">
            <v>HUANCAVELICA</v>
          </cell>
          <cell r="H792" t="str">
            <v>010792</v>
          </cell>
          <cell r="I792" t="str">
            <v>1</v>
          </cell>
        </row>
        <row r="793">
          <cell r="A793" t="str">
            <v>HUANCAVELICAHUANCAVELICAACOBAMBILLA</v>
          </cell>
          <cell r="B793" t="str">
            <v>09</v>
          </cell>
          <cell r="C793" t="str">
            <v>01</v>
          </cell>
          <cell r="D793" t="str">
            <v>02</v>
          </cell>
          <cell r="E793" t="str">
            <v>HUANCAVELICA</v>
          </cell>
          <cell r="F793" t="str">
            <v>HUANCAVELICA</v>
          </cell>
          <cell r="G793" t="str">
            <v>ACOBAMBILLA</v>
          </cell>
          <cell r="H793" t="str">
            <v>010801</v>
          </cell>
          <cell r="I793" t="str">
            <v>2</v>
          </cell>
        </row>
        <row r="794">
          <cell r="A794" t="str">
            <v>HUANCAVELICAHUANCAVELICAACORIA</v>
          </cell>
          <cell r="B794" t="str">
            <v>09</v>
          </cell>
          <cell r="C794" t="str">
            <v>01</v>
          </cell>
          <cell r="D794" t="str">
            <v>03</v>
          </cell>
          <cell r="E794" t="str">
            <v>HUANCAVELICA</v>
          </cell>
          <cell r="F794" t="str">
            <v>HUANCAVELICA</v>
          </cell>
          <cell r="G794" t="str">
            <v>ACORIA</v>
          </cell>
          <cell r="H794" t="str">
            <v>010793</v>
          </cell>
          <cell r="I794" t="str">
            <v>2</v>
          </cell>
        </row>
        <row r="795">
          <cell r="A795" t="str">
            <v>HUANCAVELICAHUANCAVELICACONAYCA</v>
          </cell>
          <cell r="B795" t="str">
            <v>09</v>
          </cell>
          <cell r="C795" t="str">
            <v>01</v>
          </cell>
          <cell r="D795" t="str">
            <v>04</v>
          </cell>
          <cell r="E795" t="str">
            <v>HUANCAVELICA</v>
          </cell>
          <cell r="F795" t="str">
            <v>HUANCAVELICA</v>
          </cell>
          <cell r="G795" t="str">
            <v>CONAYCA</v>
          </cell>
          <cell r="H795" t="str">
            <v>010802</v>
          </cell>
          <cell r="I795" t="str">
            <v>2</v>
          </cell>
        </row>
        <row r="796">
          <cell r="A796" t="str">
            <v>HUANCAVELICAHUANCAVELICACUENCA</v>
          </cell>
          <cell r="B796" t="str">
            <v>09</v>
          </cell>
          <cell r="C796" t="str">
            <v>01</v>
          </cell>
          <cell r="D796" t="str">
            <v>05</v>
          </cell>
          <cell r="E796" t="str">
            <v>HUANCAVELICA</v>
          </cell>
          <cell r="F796" t="str">
            <v>HUANCAVELICA</v>
          </cell>
          <cell r="G796" t="str">
            <v>CUENCA</v>
          </cell>
          <cell r="H796" t="str">
            <v>010803</v>
          </cell>
          <cell r="I796" t="str">
            <v>2</v>
          </cell>
        </row>
        <row r="797">
          <cell r="A797" t="str">
            <v>HUANCAVELICAHUANCAVELICAHUACHOCOLPA</v>
          </cell>
          <cell r="B797" t="str">
            <v>09</v>
          </cell>
          <cell r="C797" t="str">
            <v>01</v>
          </cell>
          <cell r="D797" t="str">
            <v>06</v>
          </cell>
          <cell r="E797" t="str">
            <v>HUANCAVELICA</v>
          </cell>
          <cell r="F797" t="str">
            <v>HUANCAVELICA</v>
          </cell>
          <cell r="G797" t="str">
            <v>HUACHOCOLPA</v>
          </cell>
          <cell r="H797" t="str">
            <v>010794</v>
          </cell>
          <cell r="I797" t="str">
            <v>2</v>
          </cell>
        </row>
        <row r="798">
          <cell r="A798" t="str">
            <v>HUANCAVELICAHUANCAVELICAHUAYLLAHUARA</v>
          </cell>
          <cell r="B798" t="str">
            <v>09</v>
          </cell>
          <cell r="C798" t="str">
            <v>01</v>
          </cell>
          <cell r="D798" t="str">
            <v>07</v>
          </cell>
          <cell r="E798" t="str">
            <v>HUANCAVELICA</v>
          </cell>
          <cell r="F798" t="str">
            <v>HUANCAVELICA</v>
          </cell>
          <cell r="G798" t="str">
            <v>HUAYLLAHUARA</v>
          </cell>
          <cell r="H798" t="str">
            <v>010804</v>
          </cell>
          <cell r="I798" t="str">
            <v>2</v>
          </cell>
        </row>
        <row r="799">
          <cell r="A799" t="str">
            <v>HUANCAVELICAHUANCAVELICAIZCUCHACA</v>
          </cell>
          <cell r="B799" t="str">
            <v>09</v>
          </cell>
          <cell r="C799" t="str">
            <v>01</v>
          </cell>
          <cell r="D799" t="str">
            <v>08</v>
          </cell>
          <cell r="E799" t="str">
            <v>HUANCAVELICA</v>
          </cell>
          <cell r="F799" t="str">
            <v>HUANCAVELICA</v>
          </cell>
          <cell r="G799" t="str">
            <v>IZCUCHACA</v>
          </cell>
          <cell r="H799" t="str">
            <v>010805</v>
          </cell>
          <cell r="I799" t="str">
            <v>2</v>
          </cell>
        </row>
        <row r="800">
          <cell r="A800" t="str">
            <v>HUANCAVELICAHUANCAVELICALARIA</v>
          </cell>
          <cell r="B800" t="str">
            <v>09</v>
          </cell>
          <cell r="C800" t="str">
            <v>01</v>
          </cell>
          <cell r="D800" t="str">
            <v>09</v>
          </cell>
          <cell r="E800" t="str">
            <v>HUANCAVELICA</v>
          </cell>
          <cell r="F800" t="str">
            <v>HUANCAVELICA</v>
          </cell>
          <cell r="G800" t="str">
            <v>LARIA</v>
          </cell>
          <cell r="H800" t="str">
            <v>010795</v>
          </cell>
          <cell r="I800" t="str">
            <v>2</v>
          </cell>
        </row>
        <row r="801">
          <cell r="A801" t="str">
            <v>HUANCAVELICAHUANCAVELICAMANTA</v>
          </cell>
          <cell r="B801" t="str">
            <v>09</v>
          </cell>
          <cell r="C801" t="str">
            <v>01</v>
          </cell>
          <cell r="D801" t="str">
            <v>10</v>
          </cell>
          <cell r="E801" t="str">
            <v>HUANCAVELICA</v>
          </cell>
          <cell r="F801" t="str">
            <v>HUANCAVELICA</v>
          </cell>
          <cell r="G801" t="str">
            <v>MANTA</v>
          </cell>
          <cell r="H801" t="str">
            <v>012072</v>
          </cell>
          <cell r="I801" t="str">
            <v>2</v>
          </cell>
        </row>
        <row r="802">
          <cell r="A802" t="str">
            <v>HUANCAVELICAHUANCAVELICAMARISCAL CACERES</v>
          </cell>
          <cell r="B802" t="str">
            <v>09</v>
          </cell>
          <cell r="C802" t="str">
            <v>01</v>
          </cell>
          <cell r="D802" t="str">
            <v>11</v>
          </cell>
          <cell r="E802" t="str">
            <v>HUANCAVELICA</v>
          </cell>
          <cell r="F802" t="str">
            <v>HUANCAVELICA</v>
          </cell>
          <cell r="G802" t="str">
            <v>MARISCAL CACERES</v>
          </cell>
          <cell r="H802" t="str">
            <v>010807</v>
          </cell>
          <cell r="I802" t="str">
            <v>2</v>
          </cell>
        </row>
        <row r="803">
          <cell r="A803" t="str">
            <v>HUANCAVELICAHUANCAVELICAMOYA</v>
          </cell>
          <cell r="B803" t="str">
            <v>09</v>
          </cell>
          <cell r="C803" t="str">
            <v>01</v>
          </cell>
          <cell r="D803" t="str">
            <v>12</v>
          </cell>
          <cell r="E803" t="str">
            <v>HUANCAVELICA</v>
          </cell>
          <cell r="F803" t="str">
            <v>HUANCAVELICA</v>
          </cell>
          <cell r="G803" t="str">
            <v>MOYA</v>
          </cell>
          <cell r="H803" t="str">
            <v>010808</v>
          </cell>
          <cell r="I803" t="str">
            <v>2</v>
          </cell>
        </row>
        <row r="804">
          <cell r="A804" t="str">
            <v>HUANCAVELICAHUANCAVELICANUEVO OCCORO</v>
          </cell>
          <cell r="B804" t="str">
            <v>09</v>
          </cell>
          <cell r="C804" t="str">
            <v>01</v>
          </cell>
          <cell r="D804" t="str">
            <v>13</v>
          </cell>
          <cell r="E804" t="str">
            <v>HUANCAVELICA</v>
          </cell>
          <cell r="F804" t="str">
            <v>HUANCAVELICA</v>
          </cell>
          <cell r="G804" t="str">
            <v>NUEVO OCCORO</v>
          </cell>
          <cell r="H804" t="str">
            <v>010796</v>
          </cell>
          <cell r="I804" t="str">
            <v>2</v>
          </cell>
        </row>
        <row r="805">
          <cell r="A805" t="str">
            <v>HUANCAVELICAHUANCAVELICAPALCA</v>
          </cell>
          <cell r="B805" t="str">
            <v>09</v>
          </cell>
          <cell r="C805" t="str">
            <v>01</v>
          </cell>
          <cell r="D805" t="str">
            <v>14</v>
          </cell>
          <cell r="E805" t="str">
            <v>HUANCAVELICA</v>
          </cell>
          <cell r="F805" t="str">
            <v>HUANCAVELICA</v>
          </cell>
          <cell r="G805" t="str">
            <v>PALCA</v>
          </cell>
          <cell r="H805" t="str">
            <v>010797</v>
          </cell>
          <cell r="I805" t="str">
            <v>2</v>
          </cell>
        </row>
        <row r="806">
          <cell r="A806" t="str">
            <v>HUANCAVELICAHUANCAVELICAPILCHACA</v>
          </cell>
          <cell r="B806" t="str">
            <v>09</v>
          </cell>
          <cell r="C806" t="str">
            <v>01</v>
          </cell>
          <cell r="D806" t="str">
            <v>15</v>
          </cell>
          <cell r="E806" t="str">
            <v>HUANCAVELICA</v>
          </cell>
          <cell r="F806" t="str">
            <v>HUANCAVELICA</v>
          </cell>
          <cell r="G806" t="str">
            <v>PILCHACA</v>
          </cell>
          <cell r="H806" t="str">
            <v>010809</v>
          </cell>
          <cell r="I806" t="str">
            <v>2</v>
          </cell>
        </row>
        <row r="807">
          <cell r="A807" t="str">
            <v>HUANCAVELICAHUANCAVELICAVILCA</v>
          </cell>
          <cell r="B807" t="str">
            <v>09</v>
          </cell>
          <cell r="C807" t="str">
            <v>01</v>
          </cell>
          <cell r="D807" t="str">
            <v>16</v>
          </cell>
          <cell r="E807" t="str">
            <v>HUANCAVELICA</v>
          </cell>
          <cell r="F807" t="str">
            <v>HUANCAVELICA</v>
          </cell>
          <cell r="G807" t="str">
            <v>VILCA</v>
          </cell>
          <cell r="H807" t="str">
            <v>012611</v>
          </cell>
          <cell r="I807" t="str">
            <v>2</v>
          </cell>
        </row>
        <row r="808">
          <cell r="A808" t="str">
            <v>HUANCAVELICAHUANCAVELICAYAULI</v>
          </cell>
          <cell r="B808" t="str">
            <v>09</v>
          </cell>
          <cell r="C808" t="str">
            <v>01</v>
          </cell>
          <cell r="D808" t="str">
            <v>17</v>
          </cell>
          <cell r="E808" t="str">
            <v>HUANCAVELICA</v>
          </cell>
          <cell r="F808" t="str">
            <v>HUANCAVELICA</v>
          </cell>
          <cell r="G808" t="str">
            <v>YAULI</v>
          </cell>
          <cell r="H808" t="str">
            <v>010798</v>
          </cell>
          <cell r="I808" t="str">
            <v>2</v>
          </cell>
        </row>
        <row r="809">
          <cell r="A809" t="str">
            <v>HUANCAVELICAHUANCAVELICAASCENSION</v>
          </cell>
          <cell r="B809" t="str">
            <v>09</v>
          </cell>
          <cell r="C809" t="str">
            <v>01</v>
          </cell>
          <cell r="D809" t="str">
            <v>18</v>
          </cell>
          <cell r="E809" t="str">
            <v>HUANCAVELICA</v>
          </cell>
          <cell r="F809" t="str">
            <v>HUANCAVELICA</v>
          </cell>
          <cell r="G809" t="str">
            <v>ASCENSION</v>
          </cell>
          <cell r="H809" t="str">
            <v>010799</v>
          </cell>
          <cell r="I809" t="str">
            <v>2</v>
          </cell>
        </row>
        <row r="810">
          <cell r="A810" t="str">
            <v>HUANCAVELICAHUANCAVELICAHUANDO</v>
          </cell>
          <cell r="B810" t="str">
            <v>09</v>
          </cell>
          <cell r="C810" t="str">
            <v>01</v>
          </cell>
          <cell r="D810" t="str">
            <v>19</v>
          </cell>
          <cell r="E810" t="str">
            <v>HUANCAVELICA</v>
          </cell>
          <cell r="F810" t="str">
            <v>HUANCAVELICA</v>
          </cell>
          <cell r="G810" t="str">
            <v>HUANDO</v>
          </cell>
          <cell r="H810" t="str">
            <v>010800</v>
          </cell>
          <cell r="I810" t="str">
            <v>2</v>
          </cell>
        </row>
        <row r="811">
          <cell r="A811" t="str">
            <v>HUANCAVELICAACOBAMBAACOBAMBA</v>
          </cell>
          <cell r="B811" t="str">
            <v>09</v>
          </cell>
          <cell r="C811" t="str">
            <v>02</v>
          </cell>
          <cell r="D811" t="str">
            <v>01</v>
          </cell>
          <cell r="E811" t="str">
            <v>HUANCAVELICA</v>
          </cell>
          <cell r="F811" t="str">
            <v>ACOBAMBA</v>
          </cell>
          <cell r="G811" t="str">
            <v>ACOBAMBA</v>
          </cell>
          <cell r="H811" t="str">
            <v>010811</v>
          </cell>
          <cell r="I811" t="str">
            <v>1</v>
          </cell>
        </row>
        <row r="812">
          <cell r="A812" t="str">
            <v>HUANCAVELICAACOBAMBAANDABAMBA</v>
          </cell>
          <cell r="B812" t="str">
            <v>09</v>
          </cell>
          <cell r="C812" t="str">
            <v>02</v>
          </cell>
          <cell r="D812" t="str">
            <v>02</v>
          </cell>
          <cell r="E812" t="str">
            <v>HUANCAVELICA</v>
          </cell>
          <cell r="F812" t="str">
            <v>ACOBAMBA</v>
          </cell>
          <cell r="G812" t="str">
            <v>ANDABAMBA</v>
          </cell>
          <cell r="H812" t="str">
            <v>010812</v>
          </cell>
          <cell r="I812" t="str">
            <v>2</v>
          </cell>
        </row>
        <row r="813">
          <cell r="A813" t="str">
            <v>HUANCAVELICAACOBAMBAANTA</v>
          </cell>
          <cell r="B813" t="str">
            <v>09</v>
          </cell>
          <cell r="C813" t="str">
            <v>02</v>
          </cell>
          <cell r="D813" t="str">
            <v>03</v>
          </cell>
          <cell r="E813" t="str">
            <v>HUANCAVELICA</v>
          </cell>
          <cell r="F813" t="str">
            <v>ACOBAMBA</v>
          </cell>
          <cell r="G813" t="str">
            <v>ANTA</v>
          </cell>
          <cell r="H813" t="str">
            <v>010813</v>
          </cell>
          <cell r="I813" t="str">
            <v>2</v>
          </cell>
        </row>
        <row r="814">
          <cell r="A814" t="str">
            <v>HUANCAVELICAACOBAMBACAJA</v>
          </cell>
          <cell r="B814" t="str">
            <v>09</v>
          </cell>
          <cell r="C814" t="str">
            <v>02</v>
          </cell>
          <cell r="D814" t="str">
            <v>04</v>
          </cell>
          <cell r="E814" t="str">
            <v>HUANCAVELICA</v>
          </cell>
          <cell r="F814" t="str">
            <v>ACOBAMBA</v>
          </cell>
          <cell r="G814" t="str">
            <v>CAJA</v>
          </cell>
          <cell r="H814" t="str">
            <v>010814</v>
          </cell>
          <cell r="I814" t="str">
            <v>2</v>
          </cell>
        </row>
        <row r="815">
          <cell r="A815" t="str">
            <v>HUANCAVELICAACOBAMBAMARCAS</v>
          </cell>
          <cell r="B815" t="str">
            <v>09</v>
          </cell>
          <cell r="C815" t="str">
            <v>02</v>
          </cell>
          <cell r="D815" t="str">
            <v>05</v>
          </cell>
          <cell r="E815" t="str">
            <v>HUANCAVELICA</v>
          </cell>
          <cell r="F815" t="str">
            <v>ACOBAMBA</v>
          </cell>
          <cell r="G815" t="str">
            <v>MARCAS</v>
          </cell>
          <cell r="H815" t="str">
            <v>010815</v>
          </cell>
          <cell r="I815" t="str">
            <v>2</v>
          </cell>
        </row>
        <row r="816">
          <cell r="A816" t="str">
            <v>HUANCAVELICAACOBAMBAPAUCARA</v>
          </cell>
          <cell r="B816" t="str">
            <v>09</v>
          </cell>
          <cell r="C816" t="str">
            <v>02</v>
          </cell>
          <cell r="D816" t="str">
            <v>06</v>
          </cell>
          <cell r="E816" t="str">
            <v>HUANCAVELICA</v>
          </cell>
          <cell r="F816" t="str">
            <v>ACOBAMBA</v>
          </cell>
          <cell r="G816" t="str">
            <v>PAUCARA</v>
          </cell>
          <cell r="H816" t="str">
            <v>010816</v>
          </cell>
          <cell r="I816" t="str">
            <v>2</v>
          </cell>
        </row>
        <row r="817">
          <cell r="A817" t="str">
            <v>HUANCAVELICAACOBAMBAPOMACOCHA</v>
          </cell>
          <cell r="B817" t="str">
            <v>09</v>
          </cell>
          <cell r="C817" t="str">
            <v>02</v>
          </cell>
          <cell r="D817" t="str">
            <v>07</v>
          </cell>
          <cell r="E817" t="str">
            <v>HUANCAVELICA</v>
          </cell>
          <cell r="F817" t="str">
            <v>ACOBAMBA</v>
          </cell>
          <cell r="G817" t="str">
            <v>POMACOCHA</v>
          </cell>
          <cell r="H817" t="str">
            <v>010817</v>
          </cell>
          <cell r="I817" t="str">
            <v>2</v>
          </cell>
        </row>
        <row r="818">
          <cell r="A818" t="str">
            <v>HUANCAVELICAACOBAMBAROSARIO</v>
          </cell>
          <cell r="B818" t="str">
            <v>09</v>
          </cell>
          <cell r="C818" t="str">
            <v>02</v>
          </cell>
          <cell r="D818" t="str">
            <v>08</v>
          </cell>
          <cell r="E818" t="str">
            <v>HUANCAVELICA</v>
          </cell>
          <cell r="F818" t="str">
            <v>ACOBAMBA</v>
          </cell>
          <cell r="G818" t="str">
            <v>ROSARIO</v>
          </cell>
          <cell r="H818" t="str">
            <v>010818</v>
          </cell>
          <cell r="I818" t="str">
            <v>2</v>
          </cell>
        </row>
        <row r="819">
          <cell r="A819" t="str">
            <v>HUANCAVELICAANGARAESLIRCAY</v>
          </cell>
          <cell r="B819" t="str">
            <v>09</v>
          </cell>
          <cell r="C819" t="str">
            <v>03</v>
          </cell>
          <cell r="D819" t="str">
            <v>01</v>
          </cell>
          <cell r="E819" t="str">
            <v>HUANCAVELICA</v>
          </cell>
          <cell r="F819" t="str">
            <v>ANGARAES</v>
          </cell>
          <cell r="G819" t="str">
            <v>LIRCAY</v>
          </cell>
          <cell r="H819" t="str">
            <v>010819</v>
          </cell>
          <cell r="I819" t="str">
            <v>1</v>
          </cell>
        </row>
        <row r="820">
          <cell r="A820" t="str">
            <v>HUANCAVELICAANGARAESANCHONGA</v>
          </cell>
          <cell r="B820" t="str">
            <v>09</v>
          </cell>
          <cell r="C820" t="str">
            <v>03</v>
          </cell>
          <cell r="D820" t="str">
            <v>02</v>
          </cell>
          <cell r="E820" t="str">
            <v>HUANCAVELICA</v>
          </cell>
          <cell r="F820" t="str">
            <v>ANGARAES</v>
          </cell>
          <cell r="G820" t="str">
            <v>ANCHONGA</v>
          </cell>
          <cell r="H820" t="str">
            <v>010820</v>
          </cell>
          <cell r="I820" t="str">
            <v>2</v>
          </cell>
        </row>
        <row r="821">
          <cell r="A821" t="str">
            <v>HUANCAVELICAANGARAESCALLANMARCA</v>
          </cell>
          <cell r="B821" t="str">
            <v>09</v>
          </cell>
          <cell r="C821" t="str">
            <v>03</v>
          </cell>
          <cell r="D821" t="str">
            <v>03</v>
          </cell>
          <cell r="E821" t="str">
            <v>HUANCAVELICA</v>
          </cell>
          <cell r="F821" t="str">
            <v>ANGARAES</v>
          </cell>
          <cell r="G821" t="str">
            <v>CALLANMARCA</v>
          </cell>
          <cell r="H821" t="str">
            <v>010821</v>
          </cell>
          <cell r="I821" t="str">
            <v>2</v>
          </cell>
        </row>
        <row r="822">
          <cell r="A822" t="str">
            <v>HUANCAVELICAANGARAESCCOCHACCASA</v>
          </cell>
          <cell r="B822" t="str">
            <v>09</v>
          </cell>
          <cell r="C822" t="str">
            <v>03</v>
          </cell>
          <cell r="D822" t="str">
            <v>04</v>
          </cell>
          <cell r="E822" t="str">
            <v>HUANCAVELICA</v>
          </cell>
          <cell r="F822" t="str">
            <v>ANGARAES</v>
          </cell>
          <cell r="G822" t="str">
            <v>CCOCHACCASA</v>
          </cell>
          <cell r="H822" t="str">
            <v>010822</v>
          </cell>
          <cell r="I822" t="str">
            <v>2</v>
          </cell>
        </row>
        <row r="823">
          <cell r="A823" t="str">
            <v>HUANCAVELICAANGARAESCHINCHO</v>
          </cell>
          <cell r="B823" t="str">
            <v>09</v>
          </cell>
          <cell r="C823" t="str">
            <v>03</v>
          </cell>
          <cell r="D823" t="str">
            <v>05</v>
          </cell>
          <cell r="E823" t="str">
            <v>HUANCAVELICA</v>
          </cell>
          <cell r="F823" t="str">
            <v>ANGARAES</v>
          </cell>
          <cell r="G823" t="str">
            <v>CHINCHO</v>
          </cell>
          <cell r="H823" t="str">
            <v>010823</v>
          </cell>
          <cell r="I823" t="str">
            <v>2</v>
          </cell>
        </row>
        <row r="824">
          <cell r="A824" t="str">
            <v>HUANCAVELICAANGARAESCONGALLA</v>
          </cell>
          <cell r="B824" t="str">
            <v>09</v>
          </cell>
          <cell r="C824" t="str">
            <v>03</v>
          </cell>
          <cell r="D824" t="str">
            <v>06</v>
          </cell>
          <cell r="E824" t="str">
            <v>HUANCAVELICA</v>
          </cell>
          <cell r="F824" t="str">
            <v>ANGARAES</v>
          </cell>
          <cell r="G824" t="str">
            <v>CONGALLA</v>
          </cell>
          <cell r="H824" t="str">
            <v>010824</v>
          </cell>
          <cell r="I824" t="str">
            <v>2</v>
          </cell>
        </row>
        <row r="825">
          <cell r="A825" t="str">
            <v>HUANCAVELICAANGARAESHUANCA-HUANCA</v>
          </cell>
          <cell r="B825" t="str">
            <v>09</v>
          </cell>
          <cell r="C825" t="str">
            <v>03</v>
          </cell>
          <cell r="D825" t="str">
            <v>07</v>
          </cell>
          <cell r="E825" t="str">
            <v>HUANCAVELICA</v>
          </cell>
          <cell r="F825" t="str">
            <v>ANGARAES</v>
          </cell>
          <cell r="G825" t="str">
            <v>HUANCA-HUANCA</v>
          </cell>
          <cell r="H825" t="str">
            <v>012088</v>
          </cell>
          <cell r="I825" t="str">
            <v>2</v>
          </cell>
        </row>
        <row r="826">
          <cell r="A826" t="str">
            <v>HUANCAVELICAANGARAESHUAYLLAY GRANDE</v>
          </cell>
          <cell r="B826" t="str">
            <v>09</v>
          </cell>
          <cell r="C826" t="str">
            <v>03</v>
          </cell>
          <cell r="D826" t="str">
            <v>08</v>
          </cell>
          <cell r="E826" t="str">
            <v>HUANCAVELICA</v>
          </cell>
          <cell r="F826" t="str">
            <v>ANGARAES</v>
          </cell>
          <cell r="G826" t="str">
            <v>HUAYLLAY GRANDE</v>
          </cell>
          <cell r="H826" t="str">
            <v>010826</v>
          </cell>
          <cell r="I826" t="str">
            <v>2</v>
          </cell>
        </row>
        <row r="827">
          <cell r="A827" t="str">
            <v>HUANCAVELICAANGARAESJULCAMARCA</v>
          </cell>
          <cell r="B827" t="str">
            <v>09</v>
          </cell>
          <cell r="C827" t="str">
            <v>03</v>
          </cell>
          <cell r="D827" t="str">
            <v>09</v>
          </cell>
          <cell r="E827" t="str">
            <v>HUANCAVELICA</v>
          </cell>
          <cell r="F827" t="str">
            <v>ANGARAES</v>
          </cell>
          <cell r="G827" t="str">
            <v>JULCAMARCA</v>
          </cell>
          <cell r="H827" t="str">
            <v>010827</v>
          </cell>
          <cell r="I827" t="str">
            <v>2</v>
          </cell>
        </row>
        <row r="828">
          <cell r="A828" t="str">
            <v>HUANCAVELICAANGARAESSAN ANTONIO DE ANTAPARCO</v>
          </cell>
          <cell r="B828" t="str">
            <v>09</v>
          </cell>
          <cell r="C828" t="str">
            <v>03</v>
          </cell>
          <cell r="D828" t="str">
            <v>10</v>
          </cell>
          <cell r="E828" t="str">
            <v>HUANCAVELICA</v>
          </cell>
          <cell r="F828" t="str">
            <v>ANGARAES</v>
          </cell>
          <cell r="G828" t="str">
            <v>SAN ANTONIO DE ANTAPARCO</v>
          </cell>
          <cell r="H828" t="str">
            <v>010828</v>
          </cell>
          <cell r="I828" t="str">
            <v>2</v>
          </cell>
        </row>
        <row r="829">
          <cell r="A829" t="str">
            <v>HUANCAVELICAANGARAESSANTO TOMAS DE PATA</v>
          </cell>
          <cell r="B829" t="str">
            <v>09</v>
          </cell>
          <cell r="C829" t="str">
            <v>03</v>
          </cell>
          <cell r="D829" t="str">
            <v>11</v>
          </cell>
          <cell r="E829" t="str">
            <v>HUANCAVELICA</v>
          </cell>
          <cell r="F829" t="str">
            <v>ANGARAES</v>
          </cell>
          <cell r="G829" t="str">
            <v>SANTO TOMAS DE PATA</v>
          </cell>
          <cell r="H829" t="str">
            <v>010829</v>
          </cell>
          <cell r="I829" t="str">
            <v>2</v>
          </cell>
        </row>
        <row r="830">
          <cell r="A830" t="str">
            <v>HUANCAVELICAANGARAESSECCLLA</v>
          </cell>
          <cell r="B830" t="str">
            <v>09</v>
          </cell>
          <cell r="C830" t="str">
            <v>03</v>
          </cell>
          <cell r="D830" t="str">
            <v>12</v>
          </cell>
          <cell r="E830" t="str">
            <v>HUANCAVELICA</v>
          </cell>
          <cell r="F830" t="str">
            <v>ANGARAES</v>
          </cell>
          <cell r="G830" t="str">
            <v>SECCLLA</v>
          </cell>
          <cell r="H830" t="str">
            <v>010830</v>
          </cell>
          <cell r="I830" t="str">
            <v>2</v>
          </cell>
        </row>
        <row r="831">
          <cell r="A831" t="str">
            <v>HUANCAVELICACASTROVIRREYNACASTROVIRREYNA</v>
          </cell>
          <cell r="B831" t="str">
            <v>09</v>
          </cell>
          <cell r="C831" t="str">
            <v>04</v>
          </cell>
          <cell r="D831" t="str">
            <v>01</v>
          </cell>
          <cell r="E831" t="str">
            <v>HUANCAVELICA</v>
          </cell>
          <cell r="F831" t="str">
            <v>CASTROVIRREYNA</v>
          </cell>
          <cell r="G831" t="str">
            <v>CASTROVIRREYNA</v>
          </cell>
          <cell r="H831" t="str">
            <v>010873</v>
          </cell>
          <cell r="I831" t="str">
            <v>1</v>
          </cell>
        </row>
        <row r="832">
          <cell r="A832" t="str">
            <v>HUANCAVELICACASTROVIRREYNAARMA</v>
          </cell>
          <cell r="B832" t="str">
            <v>09</v>
          </cell>
          <cell r="C832" t="str">
            <v>04</v>
          </cell>
          <cell r="D832" t="str">
            <v>02</v>
          </cell>
          <cell r="E832" t="str">
            <v>HUANCAVELICA</v>
          </cell>
          <cell r="F832" t="str">
            <v>CASTROVIRREYNA</v>
          </cell>
          <cell r="G832" t="str">
            <v>ARMA</v>
          </cell>
          <cell r="H832" t="str">
            <v>010879</v>
          </cell>
          <cell r="I832" t="str">
            <v>2</v>
          </cell>
        </row>
        <row r="833">
          <cell r="A833" t="str">
            <v>HUANCAVELICACASTROVIRREYNAAURAHUA</v>
          </cell>
          <cell r="B833" t="str">
            <v>09</v>
          </cell>
          <cell r="C833" t="str">
            <v>04</v>
          </cell>
          <cell r="D833" t="str">
            <v>03</v>
          </cell>
          <cell r="E833" t="str">
            <v>HUANCAVELICA</v>
          </cell>
          <cell r="F833" t="str">
            <v>CASTROVIRREYNA</v>
          </cell>
          <cell r="G833" t="str">
            <v>AURAHUA</v>
          </cell>
          <cell r="H833" t="str">
            <v>010880</v>
          </cell>
          <cell r="I833" t="str">
            <v>2</v>
          </cell>
        </row>
        <row r="834">
          <cell r="A834" t="str">
            <v>HUANCAVELICACASTROVIRREYNACAPILLAS</v>
          </cell>
          <cell r="B834" t="str">
            <v>09</v>
          </cell>
          <cell r="C834" t="str">
            <v>04</v>
          </cell>
          <cell r="D834" t="str">
            <v>04</v>
          </cell>
          <cell r="E834" t="str">
            <v>HUANCAVELICA</v>
          </cell>
          <cell r="F834" t="str">
            <v>CASTROVIRREYNA</v>
          </cell>
          <cell r="G834" t="str">
            <v>CAPILLAS</v>
          </cell>
          <cell r="H834" t="str">
            <v>012539</v>
          </cell>
          <cell r="I834" t="str">
            <v>2</v>
          </cell>
        </row>
        <row r="835">
          <cell r="A835" t="str">
            <v>HUANCAVELICACASTROVIRREYNACHUPAMARCA</v>
          </cell>
          <cell r="B835" t="str">
            <v>09</v>
          </cell>
          <cell r="C835" t="str">
            <v>04</v>
          </cell>
          <cell r="D835" t="str">
            <v>05</v>
          </cell>
          <cell r="E835" t="str">
            <v>HUANCAVELICA</v>
          </cell>
          <cell r="F835" t="str">
            <v>CASTROVIRREYNA</v>
          </cell>
          <cell r="G835" t="str">
            <v>CHUPAMARCA</v>
          </cell>
          <cell r="H835" t="str">
            <v>012602</v>
          </cell>
          <cell r="I835" t="str">
            <v>2</v>
          </cell>
        </row>
        <row r="836">
          <cell r="A836" t="str">
            <v>HUANCAVELICACASTROVIRREYNACOCAS</v>
          </cell>
          <cell r="B836" t="str">
            <v>09</v>
          </cell>
          <cell r="C836" t="str">
            <v>04</v>
          </cell>
          <cell r="D836" t="str">
            <v>06</v>
          </cell>
          <cell r="E836" t="str">
            <v>HUANCAVELICA</v>
          </cell>
          <cell r="F836" t="str">
            <v>CASTROVIRREYNA</v>
          </cell>
          <cell r="G836" t="str">
            <v>COCAS</v>
          </cell>
          <cell r="H836" t="str">
            <v>012607</v>
          </cell>
          <cell r="I836" t="str">
            <v>2</v>
          </cell>
        </row>
        <row r="837">
          <cell r="A837" t="str">
            <v>HUANCAVELICACASTROVIRREYNAHUACHOS</v>
          </cell>
          <cell r="B837" t="str">
            <v>09</v>
          </cell>
          <cell r="C837" t="str">
            <v>04</v>
          </cell>
          <cell r="D837" t="str">
            <v>07</v>
          </cell>
          <cell r="E837" t="str">
            <v>HUANCAVELICA</v>
          </cell>
          <cell r="F837" t="str">
            <v>CASTROVIRREYNA</v>
          </cell>
          <cell r="G837" t="str">
            <v>HUACHOS</v>
          </cell>
          <cell r="H837" t="str">
            <v>012603</v>
          </cell>
          <cell r="I837" t="str">
            <v>2</v>
          </cell>
        </row>
        <row r="838">
          <cell r="A838" t="str">
            <v>HUANCAVELICACASTROVIRREYNAHUAMATAMBO</v>
          </cell>
          <cell r="B838" t="str">
            <v>09</v>
          </cell>
          <cell r="C838" t="str">
            <v>04</v>
          </cell>
          <cell r="D838" t="str">
            <v>08</v>
          </cell>
          <cell r="E838" t="str">
            <v>HUANCAVELICA</v>
          </cell>
          <cell r="F838" t="str">
            <v>CASTROVIRREYNA</v>
          </cell>
          <cell r="G838" t="str">
            <v>HUAMATAMBO</v>
          </cell>
          <cell r="H838" t="str">
            <v>010883</v>
          </cell>
          <cell r="I838" t="str">
            <v>2</v>
          </cell>
        </row>
        <row r="839">
          <cell r="A839" t="str">
            <v>HUANCAVELICACASTROVIRREYNAMOLLEPAMPA</v>
          </cell>
          <cell r="B839" t="str">
            <v>09</v>
          </cell>
          <cell r="C839" t="str">
            <v>04</v>
          </cell>
          <cell r="D839" t="str">
            <v>09</v>
          </cell>
          <cell r="E839" t="str">
            <v>HUANCAVELICA</v>
          </cell>
          <cell r="F839" t="str">
            <v>CASTROVIRREYNA</v>
          </cell>
          <cell r="G839" t="str">
            <v>MOLLEPAMPA</v>
          </cell>
          <cell r="H839" t="str">
            <v>010876</v>
          </cell>
          <cell r="I839" t="str">
            <v>2</v>
          </cell>
        </row>
        <row r="840">
          <cell r="A840" t="str">
            <v>HUANCAVELICACASTROVIRREYNASAN JUAN</v>
          </cell>
          <cell r="B840" t="str">
            <v>09</v>
          </cell>
          <cell r="C840" t="str">
            <v>04</v>
          </cell>
          <cell r="D840" t="str">
            <v>10</v>
          </cell>
          <cell r="E840" t="str">
            <v>HUANCAVELICA</v>
          </cell>
          <cell r="F840" t="str">
            <v>CASTROVIRREYNA</v>
          </cell>
          <cell r="G840" t="str">
            <v>SAN JUAN</v>
          </cell>
          <cell r="H840" t="str">
            <v>012604</v>
          </cell>
          <cell r="I840" t="str">
            <v>2</v>
          </cell>
        </row>
        <row r="841">
          <cell r="A841" t="str">
            <v>HUANCAVELICACASTROVIRREYNASANTA ANA</v>
          </cell>
          <cell r="B841" t="str">
            <v>09</v>
          </cell>
          <cell r="C841" t="str">
            <v>04</v>
          </cell>
          <cell r="D841" t="str">
            <v>11</v>
          </cell>
          <cell r="E841" t="str">
            <v>HUANCAVELICA</v>
          </cell>
          <cell r="F841" t="str">
            <v>CASTROVIRREYNA</v>
          </cell>
          <cell r="G841" t="str">
            <v>SANTA ANA</v>
          </cell>
          <cell r="H841" t="str">
            <v>010877</v>
          </cell>
          <cell r="I841" t="str">
            <v>2</v>
          </cell>
        </row>
        <row r="842">
          <cell r="A842" t="str">
            <v>HUANCAVELICACASTROVIRREYNATANTARA</v>
          </cell>
          <cell r="B842" t="str">
            <v>09</v>
          </cell>
          <cell r="C842" t="str">
            <v>04</v>
          </cell>
          <cell r="D842" t="str">
            <v>12</v>
          </cell>
          <cell r="E842" t="str">
            <v>HUANCAVELICA</v>
          </cell>
          <cell r="F842" t="str">
            <v>CASTROVIRREYNA</v>
          </cell>
          <cell r="G842" t="str">
            <v>TANTARA</v>
          </cell>
          <cell r="H842" t="str">
            <v>010885</v>
          </cell>
          <cell r="I842" t="str">
            <v>2</v>
          </cell>
        </row>
        <row r="843">
          <cell r="A843" t="str">
            <v>HUANCAVELICACASTROVIRREYNATICRAPO</v>
          </cell>
          <cell r="B843" t="str">
            <v>09</v>
          </cell>
          <cell r="C843" t="str">
            <v>04</v>
          </cell>
          <cell r="D843" t="str">
            <v>13</v>
          </cell>
          <cell r="E843" t="str">
            <v>HUANCAVELICA</v>
          </cell>
          <cell r="F843" t="str">
            <v>CASTROVIRREYNA</v>
          </cell>
          <cell r="G843" t="str">
            <v>TICRAPO</v>
          </cell>
          <cell r="H843" t="str">
            <v>010878</v>
          </cell>
          <cell r="I843" t="str">
            <v>2</v>
          </cell>
        </row>
        <row r="844">
          <cell r="A844" t="str">
            <v>HUANCAVELICACHURCAMPACHURCAMPA</v>
          </cell>
          <cell r="B844" t="str">
            <v>09</v>
          </cell>
          <cell r="C844" t="str">
            <v>05</v>
          </cell>
          <cell r="D844" t="str">
            <v>01</v>
          </cell>
          <cell r="E844" t="str">
            <v>HUANCAVELICA</v>
          </cell>
          <cell r="F844" t="str">
            <v>CHURCAMPA</v>
          </cell>
          <cell r="G844" t="str">
            <v>CHURCAMPA</v>
          </cell>
          <cell r="H844" t="str">
            <v>010831</v>
          </cell>
          <cell r="I844" t="str">
            <v>1</v>
          </cell>
        </row>
        <row r="845">
          <cell r="A845" t="str">
            <v>HUANCAVELICACHURCAMPAANCO</v>
          </cell>
          <cell r="B845" t="str">
            <v>09</v>
          </cell>
          <cell r="C845" t="str">
            <v>05</v>
          </cell>
          <cell r="D845" t="str">
            <v>02</v>
          </cell>
          <cell r="E845" t="str">
            <v>HUANCAVELICA</v>
          </cell>
          <cell r="F845" t="str">
            <v>CHURCAMPA</v>
          </cell>
          <cell r="G845" t="str">
            <v>ANCO</v>
          </cell>
          <cell r="H845" t="str">
            <v>010832</v>
          </cell>
          <cell r="I845" t="str">
            <v>2</v>
          </cell>
        </row>
        <row r="846">
          <cell r="A846" t="str">
            <v>HUANCAVELICACHURCAMPACHINCHIHUASI</v>
          </cell>
          <cell r="B846" t="str">
            <v>09</v>
          </cell>
          <cell r="C846" t="str">
            <v>05</v>
          </cell>
          <cell r="D846" t="str">
            <v>03</v>
          </cell>
          <cell r="E846" t="str">
            <v>HUANCAVELICA</v>
          </cell>
          <cell r="F846" t="str">
            <v>CHURCAMPA</v>
          </cell>
          <cell r="G846" t="str">
            <v>CHINCHIHUASI</v>
          </cell>
          <cell r="H846" t="str">
            <v>010833</v>
          </cell>
          <cell r="I846" t="str">
            <v>2</v>
          </cell>
        </row>
        <row r="847">
          <cell r="A847" t="str">
            <v>HUANCAVELICACHURCAMPAEL CARMEN</v>
          </cell>
          <cell r="B847" t="str">
            <v>09</v>
          </cell>
          <cell r="C847" t="str">
            <v>05</v>
          </cell>
          <cell r="D847" t="str">
            <v>04</v>
          </cell>
          <cell r="E847" t="str">
            <v>HUANCAVELICA</v>
          </cell>
          <cell r="F847" t="str">
            <v>CHURCAMPA</v>
          </cell>
          <cell r="G847" t="str">
            <v>EL CARMEN</v>
          </cell>
          <cell r="H847" t="str">
            <v>010834</v>
          </cell>
          <cell r="I847" t="str">
            <v>2</v>
          </cell>
        </row>
        <row r="848">
          <cell r="A848" t="str">
            <v>HUANCAVELICACHURCAMPALA MERCED</v>
          </cell>
          <cell r="B848" t="str">
            <v>09</v>
          </cell>
          <cell r="C848" t="str">
            <v>05</v>
          </cell>
          <cell r="D848" t="str">
            <v>05</v>
          </cell>
          <cell r="E848" t="str">
            <v>HUANCAVELICA</v>
          </cell>
          <cell r="F848" t="str">
            <v>CHURCAMPA</v>
          </cell>
          <cell r="G848" t="str">
            <v>LA MERCED</v>
          </cell>
          <cell r="H848" t="str">
            <v>010835</v>
          </cell>
          <cell r="I848" t="str">
            <v>2</v>
          </cell>
        </row>
        <row r="849">
          <cell r="A849" t="str">
            <v>HUANCAVELICACHURCAMPALOCROJA</v>
          </cell>
          <cell r="B849" t="str">
            <v>09</v>
          </cell>
          <cell r="C849" t="str">
            <v>05</v>
          </cell>
          <cell r="D849" t="str">
            <v>06</v>
          </cell>
          <cell r="E849" t="str">
            <v>HUANCAVELICA</v>
          </cell>
          <cell r="F849" t="str">
            <v>CHURCAMPA</v>
          </cell>
          <cell r="G849" t="str">
            <v>LOCROJA</v>
          </cell>
          <cell r="H849" t="str">
            <v>010836</v>
          </cell>
          <cell r="I849" t="str">
            <v>2</v>
          </cell>
        </row>
        <row r="850">
          <cell r="A850" t="str">
            <v>HUANCAVELICACHURCAMPAPAUCARBAMBA</v>
          </cell>
          <cell r="B850" t="str">
            <v>09</v>
          </cell>
          <cell r="C850" t="str">
            <v>05</v>
          </cell>
          <cell r="D850" t="str">
            <v>07</v>
          </cell>
          <cell r="E850" t="str">
            <v>HUANCAVELICA</v>
          </cell>
          <cell r="F850" t="str">
            <v>CHURCAMPA</v>
          </cell>
          <cell r="G850" t="str">
            <v>PAUCARBAMBA</v>
          </cell>
          <cell r="H850" t="str">
            <v>010837</v>
          </cell>
          <cell r="I850" t="str">
            <v>2</v>
          </cell>
        </row>
        <row r="851">
          <cell r="A851" t="str">
            <v>HUANCAVELICACHURCAMPASAN MIGUEL DE MAYOCC</v>
          </cell>
          <cell r="B851" t="str">
            <v>09</v>
          </cell>
          <cell r="C851" t="str">
            <v>05</v>
          </cell>
          <cell r="D851" t="str">
            <v>08</v>
          </cell>
          <cell r="E851" t="str">
            <v>HUANCAVELICA</v>
          </cell>
          <cell r="F851" t="str">
            <v>CHURCAMPA</v>
          </cell>
          <cell r="G851" t="str">
            <v>SAN MIGUEL DE MAYOCC</v>
          </cell>
          <cell r="H851" t="str">
            <v>010838</v>
          </cell>
          <cell r="I851" t="str">
            <v>2</v>
          </cell>
        </row>
        <row r="852">
          <cell r="A852" t="str">
            <v>HUANCAVELICACHURCAMPASAN PEDRO DE CORIS</v>
          </cell>
          <cell r="B852" t="str">
            <v>09</v>
          </cell>
          <cell r="C852" t="str">
            <v>05</v>
          </cell>
          <cell r="D852" t="str">
            <v>09</v>
          </cell>
          <cell r="E852" t="str">
            <v>HUANCAVELICA</v>
          </cell>
          <cell r="F852" t="str">
            <v>CHURCAMPA</v>
          </cell>
          <cell r="G852" t="str">
            <v>SAN PEDRO DE CORIS</v>
          </cell>
          <cell r="H852" t="str">
            <v>010839</v>
          </cell>
          <cell r="I852" t="str">
            <v>2</v>
          </cell>
        </row>
        <row r="853">
          <cell r="A853" t="str">
            <v>HUANCAVELICACHURCAMPAPACHAMARCA</v>
          </cell>
          <cell r="B853" t="str">
            <v>09</v>
          </cell>
          <cell r="C853" t="str">
            <v>05</v>
          </cell>
          <cell r="D853" t="str">
            <v>10</v>
          </cell>
          <cell r="E853" t="str">
            <v>HUANCAVELICA</v>
          </cell>
          <cell r="F853" t="str">
            <v>CHURCAMPA</v>
          </cell>
          <cell r="G853" t="str">
            <v>PACHAMARCA</v>
          </cell>
          <cell r="H853" t="str">
            <v>010840</v>
          </cell>
          <cell r="I853" t="str">
            <v>2</v>
          </cell>
        </row>
        <row r="854">
          <cell r="A854" t="str">
            <v>HUANCAVELICAHUAYTARAHUAYTARA</v>
          </cell>
          <cell r="B854" t="str">
            <v>09</v>
          </cell>
          <cell r="C854" t="str">
            <v>06</v>
          </cell>
          <cell r="D854" t="str">
            <v>01</v>
          </cell>
          <cell r="E854" t="str">
            <v>HUANCAVELICA</v>
          </cell>
          <cell r="F854" t="str">
            <v>HUAYTARA</v>
          </cell>
          <cell r="G854" t="str">
            <v>HUAYTARA</v>
          </cell>
          <cell r="H854" t="str">
            <v>010857</v>
          </cell>
          <cell r="I854" t="str">
            <v>1</v>
          </cell>
        </row>
        <row r="855">
          <cell r="A855" t="str">
            <v>HUANCAVELICAHUAYTARAAYAVI</v>
          </cell>
          <cell r="B855" t="str">
            <v>09</v>
          </cell>
          <cell r="C855" t="str">
            <v>06</v>
          </cell>
          <cell r="D855" t="str">
            <v>02</v>
          </cell>
          <cell r="E855" t="str">
            <v>HUANCAVELICA</v>
          </cell>
          <cell r="F855" t="str">
            <v>HUAYTARA</v>
          </cell>
          <cell r="G855" t="str">
            <v>AYAVI</v>
          </cell>
          <cell r="H855" t="str">
            <v>010858</v>
          </cell>
          <cell r="I855" t="str">
            <v>2</v>
          </cell>
        </row>
        <row r="856">
          <cell r="A856" t="str">
            <v>HUANCAVELICAHUAYTARACORDOVA</v>
          </cell>
          <cell r="B856" t="str">
            <v>09</v>
          </cell>
          <cell r="C856" t="str">
            <v>06</v>
          </cell>
          <cell r="D856" t="str">
            <v>03</v>
          </cell>
          <cell r="E856" t="str">
            <v>HUANCAVELICA</v>
          </cell>
          <cell r="F856" t="str">
            <v>HUAYTARA</v>
          </cell>
          <cell r="G856" t="str">
            <v>CORDOVA</v>
          </cell>
          <cell r="H856" t="str">
            <v>010864</v>
          </cell>
          <cell r="I856" t="str">
            <v>2</v>
          </cell>
        </row>
        <row r="857">
          <cell r="A857" t="str">
            <v>HUANCAVELICAHUAYTARAHUAYACUNDO ARMA</v>
          </cell>
          <cell r="B857" t="str">
            <v>09</v>
          </cell>
          <cell r="C857" t="str">
            <v>06</v>
          </cell>
          <cell r="D857" t="str">
            <v>04</v>
          </cell>
          <cell r="E857" t="str">
            <v>HUANCAVELICA</v>
          </cell>
          <cell r="F857" t="str">
            <v>HUAYTARA</v>
          </cell>
          <cell r="G857" t="str">
            <v>HUAYACUNDO ARMA</v>
          </cell>
          <cell r="H857" t="str">
            <v>010859</v>
          </cell>
          <cell r="I857" t="str">
            <v>2</v>
          </cell>
        </row>
        <row r="858">
          <cell r="A858" t="str">
            <v>HUANCAVELICAHUAYTARALARAMARCA</v>
          </cell>
          <cell r="B858" t="str">
            <v>09</v>
          </cell>
          <cell r="C858" t="str">
            <v>06</v>
          </cell>
          <cell r="D858" t="str">
            <v>05</v>
          </cell>
          <cell r="E858" t="str">
            <v>HUANCAVELICA</v>
          </cell>
          <cell r="F858" t="str">
            <v>HUAYTARA</v>
          </cell>
          <cell r="G858" t="str">
            <v>LARAMARCA</v>
          </cell>
          <cell r="H858" t="str">
            <v>010865</v>
          </cell>
          <cell r="I858" t="str">
            <v>2</v>
          </cell>
        </row>
        <row r="859">
          <cell r="A859" t="str">
            <v>HUANCAVELICAHUAYTARAOCOYO</v>
          </cell>
          <cell r="B859" t="str">
            <v>09</v>
          </cell>
          <cell r="C859" t="str">
            <v>06</v>
          </cell>
          <cell r="D859" t="str">
            <v>06</v>
          </cell>
          <cell r="E859" t="str">
            <v>HUANCAVELICA</v>
          </cell>
          <cell r="F859" t="str">
            <v>HUAYTARA</v>
          </cell>
          <cell r="G859" t="str">
            <v>OCOYO</v>
          </cell>
          <cell r="H859" t="str">
            <v>010866</v>
          </cell>
          <cell r="I859" t="str">
            <v>2</v>
          </cell>
        </row>
        <row r="860">
          <cell r="A860" t="str">
            <v>HUANCAVELICAHUAYTARAPILPICHACA</v>
          </cell>
          <cell r="B860" t="str">
            <v>09</v>
          </cell>
          <cell r="C860" t="str">
            <v>06</v>
          </cell>
          <cell r="D860" t="str">
            <v>07</v>
          </cell>
          <cell r="E860" t="str">
            <v>HUANCAVELICA</v>
          </cell>
          <cell r="F860" t="str">
            <v>HUAYTARA</v>
          </cell>
          <cell r="G860" t="str">
            <v>PILPICHACA</v>
          </cell>
          <cell r="H860" t="str">
            <v>012087</v>
          </cell>
          <cell r="I860" t="str">
            <v>2</v>
          </cell>
        </row>
        <row r="861">
          <cell r="A861" t="str">
            <v>HUANCAVELICAHUAYTARAQUERCO</v>
          </cell>
          <cell r="B861" t="str">
            <v>09</v>
          </cell>
          <cell r="C861" t="str">
            <v>06</v>
          </cell>
          <cell r="D861" t="str">
            <v>08</v>
          </cell>
          <cell r="E861" t="str">
            <v>HUANCAVELICA</v>
          </cell>
          <cell r="F861" t="str">
            <v>HUAYTARA</v>
          </cell>
          <cell r="G861" t="str">
            <v>QUERCO</v>
          </cell>
          <cell r="H861" t="str">
            <v>010867</v>
          </cell>
          <cell r="I861" t="str">
            <v>2</v>
          </cell>
        </row>
        <row r="862">
          <cell r="A862" t="str">
            <v>HUANCAVELICAHUAYTARAQUITO-ARMA</v>
          </cell>
          <cell r="B862" t="str">
            <v>09</v>
          </cell>
          <cell r="C862" t="str">
            <v>06</v>
          </cell>
          <cell r="D862" t="str">
            <v>09</v>
          </cell>
          <cell r="E862" t="str">
            <v>HUANCAVELICA</v>
          </cell>
          <cell r="F862" t="str">
            <v>HUAYTARA</v>
          </cell>
          <cell r="G862" t="str">
            <v>QUITO-ARMA</v>
          </cell>
          <cell r="H862" t="str">
            <v>010861</v>
          </cell>
          <cell r="I862" t="str">
            <v>2</v>
          </cell>
        </row>
        <row r="863">
          <cell r="A863" t="str">
            <v>HUANCAVELICAHUAYTARASAN ANTONIO DE CUSICANCHA</v>
          </cell>
          <cell r="B863" t="str">
            <v>09</v>
          </cell>
          <cell r="C863" t="str">
            <v>06</v>
          </cell>
          <cell r="D863" t="str">
            <v>10</v>
          </cell>
          <cell r="E863" t="str">
            <v>HUANCAVELICA</v>
          </cell>
          <cell r="F863" t="str">
            <v>HUAYTARA</v>
          </cell>
          <cell r="G863" t="str">
            <v>SAN ANTONIO DE CUSICANCHA</v>
          </cell>
          <cell r="H863" t="str">
            <v>010862</v>
          </cell>
          <cell r="I863" t="str">
            <v>2</v>
          </cell>
        </row>
        <row r="864">
          <cell r="A864" t="str">
            <v>HUANCAVELICAHUAYTARASAN FRANCISCO DE SANGAYAICO</v>
          </cell>
          <cell r="B864" t="str">
            <v>09</v>
          </cell>
          <cell r="C864" t="str">
            <v>06</v>
          </cell>
          <cell r="D864" t="str">
            <v>11</v>
          </cell>
          <cell r="E864" t="str">
            <v>HUANCAVELICA</v>
          </cell>
          <cell r="F864" t="str">
            <v>HUAYTARA</v>
          </cell>
          <cell r="G864" t="str">
            <v>SAN FRANCISCO DE SANGAYAICO</v>
          </cell>
          <cell r="H864" t="str">
            <v>012086</v>
          </cell>
          <cell r="I864" t="str">
            <v>2</v>
          </cell>
        </row>
        <row r="865">
          <cell r="A865" t="str">
            <v>HUANCAVELICAHUAYTARASAN ISIDRO</v>
          </cell>
          <cell r="B865" t="str">
            <v>09</v>
          </cell>
          <cell r="C865" t="str">
            <v>06</v>
          </cell>
          <cell r="D865" t="str">
            <v>12</v>
          </cell>
          <cell r="E865" t="str">
            <v>HUANCAVELICA</v>
          </cell>
          <cell r="F865" t="str">
            <v>HUAYTARA</v>
          </cell>
          <cell r="G865" t="str">
            <v>SAN ISIDRO</v>
          </cell>
          <cell r="H865" t="str">
            <v>012083</v>
          </cell>
          <cell r="I865" t="str">
            <v>2</v>
          </cell>
        </row>
        <row r="866">
          <cell r="A866" t="str">
            <v>HUANCAVELICAHUAYTARASANTIAGO DE CHOCORVOS</v>
          </cell>
          <cell r="B866" t="str">
            <v>09</v>
          </cell>
          <cell r="C866" t="str">
            <v>06</v>
          </cell>
          <cell r="D866" t="str">
            <v>13</v>
          </cell>
          <cell r="E866" t="str">
            <v>HUANCAVELICA</v>
          </cell>
          <cell r="F866" t="str">
            <v>HUAYTARA</v>
          </cell>
          <cell r="G866" t="str">
            <v>SANTIAGO DE CHOCORVOS</v>
          </cell>
          <cell r="H866" t="str">
            <v>010870</v>
          </cell>
          <cell r="I866" t="str">
            <v>2</v>
          </cell>
        </row>
        <row r="867">
          <cell r="A867" t="str">
            <v>HUANCAVELICAHUAYTARASANTIAGO DE QUIRAHUARA</v>
          </cell>
          <cell r="B867" t="str">
            <v>09</v>
          </cell>
          <cell r="C867" t="str">
            <v>06</v>
          </cell>
          <cell r="D867" t="str">
            <v>14</v>
          </cell>
          <cell r="E867" t="str">
            <v>HUANCAVELICA</v>
          </cell>
          <cell r="F867" t="str">
            <v>HUAYTARA</v>
          </cell>
          <cell r="G867" t="str">
            <v>SANTIAGO DE QUIRAHUARA</v>
          </cell>
          <cell r="H867" t="str">
            <v>012612</v>
          </cell>
          <cell r="I867" t="str">
            <v>2</v>
          </cell>
        </row>
        <row r="868">
          <cell r="A868" t="str">
            <v>HUANCAVELICAHUAYTARASANTO DOMINGO DE CAPILLAS</v>
          </cell>
          <cell r="B868" t="str">
            <v>09</v>
          </cell>
          <cell r="C868" t="str">
            <v>06</v>
          </cell>
          <cell r="D868" t="str">
            <v>15</v>
          </cell>
          <cell r="E868" t="str">
            <v>HUANCAVELICA</v>
          </cell>
          <cell r="F868" t="str">
            <v>HUAYTARA</v>
          </cell>
          <cell r="G868" t="str">
            <v>SANTO DOMINGO DE CAPILLAS</v>
          </cell>
          <cell r="H868" t="str">
            <v>012085</v>
          </cell>
          <cell r="I868" t="str">
            <v>2</v>
          </cell>
        </row>
        <row r="869">
          <cell r="A869" t="str">
            <v>HUANCAVELICAHUAYTARATAMBO</v>
          </cell>
          <cell r="B869" t="str">
            <v>09</v>
          </cell>
          <cell r="C869" t="str">
            <v>06</v>
          </cell>
          <cell r="D869" t="str">
            <v>16</v>
          </cell>
          <cell r="E869" t="str">
            <v>HUANCAVELICA</v>
          </cell>
          <cell r="F869" t="str">
            <v>HUAYTARA</v>
          </cell>
          <cell r="G869" t="str">
            <v>TAMBO</v>
          </cell>
          <cell r="H869" t="str">
            <v>012609</v>
          </cell>
          <cell r="I869" t="str">
            <v>2</v>
          </cell>
        </row>
        <row r="870">
          <cell r="A870" t="str">
            <v>HUANCAVELICATAYACAJAPAMPAS</v>
          </cell>
          <cell r="B870" t="str">
            <v>09</v>
          </cell>
          <cell r="C870" t="str">
            <v>07</v>
          </cell>
          <cell r="D870" t="str">
            <v>01</v>
          </cell>
          <cell r="E870" t="str">
            <v>HUANCAVELICA</v>
          </cell>
          <cell r="F870" t="str">
            <v>TAYACAJA</v>
          </cell>
          <cell r="G870" t="str">
            <v>PAMPAS</v>
          </cell>
          <cell r="H870" t="str">
            <v>010841</v>
          </cell>
          <cell r="I870" t="str">
            <v>1</v>
          </cell>
        </row>
        <row r="871">
          <cell r="A871" t="str">
            <v>HUANCAVELICATAYACAJAACOSTAMBO</v>
          </cell>
          <cell r="B871" t="str">
            <v>09</v>
          </cell>
          <cell r="C871" t="str">
            <v>07</v>
          </cell>
          <cell r="D871" t="str">
            <v>02</v>
          </cell>
          <cell r="E871" t="str">
            <v>HUANCAVELICA</v>
          </cell>
          <cell r="F871" t="str">
            <v>TAYACAJA</v>
          </cell>
          <cell r="G871" t="str">
            <v>ACOSTAMBO</v>
          </cell>
          <cell r="H871" t="str">
            <v>010848</v>
          </cell>
          <cell r="I871" t="str">
            <v>2</v>
          </cell>
        </row>
        <row r="872">
          <cell r="A872" t="str">
            <v>HUANCAVELICATAYACAJAACRAQUIA</v>
          </cell>
          <cell r="B872" t="str">
            <v>09</v>
          </cell>
          <cell r="C872" t="str">
            <v>07</v>
          </cell>
          <cell r="D872" t="str">
            <v>03</v>
          </cell>
          <cell r="E872" t="str">
            <v>HUANCAVELICA</v>
          </cell>
          <cell r="F872" t="str">
            <v>TAYACAJA</v>
          </cell>
          <cell r="G872" t="str">
            <v>ACRAQUIA</v>
          </cell>
          <cell r="H872" t="str">
            <v>010842</v>
          </cell>
          <cell r="I872" t="str">
            <v>2</v>
          </cell>
        </row>
        <row r="873">
          <cell r="A873" t="str">
            <v>HUANCAVELICATAYACAJAAHUAYCHA</v>
          </cell>
          <cell r="B873" t="str">
            <v>09</v>
          </cell>
          <cell r="C873" t="str">
            <v>07</v>
          </cell>
          <cell r="D873" t="str">
            <v>04</v>
          </cell>
          <cell r="E873" t="str">
            <v>HUANCAVELICA</v>
          </cell>
          <cell r="F873" t="str">
            <v>TAYACAJA</v>
          </cell>
          <cell r="G873" t="str">
            <v>AHUAYCHA</v>
          </cell>
          <cell r="H873" t="str">
            <v>010843</v>
          </cell>
          <cell r="I873" t="str">
            <v>2</v>
          </cell>
        </row>
        <row r="874">
          <cell r="A874" t="str">
            <v>HUANCAVELICATAYACAJACOLCABAMBA</v>
          </cell>
          <cell r="B874" t="str">
            <v>09</v>
          </cell>
          <cell r="C874" t="str">
            <v>07</v>
          </cell>
          <cell r="D874" t="str">
            <v>05</v>
          </cell>
          <cell r="E874" t="str">
            <v>HUANCAVELICA</v>
          </cell>
          <cell r="F874" t="str">
            <v>TAYACAJA</v>
          </cell>
          <cell r="G874" t="str">
            <v>COLCABAMBA</v>
          </cell>
          <cell r="H874" t="str">
            <v>010844</v>
          </cell>
          <cell r="I874" t="str">
            <v>2</v>
          </cell>
        </row>
        <row r="875">
          <cell r="A875" t="str">
            <v>HUANCAVELICATAYACAJADANIEL HERNANDEZ</v>
          </cell>
          <cell r="B875" t="str">
            <v>09</v>
          </cell>
          <cell r="C875" t="str">
            <v>07</v>
          </cell>
          <cell r="D875" t="str">
            <v>06</v>
          </cell>
          <cell r="E875" t="str">
            <v>HUANCAVELICA</v>
          </cell>
          <cell r="F875" t="str">
            <v>TAYACAJA</v>
          </cell>
          <cell r="G875" t="str">
            <v>DANIEL HERNANDEZ</v>
          </cell>
          <cell r="H875" t="str">
            <v>010845</v>
          </cell>
          <cell r="I875" t="str">
            <v>2</v>
          </cell>
        </row>
        <row r="876">
          <cell r="A876" t="str">
            <v>HUANCAVELICATAYACAJAHUACHOCOLPA</v>
          </cell>
          <cell r="B876" t="str">
            <v>09</v>
          </cell>
          <cell r="C876" t="str">
            <v>07</v>
          </cell>
          <cell r="D876" t="str">
            <v>07</v>
          </cell>
          <cell r="E876" t="str">
            <v>HUANCAVELICA</v>
          </cell>
          <cell r="F876" t="str">
            <v>TAYACAJA</v>
          </cell>
          <cell r="G876" t="str">
            <v>HUACHOCOLPA</v>
          </cell>
          <cell r="H876" t="str">
            <v>010849</v>
          </cell>
          <cell r="I876" t="str">
            <v>2</v>
          </cell>
        </row>
        <row r="877">
          <cell r="A877" t="str">
            <v>HUANCAVELICATAYACAJAHUARIBAMBA</v>
          </cell>
          <cell r="B877" t="str">
            <v>09</v>
          </cell>
          <cell r="C877" t="str">
            <v>07</v>
          </cell>
          <cell r="D877" t="str">
            <v>09</v>
          </cell>
          <cell r="E877" t="str">
            <v>HUANCAVELICA</v>
          </cell>
          <cell r="F877" t="str">
            <v>TAYACAJA</v>
          </cell>
          <cell r="G877" t="str">
            <v>HUARIBAMBA</v>
          </cell>
          <cell r="H877" t="str">
            <v>010850</v>
          </cell>
          <cell r="I877" t="str">
            <v>2</v>
          </cell>
        </row>
        <row r="878">
          <cell r="A878" t="str">
            <v>HUANCAVELICATAYACAJAÑAHUIMPUQUIO</v>
          </cell>
          <cell r="B878" t="str">
            <v>09</v>
          </cell>
          <cell r="C878" t="str">
            <v>07</v>
          </cell>
          <cell r="D878" t="str">
            <v>10</v>
          </cell>
          <cell r="E878" t="str">
            <v>HUANCAVELICA</v>
          </cell>
          <cell r="F878" t="str">
            <v>TAYACAJA</v>
          </cell>
          <cell r="G878" t="str">
            <v>ÑAHUIMPUQUIO</v>
          </cell>
          <cell r="H878" t="str">
            <v>010851</v>
          </cell>
          <cell r="I878" t="str">
            <v>2</v>
          </cell>
        </row>
        <row r="879">
          <cell r="A879" t="str">
            <v>HUANCAVELICATAYACAJAPAZOS</v>
          </cell>
          <cell r="B879" t="str">
            <v>09</v>
          </cell>
          <cell r="C879" t="str">
            <v>07</v>
          </cell>
          <cell r="D879" t="str">
            <v>11</v>
          </cell>
          <cell r="E879" t="str">
            <v>HUANCAVELICA</v>
          </cell>
          <cell r="F879" t="str">
            <v>TAYACAJA</v>
          </cell>
          <cell r="G879" t="str">
            <v>PAZOS</v>
          </cell>
          <cell r="H879" t="str">
            <v>010852</v>
          </cell>
          <cell r="I879" t="str">
            <v>2</v>
          </cell>
        </row>
        <row r="880">
          <cell r="A880" t="str">
            <v>HUANCAVELICATAYACAJAQUISHUAR</v>
          </cell>
          <cell r="B880" t="str">
            <v>09</v>
          </cell>
          <cell r="C880" t="str">
            <v>07</v>
          </cell>
          <cell r="D880" t="str">
            <v>13</v>
          </cell>
          <cell r="E880" t="str">
            <v>HUANCAVELICA</v>
          </cell>
          <cell r="F880" t="str">
            <v>TAYACAJA</v>
          </cell>
          <cell r="G880" t="str">
            <v>QUISHUAR</v>
          </cell>
          <cell r="H880" t="str">
            <v>010846</v>
          </cell>
          <cell r="I880" t="str">
            <v>2</v>
          </cell>
        </row>
        <row r="881">
          <cell r="A881" t="str">
            <v>HUANCAVELICATAYACAJASALCABAMBA</v>
          </cell>
          <cell r="B881" t="str">
            <v>09</v>
          </cell>
          <cell r="C881" t="str">
            <v>07</v>
          </cell>
          <cell r="D881" t="str">
            <v>14</v>
          </cell>
          <cell r="E881" t="str">
            <v>HUANCAVELICA</v>
          </cell>
          <cell r="F881" t="str">
            <v>TAYACAJA</v>
          </cell>
          <cell r="G881" t="str">
            <v>SALCABAMBA</v>
          </cell>
          <cell r="H881" t="str">
            <v>010847</v>
          </cell>
          <cell r="I881" t="str">
            <v>2</v>
          </cell>
        </row>
        <row r="882">
          <cell r="A882" t="str">
            <v>HUANCAVELICATAYACAJASALCAHUASI</v>
          </cell>
          <cell r="B882" t="str">
            <v>09</v>
          </cell>
          <cell r="C882" t="str">
            <v>07</v>
          </cell>
          <cell r="D882" t="str">
            <v>15</v>
          </cell>
          <cell r="E882" t="str">
            <v>HUANCAVELICA</v>
          </cell>
          <cell r="F882" t="str">
            <v>TAYACAJA</v>
          </cell>
          <cell r="G882" t="str">
            <v>SALCAHUASI</v>
          </cell>
          <cell r="H882" t="str">
            <v>010853</v>
          </cell>
          <cell r="I882" t="str">
            <v>2</v>
          </cell>
        </row>
        <row r="883">
          <cell r="A883" t="str">
            <v>HUANCAVELICATAYACAJASAN MARCOS DE ROCCHAC</v>
          </cell>
          <cell r="B883" t="str">
            <v>09</v>
          </cell>
          <cell r="C883" t="str">
            <v>07</v>
          </cell>
          <cell r="D883" t="str">
            <v>16</v>
          </cell>
          <cell r="E883" t="str">
            <v>HUANCAVELICA</v>
          </cell>
          <cell r="F883" t="str">
            <v>TAYACAJA</v>
          </cell>
          <cell r="G883" t="str">
            <v>SAN MARCOS DE ROCCHAC</v>
          </cell>
          <cell r="H883" t="str">
            <v>012071</v>
          </cell>
          <cell r="I883" t="str">
            <v>2</v>
          </cell>
        </row>
        <row r="884">
          <cell r="A884" t="str">
            <v>HUANCAVELICATAYACAJASURCUBAMBA</v>
          </cell>
          <cell r="B884" t="str">
            <v>09</v>
          </cell>
          <cell r="C884" t="str">
            <v>07</v>
          </cell>
          <cell r="D884" t="str">
            <v>17</v>
          </cell>
          <cell r="E884" t="str">
            <v>HUANCAVELICA</v>
          </cell>
          <cell r="F884" t="str">
            <v>TAYACAJA</v>
          </cell>
          <cell r="G884" t="str">
            <v>SURCUBAMBA</v>
          </cell>
          <cell r="H884" t="str">
            <v>012079</v>
          </cell>
          <cell r="I884" t="str">
            <v>2</v>
          </cell>
        </row>
        <row r="885">
          <cell r="A885" t="str">
            <v>HUANCAVELICATAYACAJATINTAY PUNCU</v>
          </cell>
          <cell r="B885" t="str">
            <v>09</v>
          </cell>
          <cell r="C885" t="str">
            <v>07</v>
          </cell>
          <cell r="D885" t="str">
            <v>18</v>
          </cell>
          <cell r="E885" t="str">
            <v>HUANCAVELICA</v>
          </cell>
          <cell r="F885" t="str">
            <v>TAYACAJA</v>
          </cell>
          <cell r="G885" t="str">
            <v>TINTAY PUNCU</v>
          </cell>
          <cell r="H885" t="str">
            <v>010856</v>
          </cell>
          <cell r="I885" t="str">
            <v>2</v>
          </cell>
        </row>
        <row r="886">
          <cell r="A886" t="str">
            <v>HUANUCOHUANUCOHUANUCO</v>
          </cell>
          <cell r="B886" t="str">
            <v>10</v>
          </cell>
          <cell r="C886" t="str">
            <v>01</v>
          </cell>
          <cell r="D886" t="str">
            <v>01</v>
          </cell>
          <cell r="E886" t="str">
            <v>HUANUCO</v>
          </cell>
          <cell r="F886" t="str">
            <v>HUANUCO</v>
          </cell>
          <cell r="G886" t="str">
            <v>HUANUCO</v>
          </cell>
          <cell r="H886" t="str">
            <v>010886</v>
          </cell>
          <cell r="I886" t="str">
            <v>1</v>
          </cell>
        </row>
        <row r="887">
          <cell r="A887" t="str">
            <v>HUANUCOHUANUCOAMARILIS</v>
          </cell>
          <cell r="B887" t="str">
            <v>10</v>
          </cell>
          <cell r="C887" t="str">
            <v>01</v>
          </cell>
          <cell r="D887" t="str">
            <v>02</v>
          </cell>
          <cell r="E887" t="str">
            <v>HUANUCO</v>
          </cell>
          <cell r="F887" t="str">
            <v>HUANUCO</v>
          </cell>
          <cell r="G887" t="str">
            <v>AMARILIS</v>
          </cell>
          <cell r="H887" t="str">
            <v>010887</v>
          </cell>
          <cell r="I887" t="str">
            <v>2</v>
          </cell>
        </row>
        <row r="888">
          <cell r="A888" t="str">
            <v>HUANUCOHUANUCOCHINCHAO</v>
          </cell>
          <cell r="B888" t="str">
            <v>10</v>
          </cell>
          <cell r="C888" t="str">
            <v>01</v>
          </cell>
          <cell r="D888" t="str">
            <v>03</v>
          </cell>
          <cell r="E888" t="str">
            <v>HUANUCO</v>
          </cell>
          <cell r="F888" t="str">
            <v>HUANUCO</v>
          </cell>
          <cell r="G888" t="str">
            <v>CHINCHAO</v>
          </cell>
          <cell r="H888" t="str">
            <v>010891</v>
          </cell>
          <cell r="I888" t="str">
            <v>2</v>
          </cell>
        </row>
        <row r="889">
          <cell r="A889" t="str">
            <v>HUANUCOHUANUCOCHURUBAMBA</v>
          </cell>
          <cell r="B889" t="str">
            <v>10</v>
          </cell>
          <cell r="C889" t="str">
            <v>01</v>
          </cell>
          <cell r="D889" t="str">
            <v>04</v>
          </cell>
          <cell r="E889" t="str">
            <v>HUANUCO</v>
          </cell>
          <cell r="F889" t="str">
            <v>HUANUCO</v>
          </cell>
          <cell r="G889" t="str">
            <v>CHURUBAMBA</v>
          </cell>
          <cell r="H889" t="str">
            <v>012623</v>
          </cell>
          <cell r="I889" t="str">
            <v>2</v>
          </cell>
        </row>
        <row r="890">
          <cell r="A890" t="str">
            <v>HUANUCOHUANUCOMARGOS</v>
          </cell>
          <cell r="B890" t="str">
            <v>10</v>
          </cell>
          <cell r="C890" t="str">
            <v>01</v>
          </cell>
          <cell r="D890" t="str">
            <v>05</v>
          </cell>
          <cell r="E890" t="str">
            <v>HUANUCO</v>
          </cell>
          <cell r="F890" t="str">
            <v>HUANUCO</v>
          </cell>
          <cell r="G890" t="str">
            <v>MARGOS</v>
          </cell>
          <cell r="H890" t="str">
            <v>010893</v>
          </cell>
          <cell r="I890" t="str">
            <v>2</v>
          </cell>
        </row>
        <row r="891">
          <cell r="A891" t="str">
            <v>HUANUCOHUANUCOQUISQUI</v>
          </cell>
          <cell r="B891" t="str">
            <v>10</v>
          </cell>
          <cell r="C891" t="str">
            <v>01</v>
          </cell>
          <cell r="D891" t="str">
            <v>06</v>
          </cell>
          <cell r="E891" t="str">
            <v>HUANUCO</v>
          </cell>
          <cell r="F891" t="str">
            <v>HUANUCO</v>
          </cell>
          <cell r="G891" t="str">
            <v>QUISQUI</v>
          </cell>
          <cell r="H891" t="str">
            <v>010894</v>
          </cell>
          <cell r="I891" t="str">
            <v>2</v>
          </cell>
        </row>
        <row r="892">
          <cell r="A892" t="str">
            <v>HUANUCOHUANUCOSAN FRANCISCO DE CAYRAN</v>
          </cell>
          <cell r="B892" t="str">
            <v>10</v>
          </cell>
          <cell r="C892" t="str">
            <v>01</v>
          </cell>
          <cell r="D892" t="str">
            <v>07</v>
          </cell>
          <cell r="E892" t="str">
            <v>HUANUCO</v>
          </cell>
          <cell r="F892" t="str">
            <v>HUANUCO</v>
          </cell>
          <cell r="G892" t="str">
            <v>SAN FRANCISCO DE CAYRAN</v>
          </cell>
          <cell r="H892" t="str">
            <v>010888</v>
          </cell>
          <cell r="I892" t="str">
            <v>2</v>
          </cell>
        </row>
        <row r="893">
          <cell r="A893" t="str">
            <v>HUANUCOHUANUCOSAN PEDRO DE CHAULAN</v>
          </cell>
          <cell r="B893" t="str">
            <v>10</v>
          </cell>
          <cell r="C893" t="str">
            <v>01</v>
          </cell>
          <cell r="D893" t="str">
            <v>08</v>
          </cell>
          <cell r="E893" t="str">
            <v>HUANUCO</v>
          </cell>
          <cell r="F893" t="str">
            <v>HUANUCO</v>
          </cell>
          <cell r="G893" t="str">
            <v>SAN PEDRO DE CHAULAN</v>
          </cell>
          <cell r="H893" t="str">
            <v>010895</v>
          </cell>
          <cell r="I893" t="str">
            <v>2</v>
          </cell>
        </row>
        <row r="894">
          <cell r="A894" t="str">
            <v>HUANUCOHUANUCOSANTA MARIA DEL VALLE</v>
          </cell>
          <cell r="B894" t="str">
            <v>10</v>
          </cell>
          <cell r="C894" t="str">
            <v>01</v>
          </cell>
          <cell r="D894" t="str">
            <v>09</v>
          </cell>
          <cell r="E894" t="str">
            <v>HUANUCO</v>
          </cell>
          <cell r="F894" t="str">
            <v>HUANUCO</v>
          </cell>
          <cell r="G894" t="str">
            <v>SANTA MARIA DEL VALLE</v>
          </cell>
          <cell r="H894" t="str">
            <v>012828</v>
          </cell>
          <cell r="I894" t="str">
            <v>2</v>
          </cell>
        </row>
        <row r="895">
          <cell r="A895" t="str">
            <v>HUANUCOHUANUCOYARUMAYO</v>
          </cell>
          <cell r="B895" t="str">
            <v>10</v>
          </cell>
          <cell r="C895" t="str">
            <v>01</v>
          </cell>
          <cell r="D895" t="str">
            <v>10</v>
          </cell>
          <cell r="E895" t="str">
            <v>HUANUCO</v>
          </cell>
          <cell r="F895" t="str">
            <v>HUANUCO</v>
          </cell>
          <cell r="G895" t="str">
            <v>YARUMAYO</v>
          </cell>
          <cell r="H895" t="str">
            <v>010896</v>
          </cell>
          <cell r="I895" t="str">
            <v>2</v>
          </cell>
        </row>
        <row r="896">
          <cell r="A896" t="str">
            <v>HUANUCOHUANUCOPILLCO MARCA</v>
          </cell>
          <cell r="B896" t="str">
            <v>10</v>
          </cell>
          <cell r="C896" t="str">
            <v>01</v>
          </cell>
          <cell r="D896" t="str">
            <v>11</v>
          </cell>
          <cell r="E896" t="str">
            <v>HUANUCO</v>
          </cell>
          <cell r="F896" t="str">
            <v>HUANUCO</v>
          </cell>
          <cell r="G896" t="str">
            <v>PILLCO MARCA</v>
          </cell>
          <cell r="H896" t="str">
            <v>010890</v>
          </cell>
          <cell r="I896" t="str">
            <v>2</v>
          </cell>
        </row>
        <row r="897">
          <cell r="A897" t="str">
            <v>HUANUCOAMBOAMBO</v>
          </cell>
          <cell r="B897" t="str">
            <v>10</v>
          </cell>
          <cell r="C897" t="str">
            <v>02</v>
          </cell>
          <cell r="D897" t="str">
            <v>01</v>
          </cell>
          <cell r="E897" t="str">
            <v>HUANUCO</v>
          </cell>
          <cell r="F897" t="str">
            <v>AMBO</v>
          </cell>
          <cell r="G897" t="str">
            <v>AMBO</v>
          </cell>
          <cell r="H897" t="str">
            <v>010897</v>
          </cell>
          <cell r="I897" t="str">
            <v>1</v>
          </cell>
        </row>
        <row r="898">
          <cell r="A898" t="str">
            <v>HUANUCOAMBOCAYNA</v>
          </cell>
          <cell r="B898" t="str">
            <v>10</v>
          </cell>
          <cell r="C898" t="str">
            <v>02</v>
          </cell>
          <cell r="D898" t="str">
            <v>02</v>
          </cell>
          <cell r="E898" t="str">
            <v>HUANUCO</v>
          </cell>
          <cell r="F898" t="str">
            <v>AMBO</v>
          </cell>
          <cell r="G898" t="str">
            <v>CAYNA</v>
          </cell>
          <cell r="H898" t="str">
            <v>010898</v>
          </cell>
          <cell r="I898" t="str">
            <v>2</v>
          </cell>
        </row>
        <row r="899">
          <cell r="A899" t="str">
            <v>HUANUCOAMBOCOLPAS</v>
          </cell>
          <cell r="B899" t="str">
            <v>10</v>
          </cell>
          <cell r="C899" t="str">
            <v>02</v>
          </cell>
          <cell r="D899" t="str">
            <v>03</v>
          </cell>
          <cell r="E899" t="str">
            <v>HUANUCO</v>
          </cell>
          <cell r="F899" t="str">
            <v>AMBO</v>
          </cell>
          <cell r="G899" t="str">
            <v>COLPAS</v>
          </cell>
          <cell r="H899" t="str">
            <v>010899</v>
          </cell>
          <cell r="I899" t="str">
            <v>2</v>
          </cell>
        </row>
        <row r="900">
          <cell r="A900" t="str">
            <v>HUANUCOAMBOCONCHAMARCA</v>
          </cell>
          <cell r="B900" t="str">
            <v>10</v>
          </cell>
          <cell r="C900" t="str">
            <v>02</v>
          </cell>
          <cell r="D900" t="str">
            <v>04</v>
          </cell>
          <cell r="E900" t="str">
            <v>HUANUCO</v>
          </cell>
          <cell r="F900" t="str">
            <v>AMBO</v>
          </cell>
          <cell r="G900" t="str">
            <v>CONCHAMARCA</v>
          </cell>
          <cell r="H900" t="str">
            <v>010900</v>
          </cell>
          <cell r="I900" t="str">
            <v>2</v>
          </cell>
        </row>
        <row r="901">
          <cell r="A901" t="str">
            <v>HUANUCOAMBOHUACAR</v>
          </cell>
          <cell r="B901" t="str">
            <v>10</v>
          </cell>
          <cell r="C901" t="str">
            <v>02</v>
          </cell>
          <cell r="D901" t="str">
            <v>05</v>
          </cell>
          <cell r="E901" t="str">
            <v>HUANUCO</v>
          </cell>
          <cell r="F901" t="str">
            <v>AMBO</v>
          </cell>
          <cell r="G901" t="str">
            <v>HUACAR</v>
          </cell>
          <cell r="H901" t="str">
            <v>010901</v>
          </cell>
          <cell r="I901" t="str">
            <v>2</v>
          </cell>
        </row>
        <row r="902">
          <cell r="A902" t="str">
            <v>HUANUCOAMBOSAN FRANCISCO</v>
          </cell>
          <cell r="B902" t="str">
            <v>10</v>
          </cell>
          <cell r="C902" t="str">
            <v>02</v>
          </cell>
          <cell r="D902" t="str">
            <v>06</v>
          </cell>
          <cell r="E902" t="str">
            <v>HUANUCO</v>
          </cell>
          <cell r="F902" t="str">
            <v>AMBO</v>
          </cell>
          <cell r="G902" t="str">
            <v>SAN FRANCISCO</v>
          </cell>
          <cell r="H902" t="str">
            <v>010902</v>
          </cell>
          <cell r="I902" t="str">
            <v>2</v>
          </cell>
        </row>
        <row r="903">
          <cell r="A903" t="str">
            <v>HUANUCOAMBOSAN RAFAEL</v>
          </cell>
          <cell r="B903" t="str">
            <v>10</v>
          </cell>
          <cell r="C903" t="str">
            <v>02</v>
          </cell>
          <cell r="D903" t="str">
            <v>07</v>
          </cell>
          <cell r="E903" t="str">
            <v>HUANUCO</v>
          </cell>
          <cell r="F903" t="str">
            <v>AMBO</v>
          </cell>
          <cell r="G903" t="str">
            <v>SAN RAFAEL</v>
          </cell>
          <cell r="H903" t="str">
            <v>010903</v>
          </cell>
          <cell r="I903" t="str">
            <v>2</v>
          </cell>
        </row>
        <row r="904">
          <cell r="A904" t="str">
            <v>HUANUCOAMBOTOMAY KICHWA</v>
          </cell>
          <cell r="B904" t="str">
            <v>10</v>
          </cell>
          <cell r="C904" t="str">
            <v>02</v>
          </cell>
          <cell r="D904" t="str">
            <v>08</v>
          </cell>
          <cell r="E904" t="str">
            <v>HUANUCO</v>
          </cell>
          <cell r="F904" t="str">
            <v>AMBO</v>
          </cell>
          <cell r="G904" t="str">
            <v>TOMAY KICHWA</v>
          </cell>
          <cell r="H904" t="str">
            <v>010904</v>
          </cell>
          <cell r="I904" t="str">
            <v>2</v>
          </cell>
        </row>
        <row r="905">
          <cell r="A905" t="str">
            <v>HUANUCODOS DE MAYOLA UNION</v>
          </cell>
          <cell r="B905" t="str">
            <v>10</v>
          </cell>
          <cell r="C905" t="str">
            <v>03</v>
          </cell>
          <cell r="D905" t="str">
            <v>01</v>
          </cell>
          <cell r="E905" t="str">
            <v>HUANUCO</v>
          </cell>
          <cell r="F905" t="str">
            <v>DOS DE MAYO</v>
          </cell>
          <cell r="G905" t="str">
            <v>LA UNION</v>
          </cell>
          <cell r="H905" t="str">
            <v>010905</v>
          </cell>
          <cell r="I905" t="str">
            <v>1</v>
          </cell>
        </row>
        <row r="906">
          <cell r="A906" t="str">
            <v>HUANUCODOS DE MAYOCHUQUIS</v>
          </cell>
          <cell r="B906" t="str">
            <v>10</v>
          </cell>
          <cell r="C906" t="str">
            <v>03</v>
          </cell>
          <cell r="D906" t="str">
            <v>07</v>
          </cell>
          <cell r="E906" t="str">
            <v>HUANUCO</v>
          </cell>
          <cell r="F906" t="str">
            <v>DOS DE MAYO</v>
          </cell>
          <cell r="G906" t="str">
            <v>CHUQUIS</v>
          </cell>
          <cell r="H906" t="str">
            <v>012635</v>
          </cell>
          <cell r="I906" t="str">
            <v>2</v>
          </cell>
        </row>
        <row r="907">
          <cell r="A907" t="str">
            <v>HUANUCODOS DE MAYOMARIAS</v>
          </cell>
          <cell r="B907" t="str">
            <v>10</v>
          </cell>
          <cell r="C907" t="str">
            <v>03</v>
          </cell>
          <cell r="D907" t="str">
            <v>11</v>
          </cell>
          <cell r="E907" t="str">
            <v>HUANUCO</v>
          </cell>
          <cell r="F907" t="str">
            <v>DOS DE MAYO</v>
          </cell>
          <cell r="G907" t="str">
            <v>MARIAS</v>
          </cell>
          <cell r="H907" t="str">
            <v>010907</v>
          </cell>
          <cell r="I907" t="str">
            <v>2</v>
          </cell>
        </row>
        <row r="908">
          <cell r="A908" t="str">
            <v>HUANUCODOS DE MAYOPACHAS</v>
          </cell>
          <cell r="B908" t="str">
            <v>10</v>
          </cell>
          <cell r="C908" t="str">
            <v>03</v>
          </cell>
          <cell r="D908" t="str">
            <v>13</v>
          </cell>
          <cell r="E908" t="str">
            <v>HUANUCO</v>
          </cell>
          <cell r="F908" t="str">
            <v>DOS DE MAYO</v>
          </cell>
          <cell r="G908" t="str">
            <v>PACHAS</v>
          </cell>
          <cell r="H908" t="str">
            <v>010908</v>
          </cell>
          <cell r="I908" t="str">
            <v>2</v>
          </cell>
        </row>
        <row r="909">
          <cell r="A909" t="str">
            <v>HUANUCODOS DE MAYOQUIVILLA</v>
          </cell>
          <cell r="B909" t="str">
            <v>10</v>
          </cell>
          <cell r="C909" t="str">
            <v>03</v>
          </cell>
          <cell r="D909" t="str">
            <v>16</v>
          </cell>
          <cell r="E909" t="str">
            <v>HUANUCO</v>
          </cell>
          <cell r="F909" t="str">
            <v>DOS DE MAYO</v>
          </cell>
          <cell r="G909" t="str">
            <v>QUIVILLA</v>
          </cell>
          <cell r="H909" t="str">
            <v>010909</v>
          </cell>
          <cell r="I909" t="str">
            <v>2</v>
          </cell>
        </row>
        <row r="910">
          <cell r="A910" t="str">
            <v>HUANUCODOS DE MAYORIPAN</v>
          </cell>
          <cell r="B910" t="str">
            <v>10</v>
          </cell>
          <cell r="C910" t="str">
            <v>03</v>
          </cell>
          <cell r="D910" t="str">
            <v>17</v>
          </cell>
          <cell r="E910" t="str">
            <v>HUANUCO</v>
          </cell>
          <cell r="F910" t="str">
            <v>DOS DE MAYO</v>
          </cell>
          <cell r="G910" t="str">
            <v>RIPAN</v>
          </cell>
          <cell r="H910" t="str">
            <v>010910</v>
          </cell>
          <cell r="I910" t="str">
            <v>2</v>
          </cell>
        </row>
        <row r="911">
          <cell r="A911" t="str">
            <v>HUANUCODOS DE MAYOSHUNQUI</v>
          </cell>
          <cell r="B911" t="str">
            <v>10</v>
          </cell>
          <cell r="C911" t="str">
            <v>03</v>
          </cell>
          <cell r="D911" t="str">
            <v>21</v>
          </cell>
          <cell r="E911" t="str">
            <v>HUANUCO</v>
          </cell>
          <cell r="F911" t="str">
            <v>DOS DE MAYO</v>
          </cell>
          <cell r="G911" t="str">
            <v>SHUNQUI</v>
          </cell>
          <cell r="H911" t="str">
            <v>010911</v>
          </cell>
          <cell r="I911" t="str">
            <v>2</v>
          </cell>
        </row>
        <row r="912">
          <cell r="A912" t="str">
            <v>HUANUCODOS DE MAYOSILLAPATA</v>
          </cell>
          <cell r="B912" t="str">
            <v>10</v>
          </cell>
          <cell r="C912" t="str">
            <v>03</v>
          </cell>
          <cell r="D912" t="str">
            <v>22</v>
          </cell>
          <cell r="E912" t="str">
            <v>HUANUCO</v>
          </cell>
          <cell r="F912" t="str">
            <v>DOS DE MAYO</v>
          </cell>
          <cell r="G912" t="str">
            <v>SILLAPATA</v>
          </cell>
          <cell r="H912" t="str">
            <v>010912</v>
          </cell>
          <cell r="I912" t="str">
            <v>2</v>
          </cell>
        </row>
        <row r="913">
          <cell r="A913" t="str">
            <v>HUANUCODOS DE MAYOYANAS</v>
          </cell>
          <cell r="B913" t="str">
            <v>10</v>
          </cell>
          <cell r="C913" t="str">
            <v>03</v>
          </cell>
          <cell r="D913" t="str">
            <v>23</v>
          </cell>
          <cell r="E913" t="str">
            <v>HUANUCO</v>
          </cell>
          <cell r="F913" t="str">
            <v>DOS DE MAYO</v>
          </cell>
          <cell r="G913" t="str">
            <v>YANAS</v>
          </cell>
          <cell r="H913" t="str">
            <v>012622</v>
          </cell>
          <cell r="I913" t="str">
            <v>2</v>
          </cell>
        </row>
        <row r="914">
          <cell r="A914" t="str">
            <v>HUANUCOHUACAYBAMBAHUACAYBAMBA</v>
          </cell>
          <cell r="B914" t="str">
            <v>10</v>
          </cell>
          <cell r="C914" t="str">
            <v>04</v>
          </cell>
          <cell r="D914" t="str">
            <v>01</v>
          </cell>
          <cell r="E914" t="str">
            <v>HUANUCO</v>
          </cell>
          <cell r="F914" t="str">
            <v>HUACAYBAMBA</v>
          </cell>
          <cell r="G914" t="str">
            <v>HUACAYBAMBA</v>
          </cell>
          <cell r="H914" t="str">
            <v>010914</v>
          </cell>
          <cell r="I914" t="str">
            <v>1</v>
          </cell>
        </row>
        <row r="915">
          <cell r="A915" t="str">
            <v>HUANUCOHUACAYBAMBACANCHABAMBA</v>
          </cell>
          <cell r="B915" t="str">
            <v>10</v>
          </cell>
          <cell r="C915" t="str">
            <v>04</v>
          </cell>
          <cell r="D915" t="str">
            <v>02</v>
          </cell>
          <cell r="E915" t="str">
            <v>HUANUCO</v>
          </cell>
          <cell r="F915" t="str">
            <v>HUACAYBAMBA</v>
          </cell>
          <cell r="G915" t="str">
            <v>CANCHABAMBA</v>
          </cell>
          <cell r="H915" t="str">
            <v>010915</v>
          </cell>
          <cell r="I915" t="str">
            <v>2</v>
          </cell>
        </row>
        <row r="916">
          <cell r="A916" t="str">
            <v>HUANUCOHUACAYBAMBACOCHABAMBA</v>
          </cell>
          <cell r="B916" t="str">
            <v>10</v>
          </cell>
          <cell r="C916" t="str">
            <v>04</v>
          </cell>
          <cell r="D916" t="str">
            <v>03</v>
          </cell>
          <cell r="E916" t="str">
            <v>HUANUCO</v>
          </cell>
          <cell r="F916" t="str">
            <v>HUACAYBAMBA</v>
          </cell>
          <cell r="G916" t="str">
            <v>COCHABAMBA</v>
          </cell>
          <cell r="H916" t="str">
            <v>010916</v>
          </cell>
          <cell r="I916" t="str">
            <v>2</v>
          </cell>
        </row>
        <row r="917">
          <cell r="A917" t="str">
            <v>HUANUCOHUACAYBAMBAPINRA</v>
          </cell>
          <cell r="B917" t="str">
            <v>10</v>
          </cell>
          <cell r="C917" t="str">
            <v>04</v>
          </cell>
          <cell r="D917" t="str">
            <v>04</v>
          </cell>
          <cell r="E917" t="str">
            <v>HUANUCO</v>
          </cell>
          <cell r="F917" t="str">
            <v>HUACAYBAMBA</v>
          </cell>
          <cell r="G917" t="str">
            <v>PINRA</v>
          </cell>
          <cell r="H917" t="str">
            <v>010917</v>
          </cell>
          <cell r="I917" t="str">
            <v>2</v>
          </cell>
        </row>
        <row r="918">
          <cell r="A918" t="str">
            <v>HUANUCOHUAMALIESLLATA</v>
          </cell>
          <cell r="B918" t="str">
            <v>10</v>
          </cell>
          <cell r="C918" t="str">
            <v>05</v>
          </cell>
          <cell r="D918" t="str">
            <v>01</v>
          </cell>
          <cell r="E918" t="str">
            <v>HUANUCO</v>
          </cell>
          <cell r="F918" t="str">
            <v>HUAMALIES</v>
          </cell>
          <cell r="G918" t="str">
            <v>LLATA</v>
          </cell>
          <cell r="H918" t="str">
            <v>010918</v>
          </cell>
          <cell r="I918" t="str">
            <v>1</v>
          </cell>
        </row>
        <row r="919">
          <cell r="A919" t="str">
            <v>HUANUCOHUAMALIESARANCAY</v>
          </cell>
          <cell r="B919" t="str">
            <v>10</v>
          </cell>
          <cell r="C919" t="str">
            <v>05</v>
          </cell>
          <cell r="D919" t="str">
            <v>02</v>
          </cell>
          <cell r="E919" t="str">
            <v>HUANUCO</v>
          </cell>
          <cell r="F919" t="str">
            <v>HUAMALIES</v>
          </cell>
          <cell r="G919" t="str">
            <v>ARANCAY</v>
          </cell>
          <cell r="H919" t="str">
            <v>010919</v>
          </cell>
          <cell r="I919" t="str">
            <v>2</v>
          </cell>
        </row>
        <row r="920">
          <cell r="A920" t="str">
            <v>HUANUCOHUAMALIESCHAVIN DE PARIARCA</v>
          </cell>
          <cell r="B920" t="str">
            <v>10</v>
          </cell>
          <cell r="C920" t="str">
            <v>05</v>
          </cell>
          <cell r="D920" t="str">
            <v>03</v>
          </cell>
          <cell r="E920" t="str">
            <v>HUANUCO</v>
          </cell>
          <cell r="F920" t="str">
            <v>HUAMALIES</v>
          </cell>
          <cell r="G920" t="str">
            <v>CHAVIN DE PARIARCA</v>
          </cell>
          <cell r="H920" t="str">
            <v>010920</v>
          </cell>
          <cell r="I920" t="str">
            <v>2</v>
          </cell>
        </row>
        <row r="921">
          <cell r="A921" t="str">
            <v>HUANUCOHUAMALIESJACAS GRANDE</v>
          </cell>
          <cell r="B921" t="str">
            <v>10</v>
          </cell>
          <cell r="C921" t="str">
            <v>05</v>
          </cell>
          <cell r="D921" t="str">
            <v>04</v>
          </cell>
          <cell r="E921" t="str">
            <v>HUANUCO</v>
          </cell>
          <cell r="F921" t="str">
            <v>HUAMALIES</v>
          </cell>
          <cell r="G921" t="str">
            <v>JACAS GRANDE</v>
          </cell>
          <cell r="H921" t="str">
            <v>012106</v>
          </cell>
          <cell r="I921" t="str">
            <v>2</v>
          </cell>
        </row>
        <row r="922">
          <cell r="A922" t="str">
            <v>HUANUCOHUAMALIESJIRCAN</v>
          </cell>
          <cell r="B922" t="str">
            <v>10</v>
          </cell>
          <cell r="C922" t="str">
            <v>05</v>
          </cell>
          <cell r="D922" t="str">
            <v>05</v>
          </cell>
          <cell r="E922" t="str">
            <v>HUANUCO</v>
          </cell>
          <cell r="F922" t="str">
            <v>HUAMALIES</v>
          </cell>
          <cell r="G922" t="str">
            <v>JIRCAN</v>
          </cell>
          <cell r="H922" t="str">
            <v>010922</v>
          </cell>
          <cell r="I922" t="str">
            <v>2</v>
          </cell>
        </row>
        <row r="923">
          <cell r="A923" t="str">
            <v>HUANUCOHUAMALIESMIRAFLORES</v>
          </cell>
          <cell r="B923" t="str">
            <v>10</v>
          </cell>
          <cell r="C923" t="str">
            <v>05</v>
          </cell>
          <cell r="D923" t="str">
            <v>06</v>
          </cell>
          <cell r="E923" t="str">
            <v>HUANUCO</v>
          </cell>
          <cell r="F923" t="str">
            <v>HUAMALIES</v>
          </cell>
          <cell r="G923" t="str">
            <v>MIRAFLORES</v>
          </cell>
          <cell r="H923" t="str">
            <v>012110</v>
          </cell>
          <cell r="I923" t="str">
            <v>2</v>
          </cell>
        </row>
        <row r="924">
          <cell r="A924" t="str">
            <v>HUANUCOHUAMALIESMONZON</v>
          </cell>
          <cell r="B924" t="str">
            <v>10</v>
          </cell>
          <cell r="C924" t="str">
            <v>05</v>
          </cell>
          <cell r="D924" t="str">
            <v>07</v>
          </cell>
          <cell r="E924" t="str">
            <v>HUANUCO</v>
          </cell>
          <cell r="F924" t="str">
            <v>HUAMALIES</v>
          </cell>
          <cell r="G924" t="str">
            <v>MONZON</v>
          </cell>
          <cell r="H924" t="str">
            <v>010928</v>
          </cell>
          <cell r="I924" t="str">
            <v>2</v>
          </cell>
        </row>
        <row r="925">
          <cell r="A925" t="str">
            <v>HUANUCOHUAMALIESPUNCHAO</v>
          </cell>
          <cell r="B925" t="str">
            <v>10</v>
          </cell>
          <cell r="C925" t="str">
            <v>05</v>
          </cell>
          <cell r="D925" t="str">
            <v>08</v>
          </cell>
          <cell r="E925" t="str">
            <v>HUANUCO</v>
          </cell>
          <cell r="F925" t="str">
            <v>HUAMALIES</v>
          </cell>
          <cell r="G925" t="str">
            <v>PUNCHAO</v>
          </cell>
          <cell r="H925" t="str">
            <v>010924</v>
          </cell>
          <cell r="I925" t="str">
            <v>2</v>
          </cell>
        </row>
        <row r="926">
          <cell r="A926" t="str">
            <v>HUANUCOHUAMALIESPUÑOS</v>
          </cell>
          <cell r="B926" t="str">
            <v>10</v>
          </cell>
          <cell r="C926" t="str">
            <v>05</v>
          </cell>
          <cell r="D926" t="str">
            <v>09</v>
          </cell>
          <cell r="E926" t="str">
            <v>HUANUCO</v>
          </cell>
          <cell r="F926" t="str">
            <v>HUAMALIES</v>
          </cell>
          <cell r="G926" t="str">
            <v>PUÑOS</v>
          </cell>
          <cell r="H926" t="str">
            <v>010925</v>
          </cell>
          <cell r="I926" t="str">
            <v>2</v>
          </cell>
        </row>
        <row r="927">
          <cell r="A927" t="str">
            <v>HUANUCOHUAMALIESSINGA</v>
          </cell>
          <cell r="B927" t="str">
            <v>10</v>
          </cell>
          <cell r="C927" t="str">
            <v>05</v>
          </cell>
          <cell r="D927" t="str">
            <v>10</v>
          </cell>
          <cell r="E927" t="str">
            <v>HUANUCO</v>
          </cell>
          <cell r="F927" t="str">
            <v>HUAMALIES</v>
          </cell>
          <cell r="G927" t="str">
            <v>SINGA</v>
          </cell>
          <cell r="H927" t="str">
            <v>010926</v>
          </cell>
          <cell r="I927" t="str">
            <v>2</v>
          </cell>
        </row>
        <row r="928">
          <cell r="A928" t="str">
            <v>HUANUCOHUAMALIESTANTAMAYO</v>
          </cell>
          <cell r="B928" t="str">
            <v>10</v>
          </cell>
          <cell r="C928" t="str">
            <v>05</v>
          </cell>
          <cell r="D928" t="str">
            <v>11</v>
          </cell>
          <cell r="E928" t="str">
            <v>HUANUCO</v>
          </cell>
          <cell r="F928" t="str">
            <v>HUAMALIES</v>
          </cell>
          <cell r="G928" t="str">
            <v>TANTAMAYO</v>
          </cell>
          <cell r="H928" t="str">
            <v>012091</v>
          </cell>
          <cell r="I928" t="str">
            <v>2</v>
          </cell>
        </row>
        <row r="929">
          <cell r="A929" t="str">
            <v>HUANUCOLEONCIO PRADORUPA-RUPA</v>
          </cell>
          <cell r="B929" t="str">
            <v>10</v>
          </cell>
          <cell r="C929" t="str">
            <v>06</v>
          </cell>
          <cell r="D929" t="str">
            <v>01</v>
          </cell>
          <cell r="E929" t="str">
            <v>HUANUCO</v>
          </cell>
          <cell r="F929" t="str">
            <v>LEONCIO PRADO</v>
          </cell>
          <cell r="G929" t="str">
            <v>RUPA-RUPA</v>
          </cell>
          <cell r="H929" t="str">
            <v>010929</v>
          </cell>
          <cell r="I929" t="str">
            <v>1</v>
          </cell>
        </row>
        <row r="930">
          <cell r="A930" t="str">
            <v>HUANUCOLEONCIO PRADODANIEL ALOMIAS ROBLES</v>
          </cell>
          <cell r="B930" t="str">
            <v>10</v>
          </cell>
          <cell r="C930" t="str">
            <v>06</v>
          </cell>
          <cell r="D930" t="str">
            <v>02</v>
          </cell>
          <cell r="E930" t="str">
            <v>HUANUCO</v>
          </cell>
          <cell r="F930" t="str">
            <v>LEONCIO PRADO</v>
          </cell>
          <cell r="G930" t="str">
            <v>DANIEL ALOMIAS ROBLES</v>
          </cell>
          <cell r="H930" t="str">
            <v>010930</v>
          </cell>
          <cell r="I930" t="str">
            <v>2</v>
          </cell>
        </row>
        <row r="931">
          <cell r="A931" t="str">
            <v>HUANUCOLEONCIO PRADOHERMILIO VALDIZAN</v>
          </cell>
          <cell r="B931" t="str">
            <v>10</v>
          </cell>
          <cell r="C931" t="str">
            <v>06</v>
          </cell>
          <cell r="D931" t="str">
            <v>03</v>
          </cell>
          <cell r="E931" t="str">
            <v>HUANUCO</v>
          </cell>
          <cell r="F931" t="str">
            <v>LEONCIO PRADO</v>
          </cell>
          <cell r="G931" t="str">
            <v>HERMILIO VALDIZAN</v>
          </cell>
          <cell r="H931" t="str">
            <v>010931</v>
          </cell>
          <cell r="I931" t="str">
            <v>2</v>
          </cell>
        </row>
        <row r="932">
          <cell r="A932" t="str">
            <v>HUANUCOLEONCIO PRADOJOSE CRESPO Y CASTILLO</v>
          </cell>
          <cell r="B932" t="str">
            <v>10</v>
          </cell>
          <cell r="C932" t="str">
            <v>06</v>
          </cell>
          <cell r="D932" t="str">
            <v>04</v>
          </cell>
          <cell r="E932" t="str">
            <v>HUANUCO</v>
          </cell>
          <cell r="F932" t="str">
            <v>LEONCIO PRADO</v>
          </cell>
          <cell r="G932" t="str">
            <v>JOSE CRESPO Y CASTILLO</v>
          </cell>
          <cell r="H932" t="str">
            <v>010932</v>
          </cell>
          <cell r="I932" t="str">
            <v>2</v>
          </cell>
        </row>
        <row r="933">
          <cell r="A933" t="str">
            <v>HUANUCOLEONCIO PRADOLUYANDO</v>
          </cell>
          <cell r="B933" t="str">
            <v>10</v>
          </cell>
          <cell r="C933" t="str">
            <v>06</v>
          </cell>
          <cell r="D933" t="str">
            <v>05</v>
          </cell>
          <cell r="E933" t="str">
            <v>HUANUCO</v>
          </cell>
          <cell r="F933" t="str">
            <v>LEONCIO PRADO</v>
          </cell>
          <cell r="G933" t="str">
            <v>LUYANDO</v>
          </cell>
          <cell r="H933" t="str">
            <v>013002</v>
          </cell>
          <cell r="I933" t="str">
            <v>2</v>
          </cell>
        </row>
        <row r="934">
          <cell r="A934" t="str">
            <v>HUANUCOLEONCIO PRADOMARIANO DAMASO BERAUN</v>
          </cell>
          <cell r="B934" t="str">
            <v>10</v>
          </cell>
          <cell r="C934" t="str">
            <v>06</v>
          </cell>
          <cell r="D934" t="str">
            <v>06</v>
          </cell>
          <cell r="E934" t="str">
            <v>HUANUCO</v>
          </cell>
          <cell r="F934" t="str">
            <v>LEONCIO PRADO</v>
          </cell>
          <cell r="G934" t="str">
            <v>MARIANO DAMASO BERAUN</v>
          </cell>
          <cell r="H934" t="str">
            <v>010934</v>
          </cell>
          <cell r="I934" t="str">
            <v>2</v>
          </cell>
        </row>
        <row r="935">
          <cell r="A935" t="str">
            <v>HUANUCOMARAÑONHUACRACHUCO</v>
          </cell>
          <cell r="B935" t="str">
            <v>10</v>
          </cell>
          <cell r="C935" t="str">
            <v>07</v>
          </cell>
          <cell r="D935" t="str">
            <v>01</v>
          </cell>
          <cell r="E935" t="str">
            <v>HUANUCO</v>
          </cell>
          <cell r="F935" t="str">
            <v>MARAÑON</v>
          </cell>
          <cell r="G935" t="str">
            <v>HUACRACHUCO</v>
          </cell>
          <cell r="H935" t="str">
            <v>010935</v>
          </cell>
          <cell r="I935" t="str">
            <v>1</v>
          </cell>
        </row>
        <row r="936">
          <cell r="A936" t="str">
            <v>HUANUCOMARAÑONCHOLON</v>
          </cell>
          <cell r="B936" t="str">
            <v>10</v>
          </cell>
          <cell r="C936" t="str">
            <v>07</v>
          </cell>
          <cell r="D936" t="str">
            <v>02</v>
          </cell>
          <cell r="E936" t="str">
            <v>HUANUCO</v>
          </cell>
          <cell r="F936" t="str">
            <v>MARAÑON</v>
          </cell>
          <cell r="G936" t="str">
            <v>CHOLON</v>
          </cell>
          <cell r="H936" t="str">
            <v>010936</v>
          </cell>
          <cell r="I936" t="str">
            <v>2</v>
          </cell>
        </row>
        <row r="937">
          <cell r="A937" t="str">
            <v>HUANUCOMARAÑONSAN BUENAVENTURA</v>
          </cell>
          <cell r="B937" t="str">
            <v>10</v>
          </cell>
          <cell r="C937" t="str">
            <v>07</v>
          </cell>
          <cell r="D937" t="str">
            <v>03</v>
          </cell>
          <cell r="E937" t="str">
            <v>HUANUCO</v>
          </cell>
          <cell r="F937" t="str">
            <v>MARAÑON</v>
          </cell>
          <cell r="G937" t="str">
            <v>SAN BUENAVENTURA</v>
          </cell>
          <cell r="H937" t="str">
            <v>010937</v>
          </cell>
          <cell r="I937" t="str">
            <v>2</v>
          </cell>
        </row>
        <row r="938">
          <cell r="A938" t="str">
            <v>HUANUCOPACHITEAPANAO</v>
          </cell>
          <cell r="B938" t="str">
            <v>10</v>
          </cell>
          <cell r="C938" t="str">
            <v>08</v>
          </cell>
          <cell r="D938" t="str">
            <v>01</v>
          </cell>
          <cell r="E938" t="str">
            <v>HUANUCO</v>
          </cell>
          <cell r="F938" t="str">
            <v>PACHITEA</v>
          </cell>
          <cell r="G938" t="str">
            <v>PANAO</v>
          </cell>
          <cell r="H938" t="str">
            <v>010938</v>
          </cell>
          <cell r="I938" t="str">
            <v>1</v>
          </cell>
        </row>
        <row r="939">
          <cell r="A939" t="str">
            <v>HUANUCOPACHITEACHAGLLA</v>
          </cell>
          <cell r="B939" t="str">
            <v>10</v>
          </cell>
          <cell r="C939" t="str">
            <v>08</v>
          </cell>
          <cell r="D939" t="str">
            <v>02</v>
          </cell>
          <cell r="E939" t="str">
            <v>HUANUCO</v>
          </cell>
          <cell r="F939" t="str">
            <v>PACHITEA</v>
          </cell>
          <cell r="G939" t="str">
            <v>CHAGLLA</v>
          </cell>
          <cell r="H939" t="str">
            <v>010939</v>
          </cell>
          <cell r="I939" t="str">
            <v>2</v>
          </cell>
        </row>
        <row r="940">
          <cell r="A940" t="str">
            <v>HUANUCOPACHITEAMOLINO</v>
          </cell>
          <cell r="B940" t="str">
            <v>10</v>
          </cell>
          <cell r="C940" t="str">
            <v>08</v>
          </cell>
          <cell r="D940" t="str">
            <v>03</v>
          </cell>
          <cell r="E940" t="str">
            <v>HUANUCO</v>
          </cell>
          <cell r="F940" t="str">
            <v>PACHITEA</v>
          </cell>
          <cell r="G940" t="str">
            <v>MOLINO</v>
          </cell>
          <cell r="H940" t="str">
            <v>010940</v>
          </cell>
          <cell r="I940" t="str">
            <v>2</v>
          </cell>
        </row>
        <row r="941">
          <cell r="A941" t="str">
            <v>HUANUCOPACHITEAUMARI</v>
          </cell>
          <cell r="B941" t="str">
            <v>10</v>
          </cell>
          <cell r="C941" t="str">
            <v>08</v>
          </cell>
          <cell r="D941" t="str">
            <v>04</v>
          </cell>
          <cell r="E941" t="str">
            <v>HUANUCO</v>
          </cell>
          <cell r="F941" t="str">
            <v>PACHITEA</v>
          </cell>
          <cell r="G941" t="str">
            <v>UMARI</v>
          </cell>
          <cell r="H941" t="str">
            <v>010941</v>
          </cell>
          <cell r="I941" t="str">
            <v>2</v>
          </cell>
        </row>
        <row r="942">
          <cell r="A942" t="str">
            <v>HUANUCOPUERTO INCAPUERTO INCA</v>
          </cell>
          <cell r="B942" t="str">
            <v>10</v>
          </cell>
          <cell r="C942" t="str">
            <v>09</v>
          </cell>
          <cell r="D942" t="str">
            <v>01</v>
          </cell>
          <cell r="E942" t="str">
            <v>HUANUCO</v>
          </cell>
          <cell r="F942" t="str">
            <v>PUERTO INCA</v>
          </cell>
          <cell r="G942" t="str">
            <v>PUERTO INCA</v>
          </cell>
          <cell r="H942" t="str">
            <v>010942</v>
          </cell>
          <cell r="I942" t="str">
            <v>1</v>
          </cell>
        </row>
        <row r="943">
          <cell r="A943" t="str">
            <v>HUANUCOPUERTO INCACODO DEL POZUZO</v>
          </cell>
          <cell r="B943" t="str">
            <v>10</v>
          </cell>
          <cell r="C943" t="str">
            <v>09</v>
          </cell>
          <cell r="D943" t="str">
            <v>02</v>
          </cell>
          <cell r="E943" t="str">
            <v>HUANUCO</v>
          </cell>
          <cell r="F943" t="str">
            <v>PUERTO INCA</v>
          </cell>
          <cell r="G943" t="str">
            <v>CODO DEL POZUZO</v>
          </cell>
          <cell r="H943" t="str">
            <v>012046</v>
          </cell>
          <cell r="I943" t="str">
            <v>2</v>
          </cell>
        </row>
        <row r="944">
          <cell r="A944" t="str">
            <v>HUANUCOPUERTO INCAHONORIA</v>
          </cell>
          <cell r="B944" t="str">
            <v>10</v>
          </cell>
          <cell r="C944" t="str">
            <v>09</v>
          </cell>
          <cell r="D944" t="str">
            <v>03</v>
          </cell>
          <cell r="E944" t="str">
            <v>HUANUCO</v>
          </cell>
          <cell r="F944" t="str">
            <v>PUERTO INCA</v>
          </cell>
          <cell r="G944" t="str">
            <v>HONORIA</v>
          </cell>
          <cell r="H944" t="str">
            <v>012095</v>
          </cell>
          <cell r="I944" t="str">
            <v>2</v>
          </cell>
        </row>
        <row r="945">
          <cell r="A945" t="str">
            <v>HUANUCOPUERTO INCATOURNAVISTA</v>
          </cell>
          <cell r="B945" t="str">
            <v>10</v>
          </cell>
          <cell r="C945" t="str">
            <v>09</v>
          </cell>
          <cell r="D945" t="str">
            <v>04</v>
          </cell>
          <cell r="E945" t="str">
            <v>HUANUCO</v>
          </cell>
          <cell r="F945" t="str">
            <v>PUERTO INCA</v>
          </cell>
          <cell r="G945" t="str">
            <v>TOURNAVISTA</v>
          </cell>
          <cell r="H945" t="str">
            <v>012640</v>
          </cell>
          <cell r="I945" t="str">
            <v>2</v>
          </cell>
        </row>
        <row r="946">
          <cell r="A946" t="str">
            <v>HUANUCOPUERTO INCAYUYAPICHIS</v>
          </cell>
          <cell r="B946" t="str">
            <v>10</v>
          </cell>
          <cell r="C946" t="str">
            <v>09</v>
          </cell>
          <cell r="D946" t="str">
            <v>05</v>
          </cell>
          <cell r="E946" t="str">
            <v>HUANUCO</v>
          </cell>
          <cell r="F946" t="str">
            <v>PUERTO INCA</v>
          </cell>
          <cell r="G946" t="str">
            <v>YUYAPICHIS</v>
          </cell>
          <cell r="H946" t="str">
            <v>010946</v>
          </cell>
          <cell r="I946" t="str">
            <v>2</v>
          </cell>
        </row>
        <row r="947">
          <cell r="A947" t="str">
            <v>HUANUCOLAURICOCHAJESUS</v>
          </cell>
          <cell r="B947" t="str">
            <v>10</v>
          </cell>
          <cell r="C947" t="str">
            <v>10</v>
          </cell>
          <cell r="D947" t="str">
            <v>01</v>
          </cell>
          <cell r="E947" t="str">
            <v>HUANUCO</v>
          </cell>
          <cell r="F947" t="str">
            <v>LAURICOCHA</v>
          </cell>
          <cell r="G947" t="str">
            <v>JESUS</v>
          </cell>
          <cell r="H947" t="str">
            <v>010947</v>
          </cell>
          <cell r="I947" t="str">
            <v>1</v>
          </cell>
        </row>
        <row r="948">
          <cell r="A948" t="str">
            <v>HUANUCOLAURICOCHABAÑOS</v>
          </cell>
          <cell r="B948" t="str">
            <v>10</v>
          </cell>
          <cell r="C948" t="str">
            <v>10</v>
          </cell>
          <cell r="D948" t="str">
            <v>02</v>
          </cell>
          <cell r="E948" t="str">
            <v>HUANUCO</v>
          </cell>
          <cell r="F948" t="str">
            <v>LAURICOCHA</v>
          </cell>
          <cell r="G948" t="str">
            <v>BAÑOS</v>
          </cell>
          <cell r="H948" t="str">
            <v>012103</v>
          </cell>
          <cell r="I948" t="str">
            <v>2</v>
          </cell>
        </row>
        <row r="949">
          <cell r="A949" t="str">
            <v>HUANUCOLAURICOCHAJIVIA</v>
          </cell>
          <cell r="B949" t="str">
            <v>10</v>
          </cell>
          <cell r="C949" t="str">
            <v>10</v>
          </cell>
          <cell r="D949" t="str">
            <v>03</v>
          </cell>
          <cell r="E949" t="str">
            <v>HUANUCO</v>
          </cell>
          <cell r="F949" t="str">
            <v>LAURICOCHA</v>
          </cell>
          <cell r="G949" t="str">
            <v>JIVIA</v>
          </cell>
          <cell r="H949" t="str">
            <v>012101</v>
          </cell>
          <cell r="I949" t="str">
            <v>2</v>
          </cell>
        </row>
        <row r="950">
          <cell r="A950" t="str">
            <v>HUANUCOLAURICOCHAQUEROPALCA</v>
          </cell>
          <cell r="B950" t="str">
            <v>10</v>
          </cell>
          <cell r="C950" t="str">
            <v>10</v>
          </cell>
          <cell r="D950" t="str">
            <v>04</v>
          </cell>
          <cell r="E950" t="str">
            <v>HUANUCO</v>
          </cell>
          <cell r="F950" t="str">
            <v>LAURICOCHA</v>
          </cell>
          <cell r="G950" t="str">
            <v>QUEROPALCA</v>
          </cell>
          <cell r="H950" t="str">
            <v>010950</v>
          </cell>
          <cell r="I950" t="str">
            <v>2</v>
          </cell>
        </row>
        <row r="951">
          <cell r="A951" t="str">
            <v>HUANUCOLAURICOCHARONDOS</v>
          </cell>
          <cell r="B951" t="str">
            <v>10</v>
          </cell>
          <cell r="C951" t="str">
            <v>10</v>
          </cell>
          <cell r="D951" t="str">
            <v>05</v>
          </cell>
          <cell r="E951" t="str">
            <v>HUANUCO</v>
          </cell>
          <cell r="F951" t="str">
            <v>LAURICOCHA</v>
          </cell>
          <cell r="G951" t="str">
            <v>RONDOS</v>
          </cell>
          <cell r="H951" t="str">
            <v>010951</v>
          </cell>
          <cell r="I951" t="str">
            <v>2</v>
          </cell>
        </row>
        <row r="952">
          <cell r="A952" t="str">
            <v>HUANUCOLAURICOCHASAN FRANCISCO DE ASIS</v>
          </cell>
          <cell r="B952" t="str">
            <v>10</v>
          </cell>
          <cell r="C952" t="str">
            <v>10</v>
          </cell>
          <cell r="D952" t="str">
            <v>06</v>
          </cell>
          <cell r="E952" t="str">
            <v>HUANUCO</v>
          </cell>
          <cell r="F952" t="str">
            <v>LAURICOCHA</v>
          </cell>
          <cell r="G952" t="str">
            <v>SAN FRANCISCO DE ASIS</v>
          </cell>
          <cell r="H952" t="str">
            <v>010952</v>
          </cell>
          <cell r="I952" t="str">
            <v>2</v>
          </cell>
        </row>
        <row r="953">
          <cell r="A953" t="str">
            <v>HUANUCOLAURICOCHASAN MIGUEL DE CAURI</v>
          </cell>
          <cell r="B953" t="str">
            <v>10</v>
          </cell>
          <cell r="C953" t="str">
            <v>10</v>
          </cell>
          <cell r="D953" t="str">
            <v>07</v>
          </cell>
          <cell r="E953" t="str">
            <v>HUANUCO</v>
          </cell>
          <cell r="F953" t="str">
            <v>LAURICOCHA</v>
          </cell>
          <cell r="G953" t="str">
            <v>SAN MIGUEL DE CAURI</v>
          </cell>
          <cell r="H953" t="str">
            <v>010953</v>
          </cell>
          <cell r="I953" t="str">
            <v>2</v>
          </cell>
        </row>
        <row r="954">
          <cell r="A954" t="str">
            <v>HUANUCOYAROWILCACHAVINILLO</v>
          </cell>
          <cell r="B954" t="str">
            <v>10</v>
          </cell>
          <cell r="C954" t="str">
            <v>11</v>
          </cell>
          <cell r="D954" t="str">
            <v>01</v>
          </cell>
          <cell r="E954" t="str">
            <v>HUANUCO</v>
          </cell>
          <cell r="F954" t="str">
            <v>YAROWILCA</v>
          </cell>
          <cell r="G954" t="str">
            <v>CHAVINILLO</v>
          </cell>
          <cell r="H954" t="str">
            <v>010954</v>
          </cell>
          <cell r="I954" t="str">
            <v>1</v>
          </cell>
        </row>
        <row r="955">
          <cell r="A955" t="str">
            <v>HUANUCOYAROWILCACAHUAC</v>
          </cell>
          <cell r="B955" t="str">
            <v>10</v>
          </cell>
          <cell r="C955" t="str">
            <v>11</v>
          </cell>
          <cell r="D955" t="str">
            <v>02</v>
          </cell>
          <cell r="E955" t="str">
            <v>HUANUCO</v>
          </cell>
          <cell r="F955" t="str">
            <v>YAROWILCA</v>
          </cell>
          <cell r="G955" t="str">
            <v>CAHUAC</v>
          </cell>
          <cell r="H955" t="str">
            <v>010955</v>
          </cell>
          <cell r="I955" t="str">
            <v>2</v>
          </cell>
        </row>
        <row r="956">
          <cell r="A956" t="str">
            <v>HUANUCOYAROWILCACHACABAMBA</v>
          </cell>
          <cell r="B956" t="str">
            <v>10</v>
          </cell>
          <cell r="C956" t="str">
            <v>11</v>
          </cell>
          <cell r="D956" t="str">
            <v>03</v>
          </cell>
          <cell r="E956" t="str">
            <v>HUANUCO</v>
          </cell>
          <cell r="F956" t="str">
            <v>YAROWILCA</v>
          </cell>
          <cell r="G956" t="str">
            <v>CHACABAMBA</v>
          </cell>
          <cell r="H956" t="str">
            <v>010956</v>
          </cell>
          <cell r="I956" t="str">
            <v>2</v>
          </cell>
        </row>
        <row r="957">
          <cell r="A957" t="str">
            <v>HUANUCOYAROWILCACHUPAN</v>
          </cell>
          <cell r="B957" t="str">
            <v>10</v>
          </cell>
          <cell r="C957" t="str">
            <v>11</v>
          </cell>
          <cell r="D957" t="str">
            <v>04</v>
          </cell>
          <cell r="E957" t="str">
            <v>HUANUCO</v>
          </cell>
          <cell r="F957" t="str">
            <v>YAROWILCA</v>
          </cell>
          <cell r="G957" t="str">
            <v>CHUPAN</v>
          </cell>
          <cell r="H957" t="str">
            <v>010957</v>
          </cell>
          <cell r="I957" t="str">
            <v>2</v>
          </cell>
        </row>
        <row r="958">
          <cell r="A958" t="str">
            <v>HUANUCOYAROWILCAJACAS CHICO</v>
          </cell>
          <cell r="B958" t="str">
            <v>10</v>
          </cell>
          <cell r="C958" t="str">
            <v>11</v>
          </cell>
          <cell r="D958" t="str">
            <v>05</v>
          </cell>
          <cell r="E958" t="str">
            <v>HUANUCO</v>
          </cell>
          <cell r="F958" t="str">
            <v>YAROWILCA</v>
          </cell>
          <cell r="G958" t="str">
            <v>JACAS CHICO</v>
          </cell>
          <cell r="H958" t="str">
            <v>010958</v>
          </cell>
          <cell r="I958" t="str">
            <v>2</v>
          </cell>
        </row>
        <row r="959">
          <cell r="A959" t="str">
            <v>HUANUCOYAROWILCAOBAS</v>
          </cell>
          <cell r="B959" t="str">
            <v>10</v>
          </cell>
          <cell r="C959" t="str">
            <v>11</v>
          </cell>
          <cell r="D959" t="str">
            <v>06</v>
          </cell>
          <cell r="E959" t="str">
            <v>HUANUCO</v>
          </cell>
          <cell r="F959" t="str">
            <v>YAROWILCA</v>
          </cell>
          <cell r="G959" t="str">
            <v>OBAS</v>
          </cell>
          <cell r="H959" t="str">
            <v>010959</v>
          </cell>
          <cell r="I959" t="str">
            <v>2</v>
          </cell>
        </row>
        <row r="960">
          <cell r="A960" t="str">
            <v>HUANUCOYAROWILCAPAMPAMARCA</v>
          </cell>
          <cell r="B960" t="str">
            <v>10</v>
          </cell>
          <cell r="C960" t="str">
            <v>11</v>
          </cell>
          <cell r="D960" t="str">
            <v>07</v>
          </cell>
          <cell r="E960" t="str">
            <v>HUANUCO</v>
          </cell>
          <cell r="F960" t="str">
            <v>YAROWILCA</v>
          </cell>
          <cell r="G960" t="str">
            <v>PAMPAMARCA</v>
          </cell>
          <cell r="H960" t="str">
            <v>010960</v>
          </cell>
          <cell r="I960" t="str">
            <v>2</v>
          </cell>
        </row>
        <row r="961">
          <cell r="A961" t="str">
            <v>HUANUCOYAROWILCACHORAS</v>
          </cell>
          <cell r="B961" t="str">
            <v>10</v>
          </cell>
          <cell r="C961" t="str">
            <v>11</v>
          </cell>
          <cell r="D961" t="str">
            <v>08</v>
          </cell>
          <cell r="E961" t="str">
            <v>HUANUCO</v>
          </cell>
          <cell r="F961" t="str">
            <v>YAROWILCA</v>
          </cell>
          <cell r="G961" t="str">
            <v>CHORAS</v>
          </cell>
          <cell r="H961" t="str">
            <v>010961</v>
          </cell>
          <cell r="I961" t="str">
            <v>2</v>
          </cell>
        </row>
        <row r="962">
          <cell r="A962" t="str">
            <v>ICAICAICA</v>
          </cell>
          <cell r="B962" t="str">
            <v>11</v>
          </cell>
          <cell r="C962" t="str">
            <v>01</v>
          </cell>
          <cell r="D962" t="str">
            <v>01</v>
          </cell>
          <cell r="E962" t="str">
            <v>ICA</v>
          </cell>
          <cell r="F962" t="str">
            <v>ICA</v>
          </cell>
          <cell r="G962" t="str">
            <v>ICA</v>
          </cell>
          <cell r="H962" t="str">
            <v>010962</v>
          </cell>
          <cell r="I962" t="str">
            <v>1</v>
          </cell>
        </row>
        <row r="963">
          <cell r="A963" t="str">
            <v>ICAICALA TINGUIÑA</v>
          </cell>
          <cell r="B963" t="str">
            <v>11</v>
          </cell>
          <cell r="C963" t="str">
            <v>01</v>
          </cell>
          <cell r="D963" t="str">
            <v>02</v>
          </cell>
          <cell r="E963" t="str">
            <v>ICA</v>
          </cell>
          <cell r="F963" t="str">
            <v>ICA</v>
          </cell>
          <cell r="G963" t="str">
            <v>LA TINGUIÑA</v>
          </cell>
          <cell r="H963" t="str">
            <v>010963</v>
          </cell>
          <cell r="I963" t="str">
            <v>2</v>
          </cell>
        </row>
        <row r="964">
          <cell r="A964" t="str">
            <v>ICAICALOS AQUIJES</v>
          </cell>
          <cell r="B964" t="str">
            <v>11</v>
          </cell>
          <cell r="C964" t="str">
            <v>01</v>
          </cell>
          <cell r="D964" t="str">
            <v>03</v>
          </cell>
          <cell r="E964" t="str">
            <v>ICA</v>
          </cell>
          <cell r="F964" t="str">
            <v>ICA</v>
          </cell>
          <cell r="G964" t="str">
            <v>LOS AQUIJES</v>
          </cell>
          <cell r="H964" t="str">
            <v>012112</v>
          </cell>
          <cell r="I964" t="str">
            <v>2</v>
          </cell>
        </row>
        <row r="965">
          <cell r="A965" t="str">
            <v>ICAICAOCUCAJE</v>
          </cell>
          <cell r="B965" t="str">
            <v>11</v>
          </cell>
          <cell r="C965" t="str">
            <v>01</v>
          </cell>
          <cell r="D965" t="str">
            <v>04</v>
          </cell>
          <cell r="E965" t="str">
            <v>ICA</v>
          </cell>
          <cell r="F965" t="str">
            <v>ICA</v>
          </cell>
          <cell r="G965" t="str">
            <v>OCUCAJE</v>
          </cell>
          <cell r="H965" t="str">
            <v>010970</v>
          </cell>
          <cell r="I965" t="str">
            <v>2</v>
          </cell>
        </row>
        <row r="966">
          <cell r="A966" t="str">
            <v>ICAICAPACHACUTEC</v>
          </cell>
          <cell r="B966" t="str">
            <v>11</v>
          </cell>
          <cell r="C966" t="str">
            <v>01</v>
          </cell>
          <cell r="D966" t="str">
            <v>05</v>
          </cell>
          <cell r="E966" t="str">
            <v>ICA</v>
          </cell>
          <cell r="F966" t="str">
            <v>ICA</v>
          </cell>
          <cell r="G966" t="str">
            <v>PACHACUTEC</v>
          </cell>
          <cell r="H966" t="str">
            <v>010971</v>
          </cell>
          <cell r="I966" t="str">
            <v>2</v>
          </cell>
        </row>
        <row r="967">
          <cell r="A967" t="str">
            <v>ICAICAPARCONA</v>
          </cell>
          <cell r="B967" t="str">
            <v>11</v>
          </cell>
          <cell r="C967" t="str">
            <v>01</v>
          </cell>
          <cell r="D967" t="str">
            <v>06</v>
          </cell>
          <cell r="E967" t="str">
            <v>ICA</v>
          </cell>
          <cell r="F967" t="str">
            <v>ICA</v>
          </cell>
          <cell r="G967" t="str">
            <v>PARCONA</v>
          </cell>
          <cell r="H967" t="str">
            <v>012132</v>
          </cell>
          <cell r="I967" t="str">
            <v>2</v>
          </cell>
        </row>
        <row r="968">
          <cell r="A968" t="str">
            <v>ICAICAPUEBLO NUEVO</v>
          </cell>
          <cell r="B968" t="str">
            <v>11</v>
          </cell>
          <cell r="C968" t="str">
            <v>01</v>
          </cell>
          <cell r="D968" t="str">
            <v>07</v>
          </cell>
          <cell r="E968" t="str">
            <v>ICA</v>
          </cell>
          <cell r="F968" t="str">
            <v>ICA</v>
          </cell>
          <cell r="G968" t="str">
            <v>PUEBLO NUEVO</v>
          </cell>
          <cell r="H968" t="str">
            <v>010972</v>
          </cell>
          <cell r="I968" t="str">
            <v>2</v>
          </cell>
        </row>
        <row r="969">
          <cell r="A969" t="str">
            <v>ICAICASALAS</v>
          </cell>
          <cell r="B969" t="str">
            <v>11</v>
          </cell>
          <cell r="C969" t="str">
            <v>01</v>
          </cell>
          <cell r="D969" t="str">
            <v>08</v>
          </cell>
          <cell r="E969" t="str">
            <v>ICA</v>
          </cell>
          <cell r="F969" t="str">
            <v>ICA</v>
          </cell>
          <cell r="G969" t="str">
            <v>SALAS</v>
          </cell>
          <cell r="H969" t="str">
            <v>010965</v>
          </cell>
          <cell r="I969" t="str">
            <v>2</v>
          </cell>
        </row>
        <row r="970">
          <cell r="A970" t="str">
            <v>ICAICASAN JOSE DE LOS MOLINOS</v>
          </cell>
          <cell r="B970" t="str">
            <v>11</v>
          </cell>
          <cell r="C970" t="str">
            <v>01</v>
          </cell>
          <cell r="D970" t="str">
            <v>09</v>
          </cell>
          <cell r="E970" t="str">
            <v>ICA</v>
          </cell>
          <cell r="F970" t="str">
            <v>ICA</v>
          </cell>
          <cell r="G970" t="str">
            <v>SAN JOSE DE LOS MOLINOS</v>
          </cell>
          <cell r="H970" t="str">
            <v>012643</v>
          </cell>
          <cell r="I970" t="str">
            <v>2</v>
          </cell>
        </row>
        <row r="971">
          <cell r="A971" t="str">
            <v>ICAICASAN JUAN BAUTISTA</v>
          </cell>
          <cell r="B971" t="str">
            <v>11</v>
          </cell>
          <cell r="C971" t="str">
            <v>01</v>
          </cell>
          <cell r="D971" t="str">
            <v>10</v>
          </cell>
          <cell r="E971" t="str">
            <v>ICA</v>
          </cell>
          <cell r="F971" t="str">
            <v>ICA</v>
          </cell>
          <cell r="G971" t="str">
            <v>SAN JUAN BAUTISTA</v>
          </cell>
          <cell r="H971" t="str">
            <v>010967</v>
          </cell>
          <cell r="I971" t="str">
            <v>2</v>
          </cell>
        </row>
        <row r="972">
          <cell r="A972" t="str">
            <v>ICAICASANTIAGO</v>
          </cell>
          <cell r="B972" t="str">
            <v>11</v>
          </cell>
          <cell r="C972" t="str">
            <v>01</v>
          </cell>
          <cell r="D972" t="str">
            <v>11</v>
          </cell>
          <cell r="E972" t="str">
            <v>ICA</v>
          </cell>
          <cell r="F972" t="str">
            <v>ICA</v>
          </cell>
          <cell r="G972" t="str">
            <v>SANTIAGO</v>
          </cell>
          <cell r="H972" t="str">
            <v>010973</v>
          </cell>
          <cell r="I972" t="str">
            <v>2</v>
          </cell>
        </row>
        <row r="973">
          <cell r="A973" t="str">
            <v>ICAICASUBTANJALLA</v>
          </cell>
          <cell r="B973" t="str">
            <v>11</v>
          </cell>
          <cell r="C973" t="str">
            <v>01</v>
          </cell>
          <cell r="D973" t="str">
            <v>12</v>
          </cell>
          <cell r="E973" t="str">
            <v>ICA</v>
          </cell>
          <cell r="F973" t="str">
            <v>ICA</v>
          </cell>
          <cell r="G973" t="str">
            <v>SUBTANJALLA</v>
          </cell>
          <cell r="H973" t="str">
            <v>010968</v>
          </cell>
          <cell r="I973" t="str">
            <v>2</v>
          </cell>
        </row>
        <row r="974">
          <cell r="A974" t="str">
            <v>ICAICATATE</v>
          </cell>
          <cell r="B974" t="str">
            <v>11</v>
          </cell>
          <cell r="C974" t="str">
            <v>01</v>
          </cell>
          <cell r="D974" t="str">
            <v>13</v>
          </cell>
          <cell r="E974" t="str">
            <v>ICA</v>
          </cell>
          <cell r="F974" t="str">
            <v>ICA</v>
          </cell>
          <cell r="G974" t="str">
            <v>TATE</v>
          </cell>
          <cell r="H974" t="str">
            <v>010974</v>
          </cell>
          <cell r="I974" t="str">
            <v>2</v>
          </cell>
        </row>
        <row r="975">
          <cell r="A975" t="str">
            <v>ICAICAYAUCA DEL ROSARIO</v>
          </cell>
          <cell r="B975" t="str">
            <v>11</v>
          </cell>
          <cell r="C975" t="str">
            <v>01</v>
          </cell>
          <cell r="D975" t="str">
            <v>14</v>
          </cell>
          <cell r="E975" t="str">
            <v>ICA</v>
          </cell>
          <cell r="F975" t="str">
            <v>ICA</v>
          </cell>
          <cell r="G975" t="str">
            <v>YAUCA DEL ROSARIO</v>
          </cell>
          <cell r="H975" t="str">
            <v>010975</v>
          </cell>
          <cell r="I975" t="str">
            <v>2</v>
          </cell>
        </row>
        <row r="976">
          <cell r="A976" t="str">
            <v>ICACHINCHACHINCHA ALTA</v>
          </cell>
          <cell r="B976" t="str">
            <v>11</v>
          </cell>
          <cell r="C976" t="str">
            <v>02</v>
          </cell>
          <cell r="D976" t="str">
            <v>01</v>
          </cell>
          <cell r="E976" t="str">
            <v>ICA</v>
          </cell>
          <cell r="F976" t="str">
            <v>CHINCHA</v>
          </cell>
          <cell r="G976" t="str">
            <v>CHINCHA ALTA</v>
          </cell>
          <cell r="H976" t="str">
            <v>012642</v>
          </cell>
          <cell r="I976" t="str">
            <v>1</v>
          </cell>
        </row>
        <row r="977">
          <cell r="A977" t="str">
            <v>ICACHINCHAALTO LARAN</v>
          </cell>
          <cell r="B977" t="str">
            <v>11</v>
          </cell>
          <cell r="C977" t="str">
            <v>02</v>
          </cell>
          <cell r="D977" t="str">
            <v>02</v>
          </cell>
          <cell r="E977" t="str">
            <v>ICA</v>
          </cell>
          <cell r="F977" t="str">
            <v>CHINCHA</v>
          </cell>
          <cell r="G977" t="str">
            <v>ALTO LARAN</v>
          </cell>
          <cell r="H977" t="str">
            <v>010982</v>
          </cell>
          <cell r="I977" t="str">
            <v>2</v>
          </cell>
        </row>
        <row r="978">
          <cell r="A978" t="str">
            <v>ICACHINCHACHAVIN</v>
          </cell>
          <cell r="B978" t="str">
            <v>11</v>
          </cell>
          <cell r="C978" t="str">
            <v>02</v>
          </cell>
          <cell r="D978" t="str">
            <v>03</v>
          </cell>
          <cell r="E978" t="str">
            <v>ICA</v>
          </cell>
          <cell r="F978" t="str">
            <v>CHINCHA</v>
          </cell>
          <cell r="G978" t="str">
            <v>CHAVIN</v>
          </cell>
          <cell r="H978" t="str">
            <v>010983</v>
          </cell>
          <cell r="I978" t="str">
            <v>2</v>
          </cell>
        </row>
        <row r="979">
          <cell r="A979" t="str">
            <v>ICACHINCHACHINCHA BAJA</v>
          </cell>
          <cell r="B979" t="str">
            <v>11</v>
          </cell>
          <cell r="C979" t="str">
            <v>02</v>
          </cell>
          <cell r="D979" t="str">
            <v>04</v>
          </cell>
          <cell r="E979" t="str">
            <v>ICA</v>
          </cell>
          <cell r="F979" t="str">
            <v>CHINCHA</v>
          </cell>
          <cell r="G979" t="str">
            <v>CHINCHA BAJA</v>
          </cell>
          <cell r="H979" t="str">
            <v>010977</v>
          </cell>
          <cell r="I979" t="str">
            <v>2</v>
          </cell>
        </row>
        <row r="980">
          <cell r="A980" t="str">
            <v>ICACHINCHAEL CARMEN</v>
          </cell>
          <cell r="B980" t="str">
            <v>11</v>
          </cell>
          <cell r="C980" t="str">
            <v>02</v>
          </cell>
          <cell r="D980" t="str">
            <v>05</v>
          </cell>
          <cell r="E980" t="str">
            <v>ICA</v>
          </cell>
          <cell r="F980" t="str">
            <v>CHINCHA</v>
          </cell>
          <cell r="G980" t="str">
            <v>EL CARMEN</v>
          </cell>
          <cell r="H980" t="str">
            <v>010984</v>
          </cell>
          <cell r="I980" t="str">
            <v>2</v>
          </cell>
        </row>
        <row r="981">
          <cell r="A981" t="str">
            <v>ICACHINCHAGROCIO PRADO</v>
          </cell>
          <cell r="B981" t="str">
            <v>11</v>
          </cell>
          <cell r="C981" t="str">
            <v>02</v>
          </cell>
          <cell r="D981" t="str">
            <v>06</v>
          </cell>
          <cell r="E981" t="str">
            <v>ICA</v>
          </cell>
          <cell r="F981" t="str">
            <v>CHINCHA</v>
          </cell>
          <cell r="G981" t="str">
            <v>GROCIO PRADO</v>
          </cell>
          <cell r="H981" t="str">
            <v>010978</v>
          </cell>
          <cell r="I981" t="str">
            <v>2</v>
          </cell>
        </row>
        <row r="982">
          <cell r="A982" t="str">
            <v>ICACHINCHAPUEBLO NUEVO</v>
          </cell>
          <cell r="B982" t="str">
            <v>11</v>
          </cell>
          <cell r="C982" t="str">
            <v>02</v>
          </cell>
          <cell r="D982" t="str">
            <v>07</v>
          </cell>
          <cell r="E982" t="str">
            <v>ICA</v>
          </cell>
          <cell r="F982" t="str">
            <v>CHINCHA</v>
          </cell>
          <cell r="G982" t="str">
            <v>PUEBLO NUEVO</v>
          </cell>
          <cell r="H982" t="str">
            <v>010979</v>
          </cell>
          <cell r="I982" t="str">
            <v>2</v>
          </cell>
        </row>
        <row r="983">
          <cell r="A983" t="str">
            <v>ICACHINCHASAN JUAN DE YANAC</v>
          </cell>
          <cell r="B983" t="str">
            <v>11</v>
          </cell>
          <cell r="C983" t="str">
            <v>02</v>
          </cell>
          <cell r="D983" t="str">
            <v>08</v>
          </cell>
          <cell r="E983" t="str">
            <v>ICA</v>
          </cell>
          <cell r="F983" t="str">
            <v>CHINCHA</v>
          </cell>
          <cell r="G983" t="str">
            <v>SAN JUAN DE YANAC</v>
          </cell>
          <cell r="H983" t="str">
            <v>010985</v>
          </cell>
          <cell r="I983" t="str">
            <v>2</v>
          </cell>
        </row>
        <row r="984">
          <cell r="A984" t="str">
            <v>ICACHINCHASAN PEDRO DE HUACARPANA</v>
          </cell>
          <cell r="B984" t="str">
            <v>11</v>
          </cell>
          <cell r="C984" t="str">
            <v>02</v>
          </cell>
          <cell r="D984" t="str">
            <v>09</v>
          </cell>
          <cell r="E984" t="str">
            <v>ICA</v>
          </cell>
          <cell r="F984" t="str">
            <v>CHINCHA</v>
          </cell>
          <cell r="G984" t="str">
            <v>SAN PEDRO DE HUACARPANA</v>
          </cell>
          <cell r="H984" t="str">
            <v>011399</v>
          </cell>
          <cell r="I984" t="str">
            <v>2</v>
          </cell>
        </row>
        <row r="985">
          <cell r="A985" t="str">
            <v>ICACHINCHASUNAMPE</v>
          </cell>
          <cell r="B985" t="str">
            <v>11</v>
          </cell>
          <cell r="C985" t="str">
            <v>02</v>
          </cell>
          <cell r="D985" t="str">
            <v>10</v>
          </cell>
          <cell r="E985" t="str">
            <v>ICA</v>
          </cell>
          <cell r="F985" t="str">
            <v>CHINCHA</v>
          </cell>
          <cell r="G985" t="str">
            <v>SUNAMPE</v>
          </cell>
          <cell r="H985" t="str">
            <v>010980</v>
          </cell>
          <cell r="I985" t="str">
            <v>2</v>
          </cell>
        </row>
        <row r="986">
          <cell r="A986" t="str">
            <v>ICACHINCHATAMBO DE MORA</v>
          </cell>
          <cell r="B986" t="str">
            <v>11</v>
          </cell>
          <cell r="C986" t="str">
            <v>02</v>
          </cell>
          <cell r="D986" t="str">
            <v>11</v>
          </cell>
          <cell r="E986" t="str">
            <v>ICA</v>
          </cell>
          <cell r="F986" t="str">
            <v>CHINCHA</v>
          </cell>
          <cell r="G986" t="str">
            <v>TAMBO DE MORA</v>
          </cell>
          <cell r="H986" t="str">
            <v>010981</v>
          </cell>
          <cell r="I986" t="str">
            <v>2</v>
          </cell>
        </row>
        <row r="987">
          <cell r="A987" t="str">
            <v>ICANAZCANAZCA</v>
          </cell>
          <cell r="B987" t="str">
            <v>11</v>
          </cell>
          <cell r="C987" t="str">
            <v>03</v>
          </cell>
          <cell r="D987" t="str">
            <v>01</v>
          </cell>
          <cell r="E987" t="str">
            <v>ICA</v>
          </cell>
          <cell r="F987" t="str">
            <v>NAZCA</v>
          </cell>
          <cell r="G987" t="str">
            <v>NAZCA</v>
          </cell>
          <cell r="H987" t="str">
            <v>010987</v>
          </cell>
          <cell r="I987" t="str">
            <v>1</v>
          </cell>
        </row>
        <row r="988">
          <cell r="A988" t="str">
            <v>ICANAZCACHANGUILLO</v>
          </cell>
          <cell r="B988" t="str">
            <v>11</v>
          </cell>
          <cell r="C988" t="str">
            <v>03</v>
          </cell>
          <cell r="D988" t="str">
            <v>02</v>
          </cell>
          <cell r="E988" t="str">
            <v>ICA</v>
          </cell>
          <cell r="F988" t="str">
            <v>NAZCA</v>
          </cell>
          <cell r="G988" t="str">
            <v>CHANGUILLO</v>
          </cell>
          <cell r="H988" t="str">
            <v>010988</v>
          </cell>
          <cell r="I988" t="str">
            <v>2</v>
          </cell>
        </row>
        <row r="989">
          <cell r="A989" t="str">
            <v>ICANAZCAEL INGENIO</v>
          </cell>
          <cell r="B989" t="str">
            <v>11</v>
          </cell>
          <cell r="C989" t="str">
            <v>03</v>
          </cell>
          <cell r="D989" t="str">
            <v>03</v>
          </cell>
          <cell r="E989" t="str">
            <v>ICA</v>
          </cell>
          <cell r="F989" t="str">
            <v>NAZCA</v>
          </cell>
          <cell r="G989" t="str">
            <v>EL INGENIO</v>
          </cell>
          <cell r="H989" t="str">
            <v>010989</v>
          </cell>
          <cell r="I989" t="str">
            <v>2</v>
          </cell>
        </row>
        <row r="990">
          <cell r="A990" t="str">
            <v>ICANAZCAMARCONA</v>
          </cell>
          <cell r="B990" t="str">
            <v>11</v>
          </cell>
          <cell r="C990" t="str">
            <v>03</v>
          </cell>
          <cell r="D990" t="str">
            <v>04</v>
          </cell>
          <cell r="E990" t="str">
            <v>ICA</v>
          </cell>
          <cell r="F990" t="str">
            <v>NAZCA</v>
          </cell>
          <cell r="G990" t="str">
            <v>MARCONA</v>
          </cell>
          <cell r="H990" t="str">
            <v>010990</v>
          </cell>
          <cell r="I990" t="str">
            <v>2</v>
          </cell>
        </row>
        <row r="991">
          <cell r="A991" t="str">
            <v>ICANAZCAVISTA ALEGRE</v>
          </cell>
          <cell r="B991" t="str">
            <v>11</v>
          </cell>
          <cell r="C991" t="str">
            <v>03</v>
          </cell>
          <cell r="D991" t="str">
            <v>05</v>
          </cell>
          <cell r="E991" t="str">
            <v>ICA</v>
          </cell>
          <cell r="F991" t="str">
            <v>NAZCA</v>
          </cell>
          <cell r="G991" t="str">
            <v>VISTA ALEGRE</v>
          </cell>
          <cell r="H991" t="str">
            <v>012115</v>
          </cell>
          <cell r="I991" t="str">
            <v>2</v>
          </cell>
        </row>
        <row r="992">
          <cell r="A992" t="str">
            <v>ICAPALPAPALPA</v>
          </cell>
          <cell r="B992" t="str">
            <v>11</v>
          </cell>
          <cell r="C992" t="str">
            <v>04</v>
          </cell>
          <cell r="D992" t="str">
            <v>01</v>
          </cell>
          <cell r="E992" t="str">
            <v>ICA</v>
          </cell>
          <cell r="F992" t="str">
            <v>PALPA</v>
          </cell>
          <cell r="G992" t="str">
            <v>PALPA</v>
          </cell>
          <cell r="H992" t="str">
            <v>010992</v>
          </cell>
          <cell r="I992" t="str">
            <v>1</v>
          </cell>
        </row>
        <row r="993">
          <cell r="A993" t="str">
            <v>ICAPALPALLIPATA</v>
          </cell>
          <cell r="B993" t="str">
            <v>11</v>
          </cell>
          <cell r="C993" t="str">
            <v>04</v>
          </cell>
          <cell r="D993" t="str">
            <v>02</v>
          </cell>
          <cell r="E993" t="str">
            <v>ICA</v>
          </cell>
          <cell r="F993" t="str">
            <v>PALPA</v>
          </cell>
          <cell r="G993" t="str">
            <v>LLIPATA</v>
          </cell>
          <cell r="H993" t="str">
            <v>010993</v>
          </cell>
          <cell r="I993" t="str">
            <v>2</v>
          </cell>
        </row>
        <row r="994">
          <cell r="A994" t="str">
            <v>ICAPALPARIO GRANDE</v>
          </cell>
          <cell r="B994" t="str">
            <v>11</v>
          </cell>
          <cell r="C994" t="str">
            <v>04</v>
          </cell>
          <cell r="D994" t="str">
            <v>03</v>
          </cell>
          <cell r="E994" t="str">
            <v>ICA</v>
          </cell>
          <cell r="F994" t="str">
            <v>PALPA</v>
          </cell>
          <cell r="G994" t="str">
            <v>RIO GRANDE</v>
          </cell>
          <cell r="H994" t="str">
            <v>010994</v>
          </cell>
          <cell r="I994" t="str">
            <v>2</v>
          </cell>
        </row>
        <row r="995">
          <cell r="A995" t="str">
            <v>ICAPALPASANTA CRUZ</v>
          </cell>
          <cell r="B995" t="str">
            <v>11</v>
          </cell>
          <cell r="C995" t="str">
            <v>04</v>
          </cell>
          <cell r="D995" t="str">
            <v>04</v>
          </cell>
          <cell r="E995" t="str">
            <v>ICA</v>
          </cell>
          <cell r="F995" t="str">
            <v>PALPA</v>
          </cell>
          <cell r="G995" t="str">
            <v>SANTA CRUZ</v>
          </cell>
          <cell r="H995" t="str">
            <v>010995</v>
          </cell>
          <cell r="I995" t="str">
            <v>2</v>
          </cell>
        </row>
        <row r="996">
          <cell r="A996" t="str">
            <v>ICAPALPATIBILLO</v>
          </cell>
          <cell r="B996" t="str">
            <v>11</v>
          </cell>
          <cell r="C996" t="str">
            <v>04</v>
          </cell>
          <cell r="D996" t="str">
            <v>05</v>
          </cell>
          <cell r="E996" t="str">
            <v>ICA</v>
          </cell>
          <cell r="F996" t="str">
            <v>PALPA</v>
          </cell>
          <cell r="G996" t="str">
            <v>TIBILLO</v>
          </cell>
          <cell r="H996" t="str">
            <v>010996</v>
          </cell>
          <cell r="I996" t="str">
            <v>2</v>
          </cell>
        </row>
        <row r="997">
          <cell r="A997" t="str">
            <v>ICAPISCOPISCO</v>
          </cell>
          <cell r="B997" t="str">
            <v>11</v>
          </cell>
          <cell r="C997" t="str">
            <v>05</v>
          </cell>
          <cell r="D997" t="str">
            <v>01</v>
          </cell>
          <cell r="E997" t="str">
            <v>ICA</v>
          </cell>
          <cell r="F997" t="str">
            <v>PISCO</v>
          </cell>
          <cell r="G997" t="str">
            <v>PISCO</v>
          </cell>
          <cell r="H997" t="str">
            <v>010997</v>
          </cell>
          <cell r="I997" t="str">
            <v>1</v>
          </cell>
        </row>
        <row r="998">
          <cell r="A998" t="str">
            <v>ICAPISCOHUANCANO</v>
          </cell>
          <cell r="B998" t="str">
            <v>11</v>
          </cell>
          <cell r="C998" t="str">
            <v>05</v>
          </cell>
          <cell r="D998" t="str">
            <v>02</v>
          </cell>
          <cell r="E998" t="str">
            <v>ICA</v>
          </cell>
          <cell r="F998" t="str">
            <v>PISCO</v>
          </cell>
          <cell r="G998" t="str">
            <v>HUANCANO</v>
          </cell>
          <cell r="H998" t="str">
            <v>012130</v>
          </cell>
          <cell r="I998" t="str">
            <v>2</v>
          </cell>
        </row>
        <row r="999">
          <cell r="A999" t="str">
            <v>ICAPISCOHUMAY</v>
          </cell>
          <cell r="B999" t="str">
            <v>11</v>
          </cell>
          <cell r="C999" t="str">
            <v>05</v>
          </cell>
          <cell r="D999" t="str">
            <v>03</v>
          </cell>
          <cell r="E999" t="str">
            <v>ICA</v>
          </cell>
          <cell r="F999" t="str">
            <v>PISCO</v>
          </cell>
          <cell r="G999" t="str">
            <v>HUMAY</v>
          </cell>
          <cell r="H999" t="str">
            <v>010999</v>
          </cell>
          <cell r="I999" t="str">
            <v>2</v>
          </cell>
        </row>
        <row r="1000">
          <cell r="A1000" t="str">
            <v>ICAPISCOINDEPENDENCIA</v>
          </cell>
          <cell r="B1000" t="str">
            <v>11</v>
          </cell>
          <cell r="C1000" t="str">
            <v>05</v>
          </cell>
          <cell r="D1000" t="str">
            <v>04</v>
          </cell>
          <cell r="E1000" t="str">
            <v>ICA</v>
          </cell>
          <cell r="F1000" t="str">
            <v>PISCO</v>
          </cell>
          <cell r="G1000" t="str">
            <v>INDEPENDENCIA</v>
          </cell>
          <cell r="H1000" t="str">
            <v>012117</v>
          </cell>
          <cell r="I1000" t="str">
            <v>2</v>
          </cell>
        </row>
        <row r="1001">
          <cell r="A1001" t="str">
            <v>ICAPISCOPARACAS</v>
          </cell>
          <cell r="B1001" t="str">
            <v>11</v>
          </cell>
          <cell r="C1001" t="str">
            <v>05</v>
          </cell>
          <cell r="D1001" t="str">
            <v>05</v>
          </cell>
          <cell r="E1001" t="str">
            <v>ICA</v>
          </cell>
          <cell r="F1001" t="str">
            <v>PISCO</v>
          </cell>
          <cell r="G1001" t="str">
            <v>PARACAS</v>
          </cell>
          <cell r="H1001" t="str">
            <v>011001</v>
          </cell>
          <cell r="I1001" t="str">
            <v>2</v>
          </cell>
        </row>
        <row r="1002">
          <cell r="A1002" t="str">
            <v>ICAPISCOSAN ANDRES</v>
          </cell>
          <cell r="B1002" t="str">
            <v>11</v>
          </cell>
          <cell r="C1002" t="str">
            <v>05</v>
          </cell>
          <cell r="D1002" t="str">
            <v>06</v>
          </cell>
          <cell r="E1002" t="str">
            <v>ICA</v>
          </cell>
          <cell r="F1002" t="str">
            <v>PISCO</v>
          </cell>
          <cell r="G1002" t="str">
            <v>SAN ANDRES</v>
          </cell>
          <cell r="H1002" t="str">
            <v>012118</v>
          </cell>
          <cell r="I1002" t="str">
            <v>2</v>
          </cell>
        </row>
        <row r="1003">
          <cell r="A1003" t="str">
            <v>ICAPISCOSAN CLEMENTE</v>
          </cell>
          <cell r="B1003" t="str">
            <v>11</v>
          </cell>
          <cell r="C1003" t="str">
            <v>05</v>
          </cell>
          <cell r="D1003" t="str">
            <v>07</v>
          </cell>
          <cell r="E1003" t="str">
            <v>ICA</v>
          </cell>
          <cell r="F1003" t="str">
            <v>PISCO</v>
          </cell>
          <cell r="G1003" t="str">
            <v>SAN CLEMENTE</v>
          </cell>
          <cell r="H1003" t="str">
            <v>011003</v>
          </cell>
          <cell r="I1003" t="str">
            <v>2</v>
          </cell>
        </row>
        <row r="1004">
          <cell r="A1004" t="str">
            <v>ICAPISCOTUPAC AMARU INCA</v>
          </cell>
          <cell r="B1004" t="str">
            <v>11</v>
          </cell>
          <cell r="C1004" t="str">
            <v>05</v>
          </cell>
          <cell r="D1004" t="str">
            <v>08</v>
          </cell>
          <cell r="E1004" t="str">
            <v>ICA</v>
          </cell>
          <cell r="F1004" t="str">
            <v>PISCO</v>
          </cell>
          <cell r="G1004" t="str">
            <v>TUPAC AMARU INCA</v>
          </cell>
          <cell r="H1004" t="str">
            <v>011004</v>
          </cell>
          <cell r="I1004" t="str">
            <v>2</v>
          </cell>
        </row>
        <row r="1005">
          <cell r="A1005" t="str">
            <v>JUNINHUANCAYOHUANCAYO</v>
          </cell>
          <cell r="B1005" t="str">
            <v>12</v>
          </cell>
          <cell r="C1005" t="str">
            <v>01</v>
          </cell>
          <cell r="D1005" t="str">
            <v>01</v>
          </cell>
          <cell r="E1005" t="str">
            <v>JUNIN</v>
          </cell>
          <cell r="F1005" t="str">
            <v>HUANCAYO</v>
          </cell>
          <cell r="G1005" t="str">
            <v>HUANCAYO</v>
          </cell>
          <cell r="H1005" t="str">
            <v>011005</v>
          </cell>
          <cell r="I1005" t="str">
            <v>1</v>
          </cell>
        </row>
        <row r="1006">
          <cell r="A1006" t="str">
            <v>JUNINHUANCAYOCARHUACALLANGA</v>
          </cell>
          <cell r="B1006" t="str">
            <v>12</v>
          </cell>
          <cell r="C1006" t="str">
            <v>01</v>
          </cell>
          <cell r="D1006" t="str">
            <v>04</v>
          </cell>
          <cell r="E1006" t="str">
            <v>JUNIN</v>
          </cell>
          <cell r="F1006" t="str">
            <v>HUANCAYO</v>
          </cell>
          <cell r="G1006" t="str">
            <v>CARHUACALLANGA</v>
          </cell>
          <cell r="H1006" t="str">
            <v>011021</v>
          </cell>
          <cell r="I1006" t="str">
            <v>2</v>
          </cell>
        </row>
        <row r="1007">
          <cell r="A1007" t="str">
            <v>JUNINHUANCAYOCHACAPAMPA</v>
          </cell>
          <cell r="B1007" t="str">
            <v>12</v>
          </cell>
          <cell r="C1007" t="str">
            <v>01</v>
          </cell>
          <cell r="D1007" t="str">
            <v>05</v>
          </cell>
          <cell r="E1007" t="str">
            <v>JUNIN</v>
          </cell>
          <cell r="F1007" t="str">
            <v>HUANCAYO</v>
          </cell>
          <cell r="G1007" t="str">
            <v>CHACAPAMPA</v>
          </cell>
          <cell r="H1007" t="str">
            <v>011022</v>
          </cell>
          <cell r="I1007" t="str">
            <v>2</v>
          </cell>
        </row>
        <row r="1008">
          <cell r="A1008" t="str">
            <v>JUNINHUANCAYOCHICCHE</v>
          </cell>
          <cell r="B1008" t="str">
            <v>12</v>
          </cell>
          <cell r="C1008" t="str">
            <v>01</v>
          </cell>
          <cell r="D1008" t="str">
            <v>06</v>
          </cell>
          <cell r="E1008" t="str">
            <v>JUNIN</v>
          </cell>
          <cell r="F1008" t="str">
            <v>HUANCAYO</v>
          </cell>
          <cell r="G1008" t="str">
            <v>CHICCHE</v>
          </cell>
          <cell r="H1008" t="str">
            <v>011023</v>
          </cell>
          <cell r="I1008" t="str">
            <v>2</v>
          </cell>
        </row>
        <row r="1009">
          <cell r="A1009" t="str">
            <v>JUNINHUANCAYOCHILCA</v>
          </cell>
          <cell r="B1009" t="str">
            <v>12</v>
          </cell>
          <cell r="C1009" t="str">
            <v>01</v>
          </cell>
          <cell r="D1009" t="str">
            <v>07</v>
          </cell>
          <cell r="E1009" t="str">
            <v>JUNIN</v>
          </cell>
          <cell r="F1009" t="str">
            <v>HUANCAYO</v>
          </cell>
          <cell r="G1009" t="str">
            <v>CHILCA</v>
          </cell>
          <cell r="H1009" t="str">
            <v>011006</v>
          </cell>
          <cell r="I1009" t="str">
            <v>2</v>
          </cell>
        </row>
        <row r="1010">
          <cell r="A1010" t="str">
            <v>JUNINHUANCAYOCHONGOS ALTO</v>
          </cell>
          <cell r="B1010" t="str">
            <v>12</v>
          </cell>
          <cell r="C1010" t="str">
            <v>01</v>
          </cell>
          <cell r="D1010" t="str">
            <v>08</v>
          </cell>
          <cell r="E1010" t="str">
            <v>JUNIN</v>
          </cell>
          <cell r="F1010" t="str">
            <v>HUANCAYO</v>
          </cell>
          <cell r="G1010" t="str">
            <v>CHONGOS ALTO</v>
          </cell>
          <cell r="H1010" t="str">
            <v>011024</v>
          </cell>
          <cell r="I1010" t="str">
            <v>2</v>
          </cell>
        </row>
        <row r="1011">
          <cell r="A1011" t="str">
            <v>JUNINHUANCAYOCHUPURO</v>
          </cell>
          <cell r="B1011" t="str">
            <v>12</v>
          </cell>
          <cell r="C1011" t="str">
            <v>01</v>
          </cell>
          <cell r="D1011" t="str">
            <v>11</v>
          </cell>
          <cell r="E1011" t="str">
            <v>JUNIN</v>
          </cell>
          <cell r="F1011" t="str">
            <v>HUANCAYO</v>
          </cell>
          <cell r="G1011" t="str">
            <v>CHUPURO</v>
          </cell>
          <cell r="H1011" t="str">
            <v>011025</v>
          </cell>
          <cell r="I1011" t="str">
            <v>2</v>
          </cell>
        </row>
        <row r="1012">
          <cell r="A1012" t="str">
            <v>JUNINHUANCAYOCOLCA</v>
          </cell>
          <cell r="B1012" t="str">
            <v>12</v>
          </cell>
          <cell r="C1012" t="str">
            <v>01</v>
          </cell>
          <cell r="D1012" t="str">
            <v>12</v>
          </cell>
          <cell r="E1012" t="str">
            <v>JUNIN</v>
          </cell>
          <cell r="F1012" t="str">
            <v>HUANCAYO</v>
          </cell>
          <cell r="G1012" t="str">
            <v>COLCA</v>
          </cell>
          <cell r="H1012" t="str">
            <v>011026</v>
          </cell>
          <cell r="I1012" t="str">
            <v>2</v>
          </cell>
        </row>
        <row r="1013">
          <cell r="A1013" t="str">
            <v>JUNINHUANCAYOCULLHUAS</v>
          </cell>
          <cell r="B1013" t="str">
            <v>12</v>
          </cell>
          <cell r="C1013" t="str">
            <v>01</v>
          </cell>
          <cell r="D1013" t="str">
            <v>13</v>
          </cell>
          <cell r="E1013" t="str">
            <v>JUNIN</v>
          </cell>
          <cell r="F1013" t="str">
            <v>HUANCAYO</v>
          </cell>
          <cell r="G1013" t="str">
            <v>CULLHUAS</v>
          </cell>
          <cell r="H1013" t="str">
            <v>011027</v>
          </cell>
          <cell r="I1013" t="str">
            <v>2</v>
          </cell>
        </row>
        <row r="1014">
          <cell r="A1014" t="str">
            <v>JUNINHUANCAYOEL TAMBO</v>
          </cell>
          <cell r="B1014" t="str">
            <v>12</v>
          </cell>
          <cell r="C1014" t="str">
            <v>01</v>
          </cell>
          <cell r="D1014" t="str">
            <v>14</v>
          </cell>
          <cell r="E1014" t="str">
            <v>JUNIN</v>
          </cell>
          <cell r="F1014" t="str">
            <v>HUANCAYO</v>
          </cell>
          <cell r="G1014" t="str">
            <v>EL TAMBO</v>
          </cell>
          <cell r="H1014" t="str">
            <v>011007</v>
          </cell>
          <cell r="I1014" t="str">
            <v>2</v>
          </cell>
        </row>
        <row r="1015">
          <cell r="A1015" t="str">
            <v>JUNINHUANCAYOHUACRAPUQUIO</v>
          </cell>
          <cell r="B1015" t="str">
            <v>12</v>
          </cell>
          <cell r="C1015" t="str">
            <v>01</v>
          </cell>
          <cell r="D1015" t="str">
            <v>16</v>
          </cell>
          <cell r="E1015" t="str">
            <v>JUNIN</v>
          </cell>
          <cell r="F1015" t="str">
            <v>HUANCAYO</v>
          </cell>
          <cell r="G1015" t="str">
            <v>HUACRAPUQUIO</v>
          </cell>
          <cell r="H1015" t="str">
            <v>011028</v>
          </cell>
          <cell r="I1015" t="str">
            <v>2</v>
          </cell>
        </row>
        <row r="1016">
          <cell r="A1016" t="str">
            <v>JUNINHUANCAYOHUALHUAS</v>
          </cell>
          <cell r="B1016" t="str">
            <v>12</v>
          </cell>
          <cell r="C1016" t="str">
            <v>01</v>
          </cell>
          <cell r="D1016" t="str">
            <v>17</v>
          </cell>
          <cell r="E1016" t="str">
            <v>JUNIN</v>
          </cell>
          <cell r="F1016" t="str">
            <v>HUANCAYO</v>
          </cell>
          <cell r="G1016" t="str">
            <v>HUALHUAS</v>
          </cell>
          <cell r="H1016" t="str">
            <v>011012</v>
          </cell>
          <cell r="I1016" t="str">
            <v>2</v>
          </cell>
        </row>
        <row r="1017">
          <cell r="A1017" t="str">
            <v>JUNINHUANCAYOHUANCAN</v>
          </cell>
          <cell r="B1017" t="str">
            <v>12</v>
          </cell>
          <cell r="C1017" t="str">
            <v>01</v>
          </cell>
          <cell r="D1017" t="str">
            <v>19</v>
          </cell>
          <cell r="E1017" t="str">
            <v>JUNIN</v>
          </cell>
          <cell r="F1017" t="str">
            <v>HUANCAYO</v>
          </cell>
          <cell r="G1017" t="str">
            <v>HUANCAN</v>
          </cell>
          <cell r="H1017" t="str">
            <v>011008</v>
          </cell>
          <cell r="I1017" t="str">
            <v>2</v>
          </cell>
        </row>
        <row r="1018">
          <cell r="A1018" t="str">
            <v>JUNINHUANCAYOHUASICANCHA</v>
          </cell>
          <cell r="B1018" t="str">
            <v>12</v>
          </cell>
          <cell r="C1018" t="str">
            <v>01</v>
          </cell>
          <cell r="D1018" t="str">
            <v>20</v>
          </cell>
          <cell r="E1018" t="str">
            <v>JUNIN</v>
          </cell>
          <cell r="F1018" t="str">
            <v>HUANCAYO</v>
          </cell>
          <cell r="G1018" t="str">
            <v>HUASICANCHA</v>
          </cell>
          <cell r="H1018" t="str">
            <v>011029</v>
          </cell>
          <cell r="I1018" t="str">
            <v>2</v>
          </cell>
        </row>
        <row r="1019">
          <cell r="A1019" t="str">
            <v>JUNINHUANCAYOHUAYUCACHI</v>
          </cell>
          <cell r="B1019" t="str">
            <v>12</v>
          </cell>
          <cell r="C1019" t="str">
            <v>01</v>
          </cell>
          <cell r="D1019" t="str">
            <v>21</v>
          </cell>
          <cell r="E1019" t="str">
            <v>JUNIN</v>
          </cell>
          <cell r="F1019" t="str">
            <v>HUANCAYO</v>
          </cell>
          <cell r="G1019" t="str">
            <v>HUAYUCACHI</v>
          </cell>
          <cell r="H1019" t="str">
            <v>012134</v>
          </cell>
          <cell r="I1019" t="str">
            <v>2</v>
          </cell>
        </row>
        <row r="1020">
          <cell r="A1020" t="str">
            <v>JUNINHUANCAYOINGENIO</v>
          </cell>
          <cell r="B1020" t="str">
            <v>12</v>
          </cell>
          <cell r="C1020" t="str">
            <v>01</v>
          </cell>
          <cell r="D1020" t="str">
            <v>22</v>
          </cell>
          <cell r="E1020" t="str">
            <v>JUNIN</v>
          </cell>
          <cell r="F1020" t="str">
            <v>HUANCAYO</v>
          </cell>
          <cell r="G1020" t="str">
            <v>INGENIO</v>
          </cell>
          <cell r="H1020" t="str">
            <v>011013</v>
          </cell>
          <cell r="I1020" t="str">
            <v>2</v>
          </cell>
        </row>
        <row r="1021">
          <cell r="A1021" t="str">
            <v>JUNINHUANCAYOPARIAHUANCA</v>
          </cell>
          <cell r="B1021" t="str">
            <v>12</v>
          </cell>
          <cell r="C1021" t="str">
            <v>01</v>
          </cell>
          <cell r="D1021" t="str">
            <v>24</v>
          </cell>
          <cell r="E1021" t="str">
            <v>JUNIN</v>
          </cell>
          <cell r="F1021" t="str">
            <v>HUANCAYO</v>
          </cell>
          <cell r="G1021" t="str">
            <v>PARIAHUANCA</v>
          </cell>
          <cell r="H1021" t="str">
            <v>011014</v>
          </cell>
          <cell r="I1021" t="str">
            <v>2</v>
          </cell>
        </row>
        <row r="1022">
          <cell r="A1022" t="str">
            <v>JUNINHUANCAYOPILCOMAYO</v>
          </cell>
          <cell r="B1022" t="str">
            <v>12</v>
          </cell>
          <cell r="C1022" t="str">
            <v>01</v>
          </cell>
          <cell r="D1022" t="str">
            <v>25</v>
          </cell>
          <cell r="E1022" t="str">
            <v>JUNIN</v>
          </cell>
          <cell r="F1022" t="str">
            <v>HUANCAYO</v>
          </cell>
          <cell r="G1022" t="str">
            <v>PILCOMAYO</v>
          </cell>
          <cell r="H1022" t="str">
            <v>011009</v>
          </cell>
          <cell r="I1022" t="str">
            <v>2</v>
          </cell>
        </row>
        <row r="1023">
          <cell r="A1023" t="str">
            <v>JUNINHUANCAYOPUCARA</v>
          </cell>
          <cell r="B1023" t="str">
            <v>12</v>
          </cell>
          <cell r="C1023" t="str">
            <v>01</v>
          </cell>
          <cell r="D1023" t="str">
            <v>26</v>
          </cell>
          <cell r="E1023" t="str">
            <v>JUNIN</v>
          </cell>
          <cell r="F1023" t="str">
            <v>HUANCAYO</v>
          </cell>
          <cell r="G1023" t="str">
            <v>PUCARA</v>
          </cell>
          <cell r="H1023" t="str">
            <v>011010</v>
          </cell>
          <cell r="I1023" t="str">
            <v>2</v>
          </cell>
        </row>
        <row r="1024">
          <cell r="A1024" t="str">
            <v>JUNINHUANCAYOQUICHUAY</v>
          </cell>
          <cell r="B1024" t="str">
            <v>12</v>
          </cell>
          <cell r="C1024" t="str">
            <v>01</v>
          </cell>
          <cell r="D1024" t="str">
            <v>27</v>
          </cell>
          <cell r="E1024" t="str">
            <v>JUNIN</v>
          </cell>
          <cell r="F1024" t="str">
            <v>HUANCAYO</v>
          </cell>
          <cell r="G1024" t="str">
            <v>QUICHUAY</v>
          </cell>
          <cell r="H1024" t="str">
            <v>012675</v>
          </cell>
          <cell r="I1024" t="str">
            <v>2</v>
          </cell>
        </row>
        <row r="1025">
          <cell r="A1025" t="str">
            <v>JUNINHUANCAYOQUILCAS</v>
          </cell>
          <cell r="B1025" t="str">
            <v>12</v>
          </cell>
          <cell r="C1025" t="str">
            <v>01</v>
          </cell>
          <cell r="D1025" t="str">
            <v>28</v>
          </cell>
          <cell r="E1025" t="str">
            <v>JUNIN</v>
          </cell>
          <cell r="F1025" t="str">
            <v>HUANCAYO</v>
          </cell>
          <cell r="G1025" t="str">
            <v>QUILCAS</v>
          </cell>
          <cell r="H1025" t="str">
            <v>011016</v>
          </cell>
          <cell r="I1025" t="str">
            <v>2</v>
          </cell>
        </row>
        <row r="1026">
          <cell r="A1026" t="str">
            <v>JUNINHUANCAYOSAN AGUSTIN</v>
          </cell>
          <cell r="B1026" t="str">
            <v>12</v>
          </cell>
          <cell r="C1026" t="str">
            <v>01</v>
          </cell>
          <cell r="D1026" t="str">
            <v>29</v>
          </cell>
          <cell r="E1026" t="str">
            <v>JUNIN</v>
          </cell>
          <cell r="F1026" t="str">
            <v>HUANCAYO</v>
          </cell>
          <cell r="G1026" t="str">
            <v>SAN AGUSTIN</v>
          </cell>
          <cell r="H1026" t="str">
            <v>011017</v>
          </cell>
          <cell r="I1026" t="str">
            <v>2</v>
          </cell>
        </row>
        <row r="1027">
          <cell r="A1027" t="str">
            <v>JUNINHUANCAYOSAN JERONIMO DE TUNAN</v>
          </cell>
          <cell r="B1027" t="str">
            <v>12</v>
          </cell>
          <cell r="C1027" t="str">
            <v>01</v>
          </cell>
          <cell r="D1027" t="str">
            <v>30</v>
          </cell>
          <cell r="E1027" t="str">
            <v>JUNIN</v>
          </cell>
          <cell r="F1027" t="str">
            <v>HUANCAYO</v>
          </cell>
          <cell r="G1027" t="str">
            <v>SAN JERONIMO DE TUNAN</v>
          </cell>
          <cell r="H1027" t="str">
            <v>011018</v>
          </cell>
          <cell r="I1027" t="str">
            <v>2</v>
          </cell>
        </row>
        <row r="1028">
          <cell r="A1028" t="str">
            <v>JUNINHUANCAYOSAÑO</v>
          </cell>
          <cell r="B1028" t="str">
            <v>12</v>
          </cell>
          <cell r="C1028" t="str">
            <v>01</v>
          </cell>
          <cell r="D1028" t="str">
            <v>32</v>
          </cell>
          <cell r="E1028" t="str">
            <v>JUNIN</v>
          </cell>
          <cell r="F1028" t="str">
            <v>HUANCAYO</v>
          </cell>
          <cell r="G1028" t="str">
            <v>SAÑO</v>
          </cell>
          <cell r="H1028" t="str">
            <v>011019</v>
          </cell>
          <cell r="I1028" t="str">
            <v>2</v>
          </cell>
        </row>
        <row r="1029">
          <cell r="A1029" t="str">
            <v>JUNINHUANCAYOSAPALLANGA</v>
          </cell>
          <cell r="B1029" t="str">
            <v>12</v>
          </cell>
          <cell r="C1029" t="str">
            <v>01</v>
          </cell>
          <cell r="D1029" t="str">
            <v>33</v>
          </cell>
          <cell r="E1029" t="str">
            <v>JUNIN</v>
          </cell>
          <cell r="F1029" t="str">
            <v>HUANCAYO</v>
          </cell>
          <cell r="G1029" t="str">
            <v>SAPALLANGA</v>
          </cell>
          <cell r="H1029" t="str">
            <v>012672</v>
          </cell>
          <cell r="I1029" t="str">
            <v>2</v>
          </cell>
        </row>
        <row r="1030">
          <cell r="A1030" t="str">
            <v>JUNINHUANCAYOSICAYA</v>
          </cell>
          <cell r="B1030" t="str">
            <v>12</v>
          </cell>
          <cell r="C1030" t="str">
            <v>01</v>
          </cell>
          <cell r="D1030" t="str">
            <v>34</v>
          </cell>
          <cell r="E1030" t="str">
            <v>JUNIN</v>
          </cell>
          <cell r="F1030" t="str">
            <v>HUANCAYO</v>
          </cell>
          <cell r="G1030" t="str">
            <v>SICAYA</v>
          </cell>
          <cell r="H1030" t="str">
            <v>011020</v>
          </cell>
          <cell r="I1030" t="str">
            <v>2</v>
          </cell>
        </row>
        <row r="1031">
          <cell r="A1031" t="str">
            <v>JUNINHUANCAYOSANTO DOMINGO DE ACOBAMBA</v>
          </cell>
          <cell r="B1031" t="str">
            <v>12</v>
          </cell>
          <cell r="C1031" t="str">
            <v>01</v>
          </cell>
          <cell r="D1031" t="str">
            <v>35</v>
          </cell>
          <cell r="E1031" t="str">
            <v>JUNIN</v>
          </cell>
          <cell r="F1031" t="str">
            <v>HUANCAYO</v>
          </cell>
          <cell r="G1031" t="str">
            <v>SANTO DOMINGO DE ACOBAMBA</v>
          </cell>
          <cell r="H1031" t="str">
            <v>011043</v>
          </cell>
          <cell r="I1031" t="str">
            <v>2</v>
          </cell>
        </row>
        <row r="1032">
          <cell r="A1032" t="str">
            <v>JUNINHUANCAYOVIQUES</v>
          </cell>
          <cell r="B1032" t="str">
            <v>12</v>
          </cell>
          <cell r="C1032" t="str">
            <v>01</v>
          </cell>
          <cell r="D1032" t="str">
            <v>36</v>
          </cell>
          <cell r="E1032" t="str">
            <v>JUNIN</v>
          </cell>
          <cell r="F1032" t="str">
            <v>HUANCAYO</v>
          </cell>
          <cell r="G1032" t="str">
            <v>VIQUES</v>
          </cell>
          <cell r="H1032" t="str">
            <v>011031</v>
          </cell>
          <cell r="I1032" t="str">
            <v>2</v>
          </cell>
        </row>
        <row r="1033">
          <cell r="A1033" t="str">
            <v>JUNINCONCEPCIONCONCEPCION</v>
          </cell>
          <cell r="B1033" t="str">
            <v>12</v>
          </cell>
          <cell r="C1033" t="str">
            <v>02</v>
          </cell>
          <cell r="D1033" t="str">
            <v>01</v>
          </cell>
          <cell r="E1033" t="str">
            <v>JUNIN</v>
          </cell>
          <cell r="F1033" t="str">
            <v>CONCEPCION</v>
          </cell>
          <cell r="G1033" t="str">
            <v>CONCEPCION</v>
          </cell>
          <cell r="H1033" t="str">
            <v>012668</v>
          </cell>
          <cell r="I1033" t="str">
            <v>1</v>
          </cell>
        </row>
        <row r="1034">
          <cell r="A1034" t="str">
            <v>JUNINCONCEPCIONACO</v>
          </cell>
          <cell r="B1034" t="str">
            <v>12</v>
          </cell>
          <cell r="C1034" t="str">
            <v>02</v>
          </cell>
          <cell r="D1034" t="str">
            <v>02</v>
          </cell>
          <cell r="E1034" t="str">
            <v>JUNIN</v>
          </cell>
          <cell r="F1034" t="str">
            <v>CONCEPCION</v>
          </cell>
          <cell r="G1034" t="str">
            <v>ACO</v>
          </cell>
          <cell r="H1034" t="str">
            <v>011033</v>
          </cell>
          <cell r="I1034" t="str">
            <v>2</v>
          </cell>
        </row>
        <row r="1035">
          <cell r="A1035" t="str">
            <v>JUNINCONCEPCIONANDAMARCA</v>
          </cell>
          <cell r="B1035" t="str">
            <v>12</v>
          </cell>
          <cell r="C1035" t="str">
            <v>02</v>
          </cell>
          <cell r="D1035" t="str">
            <v>03</v>
          </cell>
          <cell r="E1035" t="str">
            <v>JUNIN</v>
          </cell>
          <cell r="F1035" t="str">
            <v>CONCEPCION</v>
          </cell>
          <cell r="G1035" t="str">
            <v>ANDAMARCA</v>
          </cell>
          <cell r="H1035" t="str">
            <v>011044</v>
          </cell>
          <cell r="I1035" t="str">
            <v>2</v>
          </cell>
        </row>
        <row r="1036">
          <cell r="A1036" t="str">
            <v>JUNINCONCEPCIONCHAMBARA</v>
          </cell>
          <cell r="B1036" t="str">
            <v>12</v>
          </cell>
          <cell r="C1036" t="str">
            <v>02</v>
          </cell>
          <cell r="D1036" t="str">
            <v>04</v>
          </cell>
          <cell r="E1036" t="str">
            <v>JUNIN</v>
          </cell>
          <cell r="F1036" t="str">
            <v>CONCEPCION</v>
          </cell>
          <cell r="G1036" t="str">
            <v>CHAMBARA</v>
          </cell>
          <cell r="H1036" t="str">
            <v>011034</v>
          </cell>
          <cell r="I1036" t="str">
            <v>2</v>
          </cell>
        </row>
        <row r="1037">
          <cell r="A1037" t="str">
            <v>JUNINCONCEPCIONCOCHAS</v>
          </cell>
          <cell r="B1037" t="str">
            <v>12</v>
          </cell>
          <cell r="C1037" t="str">
            <v>02</v>
          </cell>
          <cell r="D1037" t="str">
            <v>05</v>
          </cell>
          <cell r="E1037" t="str">
            <v>JUNIN</v>
          </cell>
          <cell r="F1037" t="str">
            <v>CONCEPCION</v>
          </cell>
          <cell r="G1037" t="str">
            <v>COCHAS</v>
          </cell>
          <cell r="H1037" t="str">
            <v>011045</v>
          </cell>
          <cell r="I1037" t="str">
            <v>2</v>
          </cell>
        </row>
        <row r="1038">
          <cell r="A1038" t="str">
            <v>JUNINCONCEPCIONCOMAS</v>
          </cell>
          <cell r="B1038" t="str">
            <v>12</v>
          </cell>
          <cell r="C1038" t="str">
            <v>02</v>
          </cell>
          <cell r="D1038" t="str">
            <v>06</v>
          </cell>
          <cell r="E1038" t="str">
            <v>JUNIN</v>
          </cell>
          <cell r="F1038" t="str">
            <v>CONCEPCION</v>
          </cell>
          <cell r="G1038" t="str">
            <v>COMAS</v>
          </cell>
          <cell r="H1038" t="str">
            <v>011046</v>
          </cell>
          <cell r="I1038" t="str">
            <v>2</v>
          </cell>
        </row>
        <row r="1039">
          <cell r="A1039" t="str">
            <v>JUNINCONCEPCIONHEROINAS TOLEDO</v>
          </cell>
          <cell r="B1039" t="str">
            <v>12</v>
          </cell>
          <cell r="C1039" t="str">
            <v>02</v>
          </cell>
          <cell r="D1039" t="str">
            <v>07</v>
          </cell>
          <cell r="E1039" t="str">
            <v>JUNIN</v>
          </cell>
          <cell r="F1039" t="str">
            <v>CONCEPCION</v>
          </cell>
          <cell r="G1039" t="str">
            <v>HEROINAS TOLEDO</v>
          </cell>
          <cell r="H1039" t="str">
            <v>011035</v>
          </cell>
          <cell r="I1039" t="str">
            <v>2</v>
          </cell>
        </row>
        <row r="1040">
          <cell r="A1040" t="str">
            <v>JUNINCONCEPCIONMANZANARES</v>
          </cell>
          <cell r="B1040" t="str">
            <v>12</v>
          </cell>
          <cell r="C1040" t="str">
            <v>02</v>
          </cell>
          <cell r="D1040" t="str">
            <v>08</v>
          </cell>
          <cell r="E1040" t="str">
            <v>JUNIN</v>
          </cell>
          <cell r="F1040" t="str">
            <v>CONCEPCION</v>
          </cell>
          <cell r="G1040" t="str">
            <v>MANZANARES</v>
          </cell>
          <cell r="H1040" t="str">
            <v>012673</v>
          </cell>
          <cell r="I1040" t="str">
            <v>2</v>
          </cell>
        </row>
        <row r="1041">
          <cell r="A1041" t="str">
            <v>JUNINCONCEPCIONMARISCAL CASTILLA</v>
          </cell>
          <cell r="B1041" t="str">
            <v>12</v>
          </cell>
          <cell r="C1041" t="str">
            <v>02</v>
          </cell>
          <cell r="D1041" t="str">
            <v>09</v>
          </cell>
          <cell r="E1041" t="str">
            <v>JUNIN</v>
          </cell>
          <cell r="F1041" t="str">
            <v>CONCEPCION</v>
          </cell>
          <cell r="G1041" t="str">
            <v>MARISCAL CASTILLA</v>
          </cell>
          <cell r="H1041" t="str">
            <v>012155</v>
          </cell>
          <cell r="I1041" t="str">
            <v>2</v>
          </cell>
        </row>
        <row r="1042">
          <cell r="A1042" t="str">
            <v>JUNINCONCEPCIONMATAHUASI</v>
          </cell>
          <cell r="B1042" t="str">
            <v>12</v>
          </cell>
          <cell r="C1042" t="str">
            <v>02</v>
          </cell>
          <cell r="D1042" t="str">
            <v>10</v>
          </cell>
          <cell r="E1042" t="str">
            <v>JUNIN</v>
          </cell>
          <cell r="F1042" t="str">
            <v>CONCEPCION</v>
          </cell>
          <cell r="G1042" t="str">
            <v>MATAHUASI</v>
          </cell>
          <cell r="H1042" t="str">
            <v>011037</v>
          </cell>
          <cell r="I1042" t="str">
            <v>2</v>
          </cell>
        </row>
        <row r="1043">
          <cell r="A1043" t="str">
            <v>JUNINCONCEPCIONMITO</v>
          </cell>
          <cell r="B1043" t="str">
            <v>12</v>
          </cell>
          <cell r="C1043" t="str">
            <v>02</v>
          </cell>
          <cell r="D1043" t="str">
            <v>11</v>
          </cell>
          <cell r="E1043" t="str">
            <v>JUNIN</v>
          </cell>
          <cell r="F1043" t="str">
            <v>CONCEPCION</v>
          </cell>
          <cell r="G1043" t="str">
            <v>MITO</v>
          </cell>
          <cell r="H1043" t="str">
            <v>011038</v>
          </cell>
          <cell r="I1043" t="str">
            <v>2</v>
          </cell>
        </row>
        <row r="1044">
          <cell r="A1044" t="str">
            <v>JUNINCONCEPCIONNUEVE DE JULIO</v>
          </cell>
          <cell r="B1044" t="str">
            <v>12</v>
          </cell>
          <cell r="C1044" t="str">
            <v>02</v>
          </cell>
          <cell r="D1044" t="str">
            <v>12</v>
          </cell>
          <cell r="E1044" t="str">
            <v>JUNIN</v>
          </cell>
          <cell r="F1044" t="str">
            <v>CONCEPCION</v>
          </cell>
          <cell r="G1044" t="str">
            <v>NUEVE DE JULIO</v>
          </cell>
          <cell r="H1044" t="str">
            <v>011039</v>
          </cell>
          <cell r="I1044" t="str">
            <v>2</v>
          </cell>
        </row>
        <row r="1045">
          <cell r="A1045" t="str">
            <v>JUNINCONCEPCIONORCOTUNA</v>
          </cell>
          <cell r="B1045" t="str">
            <v>12</v>
          </cell>
          <cell r="C1045" t="str">
            <v>02</v>
          </cell>
          <cell r="D1045" t="str">
            <v>13</v>
          </cell>
          <cell r="E1045" t="str">
            <v>JUNIN</v>
          </cell>
          <cell r="F1045" t="str">
            <v>CONCEPCION</v>
          </cell>
          <cell r="G1045" t="str">
            <v>ORCOTUNA</v>
          </cell>
          <cell r="H1045" t="str">
            <v>011040</v>
          </cell>
          <cell r="I1045" t="str">
            <v>2</v>
          </cell>
        </row>
        <row r="1046">
          <cell r="A1046" t="str">
            <v>JUNINCONCEPCIONSAN JOSE DE QUERO</v>
          </cell>
          <cell r="B1046" t="str">
            <v>12</v>
          </cell>
          <cell r="C1046" t="str">
            <v>02</v>
          </cell>
          <cell r="D1046" t="str">
            <v>14</v>
          </cell>
          <cell r="E1046" t="str">
            <v>JUNIN</v>
          </cell>
          <cell r="F1046" t="str">
            <v>CONCEPCION</v>
          </cell>
          <cell r="G1046" t="str">
            <v>SAN JOSE DE QUERO</v>
          </cell>
          <cell r="H1046" t="str">
            <v>011041</v>
          </cell>
          <cell r="I1046" t="str">
            <v>2</v>
          </cell>
        </row>
        <row r="1047">
          <cell r="A1047" t="str">
            <v>JUNINCONCEPCIONSANTA ROSA DE OCOPA</v>
          </cell>
          <cell r="B1047" t="str">
            <v>12</v>
          </cell>
          <cell r="C1047" t="str">
            <v>02</v>
          </cell>
          <cell r="D1047" t="str">
            <v>15</v>
          </cell>
          <cell r="E1047" t="str">
            <v>JUNIN</v>
          </cell>
          <cell r="F1047" t="str">
            <v>CONCEPCION</v>
          </cell>
          <cell r="G1047" t="str">
            <v>SANTA ROSA DE OCOPA</v>
          </cell>
          <cell r="H1047" t="str">
            <v>011042</v>
          </cell>
          <cell r="I1047" t="str">
            <v>2</v>
          </cell>
        </row>
        <row r="1048">
          <cell r="A1048" t="str">
            <v>JUNINCHANCHAMAYOCHANCHAMAYO</v>
          </cell>
          <cell r="B1048" t="str">
            <v>12</v>
          </cell>
          <cell r="C1048" t="str">
            <v>03</v>
          </cell>
          <cell r="D1048" t="str">
            <v>01</v>
          </cell>
          <cell r="E1048" t="str">
            <v>JUNIN</v>
          </cell>
          <cell r="F1048" t="str">
            <v>CHANCHAMAYO</v>
          </cell>
          <cell r="G1048" t="str">
            <v>CHANCHAMAYO</v>
          </cell>
          <cell r="H1048" t="str">
            <v>011100</v>
          </cell>
          <cell r="I1048" t="str">
            <v>1</v>
          </cell>
        </row>
        <row r="1049">
          <cell r="A1049" t="str">
            <v>JUNINCHANCHAMAYOPERENE</v>
          </cell>
          <cell r="B1049" t="str">
            <v>12</v>
          </cell>
          <cell r="C1049" t="str">
            <v>03</v>
          </cell>
          <cell r="D1049" t="str">
            <v>02</v>
          </cell>
          <cell r="E1049" t="str">
            <v>JUNIN</v>
          </cell>
          <cell r="F1049" t="str">
            <v>CHANCHAMAYO</v>
          </cell>
          <cell r="G1049" t="str">
            <v>PERENE</v>
          </cell>
          <cell r="H1049" t="str">
            <v>012162</v>
          </cell>
          <cell r="I1049" t="str">
            <v>2</v>
          </cell>
        </row>
        <row r="1050">
          <cell r="A1050" t="str">
            <v>JUNINCHANCHAMAYOPICHANAQUI</v>
          </cell>
          <cell r="B1050" t="str">
            <v>12</v>
          </cell>
          <cell r="C1050" t="str">
            <v>03</v>
          </cell>
          <cell r="D1050" t="str">
            <v>03</v>
          </cell>
          <cell r="E1050" t="str">
            <v>JUNIN</v>
          </cell>
          <cell r="F1050" t="str">
            <v>CHANCHAMAYO</v>
          </cell>
          <cell r="G1050" t="str">
            <v>PICHANAQUI</v>
          </cell>
          <cell r="H1050" t="str">
            <v>011102</v>
          </cell>
          <cell r="I1050" t="str">
            <v>2</v>
          </cell>
        </row>
        <row r="1051">
          <cell r="A1051" t="str">
            <v>JUNINCHANCHAMAYOSAN LUIS DE SHUARO</v>
          </cell>
          <cell r="B1051" t="str">
            <v>12</v>
          </cell>
          <cell r="C1051" t="str">
            <v>03</v>
          </cell>
          <cell r="D1051" t="str">
            <v>04</v>
          </cell>
          <cell r="E1051" t="str">
            <v>JUNIN</v>
          </cell>
          <cell r="F1051" t="str">
            <v>CHANCHAMAYO</v>
          </cell>
          <cell r="G1051" t="str">
            <v>SAN LUIS DE SHUARO</v>
          </cell>
          <cell r="H1051" t="str">
            <v>012654</v>
          </cell>
          <cell r="I1051" t="str">
            <v>2</v>
          </cell>
        </row>
        <row r="1052">
          <cell r="A1052" t="str">
            <v>JUNINCHANCHAMAYOSAN RAMON</v>
          </cell>
          <cell r="B1052" t="str">
            <v>12</v>
          </cell>
          <cell r="C1052" t="str">
            <v>03</v>
          </cell>
          <cell r="D1052" t="str">
            <v>05</v>
          </cell>
          <cell r="E1052" t="str">
            <v>JUNIN</v>
          </cell>
          <cell r="F1052" t="str">
            <v>CHANCHAMAYO</v>
          </cell>
          <cell r="G1052" t="str">
            <v>SAN RAMON</v>
          </cell>
          <cell r="H1052" t="str">
            <v>011104</v>
          </cell>
          <cell r="I1052" t="str">
            <v>2</v>
          </cell>
        </row>
        <row r="1053">
          <cell r="A1053" t="str">
            <v>JUNINCHANCHAMAYOVITOC</v>
          </cell>
          <cell r="B1053" t="str">
            <v>12</v>
          </cell>
          <cell r="C1053" t="str">
            <v>03</v>
          </cell>
          <cell r="D1053" t="str">
            <v>06</v>
          </cell>
          <cell r="E1053" t="str">
            <v>JUNIN</v>
          </cell>
          <cell r="F1053" t="str">
            <v>CHANCHAMAYO</v>
          </cell>
          <cell r="G1053" t="str">
            <v>VITOC</v>
          </cell>
          <cell r="H1053" t="str">
            <v>012676</v>
          </cell>
          <cell r="I1053" t="str">
            <v>2</v>
          </cell>
        </row>
        <row r="1054">
          <cell r="A1054" t="str">
            <v>JUNINJAUJAJAUJA</v>
          </cell>
          <cell r="B1054" t="str">
            <v>12</v>
          </cell>
          <cell r="C1054" t="str">
            <v>04</v>
          </cell>
          <cell r="D1054" t="str">
            <v>01</v>
          </cell>
          <cell r="E1054" t="str">
            <v>JUNIN</v>
          </cell>
          <cell r="F1054" t="str">
            <v>JAUJA</v>
          </cell>
          <cell r="G1054" t="str">
            <v>JAUJA</v>
          </cell>
          <cell r="H1054" t="str">
            <v>011048</v>
          </cell>
          <cell r="I1054" t="str">
            <v>1</v>
          </cell>
        </row>
        <row r="1055">
          <cell r="A1055" t="str">
            <v>JUNINJAUJAACOLLA</v>
          </cell>
          <cell r="B1055" t="str">
            <v>12</v>
          </cell>
          <cell r="C1055" t="str">
            <v>04</v>
          </cell>
          <cell r="D1055" t="str">
            <v>02</v>
          </cell>
          <cell r="E1055" t="str">
            <v>JUNIN</v>
          </cell>
          <cell r="F1055" t="str">
            <v>JAUJA</v>
          </cell>
          <cell r="G1055" t="str">
            <v>ACOLLA</v>
          </cell>
          <cell r="H1055" t="str">
            <v>011049</v>
          </cell>
          <cell r="I1055" t="str">
            <v>2</v>
          </cell>
        </row>
        <row r="1056">
          <cell r="A1056" t="str">
            <v>JUNINJAUJAAPATA</v>
          </cell>
          <cell r="B1056" t="str">
            <v>12</v>
          </cell>
          <cell r="C1056" t="str">
            <v>04</v>
          </cell>
          <cell r="D1056" t="str">
            <v>03</v>
          </cell>
          <cell r="E1056" t="str">
            <v>JUNIN</v>
          </cell>
          <cell r="F1056" t="str">
            <v>JAUJA</v>
          </cell>
          <cell r="G1056" t="str">
            <v>APATA</v>
          </cell>
          <cell r="H1056" t="str">
            <v>012144</v>
          </cell>
          <cell r="I1056" t="str">
            <v>2</v>
          </cell>
        </row>
        <row r="1057">
          <cell r="A1057" t="str">
            <v>JUNINJAUJAATAURA</v>
          </cell>
          <cell r="B1057" t="str">
            <v>12</v>
          </cell>
          <cell r="C1057" t="str">
            <v>04</v>
          </cell>
          <cell r="D1057" t="str">
            <v>04</v>
          </cell>
          <cell r="E1057" t="str">
            <v>JUNIN</v>
          </cell>
          <cell r="F1057" t="str">
            <v>JAUJA</v>
          </cell>
          <cell r="G1057" t="str">
            <v>ATAURA</v>
          </cell>
          <cell r="H1057" t="str">
            <v>012665</v>
          </cell>
          <cell r="I1057" t="str">
            <v>2</v>
          </cell>
        </row>
        <row r="1058">
          <cell r="A1058" t="str">
            <v>JUNINJAUJACANCHAYLLO</v>
          </cell>
          <cell r="B1058" t="str">
            <v>12</v>
          </cell>
          <cell r="C1058" t="str">
            <v>04</v>
          </cell>
          <cell r="D1058" t="str">
            <v>05</v>
          </cell>
          <cell r="E1058" t="str">
            <v>JUNIN</v>
          </cell>
          <cell r="F1058" t="str">
            <v>JAUJA</v>
          </cell>
          <cell r="G1058" t="str">
            <v>CANCHAYLLO</v>
          </cell>
          <cell r="H1058" t="str">
            <v>011072</v>
          </cell>
          <cell r="I1058" t="str">
            <v>2</v>
          </cell>
        </row>
        <row r="1059">
          <cell r="A1059" t="str">
            <v>JUNINJAUJACURICACA</v>
          </cell>
          <cell r="B1059" t="str">
            <v>12</v>
          </cell>
          <cell r="C1059" t="str">
            <v>04</v>
          </cell>
          <cell r="D1059" t="str">
            <v>06</v>
          </cell>
          <cell r="E1059" t="str">
            <v>JUNIN</v>
          </cell>
          <cell r="F1059" t="str">
            <v>JAUJA</v>
          </cell>
          <cell r="G1059" t="str">
            <v>CURICACA</v>
          </cell>
          <cell r="H1059" t="str">
            <v>011073</v>
          </cell>
          <cell r="I1059" t="str">
            <v>2</v>
          </cell>
        </row>
        <row r="1060">
          <cell r="A1060" t="str">
            <v>JUNINJAUJAEL MANTARO</v>
          </cell>
          <cell r="B1060" t="str">
            <v>12</v>
          </cell>
          <cell r="C1060" t="str">
            <v>04</v>
          </cell>
          <cell r="D1060" t="str">
            <v>07</v>
          </cell>
          <cell r="E1060" t="str">
            <v>JUNIN</v>
          </cell>
          <cell r="F1060" t="str">
            <v>JAUJA</v>
          </cell>
          <cell r="G1060" t="str">
            <v>EL MANTARO</v>
          </cell>
          <cell r="H1060" t="str">
            <v>011064</v>
          </cell>
          <cell r="I1060" t="str">
            <v>2</v>
          </cell>
        </row>
        <row r="1061">
          <cell r="A1061" t="str">
            <v>JUNINJAUJAHUAMALI</v>
          </cell>
          <cell r="B1061" t="str">
            <v>12</v>
          </cell>
          <cell r="C1061" t="str">
            <v>04</v>
          </cell>
          <cell r="D1061" t="str">
            <v>08</v>
          </cell>
          <cell r="E1061" t="str">
            <v>JUNIN</v>
          </cell>
          <cell r="F1061" t="str">
            <v>JAUJA</v>
          </cell>
          <cell r="G1061" t="str">
            <v>HUAMALI</v>
          </cell>
          <cell r="H1061" t="str">
            <v>011065</v>
          </cell>
          <cell r="I1061" t="str">
            <v>2</v>
          </cell>
        </row>
        <row r="1062">
          <cell r="A1062" t="str">
            <v>JUNINJAUJAHUARIPAMPA</v>
          </cell>
          <cell r="B1062" t="str">
            <v>12</v>
          </cell>
          <cell r="C1062" t="str">
            <v>04</v>
          </cell>
          <cell r="D1062" t="str">
            <v>09</v>
          </cell>
          <cell r="E1062" t="str">
            <v>JUNIN</v>
          </cell>
          <cell r="F1062" t="str">
            <v>JAUJA</v>
          </cell>
          <cell r="G1062" t="str">
            <v>HUARIPAMPA</v>
          </cell>
          <cell r="H1062" t="str">
            <v>011074</v>
          </cell>
          <cell r="I1062" t="str">
            <v>2</v>
          </cell>
        </row>
        <row r="1063">
          <cell r="A1063" t="str">
            <v>JUNINJAUJAHUERTAS</v>
          </cell>
          <cell r="B1063" t="str">
            <v>12</v>
          </cell>
          <cell r="C1063" t="str">
            <v>04</v>
          </cell>
          <cell r="D1063" t="str">
            <v>10</v>
          </cell>
          <cell r="E1063" t="str">
            <v>JUNIN</v>
          </cell>
          <cell r="F1063" t="str">
            <v>JAUJA</v>
          </cell>
          <cell r="G1063" t="str">
            <v>HUERTAS</v>
          </cell>
          <cell r="H1063" t="str">
            <v>011066</v>
          </cell>
          <cell r="I1063" t="str">
            <v>2</v>
          </cell>
        </row>
        <row r="1064">
          <cell r="A1064" t="str">
            <v>JUNINJAUJAJANJAILLO</v>
          </cell>
          <cell r="B1064" t="str">
            <v>12</v>
          </cell>
          <cell r="C1064" t="str">
            <v>04</v>
          </cell>
          <cell r="D1064" t="str">
            <v>11</v>
          </cell>
          <cell r="E1064" t="str">
            <v>JUNIN</v>
          </cell>
          <cell r="F1064" t="str">
            <v>JAUJA</v>
          </cell>
          <cell r="G1064" t="str">
            <v>JANJAILLO</v>
          </cell>
          <cell r="H1064" t="str">
            <v>011050</v>
          </cell>
          <cell r="I1064" t="str">
            <v>2</v>
          </cell>
        </row>
        <row r="1065">
          <cell r="A1065" t="str">
            <v>JUNINJAUJAJULCAN</v>
          </cell>
          <cell r="B1065" t="str">
            <v>12</v>
          </cell>
          <cell r="C1065" t="str">
            <v>04</v>
          </cell>
          <cell r="D1065" t="str">
            <v>12</v>
          </cell>
          <cell r="E1065" t="str">
            <v>JUNIN</v>
          </cell>
          <cell r="F1065" t="str">
            <v>JAUJA</v>
          </cell>
          <cell r="G1065" t="str">
            <v>JULCAN</v>
          </cell>
          <cell r="H1065" t="str">
            <v>011067</v>
          </cell>
          <cell r="I1065" t="str">
            <v>2</v>
          </cell>
        </row>
        <row r="1066">
          <cell r="A1066" t="str">
            <v>JUNINJAUJALEONOR ORDOÑEZ</v>
          </cell>
          <cell r="B1066" t="str">
            <v>12</v>
          </cell>
          <cell r="C1066" t="str">
            <v>04</v>
          </cell>
          <cell r="D1066" t="str">
            <v>13</v>
          </cell>
          <cell r="E1066" t="str">
            <v>JUNIN</v>
          </cell>
          <cell r="F1066" t="str">
            <v>JAUJA</v>
          </cell>
          <cell r="G1066" t="str">
            <v>LEONOR ORDOÑEZ</v>
          </cell>
          <cell r="H1066" t="str">
            <v>011075</v>
          </cell>
          <cell r="I1066" t="str">
            <v>2</v>
          </cell>
        </row>
        <row r="1067">
          <cell r="A1067" t="str">
            <v>JUNINJAUJALLOCLLAPAMPA</v>
          </cell>
          <cell r="B1067" t="str">
            <v>12</v>
          </cell>
          <cell r="C1067" t="str">
            <v>04</v>
          </cell>
          <cell r="D1067" t="str">
            <v>14</v>
          </cell>
          <cell r="E1067" t="str">
            <v>JUNIN</v>
          </cell>
          <cell r="F1067" t="str">
            <v>JAUJA</v>
          </cell>
          <cell r="G1067" t="str">
            <v>LLOCLLAPAMPA</v>
          </cell>
          <cell r="H1067" t="str">
            <v>011076</v>
          </cell>
          <cell r="I1067" t="str">
            <v>2</v>
          </cell>
        </row>
        <row r="1068">
          <cell r="A1068" t="str">
            <v>JUNINJAUJAMARCO</v>
          </cell>
          <cell r="B1068" t="str">
            <v>12</v>
          </cell>
          <cell r="C1068" t="str">
            <v>04</v>
          </cell>
          <cell r="D1068" t="str">
            <v>15</v>
          </cell>
          <cell r="E1068" t="str">
            <v>JUNIN</v>
          </cell>
          <cell r="F1068" t="str">
            <v>JAUJA</v>
          </cell>
          <cell r="G1068" t="str">
            <v>MARCO</v>
          </cell>
          <cell r="H1068" t="str">
            <v>011051</v>
          </cell>
          <cell r="I1068" t="str">
            <v>2</v>
          </cell>
        </row>
        <row r="1069">
          <cell r="A1069" t="str">
            <v>JUNINJAUJAMASMA</v>
          </cell>
          <cell r="B1069" t="str">
            <v>12</v>
          </cell>
          <cell r="C1069" t="str">
            <v>04</v>
          </cell>
          <cell r="D1069" t="str">
            <v>16</v>
          </cell>
          <cell r="E1069" t="str">
            <v>JUNIN</v>
          </cell>
          <cell r="F1069" t="str">
            <v>JAUJA</v>
          </cell>
          <cell r="G1069" t="str">
            <v>MASMA</v>
          </cell>
          <cell r="H1069" t="str">
            <v>011068</v>
          </cell>
          <cell r="I1069" t="str">
            <v>2</v>
          </cell>
        </row>
        <row r="1070">
          <cell r="A1070" t="str">
            <v>JUNINJAUJAMASMA CHICCHE</v>
          </cell>
          <cell r="B1070" t="str">
            <v>12</v>
          </cell>
          <cell r="C1070" t="str">
            <v>04</v>
          </cell>
          <cell r="D1070" t="str">
            <v>17</v>
          </cell>
          <cell r="E1070" t="str">
            <v>JUNIN</v>
          </cell>
          <cell r="F1070" t="str">
            <v>JAUJA</v>
          </cell>
          <cell r="G1070" t="str">
            <v>MASMA CHICCHE</v>
          </cell>
          <cell r="H1070" t="str">
            <v>011069</v>
          </cell>
          <cell r="I1070" t="str">
            <v>2</v>
          </cell>
        </row>
        <row r="1071">
          <cell r="A1071" t="str">
            <v>JUNINJAUJAMOLINOS</v>
          </cell>
          <cell r="B1071" t="str">
            <v>12</v>
          </cell>
          <cell r="C1071" t="str">
            <v>04</v>
          </cell>
          <cell r="D1071" t="str">
            <v>18</v>
          </cell>
          <cell r="E1071" t="str">
            <v>JUNIN</v>
          </cell>
          <cell r="F1071" t="str">
            <v>JAUJA</v>
          </cell>
          <cell r="G1071" t="str">
            <v>MOLINOS</v>
          </cell>
          <cell r="H1071" t="str">
            <v>011070</v>
          </cell>
          <cell r="I1071" t="str">
            <v>2</v>
          </cell>
        </row>
        <row r="1072">
          <cell r="A1072" t="str">
            <v>JUNINJAUJAMONOBAMBA</v>
          </cell>
          <cell r="B1072" t="str">
            <v>12</v>
          </cell>
          <cell r="C1072" t="str">
            <v>04</v>
          </cell>
          <cell r="D1072" t="str">
            <v>19</v>
          </cell>
          <cell r="E1072" t="str">
            <v>JUNIN</v>
          </cell>
          <cell r="F1072" t="str">
            <v>JAUJA</v>
          </cell>
          <cell r="G1072" t="str">
            <v>MONOBAMBA</v>
          </cell>
          <cell r="H1072" t="str">
            <v>011052</v>
          </cell>
          <cell r="I1072" t="str">
            <v>2</v>
          </cell>
        </row>
        <row r="1073">
          <cell r="A1073" t="str">
            <v>JUNINJAUJAMUQUI</v>
          </cell>
          <cell r="B1073" t="str">
            <v>12</v>
          </cell>
          <cell r="C1073" t="str">
            <v>04</v>
          </cell>
          <cell r="D1073" t="str">
            <v>20</v>
          </cell>
          <cell r="E1073" t="str">
            <v>JUNIN</v>
          </cell>
          <cell r="F1073" t="str">
            <v>JAUJA</v>
          </cell>
          <cell r="G1073" t="str">
            <v>MUQUI</v>
          </cell>
          <cell r="H1073" t="str">
            <v>012667</v>
          </cell>
          <cell r="I1073" t="str">
            <v>2</v>
          </cell>
        </row>
        <row r="1074">
          <cell r="A1074" t="str">
            <v>JUNINJAUJAMUQUIYAUYO</v>
          </cell>
          <cell r="B1074" t="str">
            <v>12</v>
          </cell>
          <cell r="C1074" t="str">
            <v>04</v>
          </cell>
          <cell r="D1074" t="str">
            <v>21</v>
          </cell>
          <cell r="E1074" t="str">
            <v>JUNIN</v>
          </cell>
          <cell r="F1074" t="str">
            <v>JAUJA</v>
          </cell>
          <cell r="G1074" t="str">
            <v>MUQUIYAUYO</v>
          </cell>
          <cell r="H1074" t="str">
            <v>011078</v>
          </cell>
          <cell r="I1074" t="str">
            <v>2</v>
          </cell>
        </row>
        <row r="1075">
          <cell r="A1075" t="str">
            <v>JUNINJAUJAPACA</v>
          </cell>
          <cell r="B1075" t="str">
            <v>12</v>
          </cell>
          <cell r="C1075" t="str">
            <v>04</v>
          </cell>
          <cell r="D1075" t="str">
            <v>22</v>
          </cell>
          <cell r="E1075" t="str">
            <v>JUNIN</v>
          </cell>
          <cell r="F1075" t="str">
            <v>JAUJA</v>
          </cell>
          <cell r="G1075" t="str">
            <v>PACA</v>
          </cell>
          <cell r="H1075" t="str">
            <v>011053</v>
          </cell>
          <cell r="I1075" t="str">
            <v>2</v>
          </cell>
        </row>
        <row r="1076">
          <cell r="A1076" t="str">
            <v>JUNINJAUJAPACCHA</v>
          </cell>
          <cell r="B1076" t="str">
            <v>12</v>
          </cell>
          <cell r="C1076" t="str">
            <v>04</v>
          </cell>
          <cell r="D1076" t="str">
            <v>23</v>
          </cell>
          <cell r="E1076" t="str">
            <v>JUNIN</v>
          </cell>
          <cell r="F1076" t="str">
            <v>JAUJA</v>
          </cell>
          <cell r="G1076" t="str">
            <v>PACCHA</v>
          </cell>
          <cell r="H1076" t="str">
            <v>011079</v>
          </cell>
          <cell r="I1076" t="str">
            <v>2</v>
          </cell>
        </row>
        <row r="1077">
          <cell r="A1077" t="str">
            <v>JUNINJAUJAPANCAN</v>
          </cell>
          <cell r="B1077" t="str">
            <v>12</v>
          </cell>
          <cell r="C1077" t="str">
            <v>04</v>
          </cell>
          <cell r="D1077" t="str">
            <v>24</v>
          </cell>
          <cell r="E1077" t="str">
            <v>JUNIN</v>
          </cell>
          <cell r="F1077" t="str">
            <v>JAUJA</v>
          </cell>
          <cell r="G1077" t="str">
            <v>PANCAN</v>
          </cell>
          <cell r="H1077" t="str">
            <v>011054</v>
          </cell>
          <cell r="I1077" t="str">
            <v>2</v>
          </cell>
        </row>
        <row r="1078">
          <cell r="A1078" t="str">
            <v>JUNINJAUJAPARCO</v>
          </cell>
          <cell r="B1078" t="str">
            <v>12</v>
          </cell>
          <cell r="C1078" t="str">
            <v>04</v>
          </cell>
          <cell r="D1078" t="str">
            <v>25</v>
          </cell>
          <cell r="E1078" t="str">
            <v>JUNIN</v>
          </cell>
          <cell r="F1078" t="str">
            <v>JAUJA</v>
          </cell>
          <cell r="G1078" t="str">
            <v>PARCO</v>
          </cell>
          <cell r="H1078" t="str">
            <v>011080</v>
          </cell>
          <cell r="I1078" t="str">
            <v>2</v>
          </cell>
        </row>
        <row r="1079">
          <cell r="A1079" t="str">
            <v>JUNINJAUJAPOMACANCHA</v>
          </cell>
          <cell r="B1079" t="str">
            <v>12</v>
          </cell>
          <cell r="C1079" t="str">
            <v>04</v>
          </cell>
          <cell r="D1079" t="str">
            <v>26</v>
          </cell>
          <cell r="E1079" t="str">
            <v>JUNIN</v>
          </cell>
          <cell r="F1079" t="str">
            <v>JAUJA</v>
          </cell>
          <cell r="G1079" t="str">
            <v>POMACANCHA</v>
          </cell>
          <cell r="H1079" t="str">
            <v>012169</v>
          </cell>
          <cell r="I1079" t="str">
            <v>2</v>
          </cell>
        </row>
        <row r="1080">
          <cell r="A1080" t="str">
            <v>JUNINJAUJARICRAN</v>
          </cell>
          <cell r="B1080" t="str">
            <v>12</v>
          </cell>
          <cell r="C1080" t="str">
            <v>04</v>
          </cell>
          <cell r="D1080" t="str">
            <v>27</v>
          </cell>
          <cell r="E1080" t="str">
            <v>JUNIN</v>
          </cell>
          <cell r="F1080" t="str">
            <v>JAUJA</v>
          </cell>
          <cell r="G1080" t="str">
            <v>RICRAN</v>
          </cell>
          <cell r="H1080" t="str">
            <v>011056</v>
          </cell>
          <cell r="I1080" t="str">
            <v>2</v>
          </cell>
        </row>
        <row r="1081">
          <cell r="A1081" t="str">
            <v>JUNINJAUJASAN LORENZO</v>
          </cell>
          <cell r="B1081" t="str">
            <v>12</v>
          </cell>
          <cell r="C1081" t="str">
            <v>04</v>
          </cell>
          <cell r="D1081" t="str">
            <v>28</v>
          </cell>
          <cell r="E1081" t="str">
            <v>JUNIN</v>
          </cell>
          <cell r="F1081" t="str">
            <v>JAUJA</v>
          </cell>
          <cell r="G1081" t="str">
            <v>SAN LORENZO</v>
          </cell>
          <cell r="H1081" t="str">
            <v>011071</v>
          </cell>
          <cell r="I1081" t="str">
            <v>2</v>
          </cell>
        </row>
        <row r="1082">
          <cell r="A1082" t="str">
            <v>JUNINJAUJASAN PEDRO DE CHUNAN</v>
          </cell>
          <cell r="B1082" t="str">
            <v>12</v>
          </cell>
          <cell r="C1082" t="str">
            <v>04</v>
          </cell>
          <cell r="D1082" t="str">
            <v>29</v>
          </cell>
          <cell r="E1082" t="str">
            <v>JUNIN</v>
          </cell>
          <cell r="F1082" t="str">
            <v>JAUJA</v>
          </cell>
          <cell r="G1082" t="str">
            <v>SAN PEDRO DE CHUNAN</v>
          </cell>
          <cell r="H1082" t="str">
            <v>011057</v>
          </cell>
          <cell r="I1082" t="str">
            <v>2</v>
          </cell>
        </row>
        <row r="1083">
          <cell r="A1083" t="str">
            <v>JUNINJAUJASAUSA</v>
          </cell>
          <cell r="B1083" t="str">
            <v>12</v>
          </cell>
          <cell r="C1083" t="str">
            <v>04</v>
          </cell>
          <cell r="D1083" t="str">
            <v>30</v>
          </cell>
          <cell r="E1083" t="str">
            <v>JUNIN</v>
          </cell>
          <cell r="F1083" t="str">
            <v>JAUJA</v>
          </cell>
          <cell r="G1083" t="str">
            <v>SAUSA</v>
          </cell>
          <cell r="H1083" t="str">
            <v>011058</v>
          </cell>
          <cell r="I1083" t="str">
            <v>2</v>
          </cell>
        </row>
        <row r="1084">
          <cell r="A1084" t="str">
            <v>JUNINJAUJASINCOS</v>
          </cell>
          <cell r="B1084" t="str">
            <v>12</v>
          </cell>
          <cell r="C1084" t="str">
            <v>04</v>
          </cell>
          <cell r="D1084" t="str">
            <v>31</v>
          </cell>
          <cell r="E1084" t="str">
            <v>JUNIN</v>
          </cell>
          <cell r="F1084" t="str">
            <v>JAUJA</v>
          </cell>
          <cell r="G1084" t="str">
            <v>SINCOS</v>
          </cell>
          <cell r="H1084" t="str">
            <v>011081</v>
          </cell>
          <cell r="I1084" t="str">
            <v>2</v>
          </cell>
        </row>
        <row r="1085">
          <cell r="A1085" t="str">
            <v>JUNINJAUJATUNAN MARCA</v>
          </cell>
          <cell r="B1085" t="str">
            <v>12</v>
          </cell>
          <cell r="C1085" t="str">
            <v>04</v>
          </cell>
          <cell r="D1085" t="str">
            <v>32</v>
          </cell>
          <cell r="E1085" t="str">
            <v>JUNIN</v>
          </cell>
          <cell r="F1085" t="str">
            <v>JAUJA</v>
          </cell>
          <cell r="G1085" t="str">
            <v>TUNAN MARCA</v>
          </cell>
          <cell r="H1085" t="str">
            <v>011059</v>
          </cell>
          <cell r="I1085" t="str">
            <v>2</v>
          </cell>
        </row>
        <row r="1086">
          <cell r="A1086" t="str">
            <v>JUNINJAUJAYAULI</v>
          </cell>
          <cell r="B1086" t="str">
            <v>12</v>
          </cell>
          <cell r="C1086" t="str">
            <v>04</v>
          </cell>
          <cell r="D1086" t="str">
            <v>33</v>
          </cell>
          <cell r="E1086" t="str">
            <v>JUNIN</v>
          </cell>
          <cell r="F1086" t="str">
            <v>JAUJA</v>
          </cell>
          <cell r="G1086" t="str">
            <v>YAULI</v>
          </cell>
          <cell r="H1086" t="str">
            <v>011060</v>
          </cell>
          <cell r="I1086" t="str">
            <v>2</v>
          </cell>
        </row>
        <row r="1087">
          <cell r="A1087" t="str">
            <v>JUNINJAUJAYAUYOS</v>
          </cell>
          <cell r="B1087" t="str">
            <v>12</v>
          </cell>
          <cell r="C1087" t="str">
            <v>04</v>
          </cell>
          <cell r="D1087" t="str">
            <v>34</v>
          </cell>
          <cell r="E1087" t="str">
            <v>JUNIN</v>
          </cell>
          <cell r="F1087" t="str">
            <v>JAUJA</v>
          </cell>
          <cell r="G1087" t="str">
            <v>YAUYOS</v>
          </cell>
          <cell r="H1087" t="str">
            <v>011061</v>
          </cell>
          <cell r="I1087" t="str">
            <v>2</v>
          </cell>
        </row>
        <row r="1088">
          <cell r="A1088" t="str">
            <v>JUNINJUNINJUNIN</v>
          </cell>
          <cell r="B1088" t="str">
            <v>12</v>
          </cell>
          <cell r="C1088" t="str">
            <v>05</v>
          </cell>
          <cell r="D1088" t="str">
            <v>01</v>
          </cell>
          <cell r="E1088" t="str">
            <v>JUNIN</v>
          </cell>
          <cell r="F1088" t="str">
            <v>JUNIN</v>
          </cell>
          <cell r="G1088" t="str">
            <v>JUNIN</v>
          </cell>
          <cell r="H1088" t="str">
            <v>011114</v>
          </cell>
          <cell r="I1088" t="str">
            <v>1</v>
          </cell>
        </row>
        <row r="1089">
          <cell r="A1089" t="str">
            <v>JUNINJUNINCARHUAMAYO</v>
          </cell>
          <cell r="B1089" t="str">
            <v>12</v>
          </cell>
          <cell r="C1089" t="str">
            <v>05</v>
          </cell>
          <cell r="D1089" t="str">
            <v>02</v>
          </cell>
          <cell r="E1089" t="str">
            <v>JUNIN</v>
          </cell>
          <cell r="F1089" t="str">
            <v>JUNIN</v>
          </cell>
          <cell r="G1089" t="str">
            <v>CARHUAMAYO</v>
          </cell>
          <cell r="H1089" t="str">
            <v>011115</v>
          </cell>
          <cell r="I1089" t="str">
            <v>2</v>
          </cell>
        </row>
        <row r="1090">
          <cell r="A1090" t="str">
            <v>JUNINJUNINONDORES</v>
          </cell>
          <cell r="B1090" t="str">
            <v>12</v>
          </cell>
          <cell r="C1090" t="str">
            <v>05</v>
          </cell>
          <cell r="D1090" t="str">
            <v>03</v>
          </cell>
          <cell r="E1090" t="str">
            <v>JUNIN</v>
          </cell>
          <cell r="F1090" t="str">
            <v>JUNIN</v>
          </cell>
          <cell r="G1090" t="str">
            <v>ONDORES</v>
          </cell>
          <cell r="H1090" t="str">
            <v>011116</v>
          </cell>
          <cell r="I1090" t="str">
            <v>2</v>
          </cell>
        </row>
        <row r="1091">
          <cell r="A1091" t="str">
            <v>JUNINJUNINULCUMAYO</v>
          </cell>
          <cell r="B1091" t="str">
            <v>12</v>
          </cell>
          <cell r="C1091" t="str">
            <v>05</v>
          </cell>
          <cell r="D1091" t="str">
            <v>04</v>
          </cell>
          <cell r="E1091" t="str">
            <v>JUNIN</v>
          </cell>
          <cell r="F1091" t="str">
            <v>JUNIN</v>
          </cell>
          <cell r="G1091" t="str">
            <v>ULCUMAYO</v>
          </cell>
          <cell r="H1091" t="str">
            <v>011117</v>
          </cell>
          <cell r="I1091" t="str">
            <v>2</v>
          </cell>
        </row>
        <row r="1092">
          <cell r="A1092" t="str">
            <v>JUNINSATIPOSATIPO</v>
          </cell>
          <cell r="B1092" t="str">
            <v>12</v>
          </cell>
          <cell r="C1092" t="str">
            <v>06</v>
          </cell>
          <cell r="D1092" t="str">
            <v>01</v>
          </cell>
          <cell r="E1092" t="str">
            <v>JUNIN</v>
          </cell>
          <cell r="F1092" t="str">
            <v>SATIPO</v>
          </cell>
          <cell r="G1092" t="str">
            <v>SATIPO</v>
          </cell>
          <cell r="H1092" t="str">
            <v>011106</v>
          </cell>
          <cell r="I1092" t="str">
            <v>1</v>
          </cell>
        </row>
        <row r="1093">
          <cell r="A1093" t="str">
            <v>JUNINSATIPOCOVIRIALI</v>
          </cell>
          <cell r="B1093" t="str">
            <v>12</v>
          </cell>
          <cell r="C1093" t="str">
            <v>06</v>
          </cell>
          <cell r="D1093" t="str">
            <v>02</v>
          </cell>
          <cell r="E1093" t="str">
            <v>JUNIN</v>
          </cell>
          <cell r="F1093" t="str">
            <v>SATIPO</v>
          </cell>
          <cell r="G1093" t="str">
            <v>COVIRIALI</v>
          </cell>
          <cell r="H1093" t="str">
            <v>011107</v>
          </cell>
          <cell r="I1093" t="str">
            <v>2</v>
          </cell>
        </row>
        <row r="1094">
          <cell r="A1094" t="str">
            <v>JUNINSATIPOLLAYLLA</v>
          </cell>
          <cell r="B1094" t="str">
            <v>12</v>
          </cell>
          <cell r="C1094" t="str">
            <v>06</v>
          </cell>
          <cell r="D1094" t="str">
            <v>03</v>
          </cell>
          <cell r="E1094" t="str">
            <v>JUNIN</v>
          </cell>
          <cell r="F1094" t="str">
            <v>SATIPO</v>
          </cell>
          <cell r="G1094" t="str">
            <v>LLAYLLA</v>
          </cell>
          <cell r="H1094" t="str">
            <v>012656</v>
          </cell>
          <cell r="I1094" t="str">
            <v>2</v>
          </cell>
        </row>
        <row r="1095">
          <cell r="A1095" t="str">
            <v>JUNINSATIPOMAZAMARI</v>
          </cell>
          <cell r="B1095" t="str">
            <v>12</v>
          </cell>
          <cell r="C1095" t="str">
            <v>06</v>
          </cell>
          <cell r="D1095" t="str">
            <v>04</v>
          </cell>
          <cell r="E1095" t="str">
            <v>JUNIN</v>
          </cell>
          <cell r="F1095" t="str">
            <v>SATIPO</v>
          </cell>
          <cell r="G1095" t="str">
            <v>MAZAMARI</v>
          </cell>
          <cell r="H1095" t="str">
            <v>011109</v>
          </cell>
          <cell r="I1095" t="str">
            <v>2</v>
          </cell>
        </row>
        <row r="1096">
          <cell r="A1096" t="str">
            <v>JUNINSATIPOPAMPA HERMOSA</v>
          </cell>
          <cell r="B1096" t="str">
            <v>12</v>
          </cell>
          <cell r="C1096" t="str">
            <v>06</v>
          </cell>
          <cell r="D1096" t="str">
            <v>05</v>
          </cell>
          <cell r="E1096" t="str">
            <v>JUNIN</v>
          </cell>
          <cell r="F1096" t="str">
            <v>SATIPO</v>
          </cell>
          <cell r="G1096" t="str">
            <v>PAMPA HERMOSA</v>
          </cell>
          <cell r="H1096" t="str">
            <v>011110</v>
          </cell>
          <cell r="I1096" t="str">
            <v>2</v>
          </cell>
        </row>
        <row r="1097">
          <cell r="A1097" t="str">
            <v>JUNINSATIPOPANGOA</v>
          </cell>
          <cell r="B1097" t="str">
            <v>12</v>
          </cell>
          <cell r="C1097" t="str">
            <v>06</v>
          </cell>
          <cell r="D1097" t="str">
            <v>06</v>
          </cell>
          <cell r="E1097" t="str">
            <v>JUNIN</v>
          </cell>
          <cell r="F1097" t="str">
            <v>SATIPO</v>
          </cell>
          <cell r="G1097" t="str">
            <v>PANGOA</v>
          </cell>
          <cell r="H1097" t="str">
            <v>012657</v>
          </cell>
          <cell r="I1097" t="str">
            <v>2</v>
          </cell>
        </row>
        <row r="1098">
          <cell r="A1098" t="str">
            <v>JUNINSATIPORIO NEGRO</v>
          </cell>
          <cell r="B1098" t="str">
            <v>12</v>
          </cell>
          <cell r="C1098" t="str">
            <v>06</v>
          </cell>
          <cell r="D1098" t="str">
            <v>07</v>
          </cell>
          <cell r="E1098" t="str">
            <v>JUNIN</v>
          </cell>
          <cell r="F1098" t="str">
            <v>SATIPO</v>
          </cell>
          <cell r="G1098" t="str">
            <v>RIO NEGRO</v>
          </cell>
          <cell r="H1098" t="str">
            <v>011112</v>
          </cell>
          <cell r="I1098" t="str">
            <v>2</v>
          </cell>
        </row>
        <row r="1099">
          <cell r="A1099" t="str">
            <v>JUNINSATIPORIO TAMBO</v>
          </cell>
          <cell r="B1099" t="str">
            <v>12</v>
          </cell>
          <cell r="C1099" t="str">
            <v>06</v>
          </cell>
          <cell r="D1099" t="str">
            <v>08</v>
          </cell>
          <cell r="E1099" t="str">
            <v>JUNIN</v>
          </cell>
          <cell r="F1099" t="str">
            <v>SATIPO</v>
          </cell>
          <cell r="G1099" t="str">
            <v>RIO TAMBO</v>
          </cell>
          <cell r="H1099" t="str">
            <v>011113</v>
          </cell>
          <cell r="I1099" t="str">
            <v>2</v>
          </cell>
        </row>
        <row r="1100">
          <cell r="A1100" t="str">
            <v>JUNINTARMATARMA</v>
          </cell>
          <cell r="B1100" t="str">
            <v>12</v>
          </cell>
          <cell r="C1100" t="str">
            <v>07</v>
          </cell>
          <cell r="D1100" t="str">
            <v>01</v>
          </cell>
          <cell r="E1100" t="str">
            <v>JUNIN</v>
          </cell>
          <cell r="F1100" t="str">
            <v>TARMA</v>
          </cell>
          <cell r="G1100" t="str">
            <v>TARMA</v>
          </cell>
          <cell r="H1100" t="str">
            <v>012156</v>
          </cell>
          <cell r="I1100" t="str">
            <v>1</v>
          </cell>
        </row>
        <row r="1101">
          <cell r="A1101" t="str">
            <v>JUNINTARMAACOBAMBA</v>
          </cell>
          <cell r="B1101" t="str">
            <v>12</v>
          </cell>
          <cell r="C1101" t="str">
            <v>07</v>
          </cell>
          <cell r="D1101" t="str">
            <v>02</v>
          </cell>
          <cell r="E1101" t="str">
            <v>JUNIN</v>
          </cell>
          <cell r="F1101" t="str">
            <v>TARMA</v>
          </cell>
          <cell r="G1101" t="str">
            <v>ACOBAMBA</v>
          </cell>
          <cell r="H1101" t="str">
            <v>011092</v>
          </cell>
          <cell r="I1101" t="str">
            <v>2</v>
          </cell>
        </row>
        <row r="1102">
          <cell r="A1102" t="str">
            <v>JUNINTARMAHUARICOLCA</v>
          </cell>
          <cell r="B1102" t="str">
            <v>12</v>
          </cell>
          <cell r="C1102" t="str">
            <v>07</v>
          </cell>
          <cell r="D1102" t="str">
            <v>03</v>
          </cell>
          <cell r="E1102" t="str">
            <v>JUNIN</v>
          </cell>
          <cell r="F1102" t="str">
            <v>TARMA</v>
          </cell>
          <cell r="G1102" t="str">
            <v>HUARICOLCA</v>
          </cell>
          <cell r="H1102" t="str">
            <v>012659</v>
          </cell>
          <cell r="I1102" t="str">
            <v>2</v>
          </cell>
        </row>
        <row r="1103">
          <cell r="A1103" t="str">
            <v>JUNINTARMAHUASAHUASI</v>
          </cell>
          <cell r="B1103" t="str">
            <v>12</v>
          </cell>
          <cell r="C1103" t="str">
            <v>07</v>
          </cell>
          <cell r="D1103" t="str">
            <v>04</v>
          </cell>
          <cell r="E1103" t="str">
            <v>JUNIN</v>
          </cell>
          <cell r="F1103" t="str">
            <v>TARMA</v>
          </cell>
          <cell r="G1103" t="str">
            <v>HUASAHUASI</v>
          </cell>
          <cell r="H1103" t="str">
            <v>012660</v>
          </cell>
          <cell r="I1103" t="str">
            <v>2</v>
          </cell>
        </row>
        <row r="1104">
          <cell r="A1104" t="str">
            <v>JUNINTARMALA UNION</v>
          </cell>
          <cell r="B1104" t="str">
            <v>12</v>
          </cell>
          <cell r="C1104" t="str">
            <v>07</v>
          </cell>
          <cell r="D1104" t="str">
            <v>05</v>
          </cell>
          <cell r="E1104" t="str">
            <v>JUNIN</v>
          </cell>
          <cell r="F1104" t="str">
            <v>TARMA</v>
          </cell>
          <cell r="G1104" t="str">
            <v>LA UNION</v>
          </cell>
          <cell r="H1104" t="str">
            <v>011095</v>
          </cell>
          <cell r="I1104" t="str">
            <v>2</v>
          </cell>
        </row>
        <row r="1105">
          <cell r="A1105" t="str">
            <v>JUNINTARMAPALCA</v>
          </cell>
          <cell r="B1105" t="str">
            <v>12</v>
          </cell>
          <cell r="C1105" t="str">
            <v>07</v>
          </cell>
          <cell r="D1105" t="str">
            <v>06</v>
          </cell>
          <cell r="E1105" t="str">
            <v>JUNIN</v>
          </cell>
          <cell r="F1105" t="str">
            <v>TARMA</v>
          </cell>
          <cell r="G1105" t="str">
            <v>PALCA</v>
          </cell>
          <cell r="H1105" t="str">
            <v>011096</v>
          </cell>
          <cell r="I1105" t="str">
            <v>2</v>
          </cell>
        </row>
        <row r="1106">
          <cell r="A1106" t="str">
            <v>JUNINTARMAPALCAMAYO</v>
          </cell>
          <cell r="B1106" t="str">
            <v>12</v>
          </cell>
          <cell r="C1106" t="str">
            <v>07</v>
          </cell>
          <cell r="D1106" t="str">
            <v>07</v>
          </cell>
          <cell r="E1106" t="str">
            <v>JUNIN</v>
          </cell>
          <cell r="F1106" t="str">
            <v>TARMA</v>
          </cell>
          <cell r="G1106" t="str">
            <v>PALCAMAYO</v>
          </cell>
          <cell r="H1106" t="str">
            <v>011097</v>
          </cell>
          <cell r="I1106" t="str">
            <v>2</v>
          </cell>
        </row>
        <row r="1107">
          <cell r="A1107" t="str">
            <v>JUNINTARMASAN PEDRO DE CAJAS</v>
          </cell>
          <cell r="B1107" t="str">
            <v>12</v>
          </cell>
          <cell r="C1107" t="str">
            <v>07</v>
          </cell>
          <cell r="D1107" t="str">
            <v>08</v>
          </cell>
          <cell r="E1107" t="str">
            <v>JUNIN</v>
          </cell>
          <cell r="F1107" t="str">
            <v>TARMA</v>
          </cell>
          <cell r="G1107" t="str">
            <v>SAN PEDRO DE CAJAS</v>
          </cell>
          <cell r="H1107" t="str">
            <v>012662</v>
          </cell>
          <cell r="I1107" t="str">
            <v>2</v>
          </cell>
        </row>
        <row r="1108">
          <cell r="A1108" t="str">
            <v>JUNINTARMATAPO</v>
          </cell>
          <cell r="B1108" t="str">
            <v>12</v>
          </cell>
          <cell r="C1108" t="str">
            <v>07</v>
          </cell>
          <cell r="D1108" t="str">
            <v>09</v>
          </cell>
          <cell r="E1108" t="str">
            <v>JUNIN</v>
          </cell>
          <cell r="F1108" t="str">
            <v>TARMA</v>
          </cell>
          <cell r="G1108" t="str">
            <v>TAPO</v>
          </cell>
          <cell r="H1108" t="str">
            <v>012663</v>
          </cell>
          <cell r="I1108" t="str">
            <v>2</v>
          </cell>
        </row>
        <row r="1109">
          <cell r="A1109" t="str">
            <v>JUNINYAULILA OROYA</v>
          </cell>
          <cell r="B1109" t="str">
            <v>12</v>
          </cell>
          <cell r="C1109" t="str">
            <v>08</v>
          </cell>
          <cell r="D1109" t="str">
            <v>01</v>
          </cell>
          <cell r="E1109" t="str">
            <v>JUNIN</v>
          </cell>
          <cell r="F1109" t="str">
            <v>YAULI</v>
          </cell>
          <cell r="G1109" t="str">
            <v>LA OROYA</v>
          </cell>
          <cell r="H1109" t="str">
            <v>011118</v>
          </cell>
          <cell r="I1109" t="str">
            <v>1</v>
          </cell>
        </row>
        <row r="1110">
          <cell r="A1110" t="str">
            <v>JUNINYAULICHACAPALPA</v>
          </cell>
          <cell r="B1110" t="str">
            <v>12</v>
          </cell>
          <cell r="C1110" t="str">
            <v>08</v>
          </cell>
          <cell r="D1110" t="str">
            <v>02</v>
          </cell>
          <cell r="E1110" t="str">
            <v>JUNIN</v>
          </cell>
          <cell r="F1110" t="str">
            <v>YAULI</v>
          </cell>
          <cell r="G1110" t="str">
            <v>CHACAPALPA</v>
          </cell>
          <cell r="H1110" t="str">
            <v>011119</v>
          </cell>
          <cell r="I1110" t="str">
            <v>2</v>
          </cell>
        </row>
        <row r="1111">
          <cell r="A1111" t="str">
            <v>JUNINYAULIHUAY-HUAY</v>
          </cell>
          <cell r="B1111" t="str">
            <v>12</v>
          </cell>
          <cell r="C1111" t="str">
            <v>08</v>
          </cell>
          <cell r="D1111" t="str">
            <v>03</v>
          </cell>
          <cell r="E1111" t="str">
            <v>JUNIN</v>
          </cell>
          <cell r="F1111" t="str">
            <v>YAULI</v>
          </cell>
          <cell r="G1111" t="str">
            <v>HUAY-HUAY</v>
          </cell>
          <cell r="H1111" t="str">
            <v>011120</v>
          </cell>
          <cell r="I1111" t="str">
            <v>2</v>
          </cell>
        </row>
        <row r="1112">
          <cell r="A1112" t="str">
            <v>JUNINYAULIMARCAPOMACOCHA</v>
          </cell>
          <cell r="B1112" t="str">
            <v>12</v>
          </cell>
          <cell r="C1112" t="str">
            <v>08</v>
          </cell>
          <cell r="D1112" t="str">
            <v>04</v>
          </cell>
          <cell r="E1112" t="str">
            <v>JUNIN</v>
          </cell>
          <cell r="F1112" t="str">
            <v>YAULI</v>
          </cell>
          <cell r="G1112" t="str">
            <v>MARCAPOMACOCHA</v>
          </cell>
          <cell r="H1112" t="str">
            <v>012664</v>
          </cell>
          <cell r="I1112" t="str">
            <v>2</v>
          </cell>
        </row>
        <row r="1113">
          <cell r="A1113" t="str">
            <v>JUNINYAULIMOROCOCHA</v>
          </cell>
          <cell r="B1113" t="str">
            <v>12</v>
          </cell>
          <cell r="C1113" t="str">
            <v>08</v>
          </cell>
          <cell r="D1113" t="str">
            <v>05</v>
          </cell>
          <cell r="E1113" t="str">
            <v>JUNIN</v>
          </cell>
          <cell r="F1113" t="str">
            <v>YAULI</v>
          </cell>
          <cell r="G1113" t="str">
            <v>MOROCOCHA</v>
          </cell>
          <cell r="H1113" t="str">
            <v>012165</v>
          </cell>
          <cell r="I1113" t="str">
            <v>2</v>
          </cell>
        </row>
        <row r="1114">
          <cell r="A1114" t="str">
            <v>JUNINYAULIPACCHA</v>
          </cell>
          <cell r="B1114" t="str">
            <v>12</v>
          </cell>
          <cell r="C1114" t="str">
            <v>08</v>
          </cell>
          <cell r="D1114" t="str">
            <v>06</v>
          </cell>
          <cell r="E1114" t="str">
            <v>JUNIN</v>
          </cell>
          <cell r="F1114" t="str">
            <v>YAULI</v>
          </cell>
          <cell r="G1114" t="str">
            <v>PACCHA</v>
          </cell>
          <cell r="H1114" t="str">
            <v>011123</v>
          </cell>
          <cell r="I1114" t="str">
            <v>2</v>
          </cell>
        </row>
        <row r="1115">
          <cell r="A1115" t="str">
            <v>JUNINYAULISANTA BARBARA DE CARHUACAYAN</v>
          </cell>
          <cell r="B1115" t="str">
            <v>12</v>
          </cell>
          <cell r="C1115" t="str">
            <v>08</v>
          </cell>
          <cell r="D1115" t="str">
            <v>07</v>
          </cell>
          <cell r="E1115" t="str">
            <v>JUNIN</v>
          </cell>
          <cell r="F1115" t="str">
            <v>YAULI</v>
          </cell>
          <cell r="G1115" t="str">
            <v>SANTA BARBARA DE CARHUACAYAN</v>
          </cell>
          <cell r="H1115" t="str">
            <v>012160</v>
          </cell>
          <cell r="I1115" t="str">
            <v>2</v>
          </cell>
        </row>
        <row r="1116">
          <cell r="A1116" t="str">
            <v>JUNINYAULISANTA ROSA DE SACCO</v>
          </cell>
          <cell r="B1116" t="str">
            <v>12</v>
          </cell>
          <cell r="C1116" t="str">
            <v>08</v>
          </cell>
          <cell r="D1116" t="str">
            <v>08</v>
          </cell>
          <cell r="E1116" t="str">
            <v>JUNIN</v>
          </cell>
          <cell r="F1116" t="str">
            <v>YAULI</v>
          </cell>
          <cell r="G1116" t="str">
            <v>SANTA ROSA DE SACCO</v>
          </cell>
          <cell r="H1116" t="str">
            <v>011125</v>
          </cell>
          <cell r="I1116" t="str">
            <v>2</v>
          </cell>
        </row>
        <row r="1117">
          <cell r="A1117" t="str">
            <v>JUNINYAULISUITUCANCHA</v>
          </cell>
          <cell r="B1117" t="str">
            <v>12</v>
          </cell>
          <cell r="C1117" t="str">
            <v>08</v>
          </cell>
          <cell r="D1117" t="str">
            <v>09</v>
          </cell>
          <cell r="E1117" t="str">
            <v>JUNIN</v>
          </cell>
          <cell r="F1117" t="str">
            <v>YAULI</v>
          </cell>
          <cell r="G1117" t="str">
            <v>SUITUCANCHA</v>
          </cell>
          <cell r="H1117" t="str">
            <v>012142</v>
          </cell>
          <cell r="I1117" t="str">
            <v>2</v>
          </cell>
        </row>
        <row r="1118">
          <cell r="A1118" t="str">
            <v>JUNINYAULIYAULI</v>
          </cell>
          <cell r="B1118" t="str">
            <v>12</v>
          </cell>
          <cell r="C1118" t="str">
            <v>08</v>
          </cell>
          <cell r="D1118" t="str">
            <v>10</v>
          </cell>
          <cell r="E1118" t="str">
            <v>JUNIN</v>
          </cell>
          <cell r="F1118" t="str">
            <v>YAULI</v>
          </cell>
          <cell r="G1118" t="str">
            <v>YAULI</v>
          </cell>
          <cell r="H1118" t="str">
            <v>011127</v>
          </cell>
          <cell r="I1118" t="str">
            <v>2</v>
          </cell>
        </row>
        <row r="1119">
          <cell r="A1119" t="str">
            <v>JUNINCHUPACACHUPACA</v>
          </cell>
          <cell r="B1119" t="str">
            <v>12</v>
          </cell>
          <cell r="C1119" t="str">
            <v>09</v>
          </cell>
          <cell r="D1119" t="str">
            <v>01</v>
          </cell>
          <cell r="E1119" t="str">
            <v>JUNIN</v>
          </cell>
          <cell r="F1119" t="str">
            <v>CHUPACA</v>
          </cell>
          <cell r="G1119" t="str">
            <v>CHUPACA</v>
          </cell>
          <cell r="H1119" t="str">
            <v>011082</v>
          </cell>
          <cell r="I1119" t="str">
            <v>1</v>
          </cell>
        </row>
        <row r="1120">
          <cell r="A1120" t="str">
            <v>JUNINCHUPACAAHUAC</v>
          </cell>
          <cell r="B1120" t="str">
            <v>12</v>
          </cell>
          <cell r="C1120" t="str">
            <v>09</v>
          </cell>
          <cell r="D1120" t="str">
            <v>02</v>
          </cell>
          <cell r="E1120" t="str">
            <v>JUNIN</v>
          </cell>
          <cell r="F1120" t="str">
            <v>CHUPACA</v>
          </cell>
          <cell r="G1120" t="str">
            <v>AHUAC</v>
          </cell>
          <cell r="H1120" t="str">
            <v>011083</v>
          </cell>
          <cell r="I1120" t="str">
            <v>2</v>
          </cell>
        </row>
        <row r="1121">
          <cell r="A1121" t="str">
            <v>JUNINCHUPACACHONGOS BAJO</v>
          </cell>
          <cell r="B1121" t="str">
            <v>12</v>
          </cell>
          <cell r="C1121" t="str">
            <v>09</v>
          </cell>
          <cell r="D1121" t="str">
            <v>03</v>
          </cell>
          <cell r="E1121" t="str">
            <v>JUNIN</v>
          </cell>
          <cell r="F1121" t="str">
            <v>CHUPACA</v>
          </cell>
          <cell r="G1121" t="str">
            <v>CHONGOS BAJO</v>
          </cell>
          <cell r="H1121" t="str">
            <v>012141</v>
          </cell>
          <cell r="I1121" t="str">
            <v>2</v>
          </cell>
        </row>
        <row r="1122">
          <cell r="A1122" t="str">
            <v>JUNINCHUPACAHUACHAC</v>
          </cell>
          <cell r="B1122" t="str">
            <v>12</v>
          </cell>
          <cell r="C1122" t="str">
            <v>09</v>
          </cell>
          <cell r="D1122" t="str">
            <v>04</v>
          </cell>
          <cell r="E1122" t="str">
            <v>JUNIN</v>
          </cell>
          <cell r="F1122" t="str">
            <v>CHUPACA</v>
          </cell>
          <cell r="G1122" t="str">
            <v>HUACHAC</v>
          </cell>
          <cell r="H1122" t="str">
            <v>011085</v>
          </cell>
          <cell r="I1122" t="str">
            <v>2</v>
          </cell>
        </row>
        <row r="1123">
          <cell r="A1123" t="str">
            <v>JUNINCHUPACAHUAMANCACA CHICO</v>
          </cell>
          <cell r="B1123" t="str">
            <v>12</v>
          </cell>
          <cell r="C1123" t="str">
            <v>09</v>
          </cell>
          <cell r="D1123" t="str">
            <v>05</v>
          </cell>
          <cell r="E1123" t="str">
            <v>JUNIN</v>
          </cell>
          <cell r="F1123" t="str">
            <v>CHUPACA</v>
          </cell>
          <cell r="G1123" t="str">
            <v>HUAMANCACA CHICO</v>
          </cell>
          <cell r="H1123" t="str">
            <v>012146</v>
          </cell>
          <cell r="I1123" t="str">
            <v>2</v>
          </cell>
        </row>
        <row r="1124">
          <cell r="A1124" t="str">
            <v>JUNINCHUPACASAN JUAN DE ISCOS</v>
          </cell>
          <cell r="B1124" t="str">
            <v>12</v>
          </cell>
          <cell r="C1124" t="str">
            <v>09</v>
          </cell>
          <cell r="D1124" t="str">
            <v>06</v>
          </cell>
          <cell r="E1124" t="str">
            <v>JUNIN</v>
          </cell>
          <cell r="F1124" t="str">
            <v>CHUPACA</v>
          </cell>
          <cell r="G1124" t="str">
            <v>SAN JUAN DE ISCOS</v>
          </cell>
          <cell r="H1124" t="str">
            <v>011087</v>
          </cell>
          <cell r="I1124" t="str">
            <v>2</v>
          </cell>
        </row>
        <row r="1125">
          <cell r="A1125" t="str">
            <v>JUNINCHUPACASAN JUAN DE JARPA</v>
          </cell>
          <cell r="B1125" t="str">
            <v>12</v>
          </cell>
          <cell r="C1125" t="str">
            <v>09</v>
          </cell>
          <cell r="D1125" t="str">
            <v>07</v>
          </cell>
          <cell r="E1125" t="str">
            <v>JUNIN</v>
          </cell>
          <cell r="F1125" t="str">
            <v>CHUPACA</v>
          </cell>
          <cell r="G1125" t="str">
            <v>SAN JUAN DE JARPA</v>
          </cell>
          <cell r="H1125" t="str">
            <v>011088</v>
          </cell>
          <cell r="I1125" t="str">
            <v>2</v>
          </cell>
        </row>
        <row r="1126">
          <cell r="A1126" t="str">
            <v>JUNINCHUPACA3 DE DICIEMBRE</v>
          </cell>
          <cell r="B1126" t="str">
            <v>12</v>
          </cell>
          <cell r="C1126" t="str">
            <v>09</v>
          </cell>
          <cell r="D1126" t="str">
            <v>08</v>
          </cell>
          <cell r="E1126" t="str">
            <v>JUNIN</v>
          </cell>
          <cell r="F1126" t="str">
            <v>CHUPACA</v>
          </cell>
          <cell r="G1126" t="str">
            <v>3 DE DICIEMBRE</v>
          </cell>
          <cell r="H1126" t="str">
            <v>011089</v>
          </cell>
          <cell r="I1126" t="str">
            <v>2</v>
          </cell>
        </row>
        <row r="1127">
          <cell r="A1127" t="str">
            <v>JUNINCHUPACAYANACANCHA</v>
          </cell>
          <cell r="B1127" t="str">
            <v>12</v>
          </cell>
          <cell r="C1127" t="str">
            <v>09</v>
          </cell>
          <cell r="D1127" t="str">
            <v>09</v>
          </cell>
          <cell r="E1127" t="str">
            <v>JUNIN</v>
          </cell>
          <cell r="F1127" t="str">
            <v>CHUPACA</v>
          </cell>
          <cell r="G1127" t="str">
            <v>YANACANCHA</v>
          </cell>
          <cell r="H1127" t="str">
            <v>012161</v>
          </cell>
          <cell r="I1127" t="str">
            <v>2</v>
          </cell>
        </row>
        <row r="1128">
          <cell r="A1128" t="str">
            <v>LA LIBERTADTRUJILLOTRUJILLO</v>
          </cell>
          <cell r="B1128" t="str">
            <v>13</v>
          </cell>
          <cell r="C1128" t="str">
            <v>01</v>
          </cell>
          <cell r="D1128" t="str">
            <v>01</v>
          </cell>
          <cell r="E1128" t="str">
            <v>LA LIBERTAD</v>
          </cell>
          <cell r="F1128" t="str">
            <v>TRUJILLO</v>
          </cell>
          <cell r="G1128" t="str">
            <v>TRUJILLO</v>
          </cell>
          <cell r="H1128" t="str">
            <v>012679</v>
          </cell>
          <cell r="I1128" t="str">
            <v>1</v>
          </cell>
        </row>
        <row r="1129">
          <cell r="A1129" t="str">
            <v>LA LIBERTADTRUJILLOEL PORVENIR</v>
          </cell>
          <cell r="B1129" t="str">
            <v>13</v>
          </cell>
          <cell r="C1129" t="str">
            <v>01</v>
          </cell>
          <cell r="D1129" t="str">
            <v>02</v>
          </cell>
          <cell r="E1129" t="str">
            <v>LA LIBERTAD</v>
          </cell>
          <cell r="F1129" t="str">
            <v>TRUJILLO</v>
          </cell>
          <cell r="G1129" t="str">
            <v>EL PORVENIR</v>
          </cell>
          <cell r="H1129" t="str">
            <v>012187</v>
          </cell>
          <cell r="I1129" t="str">
            <v>2</v>
          </cell>
        </row>
        <row r="1130">
          <cell r="A1130" t="str">
            <v>LA LIBERTADTRUJILLOFLORENCIA DE MORA</v>
          </cell>
          <cell r="B1130" t="str">
            <v>13</v>
          </cell>
          <cell r="C1130" t="str">
            <v>01</v>
          </cell>
          <cell r="D1130" t="str">
            <v>03</v>
          </cell>
          <cell r="E1130" t="str">
            <v>LA LIBERTAD</v>
          </cell>
          <cell r="F1130" t="str">
            <v>TRUJILLO</v>
          </cell>
          <cell r="G1130" t="str">
            <v>FLORENCIA DE MORA</v>
          </cell>
          <cell r="H1130" t="str">
            <v>011130</v>
          </cell>
          <cell r="I1130" t="str">
            <v>2</v>
          </cell>
        </row>
        <row r="1131">
          <cell r="A1131" t="str">
            <v>LA LIBERTADTRUJILLOHUANCHACO</v>
          </cell>
          <cell r="B1131" t="str">
            <v>13</v>
          </cell>
          <cell r="C1131" t="str">
            <v>01</v>
          </cell>
          <cell r="D1131" t="str">
            <v>04</v>
          </cell>
          <cell r="E1131" t="str">
            <v>LA LIBERTAD</v>
          </cell>
          <cell r="F1131" t="str">
            <v>TRUJILLO</v>
          </cell>
          <cell r="G1131" t="str">
            <v>HUANCHACO</v>
          </cell>
          <cell r="H1131" t="str">
            <v>013007</v>
          </cell>
          <cell r="I1131" t="str">
            <v>2</v>
          </cell>
        </row>
        <row r="1132">
          <cell r="A1132" t="str">
            <v>LA LIBERTADTRUJILLOLA ESPERANZA</v>
          </cell>
          <cell r="B1132" t="str">
            <v>13</v>
          </cell>
          <cell r="C1132" t="str">
            <v>01</v>
          </cell>
          <cell r="D1132" t="str">
            <v>05</v>
          </cell>
          <cell r="E1132" t="str">
            <v>LA LIBERTAD</v>
          </cell>
          <cell r="F1132" t="str">
            <v>TRUJILLO</v>
          </cell>
          <cell r="G1132" t="str">
            <v>LA ESPERANZA</v>
          </cell>
          <cell r="H1132" t="str">
            <v>012178</v>
          </cell>
          <cell r="I1132" t="str">
            <v>2</v>
          </cell>
        </row>
        <row r="1133">
          <cell r="A1133" t="str">
            <v>LA LIBERTADTRUJILLOLAREDO</v>
          </cell>
          <cell r="B1133" t="str">
            <v>13</v>
          </cell>
          <cell r="C1133" t="str">
            <v>01</v>
          </cell>
          <cell r="D1133" t="str">
            <v>06</v>
          </cell>
          <cell r="E1133" t="str">
            <v>LA LIBERTAD</v>
          </cell>
          <cell r="F1133" t="str">
            <v>TRUJILLO</v>
          </cell>
          <cell r="G1133" t="str">
            <v>LAREDO</v>
          </cell>
          <cell r="H1133" t="str">
            <v>011134</v>
          </cell>
          <cell r="I1133" t="str">
            <v>2</v>
          </cell>
        </row>
        <row r="1134">
          <cell r="A1134" t="str">
            <v>LA LIBERTADTRUJILLOMOCHE</v>
          </cell>
          <cell r="B1134" t="str">
            <v>13</v>
          </cell>
          <cell r="C1134" t="str">
            <v>01</v>
          </cell>
          <cell r="D1134" t="str">
            <v>07</v>
          </cell>
          <cell r="E1134" t="str">
            <v>LA LIBERTAD</v>
          </cell>
          <cell r="F1134" t="str">
            <v>TRUJILLO</v>
          </cell>
          <cell r="G1134" t="str">
            <v>MOCHE</v>
          </cell>
          <cell r="H1134" t="str">
            <v>011135</v>
          </cell>
          <cell r="I1134" t="str">
            <v>2</v>
          </cell>
        </row>
        <row r="1135">
          <cell r="A1135" t="str">
            <v>LA LIBERTADTRUJILLOPOROTO</v>
          </cell>
          <cell r="B1135" t="str">
            <v>13</v>
          </cell>
          <cell r="C1135" t="str">
            <v>01</v>
          </cell>
          <cell r="D1135" t="str">
            <v>08</v>
          </cell>
          <cell r="E1135" t="str">
            <v>LA LIBERTAD</v>
          </cell>
          <cell r="F1135" t="str">
            <v>TRUJILLO</v>
          </cell>
          <cell r="G1135" t="str">
            <v>POROTO</v>
          </cell>
          <cell r="H1135" t="str">
            <v>011136</v>
          </cell>
          <cell r="I1135" t="str">
            <v>2</v>
          </cell>
        </row>
        <row r="1136">
          <cell r="A1136" t="str">
            <v>LA LIBERTADTRUJILLOSALAVERRY</v>
          </cell>
          <cell r="B1136" t="str">
            <v>13</v>
          </cell>
          <cell r="C1136" t="str">
            <v>01</v>
          </cell>
          <cell r="D1136" t="str">
            <v>09</v>
          </cell>
          <cell r="E1136" t="str">
            <v>LA LIBERTAD</v>
          </cell>
          <cell r="F1136" t="str">
            <v>TRUJILLO</v>
          </cell>
          <cell r="G1136" t="str">
            <v>SALAVERRY</v>
          </cell>
          <cell r="H1136" t="str">
            <v>011137</v>
          </cell>
          <cell r="I1136" t="str">
            <v>2</v>
          </cell>
        </row>
        <row r="1137">
          <cell r="A1137" t="str">
            <v>LA LIBERTADTRUJILLOSIMBAL</v>
          </cell>
          <cell r="B1137" t="str">
            <v>13</v>
          </cell>
          <cell r="C1137" t="str">
            <v>01</v>
          </cell>
          <cell r="D1137" t="str">
            <v>10</v>
          </cell>
          <cell r="E1137" t="str">
            <v>LA LIBERTAD</v>
          </cell>
          <cell r="F1137" t="str">
            <v>TRUJILLO</v>
          </cell>
          <cell r="G1137" t="str">
            <v>SIMBAL</v>
          </cell>
          <cell r="H1137" t="str">
            <v>011138</v>
          </cell>
          <cell r="I1137" t="str">
            <v>2</v>
          </cell>
        </row>
        <row r="1138">
          <cell r="A1138" t="str">
            <v>LA LIBERTADTRUJILLOVICTOR LARCO HERRERA</v>
          </cell>
          <cell r="B1138" t="str">
            <v>13</v>
          </cell>
          <cell r="C1138" t="str">
            <v>01</v>
          </cell>
          <cell r="D1138" t="str">
            <v>11</v>
          </cell>
          <cell r="E1138" t="str">
            <v>LA LIBERTAD</v>
          </cell>
          <cell r="F1138" t="str">
            <v>TRUJILLO</v>
          </cell>
          <cell r="G1138" t="str">
            <v>VICTOR LARCO HERRERA</v>
          </cell>
          <cell r="H1138" t="str">
            <v>011132</v>
          </cell>
          <cell r="I1138" t="str">
            <v>2</v>
          </cell>
        </row>
        <row r="1139">
          <cell r="A1139" t="str">
            <v>LA LIBERTADASCOPEASCOPE</v>
          </cell>
          <cell r="B1139" t="str">
            <v>13</v>
          </cell>
          <cell r="C1139" t="str">
            <v>02</v>
          </cell>
          <cell r="D1139" t="str">
            <v>01</v>
          </cell>
          <cell r="E1139" t="str">
            <v>LA LIBERTAD</v>
          </cell>
          <cell r="F1139" t="str">
            <v>ASCOPE</v>
          </cell>
          <cell r="G1139" t="str">
            <v>ASCOPE</v>
          </cell>
          <cell r="H1139" t="str">
            <v>011139</v>
          </cell>
          <cell r="I1139" t="str">
            <v>1</v>
          </cell>
        </row>
        <row r="1140">
          <cell r="A1140" t="str">
            <v>LA LIBERTADASCOPECHICAMA</v>
          </cell>
          <cell r="B1140" t="str">
            <v>13</v>
          </cell>
          <cell r="C1140" t="str">
            <v>02</v>
          </cell>
          <cell r="D1140" t="str">
            <v>02</v>
          </cell>
          <cell r="E1140" t="str">
            <v>LA LIBERTAD</v>
          </cell>
          <cell r="F1140" t="str">
            <v>ASCOPE</v>
          </cell>
          <cell r="G1140" t="str">
            <v>CHICAMA</v>
          </cell>
          <cell r="H1140" t="str">
            <v>011140</v>
          </cell>
          <cell r="I1140" t="str">
            <v>2</v>
          </cell>
        </row>
        <row r="1141">
          <cell r="A1141" t="str">
            <v>LA LIBERTADASCOPECHOCOPE</v>
          </cell>
          <cell r="B1141" t="str">
            <v>13</v>
          </cell>
          <cell r="C1141" t="str">
            <v>02</v>
          </cell>
          <cell r="D1141" t="str">
            <v>03</v>
          </cell>
          <cell r="E1141" t="str">
            <v>LA LIBERTAD</v>
          </cell>
          <cell r="F1141" t="str">
            <v>ASCOPE</v>
          </cell>
          <cell r="G1141" t="str">
            <v>CHOCOPE</v>
          </cell>
          <cell r="H1141" t="str">
            <v>011141</v>
          </cell>
          <cell r="I1141" t="str">
            <v>2</v>
          </cell>
        </row>
        <row r="1142">
          <cell r="A1142" t="str">
            <v>LA LIBERTADASCOPEMAGDALENA DE CAO</v>
          </cell>
          <cell r="B1142" t="str">
            <v>13</v>
          </cell>
          <cell r="C1142" t="str">
            <v>02</v>
          </cell>
          <cell r="D1142" t="str">
            <v>04</v>
          </cell>
          <cell r="E1142" t="str">
            <v>LA LIBERTAD</v>
          </cell>
          <cell r="F1142" t="str">
            <v>ASCOPE</v>
          </cell>
          <cell r="G1142" t="str">
            <v>MAGDALENA DE CAO</v>
          </cell>
          <cell r="H1142" t="str">
            <v>011142</v>
          </cell>
          <cell r="I1142" t="str">
            <v>2</v>
          </cell>
        </row>
        <row r="1143">
          <cell r="A1143" t="str">
            <v>LA LIBERTADASCOPEPAIJAN</v>
          </cell>
          <cell r="B1143" t="str">
            <v>13</v>
          </cell>
          <cell r="C1143" t="str">
            <v>02</v>
          </cell>
          <cell r="D1143" t="str">
            <v>05</v>
          </cell>
          <cell r="E1143" t="str">
            <v>LA LIBERTAD</v>
          </cell>
          <cell r="F1143" t="str">
            <v>ASCOPE</v>
          </cell>
          <cell r="G1143" t="str">
            <v>PAIJAN</v>
          </cell>
          <cell r="H1143" t="str">
            <v>011143</v>
          </cell>
          <cell r="I1143" t="str">
            <v>2</v>
          </cell>
        </row>
        <row r="1144">
          <cell r="A1144" t="str">
            <v>LA LIBERTADASCOPERAZURI</v>
          </cell>
          <cell r="B1144" t="str">
            <v>13</v>
          </cell>
          <cell r="C1144" t="str">
            <v>02</v>
          </cell>
          <cell r="D1144" t="str">
            <v>06</v>
          </cell>
          <cell r="E1144" t="str">
            <v>LA LIBERTAD</v>
          </cell>
          <cell r="F1144" t="str">
            <v>ASCOPE</v>
          </cell>
          <cell r="G1144" t="str">
            <v>RAZURI</v>
          </cell>
          <cell r="H1144" t="str">
            <v>011144</v>
          </cell>
          <cell r="I1144" t="str">
            <v>2</v>
          </cell>
        </row>
        <row r="1145">
          <cell r="A1145" t="str">
            <v>LA LIBERTADASCOPESANTIAGO DE CAO</v>
          </cell>
          <cell r="B1145" t="str">
            <v>13</v>
          </cell>
          <cell r="C1145" t="str">
            <v>02</v>
          </cell>
          <cell r="D1145" t="str">
            <v>07</v>
          </cell>
          <cell r="E1145" t="str">
            <v>LA LIBERTAD</v>
          </cell>
          <cell r="F1145" t="str">
            <v>ASCOPE</v>
          </cell>
          <cell r="G1145" t="str">
            <v>SANTIAGO DE CAO</v>
          </cell>
          <cell r="H1145" t="str">
            <v>011145</v>
          </cell>
          <cell r="I1145" t="str">
            <v>2</v>
          </cell>
        </row>
        <row r="1146">
          <cell r="A1146" t="str">
            <v>LA LIBERTADASCOPECASA GRANDE</v>
          </cell>
          <cell r="B1146" t="str">
            <v>13</v>
          </cell>
          <cell r="C1146" t="str">
            <v>02</v>
          </cell>
          <cell r="D1146" t="str">
            <v>08</v>
          </cell>
          <cell r="E1146" t="str">
            <v>LA LIBERTAD</v>
          </cell>
          <cell r="F1146" t="str">
            <v>ASCOPE</v>
          </cell>
          <cell r="G1146" t="str">
            <v>CASA GRANDE</v>
          </cell>
          <cell r="H1146" t="str">
            <v>011146</v>
          </cell>
          <cell r="I1146" t="str">
            <v>2</v>
          </cell>
        </row>
        <row r="1147">
          <cell r="A1147" t="str">
            <v>LA LIBERTADBOLIVARBOLIVAR</v>
          </cell>
          <cell r="B1147" t="str">
            <v>13</v>
          </cell>
          <cell r="C1147" t="str">
            <v>03</v>
          </cell>
          <cell r="D1147" t="str">
            <v>01</v>
          </cell>
          <cell r="E1147" t="str">
            <v>LA LIBERTAD</v>
          </cell>
          <cell r="F1147" t="str">
            <v>BOLIVAR</v>
          </cell>
          <cell r="G1147" t="str">
            <v>BOLIVAR</v>
          </cell>
          <cell r="H1147" t="str">
            <v>011187</v>
          </cell>
          <cell r="I1147" t="str">
            <v>1</v>
          </cell>
        </row>
        <row r="1148">
          <cell r="A1148" t="str">
            <v>LA LIBERTADBOLIVARBAMBAMARCA</v>
          </cell>
          <cell r="B1148" t="str">
            <v>13</v>
          </cell>
          <cell r="C1148" t="str">
            <v>03</v>
          </cell>
          <cell r="D1148" t="str">
            <v>02</v>
          </cell>
          <cell r="E1148" t="str">
            <v>LA LIBERTAD</v>
          </cell>
          <cell r="F1148" t="str">
            <v>BOLIVAR</v>
          </cell>
          <cell r="G1148" t="str">
            <v>BAMBAMARCA</v>
          </cell>
          <cell r="H1148" t="str">
            <v>012693</v>
          </cell>
          <cell r="I1148" t="str">
            <v>2</v>
          </cell>
        </row>
        <row r="1149">
          <cell r="A1149" t="str">
            <v>LA LIBERTADBOLIVARCONDORMARCA</v>
          </cell>
          <cell r="B1149" t="str">
            <v>13</v>
          </cell>
          <cell r="C1149" t="str">
            <v>03</v>
          </cell>
          <cell r="D1149" t="str">
            <v>03</v>
          </cell>
          <cell r="E1149" t="str">
            <v>LA LIBERTAD</v>
          </cell>
          <cell r="F1149" t="str">
            <v>BOLIVAR</v>
          </cell>
          <cell r="G1149" t="str">
            <v>CONDORMARCA</v>
          </cell>
          <cell r="H1149" t="str">
            <v>012690</v>
          </cell>
          <cell r="I1149" t="str">
            <v>2</v>
          </cell>
        </row>
        <row r="1150">
          <cell r="A1150" t="str">
            <v>LA LIBERTADBOLIVARLONGOTEA</v>
          </cell>
          <cell r="B1150" t="str">
            <v>13</v>
          </cell>
          <cell r="C1150" t="str">
            <v>03</v>
          </cell>
          <cell r="D1150" t="str">
            <v>04</v>
          </cell>
          <cell r="E1150" t="str">
            <v>LA LIBERTAD</v>
          </cell>
          <cell r="F1150" t="str">
            <v>BOLIVAR</v>
          </cell>
          <cell r="G1150" t="str">
            <v>LONGOTEA</v>
          </cell>
          <cell r="H1150" t="str">
            <v>011188</v>
          </cell>
          <cell r="I1150" t="str">
            <v>2</v>
          </cell>
        </row>
        <row r="1151">
          <cell r="A1151" t="str">
            <v>LA LIBERTADBOLIVARUCHUMARCA</v>
          </cell>
          <cell r="B1151" t="str">
            <v>13</v>
          </cell>
          <cell r="C1151" t="str">
            <v>03</v>
          </cell>
          <cell r="D1151" t="str">
            <v>05</v>
          </cell>
          <cell r="E1151" t="str">
            <v>LA LIBERTAD</v>
          </cell>
          <cell r="F1151" t="str">
            <v>BOLIVAR</v>
          </cell>
          <cell r="G1151" t="str">
            <v>UCHUMARCA</v>
          </cell>
          <cell r="H1151" t="str">
            <v>011189</v>
          </cell>
          <cell r="I1151" t="str">
            <v>2</v>
          </cell>
        </row>
        <row r="1152">
          <cell r="A1152" t="str">
            <v>LA LIBERTADBOLIVARUCUNCHA</v>
          </cell>
          <cell r="B1152" t="str">
            <v>13</v>
          </cell>
          <cell r="C1152" t="str">
            <v>03</v>
          </cell>
          <cell r="D1152" t="str">
            <v>06</v>
          </cell>
          <cell r="E1152" t="str">
            <v>LA LIBERTAD</v>
          </cell>
          <cell r="F1152" t="str">
            <v>BOLIVAR</v>
          </cell>
          <cell r="G1152" t="str">
            <v>UCUNCHA</v>
          </cell>
          <cell r="H1152" t="str">
            <v>012689</v>
          </cell>
          <cell r="I1152" t="str">
            <v>2</v>
          </cell>
        </row>
        <row r="1153">
          <cell r="A1153" t="str">
            <v>LA LIBERTADCHEPENCHEPEN</v>
          </cell>
          <cell r="B1153" t="str">
            <v>13</v>
          </cell>
          <cell r="C1153" t="str">
            <v>04</v>
          </cell>
          <cell r="D1153" t="str">
            <v>01</v>
          </cell>
          <cell r="E1153" t="str">
            <v>LA LIBERTAD</v>
          </cell>
          <cell r="F1153" t="str">
            <v>CHEPEN</v>
          </cell>
          <cell r="G1153" t="str">
            <v>CHEPEN</v>
          </cell>
          <cell r="H1153" t="str">
            <v>011147</v>
          </cell>
          <cell r="I1153" t="str">
            <v>1</v>
          </cell>
        </row>
        <row r="1154">
          <cell r="A1154" t="str">
            <v>LA LIBERTADCHEPENPACANGA</v>
          </cell>
          <cell r="B1154" t="str">
            <v>13</v>
          </cell>
          <cell r="C1154" t="str">
            <v>04</v>
          </cell>
          <cell r="D1154" t="str">
            <v>02</v>
          </cell>
          <cell r="E1154" t="str">
            <v>LA LIBERTAD</v>
          </cell>
          <cell r="F1154" t="str">
            <v>CHEPEN</v>
          </cell>
          <cell r="G1154" t="str">
            <v>PACANGA</v>
          </cell>
          <cell r="H1154" t="str">
            <v>013005</v>
          </cell>
          <cell r="I1154" t="str">
            <v>2</v>
          </cell>
        </row>
        <row r="1155">
          <cell r="A1155" t="str">
            <v>LA LIBERTADCHEPENPUEBLO NUEVO</v>
          </cell>
          <cell r="B1155" t="str">
            <v>13</v>
          </cell>
          <cell r="C1155" t="str">
            <v>04</v>
          </cell>
          <cell r="D1155" t="str">
            <v>03</v>
          </cell>
          <cell r="E1155" t="str">
            <v>LA LIBERTAD</v>
          </cell>
          <cell r="F1155" t="str">
            <v>CHEPEN</v>
          </cell>
          <cell r="G1155" t="str">
            <v>PUEBLO NUEVO</v>
          </cell>
          <cell r="H1155" t="str">
            <v>011149</v>
          </cell>
          <cell r="I1155" t="str">
            <v>2</v>
          </cell>
        </row>
        <row r="1156">
          <cell r="A1156" t="str">
            <v>LA LIBERTADJULCANJULCAN</v>
          </cell>
          <cell r="B1156" t="str">
            <v>13</v>
          </cell>
          <cell r="C1156" t="str">
            <v>05</v>
          </cell>
          <cell r="D1156" t="str">
            <v>01</v>
          </cell>
          <cell r="E1156" t="str">
            <v>LA LIBERTAD</v>
          </cell>
          <cell r="F1156" t="str">
            <v>JULCAN</v>
          </cell>
          <cell r="G1156" t="str">
            <v>JULCAN</v>
          </cell>
          <cell r="H1156" t="str">
            <v>011150</v>
          </cell>
          <cell r="I1156" t="str">
            <v>1</v>
          </cell>
        </row>
        <row r="1157">
          <cell r="A1157" t="str">
            <v>LA LIBERTADJULCANCALAMARCA</v>
          </cell>
          <cell r="B1157" t="str">
            <v>13</v>
          </cell>
          <cell r="C1157" t="str">
            <v>05</v>
          </cell>
          <cell r="D1157" t="str">
            <v>02</v>
          </cell>
          <cell r="E1157" t="str">
            <v>LA LIBERTAD</v>
          </cell>
          <cell r="F1157" t="str">
            <v>JULCAN</v>
          </cell>
          <cell r="G1157" t="str">
            <v>CALAMARCA</v>
          </cell>
          <cell r="H1157" t="str">
            <v>012691</v>
          </cell>
          <cell r="I1157" t="str">
            <v>2</v>
          </cell>
        </row>
        <row r="1158">
          <cell r="A1158" t="str">
            <v>LA LIBERTADJULCANCARABAMBA</v>
          </cell>
          <cell r="B1158" t="str">
            <v>13</v>
          </cell>
          <cell r="C1158" t="str">
            <v>05</v>
          </cell>
          <cell r="D1158" t="str">
            <v>03</v>
          </cell>
          <cell r="E1158" t="str">
            <v>LA LIBERTAD</v>
          </cell>
          <cell r="F1158" t="str">
            <v>JULCAN</v>
          </cell>
          <cell r="G1158" t="str">
            <v>CARABAMBA</v>
          </cell>
          <cell r="H1158" t="str">
            <v>012686</v>
          </cell>
          <cell r="I1158" t="str">
            <v>2</v>
          </cell>
        </row>
        <row r="1159">
          <cell r="A1159" t="str">
            <v>LA LIBERTADJULCANHUASO</v>
          </cell>
          <cell r="B1159" t="str">
            <v>13</v>
          </cell>
          <cell r="C1159" t="str">
            <v>05</v>
          </cell>
          <cell r="D1159" t="str">
            <v>04</v>
          </cell>
          <cell r="E1159" t="str">
            <v>LA LIBERTAD</v>
          </cell>
          <cell r="F1159" t="str">
            <v>JULCAN</v>
          </cell>
          <cell r="G1159" t="str">
            <v>HUASO</v>
          </cell>
          <cell r="H1159" t="str">
            <v>013049</v>
          </cell>
          <cell r="I1159" t="str">
            <v>2</v>
          </cell>
        </row>
        <row r="1160">
          <cell r="A1160" t="str">
            <v>LA LIBERTADOTUZCOOTUZCO</v>
          </cell>
          <cell r="B1160" t="str">
            <v>13</v>
          </cell>
          <cell r="C1160" t="str">
            <v>06</v>
          </cell>
          <cell r="D1160" t="str">
            <v>01</v>
          </cell>
          <cell r="E1160" t="str">
            <v>LA LIBERTAD</v>
          </cell>
          <cell r="F1160" t="str">
            <v>OTUZCO</v>
          </cell>
          <cell r="G1160" t="str">
            <v>OTUZCO</v>
          </cell>
          <cell r="H1160" t="str">
            <v>012687</v>
          </cell>
          <cell r="I1160" t="str">
            <v>1</v>
          </cell>
        </row>
        <row r="1161">
          <cell r="A1161" t="str">
            <v>LA LIBERTADOTUZCOAGALLPAMPA</v>
          </cell>
          <cell r="B1161" t="str">
            <v>13</v>
          </cell>
          <cell r="C1161" t="str">
            <v>06</v>
          </cell>
          <cell r="D1161" t="str">
            <v>02</v>
          </cell>
          <cell r="E1161" t="str">
            <v>LA LIBERTAD</v>
          </cell>
          <cell r="F1161" t="str">
            <v>OTUZCO</v>
          </cell>
          <cell r="G1161" t="str">
            <v>AGALLPAMPA</v>
          </cell>
          <cell r="H1161" t="str">
            <v>011155</v>
          </cell>
          <cell r="I1161" t="str">
            <v>2</v>
          </cell>
        </row>
        <row r="1162">
          <cell r="A1162" t="str">
            <v>LA LIBERTADOTUZCOCHARAT</v>
          </cell>
          <cell r="B1162" t="str">
            <v>13</v>
          </cell>
          <cell r="C1162" t="str">
            <v>06</v>
          </cell>
          <cell r="D1162" t="str">
            <v>04</v>
          </cell>
          <cell r="E1162" t="str">
            <v>LA LIBERTAD</v>
          </cell>
          <cell r="F1162" t="str">
            <v>OTUZCO</v>
          </cell>
          <cell r="G1162" t="str">
            <v>CHARAT</v>
          </cell>
          <cell r="H1162" t="str">
            <v>011156</v>
          </cell>
          <cell r="I1162" t="str">
            <v>2</v>
          </cell>
        </row>
        <row r="1163">
          <cell r="A1163" t="str">
            <v>LA LIBERTADOTUZCOHUARANCHAL</v>
          </cell>
          <cell r="B1163" t="str">
            <v>13</v>
          </cell>
          <cell r="C1163" t="str">
            <v>06</v>
          </cell>
          <cell r="D1163" t="str">
            <v>05</v>
          </cell>
          <cell r="E1163" t="str">
            <v>LA LIBERTAD</v>
          </cell>
          <cell r="F1163" t="str">
            <v>OTUZCO</v>
          </cell>
          <cell r="G1163" t="str">
            <v>HUARANCHAL</v>
          </cell>
          <cell r="H1163" t="str">
            <v>011157</v>
          </cell>
          <cell r="I1163" t="str">
            <v>2</v>
          </cell>
        </row>
        <row r="1164">
          <cell r="A1164" t="str">
            <v>LA LIBERTADOTUZCOLA CUESTA</v>
          </cell>
          <cell r="B1164" t="str">
            <v>13</v>
          </cell>
          <cell r="C1164" t="str">
            <v>06</v>
          </cell>
          <cell r="D1164" t="str">
            <v>06</v>
          </cell>
          <cell r="E1164" t="str">
            <v>LA LIBERTAD</v>
          </cell>
          <cell r="F1164" t="str">
            <v>OTUZCO</v>
          </cell>
          <cell r="G1164" t="str">
            <v>LA CUESTA</v>
          </cell>
          <cell r="H1164" t="str">
            <v>011158</v>
          </cell>
          <cell r="I1164" t="str">
            <v>2</v>
          </cell>
        </row>
        <row r="1165">
          <cell r="A1165" t="str">
            <v>LA LIBERTADOTUZCOMACHE</v>
          </cell>
          <cell r="B1165" t="str">
            <v>13</v>
          </cell>
          <cell r="C1165" t="str">
            <v>06</v>
          </cell>
          <cell r="D1165" t="str">
            <v>08</v>
          </cell>
          <cell r="E1165" t="str">
            <v>LA LIBERTAD</v>
          </cell>
          <cell r="F1165" t="str">
            <v>OTUZCO</v>
          </cell>
          <cell r="G1165" t="str">
            <v>MACHE</v>
          </cell>
          <cell r="H1165" t="str">
            <v>011159</v>
          </cell>
          <cell r="I1165" t="str">
            <v>2</v>
          </cell>
        </row>
        <row r="1166">
          <cell r="A1166" t="str">
            <v>LA LIBERTADOTUZCOPARANDAY</v>
          </cell>
          <cell r="B1166" t="str">
            <v>13</v>
          </cell>
          <cell r="C1166" t="str">
            <v>06</v>
          </cell>
          <cell r="D1166" t="str">
            <v>10</v>
          </cell>
          <cell r="E1166" t="str">
            <v>LA LIBERTAD</v>
          </cell>
          <cell r="F1166" t="str">
            <v>OTUZCO</v>
          </cell>
          <cell r="G1166" t="str">
            <v>PARANDAY</v>
          </cell>
          <cell r="H1166" t="str">
            <v>011160</v>
          </cell>
          <cell r="I1166" t="str">
            <v>2</v>
          </cell>
        </row>
        <row r="1167">
          <cell r="A1167" t="str">
            <v>LA LIBERTADOTUZCOSALPO</v>
          </cell>
          <cell r="B1167" t="str">
            <v>13</v>
          </cell>
          <cell r="C1167" t="str">
            <v>06</v>
          </cell>
          <cell r="D1167" t="str">
            <v>11</v>
          </cell>
          <cell r="E1167" t="str">
            <v>LA LIBERTAD</v>
          </cell>
          <cell r="F1167" t="str">
            <v>OTUZCO</v>
          </cell>
          <cell r="G1167" t="str">
            <v>SALPO</v>
          </cell>
          <cell r="H1167" t="str">
            <v>011161</v>
          </cell>
          <cell r="I1167" t="str">
            <v>2</v>
          </cell>
        </row>
        <row r="1168">
          <cell r="A1168" t="str">
            <v>LA LIBERTADOTUZCOSINSICAP</v>
          </cell>
          <cell r="B1168" t="str">
            <v>13</v>
          </cell>
          <cell r="C1168" t="str">
            <v>06</v>
          </cell>
          <cell r="D1168" t="str">
            <v>13</v>
          </cell>
          <cell r="E1168" t="str">
            <v>LA LIBERTAD</v>
          </cell>
          <cell r="F1168" t="str">
            <v>OTUZCO</v>
          </cell>
          <cell r="G1168" t="str">
            <v>SINSICAP</v>
          </cell>
          <cell r="H1168" t="str">
            <v>011162</v>
          </cell>
          <cell r="I1168" t="str">
            <v>2</v>
          </cell>
        </row>
        <row r="1169">
          <cell r="A1169" t="str">
            <v>LA LIBERTADOTUZCOUSQUIL</v>
          </cell>
          <cell r="B1169" t="str">
            <v>13</v>
          </cell>
          <cell r="C1169" t="str">
            <v>06</v>
          </cell>
          <cell r="D1169" t="str">
            <v>14</v>
          </cell>
          <cell r="E1169" t="str">
            <v>LA LIBERTAD</v>
          </cell>
          <cell r="F1169" t="str">
            <v>OTUZCO</v>
          </cell>
          <cell r="G1169" t="str">
            <v>USQUIL</v>
          </cell>
          <cell r="H1169" t="str">
            <v>011163</v>
          </cell>
          <cell r="I1169" t="str">
            <v>2</v>
          </cell>
        </row>
        <row r="1170">
          <cell r="A1170" t="str">
            <v>LA LIBERTADPACASMAYOSAN PEDRO DE LLOC</v>
          </cell>
          <cell r="B1170" t="str">
            <v>13</v>
          </cell>
          <cell r="C1170" t="str">
            <v>07</v>
          </cell>
          <cell r="D1170" t="str">
            <v>01</v>
          </cell>
          <cell r="E1170" t="str">
            <v>LA LIBERTAD</v>
          </cell>
          <cell r="F1170" t="str">
            <v>PACASMAYO</v>
          </cell>
          <cell r="G1170" t="str">
            <v>SAN PEDRO DE LLOC</v>
          </cell>
          <cell r="H1170" t="str">
            <v>011164</v>
          </cell>
          <cell r="I1170" t="str">
            <v>1</v>
          </cell>
        </row>
        <row r="1171">
          <cell r="A1171" t="str">
            <v>LA LIBERTADPACASMAYOGUADALUPE</v>
          </cell>
          <cell r="B1171" t="str">
            <v>13</v>
          </cell>
          <cell r="C1171" t="str">
            <v>07</v>
          </cell>
          <cell r="D1171" t="str">
            <v>02</v>
          </cell>
          <cell r="E1171" t="str">
            <v>LA LIBERTAD</v>
          </cell>
          <cell r="F1171" t="str">
            <v>PACASMAYO</v>
          </cell>
          <cell r="G1171" t="str">
            <v>GUADALUPE</v>
          </cell>
          <cell r="H1171" t="str">
            <v>011165</v>
          </cell>
          <cell r="I1171" t="str">
            <v>2</v>
          </cell>
        </row>
        <row r="1172">
          <cell r="A1172" t="str">
            <v>LA LIBERTADPACASMAYOJEQUETEPEQUE</v>
          </cell>
          <cell r="B1172" t="str">
            <v>13</v>
          </cell>
          <cell r="C1172" t="str">
            <v>07</v>
          </cell>
          <cell r="D1172" t="str">
            <v>03</v>
          </cell>
          <cell r="E1172" t="str">
            <v>LA LIBERTAD</v>
          </cell>
          <cell r="F1172" t="str">
            <v>PACASMAYO</v>
          </cell>
          <cell r="G1172" t="str">
            <v>JEQUETEPEQUE</v>
          </cell>
          <cell r="H1172" t="str">
            <v>011166</v>
          </cell>
          <cell r="I1172" t="str">
            <v>2</v>
          </cell>
        </row>
        <row r="1173">
          <cell r="A1173" t="str">
            <v>LA LIBERTADPACASMAYOPACASMAYO</v>
          </cell>
          <cell r="B1173" t="str">
            <v>13</v>
          </cell>
          <cell r="C1173" t="str">
            <v>07</v>
          </cell>
          <cell r="D1173" t="str">
            <v>04</v>
          </cell>
          <cell r="E1173" t="str">
            <v>LA LIBERTAD</v>
          </cell>
          <cell r="F1173" t="str">
            <v>PACASMAYO</v>
          </cell>
          <cell r="G1173" t="str">
            <v>PACASMAYO</v>
          </cell>
          <cell r="H1173" t="str">
            <v>011167</v>
          </cell>
          <cell r="I1173" t="str">
            <v>2</v>
          </cell>
        </row>
        <row r="1174">
          <cell r="A1174" t="str">
            <v>LA LIBERTADPACASMAYOSAN JOSE</v>
          </cell>
          <cell r="B1174" t="str">
            <v>13</v>
          </cell>
          <cell r="C1174" t="str">
            <v>07</v>
          </cell>
          <cell r="D1174" t="str">
            <v>05</v>
          </cell>
          <cell r="E1174" t="str">
            <v>LA LIBERTAD</v>
          </cell>
          <cell r="F1174" t="str">
            <v>PACASMAYO</v>
          </cell>
          <cell r="G1174" t="str">
            <v>SAN JOSE</v>
          </cell>
          <cell r="H1174" t="str">
            <v>011168</v>
          </cell>
          <cell r="I1174" t="str">
            <v>2</v>
          </cell>
        </row>
        <row r="1175">
          <cell r="A1175" t="str">
            <v>LA LIBERTADPATAZTAYABAMBA</v>
          </cell>
          <cell r="B1175" t="str">
            <v>13</v>
          </cell>
          <cell r="C1175" t="str">
            <v>08</v>
          </cell>
          <cell r="D1175" t="str">
            <v>01</v>
          </cell>
          <cell r="E1175" t="str">
            <v>LA LIBERTAD</v>
          </cell>
          <cell r="F1175" t="str">
            <v>PATAZ</v>
          </cell>
          <cell r="G1175" t="str">
            <v>TAYABAMBA</v>
          </cell>
          <cell r="H1175" t="str">
            <v>011191</v>
          </cell>
          <cell r="I1175" t="str">
            <v>1</v>
          </cell>
        </row>
        <row r="1176">
          <cell r="A1176" t="str">
            <v>LA LIBERTADPATAZBULDIBUYO</v>
          </cell>
          <cell r="B1176" t="str">
            <v>13</v>
          </cell>
          <cell r="C1176" t="str">
            <v>08</v>
          </cell>
          <cell r="D1176" t="str">
            <v>02</v>
          </cell>
          <cell r="E1176" t="str">
            <v>LA LIBERTAD</v>
          </cell>
          <cell r="F1176" t="str">
            <v>PATAZ</v>
          </cell>
          <cell r="G1176" t="str">
            <v>BULDIBUYO</v>
          </cell>
          <cell r="H1176" t="str">
            <v>012189</v>
          </cell>
          <cell r="I1176" t="str">
            <v>2</v>
          </cell>
        </row>
        <row r="1177">
          <cell r="A1177" t="str">
            <v>LA LIBERTADPATAZCHILLIA</v>
          </cell>
          <cell r="B1177" t="str">
            <v>13</v>
          </cell>
          <cell r="C1177" t="str">
            <v>08</v>
          </cell>
          <cell r="D1177" t="str">
            <v>03</v>
          </cell>
          <cell r="E1177" t="str">
            <v>LA LIBERTAD</v>
          </cell>
          <cell r="F1177" t="str">
            <v>PATAZ</v>
          </cell>
          <cell r="G1177" t="str">
            <v>CHILLIA</v>
          </cell>
          <cell r="H1177" t="str">
            <v>011199</v>
          </cell>
          <cell r="I1177" t="str">
            <v>2</v>
          </cell>
        </row>
        <row r="1178">
          <cell r="A1178" t="str">
            <v>LA LIBERTADPATAZHUANCASPATA</v>
          </cell>
          <cell r="B1178" t="str">
            <v>13</v>
          </cell>
          <cell r="C1178" t="str">
            <v>08</v>
          </cell>
          <cell r="D1178" t="str">
            <v>04</v>
          </cell>
          <cell r="E1178" t="str">
            <v>LA LIBERTAD</v>
          </cell>
          <cell r="F1178" t="str">
            <v>PATAZ</v>
          </cell>
          <cell r="G1178" t="str">
            <v>HUANCASPATA</v>
          </cell>
          <cell r="H1178" t="str">
            <v>011192</v>
          </cell>
          <cell r="I1178" t="str">
            <v>2</v>
          </cell>
        </row>
        <row r="1179">
          <cell r="A1179" t="str">
            <v>LA LIBERTADPATAZHUAYLILLAS</v>
          </cell>
          <cell r="B1179" t="str">
            <v>13</v>
          </cell>
          <cell r="C1179" t="str">
            <v>08</v>
          </cell>
          <cell r="D1179" t="str">
            <v>05</v>
          </cell>
          <cell r="E1179" t="str">
            <v>LA LIBERTAD</v>
          </cell>
          <cell r="F1179" t="str">
            <v>PATAZ</v>
          </cell>
          <cell r="G1179" t="str">
            <v>HUAYLILLAS</v>
          </cell>
          <cell r="H1179" t="str">
            <v>011193</v>
          </cell>
          <cell r="I1179" t="str">
            <v>2</v>
          </cell>
        </row>
        <row r="1180">
          <cell r="A1180" t="str">
            <v>LA LIBERTADPATAZHUAYO</v>
          </cell>
          <cell r="B1180" t="str">
            <v>13</v>
          </cell>
          <cell r="C1180" t="str">
            <v>08</v>
          </cell>
          <cell r="D1180" t="str">
            <v>06</v>
          </cell>
          <cell r="E1180" t="str">
            <v>LA LIBERTAD</v>
          </cell>
          <cell r="F1180" t="str">
            <v>PATAZ</v>
          </cell>
          <cell r="G1180" t="str">
            <v>HUAYO</v>
          </cell>
          <cell r="H1180" t="str">
            <v>012682</v>
          </cell>
          <cell r="I1180" t="str">
            <v>2</v>
          </cell>
        </row>
        <row r="1181">
          <cell r="A1181" t="str">
            <v>LA LIBERTADPATAZONGON</v>
          </cell>
          <cell r="B1181" t="str">
            <v>13</v>
          </cell>
          <cell r="C1181" t="str">
            <v>08</v>
          </cell>
          <cell r="D1181" t="str">
            <v>07</v>
          </cell>
          <cell r="E1181" t="str">
            <v>LA LIBERTAD</v>
          </cell>
          <cell r="F1181" t="str">
            <v>PATAZ</v>
          </cell>
          <cell r="G1181" t="str">
            <v>ONGON</v>
          </cell>
          <cell r="H1181" t="str">
            <v>012696</v>
          </cell>
          <cell r="I1181" t="str">
            <v>2</v>
          </cell>
        </row>
        <row r="1182">
          <cell r="A1182" t="str">
            <v>LA LIBERTADPATAZPARCOY</v>
          </cell>
          <cell r="B1182" t="str">
            <v>13</v>
          </cell>
          <cell r="C1182" t="str">
            <v>08</v>
          </cell>
          <cell r="D1182" t="str">
            <v>08</v>
          </cell>
          <cell r="E1182" t="str">
            <v>LA LIBERTAD</v>
          </cell>
          <cell r="F1182" t="str">
            <v>PATAZ</v>
          </cell>
          <cell r="G1182" t="str">
            <v>PARCOY</v>
          </cell>
          <cell r="H1182" t="str">
            <v>011201</v>
          </cell>
          <cell r="I1182" t="str">
            <v>2</v>
          </cell>
        </row>
        <row r="1183">
          <cell r="A1183" t="str">
            <v>LA LIBERTADPATAZPATAZ</v>
          </cell>
          <cell r="B1183" t="str">
            <v>13</v>
          </cell>
          <cell r="C1183" t="str">
            <v>08</v>
          </cell>
          <cell r="D1183" t="str">
            <v>09</v>
          </cell>
          <cell r="E1183" t="str">
            <v>LA LIBERTAD</v>
          </cell>
          <cell r="F1183" t="str">
            <v>PATAZ</v>
          </cell>
          <cell r="G1183" t="str">
            <v>PATAZ</v>
          </cell>
          <cell r="H1183" t="str">
            <v>011202</v>
          </cell>
          <cell r="I1183" t="str">
            <v>2</v>
          </cell>
        </row>
        <row r="1184">
          <cell r="A1184" t="str">
            <v>LA LIBERTADPATAZPIAS</v>
          </cell>
          <cell r="B1184" t="str">
            <v>13</v>
          </cell>
          <cell r="C1184" t="str">
            <v>08</v>
          </cell>
          <cell r="D1184" t="str">
            <v>10</v>
          </cell>
          <cell r="E1184" t="str">
            <v>LA LIBERTAD</v>
          </cell>
          <cell r="F1184" t="str">
            <v>PATAZ</v>
          </cell>
          <cell r="G1184" t="str">
            <v>PIAS</v>
          </cell>
          <cell r="H1184" t="str">
            <v>011203</v>
          </cell>
          <cell r="I1184" t="str">
            <v>2</v>
          </cell>
        </row>
        <row r="1185">
          <cell r="A1185" t="str">
            <v>LA LIBERTADPATAZSANTIAGO DE CHALLAS</v>
          </cell>
          <cell r="B1185" t="str">
            <v>13</v>
          </cell>
          <cell r="C1185" t="str">
            <v>08</v>
          </cell>
          <cell r="D1185" t="str">
            <v>11</v>
          </cell>
          <cell r="E1185" t="str">
            <v>LA LIBERTAD</v>
          </cell>
          <cell r="F1185" t="str">
            <v>PATAZ</v>
          </cell>
          <cell r="G1185" t="str">
            <v>SANTIAGO DE CHALLAS</v>
          </cell>
          <cell r="H1185" t="str">
            <v>012170</v>
          </cell>
          <cell r="I1185" t="str">
            <v>2</v>
          </cell>
        </row>
        <row r="1186">
          <cell r="A1186" t="str">
            <v>LA LIBERTADPATAZTAURIJA</v>
          </cell>
          <cell r="B1186" t="str">
            <v>13</v>
          </cell>
          <cell r="C1186" t="str">
            <v>08</v>
          </cell>
          <cell r="D1186" t="str">
            <v>12</v>
          </cell>
          <cell r="E1186" t="str">
            <v>LA LIBERTAD</v>
          </cell>
          <cell r="F1186" t="str">
            <v>PATAZ</v>
          </cell>
          <cell r="G1186" t="str">
            <v>TAURIJA</v>
          </cell>
          <cell r="H1186" t="str">
            <v>011196</v>
          </cell>
          <cell r="I1186" t="str">
            <v>2</v>
          </cell>
        </row>
        <row r="1187">
          <cell r="A1187" t="str">
            <v>LA LIBERTADPATAZURPAY</v>
          </cell>
          <cell r="B1187" t="str">
            <v>13</v>
          </cell>
          <cell r="C1187" t="str">
            <v>08</v>
          </cell>
          <cell r="D1187" t="str">
            <v>13</v>
          </cell>
          <cell r="E1187" t="str">
            <v>LA LIBERTAD</v>
          </cell>
          <cell r="F1187" t="str">
            <v>PATAZ</v>
          </cell>
          <cell r="G1187" t="str">
            <v>URPAY</v>
          </cell>
          <cell r="H1187" t="str">
            <v>011197</v>
          </cell>
          <cell r="I1187" t="str">
            <v>2</v>
          </cell>
        </row>
        <row r="1188">
          <cell r="A1188" t="str">
            <v>LA LIBERTADSANCHEZ CARRIONHUAMACHUCO</v>
          </cell>
          <cell r="B1188" t="str">
            <v>13</v>
          </cell>
          <cell r="C1188" t="str">
            <v>09</v>
          </cell>
          <cell r="D1188" t="str">
            <v>01</v>
          </cell>
          <cell r="E1188" t="str">
            <v>LA LIBERTAD</v>
          </cell>
          <cell r="F1188" t="str">
            <v>SANCHEZ CARRION</v>
          </cell>
          <cell r="G1188" t="str">
            <v>HUAMACHUCO</v>
          </cell>
          <cell r="H1188" t="str">
            <v>011178</v>
          </cell>
          <cell r="I1188" t="str">
            <v>1</v>
          </cell>
        </row>
        <row r="1189">
          <cell r="A1189" t="str">
            <v>LA LIBERTADSANCHEZ CARRIONCHUGAY</v>
          </cell>
          <cell r="B1189" t="str">
            <v>13</v>
          </cell>
          <cell r="C1189" t="str">
            <v>09</v>
          </cell>
          <cell r="D1189" t="str">
            <v>02</v>
          </cell>
          <cell r="E1189" t="str">
            <v>LA LIBERTAD</v>
          </cell>
          <cell r="F1189" t="str">
            <v>SANCHEZ CARRION</v>
          </cell>
          <cell r="G1189" t="str">
            <v>CHUGAY</v>
          </cell>
          <cell r="H1189" t="str">
            <v>012171</v>
          </cell>
          <cell r="I1189" t="str">
            <v>2</v>
          </cell>
        </row>
        <row r="1190">
          <cell r="A1190" t="str">
            <v>LA LIBERTADSANCHEZ CARRIONCOCHORCO</v>
          </cell>
          <cell r="B1190" t="str">
            <v>13</v>
          </cell>
          <cell r="C1190" t="str">
            <v>09</v>
          </cell>
          <cell r="D1190" t="str">
            <v>03</v>
          </cell>
          <cell r="E1190" t="str">
            <v>LA LIBERTAD</v>
          </cell>
          <cell r="F1190" t="str">
            <v>SANCHEZ CARRION</v>
          </cell>
          <cell r="G1190" t="str">
            <v>COCHORCO</v>
          </cell>
          <cell r="H1190" t="str">
            <v>011180</v>
          </cell>
          <cell r="I1190" t="str">
            <v>2</v>
          </cell>
        </row>
        <row r="1191">
          <cell r="A1191" t="str">
            <v>LA LIBERTADSANCHEZ CARRIONCURGOS</v>
          </cell>
          <cell r="B1191" t="str">
            <v>13</v>
          </cell>
          <cell r="C1191" t="str">
            <v>09</v>
          </cell>
          <cell r="D1191" t="str">
            <v>04</v>
          </cell>
          <cell r="E1191" t="str">
            <v>LA LIBERTAD</v>
          </cell>
          <cell r="F1191" t="str">
            <v>SANCHEZ CARRION</v>
          </cell>
          <cell r="G1191" t="str">
            <v>CURGOS</v>
          </cell>
          <cell r="H1191" t="str">
            <v>011181</v>
          </cell>
          <cell r="I1191" t="str">
            <v>2</v>
          </cell>
        </row>
        <row r="1192">
          <cell r="A1192" t="str">
            <v>LA LIBERTADSANCHEZ CARRIONMARCABAL</v>
          </cell>
          <cell r="B1192" t="str">
            <v>13</v>
          </cell>
          <cell r="C1192" t="str">
            <v>09</v>
          </cell>
          <cell r="D1192" t="str">
            <v>05</v>
          </cell>
          <cell r="E1192" t="str">
            <v>LA LIBERTAD</v>
          </cell>
          <cell r="F1192" t="str">
            <v>SANCHEZ CARRION</v>
          </cell>
          <cell r="G1192" t="str">
            <v>MARCABAL</v>
          </cell>
          <cell r="H1192" t="str">
            <v>012185</v>
          </cell>
          <cell r="I1192" t="str">
            <v>2</v>
          </cell>
        </row>
        <row r="1193">
          <cell r="A1193" t="str">
            <v>LA LIBERTADSANCHEZ CARRIONSANAGORAN</v>
          </cell>
          <cell r="B1193" t="str">
            <v>13</v>
          </cell>
          <cell r="C1193" t="str">
            <v>09</v>
          </cell>
          <cell r="D1193" t="str">
            <v>06</v>
          </cell>
          <cell r="E1193" t="str">
            <v>LA LIBERTAD</v>
          </cell>
          <cell r="F1193" t="str">
            <v>SANCHEZ CARRION</v>
          </cell>
          <cell r="G1193" t="str">
            <v>SANAGORAN</v>
          </cell>
          <cell r="H1193" t="str">
            <v>011183</v>
          </cell>
          <cell r="I1193" t="str">
            <v>2</v>
          </cell>
        </row>
        <row r="1194">
          <cell r="A1194" t="str">
            <v>LA LIBERTADSANCHEZ CARRIONSARIN</v>
          </cell>
          <cell r="B1194" t="str">
            <v>13</v>
          </cell>
          <cell r="C1194" t="str">
            <v>09</v>
          </cell>
          <cell r="D1194" t="str">
            <v>07</v>
          </cell>
          <cell r="E1194" t="str">
            <v>LA LIBERTAD</v>
          </cell>
          <cell r="F1194" t="str">
            <v>SANCHEZ CARRION</v>
          </cell>
          <cell r="G1194" t="str">
            <v>SARIN</v>
          </cell>
          <cell r="H1194" t="str">
            <v>011184</v>
          </cell>
          <cell r="I1194" t="str">
            <v>2</v>
          </cell>
        </row>
        <row r="1195">
          <cell r="A1195" t="str">
            <v>LA LIBERTADSANCHEZ CARRIONSARTIMBAMBA</v>
          </cell>
          <cell r="B1195" t="str">
            <v>13</v>
          </cell>
          <cell r="C1195" t="str">
            <v>09</v>
          </cell>
          <cell r="D1195" t="str">
            <v>08</v>
          </cell>
          <cell r="E1195" t="str">
            <v>LA LIBERTAD</v>
          </cell>
          <cell r="F1195" t="str">
            <v>SANCHEZ CARRION</v>
          </cell>
          <cell r="G1195" t="str">
            <v>SARTIMBAMBA</v>
          </cell>
          <cell r="H1195" t="str">
            <v>011185</v>
          </cell>
          <cell r="I1195" t="str">
            <v>2</v>
          </cell>
        </row>
        <row r="1196">
          <cell r="A1196" t="str">
            <v>LA LIBERTADSANTIAGO DE CHUCOSANTIAGO DE CHUCO</v>
          </cell>
          <cell r="B1196" t="str">
            <v>13</v>
          </cell>
          <cell r="C1196" t="str">
            <v>10</v>
          </cell>
          <cell r="D1196" t="str">
            <v>01</v>
          </cell>
          <cell r="E1196" t="str">
            <v>LA LIBERTAD</v>
          </cell>
          <cell r="F1196" t="str">
            <v>SANTIAGO DE CHUCO</v>
          </cell>
          <cell r="G1196" t="str">
            <v>SANTIAGO DE CHUCO</v>
          </cell>
          <cell r="H1196" t="str">
            <v>011204</v>
          </cell>
          <cell r="I1196" t="str">
            <v>1</v>
          </cell>
        </row>
        <row r="1197">
          <cell r="A1197" t="str">
            <v>LA LIBERTADSANTIAGO DE CHUCOANGASMARCA</v>
          </cell>
          <cell r="B1197" t="str">
            <v>13</v>
          </cell>
          <cell r="C1197" t="str">
            <v>10</v>
          </cell>
          <cell r="D1197" t="str">
            <v>02</v>
          </cell>
          <cell r="E1197" t="str">
            <v>LA LIBERTAD</v>
          </cell>
          <cell r="F1197" t="str">
            <v>SANTIAGO DE CHUCO</v>
          </cell>
          <cell r="G1197" t="str">
            <v>ANGASMARCA</v>
          </cell>
          <cell r="H1197" t="str">
            <v>012175</v>
          </cell>
          <cell r="I1197" t="str">
            <v>2</v>
          </cell>
        </row>
        <row r="1198">
          <cell r="A1198" t="str">
            <v>LA LIBERTADSANTIAGO DE CHUCOCACHICADAN</v>
          </cell>
          <cell r="B1198" t="str">
            <v>13</v>
          </cell>
          <cell r="C1198" t="str">
            <v>10</v>
          </cell>
          <cell r="D1198" t="str">
            <v>03</v>
          </cell>
          <cell r="E1198" t="str">
            <v>LA LIBERTAD</v>
          </cell>
          <cell r="F1198" t="str">
            <v>SANTIAGO DE CHUCO</v>
          </cell>
          <cell r="G1198" t="str">
            <v>CACHICADAN</v>
          </cell>
          <cell r="H1198" t="str">
            <v>011206</v>
          </cell>
          <cell r="I1198" t="str">
            <v>2</v>
          </cell>
        </row>
        <row r="1199">
          <cell r="A1199" t="str">
            <v>LA LIBERTADSANTIAGO DE CHUCOMOLLEBAMBA</v>
          </cell>
          <cell r="B1199" t="str">
            <v>13</v>
          </cell>
          <cell r="C1199" t="str">
            <v>10</v>
          </cell>
          <cell r="D1199" t="str">
            <v>04</v>
          </cell>
          <cell r="E1199" t="str">
            <v>LA LIBERTAD</v>
          </cell>
          <cell r="F1199" t="str">
            <v>SANTIAGO DE CHUCO</v>
          </cell>
          <cell r="G1199" t="str">
            <v>MOLLEBAMBA</v>
          </cell>
          <cell r="H1199" t="str">
            <v>011207</v>
          </cell>
          <cell r="I1199" t="str">
            <v>2</v>
          </cell>
        </row>
        <row r="1200">
          <cell r="A1200" t="str">
            <v>LA LIBERTADSANTIAGO DE CHUCOMOLLEPATA</v>
          </cell>
          <cell r="B1200" t="str">
            <v>13</v>
          </cell>
          <cell r="C1200" t="str">
            <v>10</v>
          </cell>
          <cell r="D1200" t="str">
            <v>05</v>
          </cell>
          <cell r="E1200" t="str">
            <v>LA LIBERTAD</v>
          </cell>
          <cell r="F1200" t="str">
            <v>SANTIAGO DE CHUCO</v>
          </cell>
          <cell r="G1200" t="str">
            <v>MOLLEPATA</v>
          </cell>
          <cell r="H1200" t="str">
            <v>011208</v>
          </cell>
          <cell r="I1200" t="str">
            <v>2</v>
          </cell>
        </row>
        <row r="1201">
          <cell r="A1201" t="str">
            <v>LA LIBERTADSANTIAGO DE CHUCOQUIRUVILCA</v>
          </cell>
          <cell r="B1201" t="str">
            <v>13</v>
          </cell>
          <cell r="C1201" t="str">
            <v>10</v>
          </cell>
          <cell r="D1201" t="str">
            <v>06</v>
          </cell>
          <cell r="E1201" t="str">
            <v>LA LIBERTAD</v>
          </cell>
          <cell r="F1201" t="str">
            <v>SANTIAGO DE CHUCO</v>
          </cell>
          <cell r="G1201" t="str">
            <v>QUIRUVILCA</v>
          </cell>
          <cell r="H1201" t="str">
            <v>011209</v>
          </cell>
          <cell r="I1201" t="str">
            <v>2</v>
          </cell>
        </row>
        <row r="1202">
          <cell r="A1202" t="str">
            <v>LA LIBERTADSANTIAGO DE CHUCOSANTA CRUZ DE CHUCA</v>
          </cell>
          <cell r="B1202" t="str">
            <v>13</v>
          </cell>
          <cell r="C1202" t="str">
            <v>10</v>
          </cell>
          <cell r="D1202" t="str">
            <v>07</v>
          </cell>
          <cell r="E1202" t="str">
            <v>LA LIBERTAD</v>
          </cell>
          <cell r="F1202" t="str">
            <v>SANTIAGO DE CHUCO</v>
          </cell>
          <cell r="G1202" t="str">
            <v>SANTA CRUZ DE CHUCA</v>
          </cell>
          <cell r="H1202" t="str">
            <v>011210</v>
          </cell>
          <cell r="I1202" t="str">
            <v>2</v>
          </cell>
        </row>
        <row r="1203">
          <cell r="A1203" t="str">
            <v>LA LIBERTADSANTIAGO DE CHUCOSITABAMBA</v>
          </cell>
          <cell r="B1203" t="str">
            <v>13</v>
          </cell>
          <cell r="C1203" t="str">
            <v>10</v>
          </cell>
          <cell r="D1203" t="str">
            <v>08</v>
          </cell>
          <cell r="E1203" t="str">
            <v>LA LIBERTAD</v>
          </cell>
          <cell r="F1203" t="str">
            <v>SANTIAGO DE CHUCO</v>
          </cell>
          <cell r="G1203" t="str">
            <v>SITABAMBA</v>
          </cell>
          <cell r="H1203" t="str">
            <v>012182</v>
          </cell>
          <cell r="I1203" t="str">
            <v>2</v>
          </cell>
        </row>
        <row r="1204">
          <cell r="A1204" t="str">
            <v>LA LIBERTADGRAN CHIMUCASCAS</v>
          </cell>
          <cell r="B1204" t="str">
            <v>13</v>
          </cell>
          <cell r="C1204" t="str">
            <v>11</v>
          </cell>
          <cell r="D1204" t="str">
            <v>01</v>
          </cell>
          <cell r="E1204" t="str">
            <v>LA LIBERTAD</v>
          </cell>
          <cell r="F1204" t="str">
            <v>GRAN CHIMU</v>
          </cell>
          <cell r="G1204" t="str">
            <v>CASCAS</v>
          </cell>
          <cell r="H1204" t="str">
            <v>011169</v>
          </cell>
          <cell r="I1204" t="str">
            <v>1</v>
          </cell>
        </row>
        <row r="1205">
          <cell r="A1205" t="str">
            <v>LA LIBERTADGRAN CHIMULUCMA</v>
          </cell>
          <cell r="B1205" t="str">
            <v>13</v>
          </cell>
          <cell r="C1205" t="str">
            <v>11</v>
          </cell>
          <cell r="D1205" t="str">
            <v>02</v>
          </cell>
          <cell r="E1205" t="str">
            <v>LA LIBERTAD</v>
          </cell>
          <cell r="F1205" t="str">
            <v>GRAN CHIMU</v>
          </cell>
          <cell r="G1205" t="str">
            <v>LUCMA</v>
          </cell>
          <cell r="H1205" t="str">
            <v>011170</v>
          </cell>
          <cell r="I1205" t="str">
            <v>2</v>
          </cell>
        </row>
        <row r="1206">
          <cell r="A1206" t="str">
            <v>LA LIBERTADGRAN CHIMUMARMOT</v>
          </cell>
          <cell r="B1206" t="str">
            <v>13</v>
          </cell>
          <cell r="C1206" t="str">
            <v>11</v>
          </cell>
          <cell r="D1206" t="str">
            <v>03</v>
          </cell>
          <cell r="E1206" t="str">
            <v>LA LIBERTAD</v>
          </cell>
          <cell r="F1206" t="str">
            <v>GRAN CHIMU</v>
          </cell>
          <cell r="G1206" t="str">
            <v>MARMOT</v>
          </cell>
          <cell r="H1206" t="str">
            <v>011171</v>
          </cell>
          <cell r="I1206" t="str">
            <v>2</v>
          </cell>
        </row>
        <row r="1207">
          <cell r="A1207" t="str">
            <v>LA LIBERTADGRAN CHIMUSAYAPULLO</v>
          </cell>
          <cell r="B1207" t="str">
            <v>13</v>
          </cell>
          <cell r="C1207" t="str">
            <v>11</v>
          </cell>
          <cell r="D1207" t="str">
            <v>04</v>
          </cell>
          <cell r="E1207" t="str">
            <v>LA LIBERTAD</v>
          </cell>
          <cell r="F1207" t="str">
            <v>GRAN CHIMU</v>
          </cell>
          <cell r="G1207" t="str">
            <v>SAYAPULLO</v>
          </cell>
          <cell r="H1207" t="str">
            <v>011172</v>
          </cell>
          <cell r="I1207" t="str">
            <v>2</v>
          </cell>
        </row>
        <row r="1208">
          <cell r="A1208" t="str">
            <v>LA LIBERTADVIRUVIRU</v>
          </cell>
          <cell r="B1208" t="str">
            <v>13</v>
          </cell>
          <cell r="C1208" t="str">
            <v>12</v>
          </cell>
          <cell r="D1208" t="str">
            <v>01</v>
          </cell>
          <cell r="E1208" t="str">
            <v>LA LIBERTAD</v>
          </cell>
          <cell r="F1208" t="str">
            <v>VIRU</v>
          </cell>
          <cell r="G1208" t="str">
            <v>VIRU</v>
          </cell>
          <cell r="H1208" t="str">
            <v>011173</v>
          </cell>
          <cell r="I1208" t="str">
            <v>1</v>
          </cell>
        </row>
        <row r="1209">
          <cell r="A1209" t="str">
            <v>LA LIBERTADVIRUCHAO</v>
          </cell>
          <cell r="B1209" t="str">
            <v>13</v>
          </cell>
          <cell r="C1209" t="str">
            <v>12</v>
          </cell>
          <cell r="D1209" t="str">
            <v>02</v>
          </cell>
          <cell r="E1209" t="str">
            <v>LA LIBERTAD</v>
          </cell>
          <cell r="F1209" t="str">
            <v>VIRU</v>
          </cell>
          <cell r="G1209" t="str">
            <v>CHAO</v>
          </cell>
          <cell r="H1209" t="str">
            <v>011174</v>
          </cell>
          <cell r="I1209" t="str">
            <v>2</v>
          </cell>
        </row>
        <row r="1210">
          <cell r="A1210" t="str">
            <v>LA LIBERTADVIRUGUADALUPITO</v>
          </cell>
          <cell r="B1210" t="str">
            <v>13</v>
          </cell>
          <cell r="C1210" t="str">
            <v>12</v>
          </cell>
          <cell r="D1210" t="str">
            <v>03</v>
          </cell>
          <cell r="E1210" t="str">
            <v>LA LIBERTAD</v>
          </cell>
          <cell r="F1210" t="str">
            <v>VIRU</v>
          </cell>
          <cell r="G1210" t="str">
            <v>GUADALUPITO</v>
          </cell>
          <cell r="H1210" t="str">
            <v>011175</v>
          </cell>
          <cell r="I1210" t="str">
            <v>2</v>
          </cell>
        </row>
        <row r="1211">
          <cell r="A1211" t="str">
            <v>LAMBAYEQUECHICLAYOCHICLAYO</v>
          </cell>
          <cell r="B1211" t="str">
            <v>14</v>
          </cell>
          <cell r="C1211" t="str">
            <v>01</v>
          </cell>
          <cell r="D1211" t="str">
            <v>01</v>
          </cell>
          <cell r="E1211" t="str">
            <v>LAMBAYEQUE</v>
          </cell>
          <cell r="F1211" t="str">
            <v>CHICLAYO</v>
          </cell>
          <cell r="G1211" t="str">
            <v>CHICLAYO</v>
          </cell>
          <cell r="H1211" t="str">
            <v>011211</v>
          </cell>
          <cell r="I1211" t="str">
            <v>1</v>
          </cell>
        </row>
        <row r="1212">
          <cell r="A1212" t="str">
            <v>LAMBAYEQUECHICLAYOCHONGOYAPE</v>
          </cell>
          <cell r="B1212" t="str">
            <v>14</v>
          </cell>
          <cell r="C1212" t="str">
            <v>01</v>
          </cell>
          <cell r="D1212" t="str">
            <v>02</v>
          </cell>
          <cell r="E1212" t="str">
            <v>LAMBAYEQUE</v>
          </cell>
          <cell r="F1212" t="str">
            <v>CHICLAYO</v>
          </cell>
          <cell r="G1212" t="str">
            <v>CHONGOYAPE</v>
          </cell>
          <cell r="H1212" t="str">
            <v>011216</v>
          </cell>
          <cell r="I1212" t="str">
            <v>2</v>
          </cell>
        </row>
        <row r="1213">
          <cell r="A1213" t="str">
            <v>LAMBAYEQUECHICLAYOETEN</v>
          </cell>
          <cell r="B1213" t="str">
            <v>14</v>
          </cell>
          <cell r="C1213" t="str">
            <v>01</v>
          </cell>
          <cell r="D1213" t="str">
            <v>03</v>
          </cell>
          <cell r="E1213" t="str">
            <v>LAMBAYEQUE</v>
          </cell>
          <cell r="F1213" t="str">
            <v>CHICLAYO</v>
          </cell>
          <cell r="G1213" t="str">
            <v>ETEN</v>
          </cell>
          <cell r="H1213" t="str">
            <v>011221</v>
          </cell>
          <cell r="I1213" t="str">
            <v>2</v>
          </cell>
        </row>
        <row r="1214">
          <cell r="A1214" t="str">
            <v>LAMBAYEQUECHICLAYOETEN PUERTO</v>
          </cell>
          <cell r="B1214" t="str">
            <v>14</v>
          </cell>
          <cell r="C1214" t="str">
            <v>01</v>
          </cell>
          <cell r="D1214" t="str">
            <v>04</v>
          </cell>
          <cell r="E1214" t="str">
            <v>LAMBAYEQUE</v>
          </cell>
          <cell r="F1214" t="str">
            <v>CHICLAYO</v>
          </cell>
          <cell r="G1214" t="str">
            <v>ETEN PUERTO</v>
          </cell>
          <cell r="H1214" t="str">
            <v>011222</v>
          </cell>
          <cell r="I1214" t="str">
            <v>2</v>
          </cell>
        </row>
        <row r="1215">
          <cell r="A1215" t="str">
            <v>LAMBAYEQUECHICLAYOJOSE LEONARDO ORTIZ</v>
          </cell>
          <cell r="B1215" t="str">
            <v>14</v>
          </cell>
          <cell r="C1215" t="str">
            <v>01</v>
          </cell>
          <cell r="D1215" t="str">
            <v>05</v>
          </cell>
          <cell r="E1215" t="str">
            <v>LAMBAYEQUE</v>
          </cell>
          <cell r="F1215" t="str">
            <v>CHICLAYO</v>
          </cell>
          <cell r="G1215" t="str">
            <v>JOSE LEONARDO ORTIZ</v>
          </cell>
          <cell r="H1215" t="str">
            <v>011212</v>
          </cell>
          <cell r="I1215" t="str">
            <v>2</v>
          </cell>
        </row>
        <row r="1216">
          <cell r="A1216" t="str">
            <v>LAMBAYEQUECHICLAYOLA VICTORIA</v>
          </cell>
          <cell r="B1216" t="str">
            <v>14</v>
          </cell>
          <cell r="C1216" t="str">
            <v>01</v>
          </cell>
          <cell r="D1216" t="str">
            <v>06</v>
          </cell>
          <cell r="E1216" t="str">
            <v>LAMBAYEQUE</v>
          </cell>
          <cell r="F1216" t="str">
            <v>CHICLAYO</v>
          </cell>
          <cell r="G1216" t="str">
            <v>LA VICTORIA</v>
          </cell>
          <cell r="H1216" t="str">
            <v>011213</v>
          </cell>
          <cell r="I1216" t="str">
            <v>2</v>
          </cell>
        </row>
        <row r="1217">
          <cell r="A1217" t="str">
            <v>LAMBAYEQUECHICLAYOLAGUNAS</v>
          </cell>
          <cell r="B1217" t="str">
            <v>14</v>
          </cell>
          <cell r="C1217" t="str">
            <v>01</v>
          </cell>
          <cell r="D1217" t="str">
            <v>07</v>
          </cell>
          <cell r="E1217" t="str">
            <v>LAMBAYEQUE</v>
          </cell>
          <cell r="F1217" t="str">
            <v>CHICLAYO</v>
          </cell>
          <cell r="G1217" t="str">
            <v>LAGUNAS</v>
          </cell>
          <cell r="H1217" t="str">
            <v>011223</v>
          </cell>
          <cell r="I1217" t="str">
            <v>2</v>
          </cell>
        </row>
        <row r="1218">
          <cell r="A1218" t="str">
            <v>LAMBAYEQUECHICLAYOMONSEFU</v>
          </cell>
          <cell r="B1218" t="str">
            <v>14</v>
          </cell>
          <cell r="C1218" t="str">
            <v>01</v>
          </cell>
          <cell r="D1218" t="str">
            <v>08</v>
          </cell>
          <cell r="E1218" t="str">
            <v>LAMBAYEQUE</v>
          </cell>
          <cell r="F1218" t="str">
            <v>CHICLAYO</v>
          </cell>
          <cell r="G1218" t="str">
            <v>MONSEFU</v>
          </cell>
          <cell r="H1218" t="str">
            <v>011224</v>
          </cell>
          <cell r="I1218" t="str">
            <v>2</v>
          </cell>
        </row>
        <row r="1219">
          <cell r="A1219" t="str">
            <v>LAMBAYEQUECHICLAYONUEVA ARICA</v>
          </cell>
          <cell r="B1219" t="str">
            <v>14</v>
          </cell>
          <cell r="C1219" t="str">
            <v>01</v>
          </cell>
          <cell r="D1219" t="str">
            <v>09</v>
          </cell>
          <cell r="E1219" t="str">
            <v>LAMBAYEQUE</v>
          </cell>
          <cell r="F1219" t="str">
            <v>CHICLAYO</v>
          </cell>
          <cell r="G1219" t="str">
            <v>NUEVA ARICA</v>
          </cell>
          <cell r="H1219" t="str">
            <v>011225</v>
          </cell>
          <cell r="I1219" t="str">
            <v>2</v>
          </cell>
        </row>
        <row r="1220">
          <cell r="A1220" t="str">
            <v>LAMBAYEQUECHICLAYOOYOTUN</v>
          </cell>
          <cell r="B1220" t="str">
            <v>14</v>
          </cell>
          <cell r="C1220" t="str">
            <v>01</v>
          </cell>
          <cell r="D1220" t="str">
            <v>10</v>
          </cell>
          <cell r="E1220" t="str">
            <v>LAMBAYEQUE</v>
          </cell>
          <cell r="F1220" t="str">
            <v>CHICLAYO</v>
          </cell>
          <cell r="G1220" t="str">
            <v>OYOTUN</v>
          </cell>
          <cell r="H1220" t="str">
            <v>011226</v>
          </cell>
          <cell r="I1220" t="str">
            <v>2</v>
          </cell>
        </row>
        <row r="1221">
          <cell r="A1221" t="str">
            <v>LAMBAYEQUECHICLAYOPICSI</v>
          </cell>
          <cell r="B1221" t="str">
            <v>14</v>
          </cell>
          <cell r="C1221" t="str">
            <v>01</v>
          </cell>
          <cell r="D1221" t="str">
            <v>11</v>
          </cell>
          <cell r="E1221" t="str">
            <v>LAMBAYEQUE</v>
          </cell>
          <cell r="F1221" t="str">
            <v>CHICLAYO</v>
          </cell>
          <cell r="G1221" t="str">
            <v>PICSI</v>
          </cell>
          <cell r="H1221" t="str">
            <v>011214</v>
          </cell>
          <cell r="I1221" t="str">
            <v>2</v>
          </cell>
        </row>
        <row r="1222">
          <cell r="A1222" t="str">
            <v>LAMBAYEQUECHICLAYOPIMENTEL</v>
          </cell>
          <cell r="B1222" t="str">
            <v>14</v>
          </cell>
          <cell r="C1222" t="str">
            <v>01</v>
          </cell>
          <cell r="D1222" t="str">
            <v>12</v>
          </cell>
          <cell r="E1222" t="str">
            <v>LAMBAYEQUE</v>
          </cell>
          <cell r="F1222" t="str">
            <v>CHICLAYO</v>
          </cell>
          <cell r="G1222" t="str">
            <v>PIMENTEL</v>
          </cell>
          <cell r="H1222" t="str">
            <v>011217</v>
          </cell>
          <cell r="I1222" t="str">
            <v>2</v>
          </cell>
        </row>
        <row r="1223">
          <cell r="A1223" t="str">
            <v>LAMBAYEQUECHICLAYOREQUE</v>
          </cell>
          <cell r="B1223" t="str">
            <v>14</v>
          </cell>
          <cell r="C1223" t="str">
            <v>01</v>
          </cell>
          <cell r="D1223" t="str">
            <v>13</v>
          </cell>
          <cell r="E1223" t="str">
            <v>LAMBAYEQUE</v>
          </cell>
          <cell r="F1223" t="str">
            <v>CHICLAYO</v>
          </cell>
          <cell r="G1223" t="str">
            <v>REQUE</v>
          </cell>
          <cell r="H1223" t="str">
            <v>011227</v>
          </cell>
          <cell r="I1223" t="str">
            <v>2</v>
          </cell>
        </row>
        <row r="1224">
          <cell r="A1224" t="str">
            <v>LAMBAYEQUECHICLAYOSANTA ROSA</v>
          </cell>
          <cell r="B1224" t="str">
            <v>14</v>
          </cell>
          <cell r="C1224" t="str">
            <v>01</v>
          </cell>
          <cell r="D1224" t="str">
            <v>14</v>
          </cell>
          <cell r="E1224" t="str">
            <v>LAMBAYEQUE</v>
          </cell>
          <cell r="F1224" t="str">
            <v>CHICLAYO</v>
          </cell>
          <cell r="G1224" t="str">
            <v>SANTA ROSA</v>
          </cell>
          <cell r="H1224" t="str">
            <v>011228</v>
          </cell>
          <cell r="I1224" t="str">
            <v>2</v>
          </cell>
        </row>
        <row r="1225">
          <cell r="A1225" t="str">
            <v>LAMBAYEQUECHICLAYOSAÑA</v>
          </cell>
          <cell r="B1225" t="str">
            <v>14</v>
          </cell>
          <cell r="C1225" t="str">
            <v>01</v>
          </cell>
          <cell r="D1225" t="str">
            <v>15</v>
          </cell>
          <cell r="E1225" t="str">
            <v>LAMBAYEQUE</v>
          </cell>
          <cell r="F1225" t="str">
            <v>CHICLAYO</v>
          </cell>
          <cell r="G1225" t="str">
            <v>SAÑA</v>
          </cell>
          <cell r="H1225" t="str">
            <v>011229</v>
          </cell>
          <cell r="I1225" t="str">
            <v>2</v>
          </cell>
        </row>
        <row r="1226">
          <cell r="A1226" t="str">
            <v>LAMBAYEQUECHICLAYOCAYALTI</v>
          </cell>
          <cell r="B1226" t="str">
            <v>14</v>
          </cell>
          <cell r="C1226" t="str">
            <v>01</v>
          </cell>
          <cell r="D1226" t="str">
            <v>16</v>
          </cell>
          <cell r="E1226" t="str">
            <v>LAMBAYEQUE</v>
          </cell>
          <cell r="F1226" t="str">
            <v>CHICLAYO</v>
          </cell>
          <cell r="G1226" t="str">
            <v>CAYALTI</v>
          </cell>
          <cell r="H1226" t="str">
            <v>011230</v>
          </cell>
          <cell r="I1226" t="str">
            <v>2</v>
          </cell>
        </row>
        <row r="1227">
          <cell r="A1227" t="str">
            <v>LAMBAYEQUECHICLAYOPATAPO</v>
          </cell>
          <cell r="B1227" t="str">
            <v>14</v>
          </cell>
          <cell r="C1227" t="str">
            <v>01</v>
          </cell>
          <cell r="D1227" t="str">
            <v>17</v>
          </cell>
          <cell r="E1227" t="str">
            <v>LAMBAYEQUE</v>
          </cell>
          <cell r="F1227" t="str">
            <v>CHICLAYO</v>
          </cell>
          <cell r="G1227" t="str">
            <v>PATAPO</v>
          </cell>
          <cell r="H1227" t="str">
            <v>011218</v>
          </cell>
          <cell r="I1227" t="str">
            <v>2</v>
          </cell>
        </row>
        <row r="1228">
          <cell r="A1228" t="str">
            <v>LAMBAYEQUECHICLAYOPOMALCA</v>
          </cell>
          <cell r="B1228" t="str">
            <v>14</v>
          </cell>
          <cell r="C1228" t="str">
            <v>01</v>
          </cell>
          <cell r="D1228" t="str">
            <v>18</v>
          </cell>
          <cell r="E1228" t="str">
            <v>LAMBAYEQUE</v>
          </cell>
          <cell r="F1228" t="str">
            <v>CHICLAYO</v>
          </cell>
          <cell r="G1228" t="str">
            <v>POMALCA</v>
          </cell>
          <cell r="H1228" t="str">
            <v>011215</v>
          </cell>
          <cell r="I1228" t="str">
            <v>2</v>
          </cell>
        </row>
        <row r="1229">
          <cell r="A1229" t="str">
            <v>LAMBAYEQUECHICLAYOPUCALA</v>
          </cell>
          <cell r="B1229" t="str">
            <v>14</v>
          </cell>
          <cell r="C1229" t="str">
            <v>01</v>
          </cell>
          <cell r="D1229" t="str">
            <v>19</v>
          </cell>
          <cell r="E1229" t="str">
            <v>LAMBAYEQUE</v>
          </cell>
          <cell r="F1229" t="str">
            <v>CHICLAYO</v>
          </cell>
          <cell r="G1229" t="str">
            <v>PUCALA</v>
          </cell>
          <cell r="H1229" t="str">
            <v>011219</v>
          </cell>
          <cell r="I1229" t="str">
            <v>2</v>
          </cell>
        </row>
        <row r="1230">
          <cell r="A1230" t="str">
            <v>LAMBAYEQUECHICLAYOTUMAN</v>
          </cell>
          <cell r="B1230" t="str">
            <v>14</v>
          </cell>
          <cell r="C1230" t="str">
            <v>01</v>
          </cell>
          <cell r="D1230" t="str">
            <v>20</v>
          </cell>
          <cell r="E1230" t="str">
            <v>LAMBAYEQUE</v>
          </cell>
          <cell r="F1230" t="str">
            <v>CHICLAYO</v>
          </cell>
          <cell r="G1230" t="str">
            <v>TUMAN</v>
          </cell>
          <cell r="H1230" t="str">
            <v>011220</v>
          </cell>
          <cell r="I1230" t="str">
            <v>2</v>
          </cell>
        </row>
        <row r="1231">
          <cell r="A1231" t="str">
            <v>LAMBAYEQUEFERREÑAFEFERREÑAFE</v>
          </cell>
          <cell r="B1231" t="str">
            <v>14</v>
          </cell>
          <cell r="C1231" t="str">
            <v>02</v>
          </cell>
          <cell r="D1231" t="str">
            <v>01</v>
          </cell>
          <cell r="E1231" t="str">
            <v>LAMBAYEQUE</v>
          </cell>
          <cell r="F1231" t="str">
            <v>FERREÑAFE</v>
          </cell>
          <cell r="G1231" t="str">
            <v>FERREÑAFE</v>
          </cell>
          <cell r="H1231" t="str">
            <v>012194</v>
          </cell>
          <cell r="I1231" t="str">
            <v>1</v>
          </cell>
        </row>
        <row r="1232">
          <cell r="A1232" t="str">
            <v>LAMBAYEQUEFERREÑAFECAÑARIS</v>
          </cell>
          <cell r="B1232" t="str">
            <v>14</v>
          </cell>
          <cell r="C1232" t="str">
            <v>02</v>
          </cell>
          <cell r="D1232" t="str">
            <v>02</v>
          </cell>
          <cell r="E1232" t="str">
            <v>LAMBAYEQUE</v>
          </cell>
          <cell r="F1232" t="str">
            <v>FERREÑAFE</v>
          </cell>
          <cell r="G1232" t="str">
            <v>CAÑARIS</v>
          </cell>
          <cell r="H1232" t="str">
            <v>011232</v>
          </cell>
          <cell r="I1232" t="str">
            <v>2</v>
          </cell>
        </row>
        <row r="1233">
          <cell r="A1233" t="str">
            <v>LAMBAYEQUEFERREÑAFEINCAHUASI</v>
          </cell>
          <cell r="B1233" t="str">
            <v>14</v>
          </cell>
          <cell r="C1233" t="str">
            <v>02</v>
          </cell>
          <cell r="D1233" t="str">
            <v>03</v>
          </cell>
          <cell r="E1233" t="str">
            <v>LAMBAYEQUE</v>
          </cell>
          <cell r="F1233" t="str">
            <v>FERREÑAFE</v>
          </cell>
          <cell r="G1233" t="str">
            <v>INCAHUASI</v>
          </cell>
          <cell r="H1233" t="str">
            <v>011233</v>
          </cell>
          <cell r="I1233" t="str">
            <v>2</v>
          </cell>
        </row>
        <row r="1234">
          <cell r="A1234" t="str">
            <v>LAMBAYEQUEFERREÑAFEMANUEL ANTONIO MESONES MURO</v>
          </cell>
          <cell r="B1234" t="str">
            <v>14</v>
          </cell>
          <cell r="C1234" t="str">
            <v>02</v>
          </cell>
          <cell r="D1234" t="str">
            <v>04</v>
          </cell>
          <cell r="E1234" t="str">
            <v>LAMBAYEQUE</v>
          </cell>
          <cell r="F1234" t="str">
            <v>FERREÑAFE</v>
          </cell>
          <cell r="G1234" t="str">
            <v>MANUEL ANTONIO MESONES MURO</v>
          </cell>
          <cell r="H1234" t="str">
            <v>011234</v>
          </cell>
          <cell r="I1234" t="str">
            <v>2</v>
          </cell>
        </row>
        <row r="1235">
          <cell r="A1235" t="str">
            <v>LAMBAYEQUEFERREÑAFEPITIPO</v>
          </cell>
          <cell r="B1235" t="str">
            <v>14</v>
          </cell>
          <cell r="C1235" t="str">
            <v>02</v>
          </cell>
          <cell r="D1235" t="str">
            <v>05</v>
          </cell>
          <cell r="E1235" t="str">
            <v>LAMBAYEQUE</v>
          </cell>
          <cell r="F1235" t="str">
            <v>FERREÑAFE</v>
          </cell>
          <cell r="G1235" t="str">
            <v>PITIPO</v>
          </cell>
          <cell r="H1235" t="str">
            <v>011235</v>
          </cell>
          <cell r="I1235" t="str">
            <v>2</v>
          </cell>
        </row>
        <row r="1236">
          <cell r="A1236" t="str">
            <v>LAMBAYEQUEFERREÑAFEPUEBLO NUEVO</v>
          </cell>
          <cell r="B1236" t="str">
            <v>14</v>
          </cell>
          <cell r="C1236" t="str">
            <v>02</v>
          </cell>
          <cell r="D1236" t="str">
            <v>06</v>
          </cell>
          <cell r="E1236" t="str">
            <v>LAMBAYEQUE</v>
          </cell>
          <cell r="F1236" t="str">
            <v>FERREÑAFE</v>
          </cell>
          <cell r="G1236" t="str">
            <v>PUEBLO NUEVO</v>
          </cell>
          <cell r="H1236" t="str">
            <v>011236</v>
          </cell>
          <cell r="I1236" t="str">
            <v>2</v>
          </cell>
        </row>
        <row r="1237">
          <cell r="A1237" t="str">
            <v>LAMBAYEQUELAMBAYEQUELAMBAYEQUE</v>
          </cell>
          <cell r="B1237" t="str">
            <v>14</v>
          </cell>
          <cell r="C1237" t="str">
            <v>03</v>
          </cell>
          <cell r="D1237" t="str">
            <v>01</v>
          </cell>
          <cell r="E1237" t="str">
            <v>LAMBAYEQUE</v>
          </cell>
          <cell r="F1237" t="str">
            <v>LAMBAYEQUE</v>
          </cell>
          <cell r="G1237" t="str">
            <v>LAMBAYEQUE</v>
          </cell>
          <cell r="H1237" t="str">
            <v>011237</v>
          </cell>
          <cell r="I1237" t="str">
            <v>1</v>
          </cell>
        </row>
        <row r="1238">
          <cell r="A1238" t="str">
            <v>LAMBAYEQUELAMBAYEQUECHOCHOPE</v>
          </cell>
          <cell r="B1238" t="str">
            <v>14</v>
          </cell>
          <cell r="C1238" t="str">
            <v>03</v>
          </cell>
          <cell r="D1238" t="str">
            <v>02</v>
          </cell>
          <cell r="E1238" t="str">
            <v>LAMBAYEQUE</v>
          </cell>
          <cell r="F1238" t="str">
            <v>LAMBAYEQUE</v>
          </cell>
          <cell r="G1238" t="str">
            <v>CHOCHOPE</v>
          </cell>
          <cell r="H1238" t="str">
            <v>012195</v>
          </cell>
          <cell r="I1238" t="str">
            <v>2</v>
          </cell>
        </row>
        <row r="1239">
          <cell r="A1239" t="str">
            <v>LAMBAYEQUELAMBAYEQUEILLIMO</v>
          </cell>
          <cell r="B1239" t="str">
            <v>14</v>
          </cell>
          <cell r="C1239" t="str">
            <v>03</v>
          </cell>
          <cell r="D1239" t="str">
            <v>03</v>
          </cell>
          <cell r="E1239" t="str">
            <v>LAMBAYEQUE</v>
          </cell>
          <cell r="F1239" t="str">
            <v>LAMBAYEQUE</v>
          </cell>
          <cell r="G1239" t="str">
            <v>ILLIMO</v>
          </cell>
          <cell r="H1239" t="str">
            <v>011239</v>
          </cell>
          <cell r="I1239" t="str">
            <v>2</v>
          </cell>
        </row>
        <row r="1240">
          <cell r="A1240" t="str">
            <v>LAMBAYEQUELAMBAYEQUEJAYANCA</v>
          </cell>
          <cell r="B1240" t="str">
            <v>14</v>
          </cell>
          <cell r="C1240" t="str">
            <v>03</v>
          </cell>
          <cell r="D1240" t="str">
            <v>04</v>
          </cell>
          <cell r="E1240" t="str">
            <v>LAMBAYEQUE</v>
          </cell>
          <cell r="F1240" t="str">
            <v>LAMBAYEQUE</v>
          </cell>
          <cell r="G1240" t="str">
            <v>JAYANCA</v>
          </cell>
          <cell r="H1240" t="str">
            <v>011240</v>
          </cell>
          <cell r="I1240" t="str">
            <v>2</v>
          </cell>
        </row>
        <row r="1241">
          <cell r="A1241" t="str">
            <v>LAMBAYEQUELAMBAYEQUEMOCHUMI</v>
          </cell>
          <cell r="B1241" t="str">
            <v>14</v>
          </cell>
          <cell r="C1241" t="str">
            <v>03</v>
          </cell>
          <cell r="D1241" t="str">
            <v>05</v>
          </cell>
          <cell r="E1241" t="str">
            <v>LAMBAYEQUE</v>
          </cell>
          <cell r="F1241" t="str">
            <v>LAMBAYEQUE</v>
          </cell>
          <cell r="G1241" t="str">
            <v>MOCHUMI</v>
          </cell>
          <cell r="H1241" t="str">
            <v>011241</v>
          </cell>
          <cell r="I1241" t="str">
            <v>2</v>
          </cell>
        </row>
        <row r="1242">
          <cell r="A1242" t="str">
            <v>LAMBAYEQUELAMBAYEQUEMORROPE</v>
          </cell>
          <cell r="B1242" t="str">
            <v>14</v>
          </cell>
          <cell r="C1242" t="str">
            <v>03</v>
          </cell>
          <cell r="D1242" t="str">
            <v>06</v>
          </cell>
          <cell r="E1242" t="str">
            <v>LAMBAYEQUE</v>
          </cell>
          <cell r="F1242" t="str">
            <v>LAMBAYEQUE</v>
          </cell>
          <cell r="G1242" t="str">
            <v>MORROPE</v>
          </cell>
          <cell r="H1242" t="str">
            <v>011242</v>
          </cell>
          <cell r="I1242" t="str">
            <v>2</v>
          </cell>
        </row>
        <row r="1243">
          <cell r="A1243" t="str">
            <v>LAMBAYEQUELAMBAYEQUEMOTUPE</v>
          </cell>
          <cell r="B1243" t="str">
            <v>14</v>
          </cell>
          <cell r="C1243" t="str">
            <v>03</v>
          </cell>
          <cell r="D1243" t="str">
            <v>07</v>
          </cell>
          <cell r="E1243" t="str">
            <v>LAMBAYEQUE</v>
          </cell>
          <cell r="F1243" t="str">
            <v>LAMBAYEQUE</v>
          </cell>
          <cell r="G1243" t="str">
            <v>MOTUPE</v>
          </cell>
          <cell r="H1243" t="str">
            <v>011243</v>
          </cell>
          <cell r="I1243" t="str">
            <v>2</v>
          </cell>
        </row>
        <row r="1244">
          <cell r="A1244" t="str">
            <v>LAMBAYEQUELAMBAYEQUEOLMOS</v>
          </cell>
          <cell r="B1244" t="str">
            <v>14</v>
          </cell>
          <cell r="C1244" t="str">
            <v>03</v>
          </cell>
          <cell r="D1244" t="str">
            <v>08</v>
          </cell>
          <cell r="E1244" t="str">
            <v>LAMBAYEQUE</v>
          </cell>
          <cell r="F1244" t="str">
            <v>LAMBAYEQUE</v>
          </cell>
          <cell r="G1244" t="str">
            <v>OLMOS</v>
          </cell>
          <cell r="H1244" t="str">
            <v>011244</v>
          </cell>
          <cell r="I1244" t="str">
            <v>2</v>
          </cell>
        </row>
        <row r="1245">
          <cell r="A1245" t="str">
            <v>LAMBAYEQUELAMBAYEQUEPACORA</v>
          </cell>
          <cell r="B1245" t="str">
            <v>14</v>
          </cell>
          <cell r="C1245" t="str">
            <v>03</v>
          </cell>
          <cell r="D1245" t="str">
            <v>09</v>
          </cell>
          <cell r="E1245" t="str">
            <v>LAMBAYEQUE</v>
          </cell>
          <cell r="F1245" t="str">
            <v>LAMBAYEQUE</v>
          </cell>
          <cell r="G1245" t="str">
            <v>PACORA</v>
          </cell>
          <cell r="H1245" t="str">
            <v>011245</v>
          </cell>
          <cell r="I1245" t="str">
            <v>2</v>
          </cell>
        </row>
        <row r="1246">
          <cell r="A1246" t="str">
            <v>LAMBAYEQUELAMBAYEQUESALAS</v>
          </cell>
          <cell r="B1246" t="str">
            <v>14</v>
          </cell>
          <cell r="C1246" t="str">
            <v>03</v>
          </cell>
          <cell r="D1246" t="str">
            <v>10</v>
          </cell>
          <cell r="E1246" t="str">
            <v>LAMBAYEQUE</v>
          </cell>
          <cell r="F1246" t="str">
            <v>LAMBAYEQUE</v>
          </cell>
          <cell r="G1246" t="str">
            <v>SALAS</v>
          </cell>
          <cell r="H1246" t="str">
            <v>011246</v>
          </cell>
          <cell r="I1246" t="str">
            <v>2</v>
          </cell>
        </row>
        <row r="1247">
          <cell r="A1247" t="str">
            <v>LAMBAYEQUELAMBAYEQUESAN JOSE</v>
          </cell>
          <cell r="B1247" t="str">
            <v>14</v>
          </cell>
          <cell r="C1247" t="str">
            <v>03</v>
          </cell>
          <cell r="D1247" t="str">
            <v>11</v>
          </cell>
          <cell r="E1247" t="str">
            <v>LAMBAYEQUE</v>
          </cell>
          <cell r="F1247" t="str">
            <v>LAMBAYEQUE</v>
          </cell>
          <cell r="G1247" t="str">
            <v>SAN JOSE</v>
          </cell>
          <cell r="H1247" t="str">
            <v>011247</v>
          </cell>
          <cell r="I1247" t="str">
            <v>2</v>
          </cell>
        </row>
        <row r="1248">
          <cell r="A1248" t="str">
            <v>LAMBAYEQUELAMBAYEQUETUCUME</v>
          </cell>
          <cell r="B1248" t="str">
            <v>14</v>
          </cell>
          <cell r="C1248" t="str">
            <v>03</v>
          </cell>
          <cell r="D1248" t="str">
            <v>12</v>
          </cell>
          <cell r="E1248" t="str">
            <v>LAMBAYEQUE</v>
          </cell>
          <cell r="F1248" t="str">
            <v>LAMBAYEQUE</v>
          </cell>
          <cell r="G1248" t="str">
            <v>TUCUME</v>
          </cell>
          <cell r="H1248" t="str">
            <v>011248</v>
          </cell>
          <cell r="I1248" t="str">
            <v>2</v>
          </cell>
        </row>
        <row r="1249">
          <cell r="A1249" t="str">
            <v>LIMALIMALIMA</v>
          </cell>
          <cell r="B1249" t="str">
            <v>15</v>
          </cell>
          <cell r="C1249" t="str">
            <v>01</v>
          </cell>
          <cell r="D1249" t="str">
            <v>01</v>
          </cell>
          <cell r="E1249" t="str">
            <v>LIMA</v>
          </cell>
          <cell r="F1249" t="str">
            <v>LIMA</v>
          </cell>
          <cell r="G1249" t="str">
            <v>LIMA</v>
          </cell>
          <cell r="H1249" t="str">
            <v>013029</v>
          </cell>
          <cell r="I1249" t="str">
            <v>1</v>
          </cell>
        </row>
        <row r="1250">
          <cell r="A1250" t="str">
            <v>LIMALIMAANCON</v>
          </cell>
          <cell r="B1250" t="str">
            <v>15</v>
          </cell>
          <cell r="C1250" t="str">
            <v>01</v>
          </cell>
          <cell r="D1250" t="str">
            <v>02</v>
          </cell>
          <cell r="E1250" t="str">
            <v>LIMA</v>
          </cell>
          <cell r="F1250" t="str">
            <v>LIMA</v>
          </cell>
          <cell r="G1250" t="str">
            <v>ANCON</v>
          </cell>
          <cell r="H1250" t="str">
            <v>011272</v>
          </cell>
          <cell r="I1250" t="str">
            <v>2</v>
          </cell>
        </row>
        <row r="1251">
          <cell r="A1251" t="str">
            <v>LIMALIMAATE</v>
          </cell>
          <cell r="B1251" t="str">
            <v>15</v>
          </cell>
          <cell r="C1251" t="str">
            <v>01</v>
          </cell>
          <cell r="D1251" t="str">
            <v>03</v>
          </cell>
          <cell r="E1251" t="str">
            <v>LIMA</v>
          </cell>
          <cell r="F1251" t="str">
            <v>LIMA</v>
          </cell>
          <cell r="G1251" t="str">
            <v>ATE</v>
          </cell>
          <cell r="H1251" t="str">
            <v>012337</v>
          </cell>
          <cell r="I1251" t="str">
            <v>2</v>
          </cell>
        </row>
        <row r="1252">
          <cell r="A1252" t="str">
            <v>LIMALIMABARRANCO</v>
          </cell>
          <cell r="B1252" t="str">
            <v>15</v>
          </cell>
          <cell r="C1252" t="str">
            <v>01</v>
          </cell>
          <cell r="D1252" t="str">
            <v>04</v>
          </cell>
          <cell r="E1252" t="str">
            <v>LIMA</v>
          </cell>
          <cell r="F1252" t="str">
            <v>LIMA</v>
          </cell>
          <cell r="G1252" t="str">
            <v>BARRANCO</v>
          </cell>
          <cell r="H1252" t="str">
            <v>011288</v>
          </cell>
          <cell r="I1252" t="str">
            <v>2</v>
          </cell>
        </row>
        <row r="1253">
          <cell r="A1253" t="str">
            <v>LIMALIMABREÑA</v>
          </cell>
          <cell r="B1253" t="str">
            <v>15</v>
          </cell>
          <cell r="C1253" t="str">
            <v>01</v>
          </cell>
          <cell r="D1253" t="str">
            <v>05</v>
          </cell>
          <cell r="E1253" t="str">
            <v>LIMA</v>
          </cell>
          <cell r="F1253" t="str">
            <v>LIMA</v>
          </cell>
          <cell r="G1253" t="str">
            <v>BREÑA</v>
          </cell>
          <cell r="H1253" t="str">
            <v>013018</v>
          </cell>
          <cell r="I1253" t="str">
            <v>2</v>
          </cell>
        </row>
        <row r="1254">
          <cell r="A1254" t="str">
            <v>LIMALIMACARABAYLLO</v>
          </cell>
          <cell r="B1254" t="str">
            <v>15</v>
          </cell>
          <cell r="C1254" t="str">
            <v>01</v>
          </cell>
          <cell r="D1254" t="str">
            <v>06</v>
          </cell>
          <cell r="E1254" t="str">
            <v>LIMA</v>
          </cell>
          <cell r="F1254" t="str">
            <v>LIMA</v>
          </cell>
          <cell r="G1254" t="str">
            <v>CARABAYLLO</v>
          </cell>
          <cell r="H1254" t="str">
            <v>011273</v>
          </cell>
          <cell r="I1254" t="str">
            <v>2</v>
          </cell>
        </row>
        <row r="1255">
          <cell r="A1255" t="str">
            <v>LIMALIMACHACLACAYO</v>
          </cell>
          <cell r="B1255" t="str">
            <v>15</v>
          </cell>
          <cell r="C1255" t="str">
            <v>01</v>
          </cell>
          <cell r="D1255" t="str">
            <v>07</v>
          </cell>
          <cell r="E1255" t="str">
            <v>LIMA</v>
          </cell>
          <cell r="F1255" t="str">
            <v>LIMA</v>
          </cell>
          <cell r="G1255" t="str">
            <v>CHACLACAYO</v>
          </cell>
          <cell r="H1255" t="str">
            <v>011283</v>
          </cell>
          <cell r="I1255" t="str">
            <v>2</v>
          </cell>
        </row>
        <row r="1256">
          <cell r="A1256" t="str">
            <v>LIMALIMACHORRILLOS</v>
          </cell>
          <cell r="B1256" t="str">
            <v>15</v>
          </cell>
          <cell r="C1256" t="str">
            <v>01</v>
          </cell>
          <cell r="D1256" t="str">
            <v>08</v>
          </cell>
          <cell r="E1256" t="str">
            <v>LIMA</v>
          </cell>
          <cell r="F1256" t="str">
            <v>LIMA</v>
          </cell>
          <cell r="G1256" t="str">
            <v>CHORRILLOS</v>
          </cell>
          <cell r="H1256" t="str">
            <v>011289</v>
          </cell>
          <cell r="I1256" t="str">
            <v>2</v>
          </cell>
        </row>
        <row r="1257">
          <cell r="A1257" t="str">
            <v>LIMALIMACIENEGUILLA</v>
          </cell>
          <cell r="B1257" t="str">
            <v>15</v>
          </cell>
          <cell r="C1257" t="str">
            <v>01</v>
          </cell>
          <cell r="D1257" t="str">
            <v>09</v>
          </cell>
          <cell r="E1257" t="str">
            <v>LIMA</v>
          </cell>
          <cell r="F1257" t="str">
            <v>LIMA</v>
          </cell>
          <cell r="G1257" t="str">
            <v>CIENEGUILLA</v>
          </cell>
          <cell r="H1257" t="str">
            <v>011280</v>
          </cell>
          <cell r="I1257" t="str">
            <v>2</v>
          </cell>
        </row>
        <row r="1258">
          <cell r="A1258" t="str">
            <v>LIMALIMACOMAS</v>
          </cell>
          <cell r="B1258" t="str">
            <v>15</v>
          </cell>
          <cell r="C1258" t="str">
            <v>01</v>
          </cell>
          <cell r="D1258" t="str">
            <v>10</v>
          </cell>
          <cell r="E1258" t="str">
            <v>LIMA</v>
          </cell>
          <cell r="F1258" t="str">
            <v>LIMA</v>
          </cell>
          <cell r="G1258" t="str">
            <v>COMAS</v>
          </cell>
          <cell r="H1258" t="str">
            <v>011274</v>
          </cell>
          <cell r="I1258" t="str">
            <v>2</v>
          </cell>
        </row>
        <row r="1259">
          <cell r="A1259" t="str">
            <v>LIMALIMAEL AGUSTINO</v>
          </cell>
          <cell r="B1259" t="str">
            <v>15</v>
          </cell>
          <cell r="C1259" t="str">
            <v>01</v>
          </cell>
          <cell r="D1259" t="str">
            <v>11</v>
          </cell>
          <cell r="E1259" t="str">
            <v>LIMA</v>
          </cell>
          <cell r="F1259" t="str">
            <v>LIMA</v>
          </cell>
          <cell r="G1259" t="str">
            <v>EL AGUSTINO</v>
          </cell>
          <cell r="H1259" t="str">
            <v>011277</v>
          </cell>
          <cell r="I1259" t="str">
            <v>2</v>
          </cell>
        </row>
        <row r="1260">
          <cell r="A1260" t="str">
            <v>LIMALIMAINDEPENDENCIA</v>
          </cell>
          <cell r="B1260" t="str">
            <v>15</v>
          </cell>
          <cell r="C1260" t="str">
            <v>01</v>
          </cell>
          <cell r="D1260" t="str">
            <v>12</v>
          </cell>
          <cell r="E1260" t="str">
            <v>LIMA</v>
          </cell>
          <cell r="F1260" t="str">
            <v>LIMA</v>
          </cell>
          <cell r="G1260" t="str">
            <v>INDEPENDENCIA</v>
          </cell>
          <cell r="H1260" t="str">
            <v>013031</v>
          </cell>
          <cell r="I1260" t="str">
            <v>2</v>
          </cell>
        </row>
        <row r="1261">
          <cell r="A1261" t="str">
            <v>LIMALIMAJESUS MARIA</v>
          </cell>
          <cell r="B1261" t="str">
            <v>15</v>
          </cell>
          <cell r="C1261" t="str">
            <v>01</v>
          </cell>
          <cell r="D1261" t="str">
            <v>13</v>
          </cell>
          <cell r="E1261" t="str">
            <v>LIMA</v>
          </cell>
          <cell r="F1261" t="str">
            <v>LIMA</v>
          </cell>
          <cell r="G1261" t="str">
            <v>JESUS MARIA</v>
          </cell>
          <cell r="H1261" t="str">
            <v>011251</v>
          </cell>
          <cell r="I1261" t="str">
            <v>2</v>
          </cell>
        </row>
        <row r="1262">
          <cell r="A1262" t="str">
            <v>LIMALIMALA MOLINA</v>
          </cell>
          <cell r="B1262" t="str">
            <v>15</v>
          </cell>
          <cell r="C1262" t="str">
            <v>01</v>
          </cell>
          <cell r="D1262" t="str">
            <v>14</v>
          </cell>
          <cell r="E1262" t="str">
            <v>LIMA</v>
          </cell>
          <cell r="F1262" t="str">
            <v>LIMA</v>
          </cell>
          <cell r="G1262" t="str">
            <v>LA MOLINA</v>
          </cell>
          <cell r="H1262" t="str">
            <v>013020</v>
          </cell>
          <cell r="I1262" t="str">
            <v>2</v>
          </cell>
        </row>
        <row r="1263">
          <cell r="A1263" t="str">
            <v>LIMALIMALA VICTORIA</v>
          </cell>
          <cell r="B1263" t="str">
            <v>15</v>
          </cell>
          <cell r="C1263" t="str">
            <v>01</v>
          </cell>
          <cell r="D1263" t="str">
            <v>15</v>
          </cell>
          <cell r="E1263" t="str">
            <v>LIMA</v>
          </cell>
          <cell r="F1263" t="str">
            <v>LIMA</v>
          </cell>
          <cell r="G1263" t="str">
            <v>LA VICTORIA</v>
          </cell>
          <cell r="H1263" t="str">
            <v>011252</v>
          </cell>
          <cell r="I1263" t="str">
            <v>2</v>
          </cell>
        </row>
        <row r="1264">
          <cell r="A1264" t="str">
            <v>LIMALIMALINCE</v>
          </cell>
          <cell r="B1264" t="str">
            <v>15</v>
          </cell>
          <cell r="C1264" t="str">
            <v>01</v>
          </cell>
          <cell r="D1264" t="str">
            <v>16</v>
          </cell>
          <cell r="E1264" t="str">
            <v>LIMA</v>
          </cell>
          <cell r="F1264" t="str">
            <v>LIMA</v>
          </cell>
          <cell r="G1264" t="str">
            <v>LINCE</v>
          </cell>
          <cell r="H1264" t="str">
            <v>013032</v>
          </cell>
          <cell r="I1264" t="str">
            <v>2</v>
          </cell>
        </row>
        <row r="1265">
          <cell r="A1265" t="str">
            <v>LIMALIMALOS OLIVOS</v>
          </cell>
          <cell r="B1265" t="str">
            <v>15</v>
          </cell>
          <cell r="C1265" t="str">
            <v>01</v>
          </cell>
          <cell r="D1265" t="str">
            <v>17</v>
          </cell>
          <cell r="E1265" t="str">
            <v>LIMA</v>
          </cell>
          <cell r="F1265" t="str">
            <v>LIMA</v>
          </cell>
          <cell r="G1265" t="str">
            <v>LOS OLIVOS</v>
          </cell>
          <cell r="H1265" t="str">
            <v>013034</v>
          </cell>
          <cell r="I1265" t="str">
            <v>2</v>
          </cell>
        </row>
        <row r="1266">
          <cell r="A1266" t="str">
            <v>LIMALIMALURIGANCHO</v>
          </cell>
          <cell r="B1266" t="str">
            <v>15</v>
          </cell>
          <cell r="C1266" t="str">
            <v>01</v>
          </cell>
          <cell r="D1266" t="str">
            <v>18</v>
          </cell>
          <cell r="E1266" t="str">
            <v>LIMA</v>
          </cell>
          <cell r="F1266" t="str">
            <v>LIMA</v>
          </cell>
          <cell r="G1266" t="str">
            <v>LURIGANCHO</v>
          </cell>
          <cell r="H1266" t="str">
            <v>011284</v>
          </cell>
          <cell r="I1266" t="str">
            <v>2</v>
          </cell>
        </row>
        <row r="1267">
          <cell r="A1267" t="str">
            <v>LIMALIMALURIN</v>
          </cell>
          <cell r="B1267" t="str">
            <v>15</v>
          </cell>
          <cell r="C1267" t="str">
            <v>01</v>
          </cell>
          <cell r="D1267" t="str">
            <v>19</v>
          </cell>
          <cell r="E1267" t="str">
            <v>LIMA</v>
          </cell>
          <cell r="F1267" t="str">
            <v>LIMA</v>
          </cell>
          <cell r="G1267" t="str">
            <v>LURIN</v>
          </cell>
          <cell r="H1267" t="str">
            <v>011254</v>
          </cell>
          <cell r="I1267" t="str">
            <v>2</v>
          </cell>
        </row>
        <row r="1268">
          <cell r="A1268" t="str">
            <v>LIMALIMAMAGDALENA DEL MAR</v>
          </cell>
          <cell r="B1268" t="str">
            <v>15</v>
          </cell>
          <cell r="C1268" t="str">
            <v>01</v>
          </cell>
          <cell r="D1268" t="str">
            <v>20</v>
          </cell>
          <cell r="E1268" t="str">
            <v>LIMA</v>
          </cell>
          <cell r="F1268" t="str">
            <v>LIMA</v>
          </cell>
          <cell r="G1268" t="str">
            <v>MAGDALENA DEL MAR</v>
          </cell>
          <cell r="H1268" t="str">
            <v>011268</v>
          </cell>
          <cell r="I1268" t="str">
            <v>2</v>
          </cell>
        </row>
        <row r="1269">
          <cell r="A1269" t="str">
            <v>LIMALIMAMAGDALENA VIEJA</v>
          </cell>
          <cell r="B1269" t="str">
            <v>15</v>
          </cell>
          <cell r="C1269" t="str">
            <v>01</v>
          </cell>
          <cell r="D1269" t="str">
            <v>21</v>
          </cell>
          <cell r="E1269" t="str">
            <v>LIMA</v>
          </cell>
          <cell r="F1269" t="str">
            <v>LIMA</v>
          </cell>
          <cell r="G1269" t="str">
            <v>MAGDALENA VIEJA</v>
          </cell>
          <cell r="H1269" t="str">
            <v>011269</v>
          </cell>
          <cell r="I1269" t="str">
            <v>2</v>
          </cell>
        </row>
        <row r="1270">
          <cell r="A1270" t="str">
            <v>LIMALIMAMIRAFLORES</v>
          </cell>
          <cell r="B1270" t="str">
            <v>15</v>
          </cell>
          <cell r="C1270" t="str">
            <v>01</v>
          </cell>
          <cell r="D1270" t="str">
            <v>22</v>
          </cell>
          <cell r="E1270" t="str">
            <v>LIMA</v>
          </cell>
          <cell r="F1270" t="str">
            <v>LIMA</v>
          </cell>
          <cell r="G1270" t="str">
            <v>MIRAFLORES</v>
          </cell>
          <cell r="H1270" t="str">
            <v>013030</v>
          </cell>
          <cell r="I1270" t="str">
            <v>2</v>
          </cell>
        </row>
        <row r="1271">
          <cell r="A1271" t="str">
            <v>LIMALIMAPACHACAMAC</v>
          </cell>
          <cell r="B1271" t="str">
            <v>15</v>
          </cell>
          <cell r="C1271" t="str">
            <v>01</v>
          </cell>
          <cell r="D1271" t="str">
            <v>23</v>
          </cell>
          <cell r="E1271" t="str">
            <v>LIMA</v>
          </cell>
          <cell r="F1271" t="str">
            <v>LIMA</v>
          </cell>
          <cell r="G1271" t="str">
            <v>PACHACAMAC</v>
          </cell>
          <cell r="H1271" t="str">
            <v>011255</v>
          </cell>
          <cell r="I1271" t="str">
            <v>2</v>
          </cell>
        </row>
        <row r="1272">
          <cell r="A1272" t="str">
            <v>LIMALIMAPUCUSANA</v>
          </cell>
          <cell r="B1272" t="str">
            <v>15</v>
          </cell>
          <cell r="C1272" t="str">
            <v>01</v>
          </cell>
          <cell r="D1272" t="str">
            <v>24</v>
          </cell>
          <cell r="E1272" t="str">
            <v>LIMA</v>
          </cell>
          <cell r="F1272" t="str">
            <v>LIMA</v>
          </cell>
          <cell r="G1272" t="str">
            <v>PUCUSANA</v>
          </cell>
          <cell r="H1272" t="str">
            <v>011256</v>
          </cell>
          <cell r="I1272" t="str">
            <v>2</v>
          </cell>
        </row>
        <row r="1273">
          <cell r="A1273" t="str">
            <v>LIMALIMAPUENTE PIEDRA</v>
          </cell>
          <cell r="B1273" t="str">
            <v>15</v>
          </cell>
          <cell r="C1273" t="str">
            <v>01</v>
          </cell>
          <cell r="D1273" t="str">
            <v>25</v>
          </cell>
          <cell r="E1273" t="str">
            <v>LIMA</v>
          </cell>
          <cell r="F1273" t="str">
            <v>LIMA</v>
          </cell>
          <cell r="G1273" t="str">
            <v>PUENTE PIEDRA</v>
          </cell>
          <cell r="H1273" t="str">
            <v>011275</v>
          </cell>
          <cell r="I1273" t="str">
            <v>2</v>
          </cell>
        </row>
        <row r="1274">
          <cell r="A1274" t="str">
            <v>LIMALIMAPUNTA HERMOSA</v>
          </cell>
          <cell r="B1274" t="str">
            <v>15</v>
          </cell>
          <cell r="C1274" t="str">
            <v>01</v>
          </cell>
          <cell r="D1274" t="str">
            <v>26</v>
          </cell>
          <cell r="E1274" t="str">
            <v>LIMA</v>
          </cell>
          <cell r="F1274" t="str">
            <v>LIMA</v>
          </cell>
          <cell r="G1274" t="str">
            <v>PUNTA HERMOSA</v>
          </cell>
          <cell r="H1274" t="str">
            <v>011257</v>
          </cell>
          <cell r="I1274" t="str">
            <v>2</v>
          </cell>
        </row>
        <row r="1275">
          <cell r="A1275" t="str">
            <v>LIMALIMAPUNTA NEGRA</v>
          </cell>
          <cell r="B1275" t="str">
            <v>15</v>
          </cell>
          <cell r="C1275" t="str">
            <v>01</v>
          </cell>
          <cell r="D1275" t="str">
            <v>27</v>
          </cell>
          <cell r="E1275" t="str">
            <v>LIMA</v>
          </cell>
          <cell r="F1275" t="str">
            <v>LIMA</v>
          </cell>
          <cell r="G1275" t="str">
            <v>PUNTA NEGRA</v>
          </cell>
          <cell r="H1275" t="str">
            <v>011258</v>
          </cell>
          <cell r="I1275" t="str">
            <v>2</v>
          </cell>
        </row>
        <row r="1276">
          <cell r="A1276" t="str">
            <v>LIMALIMARIMAC</v>
          </cell>
          <cell r="B1276" t="str">
            <v>15</v>
          </cell>
          <cell r="C1276" t="str">
            <v>01</v>
          </cell>
          <cell r="D1276" t="str">
            <v>28</v>
          </cell>
          <cell r="E1276" t="str">
            <v>LIMA</v>
          </cell>
          <cell r="F1276" t="str">
            <v>LIMA</v>
          </cell>
          <cell r="G1276" t="str">
            <v>RIMAC</v>
          </cell>
          <cell r="H1276" t="str">
            <v>011265</v>
          </cell>
          <cell r="I1276" t="str">
            <v>2</v>
          </cell>
        </row>
        <row r="1277">
          <cell r="A1277" t="str">
            <v>LIMALIMASAN BARTOLO</v>
          </cell>
          <cell r="B1277" t="str">
            <v>15</v>
          </cell>
          <cell r="C1277" t="str">
            <v>01</v>
          </cell>
          <cell r="D1277" t="str">
            <v>29</v>
          </cell>
          <cell r="E1277" t="str">
            <v>LIMA</v>
          </cell>
          <cell r="F1277" t="str">
            <v>LIMA</v>
          </cell>
          <cell r="G1277" t="str">
            <v>SAN BARTOLO</v>
          </cell>
          <cell r="H1277" t="str">
            <v>011259</v>
          </cell>
          <cell r="I1277" t="str">
            <v>2</v>
          </cell>
        </row>
        <row r="1278">
          <cell r="A1278" t="str">
            <v>LIMALIMASAN BORJA</v>
          </cell>
          <cell r="B1278" t="str">
            <v>15</v>
          </cell>
          <cell r="C1278" t="str">
            <v>01</v>
          </cell>
          <cell r="D1278" t="str">
            <v>30</v>
          </cell>
          <cell r="E1278" t="str">
            <v>LIMA</v>
          </cell>
          <cell r="F1278" t="str">
            <v>LIMA</v>
          </cell>
          <cell r="G1278" t="str">
            <v>SAN BORJA</v>
          </cell>
          <cell r="H1278" t="str">
            <v>011285</v>
          </cell>
          <cell r="I1278" t="str">
            <v>2</v>
          </cell>
        </row>
        <row r="1279">
          <cell r="A1279" t="str">
            <v>LIMALIMASAN ISIDRO</v>
          </cell>
          <cell r="B1279" t="str">
            <v>15</v>
          </cell>
          <cell r="C1279" t="str">
            <v>01</v>
          </cell>
          <cell r="D1279" t="str">
            <v>31</v>
          </cell>
          <cell r="E1279" t="str">
            <v>LIMA</v>
          </cell>
          <cell r="F1279" t="str">
            <v>LIMA</v>
          </cell>
          <cell r="G1279" t="str">
            <v>SAN ISIDRO</v>
          </cell>
          <cell r="H1279" t="str">
            <v>011270</v>
          </cell>
          <cell r="I1279" t="str">
            <v>2</v>
          </cell>
        </row>
        <row r="1280">
          <cell r="A1280" t="str">
            <v>LIMALIMASAN JUAN DE LURIGANCHO</v>
          </cell>
          <cell r="B1280" t="str">
            <v>15</v>
          </cell>
          <cell r="C1280" t="str">
            <v>01</v>
          </cell>
          <cell r="D1280" t="str">
            <v>32</v>
          </cell>
          <cell r="E1280" t="str">
            <v>LIMA</v>
          </cell>
          <cell r="F1280" t="str">
            <v>LIMA</v>
          </cell>
          <cell r="G1280" t="str">
            <v>SAN JUAN DE LURIGANCHO</v>
          </cell>
          <cell r="H1280" t="str">
            <v>011278</v>
          </cell>
          <cell r="I1280" t="str">
            <v>2</v>
          </cell>
        </row>
        <row r="1281">
          <cell r="A1281" t="str">
            <v>LIMALIMASAN JUAN DE MIRAFLORES</v>
          </cell>
          <cell r="B1281" t="str">
            <v>15</v>
          </cell>
          <cell r="C1281" t="str">
            <v>01</v>
          </cell>
          <cell r="D1281" t="str">
            <v>33</v>
          </cell>
          <cell r="E1281" t="str">
            <v>LIMA</v>
          </cell>
          <cell r="F1281" t="str">
            <v>LIMA</v>
          </cell>
          <cell r="G1281" t="str">
            <v>SAN JUAN DE MIRAFLORES</v>
          </cell>
          <cell r="H1281" t="str">
            <v>013021</v>
          </cell>
          <cell r="I1281" t="str">
            <v>2</v>
          </cell>
        </row>
        <row r="1282">
          <cell r="A1282" t="str">
            <v>LIMALIMASAN LUIS</v>
          </cell>
          <cell r="B1282" t="str">
            <v>15</v>
          </cell>
          <cell r="C1282" t="str">
            <v>01</v>
          </cell>
          <cell r="D1282" t="str">
            <v>34</v>
          </cell>
          <cell r="E1282" t="str">
            <v>LIMA</v>
          </cell>
          <cell r="F1282" t="str">
            <v>LIMA</v>
          </cell>
          <cell r="G1282" t="str">
            <v>SAN LUIS</v>
          </cell>
          <cell r="H1282" t="str">
            <v>011286</v>
          </cell>
          <cell r="I1282" t="str">
            <v>2</v>
          </cell>
        </row>
        <row r="1283">
          <cell r="A1283" t="str">
            <v>LIMALIMASAN MARTIN DE PORRES</v>
          </cell>
          <cell r="B1283" t="str">
            <v>15</v>
          </cell>
          <cell r="C1283" t="str">
            <v>01</v>
          </cell>
          <cell r="D1283" t="str">
            <v>35</v>
          </cell>
          <cell r="E1283" t="str">
            <v>LIMA</v>
          </cell>
          <cell r="F1283" t="str">
            <v>LIMA</v>
          </cell>
          <cell r="G1283" t="str">
            <v>SAN MARTIN DE PORRES</v>
          </cell>
          <cell r="H1283" t="str">
            <v>011267</v>
          </cell>
          <cell r="I1283" t="str">
            <v>2</v>
          </cell>
        </row>
        <row r="1284">
          <cell r="A1284" t="str">
            <v>LIMALIMASAN MIGUEL</v>
          </cell>
          <cell r="B1284" t="str">
            <v>15</v>
          </cell>
          <cell r="C1284" t="str">
            <v>01</v>
          </cell>
          <cell r="D1284" t="str">
            <v>36</v>
          </cell>
          <cell r="E1284" t="str">
            <v>LIMA</v>
          </cell>
          <cell r="F1284" t="str">
            <v>LIMA</v>
          </cell>
          <cell r="G1284" t="str">
            <v>SAN MIGUEL</v>
          </cell>
          <cell r="H1284" t="str">
            <v>011271</v>
          </cell>
          <cell r="I1284" t="str">
            <v>2</v>
          </cell>
        </row>
        <row r="1285">
          <cell r="A1285" t="str">
            <v>LIMALIMASANTA ANITA</v>
          </cell>
          <cell r="B1285" t="str">
            <v>15</v>
          </cell>
          <cell r="C1285" t="str">
            <v>01</v>
          </cell>
          <cell r="D1285" t="str">
            <v>37</v>
          </cell>
          <cell r="E1285" t="str">
            <v>LIMA</v>
          </cell>
          <cell r="F1285" t="str">
            <v>LIMA</v>
          </cell>
          <cell r="G1285" t="str">
            <v>SANTA ANITA</v>
          </cell>
          <cell r="H1285" t="str">
            <v>011282</v>
          </cell>
          <cell r="I1285" t="str">
            <v>2</v>
          </cell>
        </row>
        <row r="1286">
          <cell r="A1286" t="str">
            <v>LIMALIMASANTA MARIA DEL MAR</v>
          </cell>
          <cell r="B1286" t="str">
            <v>15</v>
          </cell>
          <cell r="C1286" t="str">
            <v>01</v>
          </cell>
          <cell r="D1286" t="str">
            <v>38</v>
          </cell>
          <cell r="E1286" t="str">
            <v>LIMA</v>
          </cell>
          <cell r="F1286" t="str">
            <v>LIMA</v>
          </cell>
          <cell r="G1286" t="str">
            <v>SANTA MARIA DEL MAR</v>
          </cell>
          <cell r="H1286" t="str">
            <v>011260</v>
          </cell>
          <cell r="I1286" t="str">
            <v>2</v>
          </cell>
        </row>
        <row r="1287">
          <cell r="A1287" t="str">
            <v>LIMALIMASANTA ROSA</v>
          </cell>
          <cell r="B1287" t="str">
            <v>15</v>
          </cell>
          <cell r="C1287" t="str">
            <v>01</v>
          </cell>
          <cell r="D1287" t="str">
            <v>39</v>
          </cell>
          <cell r="E1287" t="str">
            <v>LIMA</v>
          </cell>
          <cell r="F1287" t="str">
            <v>LIMA</v>
          </cell>
          <cell r="G1287" t="str">
            <v>SANTA ROSA</v>
          </cell>
          <cell r="H1287" t="str">
            <v>011276</v>
          </cell>
          <cell r="I1287" t="str">
            <v>2</v>
          </cell>
        </row>
        <row r="1288">
          <cell r="A1288" t="str">
            <v>LIMALIMASANTIAGO DE SURCO</v>
          </cell>
          <cell r="B1288" t="str">
            <v>15</v>
          </cell>
          <cell r="C1288" t="str">
            <v>01</v>
          </cell>
          <cell r="D1288" t="str">
            <v>40</v>
          </cell>
          <cell r="E1288" t="str">
            <v>LIMA</v>
          </cell>
          <cell r="F1288" t="str">
            <v>LIMA</v>
          </cell>
          <cell r="G1288" t="str">
            <v>SANTIAGO DE SURCO</v>
          </cell>
          <cell r="H1288" t="str">
            <v>013028</v>
          </cell>
          <cell r="I1288" t="str">
            <v>2</v>
          </cell>
        </row>
        <row r="1289">
          <cell r="A1289" t="str">
            <v>LIMALIMASURQUILLO</v>
          </cell>
          <cell r="B1289" t="str">
            <v>15</v>
          </cell>
          <cell r="C1289" t="str">
            <v>01</v>
          </cell>
          <cell r="D1289" t="str">
            <v>41</v>
          </cell>
          <cell r="E1289" t="str">
            <v>LIMA</v>
          </cell>
          <cell r="F1289" t="str">
            <v>LIMA</v>
          </cell>
          <cell r="G1289" t="str">
            <v>SURQUILLO</v>
          </cell>
          <cell r="H1289" t="str">
            <v>011287</v>
          </cell>
          <cell r="I1289" t="str">
            <v>2</v>
          </cell>
        </row>
        <row r="1290">
          <cell r="A1290" t="str">
            <v>LIMALIMAVILLA EL SALVADOR</v>
          </cell>
          <cell r="B1290" t="str">
            <v>15</v>
          </cell>
          <cell r="C1290" t="str">
            <v>01</v>
          </cell>
          <cell r="D1290" t="str">
            <v>42</v>
          </cell>
          <cell r="E1290" t="str">
            <v>LIMA</v>
          </cell>
          <cell r="F1290" t="str">
            <v>LIMA</v>
          </cell>
          <cell r="G1290" t="str">
            <v>VILLA EL SALVADOR</v>
          </cell>
          <cell r="H1290" t="str">
            <v>011262</v>
          </cell>
          <cell r="I1290" t="str">
            <v>2</v>
          </cell>
        </row>
        <row r="1291">
          <cell r="A1291" t="str">
            <v>LIMALIMAVILLA MARIA DEL TRIUNFO</v>
          </cell>
          <cell r="B1291" t="str">
            <v>15</v>
          </cell>
          <cell r="C1291" t="str">
            <v>01</v>
          </cell>
          <cell r="D1291" t="str">
            <v>43</v>
          </cell>
          <cell r="E1291" t="str">
            <v>LIMA</v>
          </cell>
          <cell r="F1291" t="str">
            <v>LIMA</v>
          </cell>
          <cell r="G1291" t="str">
            <v>VILLA MARIA DEL TRIUNFO</v>
          </cell>
          <cell r="H1291" t="str">
            <v>011263</v>
          </cell>
          <cell r="I1291" t="str">
            <v>2</v>
          </cell>
        </row>
        <row r="1292">
          <cell r="A1292" t="str">
            <v>LIMABARRANCABARRANCA</v>
          </cell>
          <cell r="B1292" t="str">
            <v>15</v>
          </cell>
          <cell r="C1292" t="str">
            <v>02</v>
          </cell>
          <cell r="D1292" t="str">
            <v>01</v>
          </cell>
          <cell r="E1292" t="str">
            <v>LIMA</v>
          </cell>
          <cell r="F1292" t="str">
            <v>BARRANCA</v>
          </cell>
          <cell r="G1292" t="str">
            <v>BARRANCA</v>
          </cell>
          <cell r="H1292" t="str">
            <v>011304</v>
          </cell>
          <cell r="I1292" t="str">
            <v>1</v>
          </cell>
        </row>
        <row r="1293">
          <cell r="A1293" t="str">
            <v>LIMABARRANCAPARAMONGA</v>
          </cell>
          <cell r="B1293" t="str">
            <v>15</v>
          </cell>
          <cell r="C1293" t="str">
            <v>02</v>
          </cell>
          <cell r="D1293" t="str">
            <v>02</v>
          </cell>
          <cell r="E1293" t="str">
            <v>LIMA</v>
          </cell>
          <cell r="F1293" t="str">
            <v>BARRANCA</v>
          </cell>
          <cell r="G1293" t="str">
            <v>PARAMONGA</v>
          </cell>
          <cell r="H1293" t="str">
            <v>012998</v>
          </cell>
          <cell r="I1293" t="str">
            <v>2</v>
          </cell>
        </row>
        <row r="1294">
          <cell r="A1294" t="str">
            <v>LIMABARRANCAPATIVILCA</v>
          </cell>
          <cell r="B1294" t="str">
            <v>15</v>
          </cell>
          <cell r="C1294" t="str">
            <v>02</v>
          </cell>
          <cell r="D1294" t="str">
            <v>03</v>
          </cell>
          <cell r="E1294" t="str">
            <v>LIMA</v>
          </cell>
          <cell r="F1294" t="str">
            <v>BARRANCA</v>
          </cell>
          <cell r="G1294" t="str">
            <v>PATIVILCA</v>
          </cell>
          <cell r="H1294" t="str">
            <v>011306</v>
          </cell>
          <cell r="I1294" t="str">
            <v>2</v>
          </cell>
        </row>
        <row r="1295">
          <cell r="A1295" t="str">
            <v>LIMABARRANCASUPE</v>
          </cell>
          <cell r="B1295" t="str">
            <v>15</v>
          </cell>
          <cell r="C1295" t="str">
            <v>02</v>
          </cell>
          <cell r="D1295" t="str">
            <v>04</v>
          </cell>
          <cell r="E1295" t="str">
            <v>LIMA</v>
          </cell>
          <cell r="F1295" t="str">
            <v>BARRANCA</v>
          </cell>
          <cell r="G1295" t="str">
            <v>SUPE</v>
          </cell>
          <cell r="H1295" t="str">
            <v>013033</v>
          </cell>
          <cell r="I1295" t="str">
            <v>2</v>
          </cell>
        </row>
        <row r="1296">
          <cell r="A1296" t="str">
            <v>LIMABARRANCASUPE PUERTO</v>
          </cell>
          <cell r="B1296" t="str">
            <v>15</v>
          </cell>
          <cell r="C1296" t="str">
            <v>02</v>
          </cell>
          <cell r="D1296" t="str">
            <v>05</v>
          </cell>
          <cell r="E1296" t="str">
            <v>LIMA</v>
          </cell>
          <cell r="F1296" t="str">
            <v>BARRANCA</v>
          </cell>
          <cell r="G1296" t="str">
            <v>SUPE PUERTO</v>
          </cell>
          <cell r="H1296" t="str">
            <v>011308</v>
          </cell>
          <cell r="I1296" t="str">
            <v>2</v>
          </cell>
        </row>
        <row r="1297">
          <cell r="A1297" t="str">
            <v>LIMACAJATAMBOCAJATAMBO</v>
          </cell>
          <cell r="B1297" t="str">
            <v>15</v>
          </cell>
          <cell r="C1297" t="str">
            <v>03</v>
          </cell>
          <cell r="D1297" t="str">
            <v>01</v>
          </cell>
          <cell r="E1297" t="str">
            <v>LIMA</v>
          </cell>
          <cell r="F1297" t="str">
            <v>CAJATAMBO</v>
          </cell>
          <cell r="G1297" t="str">
            <v>CAJATAMBO</v>
          </cell>
          <cell r="H1297" t="str">
            <v>011309</v>
          </cell>
          <cell r="I1297" t="str">
            <v>1</v>
          </cell>
        </row>
        <row r="1298">
          <cell r="A1298" t="str">
            <v>LIMACAJATAMBOCOPA</v>
          </cell>
          <cell r="B1298" t="str">
            <v>15</v>
          </cell>
          <cell r="C1298" t="str">
            <v>03</v>
          </cell>
          <cell r="D1298" t="str">
            <v>02</v>
          </cell>
          <cell r="E1298" t="str">
            <v>LIMA</v>
          </cell>
          <cell r="F1298" t="str">
            <v>CAJATAMBO</v>
          </cell>
          <cell r="G1298" t="str">
            <v>COPA</v>
          </cell>
          <cell r="H1298" t="str">
            <v>011310</v>
          </cell>
          <cell r="I1298" t="str">
            <v>2</v>
          </cell>
        </row>
        <row r="1299">
          <cell r="A1299" t="str">
            <v>LIMACAJATAMBOGORGOR</v>
          </cell>
          <cell r="B1299" t="str">
            <v>15</v>
          </cell>
          <cell r="C1299" t="str">
            <v>03</v>
          </cell>
          <cell r="D1299" t="str">
            <v>03</v>
          </cell>
          <cell r="E1299" t="str">
            <v>LIMA</v>
          </cell>
          <cell r="F1299" t="str">
            <v>CAJATAMBO</v>
          </cell>
          <cell r="G1299" t="str">
            <v>GORGOR</v>
          </cell>
          <cell r="H1299" t="str">
            <v>011311</v>
          </cell>
          <cell r="I1299" t="str">
            <v>2</v>
          </cell>
        </row>
        <row r="1300">
          <cell r="A1300" t="str">
            <v>LIMACAJATAMBOHUANCAPON</v>
          </cell>
          <cell r="B1300" t="str">
            <v>15</v>
          </cell>
          <cell r="C1300" t="str">
            <v>03</v>
          </cell>
          <cell r="D1300" t="str">
            <v>04</v>
          </cell>
          <cell r="E1300" t="str">
            <v>LIMA</v>
          </cell>
          <cell r="F1300" t="str">
            <v>CAJATAMBO</v>
          </cell>
          <cell r="G1300" t="str">
            <v>HUANCAPON</v>
          </cell>
          <cell r="H1300" t="str">
            <v>011312</v>
          </cell>
          <cell r="I1300" t="str">
            <v>2</v>
          </cell>
        </row>
        <row r="1301">
          <cell r="A1301" t="str">
            <v>LIMACAJATAMBOMANAS</v>
          </cell>
          <cell r="B1301" t="str">
            <v>15</v>
          </cell>
          <cell r="C1301" t="str">
            <v>03</v>
          </cell>
          <cell r="D1301" t="str">
            <v>05</v>
          </cell>
          <cell r="E1301" t="str">
            <v>LIMA</v>
          </cell>
          <cell r="F1301" t="str">
            <v>CAJATAMBO</v>
          </cell>
          <cell r="G1301" t="str">
            <v>MANAS</v>
          </cell>
          <cell r="H1301" t="str">
            <v>011313</v>
          </cell>
          <cell r="I1301" t="str">
            <v>2</v>
          </cell>
        </row>
        <row r="1302">
          <cell r="A1302" t="str">
            <v>LIMACANTACANTA</v>
          </cell>
          <cell r="B1302" t="str">
            <v>15</v>
          </cell>
          <cell r="C1302" t="str">
            <v>04</v>
          </cell>
          <cell r="D1302" t="str">
            <v>01</v>
          </cell>
          <cell r="E1302" t="str">
            <v>LIMA</v>
          </cell>
          <cell r="F1302" t="str">
            <v>CANTA</v>
          </cell>
          <cell r="G1302" t="str">
            <v>CANTA</v>
          </cell>
          <cell r="H1302" t="str">
            <v>012814</v>
          </cell>
          <cell r="I1302" t="str">
            <v>1</v>
          </cell>
        </row>
        <row r="1303">
          <cell r="A1303" t="str">
            <v>LIMACANTAARAHUAY</v>
          </cell>
          <cell r="B1303" t="str">
            <v>15</v>
          </cell>
          <cell r="C1303" t="str">
            <v>04</v>
          </cell>
          <cell r="D1303" t="str">
            <v>02</v>
          </cell>
          <cell r="E1303" t="str">
            <v>LIMA</v>
          </cell>
          <cell r="F1303" t="str">
            <v>CANTA</v>
          </cell>
          <cell r="G1303" t="str">
            <v>ARAHUAY</v>
          </cell>
          <cell r="H1303" t="str">
            <v>011315</v>
          </cell>
          <cell r="I1303" t="str">
            <v>2</v>
          </cell>
        </row>
        <row r="1304">
          <cell r="A1304" t="str">
            <v>LIMACANTAHUAMANTANGA</v>
          </cell>
          <cell r="B1304" t="str">
            <v>15</v>
          </cell>
          <cell r="C1304" t="str">
            <v>04</v>
          </cell>
          <cell r="D1304" t="str">
            <v>03</v>
          </cell>
          <cell r="E1304" t="str">
            <v>LIMA</v>
          </cell>
          <cell r="F1304" t="str">
            <v>CANTA</v>
          </cell>
          <cell r="G1304" t="str">
            <v>HUAMANTANGA</v>
          </cell>
          <cell r="H1304" t="str">
            <v>011316</v>
          </cell>
          <cell r="I1304" t="str">
            <v>2</v>
          </cell>
        </row>
        <row r="1305">
          <cell r="A1305" t="str">
            <v>LIMACANTAHUAROS</v>
          </cell>
          <cell r="B1305" t="str">
            <v>15</v>
          </cell>
          <cell r="C1305" t="str">
            <v>04</v>
          </cell>
          <cell r="D1305" t="str">
            <v>04</v>
          </cell>
          <cell r="E1305" t="str">
            <v>LIMA</v>
          </cell>
          <cell r="F1305" t="str">
            <v>CANTA</v>
          </cell>
          <cell r="G1305" t="str">
            <v>HUAROS</v>
          </cell>
          <cell r="H1305" t="str">
            <v>011317</v>
          </cell>
          <cell r="I1305" t="str">
            <v>2</v>
          </cell>
        </row>
        <row r="1306">
          <cell r="A1306" t="str">
            <v>LIMACANTALACHAQUI</v>
          </cell>
          <cell r="B1306" t="str">
            <v>15</v>
          </cell>
          <cell r="C1306" t="str">
            <v>04</v>
          </cell>
          <cell r="D1306" t="str">
            <v>05</v>
          </cell>
          <cell r="E1306" t="str">
            <v>LIMA</v>
          </cell>
          <cell r="F1306" t="str">
            <v>CANTA</v>
          </cell>
          <cell r="G1306" t="str">
            <v>LACHAQUI</v>
          </cell>
          <cell r="H1306" t="str">
            <v>011318</v>
          </cell>
          <cell r="I1306" t="str">
            <v>2</v>
          </cell>
        </row>
        <row r="1307">
          <cell r="A1307" t="str">
            <v>LIMACANTASAN BUENAVENTURA</v>
          </cell>
          <cell r="B1307" t="str">
            <v>15</v>
          </cell>
          <cell r="C1307" t="str">
            <v>04</v>
          </cell>
          <cell r="D1307" t="str">
            <v>06</v>
          </cell>
          <cell r="E1307" t="str">
            <v>LIMA</v>
          </cell>
          <cell r="F1307" t="str">
            <v>CANTA</v>
          </cell>
          <cell r="G1307" t="str">
            <v>SAN BUENAVENTURA</v>
          </cell>
          <cell r="H1307" t="str">
            <v>011319</v>
          </cell>
          <cell r="I1307" t="str">
            <v>2</v>
          </cell>
        </row>
        <row r="1308">
          <cell r="A1308" t="str">
            <v>LIMACANTASANTA ROSA DE QUIVES</v>
          </cell>
          <cell r="B1308" t="str">
            <v>15</v>
          </cell>
          <cell r="C1308" t="str">
            <v>04</v>
          </cell>
          <cell r="D1308" t="str">
            <v>07</v>
          </cell>
          <cell r="E1308" t="str">
            <v>LIMA</v>
          </cell>
          <cell r="F1308" t="str">
            <v>CANTA</v>
          </cell>
          <cell r="G1308" t="str">
            <v>SANTA ROSA DE QUIVES</v>
          </cell>
          <cell r="H1308" t="str">
            <v>011320</v>
          </cell>
          <cell r="I1308" t="str">
            <v>2</v>
          </cell>
        </row>
        <row r="1309">
          <cell r="A1309" t="str">
            <v>LIMASAN VICENTE DE CAÑETESAN VICENTE DE CAÑETE</v>
          </cell>
          <cell r="B1309" t="str">
            <v>15</v>
          </cell>
          <cell r="C1309" t="str">
            <v>05</v>
          </cell>
          <cell r="D1309" t="str">
            <v>01</v>
          </cell>
          <cell r="E1309" t="str">
            <v>LIMA</v>
          </cell>
          <cell r="F1309" t="str">
            <v>SAN VICENTE DE CAÑETE</v>
          </cell>
          <cell r="G1309" t="str">
            <v>SAN VICENTE DE CAÑETE</v>
          </cell>
          <cell r="H1309" t="str">
            <v>011339</v>
          </cell>
          <cell r="I1309" t="str">
            <v>1</v>
          </cell>
        </row>
        <row r="1310">
          <cell r="A1310" t="str">
            <v>LIMASAN VICENTE DE CAÑETEASIA</v>
          </cell>
          <cell r="B1310" t="str">
            <v>15</v>
          </cell>
          <cell r="C1310" t="str">
            <v>05</v>
          </cell>
          <cell r="D1310" t="str">
            <v>02</v>
          </cell>
          <cell r="E1310" t="str">
            <v>LIMA</v>
          </cell>
          <cell r="F1310" t="str">
            <v>SAN VICENTE DE CAÑETE</v>
          </cell>
          <cell r="G1310" t="str">
            <v>ASIA</v>
          </cell>
          <cell r="H1310" t="str">
            <v>011348</v>
          </cell>
          <cell r="I1310" t="str">
            <v>2</v>
          </cell>
        </row>
        <row r="1311">
          <cell r="A1311" t="str">
            <v>LIMASAN VICENTE DE CAÑETECALANGO</v>
          </cell>
          <cell r="B1311" t="str">
            <v>15</v>
          </cell>
          <cell r="C1311" t="str">
            <v>05</v>
          </cell>
          <cell r="D1311" t="str">
            <v>03</v>
          </cell>
          <cell r="E1311" t="str">
            <v>LIMA</v>
          </cell>
          <cell r="F1311" t="str">
            <v>SAN VICENTE DE CAÑETE</v>
          </cell>
          <cell r="G1311" t="str">
            <v>CALANGO</v>
          </cell>
          <cell r="H1311" t="str">
            <v>011349</v>
          </cell>
          <cell r="I1311" t="str">
            <v>2</v>
          </cell>
        </row>
        <row r="1312">
          <cell r="A1312" t="str">
            <v>LIMASAN VICENTE DE CAÑETECERRO AZUL</v>
          </cell>
          <cell r="B1312" t="str">
            <v>15</v>
          </cell>
          <cell r="C1312" t="str">
            <v>05</v>
          </cell>
          <cell r="D1312" t="str">
            <v>04</v>
          </cell>
          <cell r="E1312" t="str">
            <v>LIMA</v>
          </cell>
          <cell r="F1312" t="str">
            <v>SAN VICENTE DE CAÑETE</v>
          </cell>
          <cell r="G1312" t="str">
            <v>CERRO AZUL</v>
          </cell>
          <cell r="H1312" t="str">
            <v>011340</v>
          </cell>
          <cell r="I1312" t="str">
            <v>2</v>
          </cell>
        </row>
        <row r="1313">
          <cell r="A1313" t="str">
            <v>LIMASAN VICENTE DE CAÑETECHILCA</v>
          </cell>
          <cell r="B1313" t="str">
            <v>15</v>
          </cell>
          <cell r="C1313" t="str">
            <v>05</v>
          </cell>
          <cell r="D1313" t="str">
            <v>05</v>
          </cell>
          <cell r="E1313" t="str">
            <v>LIMA</v>
          </cell>
          <cell r="F1313" t="str">
            <v>SAN VICENTE DE CAÑETE</v>
          </cell>
          <cell r="G1313" t="str">
            <v>CHILCA</v>
          </cell>
          <cell r="H1313" t="str">
            <v>011350</v>
          </cell>
          <cell r="I1313" t="str">
            <v>2</v>
          </cell>
        </row>
        <row r="1314">
          <cell r="A1314" t="str">
            <v>LIMASAN VICENTE DE CAÑETECOAYLLO</v>
          </cell>
          <cell r="B1314" t="str">
            <v>15</v>
          </cell>
          <cell r="C1314" t="str">
            <v>05</v>
          </cell>
          <cell r="D1314" t="str">
            <v>06</v>
          </cell>
          <cell r="E1314" t="str">
            <v>LIMA</v>
          </cell>
          <cell r="F1314" t="str">
            <v>SAN VICENTE DE CAÑETE</v>
          </cell>
          <cell r="G1314" t="str">
            <v>COAYLLO</v>
          </cell>
          <cell r="H1314" t="str">
            <v>011351</v>
          </cell>
          <cell r="I1314" t="str">
            <v>2</v>
          </cell>
        </row>
        <row r="1315">
          <cell r="A1315" t="str">
            <v>LIMASAN VICENTE DE CAÑETEIMPERIAL</v>
          </cell>
          <cell r="B1315" t="str">
            <v>15</v>
          </cell>
          <cell r="C1315" t="str">
            <v>05</v>
          </cell>
          <cell r="D1315" t="str">
            <v>07</v>
          </cell>
          <cell r="E1315" t="str">
            <v>LIMA</v>
          </cell>
          <cell r="F1315" t="str">
            <v>SAN VICENTE DE CAÑETE</v>
          </cell>
          <cell r="G1315" t="str">
            <v>IMPERIAL</v>
          </cell>
          <cell r="H1315" t="str">
            <v>011341</v>
          </cell>
          <cell r="I1315" t="str">
            <v>2</v>
          </cell>
        </row>
        <row r="1316">
          <cell r="A1316" t="str">
            <v>LIMASAN VICENTE DE CAÑETELUNAHUANA</v>
          </cell>
          <cell r="B1316" t="str">
            <v>15</v>
          </cell>
          <cell r="C1316" t="str">
            <v>05</v>
          </cell>
          <cell r="D1316" t="str">
            <v>08</v>
          </cell>
          <cell r="E1316" t="str">
            <v>LIMA</v>
          </cell>
          <cell r="F1316" t="str">
            <v>SAN VICENTE DE CAÑETE</v>
          </cell>
          <cell r="G1316" t="str">
            <v>LUNAHUANA</v>
          </cell>
          <cell r="H1316" t="str">
            <v>011342</v>
          </cell>
          <cell r="I1316" t="str">
            <v>2</v>
          </cell>
        </row>
        <row r="1317">
          <cell r="A1317" t="str">
            <v>LIMASAN VICENTE DE CAÑETEMALA</v>
          </cell>
          <cell r="B1317" t="str">
            <v>15</v>
          </cell>
          <cell r="C1317" t="str">
            <v>05</v>
          </cell>
          <cell r="D1317" t="str">
            <v>09</v>
          </cell>
          <cell r="E1317" t="str">
            <v>LIMA</v>
          </cell>
          <cell r="F1317" t="str">
            <v>SAN VICENTE DE CAÑETE</v>
          </cell>
          <cell r="G1317" t="str">
            <v>MALA</v>
          </cell>
          <cell r="H1317" t="str">
            <v>011352</v>
          </cell>
          <cell r="I1317" t="str">
            <v>2</v>
          </cell>
        </row>
        <row r="1318">
          <cell r="A1318" t="str">
            <v>LIMASAN VICENTE DE CAÑETENUEVO IMPERIAL</v>
          </cell>
          <cell r="B1318" t="str">
            <v>15</v>
          </cell>
          <cell r="C1318" t="str">
            <v>05</v>
          </cell>
          <cell r="D1318" t="str">
            <v>10</v>
          </cell>
          <cell r="E1318" t="str">
            <v>LIMA</v>
          </cell>
          <cell r="F1318" t="str">
            <v>SAN VICENTE DE CAÑETE</v>
          </cell>
          <cell r="G1318" t="str">
            <v>NUEVO IMPERIAL</v>
          </cell>
          <cell r="H1318" t="str">
            <v>011343</v>
          </cell>
          <cell r="I1318" t="str">
            <v>2</v>
          </cell>
        </row>
        <row r="1319">
          <cell r="A1319" t="str">
            <v>LIMASAN VICENTE DE CAÑETEPACARAN</v>
          </cell>
          <cell r="B1319" t="str">
            <v>15</v>
          </cell>
          <cell r="C1319" t="str">
            <v>05</v>
          </cell>
          <cell r="D1319" t="str">
            <v>11</v>
          </cell>
          <cell r="E1319" t="str">
            <v>LIMA</v>
          </cell>
          <cell r="F1319" t="str">
            <v>SAN VICENTE DE CAÑETE</v>
          </cell>
          <cell r="G1319" t="str">
            <v>PACARAN</v>
          </cell>
          <cell r="H1319" t="str">
            <v>011344</v>
          </cell>
          <cell r="I1319" t="str">
            <v>2</v>
          </cell>
        </row>
        <row r="1320">
          <cell r="A1320" t="str">
            <v>LIMASAN VICENTE DE CAÑETEQUILMANA</v>
          </cell>
          <cell r="B1320" t="str">
            <v>15</v>
          </cell>
          <cell r="C1320" t="str">
            <v>05</v>
          </cell>
          <cell r="D1320" t="str">
            <v>12</v>
          </cell>
          <cell r="E1320" t="str">
            <v>LIMA</v>
          </cell>
          <cell r="F1320" t="str">
            <v>SAN VICENTE DE CAÑETE</v>
          </cell>
          <cell r="G1320" t="str">
            <v>QUILMANA</v>
          </cell>
          <cell r="H1320" t="str">
            <v>011345</v>
          </cell>
          <cell r="I1320" t="str">
            <v>2</v>
          </cell>
        </row>
        <row r="1321">
          <cell r="A1321" t="str">
            <v>LIMASAN VICENTE DE CAÑETESAN ANTONIO</v>
          </cell>
          <cell r="B1321" t="str">
            <v>15</v>
          </cell>
          <cell r="C1321" t="str">
            <v>05</v>
          </cell>
          <cell r="D1321" t="str">
            <v>13</v>
          </cell>
          <cell r="E1321" t="str">
            <v>LIMA</v>
          </cell>
          <cell r="F1321" t="str">
            <v>SAN VICENTE DE CAÑETE</v>
          </cell>
          <cell r="G1321" t="str">
            <v>SAN ANTONIO</v>
          </cell>
          <cell r="H1321" t="str">
            <v>011353</v>
          </cell>
          <cell r="I1321" t="str">
            <v>2</v>
          </cell>
        </row>
        <row r="1322">
          <cell r="A1322" t="str">
            <v>LIMASAN VICENTE DE CAÑETESAN LUIS</v>
          </cell>
          <cell r="B1322" t="str">
            <v>15</v>
          </cell>
          <cell r="C1322" t="str">
            <v>05</v>
          </cell>
          <cell r="D1322" t="str">
            <v>14</v>
          </cell>
          <cell r="E1322" t="str">
            <v>LIMA</v>
          </cell>
          <cell r="F1322" t="str">
            <v>SAN VICENTE DE CAÑETE</v>
          </cell>
          <cell r="G1322" t="str">
            <v>SAN LUIS</v>
          </cell>
          <cell r="H1322" t="str">
            <v>011346</v>
          </cell>
          <cell r="I1322" t="str">
            <v>2</v>
          </cell>
        </row>
        <row r="1323">
          <cell r="A1323" t="str">
            <v>LIMASAN VICENTE DE CAÑETESANTA CRUZ DE FLORES</v>
          </cell>
          <cell r="B1323" t="str">
            <v>15</v>
          </cell>
          <cell r="C1323" t="str">
            <v>05</v>
          </cell>
          <cell r="D1323" t="str">
            <v>15</v>
          </cell>
          <cell r="E1323" t="str">
            <v>LIMA</v>
          </cell>
          <cell r="F1323" t="str">
            <v>SAN VICENTE DE CAÑETE</v>
          </cell>
          <cell r="G1323" t="str">
            <v>SANTA CRUZ DE FLORES</v>
          </cell>
          <cell r="H1323" t="str">
            <v>011354</v>
          </cell>
          <cell r="I1323" t="str">
            <v>2</v>
          </cell>
        </row>
        <row r="1324">
          <cell r="A1324" t="str">
            <v>LIMASAN VICENTE DE CAÑETEZUÑIGA</v>
          </cell>
          <cell r="B1324" t="str">
            <v>15</v>
          </cell>
          <cell r="C1324" t="str">
            <v>05</v>
          </cell>
          <cell r="D1324" t="str">
            <v>16</v>
          </cell>
          <cell r="E1324" t="str">
            <v>LIMA</v>
          </cell>
          <cell r="F1324" t="str">
            <v>SAN VICENTE DE CAÑETE</v>
          </cell>
          <cell r="G1324" t="str">
            <v>ZUÑIGA</v>
          </cell>
          <cell r="H1324" t="str">
            <v>011347</v>
          </cell>
          <cell r="I1324" t="str">
            <v>2</v>
          </cell>
        </row>
        <row r="1325">
          <cell r="A1325" t="str">
            <v>LIMAHUARALHUARAL</v>
          </cell>
          <cell r="B1325" t="str">
            <v>15</v>
          </cell>
          <cell r="C1325" t="str">
            <v>06</v>
          </cell>
          <cell r="D1325" t="str">
            <v>01</v>
          </cell>
          <cell r="E1325" t="str">
            <v>LIMA</v>
          </cell>
          <cell r="F1325" t="str">
            <v>HUARAL</v>
          </cell>
          <cell r="G1325" t="str">
            <v>HUARAL</v>
          </cell>
          <cell r="H1325" t="str">
            <v>011321</v>
          </cell>
          <cell r="I1325" t="str">
            <v>1</v>
          </cell>
        </row>
        <row r="1326">
          <cell r="A1326" t="str">
            <v>LIMAHUARALATAVILLOS ALTO</v>
          </cell>
          <cell r="B1326" t="str">
            <v>15</v>
          </cell>
          <cell r="C1326" t="str">
            <v>06</v>
          </cell>
          <cell r="D1326" t="str">
            <v>02</v>
          </cell>
          <cell r="E1326" t="str">
            <v>LIMA</v>
          </cell>
          <cell r="F1326" t="str">
            <v>HUARAL</v>
          </cell>
          <cell r="G1326" t="str">
            <v>ATAVILLOS ALTO</v>
          </cell>
          <cell r="H1326" t="str">
            <v>011322</v>
          </cell>
          <cell r="I1326" t="str">
            <v>2</v>
          </cell>
        </row>
        <row r="1327">
          <cell r="A1327" t="str">
            <v>LIMAHUARALATAVILLOS BAJO</v>
          </cell>
          <cell r="B1327" t="str">
            <v>15</v>
          </cell>
          <cell r="C1327" t="str">
            <v>06</v>
          </cell>
          <cell r="D1327" t="str">
            <v>03</v>
          </cell>
          <cell r="E1327" t="str">
            <v>LIMA</v>
          </cell>
          <cell r="F1327" t="str">
            <v>HUARAL</v>
          </cell>
          <cell r="G1327" t="str">
            <v>ATAVILLOS BAJO</v>
          </cell>
          <cell r="H1327" t="str">
            <v>011327</v>
          </cell>
          <cell r="I1327" t="str">
            <v>2</v>
          </cell>
        </row>
        <row r="1328">
          <cell r="A1328" t="str">
            <v>LIMAHUARALAUCALLAMA</v>
          </cell>
          <cell r="B1328" t="str">
            <v>15</v>
          </cell>
          <cell r="C1328" t="str">
            <v>06</v>
          </cell>
          <cell r="D1328" t="str">
            <v>04</v>
          </cell>
          <cell r="E1328" t="str">
            <v>LIMA</v>
          </cell>
          <cell r="F1328" t="str">
            <v>HUARAL</v>
          </cell>
          <cell r="G1328" t="str">
            <v>AUCALLAMA</v>
          </cell>
          <cell r="H1328" t="str">
            <v>011324</v>
          </cell>
          <cell r="I1328" t="str">
            <v>2</v>
          </cell>
        </row>
        <row r="1329">
          <cell r="A1329" t="str">
            <v>LIMAHUARALCHANCAY</v>
          </cell>
          <cell r="B1329" t="str">
            <v>15</v>
          </cell>
          <cell r="C1329" t="str">
            <v>06</v>
          </cell>
          <cell r="D1329" t="str">
            <v>05</v>
          </cell>
          <cell r="E1329" t="str">
            <v>LIMA</v>
          </cell>
          <cell r="F1329" t="str">
            <v>HUARAL</v>
          </cell>
          <cell r="G1329" t="str">
            <v>CHANCAY</v>
          </cell>
          <cell r="H1329" t="str">
            <v>011325</v>
          </cell>
          <cell r="I1329" t="str">
            <v>2</v>
          </cell>
        </row>
        <row r="1330">
          <cell r="A1330" t="str">
            <v>LIMAHUARALIHUARI</v>
          </cell>
          <cell r="B1330" t="str">
            <v>15</v>
          </cell>
          <cell r="C1330" t="str">
            <v>06</v>
          </cell>
          <cell r="D1330" t="str">
            <v>06</v>
          </cell>
          <cell r="E1330" t="str">
            <v>LIMA</v>
          </cell>
          <cell r="F1330" t="str">
            <v>HUARAL</v>
          </cell>
          <cell r="G1330" t="str">
            <v>IHUARI</v>
          </cell>
          <cell r="H1330" t="str">
            <v>011326</v>
          </cell>
          <cell r="I1330" t="str">
            <v>2</v>
          </cell>
        </row>
        <row r="1331">
          <cell r="A1331" t="str">
            <v>LIMAHUARALLAMPIAN</v>
          </cell>
          <cell r="B1331" t="str">
            <v>15</v>
          </cell>
          <cell r="C1331" t="str">
            <v>06</v>
          </cell>
          <cell r="D1331" t="str">
            <v>07</v>
          </cell>
          <cell r="E1331" t="str">
            <v>LIMA</v>
          </cell>
          <cell r="F1331" t="str">
            <v>HUARAL</v>
          </cell>
          <cell r="G1331" t="str">
            <v>LAMPIAN</v>
          </cell>
          <cell r="H1331" t="str">
            <v>011323</v>
          </cell>
          <cell r="I1331" t="str">
            <v>2</v>
          </cell>
        </row>
        <row r="1332">
          <cell r="A1332" t="str">
            <v>LIMAHUARALPACARAOS</v>
          </cell>
          <cell r="B1332" t="str">
            <v>15</v>
          </cell>
          <cell r="C1332" t="str">
            <v>06</v>
          </cell>
          <cell r="D1332" t="str">
            <v>08</v>
          </cell>
          <cell r="E1332" t="str">
            <v>LIMA</v>
          </cell>
          <cell r="F1332" t="str">
            <v>HUARAL</v>
          </cell>
          <cell r="G1332" t="str">
            <v>PACARAOS</v>
          </cell>
          <cell r="H1332" t="str">
            <v>011328</v>
          </cell>
          <cell r="I1332" t="str">
            <v>2</v>
          </cell>
        </row>
        <row r="1333">
          <cell r="A1333" t="str">
            <v>LIMAHUARALSAN MIGUEL DE ACOS</v>
          </cell>
          <cell r="B1333" t="str">
            <v>15</v>
          </cell>
          <cell r="C1333" t="str">
            <v>06</v>
          </cell>
          <cell r="D1333" t="str">
            <v>09</v>
          </cell>
          <cell r="E1333" t="str">
            <v>LIMA</v>
          </cell>
          <cell r="F1333" t="str">
            <v>HUARAL</v>
          </cell>
          <cell r="G1333" t="str">
            <v>SAN MIGUEL DE ACOS</v>
          </cell>
          <cell r="H1333" t="str">
            <v>011329</v>
          </cell>
          <cell r="I1333" t="str">
            <v>2</v>
          </cell>
        </row>
        <row r="1334">
          <cell r="A1334" t="str">
            <v>LIMAHUARALSANTA CRUZ DE ANDAMARCA</v>
          </cell>
          <cell r="B1334" t="str">
            <v>15</v>
          </cell>
          <cell r="C1334" t="str">
            <v>06</v>
          </cell>
          <cell r="D1334" t="str">
            <v>10</v>
          </cell>
          <cell r="E1334" t="str">
            <v>LIMA</v>
          </cell>
          <cell r="F1334" t="str">
            <v>HUARAL</v>
          </cell>
          <cell r="G1334" t="str">
            <v>SANTA CRUZ DE ANDAMARCA</v>
          </cell>
          <cell r="H1334" t="str">
            <v>011330</v>
          </cell>
          <cell r="I1334" t="str">
            <v>2</v>
          </cell>
        </row>
        <row r="1335">
          <cell r="A1335" t="str">
            <v>LIMAHUARALSUMBILCA</v>
          </cell>
          <cell r="B1335" t="str">
            <v>15</v>
          </cell>
          <cell r="C1335" t="str">
            <v>06</v>
          </cell>
          <cell r="D1335" t="str">
            <v>11</v>
          </cell>
          <cell r="E1335" t="str">
            <v>LIMA</v>
          </cell>
          <cell r="F1335" t="str">
            <v>HUARAL</v>
          </cell>
          <cell r="G1335" t="str">
            <v>SUMBILCA</v>
          </cell>
          <cell r="H1335" t="str">
            <v>011331</v>
          </cell>
          <cell r="I1335" t="str">
            <v>2</v>
          </cell>
        </row>
        <row r="1336">
          <cell r="A1336" t="str">
            <v>LIMAHUARALVEINTISIETE DE NOVIEMBRE</v>
          </cell>
          <cell r="B1336" t="str">
            <v>15</v>
          </cell>
          <cell r="C1336" t="str">
            <v>06</v>
          </cell>
          <cell r="D1336" t="str">
            <v>12</v>
          </cell>
          <cell r="E1336" t="str">
            <v>LIMA</v>
          </cell>
          <cell r="F1336" t="str">
            <v>HUARAL</v>
          </cell>
          <cell r="G1336" t="str">
            <v>VEINTISIETE DE NOVIEMBRE</v>
          </cell>
          <cell r="H1336" t="str">
            <v>011332</v>
          </cell>
          <cell r="I1336" t="str">
            <v>2</v>
          </cell>
        </row>
        <row r="1337">
          <cell r="A1337" t="str">
            <v>LIMAHUAROCHIRIMATUCANA</v>
          </cell>
          <cell r="B1337" t="str">
            <v>15</v>
          </cell>
          <cell r="C1337" t="str">
            <v>07</v>
          </cell>
          <cell r="D1337" t="str">
            <v>01</v>
          </cell>
          <cell r="E1337" t="str">
            <v>LIMA</v>
          </cell>
          <cell r="F1337" t="str">
            <v>HUAROCHIRI</v>
          </cell>
          <cell r="G1337" t="str">
            <v>MATUCANA</v>
          </cell>
          <cell r="H1337" t="str">
            <v>011355</v>
          </cell>
          <cell r="I1337" t="str">
            <v>1</v>
          </cell>
        </row>
        <row r="1338">
          <cell r="A1338" t="str">
            <v>LIMAHUAROCHIRIANTIOQUIA</v>
          </cell>
          <cell r="B1338" t="str">
            <v>15</v>
          </cell>
          <cell r="C1338" t="str">
            <v>07</v>
          </cell>
          <cell r="D1338" t="str">
            <v>02</v>
          </cell>
          <cell r="E1338" t="str">
            <v>LIMA</v>
          </cell>
          <cell r="F1338" t="str">
            <v>HUAROCHIRI</v>
          </cell>
          <cell r="G1338" t="str">
            <v>ANTIOQUIA</v>
          </cell>
          <cell r="H1338" t="str">
            <v>011375</v>
          </cell>
          <cell r="I1338" t="str">
            <v>2</v>
          </cell>
        </row>
        <row r="1339">
          <cell r="A1339" t="str">
            <v>LIMAHUAROCHIRICALLAHUANCA</v>
          </cell>
          <cell r="B1339" t="str">
            <v>15</v>
          </cell>
          <cell r="C1339" t="str">
            <v>07</v>
          </cell>
          <cell r="D1339" t="str">
            <v>03</v>
          </cell>
          <cell r="E1339" t="str">
            <v>LIMA</v>
          </cell>
          <cell r="F1339" t="str">
            <v>HUAROCHIRI</v>
          </cell>
          <cell r="G1339" t="str">
            <v>CALLAHUANCA</v>
          </cell>
          <cell r="H1339" t="str">
            <v>011366</v>
          </cell>
          <cell r="I1339" t="str">
            <v>2</v>
          </cell>
        </row>
        <row r="1340">
          <cell r="A1340" t="str">
            <v>LIMAHUAROCHIRICARAMPOMA</v>
          </cell>
          <cell r="B1340" t="str">
            <v>15</v>
          </cell>
          <cell r="C1340" t="str">
            <v>07</v>
          </cell>
          <cell r="D1340" t="str">
            <v>04</v>
          </cell>
          <cell r="E1340" t="str">
            <v>LIMA</v>
          </cell>
          <cell r="F1340" t="str">
            <v>HUAROCHIRI</v>
          </cell>
          <cell r="G1340" t="str">
            <v>CARAMPOMA</v>
          </cell>
          <cell r="H1340" t="str">
            <v>011367</v>
          </cell>
          <cell r="I1340" t="str">
            <v>2</v>
          </cell>
        </row>
        <row r="1341">
          <cell r="A1341" t="str">
            <v>LIMAHUAROCHIRICHICLA</v>
          </cell>
          <cell r="B1341" t="str">
            <v>15</v>
          </cell>
          <cell r="C1341" t="str">
            <v>07</v>
          </cell>
          <cell r="D1341" t="str">
            <v>05</v>
          </cell>
          <cell r="E1341" t="str">
            <v>LIMA</v>
          </cell>
          <cell r="F1341" t="str">
            <v>HUAROCHIRI</v>
          </cell>
          <cell r="G1341" t="str">
            <v>CHICLA</v>
          </cell>
          <cell r="H1341" t="str">
            <v>012557</v>
          </cell>
          <cell r="I1341" t="str">
            <v>2</v>
          </cell>
        </row>
        <row r="1342">
          <cell r="A1342" t="str">
            <v>LIMAHUAROCHIRICUENCA</v>
          </cell>
          <cell r="B1342" t="str">
            <v>15</v>
          </cell>
          <cell r="C1342" t="str">
            <v>07</v>
          </cell>
          <cell r="D1342" t="str">
            <v>06</v>
          </cell>
          <cell r="E1342" t="str">
            <v>LIMA</v>
          </cell>
          <cell r="F1342" t="str">
            <v>HUAROCHIRI</v>
          </cell>
          <cell r="G1342" t="str">
            <v>CUENCA</v>
          </cell>
          <cell r="H1342" t="str">
            <v>011376</v>
          </cell>
          <cell r="I1342" t="str">
            <v>2</v>
          </cell>
        </row>
        <row r="1343">
          <cell r="A1343" t="str">
            <v>LIMAHUAROCHIRIHUACHUPAMPA</v>
          </cell>
          <cell r="B1343" t="str">
            <v>15</v>
          </cell>
          <cell r="C1343" t="str">
            <v>07</v>
          </cell>
          <cell r="D1343" t="str">
            <v>07</v>
          </cell>
          <cell r="E1343" t="str">
            <v>LIMA</v>
          </cell>
          <cell r="F1343" t="str">
            <v>HUAROCHIRI</v>
          </cell>
          <cell r="G1343" t="str">
            <v>HUACHUPAMPA</v>
          </cell>
          <cell r="H1343" t="str">
            <v>011368</v>
          </cell>
          <cell r="I1343" t="str">
            <v>2</v>
          </cell>
        </row>
        <row r="1344">
          <cell r="A1344" t="str">
            <v>LIMAHUAROCHIRIHUANZA</v>
          </cell>
          <cell r="B1344" t="str">
            <v>15</v>
          </cell>
          <cell r="C1344" t="str">
            <v>07</v>
          </cell>
          <cell r="D1344" t="str">
            <v>08</v>
          </cell>
          <cell r="E1344" t="str">
            <v>LIMA</v>
          </cell>
          <cell r="F1344" t="str">
            <v>HUAROCHIRI</v>
          </cell>
          <cell r="G1344" t="str">
            <v>HUANZA</v>
          </cell>
          <cell r="H1344" t="str">
            <v>011369</v>
          </cell>
          <cell r="I1344" t="str">
            <v>2</v>
          </cell>
        </row>
        <row r="1345">
          <cell r="A1345" t="str">
            <v>LIMAHUAROCHIRIHUAROCHIRI</v>
          </cell>
          <cell r="B1345" t="str">
            <v>15</v>
          </cell>
          <cell r="C1345" t="str">
            <v>07</v>
          </cell>
          <cell r="D1345" t="str">
            <v>09</v>
          </cell>
          <cell r="E1345" t="str">
            <v>LIMA</v>
          </cell>
          <cell r="F1345" t="str">
            <v>HUAROCHIRI</v>
          </cell>
          <cell r="G1345" t="str">
            <v>HUAROCHIRI</v>
          </cell>
          <cell r="H1345" t="str">
            <v>011377</v>
          </cell>
          <cell r="I1345" t="str">
            <v>2</v>
          </cell>
        </row>
        <row r="1346">
          <cell r="A1346" t="str">
            <v>LIMAHUAROCHIRILAHUAYTAMBO</v>
          </cell>
          <cell r="B1346" t="str">
            <v>15</v>
          </cell>
          <cell r="C1346" t="str">
            <v>07</v>
          </cell>
          <cell r="D1346" t="str">
            <v>10</v>
          </cell>
          <cell r="E1346" t="str">
            <v>LIMA</v>
          </cell>
          <cell r="F1346" t="str">
            <v>HUAROCHIRI</v>
          </cell>
          <cell r="G1346" t="str">
            <v>LAHUAYTAMBO</v>
          </cell>
          <cell r="H1346" t="str">
            <v>011378</v>
          </cell>
          <cell r="I1346" t="str">
            <v>2</v>
          </cell>
        </row>
        <row r="1347">
          <cell r="A1347" t="str">
            <v>LIMAHUAROCHIRILANGA</v>
          </cell>
          <cell r="B1347" t="str">
            <v>15</v>
          </cell>
          <cell r="C1347" t="str">
            <v>07</v>
          </cell>
          <cell r="D1347" t="str">
            <v>11</v>
          </cell>
          <cell r="E1347" t="str">
            <v>LIMA</v>
          </cell>
          <cell r="F1347" t="str">
            <v>HUAROCHIRI</v>
          </cell>
          <cell r="G1347" t="str">
            <v>LANGA</v>
          </cell>
          <cell r="H1347" t="str">
            <v>012536</v>
          </cell>
          <cell r="I1347" t="str">
            <v>2</v>
          </cell>
        </row>
        <row r="1348">
          <cell r="A1348" t="str">
            <v>LIMAHUAROCHIRILARAOS</v>
          </cell>
          <cell r="B1348" t="str">
            <v>15</v>
          </cell>
          <cell r="C1348" t="str">
            <v>07</v>
          </cell>
          <cell r="D1348" t="str">
            <v>12</v>
          </cell>
          <cell r="E1348" t="str">
            <v>LIMA</v>
          </cell>
          <cell r="F1348" t="str">
            <v>HUAROCHIRI</v>
          </cell>
          <cell r="G1348" t="str">
            <v>LARAOS</v>
          </cell>
          <cell r="H1348" t="str">
            <v>011370</v>
          </cell>
          <cell r="I1348" t="str">
            <v>2</v>
          </cell>
        </row>
        <row r="1349">
          <cell r="A1349" t="str">
            <v>LIMAHUAROCHIRIMARIATANA</v>
          </cell>
          <cell r="B1349" t="str">
            <v>15</v>
          </cell>
          <cell r="C1349" t="str">
            <v>07</v>
          </cell>
          <cell r="D1349" t="str">
            <v>13</v>
          </cell>
          <cell r="E1349" t="str">
            <v>LIMA</v>
          </cell>
          <cell r="F1349" t="str">
            <v>HUAROCHIRI</v>
          </cell>
          <cell r="G1349" t="str">
            <v>MARIATANA</v>
          </cell>
          <cell r="H1349" t="str">
            <v>011380</v>
          </cell>
          <cell r="I1349" t="str">
            <v>2</v>
          </cell>
        </row>
        <row r="1350">
          <cell r="A1350" t="str">
            <v>LIMAHUAROCHIRIRICARDO PALMA</v>
          </cell>
          <cell r="B1350" t="str">
            <v>15</v>
          </cell>
          <cell r="C1350" t="str">
            <v>07</v>
          </cell>
          <cell r="D1350" t="str">
            <v>14</v>
          </cell>
          <cell r="E1350" t="str">
            <v>LIMA</v>
          </cell>
          <cell r="F1350" t="str">
            <v>HUAROCHIRI</v>
          </cell>
          <cell r="G1350" t="str">
            <v>RICARDO PALMA</v>
          </cell>
          <cell r="H1350" t="str">
            <v>011357</v>
          </cell>
          <cell r="I1350" t="str">
            <v>2</v>
          </cell>
        </row>
        <row r="1351">
          <cell r="A1351" t="str">
            <v>LIMAHUAROCHIRISAN ANDRES DE TUPICOCHA</v>
          </cell>
          <cell r="B1351" t="str">
            <v>15</v>
          </cell>
          <cell r="C1351" t="str">
            <v>07</v>
          </cell>
          <cell r="D1351" t="str">
            <v>15</v>
          </cell>
          <cell r="E1351" t="str">
            <v>LIMA</v>
          </cell>
          <cell r="F1351" t="str">
            <v>HUAROCHIRI</v>
          </cell>
          <cell r="G1351" t="str">
            <v>SAN ANDRES DE TUPICOCHA</v>
          </cell>
          <cell r="H1351" t="str">
            <v>011358</v>
          </cell>
          <cell r="I1351" t="str">
            <v>2</v>
          </cell>
        </row>
        <row r="1352">
          <cell r="A1352" t="str">
            <v>LIMAHUAROCHIRISAN ANTONIO</v>
          </cell>
          <cell r="B1352" t="str">
            <v>15</v>
          </cell>
          <cell r="C1352" t="str">
            <v>07</v>
          </cell>
          <cell r="D1352" t="str">
            <v>16</v>
          </cell>
          <cell r="E1352" t="str">
            <v>LIMA</v>
          </cell>
          <cell r="F1352" t="str">
            <v>HUAROCHIRI</v>
          </cell>
          <cell r="G1352" t="str">
            <v>SAN ANTONIO</v>
          </cell>
          <cell r="H1352" t="str">
            <v>011371</v>
          </cell>
          <cell r="I1352" t="str">
            <v>2</v>
          </cell>
        </row>
        <row r="1353">
          <cell r="A1353" t="str">
            <v>LIMAHUAROCHIRISAN BARTOLOME</v>
          </cell>
          <cell r="B1353" t="str">
            <v>15</v>
          </cell>
          <cell r="C1353" t="str">
            <v>07</v>
          </cell>
          <cell r="D1353" t="str">
            <v>17</v>
          </cell>
          <cell r="E1353" t="str">
            <v>LIMA</v>
          </cell>
          <cell r="F1353" t="str">
            <v>HUAROCHIRI</v>
          </cell>
          <cell r="G1353" t="str">
            <v>SAN BARTOLOME</v>
          </cell>
          <cell r="H1353" t="str">
            <v>011359</v>
          </cell>
          <cell r="I1353" t="str">
            <v>2</v>
          </cell>
        </row>
        <row r="1354">
          <cell r="A1354" t="str">
            <v>LIMAHUAROCHIRISAN DAMIAN</v>
          </cell>
          <cell r="B1354" t="str">
            <v>15</v>
          </cell>
          <cell r="C1354" t="str">
            <v>07</v>
          </cell>
          <cell r="D1354" t="str">
            <v>18</v>
          </cell>
          <cell r="E1354" t="str">
            <v>LIMA</v>
          </cell>
          <cell r="F1354" t="str">
            <v>HUAROCHIRI</v>
          </cell>
          <cell r="G1354" t="str">
            <v>SAN DAMIAN</v>
          </cell>
          <cell r="H1354" t="str">
            <v>011360</v>
          </cell>
          <cell r="I1354" t="str">
            <v>2</v>
          </cell>
        </row>
        <row r="1355">
          <cell r="A1355" t="str">
            <v>LIMAHUAROCHIRISAN JUAN DE IRIS</v>
          </cell>
          <cell r="B1355" t="str">
            <v>15</v>
          </cell>
          <cell r="C1355" t="str">
            <v>07</v>
          </cell>
          <cell r="D1355" t="str">
            <v>19</v>
          </cell>
          <cell r="E1355" t="str">
            <v>LIMA</v>
          </cell>
          <cell r="F1355" t="str">
            <v>HUAROCHIRI</v>
          </cell>
          <cell r="G1355" t="str">
            <v>SAN JUAN DE IRIS</v>
          </cell>
          <cell r="H1355" t="str">
            <v>011372</v>
          </cell>
          <cell r="I1355" t="str">
            <v>2</v>
          </cell>
        </row>
        <row r="1356">
          <cell r="A1356" t="str">
            <v>LIMAHUAROCHIRISAN JUAN DE TANTARANCHE</v>
          </cell>
          <cell r="B1356" t="str">
            <v>15</v>
          </cell>
          <cell r="C1356" t="str">
            <v>07</v>
          </cell>
          <cell r="D1356" t="str">
            <v>20</v>
          </cell>
          <cell r="E1356" t="str">
            <v>LIMA</v>
          </cell>
          <cell r="F1356" t="str">
            <v>HUAROCHIRI</v>
          </cell>
          <cell r="G1356" t="str">
            <v>SAN JUAN DE TANTARANCHE</v>
          </cell>
          <cell r="H1356" t="str">
            <v>012358</v>
          </cell>
          <cell r="I1356" t="str">
            <v>2</v>
          </cell>
        </row>
        <row r="1357">
          <cell r="A1357" t="str">
            <v>LIMAHUAROCHIRISAN LORENZO DE QUINTI</v>
          </cell>
          <cell r="B1357" t="str">
            <v>15</v>
          </cell>
          <cell r="C1357" t="str">
            <v>07</v>
          </cell>
          <cell r="D1357" t="str">
            <v>21</v>
          </cell>
          <cell r="E1357" t="str">
            <v>LIMA</v>
          </cell>
          <cell r="F1357" t="str">
            <v>HUAROCHIRI</v>
          </cell>
          <cell r="G1357" t="str">
            <v>SAN LORENZO DE QUINTI</v>
          </cell>
          <cell r="H1357" t="str">
            <v>011382</v>
          </cell>
          <cell r="I1357" t="str">
            <v>2</v>
          </cell>
        </row>
        <row r="1358">
          <cell r="A1358" t="str">
            <v>LIMAHUAROCHIRISAN MATEO</v>
          </cell>
          <cell r="B1358" t="str">
            <v>15</v>
          </cell>
          <cell r="C1358" t="str">
            <v>07</v>
          </cell>
          <cell r="D1358" t="str">
            <v>22</v>
          </cell>
          <cell r="E1358" t="str">
            <v>LIMA</v>
          </cell>
          <cell r="F1358" t="str">
            <v>HUAROCHIRI</v>
          </cell>
          <cell r="G1358" t="str">
            <v>SAN MATEO</v>
          </cell>
          <cell r="H1358" t="str">
            <v>011361</v>
          </cell>
          <cell r="I1358" t="str">
            <v>2</v>
          </cell>
        </row>
        <row r="1359">
          <cell r="A1359" t="str">
            <v>LIMAHUAROCHIRISAN MATEO DE OTAO</v>
          </cell>
          <cell r="B1359" t="str">
            <v>15</v>
          </cell>
          <cell r="C1359" t="str">
            <v>07</v>
          </cell>
          <cell r="D1359" t="str">
            <v>23</v>
          </cell>
          <cell r="E1359" t="str">
            <v>LIMA</v>
          </cell>
          <cell r="F1359" t="str">
            <v>HUAROCHIRI</v>
          </cell>
          <cell r="G1359" t="str">
            <v>SAN MATEO DE OTAO</v>
          </cell>
          <cell r="H1359" t="str">
            <v>011362</v>
          </cell>
          <cell r="I1359" t="str">
            <v>2</v>
          </cell>
        </row>
        <row r="1360">
          <cell r="A1360" t="str">
            <v>LIMAHUAROCHIRISAN PEDRO DE CASTA</v>
          </cell>
          <cell r="B1360" t="str">
            <v>15</v>
          </cell>
          <cell r="C1360" t="str">
            <v>07</v>
          </cell>
          <cell r="D1360" t="str">
            <v>24</v>
          </cell>
          <cell r="E1360" t="str">
            <v>LIMA</v>
          </cell>
          <cell r="F1360" t="str">
            <v>HUAROCHIRI</v>
          </cell>
          <cell r="G1360" t="str">
            <v>SAN PEDRO DE CASTA</v>
          </cell>
          <cell r="H1360" t="str">
            <v>011373</v>
          </cell>
          <cell r="I1360" t="str">
            <v>2</v>
          </cell>
        </row>
        <row r="1361">
          <cell r="A1361" t="str">
            <v>LIMAHUAROCHIRISAN PEDRO DE HUANCAYRE</v>
          </cell>
          <cell r="B1361" t="str">
            <v>15</v>
          </cell>
          <cell r="C1361" t="str">
            <v>07</v>
          </cell>
          <cell r="D1361" t="str">
            <v>25</v>
          </cell>
          <cell r="E1361" t="str">
            <v>LIMA</v>
          </cell>
          <cell r="F1361" t="str">
            <v>HUAROCHIRI</v>
          </cell>
          <cell r="G1361" t="str">
            <v>SAN PEDRO DE HUANCAYRE</v>
          </cell>
          <cell r="H1361" t="str">
            <v>011383</v>
          </cell>
          <cell r="I1361" t="str">
            <v>2</v>
          </cell>
        </row>
        <row r="1362">
          <cell r="A1362" t="str">
            <v>LIMAHUAROCHIRISANGALLAYA</v>
          </cell>
          <cell r="B1362" t="str">
            <v>15</v>
          </cell>
          <cell r="C1362" t="str">
            <v>07</v>
          </cell>
          <cell r="D1362" t="str">
            <v>26</v>
          </cell>
          <cell r="E1362" t="str">
            <v>LIMA</v>
          </cell>
          <cell r="F1362" t="str">
            <v>HUAROCHIRI</v>
          </cell>
          <cell r="G1362" t="str">
            <v>SANGALLAYA</v>
          </cell>
          <cell r="H1362" t="str">
            <v>012341</v>
          </cell>
          <cell r="I1362" t="str">
            <v>2</v>
          </cell>
        </row>
        <row r="1363">
          <cell r="A1363" t="str">
            <v>LIMAHUAROCHIRISANTA CRUZ DE COCACHACRA</v>
          </cell>
          <cell r="B1363" t="str">
            <v>15</v>
          </cell>
          <cell r="C1363" t="str">
            <v>07</v>
          </cell>
          <cell r="D1363" t="str">
            <v>27</v>
          </cell>
          <cell r="E1363" t="str">
            <v>LIMA</v>
          </cell>
          <cell r="F1363" t="str">
            <v>HUAROCHIRI</v>
          </cell>
          <cell r="G1363" t="str">
            <v>SANTA CRUZ DE COCACHACRA</v>
          </cell>
          <cell r="H1363" t="str">
            <v>011363</v>
          </cell>
          <cell r="I1363" t="str">
            <v>2</v>
          </cell>
        </row>
        <row r="1364">
          <cell r="A1364" t="str">
            <v>LIMAHUAROCHIRISANTA EULALIA</v>
          </cell>
          <cell r="B1364" t="str">
            <v>15</v>
          </cell>
          <cell r="C1364" t="str">
            <v>07</v>
          </cell>
          <cell r="D1364" t="str">
            <v>28</v>
          </cell>
          <cell r="E1364" t="str">
            <v>LIMA</v>
          </cell>
          <cell r="F1364" t="str">
            <v>HUAROCHIRI</v>
          </cell>
          <cell r="G1364" t="str">
            <v>SANTA EULALIA</v>
          </cell>
          <cell r="H1364" t="str">
            <v>011374</v>
          </cell>
          <cell r="I1364" t="str">
            <v>2</v>
          </cell>
        </row>
        <row r="1365">
          <cell r="A1365" t="str">
            <v>LIMAHUAROCHIRISANTIAGO DE ANCHUCAYA</v>
          </cell>
          <cell r="B1365" t="str">
            <v>15</v>
          </cell>
          <cell r="C1365" t="str">
            <v>07</v>
          </cell>
          <cell r="D1365" t="str">
            <v>29</v>
          </cell>
          <cell r="E1365" t="str">
            <v>LIMA</v>
          </cell>
          <cell r="F1365" t="str">
            <v>HUAROCHIRI</v>
          </cell>
          <cell r="G1365" t="str">
            <v>SANTIAGO DE ANCHUCAYA</v>
          </cell>
          <cell r="H1365" t="str">
            <v>012339</v>
          </cell>
          <cell r="I1365" t="str">
            <v>2</v>
          </cell>
        </row>
        <row r="1366">
          <cell r="A1366" t="str">
            <v>LIMAHUAROCHIRISANTIAGO DE TUNA</v>
          </cell>
          <cell r="B1366" t="str">
            <v>15</v>
          </cell>
          <cell r="C1366" t="str">
            <v>07</v>
          </cell>
          <cell r="D1366" t="str">
            <v>30</v>
          </cell>
          <cell r="E1366" t="str">
            <v>LIMA</v>
          </cell>
          <cell r="F1366" t="str">
            <v>HUAROCHIRI</v>
          </cell>
          <cell r="G1366" t="str">
            <v>SANTIAGO DE TUNA</v>
          </cell>
          <cell r="H1366" t="str">
            <v>011364</v>
          </cell>
          <cell r="I1366" t="str">
            <v>2</v>
          </cell>
        </row>
        <row r="1367">
          <cell r="A1367" t="str">
            <v>LIMAHUAROCHIRISANTO DOMINGO DE LOS OLLEROS</v>
          </cell>
          <cell r="B1367" t="str">
            <v>15</v>
          </cell>
          <cell r="C1367" t="str">
            <v>07</v>
          </cell>
          <cell r="D1367" t="str">
            <v>31</v>
          </cell>
          <cell r="E1367" t="str">
            <v>LIMA</v>
          </cell>
          <cell r="F1367" t="str">
            <v>HUAROCHIRI</v>
          </cell>
          <cell r="G1367" t="str">
            <v>SANTO DOMINGO DE LOS OLLEROS</v>
          </cell>
          <cell r="H1367" t="str">
            <v>012340</v>
          </cell>
          <cell r="I1367" t="str">
            <v>2</v>
          </cell>
        </row>
        <row r="1368">
          <cell r="A1368" t="str">
            <v>LIMAHUAROCHIRISURCO</v>
          </cell>
          <cell r="B1368" t="str">
            <v>15</v>
          </cell>
          <cell r="C1368" t="str">
            <v>07</v>
          </cell>
          <cell r="D1368" t="str">
            <v>32</v>
          </cell>
          <cell r="E1368" t="str">
            <v>LIMA</v>
          </cell>
          <cell r="F1368" t="str">
            <v>HUAROCHIRI</v>
          </cell>
          <cell r="G1368" t="str">
            <v>SURCO</v>
          </cell>
          <cell r="H1368" t="str">
            <v>011365</v>
          </cell>
          <cell r="I1368" t="str">
            <v>2</v>
          </cell>
        </row>
        <row r="1369">
          <cell r="A1369" t="str">
            <v>LIMAHUAURAHUACHO</v>
          </cell>
          <cell r="B1369" t="str">
            <v>15</v>
          </cell>
          <cell r="C1369" t="str">
            <v>08</v>
          </cell>
          <cell r="D1369" t="str">
            <v>01</v>
          </cell>
          <cell r="E1369" t="str">
            <v>LIMA</v>
          </cell>
          <cell r="F1369" t="str">
            <v>HUAURA</v>
          </cell>
          <cell r="G1369" t="str">
            <v>HUACHO</v>
          </cell>
          <cell r="H1369" t="str">
            <v>011292</v>
          </cell>
          <cell r="I1369" t="str">
            <v>1</v>
          </cell>
        </row>
        <row r="1370">
          <cell r="A1370" t="str">
            <v>LIMAHUAURAAMBAR</v>
          </cell>
          <cell r="B1370" t="str">
            <v>15</v>
          </cell>
          <cell r="C1370" t="str">
            <v>08</v>
          </cell>
          <cell r="D1370" t="str">
            <v>02</v>
          </cell>
          <cell r="E1370" t="str">
            <v>LIMA</v>
          </cell>
          <cell r="F1370" t="str">
            <v>HUAURA</v>
          </cell>
          <cell r="G1370" t="str">
            <v>AMBAR</v>
          </cell>
          <cell r="H1370" t="str">
            <v>011293</v>
          </cell>
          <cell r="I1370" t="str">
            <v>2</v>
          </cell>
        </row>
        <row r="1371">
          <cell r="A1371" t="str">
            <v>LIMAHUAURACALETA DE CARQUIN</v>
          </cell>
          <cell r="B1371" t="str">
            <v>15</v>
          </cell>
          <cell r="C1371" t="str">
            <v>08</v>
          </cell>
          <cell r="D1371" t="str">
            <v>03</v>
          </cell>
          <cell r="E1371" t="str">
            <v>LIMA</v>
          </cell>
          <cell r="F1371" t="str">
            <v>HUAURA</v>
          </cell>
          <cell r="G1371" t="str">
            <v>CALETA DE CARQUIN</v>
          </cell>
          <cell r="H1371" t="str">
            <v>011294</v>
          </cell>
          <cell r="I1371" t="str">
            <v>2</v>
          </cell>
        </row>
        <row r="1372">
          <cell r="A1372" t="str">
            <v>LIMAHUAURACHECRAS</v>
          </cell>
          <cell r="B1372" t="str">
            <v>15</v>
          </cell>
          <cell r="C1372" t="str">
            <v>08</v>
          </cell>
          <cell r="D1372" t="str">
            <v>04</v>
          </cell>
          <cell r="E1372" t="str">
            <v>LIMA</v>
          </cell>
          <cell r="F1372" t="str">
            <v>HUAURA</v>
          </cell>
          <cell r="G1372" t="str">
            <v>CHECRAS</v>
          </cell>
          <cell r="H1372" t="str">
            <v>011299</v>
          </cell>
          <cell r="I1372" t="str">
            <v>2</v>
          </cell>
        </row>
        <row r="1373">
          <cell r="A1373" t="str">
            <v>LIMAHUAURAHUALMAY</v>
          </cell>
          <cell r="B1373" t="str">
            <v>15</v>
          </cell>
          <cell r="C1373" t="str">
            <v>08</v>
          </cell>
          <cell r="D1373" t="str">
            <v>05</v>
          </cell>
          <cell r="E1373" t="str">
            <v>LIMA</v>
          </cell>
          <cell r="F1373" t="str">
            <v>HUAURA</v>
          </cell>
          <cell r="G1373" t="str">
            <v>HUALMAY</v>
          </cell>
          <cell r="H1373" t="str">
            <v>011295</v>
          </cell>
          <cell r="I1373" t="str">
            <v>2</v>
          </cell>
        </row>
        <row r="1374">
          <cell r="A1374" t="str">
            <v>LIMAHUAURAHUAURA</v>
          </cell>
          <cell r="B1374" t="str">
            <v>15</v>
          </cell>
          <cell r="C1374" t="str">
            <v>08</v>
          </cell>
          <cell r="D1374" t="str">
            <v>06</v>
          </cell>
          <cell r="E1374" t="str">
            <v>LIMA</v>
          </cell>
          <cell r="F1374" t="str">
            <v>HUAURA</v>
          </cell>
          <cell r="G1374" t="str">
            <v>HUAURA</v>
          </cell>
          <cell r="H1374" t="str">
            <v>011296</v>
          </cell>
          <cell r="I1374" t="str">
            <v>2</v>
          </cell>
        </row>
        <row r="1375">
          <cell r="A1375" t="str">
            <v>LIMAHUAURALEONCIO PRADO</v>
          </cell>
          <cell r="B1375" t="str">
            <v>15</v>
          </cell>
          <cell r="C1375" t="str">
            <v>08</v>
          </cell>
          <cell r="D1375" t="str">
            <v>07</v>
          </cell>
          <cell r="E1375" t="str">
            <v>LIMA</v>
          </cell>
          <cell r="F1375" t="str">
            <v>HUAURA</v>
          </cell>
          <cell r="G1375" t="str">
            <v>LEONCIO PRADO</v>
          </cell>
          <cell r="H1375" t="str">
            <v>011300</v>
          </cell>
          <cell r="I1375" t="str">
            <v>2</v>
          </cell>
        </row>
        <row r="1376">
          <cell r="A1376" t="str">
            <v>LIMAHUAURAPACCHO</v>
          </cell>
          <cell r="B1376" t="str">
            <v>15</v>
          </cell>
          <cell r="C1376" t="str">
            <v>08</v>
          </cell>
          <cell r="D1376" t="str">
            <v>08</v>
          </cell>
          <cell r="E1376" t="str">
            <v>LIMA</v>
          </cell>
          <cell r="F1376" t="str">
            <v>HUAURA</v>
          </cell>
          <cell r="G1376" t="str">
            <v>PACCHO</v>
          </cell>
          <cell r="H1376" t="str">
            <v>011301</v>
          </cell>
          <cell r="I1376" t="str">
            <v>2</v>
          </cell>
        </row>
        <row r="1377">
          <cell r="A1377" t="str">
            <v>LIMAHUAURASANTA LEONOR</v>
          </cell>
          <cell r="B1377" t="str">
            <v>15</v>
          </cell>
          <cell r="C1377" t="str">
            <v>08</v>
          </cell>
          <cell r="D1377" t="str">
            <v>09</v>
          </cell>
          <cell r="E1377" t="str">
            <v>LIMA</v>
          </cell>
          <cell r="F1377" t="str">
            <v>HUAURA</v>
          </cell>
          <cell r="G1377" t="str">
            <v>SANTA LEONOR</v>
          </cell>
          <cell r="H1377" t="str">
            <v>011302</v>
          </cell>
          <cell r="I1377" t="str">
            <v>2</v>
          </cell>
        </row>
        <row r="1378">
          <cell r="A1378" t="str">
            <v>LIMAHUAURASANTA MARIA</v>
          </cell>
          <cell r="B1378" t="str">
            <v>15</v>
          </cell>
          <cell r="C1378" t="str">
            <v>08</v>
          </cell>
          <cell r="D1378" t="str">
            <v>10</v>
          </cell>
          <cell r="E1378" t="str">
            <v>LIMA</v>
          </cell>
          <cell r="F1378" t="str">
            <v>HUAURA</v>
          </cell>
          <cell r="G1378" t="str">
            <v>SANTA MARIA</v>
          </cell>
          <cell r="H1378" t="str">
            <v>011297</v>
          </cell>
          <cell r="I1378" t="str">
            <v>2</v>
          </cell>
        </row>
        <row r="1379">
          <cell r="A1379" t="str">
            <v>LIMAHUAURASAYAN</v>
          </cell>
          <cell r="B1379" t="str">
            <v>15</v>
          </cell>
          <cell r="C1379" t="str">
            <v>08</v>
          </cell>
          <cell r="D1379" t="str">
            <v>11</v>
          </cell>
          <cell r="E1379" t="str">
            <v>LIMA</v>
          </cell>
          <cell r="F1379" t="str">
            <v>HUAURA</v>
          </cell>
          <cell r="G1379" t="str">
            <v>SAYAN</v>
          </cell>
          <cell r="H1379" t="str">
            <v>011303</v>
          </cell>
          <cell r="I1379" t="str">
            <v>2</v>
          </cell>
        </row>
        <row r="1380">
          <cell r="A1380" t="str">
            <v>LIMAHUAURAVEGUETA</v>
          </cell>
          <cell r="B1380" t="str">
            <v>15</v>
          </cell>
          <cell r="C1380" t="str">
            <v>08</v>
          </cell>
          <cell r="D1380" t="str">
            <v>12</v>
          </cell>
          <cell r="E1380" t="str">
            <v>LIMA</v>
          </cell>
          <cell r="F1380" t="str">
            <v>HUAURA</v>
          </cell>
          <cell r="G1380" t="str">
            <v>VEGUETA</v>
          </cell>
          <cell r="H1380" t="str">
            <v>011298</v>
          </cell>
          <cell r="I1380" t="str">
            <v>2</v>
          </cell>
        </row>
        <row r="1381">
          <cell r="A1381" t="str">
            <v>LIMAOYONOYON</v>
          </cell>
          <cell r="B1381" t="str">
            <v>15</v>
          </cell>
          <cell r="C1381" t="str">
            <v>09</v>
          </cell>
          <cell r="D1381" t="str">
            <v>01</v>
          </cell>
          <cell r="E1381" t="str">
            <v>LIMA</v>
          </cell>
          <cell r="F1381" t="str">
            <v>OYON</v>
          </cell>
          <cell r="G1381" t="str">
            <v>OYON</v>
          </cell>
          <cell r="H1381" t="str">
            <v>011333</v>
          </cell>
          <cell r="I1381" t="str">
            <v>1</v>
          </cell>
        </row>
        <row r="1382">
          <cell r="A1382" t="str">
            <v>LIMAOYONANDAJES</v>
          </cell>
          <cell r="B1382" t="str">
            <v>15</v>
          </cell>
          <cell r="C1382" t="str">
            <v>09</v>
          </cell>
          <cell r="D1382" t="str">
            <v>02</v>
          </cell>
          <cell r="E1382" t="str">
            <v>LIMA</v>
          </cell>
          <cell r="F1382" t="str">
            <v>OYON</v>
          </cell>
          <cell r="G1382" t="str">
            <v>ANDAJES</v>
          </cell>
          <cell r="H1382" t="str">
            <v>012567</v>
          </cell>
          <cell r="I1382" t="str">
            <v>2</v>
          </cell>
        </row>
        <row r="1383">
          <cell r="A1383" t="str">
            <v>LIMAOYONCAUJUL</v>
          </cell>
          <cell r="B1383" t="str">
            <v>15</v>
          </cell>
          <cell r="C1383" t="str">
            <v>09</v>
          </cell>
          <cell r="D1383" t="str">
            <v>03</v>
          </cell>
          <cell r="E1383" t="str">
            <v>LIMA</v>
          </cell>
          <cell r="F1383" t="str">
            <v>OYON</v>
          </cell>
          <cell r="G1383" t="str">
            <v>CAUJUL</v>
          </cell>
          <cell r="H1383" t="str">
            <v>011335</v>
          </cell>
          <cell r="I1383" t="str">
            <v>2</v>
          </cell>
        </row>
        <row r="1384">
          <cell r="A1384" t="str">
            <v>LIMAOYONCOCHAMARCA</v>
          </cell>
          <cell r="B1384" t="str">
            <v>15</v>
          </cell>
          <cell r="C1384" t="str">
            <v>09</v>
          </cell>
          <cell r="D1384" t="str">
            <v>04</v>
          </cell>
          <cell r="E1384" t="str">
            <v>LIMA</v>
          </cell>
          <cell r="F1384" t="str">
            <v>OYON</v>
          </cell>
          <cell r="G1384" t="str">
            <v>COCHAMARCA</v>
          </cell>
          <cell r="H1384" t="str">
            <v>011336</v>
          </cell>
          <cell r="I1384" t="str">
            <v>2</v>
          </cell>
        </row>
        <row r="1385">
          <cell r="A1385" t="str">
            <v>LIMAOYONNAVAN</v>
          </cell>
          <cell r="B1385" t="str">
            <v>15</v>
          </cell>
          <cell r="C1385" t="str">
            <v>09</v>
          </cell>
          <cell r="D1385" t="str">
            <v>05</v>
          </cell>
          <cell r="E1385" t="str">
            <v>LIMA</v>
          </cell>
          <cell r="F1385" t="str">
            <v>OYON</v>
          </cell>
          <cell r="G1385" t="str">
            <v>NAVAN</v>
          </cell>
          <cell r="H1385" t="str">
            <v>011337</v>
          </cell>
          <cell r="I1385" t="str">
            <v>2</v>
          </cell>
        </row>
        <row r="1386">
          <cell r="A1386" t="str">
            <v>LIMAOYONPACHANGARA</v>
          </cell>
          <cell r="B1386" t="str">
            <v>15</v>
          </cell>
          <cell r="C1386" t="str">
            <v>09</v>
          </cell>
          <cell r="D1386" t="str">
            <v>06</v>
          </cell>
          <cell r="E1386" t="str">
            <v>LIMA</v>
          </cell>
          <cell r="F1386" t="str">
            <v>OYON</v>
          </cell>
          <cell r="G1386" t="str">
            <v>PACHANGARA</v>
          </cell>
          <cell r="H1386" t="str">
            <v>011338</v>
          </cell>
          <cell r="I1386" t="str">
            <v>2</v>
          </cell>
        </row>
        <row r="1387">
          <cell r="A1387" t="str">
            <v>LIMAYAUYOSYAUYOS</v>
          </cell>
          <cell r="B1387" t="str">
            <v>15</v>
          </cell>
          <cell r="C1387" t="str">
            <v>10</v>
          </cell>
          <cell r="D1387" t="str">
            <v>01</v>
          </cell>
          <cell r="E1387" t="str">
            <v>LIMA</v>
          </cell>
          <cell r="F1387" t="str">
            <v>YAUYOS</v>
          </cell>
          <cell r="G1387" t="str">
            <v>YAUYOS</v>
          </cell>
          <cell r="H1387" t="str">
            <v>011387</v>
          </cell>
          <cell r="I1387" t="str">
            <v>1</v>
          </cell>
        </row>
        <row r="1388">
          <cell r="A1388" t="str">
            <v>LIMAYAUYOSALIS</v>
          </cell>
          <cell r="B1388" t="str">
            <v>15</v>
          </cell>
          <cell r="C1388" t="str">
            <v>10</v>
          </cell>
          <cell r="D1388" t="str">
            <v>02</v>
          </cell>
          <cell r="E1388" t="str">
            <v>LIMA</v>
          </cell>
          <cell r="F1388" t="str">
            <v>YAUYOS</v>
          </cell>
          <cell r="G1388" t="str">
            <v>ALIS</v>
          </cell>
          <cell r="H1388" t="str">
            <v>012355</v>
          </cell>
          <cell r="I1388" t="str">
            <v>2</v>
          </cell>
        </row>
        <row r="1389">
          <cell r="A1389" t="str">
            <v>LIMAYAUYOSAYAUCA</v>
          </cell>
          <cell r="B1389" t="str">
            <v>15</v>
          </cell>
          <cell r="C1389" t="str">
            <v>10</v>
          </cell>
          <cell r="D1389" t="str">
            <v>03</v>
          </cell>
          <cell r="E1389" t="str">
            <v>LIMA</v>
          </cell>
          <cell r="F1389" t="str">
            <v>YAUYOS</v>
          </cell>
          <cell r="G1389" t="str">
            <v>AYAUCA</v>
          </cell>
          <cell r="H1389" t="str">
            <v>011389</v>
          </cell>
          <cell r="I1389" t="str">
            <v>2</v>
          </cell>
        </row>
        <row r="1390">
          <cell r="A1390" t="str">
            <v>LIMAYAUYOSAYAVIRI</v>
          </cell>
          <cell r="B1390" t="str">
            <v>15</v>
          </cell>
          <cell r="C1390" t="str">
            <v>10</v>
          </cell>
          <cell r="D1390" t="str">
            <v>04</v>
          </cell>
          <cell r="E1390" t="str">
            <v>LIMA</v>
          </cell>
          <cell r="F1390" t="str">
            <v>YAUYOS</v>
          </cell>
          <cell r="G1390" t="str">
            <v>AYAVIRI</v>
          </cell>
          <cell r="H1390" t="str">
            <v>011410</v>
          </cell>
          <cell r="I1390" t="str">
            <v>2</v>
          </cell>
        </row>
        <row r="1391">
          <cell r="A1391" t="str">
            <v>LIMAYAUYOSAZANGARO</v>
          </cell>
          <cell r="B1391" t="str">
            <v>15</v>
          </cell>
          <cell r="C1391" t="str">
            <v>10</v>
          </cell>
          <cell r="D1391" t="str">
            <v>05</v>
          </cell>
          <cell r="E1391" t="str">
            <v>LIMA</v>
          </cell>
          <cell r="F1391" t="str">
            <v>YAUYOS</v>
          </cell>
          <cell r="G1391" t="str">
            <v>AZANGARO</v>
          </cell>
          <cell r="H1391" t="str">
            <v>012350</v>
          </cell>
          <cell r="I1391" t="str">
            <v>2</v>
          </cell>
        </row>
        <row r="1392">
          <cell r="A1392" t="str">
            <v>LIMAYAUYOSCACRA</v>
          </cell>
          <cell r="B1392" t="str">
            <v>15</v>
          </cell>
          <cell r="C1392" t="str">
            <v>10</v>
          </cell>
          <cell r="D1392" t="str">
            <v>06</v>
          </cell>
          <cell r="E1392" t="str">
            <v>LIMA</v>
          </cell>
          <cell r="F1392" t="str">
            <v>YAUYOS</v>
          </cell>
          <cell r="G1392" t="str">
            <v>CACRA</v>
          </cell>
          <cell r="H1392" t="str">
            <v>011401</v>
          </cell>
          <cell r="I1392" t="str">
            <v>2</v>
          </cell>
        </row>
        <row r="1393">
          <cell r="A1393" t="str">
            <v>LIMAYAUYOSCARANIA</v>
          </cell>
          <cell r="B1393" t="str">
            <v>15</v>
          </cell>
          <cell r="C1393" t="str">
            <v>10</v>
          </cell>
          <cell r="D1393" t="str">
            <v>07</v>
          </cell>
          <cell r="E1393" t="str">
            <v>LIMA</v>
          </cell>
          <cell r="F1393" t="str">
            <v>YAUYOS</v>
          </cell>
          <cell r="G1393" t="str">
            <v>CARANIA</v>
          </cell>
          <cell r="H1393" t="str">
            <v>011390</v>
          </cell>
          <cell r="I1393" t="str">
            <v>2</v>
          </cell>
        </row>
        <row r="1394">
          <cell r="A1394" t="str">
            <v>LIMAYAUYOSCATAHUASI</v>
          </cell>
          <cell r="B1394" t="str">
            <v>15</v>
          </cell>
          <cell r="C1394" t="str">
            <v>10</v>
          </cell>
          <cell r="D1394" t="str">
            <v>08</v>
          </cell>
          <cell r="E1394" t="str">
            <v>LIMA</v>
          </cell>
          <cell r="F1394" t="str">
            <v>YAUYOS</v>
          </cell>
          <cell r="G1394" t="str">
            <v>CATAHUASI</v>
          </cell>
          <cell r="H1394" t="str">
            <v>011402</v>
          </cell>
          <cell r="I1394" t="str">
            <v>2</v>
          </cell>
        </row>
        <row r="1395">
          <cell r="A1395" t="str">
            <v>LIMAYAUYOSCHOCOS</v>
          </cell>
          <cell r="B1395" t="str">
            <v>15</v>
          </cell>
          <cell r="C1395" t="str">
            <v>10</v>
          </cell>
          <cell r="D1395" t="str">
            <v>09</v>
          </cell>
          <cell r="E1395" t="str">
            <v>LIMA</v>
          </cell>
          <cell r="F1395" t="str">
            <v>YAUYOS</v>
          </cell>
          <cell r="G1395" t="str">
            <v>CHOCOS</v>
          </cell>
          <cell r="H1395" t="str">
            <v>011403</v>
          </cell>
          <cell r="I1395" t="str">
            <v>2</v>
          </cell>
        </row>
        <row r="1396">
          <cell r="A1396" t="str">
            <v>LIMAYAUYOSCOCHAS</v>
          </cell>
          <cell r="B1396" t="str">
            <v>15</v>
          </cell>
          <cell r="C1396" t="str">
            <v>10</v>
          </cell>
          <cell r="D1396" t="str">
            <v>10</v>
          </cell>
          <cell r="E1396" t="str">
            <v>LIMA</v>
          </cell>
          <cell r="F1396" t="str">
            <v>YAUYOS</v>
          </cell>
          <cell r="G1396" t="str">
            <v>COCHAS</v>
          </cell>
          <cell r="H1396" t="str">
            <v>011411</v>
          </cell>
          <cell r="I1396" t="str">
            <v>2</v>
          </cell>
        </row>
        <row r="1397">
          <cell r="A1397" t="str">
            <v>LIMAYAUYOSCOLONIA</v>
          </cell>
          <cell r="B1397" t="str">
            <v>15</v>
          </cell>
          <cell r="C1397" t="str">
            <v>10</v>
          </cell>
          <cell r="D1397" t="str">
            <v>11</v>
          </cell>
          <cell r="E1397" t="str">
            <v>LIMA</v>
          </cell>
          <cell r="F1397" t="str">
            <v>YAUYOS</v>
          </cell>
          <cell r="G1397" t="str">
            <v>COLONIA</v>
          </cell>
          <cell r="H1397" t="str">
            <v>011391</v>
          </cell>
          <cell r="I1397" t="str">
            <v>2</v>
          </cell>
        </row>
        <row r="1398">
          <cell r="A1398" t="str">
            <v>LIMAYAUYOSHONGOS</v>
          </cell>
          <cell r="B1398" t="str">
            <v>15</v>
          </cell>
          <cell r="C1398" t="str">
            <v>10</v>
          </cell>
          <cell r="D1398" t="str">
            <v>12</v>
          </cell>
          <cell r="E1398" t="str">
            <v>LIMA</v>
          </cell>
          <cell r="F1398" t="str">
            <v>YAUYOS</v>
          </cell>
          <cell r="G1398" t="str">
            <v>HONGOS</v>
          </cell>
          <cell r="H1398" t="str">
            <v>011404</v>
          </cell>
          <cell r="I1398" t="str">
            <v>2</v>
          </cell>
        </row>
        <row r="1399">
          <cell r="A1399" t="str">
            <v>LIMAYAUYOSHUAMPARA</v>
          </cell>
          <cell r="B1399" t="str">
            <v>15</v>
          </cell>
          <cell r="C1399" t="str">
            <v>10</v>
          </cell>
          <cell r="D1399" t="str">
            <v>13</v>
          </cell>
          <cell r="E1399" t="str">
            <v>LIMA</v>
          </cell>
          <cell r="F1399" t="str">
            <v>YAUYOS</v>
          </cell>
          <cell r="G1399" t="str">
            <v>HUAMPARA</v>
          </cell>
          <cell r="H1399" t="str">
            <v>011412</v>
          </cell>
          <cell r="I1399" t="str">
            <v>2</v>
          </cell>
        </row>
        <row r="1400">
          <cell r="A1400" t="str">
            <v>LIMAYAUYOSHUANCAYA</v>
          </cell>
          <cell r="B1400" t="str">
            <v>15</v>
          </cell>
          <cell r="C1400" t="str">
            <v>10</v>
          </cell>
          <cell r="D1400" t="str">
            <v>14</v>
          </cell>
          <cell r="E1400" t="str">
            <v>LIMA</v>
          </cell>
          <cell r="F1400" t="str">
            <v>YAUYOS</v>
          </cell>
          <cell r="G1400" t="str">
            <v>HUANCAYA</v>
          </cell>
          <cell r="H1400" t="str">
            <v>011392</v>
          </cell>
          <cell r="I1400" t="str">
            <v>2</v>
          </cell>
        </row>
        <row r="1401">
          <cell r="A1401" t="str">
            <v>LIMAYAUYOSHUANGASCAR</v>
          </cell>
          <cell r="B1401" t="str">
            <v>15</v>
          </cell>
          <cell r="C1401" t="str">
            <v>10</v>
          </cell>
          <cell r="D1401" t="str">
            <v>15</v>
          </cell>
          <cell r="E1401" t="str">
            <v>LIMA</v>
          </cell>
          <cell r="F1401" t="str">
            <v>YAUYOS</v>
          </cell>
          <cell r="G1401" t="str">
            <v>HUANGASCAR</v>
          </cell>
          <cell r="H1401" t="str">
            <v>011405</v>
          </cell>
          <cell r="I1401" t="str">
            <v>2</v>
          </cell>
        </row>
        <row r="1402">
          <cell r="A1402" t="str">
            <v>LIMAYAUYOSHUANTAN</v>
          </cell>
          <cell r="B1402" t="str">
            <v>15</v>
          </cell>
          <cell r="C1402" t="str">
            <v>10</v>
          </cell>
          <cell r="D1402" t="str">
            <v>16</v>
          </cell>
          <cell r="E1402" t="str">
            <v>LIMA</v>
          </cell>
          <cell r="F1402" t="str">
            <v>YAUYOS</v>
          </cell>
          <cell r="G1402" t="str">
            <v>HUANTAN</v>
          </cell>
          <cell r="H1402" t="str">
            <v>011393</v>
          </cell>
          <cell r="I1402" t="str">
            <v>2</v>
          </cell>
        </row>
        <row r="1403">
          <cell r="A1403" t="str">
            <v>LIMAYAUYOSHUAÑEC</v>
          </cell>
          <cell r="B1403" t="str">
            <v>15</v>
          </cell>
          <cell r="C1403" t="str">
            <v>10</v>
          </cell>
          <cell r="D1403" t="str">
            <v>17</v>
          </cell>
          <cell r="E1403" t="str">
            <v>LIMA</v>
          </cell>
          <cell r="F1403" t="str">
            <v>YAUYOS</v>
          </cell>
          <cell r="G1403" t="str">
            <v>HUAÑEC</v>
          </cell>
          <cell r="H1403" t="str">
            <v>011413</v>
          </cell>
          <cell r="I1403" t="str">
            <v>2</v>
          </cell>
        </row>
        <row r="1404">
          <cell r="A1404" t="str">
            <v>LIMAYAUYOSLARAOS</v>
          </cell>
          <cell r="B1404" t="str">
            <v>15</v>
          </cell>
          <cell r="C1404" t="str">
            <v>10</v>
          </cell>
          <cell r="D1404" t="str">
            <v>18</v>
          </cell>
          <cell r="E1404" t="str">
            <v>LIMA</v>
          </cell>
          <cell r="F1404" t="str">
            <v>YAUYOS</v>
          </cell>
          <cell r="G1404" t="str">
            <v>LARAOS</v>
          </cell>
          <cell r="H1404" t="str">
            <v>012353</v>
          </cell>
          <cell r="I1404" t="str">
            <v>2</v>
          </cell>
        </row>
        <row r="1405">
          <cell r="A1405" t="str">
            <v>LIMAYAUYOSLINCHA</v>
          </cell>
          <cell r="B1405" t="str">
            <v>15</v>
          </cell>
          <cell r="C1405" t="str">
            <v>10</v>
          </cell>
          <cell r="D1405" t="str">
            <v>19</v>
          </cell>
          <cell r="E1405" t="str">
            <v>LIMA</v>
          </cell>
          <cell r="F1405" t="str">
            <v>YAUYOS</v>
          </cell>
          <cell r="G1405" t="str">
            <v>LINCHA</v>
          </cell>
          <cell r="H1405" t="str">
            <v>012362</v>
          </cell>
          <cell r="I1405" t="str">
            <v>2</v>
          </cell>
        </row>
        <row r="1406">
          <cell r="A1406" t="str">
            <v>LIMAYAUYOSMADEAN</v>
          </cell>
          <cell r="B1406" t="str">
            <v>15</v>
          </cell>
          <cell r="C1406" t="str">
            <v>10</v>
          </cell>
          <cell r="D1406" t="str">
            <v>20</v>
          </cell>
          <cell r="E1406" t="str">
            <v>LIMA</v>
          </cell>
          <cell r="F1406" t="str">
            <v>YAUYOS</v>
          </cell>
          <cell r="G1406" t="str">
            <v>MADEAN</v>
          </cell>
          <cell r="H1406" t="str">
            <v>011407</v>
          </cell>
          <cell r="I1406" t="str">
            <v>2</v>
          </cell>
        </row>
        <row r="1407">
          <cell r="A1407" t="str">
            <v>LIMAYAUYOSMIRAFLORES</v>
          </cell>
          <cell r="B1407" t="str">
            <v>15</v>
          </cell>
          <cell r="C1407" t="str">
            <v>10</v>
          </cell>
          <cell r="D1407" t="str">
            <v>21</v>
          </cell>
          <cell r="E1407" t="str">
            <v>LIMA</v>
          </cell>
          <cell r="F1407" t="str">
            <v>YAUYOS</v>
          </cell>
          <cell r="G1407" t="str">
            <v>MIRAFLORES</v>
          </cell>
          <cell r="H1407" t="str">
            <v>011395</v>
          </cell>
          <cell r="I1407" t="str">
            <v>2</v>
          </cell>
        </row>
        <row r="1408">
          <cell r="A1408" t="str">
            <v>LIMAYAUYOSOMAS</v>
          </cell>
          <cell r="B1408" t="str">
            <v>15</v>
          </cell>
          <cell r="C1408" t="str">
            <v>10</v>
          </cell>
          <cell r="D1408" t="str">
            <v>22</v>
          </cell>
          <cell r="E1408" t="str">
            <v>LIMA</v>
          </cell>
          <cell r="F1408" t="str">
            <v>YAUYOS</v>
          </cell>
          <cell r="G1408" t="str">
            <v>OMAS</v>
          </cell>
          <cell r="H1408" t="str">
            <v>013024</v>
          </cell>
          <cell r="I1408" t="str">
            <v>2</v>
          </cell>
        </row>
        <row r="1409">
          <cell r="A1409" t="str">
            <v>LIMAYAUYOSPUTINZA</v>
          </cell>
          <cell r="B1409" t="str">
            <v>15</v>
          </cell>
          <cell r="C1409" t="str">
            <v>10</v>
          </cell>
          <cell r="D1409" t="str">
            <v>23</v>
          </cell>
          <cell r="E1409" t="str">
            <v>LIMA</v>
          </cell>
          <cell r="F1409" t="str">
            <v>YAUYOS</v>
          </cell>
          <cell r="G1409" t="str">
            <v>PUTINZA</v>
          </cell>
          <cell r="H1409" t="str">
            <v>012354</v>
          </cell>
          <cell r="I1409" t="str">
            <v>2</v>
          </cell>
        </row>
        <row r="1410">
          <cell r="A1410" t="str">
            <v>LIMAYAUYOSQUINCHES</v>
          </cell>
          <cell r="B1410" t="str">
            <v>15</v>
          </cell>
          <cell r="C1410" t="str">
            <v>10</v>
          </cell>
          <cell r="D1410" t="str">
            <v>24</v>
          </cell>
          <cell r="E1410" t="str">
            <v>LIMA</v>
          </cell>
          <cell r="F1410" t="str">
            <v>YAUYOS</v>
          </cell>
          <cell r="G1410" t="str">
            <v>QUINCHES</v>
          </cell>
          <cell r="H1410" t="str">
            <v>011415</v>
          </cell>
          <cell r="I1410" t="str">
            <v>2</v>
          </cell>
        </row>
        <row r="1411">
          <cell r="A1411" t="str">
            <v>LIMAYAUYOSQUINOCAY</v>
          </cell>
          <cell r="B1411" t="str">
            <v>15</v>
          </cell>
          <cell r="C1411" t="str">
            <v>10</v>
          </cell>
          <cell r="D1411" t="str">
            <v>25</v>
          </cell>
          <cell r="E1411" t="str">
            <v>LIMA</v>
          </cell>
          <cell r="F1411" t="str">
            <v>YAUYOS</v>
          </cell>
          <cell r="G1411" t="str">
            <v>QUINOCAY</v>
          </cell>
          <cell r="H1411" t="str">
            <v>011416</v>
          </cell>
          <cell r="I1411" t="str">
            <v>2</v>
          </cell>
        </row>
        <row r="1412">
          <cell r="A1412" t="str">
            <v>LIMAYAUYOSSAN JOAQUIN</v>
          </cell>
          <cell r="B1412" t="str">
            <v>15</v>
          </cell>
          <cell r="C1412" t="str">
            <v>10</v>
          </cell>
          <cell r="D1412" t="str">
            <v>26</v>
          </cell>
          <cell r="E1412" t="str">
            <v>LIMA</v>
          </cell>
          <cell r="F1412" t="str">
            <v>YAUYOS</v>
          </cell>
          <cell r="G1412" t="str">
            <v>SAN JOAQUIN</v>
          </cell>
          <cell r="H1412" t="str">
            <v>011417</v>
          </cell>
          <cell r="I1412" t="str">
            <v>2</v>
          </cell>
        </row>
        <row r="1413">
          <cell r="A1413" t="str">
            <v>LIMAYAUYOSSAN PEDRO DE PILAS</v>
          </cell>
          <cell r="B1413" t="str">
            <v>15</v>
          </cell>
          <cell r="C1413" t="str">
            <v>10</v>
          </cell>
          <cell r="D1413" t="str">
            <v>27</v>
          </cell>
          <cell r="E1413" t="str">
            <v>LIMA</v>
          </cell>
          <cell r="F1413" t="str">
            <v>YAUYOS</v>
          </cell>
          <cell r="G1413" t="str">
            <v>SAN PEDRO DE PILAS</v>
          </cell>
          <cell r="H1413" t="str">
            <v>011418</v>
          </cell>
          <cell r="I1413" t="str">
            <v>2</v>
          </cell>
        </row>
        <row r="1414">
          <cell r="A1414" t="str">
            <v>LIMAYAUYOSTANTA</v>
          </cell>
          <cell r="B1414" t="str">
            <v>15</v>
          </cell>
          <cell r="C1414" t="str">
            <v>10</v>
          </cell>
          <cell r="D1414" t="str">
            <v>28</v>
          </cell>
          <cell r="E1414" t="str">
            <v>LIMA</v>
          </cell>
          <cell r="F1414" t="str">
            <v>YAUYOS</v>
          </cell>
          <cell r="G1414" t="str">
            <v>TANTA</v>
          </cell>
          <cell r="H1414" t="str">
            <v>011397</v>
          </cell>
          <cell r="I1414" t="str">
            <v>2</v>
          </cell>
        </row>
        <row r="1415">
          <cell r="A1415" t="str">
            <v>LIMAYAUYOSTAURIPAMPA</v>
          </cell>
          <cell r="B1415" t="str">
            <v>15</v>
          </cell>
          <cell r="C1415" t="str">
            <v>10</v>
          </cell>
          <cell r="D1415" t="str">
            <v>29</v>
          </cell>
          <cell r="E1415" t="str">
            <v>LIMA</v>
          </cell>
          <cell r="F1415" t="str">
            <v>YAUYOS</v>
          </cell>
          <cell r="G1415" t="str">
            <v>TAURIPAMPA</v>
          </cell>
          <cell r="H1415" t="str">
            <v>011419</v>
          </cell>
          <cell r="I1415" t="str">
            <v>2</v>
          </cell>
        </row>
        <row r="1416">
          <cell r="A1416" t="str">
            <v>LIMAYAUYOSTOMAS</v>
          </cell>
          <cell r="B1416" t="str">
            <v>15</v>
          </cell>
          <cell r="C1416" t="str">
            <v>10</v>
          </cell>
          <cell r="D1416" t="str">
            <v>30</v>
          </cell>
          <cell r="E1416" t="str">
            <v>LIMA</v>
          </cell>
          <cell r="F1416" t="str">
            <v>YAUYOS</v>
          </cell>
          <cell r="G1416" t="str">
            <v>TOMAS</v>
          </cell>
          <cell r="H1416" t="str">
            <v>013025</v>
          </cell>
          <cell r="I1416" t="str">
            <v>2</v>
          </cell>
        </row>
        <row r="1417">
          <cell r="A1417" t="str">
            <v>LIMAYAUYOSTUPE</v>
          </cell>
          <cell r="B1417" t="str">
            <v>15</v>
          </cell>
          <cell r="C1417" t="str">
            <v>10</v>
          </cell>
          <cell r="D1417" t="str">
            <v>31</v>
          </cell>
          <cell r="E1417" t="str">
            <v>LIMA</v>
          </cell>
          <cell r="F1417" t="str">
            <v>YAUYOS</v>
          </cell>
          <cell r="G1417" t="str">
            <v>TUPE</v>
          </cell>
          <cell r="H1417" t="str">
            <v>011408</v>
          </cell>
          <cell r="I1417" t="str">
            <v>2</v>
          </cell>
        </row>
        <row r="1418">
          <cell r="A1418" t="str">
            <v>LIMAYAUYOSVIÑAC</v>
          </cell>
          <cell r="B1418" t="str">
            <v>15</v>
          </cell>
          <cell r="C1418" t="str">
            <v>10</v>
          </cell>
          <cell r="D1418" t="str">
            <v>32</v>
          </cell>
          <cell r="E1418" t="str">
            <v>LIMA</v>
          </cell>
          <cell r="F1418" t="str">
            <v>YAUYOS</v>
          </cell>
          <cell r="G1418" t="str">
            <v>VIÑAC</v>
          </cell>
          <cell r="H1418" t="str">
            <v>011409</v>
          </cell>
          <cell r="I1418" t="str">
            <v>2</v>
          </cell>
        </row>
        <row r="1419">
          <cell r="A1419" t="str">
            <v>LIMAYAUYOSVITIS</v>
          </cell>
          <cell r="B1419" t="str">
            <v>15</v>
          </cell>
          <cell r="C1419" t="str">
            <v>10</v>
          </cell>
          <cell r="D1419" t="str">
            <v>33</v>
          </cell>
          <cell r="E1419" t="str">
            <v>LIMA</v>
          </cell>
          <cell r="F1419" t="str">
            <v>YAUYOS</v>
          </cell>
          <cell r="G1419" t="str">
            <v>VITIS</v>
          </cell>
          <cell r="H1419" t="str">
            <v>010986</v>
          </cell>
          <cell r="I1419" t="str">
            <v>2</v>
          </cell>
        </row>
        <row r="1420">
          <cell r="A1420" t="str">
            <v>LORETOMAYNASIQUITOS</v>
          </cell>
          <cell r="B1420" t="str">
            <v>16</v>
          </cell>
          <cell r="C1420" t="str">
            <v>01</v>
          </cell>
          <cell r="D1420" t="str">
            <v>01</v>
          </cell>
          <cell r="E1420" t="str">
            <v>LORETO</v>
          </cell>
          <cell r="F1420" t="str">
            <v>MAYNAS</v>
          </cell>
          <cell r="G1420" t="str">
            <v>IQUITOS</v>
          </cell>
          <cell r="H1420" t="str">
            <v>012723</v>
          </cell>
          <cell r="I1420" t="str">
            <v>1</v>
          </cell>
        </row>
        <row r="1421">
          <cell r="A1421" t="str">
            <v>LORETOMAYNASALTO NANAY</v>
          </cell>
          <cell r="B1421" t="str">
            <v>16</v>
          </cell>
          <cell r="C1421" t="str">
            <v>01</v>
          </cell>
          <cell r="D1421" t="str">
            <v>02</v>
          </cell>
          <cell r="E1421" t="str">
            <v>LORETO</v>
          </cell>
          <cell r="F1421" t="str">
            <v>MAYNAS</v>
          </cell>
          <cell r="G1421" t="str">
            <v>ALTO NANAY</v>
          </cell>
          <cell r="H1421" t="str">
            <v>011425</v>
          </cell>
          <cell r="I1421" t="str">
            <v>2</v>
          </cell>
        </row>
        <row r="1422">
          <cell r="A1422" t="str">
            <v>LORETOMAYNASFERNANDO LORES</v>
          </cell>
          <cell r="B1422" t="str">
            <v>16</v>
          </cell>
          <cell r="C1422" t="str">
            <v>01</v>
          </cell>
          <cell r="D1422" t="str">
            <v>03</v>
          </cell>
          <cell r="E1422" t="str">
            <v>LORETO</v>
          </cell>
          <cell r="F1422" t="str">
            <v>MAYNAS</v>
          </cell>
          <cell r="G1422" t="str">
            <v>FERNANDO LORES</v>
          </cell>
          <cell r="H1422" t="str">
            <v>012208</v>
          </cell>
          <cell r="I1422" t="str">
            <v>2</v>
          </cell>
        </row>
        <row r="1423">
          <cell r="A1423" t="str">
            <v>LORETOMAYNASINDIANA</v>
          </cell>
          <cell r="B1423" t="str">
            <v>16</v>
          </cell>
          <cell r="C1423" t="str">
            <v>01</v>
          </cell>
          <cell r="D1423" t="str">
            <v>04</v>
          </cell>
          <cell r="E1423" t="str">
            <v>LORETO</v>
          </cell>
          <cell r="F1423" t="str">
            <v>MAYNAS</v>
          </cell>
          <cell r="G1423" t="str">
            <v>INDIANA</v>
          </cell>
          <cell r="H1423" t="str">
            <v>011427</v>
          </cell>
          <cell r="I1423" t="str">
            <v>2</v>
          </cell>
        </row>
        <row r="1424">
          <cell r="A1424" t="str">
            <v>LORETOMAYNASLAS AMAZONAS</v>
          </cell>
          <cell r="B1424" t="str">
            <v>16</v>
          </cell>
          <cell r="C1424" t="str">
            <v>01</v>
          </cell>
          <cell r="D1424" t="str">
            <v>05</v>
          </cell>
          <cell r="E1424" t="str">
            <v>LORETO</v>
          </cell>
          <cell r="F1424" t="str">
            <v>MAYNAS</v>
          </cell>
          <cell r="G1424" t="str">
            <v>LAS AMAZONAS</v>
          </cell>
          <cell r="H1424" t="str">
            <v>011428</v>
          </cell>
          <cell r="I1424" t="str">
            <v>2</v>
          </cell>
        </row>
        <row r="1425">
          <cell r="A1425" t="str">
            <v>LORETOMAYNASMAZAN</v>
          </cell>
          <cell r="B1425" t="str">
            <v>16</v>
          </cell>
          <cell r="C1425" t="str">
            <v>01</v>
          </cell>
          <cell r="D1425" t="str">
            <v>06</v>
          </cell>
          <cell r="E1425" t="str">
            <v>LORETO</v>
          </cell>
          <cell r="F1425" t="str">
            <v>MAYNAS</v>
          </cell>
          <cell r="G1425" t="str">
            <v>MAZAN</v>
          </cell>
          <cell r="H1425" t="str">
            <v>011429</v>
          </cell>
          <cell r="I1425" t="str">
            <v>2</v>
          </cell>
        </row>
        <row r="1426">
          <cell r="A1426" t="str">
            <v>LORETOMAYNASNAPO</v>
          </cell>
          <cell r="B1426" t="str">
            <v>16</v>
          </cell>
          <cell r="C1426" t="str">
            <v>01</v>
          </cell>
          <cell r="D1426" t="str">
            <v>07</v>
          </cell>
          <cell r="E1426" t="str">
            <v>LORETO</v>
          </cell>
          <cell r="F1426" t="str">
            <v>MAYNAS</v>
          </cell>
          <cell r="G1426" t="str">
            <v>NAPO</v>
          </cell>
          <cell r="H1426" t="str">
            <v>011430</v>
          </cell>
          <cell r="I1426" t="str">
            <v>2</v>
          </cell>
        </row>
        <row r="1427">
          <cell r="A1427" t="str">
            <v>LORETOMAYNASPUNCHANA</v>
          </cell>
          <cell r="B1427" t="str">
            <v>16</v>
          </cell>
          <cell r="C1427" t="str">
            <v>01</v>
          </cell>
          <cell r="D1427" t="str">
            <v>08</v>
          </cell>
          <cell r="E1427" t="str">
            <v>LORETO</v>
          </cell>
          <cell r="F1427" t="str">
            <v>MAYNAS</v>
          </cell>
          <cell r="G1427" t="str">
            <v>PUNCHANA</v>
          </cell>
          <cell r="H1427" t="str">
            <v>011421</v>
          </cell>
          <cell r="I1427" t="str">
            <v>2</v>
          </cell>
        </row>
        <row r="1428">
          <cell r="A1428" t="str">
            <v>LORETOMAYNASPUTUMAYO</v>
          </cell>
          <cell r="B1428" t="str">
            <v>16</v>
          </cell>
          <cell r="C1428" t="str">
            <v>01</v>
          </cell>
          <cell r="D1428" t="str">
            <v>09</v>
          </cell>
          <cell r="E1428" t="str">
            <v>LORETO</v>
          </cell>
          <cell r="F1428" t="str">
            <v>MAYNAS</v>
          </cell>
          <cell r="G1428" t="str">
            <v>PUTUMAYO</v>
          </cell>
          <cell r="H1428" t="str">
            <v>011431</v>
          </cell>
          <cell r="I1428" t="str">
            <v>2</v>
          </cell>
        </row>
        <row r="1429">
          <cell r="A1429" t="str">
            <v>LORETOMAYNASTORRES CAUSANA</v>
          </cell>
          <cell r="B1429" t="str">
            <v>16</v>
          </cell>
          <cell r="C1429" t="str">
            <v>01</v>
          </cell>
          <cell r="D1429" t="str">
            <v>10</v>
          </cell>
          <cell r="E1429" t="str">
            <v>LORETO</v>
          </cell>
          <cell r="F1429" t="str">
            <v>MAYNAS</v>
          </cell>
          <cell r="G1429" t="str">
            <v>TORRES CAUSANA</v>
          </cell>
          <cell r="H1429" t="str">
            <v>011432</v>
          </cell>
          <cell r="I1429" t="str">
            <v>2</v>
          </cell>
        </row>
        <row r="1430">
          <cell r="A1430" t="str">
            <v>LORETOMAYNASBELEN</v>
          </cell>
          <cell r="B1430" t="str">
            <v>16</v>
          </cell>
          <cell r="C1430" t="str">
            <v>01</v>
          </cell>
          <cell r="D1430" t="str">
            <v>12</v>
          </cell>
          <cell r="E1430" t="str">
            <v>LORETO</v>
          </cell>
          <cell r="F1430" t="str">
            <v>MAYNAS</v>
          </cell>
          <cell r="G1430" t="str">
            <v>BELEN</v>
          </cell>
          <cell r="H1430" t="str">
            <v>011422</v>
          </cell>
          <cell r="I1430" t="str">
            <v>2</v>
          </cell>
        </row>
        <row r="1431">
          <cell r="A1431" t="str">
            <v>LORETOMAYNASSAN JUAN BAUTISTA</v>
          </cell>
          <cell r="B1431" t="str">
            <v>16</v>
          </cell>
          <cell r="C1431" t="str">
            <v>01</v>
          </cell>
          <cell r="D1431" t="str">
            <v>13</v>
          </cell>
          <cell r="E1431" t="str">
            <v>LORETO</v>
          </cell>
          <cell r="F1431" t="str">
            <v>MAYNAS</v>
          </cell>
          <cell r="G1431" t="str">
            <v>SAN JUAN BAUTISTA</v>
          </cell>
          <cell r="H1431" t="str">
            <v>012210</v>
          </cell>
          <cell r="I1431" t="str">
            <v>2</v>
          </cell>
        </row>
        <row r="1432">
          <cell r="A1432" t="str">
            <v>LORETOMAYNASTENIENTE MANUEL CLAVERO</v>
          </cell>
          <cell r="B1432" t="str">
            <v>16</v>
          </cell>
          <cell r="C1432" t="str">
            <v>01</v>
          </cell>
          <cell r="D1432" t="str">
            <v>14</v>
          </cell>
          <cell r="E1432" t="str">
            <v>LORETO</v>
          </cell>
          <cell r="F1432" t="str">
            <v>MAYNAS</v>
          </cell>
          <cell r="G1432" t="str">
            <v>TENIENTE MANUEL CLAVERO</v>
          </cell>
          <cell r="H1432" t="str">
            <v>011433</v>
          </cell>
          <cell r="I1432" t="str">
            <v>2</v>
          </cell>
        </row>
        <row r="1433">
          <cell r="A1433" t="str">
            <v>LORETOALTO AMAZONASYURIMAGUAS</v>
          </cell>
          <cell r="B1433" t="str">
            <v>16</v>
          </cell>
          <cell r="C1433" t="str">
            <v>02</v>
          </cell>
          <cell r="D1433" t="str">
            <v>01</v>
          </cell>
          <cell r="E1433" t="str">
            <v>LORETO</v>
          </cell>
          <cell r="F1433" t="str">
            <v>ALTO AMAZONAS</v>
          </cell>
          <cell r="G1433" t="str">
            <v>YURIMAGUAS</v>
          </cell>
          <cell r="H1433" t="str">
            <v>011459</v>
          </cell>
          <cell r="I1433" t="str">
            <v>1</v>
          </cell>
        </row>
        <row r="1434">
          <cell r="A1434" t="str">
            <v>LORETOALTO AMAZONASBALSAPUERTO</v>
          </cell>
          <cell r="B1434" t="str">
            <v>16</v>
          </cell>
          <cell r="C1434" t="str">
            <v>02</v>
          </cell>
          <cell r="D1434" t="str">
            <v>02</v>
          </cell>
          <cell r="E1434" t="str">
            <v>LORETO</v>
          </cell>
          <cell r="F1434" t="str">
            <v>ALTO AMAZONAS</v>
          </cell>
          <cell r="G1434" t="str">
            <v>BALSAPUERTO</v>
          </cell>
          <cell r="H1434" t="str">
            <v>011460</v>
          </cell>
          <cell r="I1434" t="str">
            <v>2</v>
          </cell>
        </row>
        <row r="1435">
          <cell r="A1435" t="str">
            <v>LORETOALTO AMAZONASJEBEROS</v>
          </cell>
          <cell r="B1435" t="str">
            <v>16</v>
          </cell>
          <cell r="C1435" t="str">
            <v>02</v>
          </cell>
          <cell r="D1435" t="str">
            <v>05</v>
          </cell>
          <cell r="E1435" t="str">
            <v>LORETO</v>
          </cell>
          <cell r="F1435" t="str">
            <v>ALTO AMAZONAS</v>
          </cell>
          <cell r="G1435" t="str">
            <v>JEBEROS</v>
          </cell>
          <cell r="H1435" t="str">
            <v>011461</v>
          </cell>
          <cell r="I1435" t="str">
            <v>2</v>
          </cell>
        </row>
        <row r="1436">
          <cell r="A1436" t="str">
            <v>LORETOALTO AMAZONASLAGUNAS</v>
          </cell>
          <cell r="B1436" t="str">
            <v>16</v>
          </cell>
          <cell r="C1436" t="str">
            <v>02</v>
          </cell>
          <cell r="D1436" t="str">
            <v>06</v>
          </cell>
          <cell r="E1436" t="str">
            <v>LORETO</v>
          </cell>
          <cell r="F1436" t="str">
            <v>ALTO AMAZONAS</v>
          </cell>
          <cell r="G1436" t="str">
            <v>LAGUNAS</v>
          </cell>
          <cell r="H1436" t="str">
            <v>011462</v>
          </cell>
          <cell r="I1436" t="str">
            <v>2</v>
          </cell>
        </row>
        <row r="1437">
          <cell r="A1437" t="str">
            <v>LORETOALTO AMAZONASSANTA CRUZ</v>
          </cell>
          <cell r="B1437" t="str">
            <v>16</v>
          </cell>
          <cell r="C1437" t="str">
            <v>02</v>
          </cell>
          <cell r="D1437" t="str">
            <v>10</v>
          </cell>
          <cell r="E1437" t="str">
            <v>LORETO</v>
          </cell>
          <cell r="F1437" t="str">
            <v>ALTO AMAZONAS</v>
          </cell>
          <cell r="G1437" t="str">
            <v>SANTA CRUZ</v>
          </cell>
          <cell r="H1437" t="str">
            <v>011463</v>
          </cell>
          <cell r="I1437" t="str">
            <v>2</v>
          </cell>
        </row>
        <row r="1438">
          <cell r="A1438" t="str">
            <v>LORETOALTO AMAZONASTENIENTE CESAR LOPEZ ROJAS</v>
          </cell>
          <cell r="B1438" t="str">
            <v>16</v>
          </cell>
          <cell r="C1438" t="str">
            <v>02</v>
          </cell>
          <cell r="D1438" t="str">
            <v>11</v>
          </cell>
          <cell r="E1438" t="str">
            <v>LORETO</v>
          </cell>
          <cell r="F1438" t="str">
            <v>ALTO AMAZONAS</v>
          </cell>
          <cell r="G1438" t="str">
            <v>TENIENTE CESAR LOPEZ ROJAS</v>
          </cell>
          <cell r="H1438" t="str">
            <v>011464</v>
          </cell>
          <cell r="I1438" t="str">
            <v>2</v>
          </cell>
        </row>
        <row r="1439">
          <cell r="A1439" t="str">
            <v>LORETOLORETONAUTA</v>
          </cell>
          <cell r="B1439" t="str">
            <v>16</v>
          </cell>
          <cell r="C1439" t="str">
            <v>03</v>
          </cell>
          <cell r="D1439" t="str">
            <v>01</v>
          </cell>
          <cell r="E1439" t="str">
            <v>LORETO</v>
          </cell>
          <cell r="F1439" t="str">
            <v>LORETO</v>
          </cell>
          <cell r="G1439" t="str">
            <v>NAUTA</v>
          </cell>
          <cell r="H1439" t="str">
            <v>011434</v>
          </cell>
          <cell r="I1439" t="str">
            <v>1</v>
          </cell>
        </row>
        <row r="1440">
          <cell r="A1440" t="str">
            <v>LORETOLORETOPARINARI</v>
          </cell>
          <cell r="B1440" t="str">
            <v>16</v>
          </cell>
          <cell r="C1440" t="str">
            <v>03</v>
          </cell>
          <cell r="D1440" t="str">
            <v>02</v>
          </cell>
          <cell r="E1440" t="str">
            <v>LORETO</v>
          </cell>
          <cell r="F1440" t="str">
            <v>LORETO</v>
          </cell>
          <cell r="G1440" t="str">
            <v>PARINARI</v>
          </cell>
          <cell r="H1440" t="str">
            <v>012206</v>
          </cell>
          <cell r="I1440" t="str">
            <v>2</v>
          </cell>
        </row>
        <row r="1441">
          <cell r="A1441" t="str">
            <v>LORETOLORETOTIGRE</v>
          </cell>
          <cell r="B1441" t="str">
            <v>16</v>
          </cell>
          <cell r="C1441" t="str">
            <v>03</v>
          </cell>
          <cell r="D1441" t="str">
            <v>03</v>
          </cell>
          <cell r="E1441" t="str">
            <v>LORETO</v>
          </cell>
          <cell r="F1441" t="str">
            <v>LORETO</v>
          </cell>
          <cell r="G1441" t="str">
            <v>TIGRE</v>
          </cell>
          <cell r="H1441" t="str">
            <v>011436</v>
          </cell>
          <cell r="I1441" t="str">
            <v>2</v>
          </cell>
        </row>
        <row r="1442">
          <cell r="A1442" t="str">
            <v>LORETOLORETOTROMPETEROS</v>
          </cell>
          <cell r="B1442" t="str">
            <v>16</v>
          </cell>
          <cell r="C1442" t="str">
            <v>03</v>
          </cell>
          <cell r="D1442" t="str">
            <v>04</v>
          </cell>
          <cell r="E1442" t="str">
            <v>LORETO</v>
          </cell>
          <cell r="F1442" t="str">
            <v>LORETO</v>
          </cell>
          <cell r="G1442" t="str">
            <v>TROMPETEROS</v>
          </cell>
          <cell r="H1442" t="str">
            <v>011437</v>
          </cell>
          <cell r="I1442" t="str">
            <v>2</v>
          </cell>
        </row>
        <row r="1443">
          <cell r="A1443" t="str">
            <v>LORETOLORETOURARINAS</v>
          </cell>
          <cell r="B1443" t="str">
            <v>16</v>
          </cell>
          <cell r="C1443" t="str">
            <v>03</v>
          </cell>
          <cell r="D1443" t="str">
            <v>05</v>
          </cell>
          <cell r="E1443" t="str">
            <v>LORETO</v>
          </cell>
          <cell r="F1443" t="str">
            <v>LORETO</v>
          </cell>
          <cell r="G1443" t="str">
            <v>URARINAS</v>
          </cell>
          <cell r="H1443" t="str">
            <v>011438</v>
          </cell>
          <cell r="I1443" t="str">
            <v>2</v>
          </cell>
        </row>
        <row r="1444">
          <cell r="A1444" t="str">
            <v>LORETOMARISCAL RAMON CASTILLARAMON CASTILLA</v>
          </cell>
          <cell r="B1444" t="str">
            <v>16</v>
          </cell>
          <cell r="C1444" t="str">
            <v>04</v>
          </cell>
          <cell r="D1444" t="str">
            <v>01</v>
          </cell>
          <cell r="E1444" t="str">
            <v>LORETO</v>
          </cell>
          <cell r="F1444" t="str">
            <v>MARISCAL RAMON CASTILLA</v>
          </cell>
          <cell r="G1444" t="str">
            <v>RAMON CASTILLA</v>
          </cell>
          <cell r="H1444" t="str">
            <v>011439</v>
          </cell>
          <cell r="I1444" t="str">
            <v>1</v>
          </cell>
        </row>
        <row r="1445">
          <cell r="A1445" t="str">
            <v>LORETOMARISCAL RAMON CASTILLAPEBAS</v>
          </cell>
          <cell r="B1445" t="str">
            <v>16</v>
          </cell>
          <cell r="C1445" t="str">
            <v>04</v>
          </cell>
          <cell r="D1445" t="str">
            <v>02</v>
          </cell>
          <cell r="E1445" t="str">
            <v>LORETO</v>
          </cell>
          <cell r="F1445" t="str">
            <v>MARISCAL RAMON CASTILLA</v>
          </cell>
          <cell r="G1445" t="str">
            <v>PEBAS</v>
          </cell>
          <cell r="H1445" t="str">
            <v>011440</v>
          </cell>
          <cell r="I1445" t="str">
            <v>2</v>
          </cell>
        </row>
        <row r="1446">
          <cell r="A1446" t="str">
            <v>LORETOMARISCAL RAMON CASTILLAYAVARI</v>
          </cell>
          <cell r="B1446" t="str">
            <v>16</v>
          </cell>
          <cell r="C1446" t="str">
            <v>04</v>
          </cell>
          <cell r="D1446" t="str">
            <v>03</v>
          </cell>
          <cell r="E1446" t="str">
            <v>LORETO</v>
          </cell>
          <cell r="F1446" t="str">
            <v>MARISCAL RAMON CASTILLA</v>
          </cell>
          <cell r="G1446" t="str">
            <v>YAVARI</v>
          </cell>
          <cell r="H1446" t="str">
            <v>011441</v>
          </cell>
          <cell r="I1446" t="str">
            <v>2</v>
          </cell>
        </row>
        <row r="1447">
          <cell r="A1447" t="str">
            <v>LORETOMARISCAL RAMON CASTILLASAN PABLO</v>
          </cell>
          <cell r="B1447" t="str">
            <v>16</v>
          </cell>
          <cell r="C1447" t="str">
            <v>04</v>
          </cell>
          <cell r="D1447" t="str">
            <v>04</v>
          </cell>
          <cell r="E1447" t="str">
            <v>LORETO</v>
          </cell>
          <cell r="F1447" t="str">
            <v>MARISCAL RAMON CASTILLA</v>
          </cell>
          <cell r="G1447" t="str">
            <v>SAN PABLO</v>
          </cell>
          <cell r="H1447" t="str">
            <v>011442</v>
          </cell>
          <cell r="I1447" t="str">
            <v>2</v>
          </cell>
        </row>
        <row r="1448">
          <cell r="A1448" t="str">
            <v>LORETOREQUENAREQUENA</v>
          </cell>
          <cell r="B1448" t="str">
            <v>16</v>
          </cell>
          <cell r="C1448" t="str">
            <v>05</v>
          </cell>
          <cell r="D1448" t="str">
            <v>01</v>
          </cell>
          <cell r="E1448" t="str">
            <v>LORETO</v>
          </cell>
          <cell r="F1448" t="str">
            <v>REQUENA</v>
          </cell>
          <cell r="G1448" t="str">
            <v>REQUENA</v>
          </cell>
          <cell r="H1448" t="str">
            <v>011443</v>
          </cell>
          <cell r="I1448" t="str">
            <v>1</v>
          </cell>
        </row>
        <row r="1449">
          <cell r="A1449" t="str">
            <v>LORETOREQUENAALTO TAPICHE</v>
          </cell>
          <cell r="B1449" t="str">
            <v>16</v>
          </cell>
          <cell r="C1449" t="str">
            <v>05</v>
          </cell>
          <cell r="D1449" t="str">
            <v>02</v>
          </cell>
          <cell r="E1449" t="str">
            <v>LORETO</v>
          </cell>
          <cell r="F1449" t="str">
            <v>REQUENA</v>
          </cell>
          <cell r="G1449" t="str">
            <v>ALTO TAPICHE</v>
          </cell>
          <cell r="H1449" t="str">
            <v>011448</v>
          </cell>
          <cell r="I1449" t="str">
            <v>2</v>
          </cell>
        </row>
        <row r="1450">
          <cell r="A1450" t="str">
            <v>LORETOREQUENACAPELO</v>
          </cell>
          <cell r="B1450" t="str">
            <v>16</v>
          </cell>
          <cell r="C1450" t="str">
            <v>05</v>
          </cell>
          <cell r="D1450" t="str">
            <v>03</v>
          </cell>
          <cell r="E1450" t="str">
            <v>LORETO</v>
          </cell>
          <cell r="F1450" t="str">
            <v>REQUENA</v>
          </cell>
          <cell r="G1450" t="str">
            <v>CAPELO</v>
          </cell>
          <cell r="H1450" t="str">
            <v>011444</v>
          </cell>
          <cell r="I1450" t="str">
            <v>2</v>
          </cell>
        </row>
        <row r="1451">
          <cell r="A1451" t="str">
            <v>LORETOREQUENAEMILIO SAN MARTIN</v>
          </cell>
          <cell r="B1451" t="str">
            <v>16</v>
          </cell>
          <cell r="C1451" t="str">
            <v>05</v>
          </cell>
          <cell r="D1451" t="str">
            <v>04</v>
          </cell>
          <cell r="E1451" t="str">
            <v>LORETO</v>
          </cell>
          <cell r="F1451" t="str">
            <v>REQUENA</v>
          </cell>
          <cell r="G1451" t="str">
            <v>EMILIO SAN MARTIN</v>
          </cell>
          <cell r="H1451" t="str">
            <v>011449</v>
          </cell>
          <cell r="I1451" t="str">
            <v>2</v>
          </cell>
        </row>
        <row r="1452">
          <cell r="A1452" t="str">
            <v>LORETOREQUENAMAQUIA</v>
          </cell>
          <cell r="B1452" t="str">
            <v>16</v>
          </cell>
          <cell r="C1452" t="str">
            <v>05</v>
          </cell>
          <cell r="D1452" t="str">
            <v>05</v>
          </cell>
          <cell r="E1452" t="str">
            <v>LORETO</v>
          </cell>
          <cell r="F1452" t="str">
            <v>REQUENA</v>
          </cell>
          <cell r="G1452" t="str">
            <v>MAQUIA</v>
          </cell>
          <cell r="H1452" t="str">
            <v>012720</v>
          </cell>
          <cell r="I1452" t="str">
            <v>2</v>
          </cell>
        </row>
        <row r="1453">
          <cell r="A1453" t="str">
            <v>LORETOREQUENAPUINAHUA</v>
          </cell>
          <cell r="B1453" t="str">
            <v>16</v>
          </cell>
          <cell r="C1453" t="str">
            <v>05</v>
          </cell>
          <cell r="D1453" t="str">
            <v>06</v>
          </cell>
          <cell r="E1453" t="str">
            <v>LORETO</v>
          </cell>
          <cell r="F1453" t="str">
            <v>REQUENA</v>
          </cell>
          <cell r="G1453" t="str">
            <v>PUINAHUA</v>
          </cell>
          <cell r="H1453" t="str">
            <v>012207</v>
          </cell>
          <cell r="I1453" t="str">
            <v>2</v>
          </cell>
        </row>
        <row r="1454">
          <cell r="A1454" t="str">
            <v>LORETOREQUENASAQUENA</v>
          </cell>
          <cell r="B1454" t="str">
            <v>16</v>
          </cell>
          <cell r="C1454" t="str">
            <v>05</v>
          </cell>
          <cell r="D1454" t="str">
            <v>07</v>
          </cell>
          <cell r="E1454" t="str">
            <v>LORETO</v>
          </cell>
          <cell r="F1454" t="str">
            <v>REQUENA</v>
          </cell>
          <cell r="G1454" t="str">
            <v>SAQUENA</v>
          </cell>
          <cell r="H1454" t="str">
            <v>011446</v>
          </cell>
          <cell r="I1454" t="str">
            <v>2</v>
          </cell>
        </row>
        <row r="1455">
          <cell r="A1455" t="str">
            <v>LORETOREQUENASOPLIN</v>
          </cell>
          <cell r="B1455" t="str">
            <v>16</v>
          </cell>
          <cell r="C1455" t="str">
            <v>05</v>
          </cell>
          <cell r="D1455" t="str">
            <v>08</v>
          </cell>
          <cell r="E1455" t="str">
            <v>LORETO</v>
          </cell>
          <cell r="F1455" t="str">
            <v>REQUENA</v>
          </cell>
          <cell r="G1455" t="str">
            <v>SOPLIN</v>
          </cell>
          <cell r="H1455" t="str">
            <v>011451</v>
          </cell>
          <cell r="I1455" t="str">
            <v>2</v>
          </cell>
        </row>
        <row r="1456">
          <cell r="A1456" t="str">
            <v>LORETOREQUENATAPICHE</v>
          </cell>
          <cell r="B1456" t="str">
            <v>16</v>
          </cell>
          <cell r="C1456" t="str">
            <v>05</v>
          </cell>
          <cell r="D1456" t="str">
            <v>09</v>
          </cell>
          <cell r="E1456" t="str">
            <v>LORETO</v>
          </cell>
          <cell r="F1456" t="str">
            <v>REQUENA</v>
          </cell>
          <cell r="G1456" t="str">
            <v>TAPICHE</v>
          </cell>
          <cell r="H1456" t="str">
            <v>012718</v>
          </cell>
          <cell r="I1456" t="str">
            <v>2</v>
          </cell>
        </row>
        <row r="1457">
          <cell r="A1457" t="str">
            <v>LORETOREQUENAJENARO HERRERA</v>
          </cell>
          <cell r="B1457" t="str">
            <v>16</v>
          </cell>
          <cell r="C1457" t="str">
            <v>05</v>
          </cell>
          <cell r="D1457" t="str">
            <v>10</v>
          </cell>
          <cell r="E1457" t="str">
            <v>LORETO</v>
          </cell>
          <cell r="F1457" t="str">
            <v>REQUENA</v>
          </cell>
          <cell r="G1457" t="str">
            <v>JENARO HERRERA</v>
          </cell>
          <cell r="H1457" t="str">
            <v>011447</v>
          </cell>
          <cell r="I1457" t="str">
            <v>2</v>
          </cell>
        </row>
        <row r="1458">
          <cell r="A1458" t="str">
            <v>LORETOREQUENAYAQUERANA</v>
          </cell>
          <cell r="B1458" t="str">
            <v>16</v>
          </cell>
          <cell r="C1458" t="str">
            <v>05</v>
          </cell>
          <cell r="D1458" t="str">
            <v>11</v>
          </cell>
          <cell r="E1458" t="str">
            <v>LORETO</v>
          </cell>
          <cell r="F1458" t="str">
            <v>REQUENA</v>
          </cell>
          <cell r="G1458" t="str">
            <v>YAQUERANA</v>
          </cell>
          <cell r="H1458" t="str">
            <v>012722</v>
          </cell>
          <cell r="I1458" t="str">
            <v>2</v>
          </cell>
        </row>
        <row r="1459">
          <cell r="A1459" t="str">
            <v>LORETOUCAYALICONTAMANA</v>
          </cell>
          <cell r="B1459" t="str">
            <v>16</v>
          </cell>
          <cell r="C1459" t="str">
            <v>06</v>
          </cell>
          <cell r="D1459" t="str">
            <v>01</v>
          </cell>
          <cell r="E1459" t="str">
            <v>LORETO</v>
          </cell>
          <cell r="F1459" t="str">
            <v>UCAYALI</v>
          </cell>
          <cell r="G1459" t="str">
            <v>CONTAMANA</v>
          </cell>
          <cell r="H1459" t="str">
            <v>011453</v>
          </cell>
          <cell r="I1459" t="str">
            <v>1</v>
          </cell>
        </row>
        <row r="1460">
          <cell r="A1460" t="str">
            <v>LORETOUCAYALIINAHUAYA</v>
          </cell>
          <cell r="B1460" t="str">
            <v>16</v>
          </cell>
          <cell r="C1460" t="str">
            <v>06</v>
          </cell>
          <cell r="D1460" t="str">
            <v>02</v>
          </cell>
          <cell r="E1460" t="str">
            <v>LORETO</v>
          </cell>
          <cell r="F1460" t="str">
            <v>UCAYALI</v>
          </cell>
          <cell r="G1460" t="str">
            <v>INAHUAYA</v>
          </cell>
          <cell r="H1460" t="str">
            <v>011454</v>
          </cell>
          <cell r="I1460" t="str">
            <v>2</v>
          </cell>
        </row>
        <row r="1461">
          <cell r="A1461" t="str">
            <v>LORETOUCAYALIPADRE MARQUEZ</v>
          </cell>
          <cell r="B1461" t="str">
            <v>16</v>
          </cell>
          <cell r="C1461" t="str">
            <v>06</v>
          </cell>
          <cell r="D1461" t="str">
            <v>03</v>
          </cell>
          <cell r="E1461" t="str">
            <v>LORETO</v>
          </cell>
          <cell r="F1461" t="str">
            <v>UCAYALI</v>
          </cell>
          <cell r="G1461" t="str">
            <v>PADRE MARQUEZ</v>
          </cell>
          <cell r="H1461" t="str">
            <v>011455</v>
          </cell>
          <cell r="I1461" t="str">
            <v>2</v>
          </cell>
        </row>
        <row r="1462">
          <cell r="A1462" t="str">
            <v>LORETOUCAYALIPAMPA HERMOSA</v>
          </cell>
          <cell r="B1462" t="str">
            <v>16</v>
          </cell>
          <cell r="C1462" t="str">
            <v>06</v>
          </cell>
          <cell r="D1462" t="str">
            <v>04</v>
          </cell>
          <cell r="E1462" t="str">
            <v>LORETO</v>
          </cell>
          <cell r="F1462" t="str">
            <v>UCAYALI</v>
          </cell>
          <cell r="G1462" t="str">
            <v>PAMPA HERMOSA</v>
          </cell>
          <cell r="H1462" t="str">
            <v>011456</v>
          </cell>
          <cell r="I1462" t="str">
            <v>2</v>
          </cell>
        </row>
        <row r="1463">
          <cell r="A1463" t="str">
            <v>LORETOUCAYALISARAYACU</v>
          </cell>
          <cell r="B1463" t="str">
            <v>16</v>
          </cell>
          <cell r="C1463" t="str">
            <v>06</v>
          </cell>
          <cell r="D1463" t="str">
            <v>05</v>
          </cell>
          <cell r="E1463" t="str">
            <v>LORETO</v>
          </cell>
          <cell r="F1463" t="str">
            <v>UCAYALI</v>
          </cell>
          <cell r="G1463" t="str">
            <v>SARAYACU</v>
          </cell>
          <cell r="H1463" t="str">
            <v>012204</v>
          </cell>
          <cell r="I1463" t="str">
            <v>2</v>
          </cell>
        </row>
        <row r="1464">
          <cell r="A1464" t="str">
            <v>LORETOUCAYALIVARGAS GUERRA</v>
          </cell>
          <cell r="B1464" t="str">
            <v>16</v>
          </cell>
          <cell r="C1464" t="str">
            <v>06</v>
          </cell>
          <cell r="D1464" t="str">
            <v>06</v>
          </cell>
          <cell r="E1464" t="str">
            <v>LORETO</v>
          </cell>
          <cell r="F1464" t="str">
            <v>UCAYALI</v>
          </cell>
          <cell r="G1464" t="str">
            <v>VARGAS GUERRA</v>
          </cell>
          <cell r="H1464" t="str">
            <v>011458</v>
          </cell>
          <cell r="I1464" t="str">
            <v>2</v>
          </cell>
        </row>
        <row r="1465">
          <cell r="A1465" t="str">
            <v>LORETODATEM DEL MARAÑONBARRANCA</v>
          </cell>
          <cell r="B1465" t="str">
            <v>16</v>
          </cell>
          <cell r="C1465" t="str">
            <v>07</v>
          </cell>
          <cell r="D1465" t="str">
            <v>01</v>
          </cell>
          <cell r="E1465" t="str">
            <v>LORETO</v>
          </cell>
          <cell r="F1465" t="str">
            <v>DATEM DEL MARAÑON</v>
          </cell>
          <cell r="G1465" t="str">
            <v>BARRANCA</v>
          </cell>
          <cell r="H1465" t="str">
            <v>012721</v>
          </cell>
          <cell r="I1465" t="str">
            <v>1</v>
          </cell>
        </row>
        <row r="1466">
          <cell r="A1466" t="str">
            <v>LORETODATEM DEL MARAÑONCAHUAPANAS</v>
          </cell>
          <cell r="B1466" t="str">
            <v>16</v>
          </cell>
          <cell r="C1466" t="str">
            <v>07</v>
          </cell>
          <cell r="D1466" t="str">
            <v>02</v>
          </cell>
          <cell r="E1466" t="str">
            <v>LORETO</v>
          </cell>
          <cell r="F1466" t="str">
            <v>DATEM DEL MARAÑON</v>
          </cell>
          <cell r="G1466" t="str">
            <v>CAHUAPANAS</v>
          </cell>
          <cell r="H1466" t="str">
            <v>011466</v>
          </cell>
          <cell r="I1466" t="str">
            <v>2</v>
          </cell>
        </row>
        <row r="1467">
          <cell r="A1467" t="str">
            <v>LORETODATEM DEL MARAÑONMANSERICHE</v>
          </cell>
          <cell r="B1467" t="str">
            <v>16</v>
          </cell>
          <cell r="C1467" t="str">
            <v>07</v>
          </cell>
          <cell r="D1467" t="str">
            <v>03</v>
          </cell>
          <cell r="E1467" t="str">
            <v>LORETO</v>
          </cell>
          <cell r="F1467" t="str">
            <v>DATEM DEL MARAÑON</v>
          </cell>
          <cell r="G1467" t="str">
            <v>MANSERICHE</v>
          </cell>
          <cell r="H1467" t="str">
            <v>011467</v>
          </cell>
          <cell r="I1467" t="str">
            <v>2</v>
          </cell>
        </row>
        <row r="1468">
          <cell r="A1468" t="str">
            <v>LORETODATEM DEL MARAÑONMORONA</v>
          </cell>
          <cell r="B1468" t="str">
            <v>16</v>
          </cell>
          <cell r="C1468" t="str">
            <v>07</v>
          </cell>
          <cell r="D1468" t="str">
            <v>04</v>
          </cell>
          <cell r="E1468" t="str">
            <v>LORETO</v>
          </cell>
          <cell r="F1468" t="str">
            <v>DATEM DEL MARAÑON</v>
          </cell>
          <cell r="G1468" t="str">
            <v>MORONA</v>
          </cell>
          <cell r="H1468" t="str">
            <v>012205</v>
          </cell>
          <cell r="I1468" t="str">
            <v>2</v>
          </cell>
        </row>
        <row r="1469">
          <cell r="A1469" t="str">
            <v>LORETODATEM DEL MARAÑONPASTAZA</v>
          </cell>
          <cell r="B1469" t="str">
            <v>16</v>
          </cell>
          <cell r="C1469" t="str">
            <v>07</v>
          </cell>
          <cell r="D1469" t="str">
            <v>05</v>
          </cell>
          <cell r="E1469" t="str">
            <v>LORETO</v>
          </cell>
          <cell r="F1469" t="str">
            <v>DATEM DEL MARAÑON</v>
          </cell>
          <cell r="G1469" t="str">
            <v>PASTAZA</v>
          </cell>
          <cell r="H1469" t="str">
            <v>011469</v>
          </cell>
          <cell r="I1469" t="str">
            <v>2</v>
          </cell>
        </row>
        <row r="1470">
          <cell r="A1470" t="str">
            <v>LORETODATEM DEL MARAÑONANDOAS</v>
          </cell>
          <cell r="B1470" t="str">
            <v>16</v>
          </cell>
          <cell r="C1470" t="str">
            <v>07</v>
          </cell>
          <cell r="D1470" t="str">
            <v>06</v>
          </cell>
          <cell r="E1470" t="str">
            <v>LORETO</v>
          </cell>
          <cell r="F1470" t="str">
            <v>DATEM DEL MARAÑON</v>
          </cell>
          <cell r="G1470" t="str">
            <v>ANDOAS</v>
          </cell>
          <cell r="H1470" t="str">
            <v>011470</v>
          </cell>
          <cell r="I1470" t="str">
            <v>2</v>
          </cell>
        </row>
        <row r="1471">
          <cell r="A1471" t="str">
            <v>MADRE DE DIOSTAMBOPATATAMBOPATA</v>
          </cell>
          <cell r="B1471" t="str">
            <v>17</v>
          </cell>
          <cell r="C1471" t="str">
            <v>01</v>
          </cell>
          <cell r="D1471" t="str">
            <v>01</v>
          </cell>
          <cell r="E1471" t="str">
            <v>MADRE DE DIOS</v>
          </cell>
          <cell r="F1471" t="str">
            <v>TAMBOPATA</v>
          </cell>
          <cell r="G1471" t="str">
            <v>TAMBOPATA</v>
          </cell>
          <cell r="H1471" t="str">
            <v>011471</v>
          </cell>
          <cell r="I1471" t="str">
            <v>1</v>
          </cell>
        </row>
        <row r="1472">
          <cell r="A1472" t="str">
            <v>MADRE DE DIOSTAMBOPATAINAMBARI</v>
          </cell>
          <cell r="B1472" t="str">
            <v>17</v>
          </cell>
          <cell r="C1472" t="str">
            <v>01</v>
          </cell>
          <cell r="D1472" t="str">
            <v>02</v>
          </cell>
          <cell r="E1472" t="str">
            <v>MADRE DE DIOS</v>
          </cell>
          <cell r="F1472" t="str">
            <v>TAMBOPATA</v>
          </cell>
          <cell r="G1472" t="str">
            <v>INAMBARI</v>
          </cell>
          <cell r="H1472" t="str">
            <v>011472</v>
          </cell>
          <cell r="I1472" t="str">
            <v>2</v>
          </cell>
        </row>
        <row r="1473">
          <cell r="A1473" t="str">
            <v>MADRE DE DIOSTAMBOPATALAS PIEDRAS</v>
          </cell>
          <cell r="B1473" t="str">
            <v>17</v>
          </cell>
          <cell r="C1473" t="str">
            <v>01</v>
          </cell>
          <cell r="D1473" t="str">
            <v>03</v>
          </cell>
          <cell r="E1473" t="str">
            <v>MADRE DE DIOS</v>
          </cell>
          <cell r="F1473" t="str">
            <v>TAMBOPATA</v>
          </cell>
          <cell r="G1473" t="str">
            <v>LAS PIEDRAS</v>
          </cell>
          <cell r="H1473" t="str">
            <v>011473</v>
          </cell>
          <cell r="I1473" t="str">
            <v>2</v>
          </cell>
        </row>
        <row r="1474">
          <cell r="A1474" t="str">
            <v>MADRE DE DIOSTAMBOPATALABERINTO</v>
          </cell>
          <cell r="B1474" t="str">
            <v>17</v>
          </cell>
          <cell r="C1474" t="str">
            <v>01</v>
          </cell>
          <cell r="D1474" t="str">
            <v>04</v>
          </cell>
          <cell r="E1474" t="str">
            <v>MADRE DE DIOS</v>
          </cell>
          <cell r="F1474" t="str">
            <v>TAMBOPATA</v>
          </cell>
          <cell r="G1474" t="str">
            <v>LABERINTO</v>
          </cell>
          <cell r="H1474" t="str">
            <v>011474</v>
          </cell>
          <cell r="I1474" t="str">
            <v>2</v>
          </cell>
        </row>
        <row r="1475">
          <cell r="A1475" t="str">
            <v>MADRE DE DIOSMANUMANU</v>
          </cell>
          <cell r="B1475" t="str">
            <v>17</v>
          </cell>
          <cell r="C1475" t="str">
            <v>02</v>
          </cell>
          <cell r="D1475" t="str">
            <v>01</v>
          </cell>
          <cell r="E1475" t="str">
            <v>MADRE DE DIOS</v>
          </cell>
          <cell r="F1475" t="str">
            <v>MANU</v>
          </cell>
          <cell r="G1475" t="str">
            <v>MANU</v>
          </cell>
          <cell r="H1475" t="str">
            <v>012043</v>
          </cell>
          <cell r="I1475" t="str">
            <v>1</v>
          </cell>
        </row>
        <row r="1476">
          <cell r="A1476" t="str">
            <v>MADRE DE DIOSMANUFITZCARRALD</v>
          </cell>
          <cell r="B1476" t="str">
            <v>17</v>
          </cell>
          <cell r="C1476" t="str">
            <v>02</v>
          </cell>
          <cell r="D1476" t="str">
            <v>02</v>
          </cell>
          <cell r="E1476" t="str">
            <v>MADRE DE DIOS</v>
          </cell>
          <cell r="F1476" t="str">
            <v>MANU</v>
          </cell>
          <cell r="G1476" t="str">
            <v>FITZCARRALD</v>
          </cell>
          <cell r="H1476" t="str">
            <v>012960</v>
          </cell>
          <cell r="I1476" t="str">
            <v>2</v>
          </cell>
        </row>
        <row r="1477">
          <cell r="A1477" t="str">
            <v>MADRE DE DIOSMANUMADRE DE DIOS</v>
          </cell>
          <cell r="B1477" t="str">
            <v>17</v>
          </cell>
          <cell r="C1477" t="str">
            <v>02</v>
          </cell>
          <cell r="D1477" t="str">
            <v>03</v>
          </cell>
          <cell r="E1477" t="str">
            <v>MADRE DE DIOS</v>
          </cell>
          <cell r="F1477" t="str">
            <v>MANU</v>
          </cell>
          <cell r="G1477" t="str">
            <v>MADRE DE DIOS</v>
          </cell>
          <cell r="H1477" t="str">
            <v>011477</v>
          </cell>
          <cell r="I1477" t="str">
            <v>2</v>
          </cell>
        </row>
        <row r="1478">
          <cell r="A1478" t="str">
            <v>MADRE DE DIOSMANUHUEPETUHE</v>
          </cell>
          <cell r="B1478" t="str">
            <v>17</v>
          </cell>
          <cell r="C1478" t="str">
            <v>02</v>
          </cell>
          <cell r="D1478" t="str">
            <v>04</v>
          </cell>
          <cell r="E1478" t="str">
            <v>MADRE DE DIOS</v>
          </cell>
          <cell r="F1478" t="str">
            <v>MANU</v>
          </cell>
          <cell r="G1478" t="str">
            <v>HUEPETUHE</v>
          </cell>
          <cell r="H1478" t="str">
            <v>011478</v>
          </cell>
          <cell r="I1478" t="str">
            <v>2</v>
          </cell>
        </row>
        <row r="1479">
          <cell r="A1479" t="str">
            <v>MADRE DE DIOSTAHUAMANUIÑAPARI</v>
          </cell>
          <cell r="B1479" t="str">
            <v>17</v>
          </cell>
          <cell r="C1479" t="str">
            <v>03</v>
          </cell>
          <cell r="D1479" t="str">
            <v>01</v>
          </cell>
          <cell r="E1479" t="str">
            <v>MADRE DE DIOS</v>
          </cell>
          <cell r="F1479" t="str">
            <v>TAHUAMANU</v>
          </cell>
          <cell r="G1479" t="str">
            <v>IÑAPARI</v>
          </cell>
          <cell r="H1479" t="str">
            <v>011479</v>
          </cell>
          <cell r="I1479" t="str">
            <v>1</v>
          </cell>
        </row>
        <row r="1480">
          <cell r="A1480" t="str">
            <v>MADRE DE DIOSTAHUAMANUIBERIA</v>
          </cell>
          <cell r="B1480" t="str">
            <v>17</v>
          </cell>
          <cell r="C1480" t="str">
            <v>03</v>
          </cell>
          <cell r="D1480" t="str">
            <v>02</v>
          </cell>
          <cell r="E1480" t="str">
            <v>MADRE DE DIOS</v>
          </cell>
          <cell r="F1480" t="str">
            <v>TAHUAMANU</v>
          </cell>
          <cell r="G1480" t="str">
            <v>IBERIA</v>
          </cell>
          <cell r="H1480" t="str">
            <v>011480</v>
          </cell>
          <cell r="I1480" t="str">
            <v>2</v>
          </cell>
        </row>
        <row r="1481">
          <cell r="A1481" t="str">
            <v>MADRE DE DIOSTAHUAMANUTAHUAMANU</v>
          </cell>
          <cell r="B1481" t="str">
            <v>17</v>
          </cell>
          <cell r="C1481" t="str">
            <v>03</v>
          </cell>
          <cell r="D1481" t="str">
            <v>03</v>
          </cell>
          <cell r="E1481" t="str">
            <v>MADRE DE DIOS</v>
          </cell>
          <cell r="F1481" t="str">
            <v>TAHUAMANU</v>
          </cell>
          <cell r="G1481" t="str">
            <v>TAHUAMANU</v>
          </cell>
          <cell r="H1481" t="str">
            <v>011481</v>
          </cell>
          <cell r="I1481" t="str">
            <v>2</v>
          </cell>
        </row>
        <row r="1482">
          <cell r="A1482" t="str">
            <v>MOQUEGUAMARISCAL NIETOMOQUEGUA</v>
          </cell>
          <cell r="B1482" t="str">
            <v>18</v>
          </cell>
          <cell r="C1482" t="str">
            <v>01</v>
          </cell>
          <cell r="D1482" t="str">
            <v>01</v>
          </cell>
          <cell r="E1482" t="str">
            <v>MOQUEGUA</v>
          </cell>
          <cell r="F1482" t="str">
            <v>MARISCAL NIETO</v>
          </cell>
          <cell r="G1482" t="str">
            <v>MOQUEGUA</v>
          </cell>
          <cell r="H1482" t="str">
            <v>011482</v>
          </cell>
          <cell r="I1482" t="str">
            <v>1</v>
          </cell>
        </row>
        <row r="1483">
          <cell r="A1483" t="str">
            <v>MOQUEGUAMARISCAL NIETOCARUMAS</v>
          </cell>
          <cell r="B1483" t="str">
            <v>18</v>
          </cell>
          <cell r="C1483" t="str">
            <v>01</v>
          </cell>
          <cell r="D1483" t="str">
            <v>02</v>
          </cell>
          <cell r="E1483" t="str">
            <v>MOQUEGUA</v>
          </cell>
          <cell r="F1483" t="str">
            <v>MARISCAL NIETO</v>
          </cell>
          <cell r="G1483" t="str">
            <v>CARUMAS</v>
          </cell>
          <cell r="H1483" t="str">
            <v>011483</v>
          </cell>
          <cell r="I1483" t="str">
            <v>2</v>
          </cell>
        </row>
        <row r="1484">
          <cell r="A1484" t="str">
            <v>MOQUEGUAMARISCAL NIETOCUCHUMBAYA</v>
          </cell>
          <cell r="B1484" t="str">
            <v>18</v>
          </cell>
          <cell r="C1484" t="str">
            <v>01</v>
          </cell>
          <cell r="D1484" t="str">
            <v>03</v>
          </cell>
          <cell r="E1484" t="str">
            <v>MOQUEGUA</v>
          </cell>
          <cell r="F1484" t="str">
            <v>MARISCAL NIETO</v>
          </cell>
          <cell r="G1484" t="str">
            <v>CUCHUMBAYA</v>
          </cell>
          <cell r="H1484" t="str">
            <v>011484</v>
          </cell>
          <cell r="I1484" t="str">
            <v>2</v>
          </cell>
        </row>
        <row r="1485">
          <cell r="A1485" t="str">
            <v>MOQUEGUAMARISCAL NIETOSAMEGUA</v>
          </cell>
          <cell r="B1485" t="str">
            <v>18</v>
          </cell>
          <cell r="C1485" t="str">
            <v>01</v>
          </cell>
          <cell r="D1485" t="str">
            <v>04</v>
          </cell>
          <cell r="E1485" t="str">
            <v>MOQUEGUA</v>
          </cell>
          <cell r="F1485" t="str">
            <v>MARISCAL NIETO</v>
          </cell>
          <cell r="G1485" t="str">
            <v>SAMEGUA</v>
          </cell>
          <cell r="H1485" t="str">
            <v>011485</v>
          </cell>
          <cell r="I1485" t="str">
            <v>2</v>
          </cell>
        </row>
        <row r="1486">
          <cell r="A1486" t="str">
            <v>MOQUEGUAMARISCAL NIETOSAN CRISTOBAL</v>
          </cell>
          <cell r="B1486" t="str">
            <v>18</v>
          </cell>
          <cell r="C1486" t="str">
            <v>01</v>
          </cell>
          <cell r="D1486" t="str">
            <v>05</v>
          </cell>
          <cell r="E1486" t="str">
            <v>MOQUEGUA</v>
          </cell>
          <cell r="F1486" t="str">
            <v>MARISCAL NIETO</v>
          </cell>
          <cell r="G1486" t="str">
            <v>SAN CRISTOBAL</v>
          </cell>
          <cell r="H1486" t="str">
            <v>011486</v>
          </cell>
          <cell r="I1486" t="str">
            <v>2</v>
          </cell>
        </row>
        <row r="1487">
          <cell r="A1487" t="str">
            <v>MOQUEGUAMARISCAL NIETOTORATA</v>
          </cell>
          <cell r="B1487" t="str">
            <v>18</v>
          </cell>
          <cell r="C1487" t="str">
            <v>01</v>
          </cell>
          <cell r="D1487" t="str">
            <v>06</v>
          </cell>
          <cell r="E1487" t="str">
            <v>MOQUEGUA</v>
          </cell>
          <cell r="F1487" t="str">
            <v>MARISCAL NIETO</v>
          </cell>
          <cell r="G1487" t="str">
            <v>TORATA</v>
          </cell>
          <cell r="H1487" t="str">
            <v>012523</v>
          </cell>
          <cell r="I1487" t="str">
            <v>2</v>
          </cell>
        </row>
        <row r="1488">
          <cell r="A1488" t="str">
            <v>MOQUEGUAGENERAL SANCHEZ CERROOMATE</v>
          </cell>
          <cell r="B1488" t="str">
            <v>18</v>
          </cell>
          <cell r="C1488" t="str">
            <v>02</v>
          </cell>
          <cell r="D1488" t="str">
            <v>01</v>
          </cell>
          <cell r="E1488" t="str">
            <v>MOQUEGUA</v>
          </cell>
          <cell r="F1488" t="str">
            <v>GENERAL SANCHEZ CERRO</v>
          </cell>
          <cell r="G1488" t="str">
            <v>OMATE</v>
          </cell>
          <cell r="H1488" t="str">
            <v>011488</v>
          </cell>
          <cell r="I1488" t="str">
            <v>1</v>
          </cell>
        </row>
        <row r="1489">
          <cell r="A1489" t="str">
            <v>MOQUEGUAGENERAL SANCHEZ CERROCHOJATA</v>
          </cell>
          <cell r="B1489" t="str">
            <v>18</v>
          </cell>
          <cell r="C1489" t="str">
            <v>02</v>
          </cell>
          <cell r="D1489" t="str">
            <v>02</v>
          </cell>
          <cell r="E1489" t="str">
            <v>MOQUEGUA</v>
          </cell>
          <cell r="F1489" t="str">
            <v>GENERAL SANCHEZ CERRO</v>
          </cell>
          <cell r="G1489" t="str">
            <v>CHOJATA</v>
          </cell>
          <cell r="H1489" t="str">
            <v>011489</v>
          </cell>
          <cell r="I1489" t="str">
            <v>2</v>
          </cell>
        </row>
        <row r="1490">
          <cell r="A1490" t="str">
            <v>MOQUEGUAGENERAL SANCHEZ CERROCOALAQUE</v>
          </cell>
          <cell r="B1490" t="str">
            <v>18</v>
          </cell>
          <cell r="C1490" t="str">
            <v>02</v>
          </cell>
          <cell r="D1490" t="str">
            <v>03</v>
          </cell>
          <cell r="E1490" t="str">
            <v>MOQUEGUA</v>
          </cell>
          <cell r="F1490" t="str">
            <v>GENERAL SANCHEZ CERRO</v>
          </cell>
          <cell r="G1490" t="str">
            <v>COALAQUE</v>
          </cell>
          <cell r="H1490" t="str">
            <v>012219</v>
          </cell>
          <cell r="I1490" t="str">
            <v>2</v>
          </cell>
        </row>
        <row r="1491">
          <cell r="A1491" t="str">
            <v>MOQUEGUAGENERAL SANCHEZ CERROICHUÑA</v>
          </cell>
          <cell r="B1491" t="str">
            <v>18</v>
          </cell>
          <cell r="C1491" t="str">
            <v>02</v>
          </cell>
          <cell r="D1491" t="str">
            <v>04</v>
          </cell>
          <cell r="E1491" t="str">
            <v>MOQUEGUA</v>
          </cell>
          <cell r="F1491" t="str">
            <v>GENERAL SANCHEZ CERRO</v>
          </cell>
          <cell r="G1491" t="str">
            <v>ICHUÑA</v>
          </cell>
          <cell r="H1491" t="str">
            <v>012218</v>
          </cell>
          <cell r="I1491" t="str">
            <v>2</v>
          </cell>
        </row>
        <row r="1492">
          <cell r="A1492" t="str">
            <v>MOQUEGUAGENERAL SANCHEZ CERROLA CAPILLA</v>
          </cell>
          <cell r="B1492" t="str">
            <v>18</v>
          </cell>
          <cell r="C1492" t="str">
            <v>02</v>
          </cell>
          <cell r="D1492" t="str">
            <v>05</v>
          </cell>
          <cell r="E1492" t="str">
            <v>MOQUEGUA</v>
          </cell>
          <cell r="F1492" t="str">
            <v>GENERAL SANCHEZ CERRO</v>
          </cell>
          <cell r="G1492" t="str">
            <v>LA CAPILLA</v>
          </cell>
          <cell r="H1492" t="str">
            <v>011492</v>
          </cell>
          <cell r="I1492" t="str">
            <v>2</v>
          </cell>
        </row>
        <row r="1493">
          <cell r="A1493" t="str">
            <v>MOQUEGUAGENERAL SANCHEZ CERROLLOQUE</v>
          </cell>
          <cell r="B1493" t="str">
            <v>18</v>
          </cell>
          <cell r="C1493" t="str">
            <v>02</v>
          </cell>
          <cell r="D1493" t="str">
            <v>06</v>
          </cell>
          <cell r="E1493" t="str">
            <v>MOQUEGUA</v>
          </cell>
          <cell r="F1493" t="str">
            <v>GENERAL SANCHEZ CERRO</v>
          </cell>
          <cell r="G1493" t="str">
            <v>LLOQUE</v>
          </cell>
          <cell r="H1493" t="str">
            <v>011493</v>
          </cell>
          <cell r="I1493" t="str">
            <v>2</v>
          </cell>
        </row>
        <row r="1494">
          <cell r="A1494" t="str">
            <v>MOQUEGUAGENERAL SANCHEZ CERROMATALAQUE</v>
          </cell>
          <cell r="B1494" t="str">
            <v>18</v>
          </cell>
          <cell r="C1494" t="str">
            <v>02</v>
          </cell>
          <cell r="D1494" t="str">
            <v>07</v>
          </cell>
          <cell r="E1494" t="str">
            <v>MOQUEGUA</v>
          </cell>
          <cell r="F1494" t="str">
            <v>GENERAL SANCHEZ CERRO</v>
          </cell>
          <cell r="G1494" t="str">
            <v>MATALAQUE</v>
          </cell>
          <cell r="H1494" t="str">
            <v>011494</v>
          </cell>
          <cell r="I1494" t="str">
            <v>2</v>
          </cell>
        </row>
        <row r="1495">
          <cell r="A1495" t="str">
            <v>MOQUEGUAGENERAL SANCHEZ CERROPUQUINA</v>
          </cell>
          <cell r="B1495" t="str">
            <v>18</v>
          </cell>
          <cell r="C1495" t="str">
            <v>02</v>
          </cell>
          <cell r="D1495" t="str">
            <v>08</v>
          </cell>
          <cell r="E1495" t="str">
            <v>MOQUEGUA</v>
          </cell>
          <cell r="F1495" t="str">
            <v>GENERAL SANCHEZ CERRO</v>
          </cell>
          <cell r="G1495" t="str">
            <v>PUQUINA</v>
          </cell>
          <cell r="H1495" t="str">
            <v>011495</v>
          </cell>
          <cell r="I1495" t="str">
            <v>2</v>
          </cell>
        </row>
        <row r="1496">
          <cell r="A1496" t="str">
            <v>MOQUEGUAGENERAL SANCHEZ CERROQUINISTAQUILLAS</v>
          </cell>
          <cell r="B1496" t="str">
            <v>18</v>
          </cell>
          <cell r="C1496" t="str">
            <v>02</v>
          </cell>
          <cell r="D1496" t="str">
            <v>09</v>
          </cell>
          <cell r="E1496" t="str">
            <v>MOQUEGUA</v>
          </cell>
          <cell r="F1496" t="str">
            <v>GENERAL SANCHEZ CERRO</v>
          </cell>
          <cell r="G1496" t="str">
            <v>QUINISTAQUILLAS</v>
          </cell>
          <cell r="H1496" t="str">
            <v>011496</v>
          </cell>
          <cell r="I1496" t="str">
            <v>2</v>
          </cell>
        </row>
        <row r="1497">
          <cell r="A1497" t="str">
            <v>MOQUEGUAGENERAL SANCHEZ CERROUBINAS</v>
          </cell>
          <cell r="B1497" t="str">
            <v>18</v>
          </cell>
          <cell r="C1497" t="str">
            <v>02</v>
          </cell>
          <cell r="D1497" t="str">
            <v>10</v>
          </cell>
          <cell r="E1497" t="str">
            <v>MOQUEGUA</v>
          </cell>
          <cell r="F1497" t="str">
            <v>GENERAL SANCHEZ CERRO</v>
          </cell>
          <cell r="G1497" t="str">
            <v>UBINAS</v>
          </cell>
          <cell r="H1497" t="str">
            <v>011497</v>
          </cell>
          <cell r="I1497" t="str">
            <v>2</v>
          </cell>
        </row>
        <row r="1498">
          <cell r="A1498" t="str">
            <v>MOQUEGUAGENERAL SANCHEZ CERROYUNGA</v>
          </cell>
          <cell r="B1498" t="str">
            <v>18</v>
          </cell>
          <cell r="C1498" t="str">
            <v>02</v>
          </cell>
          <cell r="D1498" t="str">
            <v>11</v>
          </cell>
          <cell r="E1498" t="str">
            <v>MOQUEGUA</v>
          </cell>
          <cell r="F1498" t="str">
            <v>GENERAL SANCHEZ CERRO</v>
          </cell>
          <cell r="G1498" t="str">
            <v>YUNGA</v>
          </cell>
          <cell r="H1498" t="str">
            <v>011498</v>
          </cell>
          <cell r="I1498" t="str">
            <v>2</v>
          </cell>
        </row>
        <row r="1499">
          <cell r="A1499" t="str">
            <v>MOQUEGUAILOILO</v>
          </cell>
          <cell r="B1499" t="str">
            <v>18</v>
          </cell>
          <cell r="C1499" t="str">
            <v>03</v>
          </cell>
          <cell r="D1499" t="str">
            <v>01</v>
          </cell>
          <cell r="E1499" t="str">
            <v>MOQUEGUA</v>
          </cell>
          <cell r="F1499" t="str">
            <v>ILO</v>
          </cell>
          <cell r="G1499" t="str">
            <v>ILO</v>
          </cell>
          <cell r="H1499" t="str">
            <v>011499</v>
          </cell>
          <cell r="I1499" t="str">
            <v>1</v>
          </cell>
        </row>
        <row r="1500">
          <cell r="A1500" t="str">
            <v>MOQUEGUAILOEL ALGARROBAL</v>
          </cell>
          <cell r="B1500" t="str">
            <v>18</v>
          </cell>
          <cell r="C1500" t="str">
            <v>03</v>
          </cell>
          <cell r="D1500" t="str">
            <v>02</v>
          </cell>
          <cell r="E1500" t="str">
            <v>MOQUEGUA</v>
          </cell>
          <cell r="F1500" t="str">
            <v>ILO</v>
          </cell>
          <cell r="G1500" t="str">
            <v>EL ALGARROBAL</v>
          </cell>
          <cell r="H1500" t="str">
            <v>011500</v>
          </cell>
          <cell r="I1500" t="str">
            <v>2</v>
          </cell>
        </row>
        <row r="1501">
          <cell r="A1501" t="str">
            <v>MOQUEGUAILOPACOCHA</v>
          </cell>
          <cell r="B1501" t="str">
            <v>18</v>
          </cell>
          <cell r="C1501" t="str">
            <v>03</v>
          </cell>
          <cell r="D1501" t="str">
            <v>03</v>
          </cell>
          <cell r="E1501" t="str">
            <v>MOQUEGUA</v>
          </cell>
          <cell r="F1501" t="str">
            <v>ILO</v>
          </cell>
          <cell r="G1501" t="str">
            <v>PACOCHA</v>
          </cell>
          <cell r="H1501" t="str">
            <v>012220</v>
          </cell>
          <cell r="I1501" t="str">
            <v>2</v>
          </cell>
        </row>
        <row r="1502">
          <cell r="A1502" t="str">
            <v>PASCOPASCOCHAUPIMARCA</v>
          </cell>
          <cell r="B1502" t="str">
            <v>19</v>
          </cell>
          <cell r="C1502" t="str">
            <v>01</v>
          </cell>
          <cell r="D1502" t="str">
            <v>01</v>
          </cell>
          <cell r="E1502" t="str">
            <v>PASCO</v>
          </cell>
          <cell r="F1502" t="str">
            <v>PASCO</v>
          </cell>
          <cell r="G1502" t="str">
            <v>CHAUPIMARCA</v>
          </cell>
          <cell r="H1502" t="str">
            <v>011502</v>
          </cell>
          <cell r="I1502" t="str">
            <v>1</v>
          </cell>
        </row>
        <row r="1503">
          <cell r="A1503" t="str">
            <v>PASCOPASCOHUACHON</v>
          </cell>
          <cell r="B1503" t="str">
            <v>19</v>
          </cell>
          <cell r="C1503" t="str">
            <v>01</v>
          </cell>
          <cell r="D1503" t="str">
            <v>02</v>
          </cell>
          <cell r="E1503" t="str">
            <v>PASCO</v>
          </cell>
          <cell r="F1503" t="str">
            <v>PASCO</v>
          </cell>
          <cell r="G1503" t="str">
            <v>HUACHON</v>
          </cell>
          <cell r="H1503" t="str">
            <v>011508</v>
          </cell>
          <cell r="I1503" t="str">
            <v>2</v>
          </cell>
        </row>
        <row r="1504">
          <cell r="A1504" t="str">
            <v>PASCOPASCOHUARIACA</v>
          </cell>
          <cell r="B1504" t="str">
            <v>19</v>
          </cell>
          <cell r="C1504" t="str">
            <v>01</v>
          </cell>
          <cell r="D1504" t="str">
            <v>03</v>
          </cell>
          <cell r="E1504" t="str">
            <v>PASCO</v>
          </cell>
          <cell r="F1504" t="str">
            <v>PASCO</v>
          </cell>
          <cell r="G1504" t="str">
            <v>HUARIACA</v>
          </cell>
          <cell r="H1504" t="str">
            <v>011509</v>
          </cell>
          <cell r="I1504" t="str">
            <v>2</v>
          </cell>
        </row>
        <row r="1505">
          <cell r="A1505" t="str">
            <v>PASCOPASCOHUAYLLAY</v>
          </cell>
          <cell r="B1505" t="str">
            <v>19</v>
          </cell>
          <cell r="C1505" t="str">
            <v>01</v>
          </cell>
          <cell r="D1505" t="str">
            <v>04</v>
          </cell>
          <cell r="E1505" t="str">
            <v>PASCO</v>
          </cell>
          <cell r="F1505" t="str">
            <v>PASCO</v>
          </cell>
          <cell r="G1505" t="str">
            <v>HUAYLLAY</v>
          </cell>
          <cell r="H1505" t="str">
            <v>011503</v>
          </cell>
          <cell r="I1505" t="str">
            <v>2</v>
          </cell>
        </row>
        <row r="1506">
          <cell r="A1506" t="str">
            <v>PASCOPASCONINACACA</v>
          </cell>
          <cell r="B1506" t="str">
            <v>19</v>
          </cell>
          <cell r="C1506" t="str">
            <v>01</v>
          </cell>
          <cell r="D1506" t="str">
            <v>05</v>
          </cell>
          <cell r="E1506" t="str">
            <v>PASCO</v>
          </cell>
          <cell r="F1506" t="str">
            <v>PASCO</v>
          </cell>
          <cell r="G1506" t="str">
            <v>NINACACA</v>
          </cell>
          <cell r="H1506" t="str">
            <v>012224</v>
          </cell>
          <cell r="I1506" t="str">
            <v>2</v>
          </cell>
        </row>
        <row r="1507">
          <cell r="A1507" t="str">
            <v>PASCOPASCOPALLANCHACRA</v>
          </cell>
          <cell r="B1507" t="str">
            <v>19</v>
          </cell>
          <cell r="C1507" t="str">
            <v>01</v>
          </cell>
          <cell r="D1507" t="str">
            <v>06</v>
          </cell>
          <cell r="E1507" t="str">
            <v>PASCO</v>
          </cell>
          <cell r="F1507" t="str">
            <v>PASCO</v>
          </cell>
          <cell r="G1507" t="str">
            <v>PALLANCHACRA</v>
          </cell>
          <cell r="H1507" t="str">
            <v>011511</v>
          </cell>
          <cell r="I1507" t="str">
            <v>2</v>
          </cell>
        </row>
        <row r="1508">
          <cell r="A1508" t="str">
            <v>PASCOPASCOPAUCARTAMBO</v>
          </cell>
          <cell r="B1508" t="str">
            <v>19</v>
          </cell>
          <cell r="C1508" t="str">
            <v>01</v>
          </cell>
          <cell r="D1508" t="str">
            <v>07</v>
          </cell>
          <cell r="E1508" t="str">
            <v>PASCO</v>
          </cell>
          <cell r="F1508" t="str">
            <v>PASCO</v>
          </cell>
          <cell r="G1508" t="str">
            <v>PAUCARTAMBO</v>
          </cell>
          <cell r="H1508" t="str">
            <v>011512</v>
          </cell>
          <cell r="I1508" t="str">
            <v>2</v>
          </cell>
        </row>
        <row r="1509">
          <cell r="A1509" t="str">
            <v>PASCOPASCOSAN FCO.DE ASIS DE YARUSYACAN</v>
          </cell>
          <cell r="B1509" t="str">
            <v>19</v>
          </cell>
          <cell r="C1509" t="str">
            <v>01</v>
          </cell>
          <cell r="D1509" t="str">
            <v>08</v>
          </cell>
          <cell r="E1509" t="str">
            <v>PASCO</v>
          </cell>
          <cell r="F1509" t="str">
            <v>PASCO</v>
          </cell>
          <cell r="G1509" t="str">
            <v>SAN FCO.DE ASIS DE YARUSYACAN</v>
          </cell>
          <cell r="H1509" t="str">
            <v>011513</v>
          </cell>
          <cell r="I1509" t="str">
            <v>2</v>
          </cell>
        </row>
        <row r="1510">
          <cell r="A1510" t="str">
            <v>PASCOPASCOSIMON BOLIVAR</v>
          </cell>
          <cell r="B1510" t="str">
            <v>19</v>
          </cell>
          <cell r="C1510" t="str">
            <v>01</v>
          </cell>
          <cell r="D1510" t="str">
            <v>09</v>
          </cell>
          <cell r="E1510" t="str">
            <v>PASCO</v>
          </cell>
          <cell r="F1510" t="str">
            <v>PASCO</v>
          </cell>
          <cell r="G1510" t="str">
            <v>SIMON BOLIVAR</v>
          </cell>
          <cell r="H1510" t="str">
            <v>011504</v>
          </cell>
          <cell r="I1510" t="str">
            <v>2</v>
          </cell>
        </row>
        <row r="1511">
          <cell r="A1511" t="str">
            <v>PASCOPASCOTICLACAYAN</v>
          </cell>
          <cell r="B1511" t="str">
            <v>19</v>
          </cell>
          <cell r="C1511" t="str">
            <v>01</v>
          </cell>
          <cell r="D1511" t="str">
            <v>10</v>
          </cell>
          <cell r="E1511" t="str">
            <v>PASCO</v>
          </cell>
          <cell r="F1511" t="str">
            <v>PASCO</v>
          </cell>
          <cell r="G1511" t="str">
            <v>TICLACAYAN</v>
          </cell>
          <cell r="H1511" t="str">
            <v>011514</v>
          </cell>
          <cell r="I1511" t="str">
            <v>2</v>
          </cell>
        </row>
        <row r="1512">
          <cell r="A1512" t="str">
            <v>PASCOPASCOTINYAHUARCO</v>
          </cell>
          <cell r="B1512" t="str">
            <v>19</v>
          </cell>
          <cell r="C1512" t="str">
            <v>01</v>
          </cell>
          <cell r="D1512" t="str">
            <v>11</v>
          </cell>
          <cell r="E1512" t="str">
            <v>PASCO</v>
          </cell>
          <cell r="F1512" t="str">
            <v>PASCO</v>
          </cell>
          <cell r="G1512" t="str">
            <v>TINYAHUARCO</v>
          </cell>
          <cell r="H1512" t="str">
            <v>011505</v>
          </cell>
          <cell r="I1512" t="str">
            <v>2</v>
          </cell>
        </row>
        <row r="1513">
          <cell r="A1513" t="str">
            <v>PASCOPASCOVICCO</v>
          </cell>
          <cell r="B1513" t="str">
            <v>19</v>
          </cell>
          <cell r="C1513" t="str">
            <v>01</v>
          </cell>
          <cell r="D1513" t="str">
            <v>12</v>
          </cell>
          <cell r="E1513" t="str">
            <v>PASCO</v>
          </cell>
          <cell r="F1513" t="str">
            <v>PASCO</v>
          </cell>
          <cell r="G1513" t="str">
            <v>VICCO</v>
          </cell>
          <cell r="H1513" t="str">
            <v>011506</v>
          </cell>
          <cell r="I1513" t="str">
            <v>2</v>
          </cell>
        </row>
        <row r="1514">
          <cell r="A1514" t="str">
            <v>PASCOPASCOYANACANCHA</v>
          </cell>
          <cell r="B1514" t="str">
            <v>19</v>
          </cell>
          <cell r="C1514" t="str">
            <v>01</v>
          </cell>
          <cell r="D1514" t="str">
            <v>13</v>
          </cell>
          <cell r="E1514" t="str">
            <v>PASCO</v>
          </cell>
          <cell r="F1514" t="str">
            <v>PASCO</v>
          </cell>
          <cell r="G1514" t="str">
            <v>YANACANCHA</v>
          </cell>
          <cell r="H1514" t="str">
            <v>011507</v>
          </cell>
          <cell r="I1514" t="str">
            <v>2</v>
          </cell>
        </row>
        <row r="1515">
          <cell r="A1515" t="str">
            <v>PASCODANIEL ALCIDES CARRIONYANAHUANCA</v>
          </cell>
          <cell r="B1515" t="str">
            <v>19</v>
          </cell>
          <cell r="C1515" t="str">
            <v>02</v>
          </cell>
          <cell r="D1515" t="str">
            <v>01</v>
          </cell>
          <cell r="E1515" t="str">
            <v>PASCO</v>
          </cell>
          <cell r="F1515" t="str">
            <v>DANIEL ALCIDES CARRION</v>
          </cell>
          <cell r="G1515" t="str">
            <v>YANAHUANCA</v>
          </cell>
          <cell r="H1515" t="str">
            <v>011515</v>
          </cell>
          <cell r="I1515" t="str">
            <v>1</v>
          </cell>
        </row>
        <row r="1516">
          <cell r="A1516" t="str">
            <v>PASCODANIEL ALCIDES CARRIONCHACAYAN</v>
          </cell>
          <cell r="B1516" t="str">
            <v>19</v>
          </cell>
          <cell r="C1516" t="str">
            <v>02</v>
          </cell>
          <cell r="D1516" t="str">
            <v>02</v>
          </cell>
          <cell r="E1516" t="str">
            <v>PASCO</v>
          </cell>
          <cell r="F1516" t="str">
            <v>DANIEL ALCIDES CARRION</v>
          </cell>
          <cell r="G1516" t="str">
            <v>CHACAYAN</v>
          </cell>
          <cell r="H1516" t="str">
            <v>011516</v>
          </cell>
          <cell r="I1516" t="str">
            <v>2</v>
          </cell>
        </row>
        <row r="1517">
          <cell r="A1517" t="str">
            <v>PASCODANIEL ALCIDES CARRIONGOYLLARISQUIZGA</v>
          </cell>
          <cell r="B1517" t="str">
            <v>19</v>
          </cell>
          <cell r="C1517" t="str">
            <v>02</v>
          </cell>
          <cell r="D1517" t="str">
            <v>03</v>
          </cell>
          <cell r="E1517" t="str">
            <v>PASCO</v>
          </cell>
          <cell r="F1517" t="str">
            <v>DANIEL ALCIDES CARRION</v>
          </cell>
          <cell r="G1517" t="str">
            <v>GOYLLARISQUIZGA</v>
          </cell>
          <cell r="H1517" t="str">
            <v>011517</v>
          </cell>
          <cell r="I1517" t="str">
            <v>2</v>
          </cell>
        </row>
        <row r="1518">
          <cell r="A1518" t="str">
            <v>PASCODANIEL ALCIDES CARRIONPAUCAR</v>
          </cell>
          <cell r="B1518" t="str">
            <v>19</v>
          </cell>
          <cell r="C1518" t="str">
            <v>02</v>
          </cell>
          <cell r="D1518" t="str">
            <v>04</v>
          </cell>
          <cell r="E1518" t="str">
            <v>PASCO</v>
          </cell>
          <cell r="F1518" t="str">
            <v>DANIEL ALCIDES CARRION</v>
          </cell>
          <cell r="G1518" t="str">
            <v>PAUCAR</v>
          </cell>
          <cell r="H1518" t="str">
            <v>011518</v>
          </cell>
          <cell r="I1518" t="str">
            <v>2</v>
          </cell>
        </row>
        <row r="1519">
          <cell r="A1519" t="str">
            <v>PASCODANIEL ALCIDES CARRIONSAN PEDRO DE PILLAO</v>
          </cell>
          <cell r="B1519" t="str">
            <v>19</v>
          </cell>
          <cell r="C1519" t="str">
            <v>02</v>
          </cell>
          <cell r="D1519" t="str">
            <v>05</v>
          </cell>
          <cell r="E1519" t="str">
            <v>PASCO</v>
          </cell>
          <cell r="F1519" t="str">
            <v>DANIEL ALCIDES CARRION</v>
          </cell>
          <cell r="G1519" t="str">
            <v>SAN PEDRO DE PILLAO</v>
          </cell>
          <cell r="H1519" t="str">
            <v>011519</v>
          </cell>
          <cell r="I1519" t="str">
            <v>2</v>
          </cell>
        </row>
        <row r="1520">
          <cell r="A1520" t="str">
            <v>PASCODANIEL ALCIDES CARRIONSANTA ANA DE TUSI</v>
          </cell>
          <cell r="B1520" t="str">
            <v>19</v>
          </cell>
          <cell r="C1520" t="str">
            <v>02</v>
          </cell>
          <cell r="D1520" t="str">
            <v>06</v>
          </cell>
          <cell r="E1520" t="str">
            <v>PASCO</v>
          </cell>
          <cell r="F1520" t="str">
            <v>DANIEL ALCIDES CARRION</v>
          </cell>
          <cell r="G1520" t="str">
            <v>SANTA ANA DE TUSI</v>
          </cell>
          <cell r="H1520" t="str">
            <v>012227</v>
          </cell>
          <cell r="I1520" t="str">
            <v>2</v>
          </cell>
        </row>
        <row r="1521">
          <cell r="A1521" t="str">
            <v>PASCODANIEL ALCIDES CARRIONTAPUC</v>
          </cell>
          <cell r="B1521" t="str">
            <v>19</v>
          </cell>
          <cell r="C1521" t="str">
            <v>02</v>
          </cell>
          <cell r="D1521" t="str">
            <v>07</v>
          </cell>
          <cell r="E1521" t="str">
            <v>PASCO</v>
          </cell>
          <cell r="F1521" t="str">
            <v>DANIEL ALCIDES CARRION</v>
          </cell>
          <cell r="G1521" t="str">
            <v>TAPUC</v>
          </cell>
          <cell r="H1521" t="str">
            <v>011521</v>
          </cell>
          <cell r="I1521" t="str">
            <v>2</v>
          </cell>
        </row>
        <row r="1522">
          <cell r="A1522" t="str">
            <v>PASCODANIEL ALCIDES CARRIONVILCABAMBA</v>
          </cell>
          <cell r="B1522" t="str">
            <v>19</v>
          </cell>
          <cell r="C1522" t="str">
            <v>02</v>
          </cell>
          <cell r="D1522" t="str">
            <v>08</v>
          </cell>
          <cell r="E1522" t="str">
            <v>PASCO</v>
          </cell>
          <cell r="F1522" t="str">
            <v>DANIEL ALCIDES CARRION</v>
          </cell>
          <cell r="G1522" t="str">
            <v>VILCABAMBA</v>
          </cell>
          <cell r="H1522" t="str">
            <v>011522</v>
          </cell>
          <cell r="I1522" t="str">
            <v>2</v>
          </cell>
        </row>
        <row r="1523">
          <cell r="A1523" t="str">
            <v>PASCOOXAPAMPAOXAPAMPA</v>
          </cell>
          <cell r="B1523" t="str">
            <v>19</v>
          </cell>
          <cell r="C1523" t="str">
            <v>03</v>
          </cell>
          <cell r="D1523" t="str">
            <v>01</v>
          </cell>
          <cell r="E1523" t="str">
            <v>PASCO</v>
          </cell>
          <cell r="F1523" t="str">
            <v>OXAPAMPA</v>
          </cell>
          <cell r="G1523" t="str">
            <v>OXAPAMPA</v>
          </cell>
          <cell r="H1523" t="str">
            <v>011523</v>
          </cell>
          <cell r="I1523" t="str">
            <v>1</v>
          </cell>
        </row>
        <row r="1524">
          <cell r="A1524" t="str">
            <v>PASCOOXAPAMPACHONTABAMBA</v>
          </cell>
          <cell r="B1524" t="str">
            <v>19</v>
          </cell>
          <cell r="C1524" t="str">
            <v>03</v>
          </cell>
          <cell r="D1524" t="str">
            <v>02</v>
          </cell>
          <cell r="E1524" t="str">
            <v>PASCO</v>
          </cell>
          <cell r="F1524" t="str">
            <v>OXAPAMPA</v>
          </cell>
          <cell r="G1524" t="str">
            <v>CHONTABAMBA</v>
          </cell>
          <cell r="H1524" t="str">
            <v>012230</v>
          </cell>
          <cell r="I1524" t="str">
            <v>2</v>
          </cell>
        </row>
        <row r="1525">
          <cell r="A1525" t="str">
            <v>PASCOOXAPAMPAHUANCABAMBA</v>
          </cell>
          <cell r="B1525" t="str">
            <v>19</v>
          </cell>
          <cell r="C1525" t="str">
            <v>03</v>
          </cell>
          <cell r="D1525" t="str">
            <v>03</v>
          </cell>
          <cell r="E1525" t="str">
            <v>PASCO</v>
          </cell>
          <cell r="F1525" t="str">
            <v>OXAPAMPA</v>
          </cell>
          <cell r="G1525" t="str">
            <v>HUANCABAMBA</v>
          </cell>
          <cell r="H1525" t="str">
            <v>011525</v>
          </cell>
          <cell r="I1525" t="str">
            <v>2</v>
          </cell>
        </row>
        <row r="1526">
          <cell r="A1526" t="str">
            <v>PASCOOXAPAMPAPALCAZU</v>
          </cell>
          <cell r="B1526" t="str">
            <v>19</v>
          </cell>
          <cell r="C1526" t="str">
            <v>03</v>
          </cell>
          <cell r="D1526" t="str">
            <v>04</v>
          </cell>
          <cell r="E1526" t="str">
            <v>PASCO</v>
          </cell>
          <cell r="F1526" t="str">
            <v>OXAPAMPA</v>
          </cell>
          <cell r="G1526" t="str">
            <v>PALCAZU</v>
          </cell>
          <cell r="H1526" t="str">
            <v>011526</v>
          </cell>
          <cell r="I1526" t="str">
            <v>2</v>
          </cell>
        </row>
        <row r="1527">
          <cell r="A1527" t="str">
            <v>PASCOOXAPAMPAPOZUZO</v>
          </cell>
          <cell r="B1527" t="str">
            <v>19</v>
          </cell>
          <cell r="C1527" t="str">
            <v>03</v>
          </cell>
          <cell r="D1527" t="str">
            <v>05</v>
          </cell>
          <cell r="E1527" t="str">
            <v>PASCO</v>
          </cell>
          <cell r="F1527" t="str">
            <v>OXAPAMPA</v>
          </cell>
          <cell r="G1527" t="str">
            <v>POZUZO</v>
          </cell>
          <cell r="H1527" t="str">
            <v>012225</v>
          </cell>
          <cell r="I1527" t="str">
            <v>2</v>
          </cell>
        </row>
        <row r="1528">
          <cell r="A1528" t="str">
            <v>PASCOOXAPAMPAPUERTO BERMUDEZ</v>
          </cell>
          <cell r="B1528" t="str">
            <v>19</v>
          </cell>
          <cell r="C1528" t="str">
            <v>03</v>
          </cell>
          <cell r="D1528" t="str">
            <v>06</v>
          </cell>
          <cell r="E1528" t="str">
            <v>PASCO</v>
          </cell>
          <cell r="F1528" t="str">
            <v>OXAPAMPA</v>
          </cell>
          <cell r="G1528" t="str">
            <v>PUERTO BERMUDEZ</v>
          </cell>
          <cell r="H1528" t="str">
            <v>012226</v>
          </cell>
          <cell r="I1528" t="str">
            <v>2</v>
          </cell>
        </row>
        <row r="1529">
          <cell r="A1529" t="str">
            <v>PASCOOXAPAMPAVILLA RICA</v>
          </cell>
          <cell r="B1529" t="str">
            <v>19</v>
          </cell>
          <cell r="C1529" t="str">
            <v>03</v>
          </cell>
          <cell r="D1529" t="str">
            <v>07</v>
          </cell>
          <cell r="E1529" t="str">
            <v>PASCO</v>
          </cell>
          <cell r="F1529" t="str">
            <v>OXAPAMPA</v>
          </cell>
          <cell r="G1529" t="str">
            <v>VILLA RICA</v>
          </cell>
          <cell r="H1529" t="str">
            <v>011529</v>
          </cell>
          <cell r="I1529" t="str">
            <v>2</v>
          </cell>
        </row>
        <row r="1530">
          <cell r="A1530" t="str">
            <v>PIURAPIURAPIURA</v>
          </cell>
          <cell r="B1530" t="str">
            <v>20</v>
          </cell>
          <cell r="C1530" t="str">
            <v>01</v>
          </cell>
          <cell r="D1530" t="str">
            <v>01</v>
          </cell>
          <cell r="E1530" t="str">
            <v>PIURA</v>
          </cell>
          <cell r="F1530" t="str">
            <v>PIURA</v>
          </cell>
          <cell r="G1530" t="str">
            <v>PIURA</v>
          </cell>
          <cell r="H1530" t="str">
            <v>011530</v>
          </cell>
          <cell r="I1530" t="str">
            <v>1</v>
          </cell>
        </row>
        <row r="1531">
          <cell r="A1531" t="str">
            <v>PIURAPIURACASTILLA</v>
          </cell>
          <cell r="B1531" t="str">
            <v>20</v>
          </cell>
          <cell r="C1531" t="str">
            <v>01</v>
          </cell>
          <cell r="D1531" t="str">
            <v>04</v>
          </cell>
          <cell r="E1531" t="str">
            <v>PIURA</v>
          </cell>
          <cell r="F1531" t="str">
            <v>PIURA</v>
          </cell>
          <cell r="G1531" t="str">
            <v>CASTILLA</v>
          </cell>
          <cell r="H1531" t="str">
            <v>012235</v>
          </cell>
          <cell r="I1531" t="str">
            <v>2</v>
          </cell>
        </row>
        <row r="1532">
          <cell r="A1532" t="str">
            <v>PIURAPIURACATACAOS</v>
          </cell>
          <cell r="B1532" t="str">
            <v>20</v>
          </cell>
          <cell r="C1532" t="str">
            <v>01</v>
          </cell>
          <cell r="D1532" t="str">
            <v>05</v>
          </cell>
          <cell r="E1532" t="str">
            <v>PIURA</v>
          </cell>
          <cell r="F1532" t="str">
            <v>PIURA</v>
          </cell>
          <cell r="G1532" t="str">
            <v>CATACAOS</v>
          </cell>
          <cell r="H1532" t="str">
            <v>011532</v>
          </cell>
          <cell r="I1532" t="str">
            <v>2</v>
          </cell>
        </row>
        <row r="1533">
          <cell r="A1533" t="str">
            <v>PIURAPIURACURA MORI</v>
          </cell>
          <cell r="B1533" t="str">
            <v>20</v>
          </cell>
          <cell r="C1533" t="str">
            <v>01</v>
          </cell>
          <cell r="D1533" t="str">
            <v>07</v>
          </cell>
          <cell r="E1533" t="str">
            <v>PIURA</v>
          </cell>
          <cell r="F1533" t="str">
            <v>PIURA</v>
          </cell>
          <cell r="G1533" t="str">
            <v>CURA MORI</v>
          </cell>
          <cell r="H1533" t="str">
            <v>011533</v>
          </cell>
          <cell r="I1533" t="str">
            <v>2</v>
          </cell>
        </row>
        <row r="1534">
          <cell r="A1534" t="str">
            <v>PIURAPIURAEL TALLAN</v>
          </cell>
          <cell r="B1534" t="str">
            <v>20</v>
          </cell>
          <cell r="C1534" t="str">
            <v>01</v>
          </cell>
          <cell r="D1534" t="str">
            <v>08</v>
          </cell>
          <cell r="E1534" t="str">
            <v>PIURA</v>
          </cell>
          <cell r="F1534" t="str">
            <v>PIURA</v>
          </cell>
          <cell r="G1534" t="str">
            <v>EL TALLAN</v>
          </cell>
          <cell r="H1534" t="str">
            <v>011534</v>
          </cell>
          <cell r="I1534" t="str">
            <v>2</v>
          </cell>
        </row>
        <row r="1535">
          <cell r="A1535" t="str">
            <v>PIURAPIURALA ARENA</v>
          </cell>
          <cell r="B1535" t="str">
            <v>20</v>
          </cell>
          <cell r="C1535" t="str">
            <v>01</v>
          </cell>
          <cell r="D1535" t="str">
            <v>09</v>
          </cell>
          <cell r="E1535" t="str">
            <v>PIURA</v>
          </cell>
          <cell r="F1535" t="str">
            <v>PIURA</v>
          </cell>
          <cell r="G1535" t="str">
            <v>LA ARENA</v>
          </cell>
          <cell r="H1535" t="str">
            <v>012231</v>
          </cell>
          <cell r="I1535" t="str">
            <v>2</v>
          </cell>
        </row>
        <row r="1536">
          <cell r="A1536" t="str">
            <v>PIURAPIURALA UNION</v>
          </cell>
          <cell r="B1536" t="str">
            <v>20</v>
          </cell>
          <cell r="C1536" t="str">
            <v>01</v>
          </cell>
          <cell r="D1536" t="str">
            <v>10</v>
          </cell>
          <cell r="E1536" t="str">
            <v>PIURA</v>
          </cell>
          <cell r="F1536" t="str">
            <v>PIURA</v>
          </cell>
          <cell r="G1536" t="str">
            <v>LA UNION</v>
          </cell>
          <cell r="H1536" t="str">
            <v>011536</v>
          </cell>
          <cell r="I1536" t="str">
            <v>2</v>
          </cell>
        </row>
        <row r="1537">
          <cell r="A1537" t="str">
            <v>PIURAPIURALAS LOMAS</v>
          </cell>
          <cell r="B1537" t="str">
            <v>20</v>
          </cell>
          <cell r="C1537" t="str">
            <v>01</v>
          </cell>
          <cell r="D1537" t="str">
            <v>11</v>
          </cell>
          <cell r="E1537" t="str">
            <v>PIURA</v>
          </cell>
          <cell r="F1537" t="str">
            <v>PIURA</v>
          </cell>
          <cell r="G1537" t="str">
            <v>LAS LOMAS</v>
          </cell>
          <cell r="H1537" t="str">
            <v>011537</v>
          </cell>
          <cell r="I1537" t="str">
            <v>2</v>
          </cell>
        </row>
        <row r="1538">
          <cell r="A1538" t="str">
            <v>PIURAPIURATAMBO GRANDE</v>
          </cell>
          <cell r="B1538" t="str">
            <v>20</v>
          </cell>
          <cell r="C1538" t="str">
            <v>01</v>
          </cell>
          <cell r="D1538" t="str">
            <v>14</v>
          </cell>
          <cell r="E1538" t="str">
            <v>PIURA</v>
          </cell>
          <cell r="F1538" t="str">
            <v>PIURA</v>
          </cell>
          <cell r="G1538" t="str">
            <v>TAMBO GRANDE</v>
          </cell>
          <cell r="H1538" t="str">
            <v>012233</v>
          </cell>
          <cell r="I1538" t="str">
            <v>2</v>
          </cell>
        </row>
        <row r="1539">
          <cell r="A1539" t="str">
            <v>PIURAAYABACAAYABACA</v>
          </cell>
          <cell r="B1539" t="str">
            <v>20</v>
          </cell>
          <cell r="C1539" t="str">
            <v>02</v>
          </cell>
          <cell r="D1539" t="str">
            <v>01</v>
          </cell>
          <cell r="E1539" t="str">
            <v>PIURA</v>
          </cell>
          <cell r="F1539" t="str">
            <v>AYABACA</v>
          </cell>
          <cell r="G1539" t="str">
            <v>AYABACA</v>
          </cell>
          <cell r="H1539" t="str">
            <v>011539</v>
          </cell>
          <cell r="I1539" t="str">
            <v>1</v>
          </cell>
        </row>
        <row r="1540">
          <cell r="A1540" t="str">
            <v>PIURAAYABACAFRIAS</v>
          </cell>
          <cell r="B1540" t="str">
            <v>20</v>
          </cell>
          <cell r="C1540" t="str">
            <v>02</v>
          </cell>
          <cell r="D1540" t="str">
            <v>02</v>
          </cell>
          <cell r="E1540" t="str">
            <v>PIURA</v>
          </cell>
          <cell r="F1540" t="str">
            <v>AYABACA</v>
          </cell>
          <cell r="G1540" t="str">
            <v>FRIAS</v>
          </cell>
          <cell r="H1540" t="str">
            <v>011554</v>
          </cell>
          <cell r="I1540" t="str">
            <v>2</v>
          </cell>
        </row>
        <row r="1541">
          <cell r="A1541" t="str">
            <v>PIURAAYABACAJILILI</v>
          </cell>
          <cell r="B1541" t="str">
            <v>20</v>
          </cell>
          <cell r="C1541" t="str">
            <v>02</v>
          </cell>
          <cell r="D1541" t="str">
            <v>03</v>
          </cell>
          <cell r="E1541" t="str">
            <v>PIURA</v>
          </cell>
          <cell r="F1541" t="str">
            <v>AYABACA</v>
          </cell>
          <cell r="G1541" t="str">
            <v>JILILI</v>
          </cell>
          <cell r="H1541" t="str">
            <v>011546</v>
          </cell>
          <cell r="I1541" t="str">
            <v>2</v>
          </cell>
        </row>
        <row r="1542">
          <cell r="A1542" t="str">
            <v>PIURAAYABACALAGUNAS</v>
          </cell>
          <cell r="B1542" t="str">
            <v>20</v>
          </cell>
          <cell r="C1542" t="str">
            <v>02</v>
          </cell>
          <cell r="D1542" t="str">
            <v>04</v>
          </cell>
          <cell r="E1542" t="str">
            <v>PIURA</v>
          </cell>
          <cell r="F1542" t="str">
            <v>AYABACA</v>
          </cell>
          <cell r="G1542" t="str">
            <v>LAGUNAS</v>
          </cell>
          <cell r="H1542" t="str">
            <v>011541</v>
          </cell>
          <cell r="I1542" t="str">
            <v>2</v>
          </cell>
        </row>
        <row r="1543">
          <cell r="A1543" t="str">
            <v>PIURAAYABACAMONTERO</v>
          </cell>
          <cell r="B1543" t="str">
            <v>20</v>
          </cell>
          <cell r="C1543" t="str">
            <v>02</v>
          </cell>
          <cell r="D1543" t="str">
            <v>05</v>
          </cell>
          <cell r="E1543" t="str">
            <v>PIURA</v>
          </cell>
          <cell r="F1543" t="str">
            <v>AYABACA</v>
          </cell>
          <cell r="G1543" t="str">
            <v>MONTERO</v>
          </cell>
          <cell r="H1543" t="str">
            <v>011542</v>
          </cell>
          <cell r="I1543" t="str">
            <v>2</v>
          </cell>
        </row>
        <row r="1544">
          <cell r="A1544" t="str">
            <v>PIURAAYABACAPACAIPAMPA</v>
          </cell>
          <cell r="B1544" t="str">
            <v>20</v>
          </cell>
          <cell r="C1544" t="str">
            <v>02</v>
          </cell>
          <cell r="D1544" t="str">
            <v>06</v>
          </cell>
          <cell r="E1544" t="str">
            <v>PIURA</v>
          </cell>
          <cell r="F1544" t="str">
            <v>AYABACA</v>
          </cell>
          <cell r="G1544" t="str">
            <v>PACAIPAMPA</v>
          </cell>
          <cell r="H1544" t="str">
            <v>011555</v>
          </cell>
          <cell r="I1544" t="str">
            <v>2</v>
          </cell>
        </row>
        <row r="1545">
          <cell r="A1545" t="str">
            <v>PIURAAYABACAPAIMAS</v>
          </cell>
          <cell r="B1545" t="str">
            <v>20</v>
          </cell>
          <cell r="C1545" t="str">
            <v>02</v>
          </cell>
          <cell r="D1545" t="str">
            <v>07</v>
          </cell>
          <cell r="E1545" t="str">
            <v>PIURA</v>
          </cell>
          <cell r="F1545" t="str">
            <v>AYABACA</v>
          </cell>
          <cell r="G1545" t="str">
            <v>PAIMAS</v>
          </cell>
          <cell r="H1545" t="str">
            <v>011543</v>
          </cell>
          <cell r="I1545" t="str">
            <v>2</v>
          </cell>
        </row>
        <row r="1546">
          <cell r="A1546" t="str">
            <v>PIURAAYABACASAPILLICA</v>
          </cell>
          <cell r="B1546" t="str">
            <v>20</v>
          </cell>
          <cell r="C1546" t="str">
            <v>02</v>
          </cell>
          <cell r="D1546" t="str">
            <v>08</v>
          </cell>
          <cell r="E1546" t="str">
            <v>PIURA</v>
          </cell>
          <cell r="F1546" t="str">
            <v>AYABACA</v>
          </cell>
          <cell r="G1546" t="str">
            <v>SAPILLICA</v>
          </cell>
          <cell r="H1546" t="str">
            <v>011544</v>
          </cell>
          <cell r="I1546" t="str">
            <v>2</v>
          </cell>
        </row>
        <row r="1547">
          <cell r="A1547" t="str">
            <v>PIURAAYABACASICCHEZ</v>
          </cell>
          <cell r="B1547" t="str">
            <v>20</v>
          </cell>
          <cell r="C1547" t="str">
            <v>02</v>
          </cell>
          <cell r="D1547" t="str">
            <v>09</v>
          </cell>
          <cell r="E1547" t="str">
            <v>PIURA</v>
          </cell>
          <cell r="F1547" t="str">
            <v>AYABACA</v>
          </cell>
          <cell r="G1547" t="str">
            <v>SICCHEZ</v>
          </cell>
          <cell r="H1547" t="str">
            <v>011545</v>
          </cell>
          <cell r="I1547" t="str">
            <v>2</v>
          </cell>
        </row>
        <row r="1548">
          <cell r="A1548" t="str">
            <v>PIURAAYABACASUYO</v>
          </cell>
          <cell r="B1548" t="str">
            <v>20</v>
          </cell>
          <cell r="C1548" t="str">
            <v>02</v>
          </cell>
          <cell r="D1548" t="str">
            <v>10</v>
          </cell>
          <cell r="E1548" t="str">
            <v>PIURA</v>
          </cell>
          <cell r="F1548" t="str">
            <v>AYABACA</v>
          </cell>
          <cell r="G1548" t="str">
            <v>SUYO</v>
          </cell>
          <cell r="H1548" t="str">
            <v>011540</v>
          </cell>
          <cell r="I1548" t="str">
            <v>2</v>
          </cell>
        </row>
        <row r="1549">
          <cell r="A1549" t="str">
            <v>PIURAHUANCABAMBAHUANCABAMBA</v>
          </cell>
          <cell r="B1549" t="str">
            <v>20</v>
          </cell>
          <cell r="C1549" t="str">
            <v>03</v>
          </cell>
          <cell r="D1549" t="str">
            <v>01</v>
          </cell>
          <cell r="E1549" t="str">
            <v>PIURA</v>
          </cell>
          <cell r="F1549" t="str">
            <v>HUANCABAMBA</v>
          </cell>
          <cell r="G1549" t="str">
            <v>HUANCABAMBA</v>
          </cell>
          <cell r="H1549" t="str">
            <v>011547</v>
          </cell>
          <cell r="I1549" t="str">
            <v>1</v>
          </cell>
        </row>
        <row r="1550">
          <cell r="A1550" t="str">
            <v>PIURAHUANCABAMBACANCHAQUE</v>
          </cell>
          <cell r="B1550" t="str">
            <v>20</v>
          </cell>
          <cell r="C1550" t="str">
            <v>03</v>
          </cell>
          <cell r="D1550" t="str">
            <v>02</v>
          </cell>
          <cell r="E1550" t="str">
            <v>PIURA</v>
          </cell>
          <cell r="F1550" t="str">
            <v>HUANCABAMBA</v>
          </cell>
          <cell r="G1550" t="str">
            <v>CANCHAQUE</v>
          </cell>
          <cell r="H1550" t="str">
            <v>011548</v>
          </cell>
          <cell r="I1550" t="str">
            <v>2</v>
          </cell>
        </row>
        <row r="1551">
          <cell r="A1551" t="str">
            <v>PIURAHUANCABAMBAEL CARMEN DE LA FRONTERA</v>
          </cell>
          <cell r="B1551" t="str">
            <v>20</v>
          </cell>
          <cell r="C1551" t="str">
            <v>03</v>
          </cell>
          <cell r="D1551" t="str">
            <v>03</v>
          </cell>
          <cell r="E1551" t="str">
            <v>PIURA</v>
          </cell>
          <cell r="F1551" t="str">
            <v>HUANCABAMBA</v>
          </cell>
          <cell r="G1551" t="str">
            <v>EL CARMEN DE LA FRONTERA</v>
          </cell>
          <cell r="H1551" t="str">
            <v>012239</v>
          </cell>
          <cell r="I1551" t="str">
            <v>2</v>
          </cell>
        </row>
        <row r="1552">
          <cell r="A1552" t="str">
            <v>PIURAHUANCABAMBAHUARMACA</v>
          </cell>
          <cell r="B1552" t="str">
            <v>20</v>
          </cell>
          <cell r="C1552" t="str">
            <v>03</v>
          </cell>
          <cell r="D1552" t="str">
            <v>04</v>
          </cell>
          <cell r="E1552" t="str">
            <v>PIURA</v>
          </cell>
          <cell r="F1552" t="str">
            <v>HUANCABAMBA</v>
          </cell>
          <cell r="G1552" t="str">
            <v>HUARMACA</v>
          </cell>
          <cell r="H1552" t="str">
            <v>011550</v>
          </cell>
          <cell r="I1552" t="str">
            <v>2</v>
          </cell>
        </row>
        <row r="1553">
          <cell r="A1553" t="str">
            <v>PIURAHUANCABAMBALALAQUIZ</v>
          </cell>
          <cell r="B1553" t="str">
            <v>20</v>
          </cell>
          <cell r="C1553" t="str">
            <v>03</v>
          </cell>
          <cell r="D1553" t="str">
            <v>05</v>
          </cell>
          <cell r="E1553" t="str">
            <v>PIURA</v>
          </cell>
          <cell r="F1553" t="str">
            <v>HUANCABAMBA</v>
          </cell>
          <cell r="G1553" t="str">
            <v>LALAQUIZ</v>
          </cell>
          <cell r="H1553" t="str">
            <v>011561</v>
          </cell>
          <cell r="I1553" t="str">
            <v>2</v>
          </cell>
        </row>
        <row r="1554">
          <cell r="A1554" t="str">
            <v>PIURAHUANCABAMBASAN MIGUEL DE EL FAIQUE</v>
          </cell>
          <cell r="B1554" t="str">
            <v>20</v>
          </cell>
          <cell r="C1554" t="str">
            <v>03</v>
          </cell>
          <cell r="D1554" t="str">
            <v>06</v>
          </cell>
          <cell r="E1554" t="str">
            <v>PIURA</v>
          </cell>
          <cell r="F1554" t="str">
            <v>HUANCABAMBA</v>
          </cell>
          <cell r="G1554" t="str">
            <v>SAN MIGUEL DE EL FAIQUE</v>
          </cell>
          <cell r="H1554" t="str">
            <v>011551</v>
          </cell>
          <cell r="I1554" t="str">
            <v>2</v>
          </cell>
        </row>
        <row r="1555">
          <cell r="A1555" t="str">
            <v>PIURAHUANCABAMBASONDOR</v>
          </cell>
          <cell r="B1555" t="str">
            <v>20</v>
          </cell>
          <cell r="C1555" t="str">
            <v>03</v>
          </cell>
          <cell r="D1555" t="str">
            <v>07</v>
          </cell>
          <cell r="E1555" t="str">
            <v>PIURA</v>
          </cell>
          <cell r="F1555" t="str">
            <v>HUANCABAMBA</v>
          </cell>
          <cell r="G1555" t="str">
            <v>SONDOR</v>
          </cell>
          <cell r="H1555" t="str">
            <v>012240</v>
          </cell>
          <cell r="I1555" t="str">
            <v>2</v>
          </cell>
        </row>
        <row r="1556">
          <cell r="A1556" t="str">
            <v>PIURAHUANCABAMBASONDORILLO</v>
          </cell>
          <cell r="B1556" t="str">
            <v>20</v>
          </cell>
          <cell r="C1556" t="str">
            <v>03</v>
          </cell>
          <cell r="D1556" t="str">
            <v>08</v>
          </cell>
          <cell r="E1556" t="str">
            <v>PIURA</v>
          </cell>
          <cell r="F1556" t="str">
            <v>HUANCABAMBA</v>
          </cell>
          <cell r="G1556" t="str">
            <v>SONDORILLO</v>
          </cell>
          <cell r="H1556" t="str">
            <v>011553</v>
          </cell>
          <cell r="I1556" t="str">
            <v>2</v>
          </cell>
        </row>
        <row r="1557">
          <cell r="A1557" t="str">
            <v>PIURAMORROPONCHULUCANAS</v>
          </cell>
          <cell r="B1557" t="str">
            <v>20</v>
          </cell>
          <cell r="C1557" t="str">
            <v>04</v>
          </cell>
          <cell r="D1557" t="str">
            <v>01</v>
          </cell>
          <cell r="E1557" t="str">
            <v>PIURA</v>
          </cell>
          <cell r="F1557" t="str">
            <v>MORROPON</v>
          </cell>
          <cell r="G1557" t="str">
            <v>CHULUCANAS</v>
          </cell>
          <cell r="H1557" t="str">
            <v>011556</v>
          </cell>
          <cell r="I1557" t="str">
            <v>1</v>
          </cell>
        </row>
        <row r="1558">
          <cell r="A1558" t="str">
            <v>PIURAMORROPONBUENOS AIRES</v>
          </cell>
          <cell r="B1558" t="str">
            <v>20</v>
          </cell>
          <cell r="C1558" t="str">
            <v>04</v>
          </cell>
          <cell r="D1558" t="str">
            <v>02</v>
          </cell>
          <cell r="E1558" t="str">
            <v>PIURA</v>
          </cell>
          <cell r="F1558" t="str">
            <v>MORROPON</v>
          </cell>
          <cell r="G1558" t="str">
            <v>BUENOS AIRES</v>
          </cell>
          <cell r="H1558" t="str">
            <v>011562</v>
          </cell>
          <cell r="I1558" t="str">
            <v>2</v>
          </cell>
        </row>
        <row r="1559">
          <cell r="A1559" t="str">
            <v>PIURAMORROPONCHALACO</v>
          </cell>
          <cell r="B1559" t="str">
            <v>20</v>
          </cell>
          <cell r="C1559" t="str">
            <v>04</v>
          </cell>
          <cell r="D1559" t="str">
            <v>03</v>
          </cell>
          <cell r="E1559" t="str">
            <v>PIURA</v>
          </cell>
          <cell r="F1559" t="str">
            <v>MORROPON</v>
          </cell>
          <cell r="G1559" t="str">
            <v>CHALACO</v>
          </cell>
          <cell r="H1559" t="str">
            <v>011557</v>
          </cell>
          <cell r="I1559" t="str">
            <v>2</v>
          </cell>
        </row>
        <row r="1560">
          <cell r="A1560" t="str">
            <v>PIURAMORROPONLA MATANZA</v>
          </cell>
          <cell r="B1560" t="str">
            <v>20</v>
          </cell>
          <cell r="C1560" t="str">
            <v>04</v>
          </cell>
          <cell r="D1560" t="str">
            <v>04</v>
          </cell>
          <cell r="E1560" t="str">
            <v>PIURA</v>
          </cell>
          <cell r="F1560" t="str">
            <v>MORROPON</v>
          </cell>
          <cell r="G1560" t="str">
            <v>LA MATANZA</v>
          </cell>
          <cell r="H1560" t="str">
            <v>011563</v>
          </cell>
          <cell r="I1560" t="str">
            <v>2</v>
          </cell>
        </row>
        <row r="1561">
          <cell r="A1561" t="str">
            <v>PIURAMORROPONMORROPON</v>
          </cell>
          <cell r="B1561" t="str">
            <v>20</v>
          </cell>
          <cell r="C1561" t="str">
            <v>04</v>
          </cell>
          <cell r="D1561" t="str">
            <v>05</v>
          </cell>
          <cell r="E1561" t="str">
            <v>PIURA</v>
          </cell>
          <cell r="F1561" t="str">
            <v>MORROPON</v>
          </cell>
          <cell r="G1561" t="str">
            <v>MORROPON</v>
          </cell>
          <cell r="H1561" t="str">
            <v>011558</v>
          </cell>
          <cell r="I1561" t="str">
            <v>2</v>
          </cell>
        </row>
        <row r="1562">
          <cell r="A1562" t="str">
            <v>PIURAMORROPONSALITRAL</v>
          </cell>
          <cell r="B1562" t="str">
            <v>20</v>
          </cell>
          <cell r="C1562" t="str">
            <v>04</v>
          </cell>
          <cell r="D1562" t="str">
            <v>06</v>
          </cell>
          <cell r="E1562" t="str">
            <v>PIURA</v>
          </cell>
          <cell r="F1562" t="str">
            <v>MORROPON</v>
          </cell>
          <cell r="G1562" t="str">
            <v>SALITRAL</v>
          </cell>
          <cell r="H1562" t="str">
            <v>011564</v>
          </cell>
          <cell r="I1562" t="str">
            <v>2</v>
          </cell>
        </row>
        <row r="1563">
          <cell r="A1563" t="str">
            <v>PIURAMORROPONSAN JUAN DE BIGOTE</v>
          </cell>
          <cell r="B1563" t="str">
            <v>20</v>
          </cell>
          <cell r="C1563" t="str">
            <v>04</v>
          </cell>
          <cell r="D1563" t="str">
            <v>07</v>
          </cell>
          <cell r="E1563" t="str">
            <v>PIURA</v>
          </cell>
          <cell r="F1563" t="str">
            <v>MORROPON</v>
          </cell>
          <cell r="G1563" t="str">
            <v>SAN JUAN DE BIGOTE</v>
          </cell>
          <cell r="H1563" t="str">
            <v>011565</v>
          </cell>
          <cell r="I1563" t="str">
            <v>2</v>
          </cell>
        </row>
        <row r="1564">
          <cell r="A1564" t="str">
            <v>PIURAMORROPONSANTA CATALINA DE MOSSA</v>
          </cell>
          <cell r="B1564" t="str">
            <v>20</v>
          </cell>
          <cell r="C1564" t="str">
            <v>04</v>
          </cell>
          <cell r="D1564" t="str">
            <v>08</v>
          </cell>
          <cell r="E1564" t="str">
            <v>PIURA</v>
          </cell>
          <cell r="F1564" t="str">
            <v>MORROPON</v>
          </cell>
          <cell r="G1564" t="str">
            <v>SANTA CATALINA DE MOSSA</v>
          </cell>
          <cell r="H1564" t="str">
            <v>011559</v>
          </cell>
          <cell r="I1564" t="str">
            <v>2</v>
          </cell>
        </row>
        <row r="1565">
          <cell r="A1565" t="str">
            <v>PIURAMORROPONSANTO DOMINGO</v>
          </cell>
          <cell r="B1565" t="str">
            <v>20</v>
          </cell>
          <cell r="C1565" t="str">
            <v>04</v>
          </cell>
          <cell r="D1565" t="str">
            <v>09</v>
          </cell>
          <cell r="E1565" t="str">
            <v>PIURA</v>
          </cell>
          <cell r="F1565" t="str">
            <v>MORROPON</v>
          </cell>
          <cell r="G1565" t="str">
            <v>SANTO DOMINGO</v>
          </cell>
          <cell r="H1565" t="str">
            <v>012238</v>
          </cell>
          <cell r="I1565" t="str">
            <v>2</v>
          </cell>
        </row>
        <row r="1566">
          <cell r="A1566" t="str">
            <v>PIURAMORROPONYAMANGO</v>
          </cell>
          <cell r="B1566" t="str">
            <v>20</v>
          </cell>
          <cell r="C1566" t="str">
            <v>04</v>
          </cell>
          <cell r="D1566" t="str">
            <v>10</v>
          </cell>
          <cell r="E1566" t="str">
            <v>PIURA</v>
          </cell>
          <cell r="F1566" t="str">
            <v>MORROPON</v>
          </cell>
          <cell r="G1566" t="str">
            <v>YAMANGO</v>
          </cell>
          <cell r="H1566" t="str">
            <v>011566</v>
          </cell>
          <cell r="I1566" t="str">
            <v>2</v>
          </cell>
        </row>
        <row r="1567">
          <cell r="A1567" t="str">
            <v>PIURAPAITAPAITA</v>
          </cell>
          <cell r="B1567" t="str">
            <v>20</v>
          </cell>
          <cell r="C1567" t="str">
            <v>05</v>
          </cell>
          <cell r="D1567" t="str">
            <v>01</v>
          </cell>
          <cell r="E1567" t="str">
            <v>PIURA</v>
          </cell>
          <cell r="F1567" t="str">
            <v>PAITA</v>
          </cell>
          <cell r="G1567" t="str">
            <v>PAITA</v>
          </cell>
          <cell r="H1567" t="str">
            <v>011567</v>
          </cell>
          <cell r="I1567" t="str">
            <v>1</v>
          </cell>
        </row>
        <row r="1568">
          <cell r="A1568" t="str">
            <v>PIURAPAITAAMOTAPE</v>
          </cell>
          <cell r="B1568" t="str">
            <v>20</v>
          </cell>
          <cell r="C1568" t="str">
            <v>05</v>
          </cell>
          <cell r="D1568" t="str">
            <v>02</v>
          </cell>
          <cell r="E1568" t="str">
            <v>PIURA</v>
          </cell>
          <cell r="F1568" t="str">
            <v>PAITA</v>
          </cell>
          <cell r="G1568" t="str">
            <v>AMOTAPE</v>
          </cell>
          <cell r="H1568" t="str">
            <v>011568</v>
          </cell>
          <cell r="I1568" t="str">
            <v>2</v>
          </cell>
        </row>
        <row r="1569">
          <cell r="A1569" t="str">
            <v>PIURAPAITAARENAL</v>
          </cell>
          <cell r="B1569" t="str">
            <v>20</v>
          </cell>
          <cell r="C1569" t="str">
            <v>05</v>
          </cell>
          <cell r="D1569" t="str">
            <v>03</v>
          </cell>
          <cell r="E1569" t="str">
            <v>PIURA</v>
          </cell>
          <cell r="F1569" t="str">
            <v>PAITA</v>
          </cell>
          <cell r="G1569" t="str">
            <v>ARENAL</v>
          </cell>
          <cell r="H1569" t="str">
            <v>011569</v>
          </cell>
          <cell r="I1569" t="str">
            <v>2</v>
          </cell>
        </row>
        <row r="1570">
          <cell r="A1570" t="str">
            <v>PIURAPAITACOLAN</v>
          </cell>
          <cell r="B1570" t="str">
            <v>20</v>
          </cell>
          <cell r="C1570" t="str">
            <v>05</v>
          </cell>
          <cell r="D1570" t="str">
            <v>04</v>
          </cell>
          <cell r="E1570" t="str">
            <v>PIURA</v>
          </cell>
          <cell r="F1570" t="str">
            <v>PAITA</v>
          </cell>
          <cell r="G1570" t="str">
            <v>COLAN</v>
          </cell>
          <cell r="H1570" t="str">
            <v>011570</v>
          </cell>
          <cell r="I1570" t="str">
            <v>2</v>
          </cell>
        </row>
        <row r="1571">
          <cell r="A1571" t="str">
            <v>PIURAPAITALA HUACA</v>
          </cell>
          <cell r="B1571" t="str">
            <v>20</v>
          </cell>
          <cell r="C1571" t="str">
            <v>05</v>
          </cell>
          <cell r="D1571" t="str">
            <v>05</v>
          </cell>
          <cell r="E1571" t="str">
            <v>PIURA</v>
          </cell>
          <cell r="F1571" t="str">
            <v>PAITA</v>
          </cell>
          <cell r="G1571" t="str">
            <v>LA HUACA</v>
          </cell>
          <cell r="H1571" t="str">
            <v>011571</v>
          </cell>
          <cell r="I1571" t="str">
            <v>2</v>
          </cell>
        </row>
        <row r="1572">
          <cell r="A1572" t="str">
            <v>PIURAPAITATAMARINDO</v>
          </cell>
          <cell r="B1572" t="str">
            <v>20</v>
          </cell>
          <cell r="C1572" t="str">
            <v>05</v>
          </cell>
          <cell r="D1572" t="str">
            <v>06</v>
          </cell>
          <cell r="E1572" t="str">
            <v>PIURA</v>
          </cell>
          <cell r="F1572" t="str">
            <v>PAITA</v>
          </cell>
          <cell r="G1572" t="str">
            <v>TAMARINDO</v>
          </cell>
          <cell r="H1572" t="str">
            <v>011572</v>
          </cell>
          <cell r="I1572" t="str">
            <v>2</v>
          </cell>
        </row>
        <row r="1573">
          <cell r="A1573" t="str">
            <v>PIURAPAITAVICHAYAL</v>
          </cell>
          <cell r="B1573" t="str">
            <v>20</v>
          </cell>
          <cell r="C1573" t="str">
            <v>05</v>
          </cell>
          <cell r="D1573" t="str">
            <v>07</v>
          </cell>
          <cell r="E1573" t="str">
            <v>PIURA</v>
          </cell>
          <cell r="F1573" t="str">
            <v>PAITA</v>
          </cell>
          <cell r="G1573" t="str">
            <v>VICHAYAL</v>
          </cell>
          <cell r="H1573" t="str">
            <v>011573</v>
          </cell>
          <cell r="I1573" t="str">
            <v>2</v>
          </cell>
        </row>
        <row r="1574">
          <cell r="A1574" t="str">
            <v>PIURASULLANASULLANA</v>
          </cell>
          <cell r="B1574" t="str">
            <v>20</v>
          </cell>
          <cell r="C1574" t="str">
            <v>06</v>
          </cell>
          <cell r="D1574" t="str">
            <v>01</v>
          </cell>
          <cell r="E1574" t="str">
            <v>PIURA</v>
          </cell>
          <cell r="F1574" t="str">
            <v>SULLANA</v>
          </cell>
          <cell r="G1574" t="str">
            <v>SULLANA</v>
          </cell>
          <cell r="H1574" t="str">
            <v>012249</v>
          </cell>
          <cell r="I1574" t="str">
            <v>1</v>
          </cell>
        </row>
        <row r="1575">
          <cell r="A1575" t="str">
            <v>PIURASULLANABELLAVISTA</v>
          </cell>
          <cell r="B1575" t="str">
            <v>20</v>
          </cell>
          <cell r="C1575" t="str">
            <v>06</v>
          </cell>
          <cell r="D1575" t="str">
            <v>02</v>
          </cell>
          <cell r="E1575" t="str">
            <v>PIURA</v>
          </cell>
          <cell r="F1575" t="str">
            <v>SULLANA</v>
          </cell>
          <cell r="G1575" t="str">
            <v>BELLAVISTA</v>
          </cell>
          <cell r="H1575" t="str">
            <v>011575</v>
          </cell>
          <cell r="I1575" t="str">
            <v>2</v>
          </cell>
        </row>
        <row r="1576">
          <cell r="A1576" t="str">
            <v>PIURASULLANAIGNACIO ESCUDERO</v>
          </cell>
          <cell r="B1576" t="str">
            <v>20</v>
          </cell>
          <cell r="C1576" t="str">
            <v>06</v>
          </cell>
          <cell r="D1576" t="str">
            <v>03</v>
          </cell>
          <cell r="E1576" t="str">
            <v>PIURA</v>
          </cell>
          <cell r="F1576" t="str">
            <v>SULLANA</v>
          </cell>
          <cell r="G1576" t="str">
            <v>IGNACIO ESCUDERO</v>
          </cell>
          <cell r="H1576" t="str">
            <v>011577</v>
          </cell>
          <cell r="I1576" t="str">
            <v>2</v>
          </cell>
        </row>
        <row r="1577">
          <cell r="A1577" t="str">
            <v>PIURASULLANALANCONES</v>
          </cell>
          <cell r="B1577" t="str">
            <v>20</v>
          </cell>
          <cell r="C1577" t="str">
            <v>06</v>
          </cell>
          <cell r="D1577" t="str">
            <v>04</v>
          </cell>
          <cell r="E1577" t="str">
            <v>PIURA</v>
          </cell>
          <cell r="F1577" t="str">
            <v>SULLANA</v>
          </cell>
          <cell r="G1577" t="str">
            <v>LANCONES</v>
          </cell>
          <cell r="H1577" t="str">
            <v>011578</v>
          </cell>
          <cell r="I1577" t="str">
            <v>2</v>
          </cell>
        </row>
        <row r="1578">
          <cell r="A1578" t="str">
            <v>PIURASULLANAMARCAVELICA</v>
          </cell>
          <cell r="B1578" t="str">
            <v>20</v>
          </cell>
          <cell r="C1578" t="str">
            <v>06</v>
          </cell>
          <cell r="D1578" t="str">
            <v>05</v>
          </cell>
          <cell r="E1578" t="str">
            <v>PIURA</v>
          </cell>
          <cell r="F1578" t="str">
            <v>SULLANA</v>
          </cell>
          <cell r="G1578" t="str">
            <v>MARCAVELICA</v>
          </cell>
          <cell r="H1578" t="str">
            <v>011579</v>
          </cell>
          <cell r="I1578" t="str">
            <v>2</v>
          </cell>
        </row>
        <row r="1579">
          <cell r="A1579" t="str">
            <v>PIURASULLANAMIGUEL CHECA</v>
          </cell>
          <cell r="B1579" t="str">
            <v>20</v>
          </cell>
          <cell r="C1579" t="str">
            <v>06</v>
          </cell>
          <cell r="D1579" t="str">
            <v>06</v>
          </cell>
          <cell r="E1579" t="str">
            <v>PIURA</v>
          </cell>
          <cell r="F1579" t="str">
            <v>SULLANA</v>
          </cell>
          <cell r="G1579" t="str">
            <v>MIGUEL CHECA</v>
          </cell>
          <cell r="H1579" t="str">
            <v>011576</v>
          </cell>
          <cell r="I1579" t="str">
            <v>2</v>
          </cell>
        </row>
        <row r="1580">
          <cell r="A1580" t="str">
            <v>PIURASULLANAQUERECOTILLO</v>
          </cell>
          <cell r="B1580" t="str">
            <v>20</v>
          </cell>
          <cell r="C1580" t="str">
            <v>06</v>
          </cell>
          <cell r="D1580" t="str">
            <v>07</v>
          </cell>
          <cell r="E1580" t="str">
            <v>PIURA</v>
          </cell>
          <cell r="F1580" t="str">
            <v>SULLANA</v>
          </cell>
          <cell r="G1580" t="str">
            <v>QUERECOTILLO</v>
          </cell>
          <cell r="H1580" t="str">
            <v>011580</v>
          </cell>
          <cell r="I1580" t="str">
            <v>2</v>
          </cell>
        </row>
        <row r="1581">
          <cell r="A1581" t="str">
            <v>PIURASULLANASALITRAL</v>
          </cell>
          <cell r="B1581" t="str">
            <v>20</v>
          </cell>
          <cell r="C1581" t="str">
            <v>06</v>
          </cell>
          <cell r="D1581" t="str">
            <v>08</v>
          </cell>
          <cell r="E1581" t="str">
            <v>PIURA</v>
          </cell>
          <cell r="F1581" t="str">
            <v>SULLANA</v>
          </cell>
          <cell r="G1581" t="str">
            <v>SALITRAL</v>
          </cell>
          <cell r="H1581" t="str">
            <v>011581</v>
          </cell>
          <cell r="I1581" t="str">
            <v>2</v>
          </cell>
        </row>
        <row r="1582">
          <cell r="A1582" t="str">
            <v>PIURATALARAPARIÑAS</v>
          </cell>
          <cell r="B1582" t="str">
            <v>20</v>
          </cell>
          <cell r="C1582" t="str">
            <v>07</v>
          </cell>
          <cell r="D1582" t="str">
            <v>01</v>
          </cell>
          <cell r="E1582" t="str">
            <v>PIURA</v>
          </cell>
          <cell r="F1582" t="str">
            <v>TALARA</v>
          </cell>
          <cell r="G1582" t="str">
            <v>PARIÑAS</v>
          </cell>
          <cell r="H1582" t="str">
            <v>011582</v>
          </cell>
          <cell r="I1582" t="str">
            <v>1</v>
          </cell>
        </row>
        <row r="1583">
          <cell r="A1583" t="str">
            <v>PIURATALARAEL ALTO</v>
          </cell>
          <cell r="B1583" t="str">
            <v>20</v>
          </cell>
          <cell r="C1583" t="str">
            <v>07</v>
          </cell>
          <cell r="D1583" t="str">
            <v>02</v>
          </cell>
          <cell r="E1583" t="str">
            <v>PIURA</v>
          </cell>
          <cell r="F1583" t="str">
            <v>TALARA</v>
          </cell>
          <cell r="G1583" t="str">
            <v>EL ALTO</v>
          </cell>
          <cell r="H1583" t="str">
            <v>011583</v>
          </cell>
          <cell r="I1583" t="str">
            <v>2</v>
          </cell>
        </row>
        <row r="1584">
          <cell r="A1584" t="str">
            <v>PIURATALARALA BREA</v>
          </cell>
          <cell r="B1584" t="str">
            <v>20</v>
          </cell>
          <cell r="C1584" t="str">
            <v>07</v>
          </cell>
          <cell r="D1584" t="str">
            <v>03</v>
          </cell>
          <cell r="E1584" t="str">
            <v>PIURA</v>
          </cell>
          <cell r="F1584" t="str">
            <v>TALARA</v>
          </cell>
          <cell r="G1584" t="str">
            <v>LA BREA</v>
          </cell>
          <cell r="H1584" t="str">
            <v>011584</v>
          </cell>
          <cell r="I1584" t="str">
            <v>2</v>
          </cell>
        </row>
        <row r="1585">
          <cell r="A1585" t="str">
            <v>PIURATALARALOBITOS</v>
          </cell>
          <cell r="B1585" t="str">
            <v>20</v>
          </cell>
          <cell r="C1585" t="str">
            <v>07</v>
          </cell>
          <cell r="D1585" t="str">
            <v>04</v>
          </cell>
          <cell r="E1585" t="str">
            <v>PIURA</v>
          </cell>
          <cell r="F1585" t="str">
            <v>TALARA</v>
          </cell>
          <cell r="G1585" t="str">
            <v>LOBITOS</v>
          </cell>
          <cell r="H1585" t="str">
            <v>011585</v>
          </cell>
          <cell r="I1585" t="str">
            <v>2</v>
          </cell>
        </row>
        <row r="1586">
          <cell r="A1586" t="str">
            <v>PIURATALARALOS ORGANOS</v>
          </cell>
          <cell r="B1586" t="str">
            <v>20</v>
          </cell>
          <cell r="C1586" t="str">
            <v>07</v>
          </cell>
          <cell r="D1586" t="str">
            <v>05</v>
          </cell>
          <cell r="E1586" t="str">
            <v>PIURA</v>
          </cell>
          <cell r="F1586" t="str">
            <v>TALARA</v>
          </cell>
          <cell r="G1586" t="str">
            <v>LOS ORGANOS</v>
          </cell>
          <cell r="H1586" t="str">
            <v>011586</v>
          </cell>
          <cell r="I1586" t="str">
            <v>2</v>
          </cell>
        </row>
        <row r="1587">
          <cell r="A1587" t="str">
            <v>PIURATALARAMANCORA</v>
          </cell>
          <cell r="B1587" t="str">
            <v>20</v>
          </cell>
          <cell r="C1587" t="str">
            <v>07</v>
          </cell>
          <cell r="D1587" t="str">
            <v>06</v>
          </cell>
          <cell r="E1587" t="str">
            <v>PIURA</v>
          </cell>
          <cell r="F1587" t="str">
            <v>TALARA</v>
          </cell>
          <cell r="G1587" t="str">
            <v>MANCORA</v>
          </cell>
          <cell r="H1587" t="str">
            <v>011587</v>
          </cell>
          <cell r="I1587" t="str">
            <v>2</v>
          </cell>
        </row>
        <row r="1588">
          <cell r="A1588" t="str">
            <v>PIURASECHURASECHURA</v>
          </cell>
          <cell r="B1588" t="str">
            <v>20</v>
          </cell>
          <cell r="C1588" t="str">
            <v>08</v>
          </cell>
          <cell r="D1588" t="str">
            <v>01</v>
          </cell>
          <cell r="E1588" t="str">
            <v>PIURA</v>
          </cell>
          <cell r="F1588" t="str">
            <v>SECHURA</v>
          </cell>
          <cell r="G1588" t="str">
            <v>SECHURA</v>
          </cell>
          <cell r="H1588" t="str">
            <v>011588</v>
          </cell>
          <cell r="I1588" t="str">
            <v>1</v>
          </cell>
        </row>
        <row r="1589">
          <cell r="A1589" t="str">
            <v>PIURASECHURABELLAVISTA DE LA UNION</v>
          </cell>
          <cell r="B1589" t="str">
            <v>20</v>
          </cell>
          <cell r="C1589" t="str">
            <v>08</v>
          </cell>
          <cell r="D1589" t="str">
            <v>02</v>
          </cell>
          <cell r="E1589" t="str">
            <v>PIURA</v>
          </cell>
          <cell r="F1589" t="str">
            <v>SECHURA</v>
          </cell>
          <cell r="G1589" t="str">
            <v>BELLAVISTA DE LA UNION</v>
          </cell>
          <cell r="H1589" t="str">
            <v>011590</v>
          </cell>
          <cell r="I1589" t="str">
            <v>2</v>
          </cell>
        </row>
        <row r="1590">
          <cell r="A1590" t="str">
            <v>PIURASECHURABERNAL</v>
          </cell>
          <cell r="B1590" t="str">
            <v>20</v>
          </cell>
          <cell r="C1590" t="str">
            <v>08</v>
          </cell>
          <cell r="D1590" t="str">
            <v>03</v>
          </cell>
          <cell r="E1590" t="str">
            <v>PIURA</v>
          </cell>
          <cell r="F1590" t="str">
            <v>SECHURA</v>
          </cell>
          <cell r="G1590" t="str">
            <v>BERNAL</v>
          </cell>
          <cell r="H1590" t="str">
            <v>011589</v>
          </cell>
          <cell r="I1590" t="str">
            <v>2</v>
          </cell>
        </row>
        <row r="1591">
          <cell r="A1591" t="str">
            <v>PIURASECHURACRISTO NOS VALGA</v>
          </cell>
          <cell r="B1591" t="str">
            <v>20</v>
          </cell>
          <cell r="C1591" t="str">
            <v>08</v>
          </cell>
          <cell r="D1591" t="str">
            <v>04</v>
          </cell>
          <cell r="E1591" t="str">
            <v>PIURA</v>
          </cell>
          <cell r="F1591" t="str">
            <v>SECHURA</v>
          </cell>
          <cell r="G1591" t="str">
            <v>CRISTO NOS VALGA</v>
          </cell>
          <cell r="H1591" t="str">
            <v>011591</v>
          </cell>
          <cell r="I1591" t="str">
            <v>2</v>
          </cell>
        </row>
        <row r="1592">
          <cell r="A1592" t="str">
            <v>PIURASECHURAVICE</v>
          </cell>
          <cell r="B1592" t="str">
            <v>20</v>
          </cell>
          <cell r="C1592" t="str">
            <v>08</v>
          </cell>
          <cell r="D1592" t="str">
            <v>05</v>
          </cell>
          <cell r="E1592" t="str">
            <v>PIURA</v>
          </cell>
          <cell r="F1592" t="str">
            <v>SECHURA</v>
          </cell>
          <cell r="G1592" t="str">
            <v>VICE</v>
          </cell>
          <cell r="H1592" t="str">
            <v>011592</v>
          </cell>
          <cell r="I1592" t="str">
            <v>2</v>
          </cell>
        </row>
        <row r="1593">
          <cell r="A1593" t="str">
            <v>PIURASECHURARINCONADA LLICUAR</v>
          </cell>
          <cell r="B1593" t="str">
            <v>20</v>
          </cell>
          <cell r="C1593" t="str">
            <v>08</v>
          </cell>
          <cell r="D1593" t="str">
            <v>06</v>
          </cell>
          <cell r="E1593" t="str">
            <v>PIURA</v>
          </cell>
          <cell r="F1593" t="str">
            <v>SECHURA</v>
          </cell>
          <cell r="G1593" t="str">
            <v>RINCONADA LLICUAR</v>
          </cell>
          <cell r="H1593" t="str">
            <v>011593</v>
          </cell>
          <cell r="I1593" t="str">
            <v>2</v>
          </cell>
        </row>
        <row r="1594">
          <cell r="A1594" t="str">
            <v>PUNOPUNOPUNO</v>
          </cell>
          <cell r="B1594" t="str">
            <v>21</v>
          </cell>
          <cell r="C1594" t="str">
            <v>01</v>
          </cell>
          <cell r="D1594" t="str">
            <v>01</v>
          </cell>
          <cell r="E1594" t="str">
            <v>PUNO</v>
          </cell>
          <cell r="F1594" t="str">
            <v>PUNO</v>
          </cell>
          <cell r="G1594" t="str">
            <v>PUNO</v>
          </cell>
          <cell r="H1594" t="str">
            <v>012755</v>
          </cell>
          <cell r="I1594" t="str">
            <v>1</v>
          </cell>
        </row>
        <row r="1595">
          <cell r="A1595" t="str">
            <v>PUNOPUNOACORA</v>
          </cell>
          <cell r="B1595" t="str">
            <v>21</v>
          </cell>
          <cell r="C1595" t="str">
            <v>01</v>
          </cell>
          <cell r="D1595" t="str">
            <v>02</v>
          </cell>
          <cell r="E1595" t="str">
            <v>PUNO</v>
          </cell>
          <cell r="F1595" t="str">
            <v>PUNO</v>
          </cell>
          <cell r="G1595" t="str">
            <v>ACORA</v>
          </cell>
          <cell r="H1595" t="str">
            <v>012257</v>
          </cell>
          <cell r="I1595" t="str">
            <v>2</v>
          </cell>
        </row>
        <row r="1596">
          <cell r="A1596" t="str">
            <v>PUNOPUNOAMANTANI</v>
          </cell>
          <cell r="B1596" t="str">
            <v>21</v>
          </cell>
          <cell r="C1596" t="str">
            <v>01</v>
          </cell>
          <cell r="D1596" t="str">
            <v>03</v>
          </cell>
          <cell r="E1596" t="str">
            <v>PUNO</v>
          </cell>
          <cell r="F1596" t="str">
            <v>PUNO</v>
          </cell>
          <cell r="G1596" t="str">
            <v>AMANTANI</v>
          </cell>
          <cell r="H1596" t="str">
            <v>011599</v>
          </cell>
          <cell r="I1596" t="str">
            <v>2</v>
          </cell>
        </row>
        <row r="1597">
          <cell r="A1597" t="str">
            <v>PUNOPUNOATUNCOLLA</v>
          </cell>
          <cell r="B1597" t="str">
            <v>21</v>
          </cell>
          <cell r="C1597" t="str">
            <v>01</v>
          </cell>
          <cell r="D1597" t="str">
            <v>04</v>
          </cell>
          <cell r="E1597" t="str">
            <v>PUNO</v>
          </cell>
          <cell r="F1597" t="str">
            <v>PUNO</v>
          </cell>
          <cell r="G1597" t="str">
            <v>ATUNCOLLA</v>
          </cell>
          <cell r="H1597" t="str">
            <v>011600</v>
          </cell>
          <cell r="I1597" t="str">
            <v>2</v>
          </cell>
        </row>
        <row r="1598">
          <cell r="A1598" t="str">
            <v>PUNOPUNOCAPACHICA</v>
          </cell>
          <cell r="B1598" t="str">
            <v>21</v>
          </cell>
          <cell r="C1598" t="str">
            <v>01</v>
          </cell>
          <cell r="D1598" t="str">
            <v>05</v>
          </cell>
          <cell r="E1598" t="str">
            <v>PUNO</v>
          </cell>
          <cell r="F1598" t="str">
            <v>PUNO</v>
          </cell>
          <cell r="G1598" t="str">
            <v>CAPACHICA</v>
          </cell>
          <cell r="H1598" t="str">
            <v>011601</v>
          </cell>
          <cell r="I1598" t="str">
            <v>2</v>
          </cell>
        </row>
        <row r="1599">
          <cell r="A1599" t="str">
            <v>PUNOPUNOCHUCUITO</v>
          </cell>
          <cell r="B1599" t="str">
            <v>21</v>
          </cell>
          <cell r="C1599" t="str">
            <v>01</v>
          </cell>
          <cell r="D1599" t="str">
            <v>06</v>
          </cell>
          <cell r="E1599" t="str">
            <v>PUNO</v>
          </cell>
          <cell r="F1599" t="str">
            <v>PUNO</v>
          </cell>
          <cell r="G1599" t="str">
            <v>CHUCUITO</v>
          </cell>
          <cell r="H1599" t="str">
            <v>012748</v>
          </cell>
          <cell r="I1599" t="str">
            <v>2</v>
          </cell>
        </row>
        <row r="1600">
          <cell r="A1600" t="str">
            <v>PUNOPUNOCOATA</v>
          </cell>
          <cell r="B1600" t="str">
            <v>21</v>
          </cell>
          <cell r="C1600" t="str">
            <v>01</v>
          </cell>
          <cell r="D1600" t="str">
            <v>07</v>
          </cell>
          <cell r="E1600" t="str">
            <v>PUNO</v>
          </cell>
          <cell r="F1600" t="str">
            <v>PUNO</v>
          </cell>
          <cell r="G1600" t="str">
            <v>COATA</v>
          </cell>
          <cell r="H1600" t="str">
            <v>012281</v>
          </cell>
          <cell r="I1600" t="str">
            <v>2</v>
          </cell>
        </row>
        <row r="1601">
          <cell r="A1601" t="str">
            <v>PUNOPUNOHUATA</v>
          </cell>
          <cell r="B1601" t="str">
            <v>21</v>
          </cell>
          <cell r="C1601" t="str">
            <v>01</v>
          </cell>
          <cell r="D1601" t="str">
            <v>08</v>
          </cell>
          <cell r="E1601" t="str">
            <v>PUNO</v>
          </cell>
          <cell r="F1601" t="str">
            <v>PUNO</v>
          </cell>
          <cell r="G1601" t="str">
            <v>HUATA</v>
          </cell>
          <cell r="H1601" t="str">
            <v>011603</v>
          </cell>
          <cell r="I1601" t="str">
            <v>2</v>
          </cell>
        </row>
        <row r="1602">
          <cell r="A1602" t="str">
            <v>PUNOPUNOMAÑAZO</v>
          </cell>
          <cell r="B1602" t="str">
            <v>21</v>
          </cell>
          <cell r="C1602" t="str">
            <v>01</v>
          </cell>
          <cell r="D1602" t="str">
            <v>09</v>
          </cell>
          <cell r="E1602" t="str">
            <v>PUNO</v>
          </cell>
          <cell r="F1602" t="str">
            <v>PUNO</v>
          </cell>
          <cell r="G1602" t="str">
            <v>MAÑAZO</v>
          </cell>
          <cell r="H1602" t="str">
            <v>012253</v>
          </cell>
          <cell r="I1602" t="str">
            <v>2</v>
          </cell>
        </row>
        <row r="1603">
          <cell r="A1603" t="str">
            <v>PUNOPUNOPAUCARCOLLA</v>
          </cell>
          <cell r="B1603" t="str">
            <v>21</v>
          </cell>
          <cell r="C1603" t="str">
            <v>01</v>
          </cell>
          <cell r="D1603" t="str">
            <v>10</v>
          </cell>
          <cell r="E1603" t="str">
            <v>PUNO</v>
          </cell>
          <cell r="F1603" t="str">
            <v>PUNO</v>
          </cell>
          <cell r="G1603" t="str">
            <v>PAUCARCOLLA</v>
          </cell>
          <cell r="H1603" t="str">
            <v>011597</v>
          </cell>
          <cell r="I1603" t="str">
            <v>2</v>
          </cell>
        </row>
        <row r="1604">
          <cell r="A1604" t="str">
            <v>PUNOPUNOPICHACANI</v>
          </cell>
          <cell r="B1604" t="str">
            <v>21</v>
          </cell>
          <cell r="C1604" t="str">
            <v>01</v>
          </cell>
          <cell r="D1604" t="str">
            <v>11</v>
          </cell>
          <cell r="E1604" t="str">
            <v>PUNO</v>
          </cell>
          <cell r="F1604" t="str">
            <v>PUNO</v>
          </cell>
          <cell r="G1604" t="str">
            <v>PICHACANI</v>
          </cell>
          <cell r="H1604" t="str">
            <v>011605</v>
          </cell>
          <cell r="I1604" t="str">
            <v>2</v>
          </cell>
        </row>
        <row r="1605">
          <cell r="A1605" t="str">
            <v>PUNOPUNOPLATERIA</v>
          </cell>
          <cell r="B1605" t="str">
            <v>21</v>
          </cell>
          <cell r="C1605" t="str">
            <v>01</v>
          </cell>
          <cell r="D1605" t="str">
            <v>12</v>
          </cell>
          <cell r="E1605" t="str">
            <v>PUNO</v>
          </cell>
          <cell r="F1605" t="str">
            <v>PUNO</v>
          </cell>
          <cell r="G1605" t="str">
            <v>PLATERIA</v>
          </cell>
          <cell r="H1605" t="str">
            <v>011598</v>
          </cell>
          <cell r="I1605" t="str">
            <v>2</v>
          </cell>
        </row>
        <row r="1606">
          <cell r="A1606" t="str">
            <v>PUNOPUNOSAN ANTONIO</v>
          </cell>
          <cell r="B1606" t="str">
            <v>21</v>
          </cell>
          <cell r="C1606" t="str">
            <v>01</v>
          </cell>
          <cell r="D1606" t="str">
            <v>13</v>
          </cell>
          <cell r="E1606" t="str">
            <v>PUNO</v>
          </cell>
          <cell r="F1606" t="str">
            <v>PUNO</v>
          </cell>
          <cell r="G1606" t="str">
            <v>SAN ANTONIO</v>
          </cell>
          <cell r="H1606" t="str">
            <v>011606</v>
          </cell>
          <cell r="I1606" t="str">
            <v>2</v>
          </cell>
        </row>
        <row r="1607">
          <cell r="A1607" t="str">
            <v>PUNOPUNOTIQUILLACA</v>
          </cell>
          <cell r="B1607" t="str">
            <v>21</v>
          </cell>
          <cell r="C1607" t="str">
            <v>01</v>
          </cell>
          <cell r="D1607" t="str">
            <v>14</v>
          </cell>
          <cell r="E1607" t="str">
            <v>PUNO</v>
          </cell>
          <cell r="F1607" t="str">
            <v>PUNO</v>
          </cell>
          <cell r="G1607" t="str">
            <v>TIQUILLACA</v>
          </cell>
          <cell r="H1607" t="str">
            <v>011607</v>
          </cell>
          <cell r="I1607" t="str">
            <v>2</v>
          </cell>
        </row>
        <row r="1608">
          <cell r="A1608" t="str">
            <v>PUNOPUNOVILQUE</v>
          </cell>
          <cell r="B1608" t="str">
            <v>21</v>
          </cell>
          <cell r="C1608" t="str">
            <v>01</v>
          </cell>
          <cell r="D1608" t="str">
            <v>15</v>
          </cell>
          <cell r="E1608" t="str">
            <v>PUNO</v>
          </cell>
          <cell r="F1608" t="str">
            <v>PUNO</v>
          </cell>
          <cell r="G1608" t="str">
            <v>VILQUE</v>
          </cell>
          <cell r="H1608" t="str">
            <v>011608</v>
          </cell>
          <cell r="I1608" t="str">
            <v>2</v>
          </cell>
        </row>
        <row r="1609">
          <cell r="A1609" t="str">
            <v>PUNOAZANGAROAZANGARO</v>
          </cell>
          <cell r="B1609" t="str">
            <v>21</v>
          </cell>
          <cell r="C1609" t="str">
            <v>02</v>
          </cell>
          <cell r="D1609" t="str">
            <v>01</v>
          </cell>
          <cell r="E1609" t="str">
            <v>PUNO</v>
          </cell>
          <cell r="F1609" t="str">
            <v>AZANGARO</v>
          </cell>
          <cell r="G1609" t="str">
            <v>AZANGARO</v>
          </cell>
          <cell r="H1609" t="str">
            <v>011634</v>
          </cell>
          <cell r="I1609" t="str">
            <v>1</v>
          </cell>
        </row>
        <row r="1610">
          <cell r="A1610" t="str">
            <v>PUNOAZANGAROACHAYA</v>
          </cell>
          <cell r="B1610" t="str">
            <v>21</v>
          </cell>
          <cell r="C1610" t="str">
            <v>02</v>
          </cell>
          <cell r="D1610" t="str">
            <v>02</v>
          </cell>
          <cell r="E1610" t="str">
            <v>PUNO</v>
          </cell>
          <cell r="F1610" t="str">
            <v>AZANGARO</v>
          </cell>
          <cell r="G1610" t="str">
            <v>ACHAYA</v>
          </cell>
          <cell r="H1610" t="str">
            <v>011635</v>
          </cell>
          <cell r="I1610" t="str">
            <v>2</v>
          </cell>
        </row>
        <row r="1611">
          <cell r="A1611" t="str">
            <v>PUNOAZANGAROARAPA</v>
          </cell>
          <cell r="B1611" t="str">
            <v>21</v>
          </cell>
          <cell r="C1611" t="str">
            <v>02</v>
          </cell>
          <cell r="D1611" t="str">
            <v>03</v>
          </cell>
          <cell r="E1611" t="str">
            <v>PUNO</v>
          </cell>
          <cell r="F1611" t="str">
            <v>AZANGARO</v>
          </cell>
          <cell r="G1611" t="str">
            <v>ARAPA</v>
          </cell>
          <cell r="H1611" t="str">
            <v>011636</v>
          </cell>
          <cell r="I1611" t="str">
            <v>2</v>
          </cell>
        </row>
        <row r="1612">
          <cell r="A1612" t="str">
            <v>PUNOAZANGAROASILLO</v>
          </cell>
          <cell r="B1612" t="str">
            <v>21</v>
          </cell>
          <cell r="C1612" t="str">
            <v>02</v>
          </cell>
          <cell r="D1612" t="str">
            <v>04</v>
          </cell>
          <cell r="E1612" t="str">
            <v>PUNO</v>
          </cell>
          <cell r="F1612" t="str">
            <v>AZANGARO</v>
          </cell>
          <cell r="G1612" t="str">
            <v>ASILLO</v>
          </cell>
          <cell r="H1612" t="str">
            <v>011642</v>
          </cell>
          <cell r="I1612" t="str">
            <v>2</v>
          </cell>
        </row>
        <row r="1613">
          <cell r="A1613" t="str">
            <v>PUNOAZANGAROCAMINACA</v>
          </cell>
          <cell r="B1613" t="str">
            <v>21</v>
          </cell>
          <cell r="C1613" t="str">
            <v>02</v>
          </cell>
          <cell r="D1613" t="str">
            <v>05</v>
          </cell>
          <cell r="E1613" t="str">
            <v>PUNO</v>
          </cell>
          <cell r="F1613" t="str">
            <v>AZANGARO</v>
          </cell>
          <cell r="G1613" t="str">
            <v>CAMINACA</v>
          </cell>
          <cell r="H1613" t="str">
            <v>011637</v>
          </cell>
          <cell r="I1613" t="str">
            <v>2</v>
          </cell>
        </row>
        <row r="1614">
          <cell r="A1614" t="str">
            <v>PUNOAZANGAROCHUPA</v>
          </cell>
          <cell r="B1614" t="str">
            <v>21</v>
          </cell>
          <cell r="C1614" t="str">
            <v>02</v>
          </cell>
          <cell r="D1614" t="str">
            <v>06</v>
          </cell>
          <cell r="E1614" t="str">
            <v>PUNO</v>
          </cell>
          <cell r="F1614" t="str">
            <v>AZANGARO</v>
          </cell>
          <cell r="G1614" t="str">
            <v>CHUPA</v>
          </cell>
          <cell r="H1614" t="str">
            <v>011643</v>
          </cell>
          <cell r="I1614" t="str">
            <v>2</v>
          </cell>
        </row>
        <row r="1615">
          <cell r="A1615" t="str">
            <v>PUNOAZANGAROJOSE DOMINGO CHOQUEHUANCA</v>
          </cell>
          <cell r="B1615" t="str">
            <v>21</v>
          </cell>
          <cell r="C1615" t="str">
            <v>02</v>
          </cell>
          <cell r="D1615" t="str">
            <v>07</v>
          </cell>
          <cell r="E1615" t="str">
            <v>PUNO</v>
          </cell>
          <cell r="F1615" t="str">
            <v>AZANGARO</v>
          </cell>
          <cell r="G1615" t="str">
            <v>JOSE DOMINGO CHOQUEHUANCA</v>
          </cell>
          <cell r="H1615" t="str">
            <v>011638</v>
          </cell>
          <cell r="I1615" t="str">
            <v>2</v>
          </cell>
        </row>
        <row r="1616">
          <cell r="A1616" t="str">
            <v>PUNOAZANGAROMUÑANI</v>
          </cell>
          <cell r="B1616" t="str">
            <v>21</v>
          </cell>
          <cell r="C1616" t="str">
            <v>02</v>
          </cell>
          <cell r="D1616" t="str">
            <v>08</v>
          </cell>
          <cell r="E1616" t="str">
            <v>PUNO</v>
          </cell>
          <cell r="F1616" t="str">
            <v>AZANGARO</v>
          </cell>
          <cell r="G1616" t="str">
            <v>MUÑANI</v>
          </cell>
          <cell r="H1616" t="str">
            <v>011644</v>
          </cell>
          <cell r="I1616" t="str">
            <v>2</v>
          </cell>
        </row>
        <row r="1617">
          <cell r="A1617" t="str">
            <v>PUNOAZANGAROPOTONI</v>
          </cell>
          <cell r="B1617" t="str">
            <v>21</v>
          </cell>
          <cell r="C1617" t="str">
            <v>02</v>
          </cell>
          <cell r="D1617" t="str">
            <v>09</v>
          </cell>
          <cell r="E1617" t="str">
            <v>PUNO</v>
          </cell>
          <cell r="F1617" t="str">
            <v>AZANGARO</v>
          </cell>
          <cell r="G1617" t="str">
            <v>POTONI</v>
          </cell>
          <cell r="H1617" t="str">
            <v>011645</v>
          </cell>
          <cell r="I1617" t="str">
            <v>2</v>
          </cell>
        </row>
        <row r="1618">
          <cell r="A1618" t="str">
            <v>PUNOAZANGAROSAMAN</v>
          </cell>
          <cell r="B1618" t="str">
            <v>21</v>
          </cell>
          <cell r="C1618" t="str">
            <v>02</v>
          </cell>
          <cell r="D1618" t="str">
            <v>10</v>
          </cell>
          <cell r="E1618" t="str">
            <v>PUNO</v>
          </cell>
          <cell r="F1618" t="str">
            <v>AZANGARO</v>
          </cell>
          <cell r="G1618" t="str">
            <v>SAMAN</v>
          </cell>
          <cell r="H1618" t="str">
            <v>011639</v>
          </cell>
          <cell r="I1618" t="str">
            <v>2</v>
          </cell>
        </row>
        <row r="1619">
          <cell r="A1619" t="str">
            <v>PUNOAZANGAROSAN ANTON</v>
          </cell>
          <cell r="B1619" t="str">
            <v>21</v>
          </cell>
          <cell r="C1619" t="str">
            <v>02</v>
          </cell>
          <cell r="D1619" t="str">
            <v>11</v>
          </cell>
          <cell r="E1619" t="str">
            <v>PUNO</v>
          </cell>
          <cell r="F1619" t="str">
            <v>AZANGARO</v>
          </cell>
          <cell r="G1619" t="str">
            <v>SAN ANTON</v>
          </cell>
          <cell r="H1619" t="str">
            <v>011646</v>
          </cell>
          <cell r="I1619" t="str">
            <v>2</v>
          </cell>
        </row>
        <row r="1620">
          <cell r="A1620" t="str">
            <v>PUNOAZANGAROSAN JOSE</v>
          </cell>
          <cell r="B1620" t="str">
            <v>21</v>
          </cell>
          <cell r="C1620" t="str">
            <v>02</v>
          </cell>
          <cell r="D1620" t="str">
            <v>12</v>
          </cell>
          <cell r="E1620" t="str">
            <v>PUNO</v>
          </cell>
          <cell r="F1620" t="str">
            <v>AZANGARO</v>
          </cell>
          <cell r="G1620" t="str">
            <v>SAN JOSE</v>
          </cell>
          <cell r="H1620" t="str">
            <v>011647</v>
          </cell>
          <cell r="I1620" t="str">
            <v>2</v>
          </cell>
        </row>
        <row r="1621">
          <cell r="A1621" t="str">
            <v>PUNOAZANGAROSAN JUAN DE SALINAS</v>
          </cell>
          <cell r="B1621" t="str">
            <v>21</v>
          </cell>
          <cell r="C1621" t="str">
            <v>02</v>
          </cell>
          <cell r="D1621" t="str">
            <v>13</v>
          </cell>
          <cell r="E1621" t="str">
            <v>PUNO</v>
          </cell>
          <cell r="F1621" t="str">
            <v>AZANGARO</v>
          </cell>
          <cell r="G1621" t="str">
            <v>SAN JUAN DE SALINAS</v>
          </cell>
          <cell r="H1621" t="str">
            <v>011648</v>
          </cell>
          <cell r="I1621" t="str">
            <v>2</v>
          </cell>
        </row>
        <row r="1622">
          <cell r="A1622" t="str">
            <v>PUNOAZANGAROSANTIAGO DE PUPUJA</v>
          </cell>
          <cell r="B1622" t="str">
            <v>21</v>
          </cell>
          <cell r="C1622" t="str">
            <v>02</v>
          </cell>
          <cell r="D1622" t="str">
            <v>14</v>
          </cell>
          <cell r="E1622" t="str">
            <v>PUNO</v>
          </cell>
          <cell r="F1622" t="str">
            <v>AZANGARO</v>
          </cell>
          <cell r="G1622" t="str">
            <v>SANTIAGO DE PUPUJA</v>
          </cell>
          <cell r="H1622" t="str">
            <v>011640</v>
          </cell>
          <cell r="I1622" t="str">
            <v>2</v>
          </cell>
        </row>
        <row r="1623">
          <cell r="A1623" t="str">
            <v>PUNOAZANGAROTIRAPATA</v>
          </cell>
          <cell r="B1623" t="str">
            <v>21</v>
          </cell>
          <cell r="C1623" t="str">
            <v>02</v>
          </cell>
          <cell r="D1623" t="str">
            <v>15</v>
          </cell>
          <cell r="E1623" t="str">
            <v>PUNO</v>
          </cell>
          <cell r="F1623" t="str">
            <v>AZANGARO</v>
          </cell>
          <cell r="G1623" t="str">
            <v>TIRAPATA</v>
          </cell>
          <cell r="H1623" t="str">
            <v>011641</v>
          </cell>
          <cell r="I1623" t="str">
            <v>2</v>
          </cell>
        </row>
        <row r="1624">
          <cell r="A1624" t="str">
            <v>PUNOCARABAYAMACUSANI</v>
          </cell>
          <cell r="B1624" t="str">
            <v>21</v>
          </cell>
          <cell r="C1624" t="str">
            <v>03</v>
          </cell>
          <cell r="D1624" t="str">
            <v>01</v>
          </cell>
          <cell r="E1624" t="str">
            <v>PUNO</v>
          </cell>
          <cell r="F1624" t="str">
            <v>CARABAYA</v>
          </cell>
          <cell r="G1624" t="str">
            <v>MACUSANI</v>
          </cell>
          <cell r="H1624" t="str">
            <v>011649</v>
          </cell>
          <cell r="I1624" t="str">
            <v>1</v>
          </cell>
        </row>
        <row r="1625">
          <cell r="A1625" t="str">
            <v>PUNOCARABAYAAJOYANI</v>
          </cell>
          <cell r="B1625" t="str">
            <v>21</v>
          </cell>
          <cell r="C1625" t="str">
            <v>03</v>
          </cell>
          <cell r="D1625" t="str">
            <v>02</v>
          </cell>
          <cell r="E1625" t="str">
            <v>PUNO</v>
          </cell>
          <cell r="F1625" t="str">
            <v>CARABAYA</v>
          </cell>
          <cell r="G1625" t="str">
            <v>AJOYANI</v>
          </cell>
          <cell r="H1625" t="str">
            <v>011650</v>
          </cell>
          <cell r="I1625" t="str">
            <v>2</v>
          </cell>
        </row>
        <row r="1626">
          <cell r="A1626" t="str">
            <v>PUNOCARABAYAAYAPATA</v>
          </cell>
          <cell r="B1626" t="str">
            <v>21</v>
          </cell>
          <cell r="C1626" t="str">
            <v>03</v>
          </cell>
          <cell r="D1626" t="str">
            <v>03</v>
          </cell>
          <cell r="E1626" t="str">
            <v>PUNO</v>
          </cell>
          <cell r="F1626" t="str">
            <v>CARABAYA</v>
          </cell>
          <cell r="G1626" t="str">
            <v>AYAPATA</v>
          </cell>
          <cell r="H1626" t="str">
            <v>011651</v>
          </cell>
          <cell r="I1626" t="str">
            <v>2</v>
          </cell>
        </row>
        <row r="1627">
          <cell r="A1627" t="str">
            <v>PUNOCARABAYACOASA</v>
          </cell>
          <cell r="B1627" t="str">
            <v>21</v>
          </cell>
          <cell r="C1627" t="str">
            <v>03</v>
          </cell>
          <cell r="D1627" t="str">
            <v>04</v>
          </cell>
          <cell r="E1627" t="str">
            <v>PUNO</v>
          </cell>
          <cell r="F1627" t="str">
            <v>CARABAYA</v>
          </cell>
          <cell r="G1627" t="str">
            <v>COASA</v>
          </cell>
          <cell r="H1627" t="str">
            <v>011652</v>
          </cell>
          <cell r="I1627" t="str">
            <v>2</v>
          </cell>
        </row>
        <row r="1628">
          <cell r="A1628" t="str">
            <v>PUNOCARABAYACORANI</v>
          </cell>
          <cell r="B1628" t="str">
            <v>21</v>
          </cell>
          <cell r="C1628" t="str">
            <v>03</v>
          </cell>
          <cell r="D1628" t="str">
            <v>05</v>
          </cell>
          <cell r="E1628" t="str">
            <v>PUNO</v>
          </cell>
          <cell r="F1628" t="str">
            <v>CARABAYA</v>
          </cell>
          <cell r="G1628" t="str">
            <v>CORANI</v>
          </cell>
          <cell r="H1628" t="str">
            <v>011653</v>
          </cell>
          <cell r="I1628" t="str">
            <v>2</v>
          </cell>
        </row>
        <row r="1629">
          <cell r="A1629" t="str">
            <v>PUNOCARABAYACRUCERO</v>
          </cell>
          <cell r="B1629" t="str">
            <v>21</v>
          </cell>
          <cell r="C1629" t="str">
            <v>03</v>
          </cell>
          <cell r="D1629" t="str">
            <v>06</v>
          </cell>
          <cell r="E1629" t="str">
            <v>PUNO</v>
          </cell>
          <cell r="F1629" t="str">
            <v>CARABAYA</v>
          </cell>
          <cell r="G1629" t="str">
            <v>CRUCERO</v>
          </cell>
          <cell r="H1629" t="str">
            <v>011654</v>
          </cell>
          <cell r="I1629" t="str">
            <v>2</v>
          </cell>
        </row>
        <row r="1630">
          <cell r="A1630" t="str">
            <v>PUNOCARABAYAITUATA</v>
          </cell>
          <cell r="B1630" t="str">
            <v>21</v>
          </cell>
          <cell r="C1630" t="str">
            <v>03</v>
          </cell>
          <cell r="D1630" t="str">
            <v>07</v>
          </cell>
          <cell r="E1630" t="str">
            <v>PUNO</v>
          </cell>
          <cell r="F1630" t="str">
            <v>CARABAYA</v>
          </cell>
          <cell r="G1630" t="str">
            <v>ITUATA</v>
          </cell>
          <cell r="H1630" t="str">
            <v>012754</v>
          </cell>
          <cell r="I1630" t="str">
            <v>2</v>
          </cell>
        </row>
        <row r="1631">
          <cell r="A1631" t="str">
            <v>PUNOCARABAYAOLLACHEA</v>
          </cell>
          <cell r="B1631" t="str">
            <v>21</v>
          </cell>
          <cell r="C1631" t="str">
            <v>03</v>
          </cell>
          <cell r="D1631" t="str">
            <v>08</v>
          </cell>
          <cell r="E1631" t="str">
            <v>PUNO</v>
          </cell>
          <cell r="F1631" t="str">
            <v>CARABAYA</v>
          </cell>
          <cell r="G1631" t="str">
            <v>OLLACHEA</v>
          </cell>
          <cell r="H1631" t="str">
            <v>012750</v>
          </cell>
          <cell r="I1631" t="str">
            <v>2</v>
          </cell>
        </row>
        <row r="1632">
          <cell r="A1632" t="str">
            <v>PUNOCARABAYASAN GABAN</v>
          </cell>
          <cell r="B1632" t="str">
            <v>21</v>
          </cell>
          <cell r="C1632" t="str">
            <v>03</v>
          </cell>
          <cell r="D1632" t="str">
            <v>09</v>
          </cell>
          <cell r="E1632" t="str">
            <v>PUNO</v>
          </cell>
          <cell r="F1632" t="str">
            <v>CARABAYA</v>
          </cell>
          <cell r="G1632" t="str">
            <v>SAN GABAN</v>
          </cell>
          <cell r="H1632" t="str">
            <v>011657</v>
          </cell>
          <cell r="I1632" t="str">
            <v>2</v>
          </cell>
        </row>
        <row r="1633">
          <cell r="A1633" t="str">
            <v>PUNOCARABAYAUSICAYOS</v>
          </cell>
          <cell r="B1633" t="str">
            <v>21</v>
          </cell>
          <cell r="C1633" t="str">
            <v>03</v>
          </cell>
          <cell r="D1633" t="str">
            <v>10</v>
          </cell>
          <cell r="E1633" t="str">
            <v>PUNO</v>
          </cell>
          <cell r="F1633" t="str">
            <v>CARABAYA</v>
          </cell>
          <cell r="G1633" t="str">
            <v>USICAYOS</v>
          </cell>
          <cell r="H1633" t="str">
            <v>011658</v>
          </cell>
          <cell r="I1633" t="str">
            <v>2</v>
          </cell>
        </row>
        <row r="1634">
          <cell r="A1634" t="str">
            <v>PUNOCHUCUITOJULI</v>
          </cell>
          <cell r="B1634" t="str">
            <v>21</v>
          </cell>
          <cell r="C1634" t="str">
            <v>04</v>
          </cell>
          <cell r="D1634" t="str">
            <v>01</v>
          </cell>
          <cell r="E1634" t="str">
            <v>PUNO</v>
          </cell>
          <cell r="F1634" t="str">
            <v>CHUCUITO</v>
          </cell>
          <cell r="G1634" t="str">
            <v>JULI</v>
          </cell>
          <cell r="H1634" t="str">
            <v>011609</v>
          </cell>
          <cell r="I1634" t="str">
            <v>1</v>
          </cell>
        </row>
        <row r="1635">
          <cell r="A1635" t="str">
            <v>PUNOCHUCUITODESAGUADERO</v>
          </cell>
          <cell r="B1635" t="str">
            <v>21</v>
          </cell>
          <cell r="C1635" t="str">
            <v>04</v>
          </cell>
          <cell r="D1635" t="str">
            <v>02</v>
          </cell>
          <cell r="E1635" t="str">
            <v>PUNO</v>
          </cell>
          <cell r="F1635" t="str">
            <v>CHUCUITO</v>
          </cell>
          <cell r="G1635" t="str">
            <v>DESAGUADERO</v>
          </cell>
          <cell r="H1635" t="str">
            <v>012274</v>
          </cell>
          <cell r="I1635" t="str">
            <v>2</v>
          </cell>
        </row>
        <row r="1636">
          <cell r="A1636" t="str">
            <v>PUNOCHUCUITOHUACULLANI</v>
          </cell>
          <cell r="B1636" t="str">
            <v>21</v>
          </cell>
          <cell r="C1636" t="str">
            <v>04</v>
          </cell>
          <cell r="D1636" t="str">
            <v>03</v>
          </cell>
          <cell r="E1636" t="str">
            <v>PUNO</v>
          </cell>
          <cell r="F1636" t="str">
            <v>CHUCUITO</v>
          </cell>
          <cell r="G1636" t="str">
            <v>HUACULLANI</v>
          </cell>
          <cell r="H1636" t="str">
            <v>011611</v>
          </cell>
          <cell r="I1636" t="str">
            <v>2</v>
          </cell>
        </row>
        <row r="1637">
          <cell r="A1637" t="str">
            <v>PUNOCHUCUITOKELLUYO</v>
          </cell>
          <cell r="B1637" t="str">
            <v>21</v>
          </cell>
          <cell r="C1637" t="str">
            <v>04</v>
          </cell>
          <cell r="D1637" t="str">
            <v>04</v>
          </cell>
          <cell r="E1637" t="str">
            <v>PUNO</v>
          </cell>
          <cell r="F1637" t="str">
            <v>CHUCUITO</v>
          </cell>
          <cell r="G1637" t="str">
            <v>KELLUYO</v>
          </cell>
          <cell r="H1637" t="str">
            <v>012278</v>
          </cell>
          <cell r="I1637" t="str">
            <v>2</v>
          </cell>
        </row>
        <row r="1638">
          <cell r="A1638" t="str">
            <v>PUNOCHUCUITOPISACOMA</v>
          </cell>
          <cell r="B1638" t="str">
            <v>21</v>
          </cell>
          <cell r="C1638" t="str">
            <v>04</v>
          </cell>
          <cell r="D1638" t="str">
            <v>05</v>
          </cell>
          <cell r="E1638" t="str">
            <v>PUNO</v>
          </cell>
          <cell r="F1638" t="str">
            <v>CHUCUITO</v>
          </cell>
          <cell r="G1638" t="str">
            <v>PISACOMA</v>
          </cell>
          <cell r="H1638" t="str">
            <v>012765</v>
          </cell>
          <cell r="I1638" t="str">
            <v>2</v>
          </cell>
        </row>
        <row r="1639">
          <cell r="A1639" t="str">
            <v>PUNOCHUCUITOPOMATA</v>
          </cell>
          <cell r="B1639" t="str">
            <v>21</v>
          </cell>
          <cell r="C1639" t="str">
            <v>04</v>
          </cell>
          <cell r="D1639" t="str">
            <v>06</v>
          </cell>
          <cell r="E1639" t="str">
            <v>PUNO</v>
          </cell>
          <cell r="F1639" t="str">
            <v>CHUCUITO</v>
          </cell>
          <cell r="G1639" t="str">
            <v>POMATA</v>
          </cell>
          <cell r="H1639" t="str">
            <v>011614</v>
          </cell>
          <cell r="I1639" t="str">
            <v>2</v>
          </cell>
        </row>
        <row r="1640">
          <cell r="A1640" t="str">
            <v>PUNOCHUCUITOZEPITA</v>
          </cell>
          <cell r="B1640" t="str">
            <v>21</v>
          </cell>
          <cell r="C1640" t="str">
            <v>04</v>
          </cell>
          <cell r="D1640" t="str">
            <v>07</v>
          </cell>
          <cell r="E1640" t="str">
            <v>PUNO</v>
          </cell>
          <cell r="F1640" t="str">
            <v>CHUCUITO</v>
          </cell>
          <cell r="G1640" t="str">
            <v>ZEPITA</v>
          </cell>
          <cell r="H1640" t="str">
            <v>011615</v>
          </cell>
          <cell r="I1640" t="str">
            <v>2</v>
          </cell>
        </row>
        <row r="1641">
          <cell r="A1641" t="str">
            <v>PUNOEL COLLAOILAVE</v>
          </cell>
          <cell r="B1641" t="str">
            <v>21</v>
          </cell>
          <cell r="C1641" t="str">
            <v>05</v>
          </cell>
          <cell r="D1641" t="str">
            <v>01</v>
          </cell>
          <cell r="E1641" t="str">
            <v>PUNO</v>
          </cell>
          <cell r="F1641" t="str">
            <v>EL COLLAO</v>
          </cell>
          <cell r="G1641" t="str">
            <v>ILAVE</v>
          </cell>
          <cell r="H1641" t="str">
            <v>012262</v>
          </cell>
          <cell r="I1641" t="str">
            <v>1</v>
          </cell>
        </row>
        <row r="1642">
          <cell r="A1642" t="str">
            <v>PUNOEL COLLAOCAPASO</v>
          </cell>
          <cell r="B1642" t="str">
            <v>21</v>
          </cell>
          <cell r="C1642" t="str">
            <v>05</v>
          </cell>
          <cell r="D1642" t="str">
            <v>02</v>
          </cell>
          <cell r="E1642" t="str">
            <v>PUNO</v>
          </cell>
          <cell r="F1642" t="str">
            <v>EL COLLAO</v>
          </cell>
          <cell r="G1642" t="str">
            <v>CAPASO</v>
          </cell>
          <cell r="H1642" t="str">
            <v>012747</v>
          </cell>
          <cell r="I1642" t="str">
            <v>2</v>
          </cell>
        </row>
        <row r="1643">
          <cell r="A1643" t="str">
            <v>PUNOEL COLLAOPILCUYO</v>
          </cell>
          <cell r="B1643" t="str">
            <v>21</v>
          </cell>
          <cell r="C1643" t="str">
            <v>05</v>
          </cell>
          <cell r="D1643" t="str">
            <v>03</v>
          </cell>
          <cell r="E1643" t="str">
            <v>PUNO</v>
          </cell>
          <cell r="F1643" t="str">
            <v>EL COLLAO</v>
          </cell>
          <cell r="G1643" t="str">
            <v>PILCUYO</v>
          </cell>
          <cell r="H1643" t="str">
            <v>011618</v>
          </cell>
          <cell r="I1643" t="str">
            <v>2</v>
          </cell>
        </row>
        <row r="1644">
          <cell r="A1644" t="str">
            <v>PUNOEL COLLAOSANTA ROSA</v>
          </cell>
          <cell r="B1644" t="str">
            <v>21</v>
          </cell>
          <cell r="C1644" t="str">
            <v>05</v>
          </cell>
          <cell r="D1644" t="str">
            <v>04</v>
          </cell>
          <cell r="E1644" t="str">
            <v>PUNO</v>
          </cell>
          <cell r="F1644" t="str">
            <v>EL COLLAO</v>
          </cell>
          <cell r="G1644" t="str">
            <v>SANTA ROSA</v>
          </cell>
          <cell r="H1644" t="str">
            <v>011619</v>
          </cell>
          <cell r="I1644" t="str">
            <v>2</v>
          </cell>
        </row>
        <row r="1645">
          <cell r="A1645" t="str">
            <v>PUNOEL COLLAOCONDURIRI</v>
          </cell>
          <cell r="B1645" t="str">
            <v>21</v>
          </cell>
          <cell r="C1645" t="str">
            <v>05</v>
          </cell>
          <cell r="D1645" t="str">
            <v>05</v>
          </cell>
          <cell r="E1645" t="str">
            <v>PUNO</v>
          </cell>
          <cell r="F1645" t="str">
            <v>EL COLLAO</v>
          </cell>
          <cell r="G1645" t="str">
            <v>CONDURIRI</v>
          </cell>
          <cell r="H1645" t="str">
            <v>011620</v>
          </cell>
          <cell r="I1645" t="str">
            <v>2</v>
          </cell>
        </row>
        <row r="1646">
          <cell r="A1646" t="str">
            <v>PUNOHUANCANEHUANCANE</v>
          </cell>
          <cell r="B1646" t="str">
            <v>21</v>
          </cell>
          <cell r="C1646" t="str">
            <v>06</v>
          </cell>
          <cell r="D1646" t="str">
            <v>01</v>
          </cell>
          <cell r="E1646" t="str">
            <v>PUNO</v>
          </cell>
          <cell r="F1646" t="str">
            <v>HUANCANE</v>
          </cell>
          <cell r="G1646" t="str">
            <v>HUANCANE</v>
          </cell>
          <cell r="H1646" t="str">
            <v>011659</v>
          </cell>
          <cell r="I1646" t="str">
            <v>1</v>
          </cell>
        </row>
        <row r="1647">
          <cell r="A1647" t="str">
            <v>PUNOHUANCANECOJATA</v>
          </cell>
          <cell r="B1647" t="str">
            <v>21</v>
          </cell>
          <cell r="C1647" t="str">
            <v>06</v>
          </cell>
          <cell r="D1647" t="str">
            <v>02</v>
          </cell>
          <cell r="E1647" t="str">
            <v>PUNO</v>
          </cell>
          <cell r="F1647" t="str">
            <v>HUANCANE</v>
          </cell>
          <cell r="G1647" t="str">
            <v>COJATA</v>
          </cell>
          <cell r="H1647" t="str">
            <v>011660</v>
          </cell>
          <cell r="I1647" t="str">
            <v>2</v>
          </cell>
        </row>
        <row r="1648">
          <cell r="A1648" t="str">
            <v>PUNOHUANCANEHUATASANI</v>
          </cell>
          <cell r="B1648" t="str">
            <v>21</v>
          </cell>
          <cell r="C1648" t="str">
            <v>06</v>
          </cell>
          <cell r="D1648" t="str">
            <v>03</v>
          </cell>
          <cell r="E1648" t="str">
            <v>PUNO</v>
          </cell>
          <cell r="F1648" t="str">
            <v>HUANCANE</v>
          </cell>
          <cell r="G1648" t="str">
            <v>HUATASANI</v>
          </cell>
          <cell r="H1648" t="str">
            <v>011661</v>
          </cell>
          <cell r="I1648" t="str">
            <v>2</v>
          </cell>
        </row>
        <row r="1649">
          <cell r="A1649" t="str">
            <v>PUNOHUANCANEINCHUPALLA</v>
          </cell>
          <cell r="B1649" t="str">
            <v>21</v>
          </cell>
          <cell r="C1649" t="str">
            <v>06</v>
          </cell>
          <cell r="D1649" t="str">
            <v>04</v>
          </cell>
          <cell r="E1649" t="str">
            <v>PUNO</v>
          </cell>
          <cell r="F1649" t="str">
            <v>HUANCANE</v>
          </cell>
          <cell r="G1649" t="str">
            <v>INCHUPALLA</v>
          </cell>
          <cell r="H1649" t="str">
            <v>011662</v>
          </cell>
          <cell r="I1649" t="str">
            <v>2</v>
          </cell>
        </row>
        <row r="1650">
          <cell r="A1650" t="str">
            <v>PUNOHUANCANEPUSI</v>
          </cell>
          <cell r="B1650" t="str">
            <v>21</v>
          </cell>
          <cell r="C1650" t="str">
            <v>06</v>
          </cell>
          <cell r="D1650" t="str">
            <v>05</v>
          </cell>
          <cell r="E1650" t="str">
            <v>PUNO</v>
          </cell>
          <cell r="F1650" t="str">
            <v>HUANCANE</v>
          </cell>
          <cell r="G1650" t="str">
            <v>PUSI</v>
          </cell>
          <cell r="H1650" t="str">
            <v>011663</v>
          </cell>
          <cell r="I1650" t="str">
            <v>2</v>
          </cell>
        </row>
        <row r="1651">
          <cell r="A1651" t="str">
            <v>PUNOHUANCANEROSASPATA</v>
          </cell>
          <cell r="B1651" t="str">
            <v>21</v>
          </cell>
          <cell r="C1651" t="str">
            <v>06</v>
          </cell>
          <cell r="D1651" t="str">
            <v>06</v>
          </cell>
          <cell r="E1651" t="str">
            <v>PUNO</v>
          </cell>
          <cell r="F1651" t="str">
            <v>HUANCANE</v>
          </cell>
          <cell r="G1651" t="str">
            <v>ROSASPATA</v>
          </cell>
          <cell r="H1651" t="str">
            <v>011664</v>
          </cell>
          <cell r="I1651" t="str">
            <v>2</v>
          </cell>
        </row>
        <row r="1652">
          <cell r="A1652" t="str">
            <v>PUNOHUANCANETARACO</v>
          </cell>
          <cell r="B1652" t="str">
            <v>21</v>
          </cell>
          <cell r="C1652" t="str">
            <v>06</v>
          </cell>
          <cell r="D1652" t="str">
            <v>07</v>
          </cell>
          <cell r="E1652" t="str">
            <v>PUNO</v>
          </cell>
          <cell r="F1652" t="str">
            <v>HUANCANE</v>
          </cell>
          <cell r="G1652" t="str">
            <v>TARACO</v>
          </cell>
          <cell r="H1652" t="str">
            <v>011665</v>
          </cell>
          <cell r="I1652" t="str">
            <v>2</v>
          </cell>
        </row>
        <row r="1653">
          <cell r="A1653" t="str">
            <v>PUNOHUANCANEVILQUE CHICO</v>
          </cell>
          <cell r="B1653" t="str">
            <v>21</v>
          </cell>
          <cell r="C1653" t="str">
            <v>06</v>
          </cell>
          <cell r="D1653" t="str">
            <v>08</v>
          </cell>
          <cell r="E1653" t="str">
            <v>PUNO</v>
          </cell>
          <cell r="F1653" t="str">
            <v>HUANCANE</v>
          </cell>
          <cell r="G1653" t="str">
            <v>VILQUE CHICO</v>
          </cell>
          <cell r="H1653" t="str">
            <v>012769</v>
          </cell>
          <cell r="I1653" t="str">
            <v>2</v>
          </cell>
        </row>
        <row r="1654">
          <cell r="A1654" t="str">
            <v>PUNOLAMPALAMPA</v>
          </cell>
          <cell r="B1654" t="str">
            <v>21</v>
          </cell>
          <cell r="C1654" t="str">
            <v>07</v>
          </cell>
          <cell r="D1654" t="str">
            <v>01</v>
          </cell>
          <cell r="E1654" t="str">
            <v>PUNO</v>
          </cell>
          <cell r="F1654" t="str">
            <v>LAMPA</v>
          </cell>
          <cell r="G1654" t="str">
            <v>LAMPA</v>
          </cell>
          <cell r="H1654" t="str">
            <v>011667</v>
          </cell>
          <cell r="I1654" t="str">
            <v>1</v>
          </cell>
        </row>
        <row r="1655">
          <cell r="A1655" t="str">
            <v>PUNOLAMPACABANILLA</v>
          </cell>
          <cell r="B1655" t="str">
            <v>21</v>
          </cell>
          <cell r="C1655" t="str">
            <v>07</v>
          </cell>
          <cell r="D1655" t="str">
            <v>02</v>
          </cell>
          <cell r="E1655" t="str">
            <v>PUNO</v>
          </cell>
          <cell r="F1655" t="str">
            <v>LAMPA</v>
          </cell>
          <cell r="G1655" t="str">
            <v>CABANILLA</v>
          </cell>
          <cell r="H1655" t="str">
            <v>011668</v>
          </cell>
          <cell r="I1655" t="str">
            <v>2</v>
          </cell>
        </row>
        <row r="1656">
          <cell r="A1656" t="str">
            <v>PUNOLAMPACALAPUJA</v>
          </cell>
          <cell r="B1656" t="str">
            <v>21</v>
          </cell>
          <cell r="C1656" t="str">
            <v>07</v>
          </cell>
          <cell r="D1656" t="str">
            <v>03</v>
          </cell>
          <cell r="E1656" t="str">
            <v>PUNO</v>
          </cell>
          <cell r="F1656" t="str">
            <v>LAMPA</v>
          </cell>
          <cell r="G1656" t="str">
            <v>CALAPUJA</v>
          </cell>
          <cell r="H1656" t="str">
            <v>011669</v>
          </cell>
          <cell r="I1656" t="str">
            <v>2</v>
          </cell>
        </row>
        <row r="1657">
          <cell r="A1657" t="str">
            <v>PUNOLAMPANICASIO</v>
          </cell>
          <cell r="B1657" t="str">
            <v>21</v>
          </cell>
          <cell r="C1657" t="str">
            <v>07</v>
          </cell>
          <cell r="D1657" t="str">
            <v>04</v>
          </cell>
          <cell r="E1657" t="str">
            <v>PUNO</v>
          </cell>
          <cell r="F1657" t="str">
            <v>LAMPA</v>
          </cell>
          <cell r="G1657" t="str">
            <v>NICASIO</v>
          </cell>
          <cell r="H1657" t="str">
            <v>011670</v>
          </cell>
          <cell r="I1657" t="str">
            <v>2</v>
          </cell>
        </row>
        <row r="1658">
          <cell r="A1658" t="str">
            <v>PUNOLAMPAOCUVIRI</v>
          </cell>
          <cell r="B1658" t="str">
            <v>21</v>
          </cell>
          <cell r="C1658" t="str">
            <v>07</v>
          </cell>
          <cell r="D1658" t="str">
            <v>05</v>
          </cell>
          <cell r="E1658" t="str">
            <v>PUNO</v>
          </cell>
          <cell r="F1658" t="str">
            <v>LAMPA</v>
          </cell>
          <cell r="G1658" t="str">
            <v>OCUVIRI</v>
          </cell>
          <cell r="H1658" t="str">
            <v>011671</v>
          </cell>
          <cell r="I1658" t="str">
            <v>2</v>
          </cell>
        </row>
        <row r="1659">
          <cell r="A1659" t="str">
            <v>PUNOLAMPAPALCA</v>
          </cell>
          <cell r="B1659" t="str">
            <v>21</v>
          </cell>
          <cell r="C1659" t="str">
            <v>07</v>
          </cell>
          <cell r="D1659" t="str">
            <v>06</v>
          </cell>
          <cell r="E1659" t="str">
            <v>PUNO</v>
          </cell>
          <cell r="F1659" t="str">
            <v>LAMPA</v>
          </cell>
          <cell r="G1659" t="str">
            <v>PALCA</v>
          </cell>
          <cell r="H1659" t="str">
            <v>012276</v>
          </cell>
          <cell r="I1659" t="str">
            <v>2</v>
          </cell>
        </row>
        <row r="1660">
          <cell r="A1660" t="str">
            <v>PUNOLAMPAPARATIA</v>
          </cell>
          <cell r="B1660" t="str">
            <v>21</v>
          </cell>
          <cell r="C1660" t="str">
            <v>07</v>
          </cell>
          <cell r="D1660" t="str">
            <v>07</v>
          </cell>
          <cell r="E1660" t="str">
            <v>PUNO</v>
          </cell>
          <cell r="F1660" t="str">
            <v>LAMPA</v>
          </cell>
          <cell r="G1660" t="str">
            <v>PARATIA</v>
          </cell>
          <cell r="H1660" t="str">
            <v>011673</v>
          </cell>
          <cell r="I1660" t="str">
            <v>2</v>
          </cell>
        </row>
        <row r="1661">
          <cell r="A1661" t="str">
            <v>PUNOLAMPAPUCARA</v>
          </cell>
          <cell r="B1661" t="str">
            <v>21</v>
          </cell>
          <cell r="C1661" t="str">
            <v>07</v>
          </cell>
          <cell r="D1661" t="str">
            <v>08</v>
          </cell>
          <cell r="E1661" t="str">
            <v>PUNO</v>
          </cell>
          <cell r="F1661" t="str">
            <v>LAMPA</v>
          </cell>
          <cell r="G1661" t="str">
            <v>PUCARA</v>
          </cell>
          <cell r="H1661" t="str">
            <v>011674</v>
          </cell>
          <cell r="I1661" t="str">
            <v>2</v>
          </cell>
        </row>
        <row r="1662">
          <cell r="A1662" t="str">
            <v>PUNOLAMPASANTA LUCIA</v>
          </cell>
          <cell r="B1662" t="str">
            <v>21</v>
          </cell>
          <cell r="C1662" t="str">
            <v>07</v>
          </cell>
          <cell r="D1662" t="str">
            <v>09</v>
          </cell>
          <cell r="E1662" t="str">
            <v>PUNO</v>
          </cell>
          <cell r="F1662" t="str">
            <v>LAMPA</v>
          </cell>
          <cell r="G1662" t="str">
            <v>SANTA LUCIA</v>
          </cell>
          <cell r="H1662" t="str">
            <v>011675</v>
          </cell>
          <cell r="I1662" t="str">
            <v>2</v>
          </cell>
        </row>
        <row r="1663">
          <cell r="A1663" t="str">
            <v>PUNOLAMPAVILAVILA</v>
          </cell>
          <cell r="B1663" t="str">
            <v>21</v>
          </cell>
          <cell r="C1663" t="str">
            <v>07</v>
          </cell>
          <cell r="D1663" t="str">
            <v>10</v>
          </cell>
          <cell r="E1663" t="str">
            <v>PUNO</v>
          </cell>
          <cell r="F1663" t="str">
            <v>LAMPA</v>
          </cell>
          <cell r="G1663" t="str">
            <v>VILAVILA</v>
          </cell>
          <cell r="H1663" t="str">
            <v>011676</v>
          </cell>
          <cell r="I1663" t="str">
            <v>2</v>
          </cell>
        </row>
        <row r="1664">
          <cell r="A1664" t="str">
            <v>PUNOMELGARAYAVIRI</v>
          </cell>
          <cell r="B1664" t="str">
            <v>21</v>
          </cell>
          <cell r="C1664" t="str">
            <v>08</v>
          </cell>
          <cell r="D1664" t="str">
            <v>01</v>
          </cell>
          <cell r="E1664" t="str">
            <v>PUNO</v>
          </cell>
          <cell r="F1664" t="str">
            <v>MELGAR</v>
          </cell>
          <cell r="G1664" t="str">
            <v>AYAVIRI</v>
          </cell>
          <cell r="H1664" t="str">
            <v>011677</v>
          </cell>
          <cell r="I1664" t="str">
            <v>1</v>
          </cell>
        </row>
        <row r="1665">
          <cell r="A1665" t="str">
            <v>PUNOMELGARANTAUTA</v>
          </cell>
          <cell r="B1665" t="str">
            <v>21</v>
          </cell>
          <cell r="C1665" t="str">
            <v>08</v>
          </cell>
          <cell r="D1665" t="str">
            <v>02</v>
          </cell>
          <cell r="E1665" t="str">
            <v>PUNO</v>
          </cell>
          <cell r="F1665" t="str">
            <v>MELGAR</v>
          </cell>
          <cell r="G1665" t="str">
            <v>ANTAUTA</v>
          </cell>
          <cell r="H1665" t="str">
            <v>011678</v>
          </cell>
          <cell r="I1665" t="str">
            <v>2</v>
          </cell>
        </row>
        <row r="1666">
          <cell r="A1666" t="str">
            <v>PUNOMELGARCUPI</v>
          </cell>
          <cell r="B1666" t="str">
            <v>21</v>
          </cell>
          <cell r="C1666" t="str">
            <v>08</v>
          </cell>
          <cell r="D1666" t="str">
            <v>03</v>
          </cell>
          <cell r="E1666" t="str">
            <v>PUNO</v>
          </cell>
          <cell r="F1666" t="str">
            <v>MELGAR</v>
          </cell>
          <cell r="G1666" t="str">
            <v>CUPI</v>
          </cell>
          <cell r="H1666" t="str">
            <v>011679</v>
          </cell>
          <cell r="I1666" t="str">
            <v>2</v>
          </cell>
        </row>
        <row r="1667">
          <cell r="A1667" t="str">
            <v>PUNOMELGARLLALLI</v>
          </cell>
          <cell r="B1667" t="str">
            <v>21</v>
          </cell>
          <cell r="C1667" t="str">
            <v>08</v>
          </cell>
          <cell r="D1667" t="str">
            <v>04</v>
          </cell>
          <cell r="E1667" t="str">
            <v>PUNO</v>
          </cell>
          <cell r="F1667" t="str">
            <v>MELGAR</v>
          </cell>
          <cell r="G1667" t="str">
            <v>LLALLI</v>
          </cell>
          <cell r="H1667" t="str">
            <v>012772</v>
          </cell>
          <cell r="I1667" t="str">
            <v>2</v>
          </cell>
        </row>
        <row r="1668">
          <cell r="A1668" t="str">
            <v>PUNOMELGARMACARI</v>
          </cell>
          <cell r="B1668" t="str">
            <v>21</v>
          </cell>
          <cell r="C1668" t="str">
            <v>08</v>
          </cell>
          <cell r="D1668" t="str">
            <v>05</v>
          </cell>
          <cell r="E1668" t="str">
            <v>PUNO</v>
          </cell>
          <cell r="F1668" t="str">
            <v>MELGAR</v>
          </cell>
          <cell r="G1668" t="str">
            <v>MACARI</v>
          </cell>
          <cell r="H1668" t="str">
            <v>011681</v>
          </cell>
          <cell r="I1668" t="str">
            <v>2</v>
          </cell>
        </row>
        <row r="1669">
          <cell r="A1669" t="str">
            <v>PUNOMELGARNUÑOA</v>
          </cell>
          <cell r="B1669" t="str">
            <v>21</v>
          </cell>
          <cell r="C1669" t="str">
            <v>08</v>
          </cell>
          <cell r="D1669" t="str">
            <v>06</v>
          </cell>
          <cell r="E1669" t="str">
            <v>PUNO</v>
          </cell>
          <cell r="F1669" t="str">
            <v>MELGAR</v>
          </cell>
          <cell r="G1669" t="str">
            <v>NUÑOA</v>
          </cell>
          <cell r="H1669" t="str">
            <v>011682</v>
          </cell>
          <cell r="I1669" t="str">
            <v>2</v>
          </cell>
        </row>
        <row r="1670">
          <cell r="A1670" t="str">
            <v>PUNOMELGARORURILLO</v>
          </cell>
          <cell r="B1670" t="str">
            <v>21</v>
          </cell>
          <cell r="C1670" t="str">
            <v>08</v>
          </cell>
          <cell r="D1670" t="str">
            <v>07</v>
          </cell>
          <cell r="E1670" t="str">
            <v>PUNO</v>
          </cell>
          <cell r="F1670" t="str">
            <v>MELGAR</v>
          </cell>
          <cell r="G1670" t="str">
            <v>ORURILLO</v>
          </cell>
          <cell r="H1670" t="str">
            <v>011683</v>
          </cell>
          <cell r="I1670" t="str">
            <v>2</v>
          </cell>
        </row>
        <row r="1671">
          <cell r="A1671" t="str">
            <v>PUNOMELGARSANTA ROSA</v>
          </cell>
          <cell r="B1671" t="str">
            <v>21</v>
          </cell>
          <cell r="C1671" t="str">
            <v>08</v>
          </cell>
          <cell r="D1671" t="str">
            <v>08</v>
          </cell>
          <cell r="E1671" t="str">
            <v>PUNO</v>
          </cell>
          <cell r="F1671" t="str">
            <v>MELGAR</v>
          </cell>
          <cell r="G1671" t="str">
            <v>SANTA ROSA</v>
          </cell>
          <cell r="H1671" t="str">
            <v>012264</v>
          </cell>
          <cell r="I1671" t="str">
            <v>2</v>
          </cell>
        </row>
        <row r="1672">
          <cell r="A1672" t="str">
            <v>PUNOMELGARUMACHIRI</v>
          </cell>
          <cell r="B1672" t="str">
            <v>21</v>
          </cell>
          <cell r="C1672" t="str">
            <v>08</v>
          </cell>
          <cell r="D1672" t="str">
            <v>09</v>
          </cell>
          <cell r="E1672" t="str">
            <v>PUNO</v>
          </cell>
          <cell r="F1672" t="str">
            <v>MELGAR</v>
          </cell>
          <cell r="G1672" t="str">
            <v>UMACHIRI</v>
          </cell>
          <cell r="H1672" t="str">
            <v>011685</v>
          </cell>
          <cell r="I1672" t="str">
            <v>2</v>
          </cell>
        </row>
        <row r="1673">
          <cell r="A1673" t="str">
            <v>PUNOMOHOMOHO</v>
          </cell>
          <cell r="B1673" t="str">
            <v>21</v>
          </cell>
          <cell r="C1673" t="str">
            <v>09</v>
          </cell>
          <cell r="D1673" t="str">
            <v>01</v>
          </cell>
          <cell r="E1673" t="str">
            <v>PUNO</v>
          </cell>
          <cell r="F1673" t="str">
            <v>MOHO</v>
          </cell>
          <cell r="G1673" t="str">
            <v>MOHO</v>
          </cell>
          <cell r="H1673" t="str">
            <v>011686</v>
          </cell>
          <cell r="I1673" t="str">
            <v>1</v>
          </cell>
        </row>
        <row r="1674">
          <cell r="A1674" t="str">
            <v>PUNOMOHOCONIMA</v>
          </cell>
          <cell r="B1674" t="str">
            <v>21</v>
          </cell>
          <cell r="C1674" t="str">
            <v>09</v>
          </cell>
          <cell r="D1674" t="str">
            <v>02</v>
          </cell>
          <cell r="E1674" t="str">
            <v>PUNO</v>
          </cell>
          <cell r="F1674" t="str">
            <v>MOHO</v>
          </cell>
          <cell r="G1674" t="str">
            <v>CONIMA</v>
          </cell>
          <cell r="H1674" t="str">
            <v>011687</v>
          </cell>
          <cell r="I1674" t="str">
            <v>2</v>
          </cell>
        </row>
        <row r="1675">
          <cell r="A1675" t="str">
            <v>PUNOMOHOHUAYRAPATA</v>
          </cell>
          <cell r="B1675" t="str">
            <v>21</v>
          </cell>
          <cell r="C1675" t="str">
            <v>09</v>
          </cell>
          <cell r="D1675" t="str">
            <v>03</v>
          </cell>
          <cell r="E1675" t="str">
            <v>PUNO</v>
          </cell>
          <cell r="F1675" t="str">
            <v>MOHO</v>
          </cell>
          <cell r="G1675" t="str">
            <v>HUAYRAPATA</v>
          </cell>
          <cell r="H1675" t="str">
            <v>011688</v>
          </cell>
          <cell r="I1675" t="str">
            <v>2</v>
          </cell>
        </row>
        <row r="1676">
          <cell r="A1676" t="str">
            <v>PUNOMOHOTILALI</v>
          </cell>
          <cell r="B1676" t="str">
            <v>21</v>
          </cell>
          <cell r="C1676" t="str">
            <v>09</v>
          </cell>
          <cell r="D1676" t="str">
            <v>04</v>
          </cell>
          <cell r="E1676" t="str">
            <v>PUNO</v>
          </cell>
          <cell r="F1676" t="str">
            <v>MOHO</v>
          </cell>
          <cell r="G1676" t="str">
            <v>TILALI</v>
          </cell>
          <cell r="H1676" t="str">
            <v>011689</v>
          </cell>
          <cell r="I1676" t="str">
            <v>2</v>
          </cell>
        </row>
        <row r="1677">
          <cell r="A1677" t="str">
            <v>PUNOSAN ANTONIO DE PUTINAPUTINA</v>
          </cell>
          <cell r="B1677" t="str">
            <v>21</v>
          </cell>
          <cell r="C1677" t="str">
            <v>10</v>
          </cell>
          <cell r="D1677" t="str">
            <v>01</v>
          </cell>
          <cell r="E1677" t="str">
            <v>PUNO</v>
          </cell>
          <cell r="F1677" t="str">
            <v>SAN ANTONIO DE PUTINA</v>
          </cell>
          <cell r="G1677" t="str">
            <v>PUTINA</v>
          </cell>
          <cell r="H1677" t="str">
            <v>011690</v>
          </cell>
          <cell r="I1677" t="str">
            <v>1</v>
          </cell>
        </row>
        <row r="1678">
          <cell r="A1678" t="str">
            <v>PUNOSAN ANTONIO DE PUTINAANANEA</v>
          </cell>
          <cell r="B1678" t="str">
            <v>21</v>
          </cell>
          <cell r="C1678" t="str">
            <v>10</v>
          </cell>
          <cell r="D1678" t="str">
            <v>02</v>
          </cell>
          <cell r="E1678" t="str">
            <v>PUNO</v>
          </cell>
          <cell r="F1678" t="str">
            <v>SAN ANTONIO DE PUTINA</v>
          </cell>
          <cell r="G1678" t="str">
            <v>ANANEA</v>
          </cell>
          <cell r="H1678" t="str">
            <v>011691</v>
          </cell>
          <cell r="I1678" t="str">
            <v>2</v>
          </cell>
        </row>
        <row r="1679">
          <cell r="A1679" t="str">
            <v>PUNOSAN ANTONIO DE PUTINAPEDRO VILCA APAZA</v>
          </cell>
          <cell r="B1679" t="str">
            <v>21</v>
          </cell>
          <cell r="C1679" t="str">
            <v>10</v>
          </cell>
          <cell r="D1679" t="str">
            <v>03</v>
          </cell>
          <cell r="E1679" t="str">
            <v>PUNO</v>
          </cell>
          <cell r="F1679" t="str">
            <v>SAN ANTONIO DE PUTINA</v>
          </cell>
          <cell r="G1679" t="str">
            <v>PEDRO VILCA APAZA</v>
          </cell>
          <cell r="H1679" t="str">
            <v>011692</v>
          </cell>
          <cell r="I1679" t="str">
            <v>2</v>
          </cell>
        </row>
        <row r="1680">
          <cell r="A1680" t="str">
            <v>PUNOSAN ANTONIO DE PUTINAQUILCAPUNCU</v>
          </cell>
          <cell r="B1680" t="str">
            <v>21</v>
          </cell>
          <cell r="C1680" t="str">
            <v>10</v>
          </cell>
          <cell r="D1680" t="str">
            <v>04</v>
          </cell>
          <cell r="E1680" t="str">
            <v>PUNO</v>
          </cell>
          <cell r="F1680" t="str">
            <v>SAN ANTONIO DE PUTINA</v>
          </cell>
          <cell r="G1680" t="str">
            <v>QUILCAPUNCU</v>
          </cell>
          <cell r="H1680" t="str">
            <v>011693</v>
          </cell>
          <cell r="I1680" t="str">
            <v>2</v>
          </cell>
        </row>
        <row r="1681">
          <cell r="A1681" t="str">
            <v>PUNOSAN ANTONIO DE PUTINASINA</v>
          </cell>
          <cell r="B1681" t="str">
            <v>21</v>
          </cell>
          <cell r="C1681" t="str">
            <v>10</v>
          </cell>
          <cell r="D1681" t="str">
            <v>05</v>
          </cell>
          <cell r="E1681" t="str">
            <v>PUNO</v>
          </cell>
          <cell r="F1681" t="str">
            <v>SAN ANTONIO DE PUTINA</v>
          </cell>
          <cell r="G1681" t="str">
            <v>SINA</v>
          </cell>
          <cell r="H1681" t="str">
            <v>011694</v>
          </cell>
          <cell r="I1681" t="str">
            <v>2</v>
          </cell>
        </row>
        <row r="1682">
          <cell r="A1682" t="str">
            <v>PUNOSAN ROMANJULIACA</v>
          </cell>
          <cell r="B1682" t="str">
            <v>21</v>
          </cell>
          <cell r="C1682" t="str">
            <v>11</v>
          </cell>
          <cell r="D1682" t="str">
            <v>01</v>
          </cell>
          <cell r="E1682" t="str">
            <v>PUNO</v>
          </cell>
          <cell r="F1682" t="str">
            <v>SAN ROMAN</v>
          </cell>
          <cell r="G1682" t="str">
            <v>JULIACA</v>
          </cell>
          <cell r="H1682" t="str">
            <v>011628</v>
          </cell>
          <cell r="I1682" t="str">
            <v>1</v>
          </cell>
        </row>
        <row r="1683">
          <cell r="A1683" t="str">
            <v>PUNOSAN ROMANCABANA</v>
          </cell>
          <cell r="B1683" t="str">
            <v>21</v>
          </cell>
          <cell r="C1683" t="str">
            <v>11</v>
          </cell>
          <cell r="D1683" t="str">
            <v>02</v>
          </cell>
          <cell r="E1683" t="str">
            <v>PUNO</v>
          </cell>
          <cell r="F1683" t="str">
            <v>SAN ROMAN</v>
          </cell>
          <cell r="G1683" t="str">
            <v>CABANA</v>
          </cell>
          <cell r="H1683" t="str">
            <v>011629</v>
          </cell>
          <cell r="I1683" t="str">
            <v>2</v>
          </cell>
        </row>
        <row r="1684">
          <cell r="A1684" t="str">
            <v>PUNOSAN ROMANCABANILLAS</v>
          </cell>
          <cell r="B1684" t="str">
            <v>21</v>
          </cell>
          <cell r="C1684" t="str">
            <v>11</v>
          </cell>
          <cell r="D1684" t="str">
            <v>03</v>
          </cell>
          <cell r="E1684" t="str">
            <v>PUNO</v>
          </cell>
          <cell r="F1684" t="str">
            <v>SAN ROMAN</v>
          </cell>
          <cell r="G1684" t="str">
            <v>CABANILLAS</v>
          </cell>
          <cell r="H1684" t="str">
            <v>011630</v>
          </cell>
          <cell r="I1684" t="str">
            <v>2</v>
          </cell>
        </row>
        <row r="1685">
          <cell r="A1685" t="str">
            <v>PUNOSAN ROMANCARACOTO</v>
          </cell>
          <cell r="B1685" t="str">
            <v>21</v>
          </cell>
          <cell r="C1685" t="str">
            <v>11</v>
          </cell>
          <cell r="D1685" t="str">
            <v>04</v>
          </cell>
          <cell r="E1685" t="str">
            <v>PUNO</v>
          </cell>
          <cell r="F1685" t="str">
            <v>SAN ROMAN</v>
          </cell>
          <cell r="G1685" t="str">
            <v>CARACOTO</v>
          </cell>
          <cell r="H1685" t="str">
            <v>011631</v>
          </cell>
          <cell r="I1685" t="str">
            <v>2</v>
          </cell>
        </row>
        <row r="1686">
          <cell r="A1686" t="str">
            <v>PUNOSANDIASANDIA</v>
          </cell>
          <cell r="B1686" t="str">
            <v>21</v>
          </cell>
          <cell r="C1686" t="str">
            <v>12</v>
          </cell>
          <cell r="D1686" t="str">
            <v>01</v>
          </cell>
          <cell r="E1686" t="str">
            <v>PUNO</v>
          </cell>
          <cell r="F1686" t="str">
            <v>SANDIA</v>
          </cell>
          <cell r="G1686" t="str">
            <v>SANDIA</v>
          </cell>
          <cell r="H1686" t="str">
            <v>012767</v>
          </cell>
          <cell r="I1686" t="str">
            <v>1</v>
          </cell>
        </row>
        <row r="1687">
          <cell r="A1687" t="str">
            <v>PUNOSANDIACUYOCUYO</v>
          </cell>
          <cell r="B1687" t="str">
            <v>21</v>
          </cell>
          <cell r="C1687" t="str">
            <v>12</v>
          </cell>
          <cell r="D1687" t="str">
            <v>02</v>
          </cell>
          <cell r="E1687" t="str">
            <v>PUNO</v>
          </cell>
          <cell r="F1687" t="str">
            <v>SANDIA</v>
          </cell>
          <cell r="G1687" t="str">
            <v>CUYOCUYO</v>
          </cell>
          <cell r="H1687" t="str">
            <v>011696</v>
          </cell>
          <cell r="I1687" t="str">
            <v>2</v>
          </cell>
        </row>
        <row r="1688">
          <cell r="A1688" t="str">
            <v>PUNOSANDIALIMBANI</v>
          </cell>
          <cell r="B1688" t="str">
            <v>21</v>
          </cell>
          <cell r="C1688" t="str">
            <v>12</v>
          </cell>
          <cell r="D1688" t="str">
            <v>03</v>
          </cell>
          <cell r="E1688" t="str">
            <v>PUNO</v>
          </cell>
          <cell r="F1688" t="str">
            <v>SANDIA</v>
          </cell>
          <cell r="G1688" t="str">
            <v>LIMBANI</v>
          </cell>
          <cell r="H1688" t="str">
            <v>011632</v>
          </cell>
          <cell r="I1688" t="str">
            <v>2</v>
          </cell>
        </row>
        <row r="1689">
          <cell r="A1689" t="str">
            <v>PUNOSANDIAPATAMBUCO</v>
          </cell>
          <cell r="B1689" t="str">
            <v>21</v>
          </cell>
          <cell r="C1689" t="str">
            <v>12</v>
          </cell>
          <cell r="D1689" t="str">
            <v>04</v>
          </cell>
          <cell r="E1689" t="str">
            <v>PUNO</v>
          </cell>
          <cell r="F1689" t="str">
            <v>SANDIA</v>
          </cell>
          <cell r="G1689" t="str">
            <v>PATAMBUCO</v>
          </cell>
          <cell r="H1689" t="str">
            <v>011697</v>
          </cell>
          <cell r="I1689" t="str">
            <v>2</v>
          </cell>
        </row>
        <row r="1690">
          <cell r="A1690" t="str">
            <v>PUNOSANDIAPHARA</v>
          </cell>
          <cell r="B1690" t="str">
            <v>21</v>
          </cell>
          <cell r="C1690" t="str">
            <v>12</v>
          </cell>
          <cell r="D1690" t="str">
            <v>05</v>
          </cell>
          <cell r="E1690" t="str">
            <v>PUNO</v>
          </cell>
          <cell r="F1690" t="str">
            <v>SANDIA</v>
          </cell>
          <cell r="G1690" t="str">
            <v>PHARA</v>
          </cell>
          <cell r="H1690" t="str">
            <v>012265</v>
          </cell>
          <cell r="I1690" t="str">
            <v>2</v>
          </cell>
        </row>
        <row r="1691">
          <cell r="A1691" t="str">
            <v>PUNOSANDIAQUIACA</v>
          </cell>
          <cell r="B1691" t="str">
            <v>21</v>
          </cell>
          <cell r="C1691" t="str">
            <v>12</v>
          </cell>
          <cell r="D1691" t="str">
            <v>06</v>
          </cell>
          <cell r="E1691" t="str">
            <v>PUNO</v>
          </cell>
          <cell r="F1691" t="str">
            <v>SANDIA</v>
          </cell>
          <cell r="G1691" t="str">
            <v>QUIACA</v>
          </cell>
          <cell r="H1691" t="str">
            <v>011698</v>
          </cell>
          <cell r="I1691" t="str">
            <v>2</v>
          </cell>
        </row>
        <row r="1692">
          <cell r="A1692" t="str">
            <v>PUNOSANDIASAN JUAN DEL ORO</v>
          </cell>
          <cell r="B1692" t="str">
            <v>21</v>
          </cell>
          <cell r="C1692" t="str">
            <v>12</v>
          </cell>
          <cell r="D1692" t="str">
            <v>07</v>
          </cell>
          <cell r="E1692" t="str">
            <v>PUNO</v>
          </cell>
          <cell r="F1692" t="str">
            <v>SANDIA</v>
          </cell>
          <cell r="G1692" t="str">
            <v>SAN JUAN DEL ORO</v>
          </cell>
          <cell r="H1692" t="str">
            <v>011699</v>
          </cell>
          <cell r="I1692" t="str">
            <v>2</v>
          </cell>
        </row>
        <row r="1693">
          <cell r="A1693" t="str">
            <v>PUNOSANDIAYANAHUAYA</v>
          </cell>
          <cell r="B1693" t="str">
            <v>21</v>
          </cell>
          <cell r="C1693" t="str">
            <v>12</v>
          </cell>
          <cell r="D1693" t="str">
            <v>08</v>
          </cell>
          <cell r="E1693" t="str">
            <v>PUNO</v>
          </cell>
          <cell r="F1693" t="str">
            <v>SANDIA</v>
          </cell>
          <cell r="G1693" t="str">
            <v>YANAHUAYA</v>
          </cell>
          <cell r="H1693" t="str">
            <v>011700</v>
          </cell>
          <cell r="I1693" t="str">
            <v>2</v>
          </cell>
        </row>
        <row r="1694">
          <cell r="A1694" t="str">
            <v>PUNOSANDIAALTO INAMBARI</v>
          </cell>
          <cell r="B1694" t="str">
            <v>21</v>
          </cell>
          <cell r="C1694" t="str">
            <v>12</v>
          </cell>
          <cell r="D1694" t="str">
            <v>09</v>
          </cell>
          <cell r="E1694" t="str">
            <v>PUNO</v>
          </cell>
          <cell r="F1694" t="str">
            <v>SANDIA</v>
          </cell>
          <cell r="G1694" t="str">
            <v>ALTO INAMBARI</v>
          </cell>
          <cell r="H1694" t="str">
            <v>011701</v>
          </cell>
          <cell r="I1694" t="str">
            <v>2</v>
          </cell>
        </row>
        <row r="1695">
          <cell r="A1695" t="str">
            <v>PUNOSANDIASAN PEDRO DE PUTINA PUNCO</v>
          </cell>
          <cell r="B1695" t="str">
            <v>21</v>
          </cell>
          <cell r="C1695" t="str">
            <v>12</v>
          </cell>
          <cell r="D1695" t="str">
            <v>10</v>
          </cell>
          <cell r="E1695" t="str">
            <v>PUNO</v>
          </cell>
          <cell r="F1695" t="str">
            <v>SANDIA</v>
          </cell>
          <cell r="G1695" t="str">
            <v>SAN PEDRO DE PUTINA PUNCO</v>
          </cell>
          <cell r="H1695" t="str">
            <v>012753</v>
          </cell>
          <cell r="I1695" t="str">
            <v>2</v>
          </cell>
        </row>
        <row r="1696">
          <cell r="A1696" t="str">
            <v>PUNOYUNGUYOYUNGUYO</v>
          </cell>
          <cell r="B1696" t="str">
            <v>21</v>
          </cell>
          <cell r="C1696" t="str">
            <v>13</v>
          </cell>
          <cell r="D1696" t="str">
            <v>01</v>
          </cell>
          <cell r="E1696" t="str">
            <v>PUNO</v>
          </cell>
          <cell r="F1696" t="str">
            <v>YUNGUYO</v>
          </cell>
          <cell r="G1696" t="str">
            <v>YUNGUYO</v>
          </cell>
          <cell r="H1696" t="str">
            <v>011621</v>
          </cell>
          <cell r="I1696" t="str">
            <v>1</v>
          </cell>
        </row>
        <row r="1697">
          <cell r="A1697" t="str">
            <v>PUNOYUNGUYOANAPIA</v>
          </cell>
          <cell r="B1697" t="str">
            <v>21</v>
          </cell>
          <cell r="C1697" t="str">
            <v>13</v>
          </cell>
          <cell r="D1697" t="str">
            <v>02</v>
          </cell>
          <cell r="E1697" t="str">
            <v>PUNO</v>
          </cell>
          <cell r="F1697" t="str">
            <v>YUNGUYO</v>
          </cell>
          <cell r="G1697" t="str">
            <v>ANAPIA</v>
          </cell>
          <cell r="H1697" t="str">
            <v>012746</v>
          </cell>
          <cell r="I1697" t="str">
            <v>2</v>
          </cell>
        </row>
        <row r="1698">
          <cell r="A1698" t="str">
            <v>PUNOYUNGUYOCOPANI</v>
          </cell>
          <cell r="B1698" t="str">
            <v>21</v>
          </cell>
          <cell r="C1698" t="str">
            <v>13</v>
          </cell>
          <cell r="D1698" t="str">
            <v>03</v>
          </cell>
          <cell r="E1698" t="str">
            <v>PUNO</v>
          </cell>
          <cell r="F1698" t="str">
            <v>YUNGUYO</v>
          </cell>
          <cell r="G1698" t="str">
            <v>COPANI</v>
          </cell>
          <cell r="H1698" t="str">
            <v>011623</v>
          </cell>
          <cell r="I1698" t="str">
            <v>2</v>
          </cell>
        </row>
        <row r="1699">
          <cell r="A1699" t="str">
            <v>PUNOYUNGUYOCUTURAPI</v>
          </cell>
          <cell r="B1699" t="str">
            <v>21</v>
          </cell>
          <cell r="C1699" t="str">
            <v>13</v>
          </cell>
          <cell r="D1699" t="str">
            <v>04</v>
          </cell>
          <cell r="E1699" t="str">
            <v>PUNO</v>
          </cell>
          <cell r="F1699" t="str">
            <v>YUNGUYO</v>
          </cell>
          <cell r="G1699" t="str">
            <v>CUTURAPI</v>
          </cell>
          <cell r="H1699" t="str">
            <v>012275</v>
          </cell>
          <cell r="I1699" t="str">
            <v>2</v>
          </cell>
        </row>
        <row r="1700">
          <cell r="A1700" t="str">
            <v>PUNOYUNGUYOOLLARAYA</v>
          </cell>
          <cell r="B1700" t="str">
            <v>21</v>
          </cell>
          <cell r="C1700" t="str">
            <v>13</v>
          </cell>
          <cell r="D1700" t="str">
            <v>05</v>
          </cell>
          <cell r="E1700" t="str">
            <v>PUNO</v>
          </cell>
          <cell r="F1700" t="str">
            <v>YUNGUYO</v>
          </cell>
          <cell r="G1700" t="str">
            <v>OLLARAYA</v>
          </cell>
          <cell r="H1700" t="str">
            <v>012752</v>
          </cell>
          <cell r="I1700" t="str">
            <v>2</v>
          </cell>
        </row>
        <row r="1701">
          <cell r="A1701" t="str">
            <v>PUNOYUNGUYOTINICACHI</v>
          </cell>
          <cell r="B1701" t="str">
            <v>21</v>
          </cell>
          <cell r="C1701" t="str">
            <v>13</v>
          </cell>
          <cell r="D1701" t="str">
            <v>06</v>
          </cell>
          <cell r="E1701" t="str">
            <v>PUNO</v>
          </cell>
          <cell r="F1701" t="str">
            <v>YUNGUYO</v>
          </cell>
          <cell r="G1701" t="str">
            <v>TINICACHI</v>
          </cell>
          <cell r="H1701" t="str">
            <v>011626</v>
          </cell>
          <cell r="I1701" t="str">
            <v>2</v>
          </cell>
        </row>
        <row r="1702">
          <cell r="A1702" t="str">
            <v>PUNOYUNGUYOUNICACHI</v>
          </cell>
          <cell r="B1702" t="str">
            <v>21</v>
          </cell>
          <cell r="C1702" t="str">
            <v>13</v>
          </cell>
          <cell r="D1702" t="str">
            <v>07</v>
          </cell>
          <cell r="E1702" t="str">
            <v>PUNO</v>
          </cell>
          <cell r="F1702" t="str">
            <v>YUNGUYO</v>
          </cell>
          <cell r="G1702" t="str">
            <v>UNICACHI</v>
          </cell>
          <cell r="H1702" t="str">
            <v>011627</v>
          </cell>
          <cell r="I1702" t="str">
            <v>2</v>
          </cell>
        </row>
        <row r="1703">
          <cell r="A1703" t="str">
            <v>SAN MARTINMOYOBAMBAMOYOBAMBA</v>
          </cell>
          <cell r="B1703" t="str">
            <v>22</v>
          </cell>
          <cell r="C1703" t="str">
            <v>01</v>
          </cell>
          <cell r="D1703" t="str">
            <v>01</v>
          </cell>
          <cell r="E1703" t="str">
            <v>SAN MARTIN</v>
          </cell>
          <cell r="F1703" t="str">
            <v>MOYOBAMBA</v>
          </cell>
          <cell r="G1703" t="str">
            <v>MOYOBAMBA</v>
          </cell>
          <cell r="H1703" t="str">
            <v>011703</v>
          </cell>
          <cell r="I1703" t="str">
            <v>1</v>
          </cell>
        </row>
        <row r="1704">
          <cell r="A1704" t="str">
            <v>SAN MARTINMOYOBAMBACALZADA</v>
          </cell>
          <cell r="B1704" t="str">
            <v>22</v>
          </cell>
          <cell r="C1704" t="str">
            <v>01</v>
          </cell>
          <cell r="D1704" t="str">
            <v>02</v>
          </cell>
          <cell r="E1704" t="str">
            <v>SAN MARTIN</v>
          </cell>
          <cell r="F1704" t="str">
            <v>MOYOBAMBA</v>
          </cell>
          <cell r="G1704" t="str">
            <v>CALZADA</v>
          </cell>
          <cell r="H1704" t="str">
            <v>011704</v>
          </cell>
          <cell r="I1704" t="str">
            <v>2</v>
          </cell>
        </row>
        <row r="1705">
          <cell r="A1705" t="str">
            <v>SAN MARTINMOYOBAMBAHABANA</v>
          </cell>
          <cell r="B1705" t="str">
            <v>22</v>
          </cell>
          <cell r="C1705" t="str">
            <v>01</v>
          </cell>
          <cell r="D1705" t="str">
            <v>03</v>
          </cell>
          <cell r="E1705" t="str">
            <v>SAN MARTIN</v>
          </cell>
          <cell r="F1705" t="str">
            <v>MOYOBAMBA</v>
          </cell>
          <cell r="G1705" t="str">
            <v>HABANA</v>
          </cell>
          <cell r="H1705" t="str">
            <v>011705</v>
          </cell>
          <cell r="I1705" t="str">
            <v>2</v>
          </cell>
        </row>
        <row r="1706">
          <cell r="A1706" t="str">
            <v>SAN MARTINMOYOBAMBAJEPELACIO</v>
          </cell>
          <cell r="B1706" t="str">
            <v>22</v>
          </cell>
          <cell r="C1706" t="str">
            <v>01</v>
          </cell>
          <cell r="D1706" t="str">
            <v>04</v>
          </cell>
          <cell r="E1706" t="str">
            <v>SAN MARTIN</v>
          </cell>
          <cell r="F1706" t="str">
            <v>MOYOBAMBA</v>
          </cell>
          <cell r="G1706" t="str">
            <v>JEPELACIO</v>
          </cell>
          <cell r="H1706" t="str">
            <v>011706</v>
          </cell>
          <cell r="I1706" t="str">
            <v>2</v>
          </cell>
        </row>
        <row r="1707">
          <cell r="A1707" t="str">
            <v>SAN MARTINMOYOBAMBASORITOR</v>
          </cell>
          <cell r="B1707" t="str">
            <v>22</v>
          </cell>
          <cell r="C1707" t="str">
            <v>01</v>
          </cell>
          <cell r="D1707" t="str">
            <v>05</v>
          </cell>
          <cell r="E1707" t="str">
            <v>SAN MARTIN</v>
          </cell>
          <cell r="F1707" t="str">
            <v>MOYOBAMBA</v>
          </cell>
          <cell r="G1707" t="str">
            <v>SORITOR</v>
          </cell>
          <cell r="H1707" t="str">
            <v>011707</v>
          </cell>
          <cell r="I1707" t="str">
            <v>2</v>
          </cell>
        </row>
        <row r="1708">
          <cell r="A1708" t="str">
            <v>SAN MARTINMOYOBAMBAYANTALO</v>
          </cell>
          <cell r="B1708" t="str">
            <v>22</v>
          </cell>
          <cell r="C1708" t="str">
            <v>01</v>
          </cell>
          <cell r="D1708" t="str">
            <v>06</v>
          </cell>
          <cell r="E1708" t="str">
            <v>SAN MARTIN</v>
          </cell>
          <cell r="F1708" t="str">
            <v>MOYOBAMBA</v>
          </cell>
          <cell r="G1708" t="str">
            <v>YANTALO</v>
          </cell>
          <cell r="H1708" t="str">
            <v>011708</v>
          </cell>
          <cell r="I1708" t="str">
            <v>2</v>
          </cell>
        </row>
        <row r="1709">
          <cell r="A1709" t="str">
            <v>SAN MARTINBELLAVISTABELLAVISTA</v>
          </cell>
          <cell r="B1709" t="str">
            <v>22</v>
          </cell>
          <cell r="C1709" t="str">
            <v>02</v>
          </cell>
          <cell r="D1709" t="str">
            <v>01</v>
          </cell>
          <cell r="E1709" t="str">
            <v>SAN MARTIN</v>
          </cell>
          <cell r="F1709" t="str">
            <v>BELLAVISTA</v>
          </cell>
          <cell r="G1709" t="str">
            <v>BELLAVISTA</v>
          </cell>
          <cell r="H1709" t="str">
            <v>011748</v>
          </cell>
          <cell r="I1709" t="str">
            <v>1</v>
          </cell>
        </row>
        <row r="1710">
          <cell r="A1710" t="str">
            <v>SAN MARTINBELLAVISTAALTO BIAVO</v>
          </cell>
          <cell r="B1710" t="str">
            <v>22</v>
          </cell>
          <cell r="C1710" t="str">
            <v>02</v>
          </cell>
          <cell r="D1710" t="str">
            <v>02</v>
          </cell>
          <cell r="E1710" t="str">
            <v>SAN MARTIN</v>
          </cell>
          <cell r="F1710" t="str">
            <v>BELLAVISTA</v>
          </cell>
          <cell r="G1710" t="str">
            <v>ALTO BIAVO</v>
          </cell>
          <cell r="H1710" t="str">
            <v>011749</v>
          </cell>
          <cell r="I1710" t="str">
            <v>2</v>
          </cell>
        </row>
        <row r="1711">
          <cell r="A1711" t="str">
            <v>SAN MARTINBELLAVISTABAJO BIAVO</v>
          </cell>
          <cell r="B1711" t="str">
            <v>22</v>
          </cell>
          <cell r="C1711" t="str">
            <v>02</v>
          </cell>
          <cell r="D1711" t="str">
            <v>03</v>
          </cell>
          <cell r="E1711" t="str">
            <v>SAN MARTIN</v>
          </cell>
          <cell r="F1711" t="str">
            <v>BELLAVISTA</v>
          </cell>
          <cell r="G1711" t="str">
            <v>BAJO BIAVO</v>
          </cell>
          <cell r="H1711" t="str">
            <v>011750</v>
          </cell>
          <cell r="I1711" t="str">
            <v>2</v>
          </cell>
        </row>
        <row r="1712">
          <cell r="A1712" t="str">
            <v>SAN MARTINBELLAVISTAHUALLAGA</v>
          </cell>
          <cell r="B1712" t="str">
            <v>22</v>
          </cell>
          <cell r="C1712" t="str">
            <v>02</v>
          </cell>
          <cell r="D1712" t="str">
            <v>04</v>
          </cell>
          <cell r="E1712" t="str">
            <v>SAN MARTIN</v>
          </cell>
          <cell r="F1712" t="str">
            <v>BELLAVISTA</v>
          </cell>
          <cell r="G1712" t="str">
            <v>HUALLAGA</v>
          </cell>
          <cell r="H1712" t="str">
            <v>011751</v>
          </cell>
          <cell r="I1712" t="str">
            <v>2</v>
          </cell>
        </row>
        <row r="1713">
          <cell r="A1713" t="str">
            <v>SAN MARTINBELLAVISTASAN PABLO</v>
          </cell>
          <cell r="B1713" t="str">
            <v>22</v>
          </cell>
          <cell r="C1713" t="str">
            <v>02</v>
          </cell>
          <cell r="D1713" t="str">
            <v>05</v>
          </cell>
          <cell r="E1713" t="str">
            <v>SAN MARTIN</v>
          </cell>
          <cell r="F1713" t="str">
            <v>BELLAVISTA</v>
          </cell>
          <cell r="G1713" t="str">
            <v>SAN PABLO</v>
          </cell>
          <cell r="H1713" t="str">
            <v>011752</v>
          </cell>
          <cell r="I1713" t="str">
            <v>2</v>
          </cell>
        </row>
        <row r="1714">
          <cell r="A1714" t="str">
            <v>SAN MARTINBELLAVISTASAN RAFAEL</v>
          </cell>
          <cell r="B1714" t="str">
            <v>22</v>
          </cell>
          <cell r="C1714" t="str">
            <v>02</v>
          </cell>
          <cell r="D1714" t="str">
            <v>06</v>
          </cell>
          <cell r="E1714" t="str">
            <v>SAN MARTIN</v>
          </cell>
          <cell r="F1714" t="str">
            <v>BELLAVISTA</v>
          </cell>
          <cell r="G1714" t="str">
            <v>SAN RAFAEL</v>
          </cell>
          <cell r="H1714" t="str">
            <v>011753</v>
          </cell>
          <cell r="I1714" t="str">
            <v>2</v>
          </cell>
        </row>
        <row r="1715">
          <cell r="A1715" t="str">
            <v>SAN MARTINEL DORADOSAN JOSE DE SISA</v>
          </cell>
          <cell r="B1715" t="str">
            <v>22</v>
          </cell>
          <cell r="C1715" t="str">
            <v>03</v>
          </cell>
          <cell r="D1715" t="str">
            <v>01</v>
          </cell>
          <cell r="E1715" t="str">
            <v>SAN MARTIN</v>
          </cell>
          <cell r="F1715" t="str">
            <v>EL DORADO</v>
          </cell>
          <cell r="G1715" t="str">
            <v>SAN JOSE DE SISA</v>
          </cell>
          <cell r="H1715" t="str">
            <v>011709</v>
          </cell>
          <cell r="I1715" t="str">
            <v>1</v>
          </cell>
        </row>
        <row r="1716">
          <cell r="A1716" t="str">
            <v>SAN MARTINEL DORADOAGUA BLANCA</v>
          </cell>
          <cell r="B1716" t="str">
            <v>22</v>
          </cell>
          <cell r="C1716" t="str">
            <v>03</v>
          </cell>
          <cell r="D1716" t="str">
            <v>02</v>
          </cell>
          <cell r="E1716" t="str">
            <v>SAN MARTIN</v>
          </cell>
          <cell r="F1716" t="str">
            <v>EL DORADO</v>
          </cell>
          <cell r="G1716" t="str">
            <v>AGUA BLANCA</v>
          </cell>
          <cell r="H1716" t="str">
            <v>011710</v>
          </cell>
          <cell r="I1716" t="str">
            <v>2</v>
          </cell>
        </row>
        <row r="1717">
          <cell r="A1717" t="str">
            <v>SAN MARTINEL DORADOSAN MARTIN</v>
          </cell>
          <cell r="B1717" t="str">
            <v>22</v>
          </cell>
          <cell r="C1717" t="str">
            <v>03</v>
          </cell>
          <cell r="D1717" t="str">
            <v>03</v>
          </cell>
          <cell r="E1717" t="str">
            <v>SAN MARTIN</v>
          </cell>
          <cell r="F1717" t="str">
            <v>EL DORADO</v>
          </cell>
          <cell r="G1717" t="str">
            <v>SAN MARTIN</v>
          </cell>
          <cell r="H1717" t="str">
            <v>011711</v>
          </cell>
          <cell r="I1717" t="str">
            <v>2</v>
          </cell>
        </row>
        <row r="1718">
          <cell r="A1718" t="str">
            <v>SAN MARTINEL DORADOSANTA ROSA</v>
          </cell>
          <cell r="B1718" t="str">
            <v>22</v>
          </cell>
          <cell r="C1718" t="str">
            <v>03</v>
          </cell>
          <cell r="D1718" t="str">
            <v>04</v>
          </cell>
          <cell r="E1718" t="str">
            <v>SAN MARTIN</v>
          </cell>
          <cell r="F1718" t="str">
            <v>EL DORADO</v>
          </cell>
          <cell r="G1718" t="str">
            <v>SANTA ROSA</v>
          </cell>
          <cell r="H1718" t="str">
            <v>011712</v>
          </cell>
          <cell r="I1718" t="str">
            <v>2</v>
          </cell>
        </row>
        <row r="1719">
          <cell r="A1719" t="str">
            <v>SAN MARTINEL DORADOSHATOJA</v>
          </cell>
          <cell r="B1719" t="str">
            <v>22</v>
          </cell>
          <cell r="C1719" t="str">
            <v>03</v>
          </cell>
          <cell r="D1719" t="str">
            <v>05</v>
          </cell>
          <cell r="E1719" t="str">
            <v>SAN MARTIN</v>
          </cell>
          <cell r="F1719" t="str">
            <v>EL DORADO</v>
          </cell>
          <cell r="G1719" t="str">
            <v>SHATOJA</v>
          </cell>
          <cell r="H1719" t="str">
            <v>011713</v>
          </cell>
          <cell r="I1719" t="str">
            <v>2</v>
          </cell>
        </row>
        <row r="1720">
          <cell r="A1720" t="str">
            <v>SAN MARTINHUALLAGASAPOSOA</v>
          </cell>
          <cell r="B1720" t="str">
            <v>22</v>
          </cell>
          <cell r="C1720" t="str">
            <v>04</v>
          </cell>
          <cell r="D1720" t="str">
            <v>01</v>
          </cell>
          <cell r="E1720" t="str">
            <v>SAN MARTIN</v>
          </cell>
          <cell r="F1720" t="str">
            <v>HUALLAGA</v>
          </cell>
          <cell r="G1720" t="str">
            <v>SAPOSOA</v>
          </cell>
          <cell r="H1720" t="str">
            <v>011754</v>
          </cell>
          <cell r="I1720" t="str">
            <v>1</v>
          </cell>
        </row>
        <row r="1721">
          <cell r="A1721" t="str">
            <v>SAN MARTINHUALLAGAALTO SAPOSOA</v>
          </cell>
          <cell r="B1721" t="str">
            <v>22</v>
          </cell>
          <cell r="C1721" t="str">
            <v>04</v>
          </cell>
          <cell r="D1721" t="str">
            <v>02</v>
          </cell>
          <cell r="E1721" t="str">
            <v>SAN MARTIN</v>
          </cell>
          <cell r="F1721" t="str">
            <v>HUALLAGA</v>
          </cell>
          <cell r="G1721" t="str">
            <v>ALTO SAPOSOA</v>
          </cell>
          <cell r="H1721" t="str">
            <v>011755</v>
          </cell>
          <cell r="I1721" t="str">
            <v>2</v>
          </cell>
        </row>
        <row r="1722">
          <cell r="A1722" t="str">
            <v>SAN MARTINHUALLAGAEL ESLABON</v>
          </cell>
          <cell r="B1722" t="str">
            <v>22</v>
          </cell>
          <cell r="C1722" t="str">
            <v>04</v>
          </cell>
          <cell r="D1722" t="str">
            <v>03</v>
          </cell>
          <cell r="E1722" t="str">
            <v>SAN MARTIN</v>
          </cell>
          <cell r="F1722" t="str">
            <v>HUALLAGA</v>
          </cell>
          <cell r="G1722" t="str">
            <v>EL ESLABON</v>
          </cell>
          <cell r="H1722" t="str">
            <v>011756</v>
          </cell>
          <cell r="I1722" t="str">
            <v>2</v>
          </cell>
        </row>
        <row r="1723">
          <cell r="A1723" t="str">
            <v>SAN MARTINHUALLAGAPISCOYACU</v>
          </cell>
          <cell r="B1723" t="str">
            <v>22</v>
          </cell>
          <cell r="C1723" t="str">
            <v>04</v>
          </cell>
          <cell r="D1723" t="str">
            <v>04</v>
          </cell>
          <cell r="E1723" t="str">
            <v>SAN MARTIN</v>
          </cell>
          <cell r="F1723" t="str">
            <v>HUALLAGA</v>
          </cell>
          <cell r="G1723" t="str">
            <v>PISCOYACU</v>
          </cell>
          <cell r="H1723" t="str">
            <v>011757</v>
          </cell>
          <cell r="I1723" t="str">
            <v>2</v>
          </cell>
        </row>
        <row r="1724">
          <cell r="A1724" t="str">
            <v>SAN MARTINHUALLAGASACANCHE</v>
          </cell>
          <cell r="B1724" t="str">
            <v>22</v>
          </cell>
          <cell r="C1724" t="str">
            <v>04</v>
          </cell>
          <cell r="D1724" t="str">
            <v>05</v>
          </cell>
          <cell r="E1724" t="str">
            <v>SAN MARTIN</v>
          </cell>
          <cell r="F1724" t="str">
            <v>HUALLAGA</v>
          </cell>
          <cell r="G1724" t="str">
            <v>SACANCHE</v>
          </cell>
          <cell r="H1724" t="str">
            <v>011758</v>
          </cell>
          <cell r="I1724" t="str">
            <v>2</v>
          </cell>
        </row>
        <row r="1725">
          <cell r="A1725" t="str">
            <v>SAN MARTINHUALLAGATINGO DE SAPOSOA</v>
          </cell>
          <cell r="B1725" t="str">
            <v>22</v>
          </cell>
          <cell r="C1725" t="str">
            <v>04</v>
          </cell>
          <cell r="D1725" t="str">
            <v>06</v>
          </cell>
          <cell r="E1725" t="str">
            <v>SAN MARTIN</v>
          </cell>
          <cell r="F1725" t="str">
            <v>HUALLAGA</v>
          </cell>
          <cell r="G1725" t="str">
            <v>TINGO DE SAPOSOA</v>
          </cell>
          <cell r="H1725" t="str">
            <v>011759</v>
          </cell>
          <cell r="I1725" t="str">
            <v>2</v>
          </cell>
        </row>
        <row r="1726">
          <cell r="A1726" t="str">
            <v>SAN MARTINLAMASLAMAS</v>
          </cell>
          <cell r="B1726" t="str">
            <v>22</v>
          </cell>
          <cell r="C1726" t="str">
            <v>05</v>
          </cell>
          <cell r="D1726" t="str">
            <v>01</v>
          </cell>
          <cell r="E1726" t="str">
            <v>SAN MARTIN</v>
          </cell>
          <cell r="F1726" t="str">
            <v>LAMAS</v>
          </cell>
          <cell r="G1726" t="str">
            <v>LAMAS</v>
          </cell>
          <cell r="H1726" t="str">
            <v>011714</v>
          </cell>
          <cell r="I1726" t="str">
            <v>1</v>
          </cell>
        </row>
        <row r="1727">
          <cell r="A1727" t="str">
            <v>SAN MARTINLAMASALONSO DE ALVARADO</v>
          </cell>
          <cell r="B1727" t="str">
            <v>22</v>
          </cell>
          <cell r="C1727" t="str">
            <v>05</v>
          </cell>
          <cell r="D1727" t="str">
            <v>02</v>
          </cell>
          <cell r="E1727" t="str">
            <v>SAN MARTIN</v>
          </cell>
          <cell r="F1727" t="str">
            <v>LAMAS</v>
          </cell>
          <cell r="G1727" t="str">
            <v>ALONSO DE ALVARADO</v>
          </cell>
          <cell r="H1727" t="str">
            <v>011715</v>
          </cell>
          <cell r="I1727" t="str">
            <v>2</v>
          </cell>
        </row>
        <row r="1728">
          <cell r="A1728" t="str">
            <v>SAN MARTINLAMASBARRANQUITA</v>
          </cell>
          <cell r="B1728" t="str">
            <v>22</v>
          </cell>
          <cell r="C1728" t="str">
            <v>05</v>
          </cell>
          <cell r="D1728" t="str">
            <v>03</v>
          </cell>
          <cell r="E1728" t="str">
            <v>SAN MARTIN</v>
          </cell>
          <cell r="F1728" t="str">
            <v>LAMAS</v>
          </cell>
          <cell r="G1728" t="str">
            <v>BARRANQUITA</v>
          </cell>
          <cell r="H1728" t="str">
            <v>011716</v>
          </cell>
          <cell r="I1728" t="str">
            <v>2</v>
          </cell>
        </row>
        <row r="1729">
          <cell r="A1729" t="str">
            <v>SAN MARTINLAMASCAYNARACHI</v>
          </cell>
          <cell r="B1729" t="str">
            <v>22</v>
          </cell>
          <cell r="C1729" t="str">
            <v>05</v>
          </cell>
          <cell r="D1729" t="str">
            <v>04</v>
          </cell>
          <cell r="E1729" t="str">
            <v>SAN MARTIN</v>
          </cell>
          <cell r="F1729" t="str">
            <v>LAMAS</v>
          </cell>
          <cell r="G1729" t="str">
            <v>CAYNARACHI</v>
          </cell>
          <cell r="H1729" t="str">
            <v>011717</v>
          </cell>
          <cell r="I1729" t="str">
            <v>2</v>
          </cell>
        </row>
        <row r="1730">
          <cell r="A1730" t="str">
            <v>SAN MARTINLAMASCUÑUMBUQUI</v>
          </cell>
          <cell r="B1730" t="str">
            <v>22</v>
          </cell>
          <cell r="C1730" t="str">
            <v>05</v>
          </cell>
          <cell r="D1730" t="str">
            <v>05</v>
          </cell>
          <cell r="E1730" t="str">
            <v>SAN MARTIN</v>
          </cell>
          <cell r="F1730" t="str">
            <v>LAMAS</v>
          </cell>
          <cell r="G1730" t="str">
            <v>CUÑUMBUQUI</v>
          </cell>
          <cell r="H1730" t="str">
            <v>011718</v>
          </cell>
          <cell r="I1730" t="str">
            <v>2</v>
          </cell>
        </row>
        <row r="1731">
          <cell r="A1731" t="str">
            <v>SAN MARTINLAMASPINTO RECODO</v>
          </cell>
          <cell r="B1731" t="str">
            <v>22</v>
          </cell>
          <cell r="C1731" t="str">
            <v>05</v>
          </cell>
          <cell r="D1731" t="str">
            <v>06</v>
          </cell>
          <cell r="E1731" t="str">
            <v>SAN MARTIN</v>
          </cell>
          <cell r="F1731" t="str">
            <v>LAMAS</v>
          </cell>
          <cell r="G1731" t="str">
            <v>PINTO RECODO</v>
          </cell>
          <cell r="H1731" t="str">
            <v>011719</v>
          </cell>
          <cell r="I1731" t="str">
            <v>2</v>
          </cell>
        </row>
        <row r="1732">
          <cell r="A1732" t="str">
            <v>SAN MARTINLAMASRUMISAPA</v>
          </cell>
          <cell r="B1732" t="str">
            <v>22</v>
          </cell>
          <cell r="C1732" t="str">
            <v>05</v>
          </cell>
          <cell r="D1732" t="str">
            <v>07</v>
          </cell>
          <cell r="E1732" t="str">
            <v>SAN MARTIN</v>
          </cell>
          <cell r="F1732" t="str">
            <v>LAMAS</v>
          </cell>
          <cell r="G1732" t="str">
            <v>RUMISAPA</v>
          </cell>
          <cell r="H1732" t="str">
            <v>011720</v>
          </cell>
          <cell r="I1732" t="str">
            <v>2</v>
          </cell>
        </row>
        <row r="1733">
          <cell r="A1733" t="str">
            <v>SAN MARTINLAMASSAN ROQUE DE CUMBAZA</v>
          </cell>
          <cell r="B1733" t="str">
            <v>22</v>
          </cell>
          <cell r="C1733" t="str">
            <v>05</v>
          </cell>
          <cell r="D1733" t="str">
            <v>08</v>
          </cell>
          <cell r="E1733" t="str">
            <v>SAN MARTIN</v>
          </cell>
          <cell r="F1733" t="str">
            <v>LAMAS</v>
          </cell>
          <cell r="G1733" t="str">
            <v>SAN ROQUE DE CUMBAZA</v>
          </cell>
          <cell r="H1733" t="str">
            <v>011721</v>
          </cell>
          <cell r="I1733" t="str">
            <v>2</v>
          </cell>
        </row>
        <row r="1734">
          <cell r="A1734" t="str">
            <v>SAN MARTINLAMASSHANAO</v>
          </cell>
          <cell r="B1734" t="str">
            <v>22</v>
          </cell>
          <cell r="C1734" t="str">
            <v>05</v>
          </cell>
          <cell r="D1734" t="str">
            <v>09</v>
          </cell>
          <cell r="E1734" t="str">
            <v>SAN MARTIN</v>
          </cell>
          <cell r="F1734" t="str">
            <v>LAMAS</v>
          </cell>
          <cell r="G1734" t="str">
            <v>SHANAO</v>
          </cell>
          <cell r="H1734" t="str">
            <v>011722</v>
          </cell>
          <cell r="I1734" t="str">
            <v>2</v>
          </cell>
        </row>
        <row r="1735">
          <cell r="A1735" t="str">
            <v>SAN MARTINLAMASTABALOSOS</v>
          </cell>
          <cell r="B1735" t="str">
            <v>22</v>
          </cell>
          <cell r="C1735" t="str">
            <v>05</v>
          </cell>
          <cell r="D1735" t="str">
            <v>10</v>
          </cell>
          <cell r="E1735" t="str">
            <v>SAN MARTIN</v>
          </cell>
          <cell r="F1735" t="str">
            <v>LAMAS</v>
          </cell>
          <cell r="G1735" t="str">
            <v>TABALOSOS</v>
          </cell>
          <cell r="H1735" t="str">
            <v>012301</v>
          </cell>
          <cell r="I1735" t="str">
            <v>2</v>
          </cell>
        </row>
        <row r="1736">
          <cell r="A1736" t="str">
            <v>SAN MARTINLAMASZAPATERO</v>
          </cell>
          <cell r="B1736" t="str">
            <v>22</v>
          </cell>
          <cell r="C1736" t="str">
            <v>05</v>
          </cell>
          <cell r="D1736" t="str">
            <v>11</v>
          </cell>
          <cell r="E1736" t="str">
            <v>SAN MARTIN</v>
          </cell>
          <cell r="F1736" t="str">
            <v>LAMAS</v>
          </cell>
          <cell r="G1736" t="str">
            <v>ZAPATERO</v>
          </cell>
          <cell r="H1736" t="str">
            <v>011724</v>
          </cell>
          <cell r="I1736" t="str">
            <v>2</v>
          </cell>
        </row>
        <row r="1737">
          <cell r="A1737" t="str">
            <v>SAN MARTINMARISCAL CACERESJUANJUI</v>
          </cell>
          <cell r="B1737" t="str">
            <v>22</v>
          </cell>
          <cell r="C1737" t="str">
            <v>06</v>
          </cell>
          <cell r="D1737" t="str">
            <v>01</v>
          </cell>
          <cell r="E1737" t="str">
            <v>SAN MARTIN</v>
          </cell>
          <cell r="F1737" t="str">
            <v>MARISCAL CACERES</v>
          </cell>
          <cell r="G1737" t="str">
            <v>JUANJUI</v>
          </cell>
          <cell r="H1737" t="str">
            <v>011760</v>
          </cell>
          <cell r="I1737" t="str">
            <v>1</v>
          </cell>
        </row>
        <row r="1738">
          <cell r="A1738" t="str">
            <v>SAN MARTINMARISCAL CACERESCAMPANILLA</v>
          </cell>
          <cell r="B1738" t="str">
            <v>22</v>
          </cell>
          <cell r="C1738" t="str">
            <v>06</v>
          </cell>
          <cell r="D1738" t="str">
            <v>02</v>
          </cell>
          <cell r="E1738" t="str">
            <v>SAN MARTIN</v>
          </cell>
          <cell r="F1738" t="str">
            <v>MARISCAL CACERES</v>
          </cell>
          <cell r="G1738" t="str">
            <v>CAMPANILLA</v>
          </cell>
          <cell r="H1738" t="str">
            <v>011761</v>
          </cell>
          <cell r="I1738" t="str">
            <v>2</v>
          </cell>
        </row>
        <row r="1739">
          <cell r="A1739" t="str">
            <v>SAN MARTINMARISCAL CACERESHUICUNGO</v>
          </cell>
          <cell r="B1739" t="str">
            <v>22</v>
          </cell>
          <cell r="C1739" t="str">
            <v>06</v>
          </cell>
          <cell r="D1739" t="str">
            <v>03</v>
          </cell>
          <cell r="E1739" t="str">
            <v>SAN MARTIN</v>
          </cell>
          <cell r="F1739" t="str">
            <v>MARISCAL CACERES</v>
          </cell>
          <cell r="G1739" t="str">
            <v>HUICUNGO</v>
          </cell>
          <cell r="H1739" t="str">
            <v>011762</v>
          </cell>
          <cell r="I1739" t="str">
            <v>2</v>
          </cell>
        </row>
        <row r="1740">
          <cell r="A1740" t="str">
            <v>SAN MARTINMARISCAL CACERESPACHIZA</v>
          </cell>
          <cell r="B1740" t="str">
            <v>22</v>
          </cell>
          <cell r="C1740" t="str">
            <v>06</v>
          </cell>
          <cell r="D1740" t="str">
            <v>04</v>
          </cell>
          <cell r="E1740" t="str">
            <v>SAN MARTIN</v>
          </cell>
          <cell r="F1740" t="str">
            <v>MARISCAL CACERES</v>
          </cell>
          <cell r="G1740" t="str">
            <v>PACHIZA</v>
          </cell>
          <cell r="H1740" t="str">
            <v>011763</v>
          </cell>
          <cell r="I1740" t="str">
            <v>2</v>
          </cell>
        </row>
        <row r="1741">
          <cell r="A1741" t="str">
            <v>SAN MARTINMARISCAL CACERESPAJARILLO</v>
          </cell>
          <cell r="B1741" t="str">
            <v>22</v>
          </cell>
          <cell r="C1741" t="str">
            <v>06</v>
          </cell>
          <cell r="D1741" t="str">
            <v>05</v>
          </cell>
          <cell r="E1741" t="str">
            <v>SAN MARTIN</v>
          </cell>
          <cell r="F1741" t="str">
            <v>MARISCAL CACERES</v>
          </cell>
          <cell r="G1741" t="str">
            <v>PAJARILLO</v>
          </cell>
          <cell r="H1741" t="str">
            <v>011764</v>
          </cell>
          <cell r="I1741" t="str">
            <v>2</v>
          </cell>
        </row>
        <row r="1742">
          <cell r="A1742" t="str">
            <v>SAN MARTINPICOTAPICOTA</v>
          </cell>
          <cell r="B1742" t="str">
            <v>22</v>
          </cell>
          <cell r="C1742" t="str">
            <v>07</v>
          </cell>
          <cell r="D1742" t="str">
            <v>01</v>
          </cell>
          <cell r="E1742" t="str">
            <v>SAN MARTIN</v>
          </cell>
          <cell r="F1742" t="str">
            <v>PICOTA</v>
          </cell>
          <cell r="G1742" t="str">
            <v>PICOTA</v>
          </cell>
          <cell r="H1742" t="str">
            <v>012985</v>
          </cell>
          <cell r="I1742" t="str">
            <v>1</v>
          </cell>
        </row>
        <row r="1743">
          <cell r="A1743" t="str">
            <v>SAN MARTINPICOTABUENOS AIRES</v>
          </cell>
          <cell r="B1743" t="str">
            <v>22</v>
          </cell>
          <cell r="C1743" t="str">
            <v>07</v>
          </cell>
          <cell r="D1743" t="str">
            <v>02</v>
          </cell>
          <cell r="E1743" t="str">
            <v>SAN MARTIN</v>
          </cell>
          <cell r="F1743" t="str">
            <v>PICOTA</v>
          </cell>
          <cell r="G1743" t="str">
            <v>BUENOS AIRES</v>
          </cell>
          <cell r="H1743" t="str">
            <v>011766</v>
          </cell>
          <cell r="I1743" t="str">
            <v>2</v>
          </cell>
        </row>
        <row r="1744">
          <cell r="A1744" t="str">
            <v>SAN MARTINPICOTACASPISAPA</v>
          </cell>
          <cell r="B1744" t="str">
            <v>22</v>
          </cell>
          <cell r="C1744" t="str">
            <v>07</v>
          </cell>
          <cell r="D1744" t="str">
            <v>03</v>
          </cell>
          <cell r="E1744" t="str">
            <v>SAN MARTIN</v>
          </cell>
          <cell r="F1744" t="str">
            <v>PICOTA</v>
          </cell>
          <cell r="G1744" t="str">
            <v>CASPISAPA</v>
          </cell>
          <cell r="H1744" t="str">
            <v>011767</v>
          </cell>
          <cell r="I1744" t="str">
            <v>2</v>
          </cell>
        </row>
        <row r="1745">
          <cell r="A1745" t="str">
            <v>SAN MARTINPICOTAPILLUANA</v>
          </cell>
          <cell r="B1745" t="str">
            <v>22</v>
          </cell>
          <cell r="C1745" t="str">
            <v>07</v>
          </cell>
          <cell r="D1745" t="str">
            <v>04</v>
          </cell>
          <cell r="E1745" t="str">
            <v>SAN MARTIN</v>
          </cell>
          <cell r="F1745" t="str">
            <v>PICOTA</v>
          </cell>
          <cell r="G1745" t="str">
            <v>PILLUANA</v>
          </cell>
          <cell r="H1745" t="str">
            <v>011768</v>
          </cell>
          <cell r="I1745" t="str">
            <v>2</v>
          </cell>
        </row>
        <row r="1746">
          <cell r="A1746" t="str">
            <v>SAN MARTINPICOTAPUCACACA</v>
          </cell>
          <cell r="B1746" t="str">
            <v>22</v>
          </cell>
          <cell r="C1746" t="str">
            <v>07</v>
          </cell>
          <cell r="D1746" t="str">
            <v>05</v>
          </cell>
          <cell r="E1746" t="str">
            <v>SAN MARTIN</v>
          </cell>
          <cell r="F1746" t="str">
            <v>PICOTA</v>
          </cell>
          <cell r="G1746" t="str">
            <v>PUCACACA</v>
          </cell>
          <cell r="H1746" t="str">
            <v>011769</v>
          </cell>
          <cell r="I1746" t="str">
            <v>2</v>
          </cell>
        </row>
        <row r="1747">
          <cell r="A1747" t="str">
            <v>SAN MARTINPICOTASAN CRISTOBAL</v>
          </cell>
          <cell r="B1747" t="str">
            <v>22</v>
          </cell>
          <cell r="C1747" t="str">
            <v>07</v>
          </cell>
          <cell r="D1747" t="str">
            <v>06</v>
          </cell>
          <cell r="E1747" t="str">
            <v>SAN MARTIN</v>
          </cell>
          <cell r="F1747" t="str">
            <v>PICOTA</v>
          </cell>
          <cell r="G1747" t="str">
            <v>SAN CRISTOBAL</v>
          </cell>
          <cell r="H1747" t="str">
            <v>011770</v>
          </cell>
          <cell r="I1747" t="str">
            <v>2</v>
          </cell>
        </row>
        <row r="1748">
          <cell r="A1748" t="str">
            <v>SAN MARTINPICOTASAN HILARION</v>
          </cell>
          <cell r="B1748" t="str">
            <v>22</v>
          </cell>
          <cell r="C1748" t="str">
            <v>07</v>
          </cell>
          <cell r="D1748" t="str">
            <v>07</v>
          </cell>
          <cell r="E1748" t="str">
            <v>SAN MARTIN</v>
          </cell>
          <cell r="F1748" t="str">
            <v>PICOTA</v>
          </cell>
          <cell r="G1748" t="str">
            <v>SAN HILARION</v>
          </cell>
          <cell r="H1748" t="str">
            <v>011771</v>
          </cell>
          <cell r="I1748" t="str">
            <v>2</v>
          </cell>
        </row>
        <row r="1749">
          <cell r="A1749" t="str">
            <v>SAN MARTINPICOTASHAMBOYACU</v>
          </cell>
          <cell r="B1749" t="str">
            <v>22</v>
          </cell>
          <cell r="C1749" t="str">
            <v>07</v>
          </cell>
          <cell r="D1749" t="str">
            <v>08</v>
          </cell>
          <cell r="E1749" t="str">
            <v>SAN MARTIN</v>
          </cell>
          <cell r="F1749" t="str">
            <v>PICOTA</v>
          </cell>
          <cell r="G1749" t="str">
            <v>SHAMBOYACU</v>
          </cell>
          <cell r="H1749" t="str">
            <v>012794</v>
          </cell>
          <cell r="I1749" t="str">
            <v>2</v>
          </cell>
        </row>
        <row r="1750">
          <cell r="A1750" t="str">
            <v>SAN MARTINPICOTATINGO DE PONASA</v>
          </cell>
          <cell r="B1750" t="str">
            <v>22</v>
          </cell>
          <cell r="C1750" t="str">
            <v>07</v>
          </cell>
          <cell r="D1750" t="str">
            <v>09</v>
          </cell>
          <cell r="E1750" t="str">
            <v>SAN MARTIN</v>
          </cell>
          <cell r="F1750" t="str">
            <v>PICOTA</v>
          </cell>
          <cell r="G1750" t="str">
            <v>TINGO DE PONASA</v>
          </cell>
          <cell r="H1750" t="str">
            <v>012282</v>
          </cell>
          <cell r="I1750" t="str">
            <v>2</v>
          </cell>
        </row>
        <row r="1751">
          <cell r="A1751" t="str">
            <v>SAN MARTINPICOTATRES UNIDOS</v>
          </cell>
          <cell r="B1751" t="str">
            <v>22</v>
          </cell>
          <cell r="C1751" t="str">
            <v>07</v>
          </cell>
          <cell r="D1751" t="str">
            <v>10</v>
          </cell>
          <cell r="E1751" t="str">
            <v>SAN MARTIN</v>
          </cell>
          <cell r="F1751" t="str">
            <v>PICOTA</v>
          </cell>
          <cell r="G1751" t="str">
            <v>TRES UNIDOS</v>
          </cell>
          <cell r="H1751" t="str">
            <v>011774</v>
          </cell>
          <cell r="I1751" t="str">
            <v>2</v>
          </cell>
        </row>
        <row r="1752">
          <cell r="A1752" t="str">
            <v>SAN MARTINRIOJARIOJA</v>
          </cell>
          <cell r="B1752" t="str">
            <v>22</v>
          </cell>
          <cell r="C1752" t="str">
            <v>08</v>
          </cell>
          <cell r="D1752" t="str">
            <v>01</v>
          </cell>
          <cell r="E1752" t="str">
            <v>SAN MARTIN</v>
          </cell>
          <cell r="F1752" t="str">
            <v>RIOJA</v>
          </cell>
          <cell r="G1752" t="str">
            <v>RIOJA</v>
          </cell>
          <cell r="H1752" t="str">
            <v>011725</v>
          </cell>
          <cell r="I1752" t="str">
            <v>1</v>
          </cell>
        </row>
        <row r="1753">
          <cell r="A1753" t="str">
            <v>SAN MARTINRIOJAAWAJUN</v>
          </cell>
          <cell r="B1753" t="str">
            <v>22</v>
          </cell>
          <cell r="C1753" t="str">
            <v>08</v>
          </cell>
          <cell r="D1753" t="str">
            <v>02</v>
          </cell>
          <cell r="E1753" t="str">
            <v>SAN MARTIN</v>
          </cell>
          <cell r="F1753" t="str">
            <v>RIOJA</v>
          </cell>
          <cell r="G1753" t="str">
            <v>AWAJUN</v>
          </cell>
          <cell r="H1753" t="str">
            <v>011726</v>
          </cell>
          <cell r="I1753" t="str">
            <v>2</v>
          </cell>
        </row>
        <row r="1754">
          <cell r="A1754" t="str">
            <v>SAN MARTINRIOJAELIAS SOPLIN VARGAS</v>
          </cell>
          <cell r="B1754" t="str">
            <v>22</v>
          </cell>
          <cell r="C1754" t="str">
            <v>08</v>
          </cell>
          <cell r="D1754" t="str">
            <v>03</v>
          </cell>
          <cell r="E1754" t="str">
            <v>SAN MARTIN</v>
          </cell>
          <cell r="F1754" t="str">
            <v>RIOJA</v>
          </cell>
          <cell r="G1754" t="str">
            <v>ELIAS SOPLIN VARGAS</v>
          </cell>
          <cell r="H1754" t="str">
            <v>011727</v>
          </cell>
          <cell r="I1754" t="str">
            <v>2</v>
          </cell>
        </row>
        <row r="1755">
          <cell r="A1755" t="str">
            <v>SAN MARTINRIOJANUEVA CAJAMARCA</v>
          </cell>
          <cell r="B1755" t="str">
            <v>22</v>
          </cell>
          <cell r="C1755" t="str">
            <v>08</v>
          </cell>
          <cell r="D1755" t="str">
            <v>04</v>
          </cell>
          <cell r="E1755" t="str">
            <v>SAN MARTIN</v>
          </cell>
          <cell r="F1755" t="str">
            <v>RIOJA</v>
          </cell>
          <cell r="G1755" t="str">
            <v>NUEVA CAJAMARCA</v>
          </cell>
          <cell r="H1755" t="str">
            <v>011728</v>
          </cell>
          <cell r="I1755" t="str">
            <v>2</v>
          </cell>
        </row>
        <row r="1756">
          <cell r="A1756" t="str">
            <v>SAN MARTINRIOJAPARDO MIGUEL</v>
          </cell>
          <cell r="B1756" t="str">
            <v>22</v>
          </cell>
          <cell r="C1756" t="str">
            <v>08</v>
          </cell>
          <cell r="D1756" t="str">
            <v>05</v>
          </cell>
          <cell r="E1756" t="str">
            <v>SAN MARTIN</v>
          </cell>
          <cell r="F1756" t="str">
            <v>RIOJA</v>
          </cell>
          <cell r="G1756" t="str">
            <v>PARDO MIGUEL</v>
          </cell>
          <cell r="H1756" t="str">
            <v>011729</v>
          </cell>
          <cell r="I1756" t="str">
            <v>2</v>
          </cell>
        </row>
        <row r="1757">
          <cell r="A1757" t="str">
            <v>SAN MARTINRIOJAPOSIC</v>
          </cell>
          <cell r="B1757" t="str">
            <v>22</v>
          </cell>
          <cell r="C1757" t="str">
            <v>08</v>
          </cell>
          <cell r="D1757" t="str">
            <v>06</v>
          </cell>
          <cell r="E1757" t="str">
            <v>SAN MARTIN</v>
          </cell>
          <cell r="F1757" t="str">
            <v>RIOJA</v>
          </cell>
          <cell r="G1757" t="str">
            <v>POSIC</v>
          </cell>
          <cell r="H1757" t="str">
            <v>011730</v>
          </cell>
          <cell r="I1757" t="str">
            <v>2</v>
          </cell>
        </row>
        <row r="1758">
          <cell r="A1758" t="str">
            <v>SAN MARTINRIOJASAN FERNANDO</v>
          </cell>
          <cell r="B1758" t="str">
            <v>22</v>
          </cell>
          <cell r="C1758" t="str">
            <v>08</v>
          </cell>
          <cell r="D1758" t="str">
            <v>07</v>
          </cell>
          <cell r="E1758" t="str">
            <v>SAN MARTIN</v>
          </cell>
          <cell r="F1758" t="str">
            <v>RIOJA</v>
          </cell>
          <cell r="G1758" t="str">
            <v>SAN FERNANDO</v>
          </cell>
          <cell r="H1758" t="str">
            <v>011731</v>
          </cell>
          <cell r="I1758" t="str">
            <v>2</v>
          </cell>
        </row>
        <row r="1759">
          <cell r="A1759" t="str">
            <v>SAN MARTINRIOJAYORONGOS</v>
          </cell>
          <cell r="B1759" t="str">
            <v>22</v>
          </cell>
          <cell r="C1759" t="str">
            <v>08</v>
          </cell>
          <cell r="D1759" t="str">
            <v>08</v>
          </cell>
          <cell r="E1759" t="str">
            <v>SAN MARTIN</v>
          </cell>
          <cell r="F1759" t="str">
            <v>RIOJA</v>
          </cell>
          <cell r="G1759" t="str">
            <v>YORONGOS</v>
          </cell>
          <cell r="H1759" t="str">
            <v>011732</v>
          </cell>
          <cell r="I1759" t="str">
            <v>2</v>
          </cell>
        </row>
        <row r="1760">
          <cell r="A1760" t="str">
            <v>SAN MARTINRIOJAYURACYACU</v>
          </cell>
          <cell r="B1760" t="str">
            <v>22</v>
          </cell>
          <cell r="C1760" t="str">
            <v>08</v>
          </cell>
          <cell r="D1760" t="str">
            <v>09</v>
          </cell>
          <cell r="E1760" t="str">
            <v>SAN MARTIN</v>
          </cell>
          <cell r="F1760" t="str">
            <v>RIOJA</v>
          </cell>
          <cell r="G1760" t="str">
            <v>YURACYACU</v>
          </cell>
          <cell r="H1760" t="str">
            <v>011733</v>
          </cell>
          <cell r="I1760" t="str">
            <v>2</v>
          </cell>
        </row>
        <row r="1761">
          <cell r="A1761" t="str">
            <v>SAN MARTINSAN MARTINTARAPOTO</v>
          </cell>
          <cell r="B1761" t="str">
            <v>22</v>
          </cell>
          <cell r="C1761" t="str">
            <v>09</v>
          </cell>
          <cell r="D1761" t="str">
            <v>01</v>
          </cell>
          <cell r="E1761" t="str">
            <v>SAN MARTIN</v>
          </cell>
          <cell r="F1761" t="str">
            <v>SAN MARTIN</v>
          </cell>
          <cell r="G1761" t="str">
            <v>TARAPOTO</v>
          </cell>
          <cell r="H1761" t="str">
            <v>012785</v>
          </cell>
          <cell r="I1761" t="str">
            <v>1</v>
          </cell>
        </row>
        <row r="1762">
          <cell r="A1762" t="str">
            <v>SAN MARTINSAN MARTINALBERTO LEVEAU</v>
          </cell>
          <cell r="B1762" t="str">
            <v>22</v>
          </cell>
          <cell r="C1762" t="str">
            <v>09</v>
          </cell>
          <cell r="D1762" t="str">
            <v>02</v>
          </cell>
          <cell r="E1762" t="str">
            <v>SAN MARTIN</v>
          </cell>
          <cell r="F1762" t="str">
            <v>SAN MARTIN</v>
          </cell>
          <cell r="G1762" t="str">
            <v>ALBERTO LEVEAU</v>
          </cell>
          <cell r="H1762" t="str">
            <v>013011</v>
          </cell>
          <cell r="I1762" t="str">
            <v>2</v>
          </cell>
        </row>
        <row r="1763">
          <cell r="A1763" t="str">
            <v>SAN MARTINSAN MARTINCACATACHI</v>
          </cell>
          <cell r="B1763" t="str">
            <v>22</v>
          </cell>
          <cell r="C1763" t="str">
            <v>09</v>
          </cell>
          <cell r="D1763" t="str">
            <v>03</v>
          </cell>
          <cell r="E1763" t="str">
            <v>SAN MARTIN</v>
          </cell>
          <cell r="F1763" t="str">
            <v>SAN MARTIN</v>
          </cell>
          <cell r="G1763" t="str">
            <v>CACATACHI</v>
          </cell>
          <cell r="H1763" t="str">
            <v>011735</v>
          </cell>
          <cell r="I1763" t="str">
            <v>2</v>
          </cell>
        </row>
        <row r="1764">
          <cell r="A1764" t="str">
            <v>SAN MARTINSAN MARTINCHAZUTA</v>
          </cell>
          <cell r="B1764" t="str">
            <v>22</v>
          </cell>
          <cell r="C1764" t="str">
            <v>09</v>
          </cell>
          <cell r="D1764" t="str">
            <v>04</v>
          </cell>
          <cell r="E1764" t="str">
            <v>SAN MARTIN</v>
          </cell>
          <cell r="F1764" t="str">
            <v>SAN MARTIN</v>
          </cell>
          <cell r="G1764" t="str">
            <v>CHAZUTA</v>
          </cell>
          <cell r="H1764" t="str">
            <v>011741</v>
          </cell>
          <cell r="I1764" t="str">
            <v>2</v>
          </cell>
        </row>
        <row r="1765">
          <cell r="A1765" t="str">
            <v>SAN MARTINSAN MARTINCHIPURANA</v>
          </cell>
          <cell r="B1765" t="str">
            <v>22</v>
          </cell>
          <cell r="C1765" t="str">
            <v>09</v>
          </cell>
          <cell r="D1765" t="str">
            <v>05</v>
          </cell>
          <cell r="E1765" t="str">
            <v>SAN MARTIN</v>
          </cell>
          <cell r="F1765" t="str">
            <v>SAN MARTIN</v>
          </cell>
          <cell r="G1765" t="str">
            <v>CHIPURANA</v>
          </cell>
          <cell r="H1765" t="str">
            <v>011742</v>
          </cell>
          <cell r="I1765" t="str">
            <v>2</v>
          </cell>
        </row>
        <row r="1766">
          <cell r="A1766" t="str">
            <v>SAN MARTINSAN MARTINEL PORVENIR</v>
          </cell>
          <cell r="B1766" t="str">
            <v>22</v>
          </cell>
          <cell r="C1766" t="str">
            <v>09</v>
          </cell>
          <cell r="D1766" t="str">
            <v>06</v>
          </cell>
          <cell r="E1766" t="str">
            <v>SAN MARTIN</v>
          </cell>
          <cell r="F1766" t="str">
            <v>SAN MARTIN</v>
          </cell>
          <cell r="G1766" t="str">
            <v>EL PORVENIR</v>
          </cell>
          <cell r="H1766" t="str">
            <v>011743</v>
          </cell>
          <cell r="I1766" t="str">
            <v>2</v>
          </cell>
        </row>
        <row r="1767">
          <cell r="A1767" t="str">
            <v>SAN MARTINSAN MARTINHUIMBAYOC</v>
          </cell>
          <cell r="B1767" t="str">
            <v>22</v>
          </cell>
          <cell r="C1767" t="str">
            <v>09</v>
          </cell>
          <cell r="D1767" t="str">
            <v>07</v>
          </cell>
          <cell r="E1767" t="str">
            <v>SAN MARTIN</v>
          </cell>
          <cell r="F1767" t="str">
            <v>SAN MARTIN</v>
          </cell>
          <cell r="G1767" t="str">
            <v>HUIMBAYOC</v>
          </cell>
          <cell r="H1767" t="str">
            <v>011744</v>
          </cell>
          <cell r="I1767" t="str">
            <v>2</v>
          </cell>
        </row>
        <row r="1768">
          <cell r="A1768" t="str">
            <v>SAN MARTINSAN MARTINJUAN GUERRA</v>
          </cell>
          <cell r="B1768" t="str">
            <v>22</v>
          </cell>
          <cell r="C1768" t="str">
            <v>09</v>
          </cell>
          <cell r="D1768" t="str">
            <v>08</v>
          </cell>
          <cell r="E1768" t="str">
            <v>SAN MARTIN</v>
          </cell>
          <cell r="F1768" t="str">
            <v>SAN MARTIN</v>
          </cell>
          <cell r="G1768" t="str">
            <v>JUAN GUERRA</v>
          </cell>
          <cell r="H1768" t="str">
            <v>011736</v>
          </cell>
          <cell r="I1768" t="str">
            <v>2</v>
          </cell>
        </row>
        <row r="1769">
          <cell r="A1769" t="str">
            <v>SAN MARTINSAN MARTINLA BANDA DE SHILCAYO</v>
          </cell>
          <cell r="B1769" t="str">
            <v>22</v>
          </cell>
          <cell r="C1769" t="str">
            <v>09</v>
          </cell>
          <cell r="D1769" t="str">
            <v>09</v>
          </cell>
          <cell r="E1769" t="str">
            <v>SAN MARTIN</v>
          </cell>
          <cell r="F1769" t="str">
            <v>SAN MARTIN</v>
          </cell>
          <cell r="G1769" t="str">
            <v>LA BANDA DE SHILCAYO</v>
          </cell>
          <cell r="H1769" t="str">
            <v>011737</v>
          </cell>
          <cell r="I1769" t="str">
            <v>2</v>
          </cell>
        </row>
        <row r="1770">
          <cell r="A1770" t="str">
            <v>SAN MARTINSAN MARTINMORALES</v>
          </cell>
          <cell r="B1770" t="str">
            <v>22</v>
          </cell>
          <cell r="C1770" t="str">
            <v>09</v>
          </cell>
          <cell r="D1770" t="str">
            <v>10</v>
          </cell>
          <cell r="E1770" t="str">
            <v>SAN MARTIN</v>
          </cell>
          <cell r="F1770" t="str">
            <v>SAN MARTIN</v>
          </cell>
          <cell r="G1770" t="str">
            <v>MORALES</v>
          </cell>
          <cell r="H1770" t="str">
            <v>011738</v>
          </cell>
          <cell r="I1770" t="str">
            <v>2</v>
          </cell>
        </row>
        <row r="1771">
          <cell r="A1771" t="str">
            <v>SAN MARTINSAN MARTINPAPAPLAYA</v>
          </cell>
          <cell r="B1771" t="str">
            <v>22</v>
          </cell>
          <cell r="C1771" t="str">
            <v>09</v>
          </cell>
          <cell r="D1771" t="str">
            <v>11</v>
          </cell>
          <cell r="E1771" t="str">
            <v>SAN MARTIN</v>
          </cell>
          <cell r="F1771" t="str">
            <v>SAN MARTIN</v>
          </cell>
          <cell r="G1771" t="str">
            <v>PAPAPLAYA</v>
          </cell>
          <cell r="H1771" t="str">
            <v>011745</v>
          </cell>
          <cell r="I1771" t="str">
            <v>2</v>
          </cell>
        </row>
        <row r="1772">
          <cell r="A1772" t="str">
            <v>SAN MARTINSAN MARTINSAN ANTONIO</v>
          </cell>
          <cell r="B1772" t="str">
            <v>22</v>
          </cell>
          <cell r="C1772" t="str">
            <v>09</v>
          </cell>
          <cell r="D1772" t="str">
            <v>12</v>
          </cell>
          <cell r="E1772" t="str">
            <v>SAN MARTIN</v>
          </cell>
          <cell r="F1772" t="str">
            <v>SAN MARTIN</v>
          </cell>
          <cell r="G1772" t="str">
            <v>SAN ANTONIO</v>
          </cell>
          <cell r="H1772" t="str">
            <v>011739</v>
          </cell>
          <cell r="I1772" t="str">
            <v>2</v>
          </cell>
        </row>
        <row r="1773">
          <cell r="A1773" t="str">
            <v>SAN MARTINSAN MARTINSAUCE</v>
          </cell>
          <cell r="B1773" t="str">
            <v>22</v>
          </cell>
          <cell r="C1773" t="str">
            <v>09</v>
          </cell>
          <cell r="D1773" t="str">
            <v>13</v>
          </cell>
          <cell r="E1773" t="str">
            <v>SAN MARTIN</v>
          </cell>
          <cell r="F1773" t="str">
            <v>SAN MARTIN</v>
          </cell>
          <cell r="G1773" t="str">
            <v>SAUCE</v>
          </cell>
          <cell r="H1773" t="str">
            <v>011746</v>
          </cell>
          <cell r="I1773" t="str">
            <v>2</v>
          </cell>
        </row>
        <row r="1774">
          <cell r="A1774" t="str">
            <v>SAN MARTINSAN MARTINSHAPAJA</v>
          </cell>
          <cell r="B1774" t="str">
            <v>22</v>
          </cell>
          <cell r="C1774" t="str">
            <v>09</v>
          </cell>
          <cell r="D1774" t="str">
            <v>14</v>
          </cell>
          <cell r="E1774" t="str">
            <v>SAN MARTIN</v>
          </cell>
          <cell r="F1774" t="str">
            <v>SAN MARTIN</v>
          </cell>
          <cell r="G1774" t="str">
            <v>SHAPAJA</v>
          </cell>
          <cell r="H1774" t="str">
            <v>011747</v>
          </cell>
          <cell r="I1774" t="str">
            <v>2</v>
          </cell>
        </row>
        <row r="1775">
          <cell r="A1775" t="str">
            <v>SAN MARTINTOCACHETOCACHE</v>
          </cell>
          <cell r="B1775" t="str">
            <v>22</v>
          </cell>
          <cell r="C1775" t="str">
            <v>10</v>
          </cell>
          <cell r="D1775" t="str">
            <v>01</v>
          </cell>
          <cell r="E1775" t="str">
            <v>SAN MARTIN</v>
          </cell>
          <cell r="F1775" t="str">
            <v>TOCACHE</v>
          </cell>
          <cell r="G1775" t="str">
            <v>TOCACHE</v>
          </cell>
          <cell r="H1775" t="str">
            <v>011775</v>
          </cell>
          <cell r="I1775" t="str">
            <v>1</v>
          </cell>
        </row>
        <row r="1776">
          <cell r="A1776" t="str">
            <v>SAN MARTINTOCACHENUEVO PROGRESO</v>
          </cell>
          <cell r="B1776" t="str">
            <v>22</v>
          </cell>
          <cell r="C1776" t="str">
            <v>10</v>
          </cell>
          <cell r="D1776" t="str">
            <v>02</v>
          </cell>
          <cell r="E1776" t="str">
            <v>SAN MARTIN</v>
          </cell>
          <cell r="F1776" t="str">
            <v>TOCACHE</v>
          </cell>
          <cell r="G1776" t="str">
            <v>NUEVO PROGRESO</v>
          </cell>
          <cell r="H1776" t="str">
            <v>011776</v>
          </cell>
          <cell r="I1776" t="str">
            <v>2</v>
          </cell>
        </row>
        <row r="1777">
          <cell r="A1777" t="str">
            <v>SAN MARTINTOCACHEPOLVORA</v>
          </cell>
          <cell r="B1777" t="str">
            <v>22</v>
          </cell>
          <cell r="C1777" t="str">
            <v>10</v>
          </cell>
          <cell r="D1777" t="str">
            <v>03</v>
          </cell>
          <cell r="E1777" t="str">
            <v>SAN MARTIN</v>
          </cell>
          <cell r="F1777" t="str">
            <v>TOCACHE</v>
          </cell>
          <cell r="G1777" t="str">
            <v>POLVORA</v>
          </cell>
          <cell r="H1777" t="str">
            <v>011777</v>
          </cell>
          <cell r="I1777" t="str">
            <v>2</v>
          </cell>
        </row>
        <row r="1778">
          <cell r="A1778" t="str">
            <v>SAN MARTINTOCACHESHUNTE</v>
          </cell>
          <cell r="B1778" t="str">
            <v>22</v>
          </cell>
          <cell r="C1778" t="str">
            <v>10</v>
          </cell>
          <cell r="D1778" t="str">
            <v>04</v>
          </cell>
          <cell r="E1778" t="str">
            <v>SAN MARTIN</v>
          </cell>
          <cell r="F1778" t="str">
            <v>TOCACHE</v>
          </cell>
          <cell r="G1778" t="str">
            <v>SHUNTE</v>
          </cell>
          <cell r="H1778" t="str">
            <v>012793</v>
          </cell>
          <cell r="I1778" t="str">
            <v>2</v>
          </cell>
        </row>
        <row r="1779">
          <cell r="A1779" t="str">
            <v>SAN MARTINTOCACHEUCHIZA</v>
          </cell>
          <cell r="B1779" t="str">
            <v>22</v>
          </cell>
          <cell r="C1779" t="str">
            <v>10</v>
          </cell>
          <cell r="D1779" t="str">
            <v>05</v>
          </cell>
          <cell r="E1779" t="str">
            <v>SAN MARTIN</v>
          </cell>
          <cell r="F1779" t="str">
            <v>TOCACHE</v>
          </cell>
          <cell r="G1779" t="str">
            <v>UCHIZA</v>
          </cell>
          <cell r="H1779" t="str">
            <v>011779</v>
          </cell>
          <cell r="I1779" t="str">
            <v>2</v>
          </cell>
        </row>
        <row r="1780">
          <cell r="A1780" t="str">
            <v>TACNATACNATACNA</v>
          </cell>
          <cell r="B1780" t="str">
            <v>23</v>
          </cell>
          <cell r="C1780" t="str">
            <v>01</v>
          </cell>
          <cell r="D1780" t="str">
            <v>01</v>
          </cell>
          <cell r="E1780" t="str">
            <v>TACNA</v>
          </cell>
          <cell r="F1780" t="str">
            <v>TACNA</v>
          </cell>
          <cell r="G1780" t="str">
            <v>TACNA</v>
          </cell>
          <cell r="H1780" t="str">
            <v>011780</v>
          </cell>
          <cell r="I1780" t="str">
            <v>1</v>
          </cell>
        </row>
        <row r="1781">
          <cell r="A1781" t="str">
            <v>TACNATACNAALTO DE LA ALIANZA</v>
          </cell>
          <cell r="B1781" t="str">
            <v>23</v>
          </cell>
          <cell r="C1781" t="str">
            <v>01</v>
          </cell>
          <cell r="D1781" t="str">
            <v>02</v>
          </cell>
          <cell r="E1781" t="str">
            <v>TACNA</v>
          </cell>
          <cell r="F1781" t="str">
            <v>TACNA</v>
          </cell>
          <cell r="G1781" t="str">
            <v>ALTO DE LA ALIANZA</v>
          </cell>
          <cell r="H1781" t="str">
            <v>011781</v>
          </cell>
          <cell r="I1781" t="str">
            <v>2</v>
          </cell>
        </row>
        <row r="1782">
          <cell r="A1782" t="str">
            <v>TACNATACNACALANA</v>
          </cell>
          <cell r="B1782" t="str">
            <v>23</v>
          </cell>
          <cell r="C1782" t="str">
            <v>01</v>
          </cell>
          <cell r="D1782" t="str">
            <v>03</v>
          </cell>
          <cell r="E1782" t="str">
            <v>TACNA</v>
          </cell>
          <cell r="F1782" t="str">
            <v>TACNA</v>
          </cell>
          <cell r="G1782" t="str">
            <v>CALANA</v>
          </cell>
          <cell r="H1782" t="str">
            <v>011783</v>
          </cell>
          <cell r="I1782" t="str">
            <v>2</v>
          </cell>
        </row>
        <row r="1783">
          <cell r="A1783" t="str">
            <v>TACNATACNACIUDAD NUEVA</v>
          </cell>
          <cell r="B1783" t="str">
            <v>23</v>
          </cell>
          <cell r="C1783" t="str">
            <v>01</v>
          </cell>
          <cell r="D1783" t="str">
            <v>04</v>
          </cell>
          <cell r="E1783" t="str">
            <v>TACNA</v>
          </cell>
          <cell r="F1783" t="str">
            <v>TACNA</v>
          </cell>
          <cell r="G1783" t="str">
            <v>CIUDAD NUEVA</v>
          </cell>
          <cell r="H1783" t="str">
            <v>011782</v>
          </cell>
          <cell r="I1783" t="str">
            <v>2</v>
          </cell>
        </row>
        <row r="1784">
          <cell r="A1784" t="str">
            <v>TACNATACNAINCLAN</v>
          </cell>
          <cell r="B1784" t="str">
            <v>23</v>
          </cell>
          <cell r="C1784" t="str">
            <v>01</v>
          </cell>
          <cell r="D1784" t="str">
            <v>05</v>
          </cell>
          <cell r="E1784" t="str">
            <v>TACNA</v>
          </cell>
          <cell r="F1784" t="str">
            <v>TACNA</v>
          </cell>
          <cell r="G1784" t="str">
            <v>INCLAN</v>
          </cell>
          <cell r="H1784" t="str">
            <v>011789</v>
          </cell>
          <cell r="I1784" t="str">
            <v>2</v>
          </cell>
        </row>
        <row r="1785">
          <cell r="A1785" t="str">
            <v>TACNATACNAPACHIA</v>
          </cell>
          <cell r="B1785" t="str">
            <v>23</v>
          </cell>
          <cell r="C1785" t="str">
            <v>01</v>
          </cell>
          <cell r="D1785" t="str">
            <v>06</v>
          </cell>
          <cell r="E1785" t="str">
            <v>TACNA</v>
          </cell>
          <cell r="F1785" t="str">
            <v>TACNA</v>
          </cell>
          <cell r="G1785" t="str">
            <v>PACHIA</v>
          </cell>
          <cell r="H1785" t="str">
            <v>011785</v>
          </cell>
          <cell r="I1785" t="str">
            <v>2</v>
          </cell>
        </row>
        <row r="1786">
          <cell r="A1786" t="str">
            <v>TACNATACNAPALCA</v>
          </cell>
          <cell r="B1786" t="str">
            <v>23</v>
          </cell>
          <cell r="C1786" t="str">
            <v>01</v>
          </cell>
          <cell r="D1786" t="str">
            <v>07</v>
          </cell>
          <cell r="E1786" t="str">
            <v>TACNA</v>
          </cell>
          <cell r="F1786" t="str">
            <v>TACNA</v>
          </cell>
          <cell r="G1786" t="str">
            <v>PALCA</v>
          </cell>
          <cell r="H1786" t="str">
            <v>011786</v>
          </cell>
          <cell r="I1786" t="str">
            <v>2</v>
          </cell>
        </row>
        <row r="1787">
          <cell r="A1787" t="str">
            <v>TACNATACNAPOCOLLAY</v>
          </cell>
          <cell r="B1787" t="str">
            <v>23</v>
          </cell>
          <cell r="C1787" t="str">
            <v>01</v>
          </cell>
          <cell r="D1787" t="str">
            <v>08</v>
          </cell>
          <cell r="E1787" t="str">
            <v>TACNA</v>
          </cell>
          <cell r="F1787" t="str">
            <v>TACNA</v>
          </cell>
          <cell r="G1787" t="str">
            <v>POCOLLAY</v>
          </cell>
          <cell r="H1787" t="str">
            <v>011787</v>
          </cell>
          <cell r="I1787" t="str">
            <v>2</v>
          </cell>
        </row>
        <row r="1788">
          <cell r="A1788" t="str">
            <v>TACNATACNASAMA</v>
          </cell>
          <cell r="B1788" t="str">
            <v>23</v>
          </cell>
          <cell r="C1788" t="str">
            <v>01</v>
          </cell>
          <cell r="D1788" t="str">
            <v>09</v>
          </cell>
          <cell r="E1788" t="str">
            <v>TACNA</v>
          </cell>
          <cell r="F1788" t="str">
            <v>TACNA</v>
          </cell>
          <cell r="G1788" t="str">
            <v>SAMA</v>
          </cell>
          <cell r="H1788" t="str">
            <v>011788</v>
          </cell>
          <cell r="I1788" t="str">
            <v>2</v>
          </cell>
        </row>
        <row r="1789">
          <cell r="A1789" t="str">
            <v>TACNATACNACORONEL GREGORIO ALBARRACIN L</v>
          </cell>
          <cell r="B1789" t="str">
            <v>23</v>
          </cell>
          <cell r="C1789" t="str">
            <v>01</v>
          </cell>
          <cell r="D1789" t="str">
            <v>10</v>
          </cell>
          <cell r="E1789" t="str">
            <v>TACNA</v>
          </cell>
          <cell r="F1789" t="str">
            <v>TACNA</v>
          </cell>
          <cell r="G1789" t="str">
            <v>CORONEL GREGORIO ALBARRACIN L</v>
          </cell>
          <cell r="H1789" t="str">
            <v>011784</v>
          </cell>
          <cell r="I1789" t="str">
            <v>2</v>
          </cell>
        </row>
        <row r="1790">
          <cell r="A1790" t="str">
            <v>TACNACANDARAVECANDARAVE</v>
          </cell>
          <cell r="B1790" t="str">
            <v>23</v>
          </cell>
          <cell r="C1790" t="str">
            <v>02</v>
          </cell>
          <cell r="D1790" t="str">
            <v>01</v>
          </cell>
          <cell r="E1790" t="str">
            <v>TACNA</v>
          </cell>
          <cell r="F1790" t="str">
            <v>CANDARAVE</v>
          </cell>
          <cell r="G1790" t="str">
            <v>CANDARAVE</v>
          </cell>
          <cell r="H1790" t="str">
            <v>012308</v>
          </cell>
          <cell r="I1790" t="str">
            <v>1</v>
          </cell>
        </row>
        <row r="1791">
          <cell r="A1791" t="str">
            <v>TACNACANDARAVECAIRANI</v>
          </cell>
          <cell r="B1791" t="str">
            <v>23</v>
          </cell>
          <cell r="C1791" t="str">
            <v>02</v>
          </cell>
          <cell r="D1791" t="str">
            <v>02</v>
          </cell>
          <cell r="E1791" t="str">
            <v>TACNA</v>
          </cell>
          <cell r="F1791" t="str">
            <v>CANDARAVE</v>
          </cell>
          <cell r="G1791" t="str">
            <v>CAIRANI</v>
          </cell>
          <cell r="H1791" t="str">
            <v>011791</v>
          </cell>
          <cell r="I1791" t="str">
            <v>2</v>
          </cell>
        </row>
        <row r="1792">
          <cell r="A1792" t="str">
            <v>TACNACANDARAVECAMILACA</v>
          </cell>
          <cell r="B1792" t="str">
            <v>23</v>
          </cell>
          <cell r="C1792" t="str">
            <v>02</v>
          </cell>
          <cell r="D1792" t="str">
            <v>03</v>
          </cell>
          <cell r="E1792" t="str">
            <v>TACNA</v>
          </cell>
          <cell r="F1792" t="str">
            <v>CANDARAVE</v>
          </cell>
          <cell r="G1792" t="str">
            <v>CAMILACA</v>
          </cell>
          <cell r="H1792" t="str">
            <v>011792</v>
          </cell>
          <cell r="I1792" t="str">
            <v>2</v>
          </cell>
        </row>
        <row r="1793">
          <cell r="A1793" t="str">
            <v>TACNACANDARAVECURIBAYA</v>
          </cell>
          <cell r="B1793" t="str">
            <v>23</v>
          </cell>
          <cell r="C1793" t="str">
            <v>02</v>
          </cell>
          <cell r="D1793" t="str">
            <v>04</v>
          </cell>
          <cell r="E1793" t="str">
            <v>TACNA</v>
          </cell>
          <cell r="F1793" t="str">
            <v>CANDARAVE</v>
          </cell>
          <cell r="G1793" t="str">
            <v>CURIBAYA</v>
          </cell>
          <cell r="H1793" t="str">
            <v>011793</v>
          </cell>
          <cell r="I1793" t="str">
            <v>2</v>
          </cell>
        </row>
        <row r="1794">
          <cell r="A1794" t="str">
            <v>TACNACANDARAVEHUANUARA</v>
          </cell>
          <cell r="B1794" t="str">
            <v>23</v>
          </cell>
          <cell r="C1794" t="str">
            <v>02</v>
          </cell>
          <cell r="D1794" t="str">
            <v>05</v>
          </cell>
          <cell r="E1794" t="str">
            <v>TACNA</v>
          </cell>
          <cell r="F1794" t="str">
            <v>CANDARAVE</v>
          </cell>
          <cell r="G1794" t="str">
            <v>HUANUARA</v>
          </cell>
          <cell r="H1794" t="str">
            <v>011794</v>
          </cell>
          <cell r="I1794" t="str">
            <v>2</v>
          </cell>
        </row>
        <row r="1795">
          <cell r="A1795" t="str">
            <v>TACNACANDARAVEQUILAHUANI</v>
          </cell>
          <cell r="B1795" t="str">
            <v>23</v>
          </cell>
          <cell r="C1795" t="str">
            <v>02</v>
          </cell>
          <cell r="D1795" t="str">
            <v>06</v>
          </cell>
          <cell r="E1795" t="str">
            <v>TACNA</v>
          </cell>
          <cell r="F1795" t="str">
            <v>CANDARAVE</v>
          </cell>
          <cell r="G1795" t="str">
            <v>QUILAHUANI</v>
          </cell>
          <cell r="H1795" t="str">
            <v>012309</v>
          </cell>
          <cell r="I1795" t="str">
            <v>2</v>
          </cell>
        </row>
        <row r="1796">
          <cell r="A1796" t="str">
            <v>TACNAJORGE BASADRELOCUMBA</v>
          </cell>
          <cell r="B1796" t="str">
            <v>23</v>
          </cell>
          <cell r="C1796" t="str">
            <v>03</v>
          </cell>
          <cell r="D1796" t="str">
            <v>01</v>
          </cell>
          <cell r="E1796" t="str">
            <v>TACNA</v>
          </cell>
          <cell r="F1796" t="str">
            <v>JORGE BASADRE</v>
          </cell>
          <cell r="G1796" t="str">
            <v>LOCUMBA</v>
          </cell>
          <cell r="H1796" t="str">
            <v>011796</v>
          </cell>
          <cell r="I1796" t="str">
            <v>1</v>
          </cell>
        </row>
        <row r="1797">
          <cell r="A1797" t="str">
            <v>TACNAJORGE BASADREILABAYA</v>
          </cell>
          <cell r="B1797" t="str">
            <v>23</v>
          </cell>
          <cell r="C1797" t="str">
            <v>03</v>
          </cell>
          <cell r="D1797" t="str">
            <v>02</v>
          </cell>
          <cell r="E1797" t="str">
            <v>TACNA</v>
          </cell>
          <cell r="F1797" t="str">
            <v>JORGE BASADRE</v>
          </cell>
          <cell r="G1797" t="str">
            <v>ILABAYA</v>
          </cell>
          <cell r="H1797" t="str">
            <v>011797</v>
          </cell>
          <cell r="I1797" t="str">
            <v>2</v>
          </cell>
        </row>
        <row r="1798">
          <cell r="A1798" t="str">
            <v>TACNAJORGE BASADREITE</v>
          </cell>
          <cell r="B1798" t="str">
            <v>23</v>
          </cell>
          <cell r="C1798" t="str">
            <v>03</v>
          </cell>
          <cell r="D1798" t="str">
            <v>03</v>
          </cell>
          <cell r="E1798" t="str">
            <v>TACNA</v>
          </cell>
          <cell r="F1798" t="str">
            <v>JORGE BASADRE</v>
          </cell>
          <cell r="G1798" t="str">
            <v>ITE</v>
          </cell>
          <cell r="H1798" t="str">
            <v>012775</v>
          </cell>
          <cell r="I1798" t="str">
            <v>2</v>
          </cell>
        </row>
        <row r="1799">
          <cell r="A1799" t="str">
            <v>TACNATARATATARATA</v>
          </cell>
          <cell r="B1799" t="str">
            <v>23</v>
          </cell>
          <cell r="C1799" t="str">
            <v>04</v>
          </cell>
          <cell r="D1799" t="str">
            <v>01</v>
          </cell>
          <cell r="E1799" t="str">
            <v>TACNA</v>
          </cell>
          <cell r="F1799" t="str">
            <v>TARATA</v>
          </cell>
          <cell r="G1799" t="str">
            <v>TARATA</v>
          </cell>
          <cell r="H1799" t="str">
            <v>011799</v>
          </cell>
          <cell r="I1799" t="str">
            <v>1</v>
          </cell>
        </row>
        <row r="1800">
          <cell r="A1800" t="str">
            <v>TACNATARATACHUCATAMANI</v>
          </cell>
          <cell r="B1800" t="str">
            <v>23</v>
          </cell>
          <cell r="C1800" t="str">
            <v>04</v>
          </cell>
          <cell r="D1800" t="str">
            <v>02</v>
          </cell>
          <cell r="E1800" t="str">
            <v>TACNA</v>
          </cell>
          <cell r="F1800" t="str">
            <v>TARATA</v>
          </cell>
          <cell r="G1800" t="str">
            <v>CHUCATAMANI</v>
          </cell>
          <cell r="H1800" t="str">
            <v>011800</v>
          </cell>
          <cell r="I1800" t="str">
            <v>2</v>
          </cell>
        </row>
        <row r="1801">
          <cell r="A1801" t="str">
            <v>TACNATARATAESTIQUE</v>
          </cell>
          <cell r="B1801" t="str">
            <v>23</v>
          </cell>
          <cell r="C1801" t="str">
            <v>04</v>
          </cell>
          <cell r="D1801" t="str">
            <v>03</v>
          </cell>
          <cell r="E1801" t="str">
            <v>TACNA</v>
          </cell>
          <cell r="F1801" t="str">
            <v>TARATA</v>
          </cell>
          <cell r="G1801" t="str">
            <v>ESTIQUE</v>
          </cell>
          <cell r="H1801" t="str">
            <v>011801</v>
          </cell>
          <cell r="I1801" t="str">
            <v>2</v>
          </cell>
        </row>
        <row r="1802">
          <cell r="A1802" t="str">
            <v>TACNATARATAESTIQUE-PAMPA</v>
          </cell>
          <cell r="B1802" t="str">
            <v>23</v>
          </cell>
          <cell r="C1802" t="str">
            <v>04</v>
          </cell>
          <cell r="D1802" t="str">
            <v>04</v>
          </cell>
          <cell r="E1802" t="str">
            <v>TACNA</v>
          </cell>
          <cell r="F1802" t="str">
            <v>TARATA</v>
          </cell>
          <cell r="G1802" t="str">
            <v>ESTIQUE-PAMPA</v>
          </cell>
          <cell r="H1802" t="str">
            <v>011802</v>
          </cell>
          <cell r="I1802" t="str">
            <v>2</v>
          </cell>
        </row>
        <row r="1803">
          <cell r="A1803" t="str">
            <v>TACNATARATASITAJARA</v>
          </cell>
          <cell r="B1803" t="str">
            <v>23</v>
          </cell>
          <cell r="C1803" t="str">
            <v>04</v>
          </cell>
          <cell r="D1803" t="str">
            <v>05</v>
          </cell>
          <cell r="E1803" t="str">
            <v>TACNA</v>
          </cell>
          <cell r="F1803" t="str">
            <v>TARATA</v>
          </cell>
          <cell r="G1803" t="str">
            <v>SITAJARA</v>
          </cell>
          <cell r="H1803" t="str">
            <v>011803</v>
          </cell>
          <cell r="I1803" t="str">
            <v>2</v>
          </cell>
        </row>
        <row r="1804">
          <cell r="A1804" t="str">
            <v>TACNATARATASUSAPAYA</v>
          </cell>
          <cell r="B1804" t="str">
            <v>23</v>
          </cell>
          <cell r="C1804" t="str">
            <v>04</v>
          </cell>
          <cell r="D1804" t="str">
            <v>06</v>
          </cell>
          <cell r="E1804" t="str">
            <v>TACNA</v>
          </cell>
          <cell r="F1804" t="str">
            <v>TARATA</v>
          </cell>
          <cell r="G1804" t="str">
            <v>SUSAPAYA</v>
          </cell>
          <cell r="H1804" t="str">
            <v>011804</v>
          </cell>
          <cell r="I1804" t="str">
            <v>2</v>
          </cell>
        </row>
        <row r="1805">
          <cell r="A1805" t="str">
            <v>TACNATARATATARUCACHI</v>
          </cell>
          <cell r="B1805" t="str">
            <v>23</v>
          </cell>
          <cell r="C1805" t="str">
            <v>04</v>
          </cell>
          <cell r="D1805" t="str">
            <v>07</v>
          </cell>
          <cell r="E1805" t="str">
            <v>TACNA</v>
          </cell>
          <cell r="F1805" t="str">
            <v>TARATA</v>
          </cell>
          <cell r="G1805" t="str">
            <v>TARUCACHI</v>
          </cell>
          <cell r="H1805" t="str">
            <v>011805</v>
          </cell>
          <cell r="I1805" t="str">
            <v>2</v>
          </cell>
        </row>
        <row r="1806">
          <cell r="A1806" t="str">
            <v>TACNATARATATICACO</v>
          </cell>
          <cell r="B1806" t="str">
            <v>23</v>
          </cell>
          <cell r="C1806" t="str">
            <v>04</v>
          </cell>
          <cell r="D1806" t="str">
            <v>08</v>
          </cell>
          <cell r="E1806" t="str">
            <v>TACNA</v>
          </cell>
          <cell r="F1806" t="str">
            <v>TARATA</v>
          </cell>
          <cell r="G1806" t="str">
            <v>TICACO</v>
          </cell>
          <cell r="H1806" t="str">
            <v>011806</v>
          </cell>
          <cell r="I1806" t="str">
            <v>2</v>
          </cell>
        </row>
        <row r="1807">
          <cell r="A1807" t="str">
            <v>TUMBESTUMBESTUMBES</v>
          </cell>
          <cell r="B1807" t="str">
            <v>24</v>
          </cell>
          <cell r="C1807" t="str">
            <v>01</v>
          </cell>
          <cell r="D1807" t="str">
            <v>01</v>
          </cell>
          <cell r="E1807" t="str">
            <v>TUMBES</v>
          </cell>
          <cell r="F1807" t="str">
            <v>TUMBES</v>
          </cell>
          <cell r="G1807" t="str">
            <v>TUMBES</v>
          </cell>
          <cell r="H1807" t="str">
            <v>011807</v>
          </cell>
          <cell r="I1807" t="str">
            <v>1</v>
          </cell>
        </row>
        <row r="1808">
          <cell r="A1808" t="str">
            <v>TUMBESTUMBESCORRALES</v>
          </cell>
          <cell r="B1808" t="str">
            <v>24</v>
          </cell>
          <cell r="C1808" t="str">
            <v>01</v>
          </cell>
          <cell r="D1808" t="str">
            <v>02</v>
          </cell>
          <cell r="E1808" t="str">
            <v>TUMBES</v>
          </cell>
          <cell r="F1808" t="str">
            <v>TUMBES</v>
          </cell>
          <cell r="G1808" t="str">
            <v>CORRALES</v>
          </cell>
          <cell r="H1808" t="str">
            <v>011808</v>
          </cell>
          <cell r="I1808" t="str">
            <v>2</v>
          </cell>
        </row>
        <row r="1809">
          <cell r="A1809" t="str">
            <v>TUMBESTUMBESLA CRUZ</v>
          </cell>
          <cell r="B1809" t="str">
            <v>24</v>
          </cell>
          <cell r="C1809" t="str">
            <v>01</v>
          </cell>
          <cell r="D1809" t="str">
            <v>03</v>
          </cell>
          <cell r="E1809" t="str">
            <v>TUMBES</v>
          </cell>
          <cell r="F1809" t="str">
            <v>TUMBES</v>
          </cell>
          <cell r="G1809" t="str">
            <v>LA CRUZ</v>
          </cell>
          <cell r="H1809" t="str">
            <v>011809</v>
          </cell>
          <cell r="I1809" t="str">
            <v>2</v>
          </cell>
        </row>
        <row r="1810">
          <cell r="A1810" t="str">
            <v>TUMBESTUMBESPAMPAS DE HOSPITAL</v>
          </cell>
          <cell r="B1810" t="str">
            <v>24</v>
          </cell>
          <cell r="C1810" t="str">
            <v>01</v>
          </cell>
          <cell r="D1810" t="str">
            <v>04</v>
          </cell>
          <cell r="E1810" t="str">
            <v>TUMBES</v>
          </cell>
          <cell r="F1810" t="str">
            <v>TUMBES</v>
          </cell>
          <cell r="G1810" t="str">
            <v>PAMPAS DE HOSPITAL</v>
          </cell>
          <cell r="H1810" t="str">
            <v>011810</v>
          </cell>
          <cell r="I1810" t="str">
            <v>2</v>
          </cell>
        </row>
        <row r="1811">
          <cell r="A1811" t="str">
            <v>TUMBESTUMBESSAN JACINTO</v>
          </cell>
          <cell r="B1811" t="str">
            <v>24</v>
          </cell>
          <cell r="C1811" t="str">
            <v>01</v>
          </cell>
          <cell r="D1811" t="str">
            <v>05</v>
          </cell>
          <cell r="E1811" t="str">
            <v>TUMBES</v>
          </cell>
          <cell r="F1811" t="str">
            <v>TUMBES</v>
          </cell>
          <cell r="G1811" t="str">
            <v>SAN JACINTO</v>
          </cell>
          <cell r="H1811" t="str">
            <v>011811</v>
          </cell>
          <cell r="I1811" t="str">
            <v>2</v>
          </cell>
        </row>
        <row r="1812">
          <cell r="A1812" t="str">
            <v>TUMBESTUMBESSAN JUAN DE LA VIRGEN</v>
          </cell>
          <cell r="B1812" t="str">
            <v>24</v>
          </cell>
          <cell r="C1812" t="str">
            <v>01</v>
          </cell>
          <cell r="D1812" t="str">
            <v>06</v>
          </cell>
          <cell r="E1812" t="str">
            <v>TUMBES</v>
          </cell>
          <cell r="F1812" t="str">
            <v>TUMBES</v>
          </cell>
          <cell r="G1812" t="str">
            <v>SAN JUAN DE LA VIRGEN</v>
          </cell>
          <cell r="H1812" t="str">
            <v>011812</v>
          </cell>
          <cell r="I1812" t="str">
            <v>2</v>
          </cell>
        </row>
        <row r="1813">
          <cell r="A1813" t="str">
            <v>TUMBESCONTRALMIRANTE VILLARZORRITOS</v>
          </cell>
          <cell r="B1813" t="str">
            <v>24</v>
          </cell>
          <cell r="C1813" t="str">
            <v>02</v>
          </cell>
          <cell r="D1813" t="str">
            <v>01</v>
          </cell>
          <cell r="E1813" t="str">
            <v>TUMBES</v>
          </cell>
          <cell r="F1813" t="str">
            <v>CONTRALMIRANTE VILLAR</v>
          </cell>
          <cell r="G1813" t="str">
            <v>ZORRITOS</v>
          </cell>
          <cell r="H1813" t="str">
            <v>012316</v>
          </cell>
          <cell r="I1813" t="str">
            <v>1</v>
          </cell>
        </row>
        <row r="1814">
          <cell r="A1814" t="str">
            <v>TUMBESCONTRALMIRANTE VILLARCASITAS</v>
          </cell>
          <cell r="B1814" t="str">
            <v>24</v>
          </cell>
          <cell r="C1814" t="str">
            <v>02</v>
          </cell>
          <cell r="D1814" t="str">
            <v>02</v>
          </cell>
          <cell r="E1814" t="str">
            <v>TUMBES</v>
          </cell>
          <cell r="F1814" t="str">
            <v>CONTRALMIRANTE VILLAR</v>
          </cell>
          <cell r="G1814" t="str">
            <v>CASITAS</v>
          </cell>
          <cell r="H1814" t="str">
            <v>011814</v>
          </cell>
          <cell r="I1814" t="str">
            <v>2</v>
          </cell>
        </row>
        <row r="1815">
          <cell r="A1815" t="str">
            <v>TUMBESZARUMILLAZARUMILLA</v>
          </cell>
          <cell r="B1815" t="str">
            <v>24</v>
          </cell>
          <cell r="C1815" t="str">
            <v>03</v>
          </cell>
          <cell r="D1815" t="str">
            <v>01</v>
          </cell>
          <cell r="E1815" t="str">
            <v>TUMBES</v>
          </cell>
          <cell r="F1815" t="str">
            <v>ZARUMILLA</v>
          </cell>
          <cell r="G1815" t="str">
            <v>ZARUMILLA</v>
          </cell>
          <cell r="H1815" t="str">
            <v>012707</v>
          </cell>
          <cell r="I1815" t="str">
            <v>1</v>
          </cell>
        </row>
        <row r="1816">
          <cell r="A1816" t="str">
            <v>TUMBESZARUMILLAAGUAS VERDES</v>
          </cell>
          <cell r="B1816" t="str">
            <v>24</v>
          </cell>
          <cell r="C1816" t="str">
            <v>03</v>
          </cell>
          <cell r="D1816" t="str">
            <v>02</v>
          </cell>
          <cell r="E1816" t="str">
            <v>TUMBES</v>
          </cell>
          <cell r="F1816" t="str">
            <v>ZARUMILLA</v>
          </cell>
          <cell r="G1816" t="str">
            <v>AGUAS VERDES</v>
          </cell>
          <cell r="H1816" t="str">
            <v>011816</v>
          </cell>
          <cell r="I1816" t="str">
            <v>2</v>
          </cell>
        </row>
        <row r="1817">
          <cell r="A1817" t="str">
            <v>TUMBESZARUMILLAMATAPALO</v>
          </cell>
          <cell r="B1817" t="str">
            <v>24</v>
          </cell>
          <cell r="C1817" t="str">
            <v>03</v>
          </cell>
          <cell r="D1817" t="str">
            <v>03</v>
          </cell>
          <cell r="E1817" t="str">
            <v>TUMBES</v>
          </cell>
          <cell r="F1817" t="str">
            <v>ZARUMILLA</v>
          </cell>
          <cell r="G1817" t="str">
            <v>MATAPALO</v>
          </cell>
          <cell r="H1817" t="str">
            <v>011817</v>
          </cell>
          <cell r="I1817" t="str">
            <v>2</v>
          </cell>
        </row>
        <row r="1818">
          <cell r="A1818" t="str">
            <v>TUMBESZARUMILLAPAPAYAL</v>
          </cell>
          <cell r="B1818" t="str">
            <v>24</v>
          </cell>
          <cell r="C1818" t="str">
            <v>03</v>
          </cell>
          <cell r="D1818" t="str">
            <v>04</v>
          </cell>
          <cell r="E1818" t="str">
            <v>TUMBES</v>
          </cell>
          <cell r="F1818" t="str">
            <v>ZARUMILLA</v>
          </cell>
          <cell r="G1818" t="str">
            <v>PAPAYAL</v>
          </cell>
          <cell r="H1818" t="str">
            <v>011818</v>
          </cell>
          <cell r="I1818" t="str">
            <v>2</v>
          </cell>
        </row>
        <row r="1819">
          <cell r="A1819" t="str">
            <v>UCAYALICORONEL PORTILLOCALLARIA</v>
          </cell>
          <cell r="B1819" t="str">
            <v>25</v>
          </cell>
          <cell r="C1819" t="str">
            <v>01</v>
          </cell>
          <cell r="D1819" t="str">
            <v>01</v>
          </cell>
          <cell r="E1819" t="str">
            <v>UCAYALI</v>
          </cell>
          <cell r="F1819" t="str">
            <v>CORONEL PORTILLO</v>
          </cell>
          <cell r="G1819" t="str">
            <v>CALLARIA</v>
          </cell>
          <cell r="H1819" t="str">
            <v>011819</v>
          </cell>
          <cell r="I1819" t="str">
            <v>1</v>
          </cell>
        </row>
        <row r="1820">
          <cell r="A1820" t="str">
            <v>UCAYALICORONEL PORTILLOCAMPOVERDE</v>
          </cell>
          <cell r="B1820" t="str">
            <v>25</v>
          </cell>
          <cell r="C1820" t="str">
            <v>01</v>
          </cell>
          <cell r="D1820" t="str">
            <v>02</v>
          </cell>
          <cell r="E1820" t="str">
            <v>UCAYALI</v>
          </cell>
          <cell r="F1820" t="str">
            <v>CORONEL PORTILLO</v>
          </cell>
          <cell r="G1820" t="str">
            <v>CAMPOVERDE</v>
          </cell>
          <cell r="H1820" t="str">
            <v>011821</v>
          </cell>
          <cell r="I1820" t="str">
            <v>2</v>
          </cell>
        </row>
        <row r="1821">
          <cell r="A1821" t="str">
            <v>UCAYALICORONEL PORTILLOIPARIA</v>
          </cell>
          <cell r="B1821" t="str">
            <v>25</v>
          </cell>
          <cell r="C1821" t="str">
            <v>01</v>
          </cell>
          <cell r="D1821" t="str">
            <v>03</v>
          </cell>
          <cell r="E1821" t="str">
            <v>UCAYALI</v>
          </cell>
          <cell r="F1821" t="str">
            <v>CORONEL PORTILLO</v>
          </cell>
          <cell r="G1821" t="str">
            <v>IPARIA</v>
          </cell>
          <cell r="H1821" t="str">
            <v>013003</v>
          </cell>
          <cell r="I1821" t="str">
            <v>2</v>
          </cell>
        </row>
        <row r="1822">
          <cell r="A1822" t="str">
            <v>UCAYALICORONEL PORTILLOMASISEA</v>
          </cell>
          <cell r="B1822" t="str">
            <v>25</v>
          </cell>
          <cell r="C1822" t="str">
            <v>01</v>
          </cell>
          <cell r="D1822" t="str">
            <v>04</v>
          </cell>
          <cell r="E1822" t="str">
            <v>UCAYALI</v>
          </cell>
          <cell r="F1822" t="str">
            <v>CORONEL PORTILLO</v>
          </cell>
          <cell r="G1822" t="str">
            <v>MASISEA</v>
          </cell>
          <cell r="H1822" t="str">
            <v>012326</v>
          </cell>
          <cell r="I1822" t="str">
            <v>2</v>
          </cell>
        </row>
        <row r="1823">
          <cell r="A1823" t="str">
            <v>UCAYALICORONEL PORTILLOYARINACOCHA</v>
          </cell>
          <cell r="B1823" t="str">
            <v>25</v>
          </cell>
          <cell r="C1823" t="str">
            <v>01</v>
          </cell>
          <cell r="D1823" t="str">
            <v>05</v>
          </cell>
          <cell r="E1823" t="str">
            <v>UCAYALI</v>
          </cell>
          <cell r="F1823" t="str">
            <v>CORONEL PORTILLO</v>
          </cell>
          <cell r="G1823" t="str">
            <v>YARINACOCHA</v>
          </cell>
          <cell r="H1823" t="str">
            <v>011820</v>
          </cell>
          <cell r="I1823" t="str">
            <v>2</v>
          </cell>
        </row>
        <row r="1824">
          <cell r="A1824" t="str">
            <v>UCAYALICORONEL PORTILLONUEVA REQUENA</v>
          </cell>
          <cell r="B1824" t="str">
            <v>25</v>
          </cell>
          <cell r="C1824" t="str">
            <v>01</v>
          </cell>
          <cell r="D1824" t="str">
            <v>06</v>
          </cell>
          <cell r="E1824" t="str">
            <v>UCAYALI</v>
          </cell>
          <cell r="F1824" t="str">
            <v>CORONEL PORTILLO</v>
          </cell>
          <cell r="G1824" t="str">
            <v>NUEVA REQUENA</v>
          </cell>
          <cell r="H1824" t="str">
            <v>011824</v>
          </cell>
          <cell r="I1824" t="str">
            <v>2</v>
          </cell>
        </row>
        <row r="1825">
          <cell r="A1825" t="str">
            <v>UCAYALIATALAYARAYMONDI</v>
          </cell>
          <cell r="B1825" t="str">
            <v>25</v>
          </cell>
          <cell r="C1825" t="str">
            <v>02</v>
          </cell>
          <cell r="D1825" t="str">
            <v>01</v>
          </cell>
          <cell r="E1825" t="str">
            <v>UCAYALI</v>
          </cell>
          <cell r="F1825" t="str">
            <v>ATALAYA</v>
          </cell>
          <cell r="G1825" t="str">
            <v>RAYMONDI</v>
          </cell>
          <cell r="H1825" t="str">
            <v>011825</v>
          </cell>
          <cell r="I1825" t="str">
            <v>1</v>
          </cell>
        </row>
        <row r="1826">
          <cell r="A1826" t="str">
            <v>UCAYALIATALAYASEPAHUA</v>
          </cell>
          <cell r="B1826" t="str">
            <v>25</v>
          </cell>
          <cell r="C1826" t="str">
            <v>02</v>
          </cell>
          <cell r="D1826" t="str">
            <v>02</v>
          </cell>
          <cell r="E1826" t="str">
            <v>UCAYALI</v>
          </cell>
          <cell r="F1826" t="str">
            <v>ATALAYA</v>
          </cell>
          <cell r="G1826" t="str">
            <v>SEPAHUA</v>
          </cell>
          <cell r="H1826" t="str">
            <v>011826</v>
          </cell>
          <cell r="I1826" t="str">
            <v>2</v>
          </cell>
        </row>
        <row r="1827">
          <cell r="A1827" t="str">
            <v>UCAYALIATALAYATAHUANIA</v>
          </cell>
          <cell r="B1827" t="str">
            <v>25</v>
          </cell>
          <cell r="C1827" t="str">
            <v>02</v>
          </cell>
          <cell r="D1827" t="str">
            <v>03</v>
          </cell>
          <cell r="E1827" t="str">
            <v>UCAYALI</v>
          </cell>
          <cell r="F1827" t="str">
            <v>ATALAYA</v>
          </cell>
          <cell r="G1827" t="str">
            <v>TAHUANIA</v>
          </cell>
          <cell r="H1827" t="str">
            <v>011827</v>
          </cell>
          <cell r="I1827" t="str">
            <v>2</v>
          </cell>
        </row>
        <row r="1828">
          <cell r="A1828" t="str">
            <v>UCAYALIATALAYAYURUA</v>
          </cell>
          <cell r="B1828" t="str">
            <v>25</v>
          </cell>
          <cell r="C1828" t="str">
            <v>02</v>
          </cell>
          <cell r="D1828" t="str">
            <v>04</v>
          </cell>
          <cell r="E1828" t="str">
            <v>UCAYALI</v>
          </cell>
          <cell r="F1828" t="str">
            <v>ATALAYA</v>
          </cell>
          <cell r="G1828" t="str">
            <v>YURUA</v>
          </cell>
          <cell r="H1828" t="str">
            <v>011828</v>
          </cell>
          <cell r="I1828" t="str">
            <v>2</v>
          </cell>
        </row>
        <row r="1829">
          <cell r="A1829" t="str">
            <v>UCAYALIPADRE ABADPADRE ABAD</v>
          </cell>
          <cell r="B1829" t="str">
            <v>25</v>
          </cell>
          <cell r="C1829" t="str">
            <v>03</v>
          </cell>
          <cell r="D1829" t="str">
            <v>01</v>
          </cell>
          <cell r="E1829" t="str">
            <v>UCAYALI</v>
          </cell>
          <cell r="F1829" t="str">
            <v>PADRE ABAD</v>
          </cell>
          <cell r="G1829" t="str">
            <v>PADRE ABAD</v>
          </cell>
          <cell r="H1829" t="str">
            <v>011829</v>
          </cell>
          <cell r="I1829" t="str">
            <v>1</v>
          </cell>
        </row>
        <row r="1830">
          <cell r="A1830" t="str">
            <v>UCAYALIPADRE ABADIRAZOLA</v>
          </cell>
          <cell r="B1830" t="str">
            <v>25</v>
          </cell>
          <cell r="C1830" t="str">
            <v>03</v>
          </cell>
          <cell r="D1830" t="str">
            <v>02</v>
          </cell>
          <cell r="E1830" t="str">
            <v>UCAYALI</v>
          </cell>
          <cell r="F1830" t="str">
            <v>PADRE ABAD</v>
          </cell>
          <cell r="G1830" t="str">
            <v>IRAZOLA</v>
          </cell>
          <cell r="H1830" t="str">
            <v>012325</v>
          </cell>
          <cell r="I1830" t="str">
            <v>2</v>
          </cell>
        </row>
        <row r="1831">
          <cell r="A1831" t="str">
            <v>UCAYALIPADRE ABADCURIMANA</v>
          </cell>
          <cell r="B1831" t="str">
            <v>25</v>
          </cell>
          <cell r="C1831" t="str">
            <v>03</v>
          </cell>
          <cell r="D1831" t="str">
            <v>03</v>
          </cell>
          <cell r="E1831" t="str">
            <v>UCAYALI</v>
          </cell>
          <cell r="F1831" t="str">
            <v>PADRE ABAD</v>
          </cell>
          <cell r="G1831" t="str">
            <v>CURIMANA</v>
          </cell>
          <cell r="H1831" t="str">
            <v>011831</v>
          </cell>
          <cell r="I1831" t="str">
            <v>2</v>
          </cell>
        </row>
        <row r="1832">
          <cell r="A1832" t="str">
            <v>UCAYALIPURUSPURUS</v>
          </cell>
          <cell r="B1832" t="str">
            <v>25</v>
          </cell>
          <cell r="C1832" t="str">
            <v>04</v>
          </cell>
          <cell r="D1832" t="str">
            <v>01</v>
          </cell>
          <cell r="E1832" t="str">
            <v>UCAYALI</v>
          </cell>
          <cell r="F1832" t="str">
            <v>PURUS</v>
          </cell>
          <cell r="G1832" t="str">
            <v>PURUS</v>
          </cell>
          <cell r="H1832" t="str">
            <v>011832</v>
          </cell>
          <cell r="I1832" t="str">
            <v>1</v>
          </cell>
        </row>
        <row r="1833">
          <cell r="A1833" t="str">
            <v>AMAZONASBAGUABAGUA</v>
          </cell>
          <cell r="B1833" t="str">
            <v>01</v>
          </cell>
          <cell r="C1833" t="str">
            <v>02</v>
          </cell>
          <cell r="D1833" t="str">
            <v>00</v>
          </cell>
          <cell r="E1833" t="str">
            <v>AMAZONAS</v>
          </cell>
          <cell r="F1833" t="str">
            <v>BAGUA</v>
          </cell>
          <cell r="G1833" t="str">
            <v>BAGUA</v>
          </cell>
          <cell r="H1833" t="str">
            <v>012825</v>
          </cell>
          <cell r="I1833" t="str">
            <v>1</v>
          </cell>
        </row>
      </sheetData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s://www.universidadperu.com/empresas/duke-energy-egenor-s-en-c-por-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1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baseColWidth="10" defaultColWidth="11.28515625" defaultRowHeight="12.75" customHeight="1" x14ac:dyDescent="0.3"/>
  <cols>
    <col min="1" max="1" width="11.140625" style="25" customWidth="1"/>
    <col min="2" max="2" width="20.28515625" style="25" customWidth="1"/>
    <col min="3" max="3" width="7" style="25" hidden="1" customWidth="1"/>
    <col min="4" max="15" width="8" style="25" customWidth="1"/>
    <col min="16" max="16384" width="11.28515625" style="25"/>
  </cols>
  <sheetData>
    <row r="1" spans="1:15" ht="12.75" customHeight="1" x14ac:dyDescent="0.3">
      <c r="A1" s="1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79"/>
    </row>
    <row r="2" spans="1:15" ht="12.7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2.75" customHeight="1" x14ac:dyDescent="0.3">
      <c r="A3" s="677" t="s">
        <v>398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7"/>
      <c r="N3" s="677"/>
      <c r="O3" s="677"/>
    </row>
    <row r="4" spans="1:15" ht="12.75" customHeight="1" x14ac:dyDescent="0.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s="4" customFormat="1" ht="20.100000000000001" customHeight="1" x14ac:dyDescent="0.25">
      <c r="A5" s="257" t="s">
        <v>1</v>
      </c>
      <c r="B5" s="258" t="s">
        <v>2</v>
      </c>
      <c r="C5" s="258" t="s">
        <v>3</v>
      </c>
      <c r="D5" s="258" t="s">
        <v>5</v>
      </c>
      <c r="E5" s="258" t="s">
        <v>6</v>
      </c>
      <c r="F5" s="258" t="s">
        <v>7</v>
      </c>
      <c r="G5" s="258" t="s">
        <v>8</v>
      </c>
      <c r="H5" s="258" t="s">
        <v>9</v>
      </c>
      <c r="I5" s="258" t="s">
        <v>10</v>
      </c>
      <c r="J5" s="258">
        <v>2015</v>
      </c>
      <c r="K5" s="258">
        <v>2016</v>
      </c>
      <c r="L5" s="258">
        <v>2017</v>
      </c>
      <c r="M5" s="258">
        <v>2018</v>
      </c>
      <c r="N5" s="258">
        <v>2019</v>
      </c>
      <c r="O5" s="258">
        <v>2020</v>
      </c>
    </row>
    <row r="6" spans="1:15" s="6" customFormat="1" ht="15.95" customHeight="1" x14ac:dyDescent="0.25">
      <c r="A6" s="259" t="s">
        <v>11</v>
      </c>
      <c r="B6" s="5" t="s">
        <v>12</v>
      </c>
      <c r="C6" s="263">
        <v>88998</v>
      </c>
      <c r="D6" s="263">
        <v>63886</v>
      </c>
      <c r="E6" s="263">
        <v>75250</v>
      </c>
      <c r="F6" s="263">
        <v>68153</v>
      </c>
      <c r="G6" s="263">
        <v>76633</v>
      </c>
      <c r="H6" s="263">
        <v>81601</v>
      </c>
      <c r="I6" s="263">
        <v>80744.705331336183</v>
      </c>
      <c r="J6" s="263">
        <v>81218.836460675986</v>
      </c>
      <c r="K6" s="263">
        <v>82833.165829128979</v>
      </c>
      <c r="L6" s="263">
        <v>87338.844937702015</v>
      </c>
      <c r="M6" s="263">
        <v>91720.871923662009</v>
      </c>
      <c r="N6" s="263">
        <v>77100.540069379</v>
      </c>
      <c r="O6" s="263">
        <v>81068.756156540985</v>
      </c>
    </row>
    <row r="7" spans="1:15" s="6" customFormat="1" ht="15.95" customHeight="1" x14ac:dyDescent="0.25">
      <c r="A7" s="259" t="s">
        <v>13</v>
      </c>
      <c r="B7" s="5" t="s">
        <v>14</v>
      </c>
      <c r="C7" s="263">
        <v>2070.0607949472001</v>
      </c>
      <c r="D7" s="263">
        <v>2205.9829885631998</v>
      </c>
      <c r="E7" s="263">
        <v>2283.4306457951998</v>
      </c>
      <c r="F7" s="263">
        <v>1977.5279514672</v>
      </c>
      <c r="G7" s="263">
        <v>2518.4485164959997</v>
      </c>
      <c r="H7" s="263">
        <v>2792.9055957792002</v>
      </c>
      <c r="I7" s="263">
        <v>2626.8967183653485</v>
      </c>
      <c r="J7" s="263">
        <v>2472.4770404481765</v>
      </c>
      <c r="K7" s="263">
        <v>2574.960145061506</v>
      </c>
      <c r="L7" s="263">
        <v>2136.8220456583763</v>
      </c>
      <c r="M7" s="263">
        <v>2694.2520606399116</v>
      </c>
      <c r="N7" s="263">
        <v>2019.9384306164429</v>
      </c>
      <c r="O7" s="263">
        <v>2887.453203064043</v>
      </c>
    </row>
    <row r="8" spans="1:15" s="6" customFormat="1" ht="15.95" customHeight="1" x14ac:dyDescent="0.25">
      <c r="A8" s="259" t="s">
        <v>15</v>
      </c>
      <c r="B8" s="5" t="s">
        <v>12</v>
      </c>
      <c r="C8" s="263">
        <v>20696</v>
      </c>
      <c r="D8" s="263">
        <v>19984</v>
      </c>
      <c r="E8" s="263">
        <v>28521</v>
      </c>
      <c r="F8" s="263">
        <v>27691</v>
      </c>
      <c r="G8" s="263">
        <v>28597</v>
      </c>
      <c r="H8" s="263">
        <v>25382</v>
      </c>
      <c r="I8" s="263">
        <v>24996.755613041005</v>
      </c>
      <c r="J8" s="263">
        <v>28536.172395154004</v>
      </c>
      <c r="K8" s="263">
        <v>20937.704457785007</v>
      </c>
      <c r="L8" s="263">
        <v>19168.071460449719</v>
      </c>
      <c r="M8" s="263">
        <v>20263.746891207004</v>
      </c>
      <c r="N8" s="263">
        <v>18521.287862180001</v>
      </c>
      <c r="O8" s="263">
        <v>16518.570012756001</v>
      </c>
    </row>
    <row r="9" spans="1:15" s="6" customFormat="1" ht="15.95" customHeight="1" x14ac:dyDescent="0.25">
      <c r="A9" s="259" t="s">
        <v>16</v>
      </c>
      <c r="B9" s="5" t="s">
        <v>14</v>
      </c>
      <c r="C9" s="263">
        <v>46565.357255524796</v>
      </c>
      <c r="D9" s="263">
        <v>67760.728210454399</v>
      </c>
      <c r="E9" s="263">
        <v>75336.3843302928</v>
      </c>
      <c r="F9" s="263">
        <v>89539.662597105591</v>
      </c>
      <c r="G9" s="263">
        <v>116060.757470592</v>
      </c>
      <c r="H9" s="263">
        <v>123015.9925387008</v>
      </c>
      <c r="I9" s="263">
        <v>139507.12620435571</v>
      </c>
      <c r="J9" s="263">
        <v>102146.71249739503</v>
      </c>
      <c r="K9" s="263">
        <v>105576.58936846103</v>
      </c>
      <c r="L9" s="263">
        <v>118834.32942512548</v>
      </c>
      <c r="M9" s="263">
        <v>91147.842210907926</v>
      </c>
      <c r="N9" s="263">
        <v>116294.71175525583</v>
      </c>
      <c r="O9" s="263">
        <v>97887.777519061245</v>
      </c>
    </row>
    <row r="10" spans="1:15" s="6" customFormat="1" ht="15.95" customHeight="1" x14ac:dyDescent="0.25">
      <c r="A10" s="259" t="s">
        <v>17</v>
      </c>
      <c r="B10" s="5" t="s">
        <v>12</v>
      </c>
      <c r="C10" s="263">
        <v>5876</v>
      </c>
      <c r="D10" s="263">
        <v>7275</v>
      </c>
      <c r="E10" s="263">
        <v>9155</v>
      </c>
      <c r="F10" s="263">
        <v>7623</v>
      </c>
      <c r="G10" s="263">
        <v>7203</v>
      </c>
      <c r="H10" s="263">
        <v>6740</v>
      </c>
      <c r="I10" s="263">
        <v>6293.9630022620013</v>
      </c>
      <c r="J10" s="263">
        <v>6052.7784321219997</v>
      </c>
      <c r="K10" s="263">
        <v>5981.4876763369994</v>
      </c>
      <c r="L10" s="263">
        <v>6370.9393396840114</v>
      </c>
      <c r="M10" s="263">
        <v>6085.1587518769993</v>
      </c>
      <c r="N10" s="263">
        <v>6388.0186170820007</v>
      </c>
      <c r="O10" s="263">
        <v>5304.6607767629994</v>
      </c>
    </row>
    <row r="11" spans="1:15" s="6" customFormat="1" ht="15.95" customHeight="1" x14ac:dyDescent="0.25">
      <c r="A11" s="259" t="s">
        <v>18</v>
      </c>
      <c r="B11" s="5" t="s">
        <v>19</v>
      </c>
      <c r="C11" s="263">
        <v>1243.6496563759997</v>
      </c>
      <c r="D11" s="263">
        <v>989.49972398399996</v>
      </c>
      <c r="E11" s="263">
        <v>1085.3840793740001</v>
      </c>
      <c r="F11" s="263">
        <v>1099.8434442309999</v>
      </c>
      <c r="G11" s="263">
        <v>1166.6150049299997</v>
      </c>
      <c r="H11" s="263">
        <v>1175.1802811399998</v>
      </c>
      <c r="I11" s="263">
        <v>1475.1202189990136</v>
      </c>
      <c r="J11" s="263">
        <v>1425.7065986366999</v>
      </c>
      <c r="K11" s="263">
        <v>1481.6489741627802</v>
      </c>
      <c r="L11" s="263">
        <v>1504.2967809640002</v>
      </c>
      <c r="M11" s="263">
        <v>1475.217302390412</v>
      </c>
      <c r="N11" s="263">
        <v>1490.3804492522997</v>
      </c>
      <c r="O11" s="263">
        <v>1160.077134793788</v>
      </c>
    </row>
    <row r="12" spans="1:15" s="6" customFormat="1" ht="15.95" customHeight="1" x14ac:dyDescent="0.25">
      <c r="A12" s="259" t="s">
        <v>20</v>
      </c>
      <c r="B12" s="5" t="s">
        <v>12</v>
      </c>
      <c r="C12" s="263">
        <v>384</v>
      </c>
      <c r="D12" s="263">
        <v>324</v>
      </c>
      <c r="E12" s="263">
        <v>157</v>
      </c>
      <c r="F12" s="263">
        <v>91</v>
      </c>
      <c r="G12" s="263">
        <v>80</v>
      </c>
      <c r="H12" s="263">
        <v>130</v>
      </c>
      <c r="I12" s="263">
        <v>101.8879858</v>
      </c>
      <c r="J12" s="263">
        <v>104.7208</v>
      </c>
      <c r="K12" s="263">
        <v>110.02336530000001</v>
      </c>
      <c r="L12" s="263">
        <v>119.2123447</v>
      </c>
      <c r="M12" s="263">
        <v>139.97002879999999</v>
      </c>
      <c r="N12" s="263">
        <v>144.61870620000002</v>
      </c>
      <c r="O12" s="263">
        <v>131.07408239999998</v>
      </c>
    </row>
    <row r="13" spans="1:15" s="6" customFormat="1" ht="15.95" customHeight="1" x14ac:dyDescent="0.25">
      <c r="A13" s="260" t="s">
        <v>21</v>
      </c>
      <c r="B13" s="261" t="s">
        <v>12</v>
      </c>
      <c r="C13" s="262" t="s">
        <v>22</v>
      </c>
      <c r="D13" s="262" t="s">
        <v>22</v>
      </c>
      <c r="E13" s="262" t="s">
        <v>22</v>
      </c>
      <c r="F13" s="262" t="s">
        <v>22</v>
      </c>
      <c r="G13" s="262" t="s">
        <v>22</v>
      </c>
      <c r="H13" s="262">
        <v>2590</v>
      </c>
      <c r="I13" s="262">
        <v>2856.1462035899999</v>
      </c>
      <c r="J13" s="262">
        <v>2184.9562204000003</v>
      </c>
      <c r="K13" s="262">
        <v>2446.7181873999998</v>
      </c>
      <c r="L13" s="262">
        <v>2967.3184711000004</v>
      </c>
      <c r="M13" s="262">
        <v>2700.7135926000001</v>
      </c>
      <c r="N13" s="262">
        <v>2307.1865520999995</v>
      </c>
      <c r="O13" s="262">
        <v>2353.2034105000002</v>
      </c>
    </row>
    <row r="14" spans="1:15" s="72" customFormat="1" ht="12" customHeight="1" x14ac:dyDescent="0.25">
      <c r="A14" s="71" t="s">
        <v>23</v>
      </c>
      <c r="J14" s="2"/>
      <c r="K14" s="2"/>
      <c r="L14" s="2"/>
      <c r="M14" s="2"/>
      <c r="N14" s="2"/>
    </row>
    <row r="15" spans="1:15" s="72" customFormat="1" ht="12" customHeight="1" x14ac:dyDescent="0.25">
      <c r="A15" s="676" t="s">
        <v>373</v>
      </c>
      <c r="B15" s="676"/>
      <c r="C15" s="676"/>
      <c r="D15" s="676"/>
      <c r="E15" s="676"/>
      <c r="F15" s="676"/>
      <c r="G15" s="676"/>
      <c r="H15" s="676"/>
      <c r="I15" s="676"/>
      <c r="J15" s="676"/>
      <c r="K15" s="676"/>
      <c r="L15" s="676"/>
      <c r="M15" s="676"/>
      <c r="N15" s="676"/>
      <c r="O15" s="676"/>
    </row>
    <row r="16" spans="1:15" s="72" customFormat="1" ht="12" customHeight="1" x14ac:dyDescent="0.25">
      <c r="A16" s="676" t="s">
        <v>374</v>
      </c>
      <c r="B16" s="676"/>
      <c r="C16" s="676"/>
      <c r="D16" s="676"/>
      <c r="E16" s="676"/>
      <c r="F16" s="676"/>
      <c r="G16" s="676"/>
      <c r="H16" s="676"/>
      <c r="I16" s="676"/>
      <c r="J16" s="676"/>
      <c r="K16" s="676"/>
      <c r="L16" s="676"/>
      <c r="M16" s="676"/>
      <c r="N16" s="676"/>
      <c r="O16" s="676"/>
    </row>
    <row r="17" spans="1:15" s="72" customFormat="1" ht="12" customHeight="1" x14ac:dyDescent="0.25">
      <c r="A17" s="676" t="s">
        <v>375</v>
      </c>
      <c r="B17" s="676"/>
      <c r="C17" s="676"/>
      <c r="D17" s="676"/>
      <c r="E17" s="676"/>
      <c r="F17" s="676"/>
      <c r="G17" s="676"/>
      <c r="H17" s="676"/>
      <c r="I17" s="676"/>
      <c r="J17" s="676"/>
      <c r="K17" s="676"/>
      <c r="L17" s="676"/>
      <c r="M17" s="676"/>
      <c r="N17" s="676"/>
      <c r="O17" s="676"/>
    </row>
    <row r="18" spans="1:15" s="72" customFormat="1" ht="12" customHeight="1" x14ac:dyDescent="0.25">
      <c r="A18" s="73" t="s">
        <v>370</v>
      </c>
      <c r="B18" s="74"/>
    </row>
  </sheetData>
  <mergeCells count="4">
    <mergeCell ref="A15:O15"/>
    <mergeCell ref="A16:O16"/>
    <mergeCell ref="A17:O17"/>
    <mergeCell ref="A3:O3"/>
  </mergeCells>
  <printOptions horizontalCentered="1"/>
  <pageMargins left="0.78740157480314965" right="0.59055118110236227" top="0.98425196850393704" bottom="0.98425196850393704" header="0" footer="0"/>
  <pageSetup paperSize="9" orientation="landscape" r:id="rId1"/>
  <headerFooter alignWithMargins="0"/>
  <ignoredErrors>
    <ignoredError sqref="D5:I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55"/>
  <sheetViews>
    <sheetView showGridLines="0" zoomScaleNormal="100" workbookViewId="0">
      <selection activeCell="R5" sqref="R5"/>
    </sheetView>
  </sheetViews>
  <sheetFormatPr baseColWidth="10" defaultColWidth="9.7109375" defaultRowHeight="12.75" customHeight="1" x14ac:dyDescent="0.25"/>
  <cols>
    <col min="1" max="1" width="15.28515625" style="58" customWidth="1"/>
    <col min="2" max="2" width="7.7109375" style="55" hidden="1" customWidth="1"/>
    <col min="3" max="9" width="7.140625" style="55" hidden="1" customWidth="1"/>
    <col min="10" max="13" width="8" style="55" hidden="1" customWidth="1"/>
    <col min="14" max="14" width="7.7109375" style="55" hidden="1" customWidth="1"/>
    <col min="15" max="23" width="12.140625" style="55" customWidth="1"/>
    <col min="24" max="16384" width="9.7109375" style="55"/>
  </cols>
  <sheetData>
    <row r="1" spans="1:23" ht="12.75" customHeight="1" x14ac:dyDescent="0.25">
      <c r="A1" s="1" t="s">
        <v>24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75"/>
    </row>
    <row r="2" spans="1:23" ht="12.75" customHeight="1" x14ac:dyDescent="0.25">
      <c r="A2" s="15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</row>
    <row r="3" spans="1:23" s="264" customFormat="1" ht="12.75" customHeight="1" x14ac:dyDescent="0.25">
      <c r="A3" s="678" t="s">
        <v>399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678"/>
      <c r="U3" s="678"/>
      <c r="V3" s="678"/>
    </row>
    <row r="4" spans="1:23" s="264" customFormat="1" ht="12.6" customHeight="1" x14ac:dyDescent="0.25">
      <c r="A4" s="679" t="s">
        <v>26</v>
      </c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</row>
    <row r="5" spans="1:23" s="54" customFormat="1" ht="12.6" customHeight="1" x14ac:dyDescent="0.25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215"/>
      <c r="P5" s="215"/>
      <c r="Q5" s="215"/>
      <c r="R5" s="215"/>
      <c r="S5" s="215"/>
      <c r="T5" s="215"/>
      <c r="U5" s="215"/>
      <c r="V5" s="215"/>
      <c r="W5" s="215"/>
    </row>
    <row r="6" spans="1:23" s="211" customFormat="1" ht="20.100000000000001" customHeight="1" x14ac:dyDescent="0.25">
      <c r="A6" s="257" t="s">
        <v>27</v>
      </c>
      <c r="B6" s="258">
        <v>2000</v>
      </c>
      <c r="C6" s="258">
        <v>2001</v>
      </c>
      <c r="D6" s="258">
        <v>2002</v>
      </c>
      <c r="E6" s="258">
        <v>2003</v>
      </c>
      <c r="F6" s="258">
        <v>2004</v>
      </c>
      <c r="G6" s="258">
        <v>2005</v>
      </c>
      <c r="H6" s="258">
        <v>2006</v>
      </c>
      <c r="I6" s="258">
        <v>2007</v>
      </c>
      <c r="J6" s="258">
        <v>2008</v>
      </c>
      <c r="K6" s="258">
        <v>2009</v>
      </c>
      <c r="L6" s="258">
        <v>2010</v>
      </c>
      <c r="M6" s="258">
        <v>2011</v>
      </c>
      <c r="N6" s="258">
        <v>2012</v>
      </c>
      <c r="O6" s="258">
        <v>2013</v>
      </c>
      <c r="P6" s="258">
        <v>2014</v>
      </c>
      <c r="Q6" s="258">
        <v>2015</v>
      </c>
      <c r="R6" s="258">
        <v>2016</v>
      </c>
      <c r="S6" s="258">
        <v>2017</v>
      </c>
      <c r="T6" s="258">
        <v>2018</v>
      </c>
      <c r="U6" s="258">
        <v>2019</v>
      </c>
      <c r="V6" s="258">
        <v>2020</v>
      </c>
      <c r="W6" s="258" t="s">
        <v>401</v>
      </c>
    </row>
    <row r="7" spans="1:23" s="213" customFormat="1" ht="3" customHeight="1" x14ac:dyDescent="0.25">
      <c r="A7" s="274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</row>
    <row r="8" spans="1:23" ht="15.95" customHeight="1" x14ac:dyDescent="0.25">
      <c r="A8" s="275" t="s">
        <v>28</v>
      </c>
      <c r="B8" s="268">
        <f t="shared" ref="B8:W8" si="0">SUM(B9:B24)</f>
        <v>553924</v>
      </c>
      <c r="C8" s="268">
        <f t="shared" si="0"/>
        <v>722355.34555900004</v>
      </c>
      <c r="D8" s="268">
        <f t="shared" si="0"/>
        <v>844552.87496099982</v>
      </c>
      <c r="E8" s="268">
        <f t="shared" si="0"/>
        <v>842605.07862999989</v>
      </c>
      <c r="F8" s="268">
        <f t="shared" si="0"/>
        <v>1035574.0497300003</v>
      </c>
      <c r="G8" s="268">
        <f t="shared" si="0"/>
        <v>1009898.5723259998</v>
      </c>
      <c r="H8" s="268">
        <f t="shared" si="0"/>
        <v>1048472.4635900001</v>
      </c>
      <c r="I8" s="268">
        <f t="shared" si="0"/>
        <v>1190273.6039160001</v>
      </c>
      <c r="J8" s="268">
        <f t="shared" si="0"/>
        <v>1267866.580079</v>
      </c>
      <c r="K8" s="268">
        <f t="shared" si="0"/>
        <v>1276249.2028349999</v>
      </c>
      <c r="L8" s="268">
        <f t="shared" si="0"/>
        <v>1247184.0293919998</v>
      </c>
      <c r="M8" s="268">
        <f t="shared" si="0"/>
        <v>1235345.0680180001</v>
      </c>
      <c r="N8" s="268">
        <f t="shared" si="0"/>
        <v>1298761.3646879999</v>
      </c>
      <c r="O8" s="268">
        <f t="shared" si="0"/>
        <v>1375640.6942070001</v>
      </c>
      <c r="P8" s="268">
        <f t="shared" si="0"/>
        <v>1377642.4139869998</v>
      </c>
      <c r="Q8" s="268">
        <f t="shared" si="0"/>
        <v>1700817.4199590001</v>
      </c>
      <c r="R8" s="268">
        <f t="shared" si="0"/>
        <v>2353858.5579240005</v>
      </c>
      <c r="S8" s="268">
        <f t="shared" si="0"/>
        <v>2445583.8150160001</v>
      </c>
      <c r="T8" s="268">
        <f t="shared" si="0"/>
        <v>2437034.8892939994</v>
      </c>
      <c r="U8" s="268">
        <f t="shared" si="0"/>
        <v>2455439.9222271019</v>
      </c>
      <c r="V8" s="268">
        <f t="shared" si="0"/>
        <v>2150125.9121279996</v>
      </c>
      <c r="W8" s="268">
        <f t="shared" si="0"/>
        <v>2299276.8602470011</v>
      </c>
    </row>
    <row r="9" spans="1:23" s="211" customFormat="1" ht="15.95" customHeight="1" x14ac:dyDescent="0.25">
      <c r="A9" s="276" t="s">
        <v>30</v>
      </c>
      <c r="B9" s="54">
        <v>1019</v>
      </c>
      <c r="C9" s="54">
        <v>163240.17438800001</v>
      </c>
      <c r="D9" s="54">
        <v>342745.46508200001</v>
      </c>
      <c r="E9" s="269">
        <v>269028.97240100004</v>
      </c>
      <c r="F9" s="269">
        <v>372032.13612500002</v>
      </c>
      <c r="G9" s="270">
        <v>384007.86080799991</v>
      </c>
      <c r="H9" s="270">
        <v>391778.90106</v>
      </c>
      <c r="I9" s="270">
        <v>342446.19143100007</v>
      </c>
      <c r="J9" s="270">
        <v>361202.995107</v>
      </c>
      <c r="K9" s="270">
        <v>349792.41889099998</v>
      </c>
      <c r="L9" s="270">
        <v>332279.79770500003</v>
      </c>
      <c r="M9" s="270">
        <v>353922.61948300007</v>
      </c>
      <c r="N9" s="270">
        <v>470168.64439900004</v>
      </c>
      <c r="O9" s="270">
        <v>469656.42338599992</v>
      </c>
      <c r="P9" s="270">
        <v>371464.71220500005</v>
      </c>
      <c r="Q9" s="270">
        <v>422257.4062170001</v>
      </c>
      <c r="R9" s="270">
        <v>454447.17683800007</v>
      </c>
      <c r="S9" s="270">
        <v>447232.35121700005</v>
      </c>
      <c r="T9" s="270">
        <v>467756.71874700015</v>
      </c>
      <c r="U9" s="270">
        <v>466105.5483530499</v>
      </c>
      <c r="V9" s="270">
        <v>399790.87675699982</v>
      </c>
      <c r="W9" s="270">
        <v>464908.5065720001</v>
      </c>
    </row>
    <row r="10" spans="1:23" s="211" customFormat="1" ht="15.95" customHeight="1" x14ac:dyDescent="0.25">
      <c r="A10" s="276" t="s">
        <v>47</v>
      </c>
      <c r="B10" s="270">
        <v>0</v>
      </c>
      <c r="C10" s="270">
        <v>0</v>
      </c>
      <c r="D10" s="270">
        <v>0</v>
      </c>
      <c r="E10" s="270">
        <v>0</v>
      </c>
      <c r="F10" s="270">
        <v>0</v>
      </c>
      <c r="G10" s="270"/>
      <c r="H10" s="270"/>
      <c r="I10" s="270"/>
      <c r="J10" s="270"/>
      <c r="K10" s="270"/>
      <c r="L10" s="270"/>
      <c r="M10" s="270"/>
      <c r="N10" s="270"/>
      <c r="O10" s="270" t="s">
        <v>31</v>
      </c>
      <c r="P10" s="270" t="s">
        <v>31</v>
      </c>
      <c r="Q10" s="270">
        <v>6666.7896600000004</v>
      </c>
      <c r="R10" s="270">
        <v>329368.43739899999</v>
      </c>
      <c r="S10" s="270">
        <v>452949.57942699996</v>
      </c>
      <c r="T10" s="270">
        <v>385308.13605300005</v>
      </c>
      <c r="U10" s="270">
        <v>382536.19759199995</v>
      </c>
      <c r="V10" s="270">
        <v>312776.12570399995</v>
      </c>
      <c r="W10" s="270">
        <v>290106.00907299999</v>
      </c>
    </row>
    <row r="11" spans="1:23" s="212" customFormat="1" ht="15.95" customHeight="1" x14ac:dyDescent="0.25">
      <c r="A11" s="276" t="s">
        <v>29</v>
      </c>
      <c r="B11" s="54">
        <v>71661</v>
      </c>
      <c r="C11" s="54">
        <v>77400.194338999994</v>
      </c>
      <c r="D11" s="54">
        <v>86880.079303999999</v>
      </c>
      <c r="E11" s="269">
        <v>87843.123647000015</v>
      </c>
      <c r="F11" s="269">
        <v>89057.293680999996</v>
      </c>
      <c r="G11" s="270">
        <v>94108.006173000002</v>
      </c>
      <c r="H11" s="270">
        <v>97119.669966000001</v>
      </c>
      <c r="I11" s="270">
        <v>275050.62732500001</v>
      </c>
      <c r="J11" s="270">
        <v>325157.34727899998</v>
      </c>
      <c r="K11" s="270">
        <v>309498.08015200001</v>
      </c>
      <c r="L11" s="270">
        <v>313608.33887500002</v>
      </c>
      <c r="M11" s="270">
        <v>304387.45837999997</v>
      </c>
      <c r="N11" s="270">
        <v>280950.669972</v>
      </c>
      <c r="O11" s="270">
        <v>262824.43580800004</v>
      </c>
      <c r="P11" s="270">
        <v>236809.09833499999</v>
      </c>
      <c r="Q11" s="270">
        <v>257662.90678799999</v>
      </c>
      <c r="R11" s="270">
        <v>524024.34368499997</v>
      </c>
      <c r="S11" s="270">
        <v>503277.523132</v>
      </c>
      <c r="T11" s="270">
        <v>496867.86837800004</v>
      </c>
      <c r="U11" s="270">
        <v>478748.38156197005</v>
      </c>
      <c r="V11" s="270">
        <v>392289.99468799989</v>
      </c>
      <c r="W11" s="270">
        <v>422575.37365500018</v>
      </c>
    </row>
    <row r="12" spans="1:23" s="211" customFormat="1" ht="15.95" customHeight="1" x14ac:dyDescent="0.25">
      <c r="A12" s="276" t="s">
        <v>43</v>
      </c>
      <c r="B12" s="54">
        <v>124.5</v>
      </c>
      <c r="C12" s="54">
        <v>126.9226</v>
      </c>
      <c r="D12" s="54">
        <v>74.492100000000008</v>
      </c>
      <c r="E12" s="269">
        <v>36.282200000000003</v>
      </c>
      <c r="F12" s="269">
        <v>152.90370000000001</v>
      </c>
      <c r="G12" s="270">
        <v>210.37081499999999</v>
      </c>
      <c r="H12" s="270">
        <v>434.10184299999997</v>
      </c>
      <c r="I12" s="270">
        <v>523.36215399999992</v>
      </c>
      <c r="J12" s="270">
        <v>448.291923</v>
      </c>
      <c r="K12" s="270">
        <v>794.33332100000007</v>
      </c>
      <c r="L12" s="270">
        <v>675.23088400000006</v>
      </c>
      <c r="M12" s="270">
        <v>421.00720200000001</v>
      </c>
      <c r="N12" s="270">
        <v>464.91187300000007</v>
      </c>
      <c r="O12" s="270">
        <v>565.24958700000002</v>
      </c>
      <c r="P12" s="270">
        <v>481.36909299999996</v>
      </c>
      <c r="Q12" s="270">
        <v>387.932749</v>
      </c>
      <c r="R12" s="270">
        <v>704.96995300000003</v>
      </c>
      <c r="S12" s="270">
        <v>625.05707000000007</v>
      </c>
      <c r="T12" s="270">
        <v>372.49111200000004</v>
      </c>
      <c r="U12" s="270">
        <v>492.14265838</v>
      </c>
      <c r="V12" s="270">
        <v>460.00778099999997</v>
      </c>
      <c r="W12" s="270">
        <v>562.14405399999998</v>
      </c>
    </row>
    <row r="13" spans="1:23" s="211" customFormat="1" ht="15.95" customHeight="1" x14ac:dyDescent="0.25">
      <c r="A13" s="276" t="s">
        <v>39</v>
      </c>
      <c r="B13" s="54">
        <v>24.5</v>
      </c>
      <c r="C13" s="54">
        <v>110.681522</v>
      </c>
      <c r="D13" s="54">
        <v>229.52135699999999</v>
      </c>
      <c r="E13" s="270">
        <v>0</v>
      </c>
      <c r="F13" s="270">
        <v>0</v>
      </c>
      <c r="G13" s="270"/>
      <c r="H13" s="270"/>
      <c r="I13" s="270">
        <v>71.315821999999997</v>
      </c>
      <c r="J13" s="270">
        <v>7707.4336520000015</v>
      </c>
      <c r="K13" s="270">
        <v>38643.612430000001</v>
      </c>
      <c r="L13" s="270">
        <v>43657.058119999994</v>
      </c>
      <c r="M13" s="270">
        <v>40369.976094999998</v>
      </c>
      <c r="N13" s="270">
        <v>38388.675879000002</v>
      </c>
      <c r="O13" s="270">
        <v>32181.124510000001</v>
      </c>
      <c r="P13" s="270">
        <v>34702.259268999995</v>
      </c>
      <c r="Q13" s="270">
        <v>30710.242135</v>
      </c>
      <c r="R13" s="270">
        <v>32302.910145999998</v>
      </c>
      <c r="S13" s="270">
        <v>31460.013080000004</v>
      </c>
      <c r="T13" s="270">
        <v>33482.596153999999</v>
      </c>
      <c r="U13" s="270">
        <v>32650.550569999996</v>
      </c>
      <c r="V13" s="270">
        <v>24964.317505999999</v>
      </c>
      <c r="W13" s="270">
        <v>27028.641372000006</v>
      </c>
    </row>
    <row r="14" spans="1:23" s="211" customFormat="1" ht="15.95" customHeight="1" x14ac:dyDescent="0.25">
      <c r="A14" s="276" t="s">
        <v>32</v>
      </c>
      <c r="B14" s="54">
        <v>91664</v>
      </c>
      <c r="C14" s="54">
        <v>85183.594710000005</v>
      </c>
      <c r="D14" s="54">
        <v>18226.524870000001</v>
      </c>
      <c r="E14" s="269">
        <v>51644.171537000002</v>
      </c>
      <c r="F14" s="269">
        <v>118526.95275400001</v>
      </c>
      <c r="G14" s="270">
        <v>109421.12074500001</v>
      </c>
      <c r="H14" s="270">
        <v>115625.751617</v>
      </c>
      <c r="I14" s="270">
        <v>119540.07797500002</v>
      </c>
      <c r="J14" s="270">
        <v>110769.29227999998</v>
      </c>
      <c r="K14" s="270">
        <v>107232.511169</v>
      </c>
      <c r="L14" s="270">
        <v>93015.124211000002</v>
      </c>
      <c r="M14" s="270">
        <v>95262.400116000004</v>
      </c>
      <c r="N14" s="270">
        <v>51875.648823000003</v>
      </c>
      <c r="O14" s="270">
        <v>151187.00269199998</v>
      </c>
      <c r="P14" s="270">
        <v>167247.01549799999</v>
      </c>
      <c r="Q14" s="270">
        <v>309423.40916000004</v>
      </c>
      <c r="R14" s="270">
        <v>354838.08755700005</v>
      </c>
      <c r="S14" s="270">
        <v>328274.21729</v>
      </c>
      <c r="T14" s="270">
        <v>327592.73743400001</v>
      </c>
      <c r="U14" s="270">
        <v>311538.80787571199</v>
      </c>
      <c r="V14" s="270">
        <v>262661.53890799999</v>
      </c>
      <c r="W14" s="270">
        <v>248889.52803099999</v>
      </c>
    </row>
    <row r="15" spans="1:23" s="211" customFormat="1" ht="15.95" customHeight="1" x14ac:dyDescent="0.25">
      <c r="A15" s="276" t="s">
        <v>40</v>
      </c>
      <c r="B15" s="54">
        <v>18294</v>
      </c>
      <c r="C15" s="54">
        <v>17061.573808000001</v>
      </c>
      <c r="D15" s="54">
        <v>16037.757670999998</v>
      </c>
      <c r="E15" s="269">
        <v>16693.452398000001</v>
      </c>
      <c r="F15" s="269">
        <v>15219.189397999997</v>
      </c>
      <c r="G15" s="270">
        <v>15651.718117000004</v>
      </c>
      <c r="H15" s="270">
        <v>17872.495788</v>
      </c>
      <c r="I15" s="270">
        <v>19495.115730999998</v>
      </c>
      <c r="J15" s="270">
        <v>21547.145693999995</v>
      </c>
      <c r="K15" s="270">
        <v>19612.152270999999</v>
      </c>
      <c r="L15" s="270">
        <v>20421.447925000004</v>
      </c>
      <c r="M15" s="270">
        <v>20682.304787000001</v>
      </c>
      <c r="N15" s="270">
        <v>20642.30315</v>
      </c>
      <c r="O15" s="270">
        <v>20275.602720999999</v>
      </c>
      <c r="P15" s="270">
        <v>22894.273678000001</v>
      </c>
      <c r="Q15" s="270">
        <v>21933.012808000003</v>
      </c>
      <c r="R15" s="270">
        <v>14670.127939999998</v>
      </c>
      <c r="S15" s="270">
        <v>13227.395023000001</v>
      </c>
      <c r="T15" s="270">
        <v>13009.786452</v>
      </c>
      <c r="U15" s="270">
        <v>9604.189162390001</v>
      </c>
      <c r="V15" s="270">
        <v>1855.2473669999999</v>
      </c>
      <c r="W15" s="270">
        <v>2241.005756</v>
      </c>
    </row>
    <row r="16" spans="1:23" s="211" customFormat="1" ht="15.95" customHeight="1" x14ac:dyDescent="0.25">
      <c r="A16" s="276" t="s">
        <v>42</v>
      </c>
      <c r="B16" s="54">
        <v>4443</v>
      </c>
      <c r="C16" s="54">
        <v>6079.7778099999996</v>
      </c>
      <c r="D16" s="54">
        <v>2118.7222000000002</v>
      </c>
      <c r="E16" s="269">
        <v>5016.3974500000013</v>
      </c>
      <c r="F16" s="269">
        <v>3478.1965089999999</v>
      </c>
      <c r="G16" s="270">
        <v>2736.5201290000005</v>
      </c>
      <c r="H16" s="270">
        <v>3903.5152380000004</v>
      </c>
      <c r="I16" s="270">
        <v>3434.3309580000005</v>
      </c>
      <c r="J16" s="270">
        <v>2901.8035310000005</v>
      </c>
      <c r="K16" s="270">
        <v>2917.2226299999998</v>
      </c>
      <c r="L16" s="270">
        <v>3593.1211490000001</v>
      </c>
      <c r="M16" s="270">
        <v>3737.4792280000006</v>
      </c>
      <c r="N16" s="270">
        <v>3954.7343099999998</v>
      </c>
      <c r="O16" s="270">
        <v>3331.5301000000004</v>
      </c>
      <c r="P16" s="270">
        <v>1751.596628</v>
      </c>
      <c r="Q16" s="270">
        <v>1362.9209199999998</v>
      </c>
      <c r="R16" s="270">
        <v>1788.1234400000001</v>
      </c>
      <c r="S16" s="270">
        <v>2179.5307899999998</v>
      </c>
      <c r="T16" s="270">
        <v>1929.0985800000001</v>
      </c>
      <c r="U16" s="270">
        <v>2117.8004500000002</v>
      </c>
      <c r="V16" s="270">
        <v>363.49198000000001</v>
      </c>
      <c r="W16" s="270">
        <v>0</v>
      </c>
    </row>
    <row r="17" spans="1:23" s="211" customFormat="1" ht="15.95" customHeight="1" x14ac:dyDescent="0.25">
      <c r="A17" s="276" t="s">
        <v>36</v>
      </c>
      <c r="B17" s="270">
        <v>0</v>
      </c>
      <c r="C17" s="270">
        <v>0</v>
      </c>
      <c r="D17" s="270">
        <v>0</v>
      </c>
      <c r="E17" s="270">
        <v>0</v>
      </c>
      <c r="F17" s="270">
        <v>0</v>
      </c>
      <c r="G17" s="270"/>
      <c r="H17" s="270"/>
      <c r="I17" s="270">
        <v>2682.214986</v>
      </c>
      <c r="J17" s="270">
        <v>9757.5130439999975</v>
      </c>
      <c r="K17" s="270">
        <v>16405.380104</v>
      </c>
      <c r="L17" s="270">
        <v>19311.747191999999</v>
      </c>
      <c r="M17" s="270">
        <v>25276.165266000004</v>
      </c>
      <c r="N17" s="270">
        <v>31667.434039</v>
      </c>
      <c r="O17" s="270">
        <v>38528.249164999987</v>
      </c>
      <c r="P17" s="270">
        <v>42459.999566999992</v>
      </c>
      <c r="Q17" s="270">
        <v>42088.008214999994</v>
      </c>
      <c r="R17" s="270">
        <v>43155.228753000003</v>
      </c>
      <c r="S17" s="270">
        <v>50316.674041999999</v>
      </c>
      <c r="T17" s="270">
        <v>59899.500603000008</v>
      </c>
      <c r="U17" s="270">
        <v>56696.207694799981</v>
      </c>
      <c r="V17" s="270">
        <v>40869.221336999988</v>
      </c>
      <c r="W17" s="270">
        <v>107755.693203</v>
      </c>
    </row>
    <row r="18" spans="1:23" s="211" customFormat="1" ht="15.95" customHeight="1" x14ac:dyDescent="0.25">
      <c r="A18" s="276" t="s">
        <v>34</v>
      </c>
      <c r="B18" s="54">
        <v>5493</v>
      </c>
      <c r="C18" s="54">
        <v>5740.9529759999996</v>
      </c>
      <c r="D18" s="54">
        <v>5320.5416670000004</v>
      </c>
      <c r="E18" s="269">
        <v>4377.5620019999997</v>
      </c>
      <c r="F18" s="269">
        <v>4827.244471</v>
      </c>
      <c r="G18" s="270">
        <v>4461.8079829999997</v>
      </c>
      <c r="H18" s="270">
        <v>7903.8056420000003</v>
      </c>
      <c r="I18" s="270">
        <v>8691.4676980000004</v>
      </c>
      <c r="J18" s="270">
        <v>9660.2795490000008</v>
      </c>
      <c r="K18" s="270">
        <v>11685.849767</v>
      </c>
      <c r="L18" s="270">
        <v>13299.046291000001</v>
      </c>
      <c r="M18" s="270">
        <v>8852.505723000002</v>
      </c>
      <c r="N18" s="270">
        <v>11309.986463000001</v>
      </c>
      <c r="O18" s="270">
        <v>12529.646585999999</v>
      </c>
      <c r="P18" s="270">
        <v>85049.106977999967</v>
      </c>
      <c r="Q18" s="270">
        <v>203528.94270999997</v>
      </c>
      <c r="R18" s="270">
        <v>190007.14516099996</v>
      </c>
      <c r="S18" s="270">
        <v>214971.37629600009</v>
      </c>
      <c r="T18" s="270">
        <v>224263.52117599992</v>
      </c>
      <c r="U18" s="270">
        <v>203713.75997219997</v>
      </c>
      <c r="V18" s="270">
        <v>209194.81428300001</v>
      </c>
      <c r="W18" s="270">
        <v>245041.51507000008</v>
      </c>
    </row>
    <row r="19" spans="1:23" s="211" customFormat="1" ht="15.95" customHeight="1" x14ac:dyDescent="0.25">
      <c r="A19" s="276" t="s">
        <v>44</v>
      </c>
      <c r="B19" s="54">
        <v>1924.5</v>
      </c>
      <c r="C19" s="54">
        <v>1883.4717249999999</v>
      </c>
      <c r="D19" s="54">
        <v>1689.249746</v>
      </c>
      <c r="E19" s="269">
        <v>2337.3050600000001</v>
      </c>
      <c r="F19" s="269">
        <v>1433.714868</v>
      </c>
      <c r="G19" s="270">
        <v>1644.3153299999999</v>
      </c>
      <c r="H19" s="270">
        <v>1643.8001730000003</v>
      </c>
      <c r="I19" s="270">
        <v>2115.2014679999997</v>
      </c>
      <c r="J19" s="270">
        <v>2598.66689</v>
      </c>
      <c r="K19" s="270">
        <v>2091.0709830000001</v>
      </c>
      <c r="L19" s="270">
        <v>1787.9669779999999</v>
      </c>
      <c r="M19" s="270">
        <v>1382.0923719999998</v>
      </c>
      <c r="N19" s="270">
        <v>1257.993228</v>
      </c>
      <c r="O19" s="270">
        <v>1816.728396</v>
      </c>
      <c r="P19" s="270">
        <v>1914.4116039999999</v>
      </c>
      <c r="Q19" s="270">
        <v>1319.927547</v>
      </c>
      <c r="R19" s="270">
        <v>1523.7628879999997</v>
      </c>
      <c r="S19" s="270">
        <v>1311.0742539999997</v>
      </c>
      <c r="T19" s="270">
        <v>0</v>
      </c>
      <c r="U19" s="270">
        <v>0</v>
      </c>
      <c r="V19" s="270">
        <v>37.744233999999999</v>
      </c>
      <c r="W19" s="270">
        <v>42.756613999999999</v>
      </c>
    </row>
    <row r="20" spans="1:23" s="211" customFormat="1" ht="15.95" customHeight="1" x14ac:dyDescent="0.25">
      <c r="A20" s="276" t="s">
        <v>38</v>
      </c>
      <c r="B20" s="54">
        <v>15530</v>
      </c>
      <c r="C20" s="54">
        <v>16117.768613</v>
      </c>
      <c r="D20" s="54">
        <v>16769.028490000001</v>
      </c>
      <c r="E20" s="269">
        <v>20469.737751999997</v>
      </c>
      <c r="F20" s="269">
        <v>22602.404418999999</v>
      </c>
      <c r="G20" s="270">
        <v>28777.558772999997</v>
      </c>
      <c r="H20" s="270">
        <v>32505.919864</v>
      </c>
      <c r="I20" s="270">
        <v>33252.971369000006</v>
      </c>
      <c r="J20" s="270">
        <v>40513.746257000006</v>
      </c>
      <c r="K20" s="270">
        <v>36308.829919000003</v>
      </c>
      <c r="L20" s="270">
        <v>35306.930365</v>
      </c>
      <c r="M20" s="270">
        <v>39368.459580999996</v>
      </c>
      <c r="N20" s="270">
        <v>33041.197632999996</v>
      </c>
      <c r="O20" s="270">
        <v>30881.841121000001</v>
      </c>
      <c r="P20" s="270">
        <v>31495.542015999999</v>
      </c>
      <c r="Q20" s="270">
        <v>30678.446395999996</v>
      </c>
      <c r="R20" s="270">
        <v>28459.460374000002</v>
      </c>
      <c r="S20" s="270">
        <v>31524.424798000004</v>
      </c>
      <c r="T20" s="270">
        <v>33159.249162</v>
      </c>
      <c r="U20" s="270">
        <v>37327.510548220002</v>
      </c>
      <c r="V20" s="270">
        <v>38238.910808000008</v>
      </c>
      <c r="W20" s="270">
        <v>35961.859658999987</v>
      </c>
    </row>
    <row r="21" spans="1:23" s="211" customFormat="1" ht="15.95" customHeight="1" x14ac:dyDescent="0.25">
      <c r="A21" s="276" t="s">
        <v>35</v>
      </c>
      <c r="B21" s="54">
        <v>233637.5</v>
      </c>
      <c r="C21" s="54">
        <v>165138.58451700001</v>
      </c>
      <c r="D21" s="54">
        <v>168066.80893999996</v>
      </c>
      <c r="E21" s="269">
        <v>189815.80544599998</v>
      </c>
      <c r="F21" s="269">
        <v>199890.42859999998</v>
      </c>
      <c r="G21" s="270">
        <v>169529.50000600002</v>
      </c>
      <c r="H21" s="270">
        <v>184567.250161</v>
      </c>
      <c r="I21" s="270">
        <v>194151.62725599998</v>
      </c>
      <c r="J21" s="270">
        <v>206442.43102399999</v>
      </c>
      <c r="K21" s="270">
        <v>197775.62018999999</v>
      </c>
      <c r="L21" s="270">
        <v>174589.298412</v>
      </c>
      <c r="M21" s="270">
        <v>152099.03499999997</v>
      </c>
      <c r="N21" s="270">
        <v>167651.43867300003</v>
      </c>
      <c r="O21" s="270">
        <v>172816.28443699999</v>
      </c>
      <c r="P21" s="270">
        <v>183140.95038300002</v>
      </c>
      <c r="Q21" s="270">
        <v>183117.39489900001</v>
      </c>
      <c r="R21" s="270">
        <v>174918.36588899998</v>
      </c>
      <c r="S21" s="270">
        <v>161118.50557399998</v>
      </c>
      <c r="T21" s="270">
        <v>162794.51175399998</v>
      </c>
      <c r="U21" s="270">
        <v>158587.90521099998</v>
      </c>
      <c r="V21" s="270">
        <v>170627.12856199997</v>
      </c>
      <c r="W21" s="270">
        <v>172594.13892800003</v>
      </c>
    </row>
    <row r="22" spans="1:23" s="211" customFormat="1" ht="15.95" customHeight="1" x14ac:dyDescent="0.25">
      <c r="A22" s="276" t="s">
        <v>37</v>
      </c>
      <c r="B22" s="54">
        <v>4499</v>
      </c>
      <c r="C22" s="54">
        <v>7463.451924</v>
      </c>
      <c r="D22" s="54">
        <v>10165.647256</v>
      </c>
      <c r="E22" s="269">
        <v>10502.941565000001</v>
      </c>
      <c r="F22" s="269">
        <v>10878.102913999999</v>
      </c>
      <c r="G22" s="270">
        <v>11267.64855</v>
      </c>
      <c r="H22" s="270">
        <v>11735.003962000001</v>
      </c>
      <c r="I22" s="270">
        <v>14417.508975999997</v>
      </c>
      <c r="J22" s="270">
        <v>18565.000002000001</v>
      </c>
      <c r="K22" s="270">
        <v>21089.546726999997</v>
      </c>
      <c r="L22" s="270">
        <v>29221.535363999999</v>
      </c>
      <c r="M22" s="270">
        <v>35307.008000000002</v>
      </c>
      <c r="N22" s="270">
        <v>35833.539011000001</v>
      </c>
      <c r="O22" s="270">
        <v>39968.525392000003</v>
      </c>
      <c r="P22" s="270">
        <v>58287.115205000002</v>
      </c>
      <c r="Q22" s="270">
        <v>46896.304346999998</v>
      </c>
      <c r="R22" s="270">
        <v>61992.420449999998</v>
      </c>
      <c r="S22" s="270">
        <v>58144.05199</v>
      </c>
      <c r="T22" s="270">
        <v>59017.568037999983</v>
      </c>
      <c r="U22" s="270">
        <v>56243.286792380015</v>
      </c>
      <c r="V22" s="270">
        <v>40000.873390999979</v>
      </c>
      <c r="W22" s="270">
        <v>53925.355991999997</v>
      </c>
    </row>
    <row r="23" spans="1:23" s="211" customFormat="1" ht="15.95" customHeight="1" x14ac:dyDescent="0.25">
      <c r="A23" s="276" t="s">
        <v>41</v>
      </c>
      <c r="B23" s="270">
        <v>0</v>
      </c>
      <c r="C23" s="270">
        <v>0</v>
      </c>
      <c r="D23" s="270">
        <v>0</v>
      </c>
      <c r="E23" s="270">
        <v>0</v>
      </c>
      <c r="F23" s="270">
        <v>0</v>
      </c>
      <c r="G23" s="270"/>
      <c r="H23" s="270">
        <v>1035.674182</v>
      </c>
      <c r="I23" s="270">
        <v>1830.4414080000001</v>
      </c>
      <c r="J23" s="270">
        <v>2299.2437770000001</v>
      </c>
      <c r="K23" s="270">
        <v>445.33455600000002</v>
      </c>
      <c r="L23" s="270">
        <v>21.052800000000001</v>
      </c>
      <c r="M23" s="270">
        <v>2061.5851819999998</v>
      </c>
      <c r="N23" s="270">
        <v>2175.0934249999996</v>
      </c>
      <c r="O23" s="270">
        <v>2942.7176240000003</v>
      </c>
      <c r="P23" s="270">
        <v>3069.599459</v>
      </c>
      <c r="Q23" s="270">
        <v>2932.9722969999998</v>
      </c>
      <c r="R23" s="270">
        <v>3717.1968849999998</v>
      </c>
      <c r="S23" s="270">
        <v>3937.0892369999997</v>
      </c>
      <c r="T23" s="270">
        <v>3538.3328710000005</v>
      </c>
      <c r="U23" s="270">
        <v>3271.5285799999997</v>
      </c>
      <c r="V23" s="270">
        <v>2824.2884050000007</v>
      </c>
      <c r="W23" s="270">
        <v>1876.1830910000001</v>
      </c>
    </row>
    <row r="24" spans="1:23" s="211" customFormat="1" ht="15.95" customHeight="1" x14ac:dyDescent="0.25">
      <c r="A24" s="277" t="s">
        <v>33</v>
      </c>
      <c r="B24" s="271">
        <v>105610</v>
      </c>
      <c r="C24" s="271">
        <v>176808.196627</v>
      </c>
      <c r="D24" s="271">
        <v>176229.03627799999</v>
      </c>
      <c r="E24" s="272">
        <v>184839.32717199999</v>
      </c>
      <c r="F24" s="272">
        <v>197475.48229100002</v>
      </c>
      <c r="G24" s="273">
        <v>188082.14489699999</v>
      </c>
      <c r="H24" s="273">
        <v>182346.57409399998</v>
      </c>
      <c r="I24" s="273">
        <v>172571.149359</v>
      </c>
      <c r="J24" s="273">
        <v>148295.39006999999</v>
      </c>
      <c r="K24" s="273">
        <v>161957.23972500002</v>
      </c>
      <c r="L24" s="273">
        <v>166396.33312099997</v>
      </c>
      <c r="M24" s="273">
        <v>152214.97160299995</v>
      </c>
      <c r="N24" s="273">
        <v>149379.09380999999</v>
      </c>
      <c r="O24" s="273">
        <v>136135.33268199998</v>
      </c>
      <c r="P24" s="273">
        <v>136875.36406899997</v>
      </c>
      <c r="Q24" s="273">
        <v>139850.80311099999</v>
      </c>
      <c r="R24" s="273">
        <v>137940.80056600002</v>
      </c>
      <c r="S24" s="273">
        <v>145034.95179599998</v>
      </c>
      <c r="T24" s="273">
        <v>168042.77277999997</v>
      </c>
      <c r="U24" s="273">
        <v>255806.10520499997</v>
      </c>
      <c r="V24" s="273">
        <v>253171.33041699993</v>
      </c>
      <c r="W24" s="273">
        <v>225768.14917699996</v>
      </c>
    </row>
    <row r="25" spans="1:23" s="75" customFormat="1" ht="12" customHeight="1" x14ac:dyDescent="0.25">
      <c r="A25" s="266" t="s">
        <v>453</v>
      </c>
      <c r="E25" s="78"/>
      <c r="F25" s="78"/>
      <c r="G25" s="78"/>
      <c r="H25" s="78"/>
    </row>
    <row r="26" spans="1:23" s="75" customFormat="1" ht="12" customHeight="1" x14ac:dyDescent="0.25">
      <c r="A26" s="73" t="s">
        <v>370</v>
      </c>
    </row>
    <row r="27" spans="1:23" s="75" customFormat="1" ht="11.1" customHeight="1" x14ac:dyDescent="0.25">
      <c r="A27" s="73"/>
      <c r="O27" s="76"/>
      <c r="P27" s="76"/>
      <c r="Q27" s="76"/>
      <c r="R27" s="76"/>
      <c r="S27" s="76"/>
      <c r="T27" s="76"/>
      <c r="U27" s="76"/>
      <c r="V27" s="76"/>
      <c r="W27" s="76"/>
    </row>
    <row r="28" spans="1:23" ht="12.75" customHeight="1" x14ac:dyDescent="0.25">
      <c r="A28" s="157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3" s="265" customFormat="1" ht="12.75" customHeight="1" x14ac:dyDescent="0.25">
      <c r="A29" s="678" t="s">
        <v>400</v>
      </c>
      <c r="B29" s="678"/>
      <c r="C29" s="678"/>
      <c r="D29" s="678"/>
      <c r="E29" s="678"/>
      <c r="F29" s="678"/>
      <c r="G29" s="678"/>
      <c r="H29" s="678"/>
      <c r="I29" s="678"/>
      <c r="J29" s="678"/>
      <c r="K29" s="678"/>
      <c r="L29" s="678"/>
      <c r="M29" s="678"/>
      <c r="N29" s="678"/>
      <c r="O29" s="678"/>
      <c r="P29" s="678"/>
      <c r="Q29" s="678"/>
      <c r="R29" s="678"/>
      <c r="S29" s="678"/>
      <c r="T29" s="678"/>
      <c r="U29" s="678"/>
      <c r="V29" s="678"/>
    </row>
    <row r="30" spans="1:23" s="265" customFormat="1" ht="12.75" customHeight="1" x14ac:dyDescent="0.25">
      <c r="A30" s="679" t="s">
        <v>45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</row>
    <row r="31" spans="1:23" s="59" customFormat="1" ht="12.75" customHeight="1" x14ac:dyDescent="0.25">
      <c r="A31" s="15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spans="1:23" s="214" customFormat="1" ht="20.100000000000001" customHeight="1" x14ac:dyDescent="0.25">
      <c r="A32" s="257" t="s">
        <v>27</v>
      </c>
      <c r="B32" s="258">
        <v>2000</v>
      </c>
      <c r="C32" s="258">
        <v>2001</v>
      </c>
      <c r="D32" s="258">
        <v>2002</v>
      </c>
      <c r="E32" s="258">
        <v>2003</v>
      </c>
      <c r="F32" s="258">
        <v>2004</v>
      </c>
      <c r="G32" s="258">
        <v>2005</v>
      </c>
      <c r="H32" s="258">
        <v>2006</v>
      </c>
      <c r="I32" s="258">
        <v>2007</v>
      </c>
      <c r="J32" s="258">
        <v>2008</v>
      </c>
      <c r="K32" s="258">
        <v>2009</v>
      </c>
      <c r="L32" s="258">
        <v>2010</v>
      </c>
      <c r="M32" s="258">
        <v>2011</v>
      </c>
      <c r="N32" s="258">
        <v>2012</v>
      </c>
      <c r="O32" s="258">
        <v>2013</v>
      </c>
      <c r="P32" s="258">
        <v>2014</v>
      </c>
      <c r="Q32" s="258">
        <v>2015</v>
      </c>
      <c r="R32" s="258">
        <v>2016</v>
      </c>
      <c r="S32" s="258">
        <v>2017</v>
      </c>
      <c r="T32" s="258">
        <v>2018</v>
      </c>
      <c r="U32" s="258">
        <v>2019</v>
      </c>
      <c r="V32" s="258">
        <v>2020</v>
      </c>
      <c r="W32" s="258" t="s">
        <v>401</v>
      </c>
    </row>
    <row r="33" spans="1:23" s="214" customFormat="1" ht="3.6" customHeight="1" x14ac:dyDescent="0.25">
      <c r="A33" s="282"/>
      <c r="B33" s="278"/>
      <c r="C33" s="278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</row>
    <row r="34" spans="1:23" s="214" customFormat="1" ht="15.95" customHeight="1" x14ac:dyDescent="0.25">
      <c r="A34" s="283" t="s">
        <v>28</v>
      </c>
      <c r="B34" s="279">
        <f t="shared" ref="B34:W34" si="1">SUM(B35:B52)</f>
        <v>132585.07800000001</v>
      </c>
      <c r="C34" s="279">
        <f t="shared" si="1"/>
        <v>138522.10926133799</v>
      </c>
      <c r="D34" s="279">
        <f t="shared" si="1"/>
        <v>157529.918535793</v>
      </c>
      <c r="E34" s="279">
        <f t="shared" si="1"/>
        <v>172624.62984419998</v>
      </c>
      <c r="F34" s="279">
        <f t="shared" si="1"/>
        <v>173223.81738585301</v>
      </c>
      <c r="G34" s="279">
        <f t="shared" si="1"/>
        <v>208001.717818768</v>
      </c>
      <c r="H34" s="279">
        <f t="shared" si="1"/>
        <v>202825.998654533</v>
      </c>
      <c r="I34" s="279">
        <f t="shared" si="1"/>
        <v>170235.86449540497</v>
      </c>
      <c r="J34" s="279">
        <f t="shared" si="1"/>
        <v>179870.47299560803</v>
      </c>
      <c r="K34" s="279">
        <f t="shared" si="1"/>
        <v>183994.69150778197</v>
      </c>
      <c r="L34" s="279">
        <f t="shared" si="1"/>
        <v>164084.38890122896</v>
      </c>
      <c r="M34" s="279">
        <f t="shared" si="1"/>
        <v>166186.71698165298</v>
      </c>
      <c r="N34" s="279">
        <f t="shared" si="1"/>
        <v>161544.66615318699</v>
      </c>
      <c r="O34" s="279">
        <f t="shared" si="1"/>
        <v>151486.07109919697</v>
      </c>
      <c r="P34" s="279">
        <f t="shared" si="1"/>
        <v>140096.99809351805</v>
      </c>
      <c r="Q34" s="279">
        <f t="shared" si="1"/>
        <v>146822.90653714005</v>
      </c>
      <c r="R34" s="279">
        <f t="shared" si="1"/>
        <v>153005.89697612537</v>
      </c>
      <c r="S34" s="279">
        <f t="shared" si="1"/>
        <v>151964.03995641117</v>
      </c>
      <c r="T34" s="279">
        <f t="shared" si="1"/>
        <v>140210.98441501192</v>
      </c>
      <c r="U34" s="279">
        <f t="shared" si="1"/>
        <v>128413.4633587745</v>
      </c>
      <c r="V34" s="279">
        <f t="shared" si="1"/>
        <v>88053.94420997698</v>
      </c>
      <c r="W34" s="279">
        <f t="shared" si="1"/>
        <v>97339.265234393984</v>
      </c>
    </row>
    <row r="35" spans="1:23" s="214" customFormat="1" ht="15.95" customHeight="1" x14ac:dyDescent="0.25">
      <c r="A35" s="284" t="s">
        <v>44</v>
      </c>
      <c r="B35" s="280">
        <v>15025.417718830526</v>
      </c>
      <c r="C35" s="280">
        <v>15136.849209264998</v>
      </c>
      <c r="D35" s="280">
        <v>16138.172702053005</v>
      </c>
      <c r="E35" s="280">
        <v>17390.658087946995</v>
      </c>
      <c r="F35" s="280">
        <v>18461.636184404997</v>
      </c>
      <c r="G35" s="280">
        <v>35924.232542370002</v>
      </c>
      <c r="H35" s="280">
        <v>55928.211121286986</v>
      </c>
      <c r="I35" s="280">
        <v>53977.989108962</v>
      </c>
      <c r="J35" s="280">
        <v>57156.913484627999</v>
      </c>
      <c r="K35" s="280">
        <v>52684.363738155989</v>
      </c>
      <c r="L35" s="280">
        <v>48065.514925591</v>
      </c>
      <c r="M35" s="280">
        <v>46949.045914268005</v>
      </c>
      <c r="N35" s="280">
        <v>52285.732424317001</v>
      </c>
      <c r="O35" s="280">
        <v>47613.196071327002</v>
      </c>
      <c r="P35" s="280">
        <v>46196.880938128998</v>
      </c>
      <c r="Q35" s="280">
        <v>47307.938840743998</v>
      </c>
      <c r="R35" s="280">
        <v>43893.864551771003</v>
      </c>
      <c r="S35" s="280">
        <v>43001.775204597005</v>
      </c>
      <c r="T35" s="280">
        <v>35213.201900332984</v>
      </c>
      <c r="U35" s="280">
        <v>30514.663992155598</v>
      </c>
      <c r="V35" s="280">
        <v>25920.351025453001</v>
      </c>
      <c r="W35" s="280">
        <v>31081.520382675993</v>
      </c>
    </row>
    <row r="36" spans="1:23" s="214" customFormat="1" ht="15.95" customHeight="1" x14ac:dyDescent="0.25">
      <c r="A36" s="284" t="s">
        <v>39</v>
      </c>
      <c r="B36" s="280">
        <v>59912.464627014459</v>
      </c>
      <c r="C36" s="280">
        <v>60813.69854177699</v>
      </c>
      <c r="D36" s="280">
        <v>72935.107096046995</v>
      </c>
      <c r="E36" s="280">
        <v>89025.223498395979</v>
      </c>
      <c r="F36" s="280">
        <v>90908.575506206005</v>
      </c>
      <c r="G36" s="280">
        <v>103208.4258575</v>
      </c>
      <c r="H36" s="280">
        <v>81294.715252829992</v>
      </c>
      <c r="I36" s="280">
        <v>48737.905325087006</v>
      </c>
      <c r="J36" s="280">
        <v>57366.496913812996</v>
      </c>
      <c r="K36" s="280">
        <v>68497.332191626003</v>
      </c>
      <c r="L36" s="280">
        <v>51667.193800584006</v>
      </c>
      <c r="M36" s="280">
        <v>51030.600204336006</v>
      </c>
      <c r="N36" s="280">
        <v>55229.369426515994</v>
      </c>
      <c r="O36" s="280">
        <v>45546.540771459993</v>
      </c>
      <c r="P36" s="280">
        <v>44063.575125630006</v>
      </c>
      <c r="Q36" s="280">
        <v>42391.744035970012</v>
      </c>
      <c r="R36" s="280">
        <v>36160.363639933996</v>
      </c>
      <c r="S36" s="280">
        <v>32897.248313287004</v>
      </c>
      <c r="T36" s="280">
        <v>31320.411794795014</v>
      </c>
      <c r="U36" s="280">
        <v>32085.875199500013</v>
      </c>
      <c r="V36" s="280">
        <v>22626.415111950995</v>
      </c>
      <c r="W36" s="280">
        <v>20241.406505680003</v>
      </c>
    </row>
    <row r="37" spans="1:23" s="214" customFormat="1" ht="15.95" customHeight="1" x14ac:dyDescent="0.25">
      <c r="A37" s="284" t="s">
        <v>29</v>
      </c>
      <c r="B37" s="280">
        <v>14147.855567148776</v>
      </c>
      <c r="C37" s="280">
        <v>14850.914246366994</v>
      </c>
      <c r="D37" s="280">
        <v>16508.029858567006</v>
      </c>
      <c r="E37" s="280">
        <v>16521.273783694003</v>
      </c>
      <c r="F37" s="280">
        <v>17334.210147013004</v>
      </c>
      <c r="G37" s="280">
        <v>18510.969053114986</v>
      </c>
      <c r="H37" s="280">
        <v>16668.760844586002</v>
      </c>
      <c r="I37" s="280">
        <v>17622.883701165003</v>
      </c>
      <c r="J37" s="280">
        <v>16149.658041083001</v>
      </c>
      <c r="K37" s="280">
        <v>16997.249873753004</v>
      </c>
      <c r="L37" s="280">
        <v>17477.783097796993</v>
      </c>
      <c r="M37" s="280">
        <v>17401.620438224003</v>
      </c>
      <c r="N37" s="280">
        <v>16593.987215353995</v>
      </c>
      <c r="O37" s="280">
        <v>12600.210206998996</v>
      </c>
      <c r="P37" s="280">
        <v>14062.931182748005</v>
      </c>
      <c r="Q37" s="280">
        <v>13690.145181673995</v>
      </c>
      <c r="R37" s="280">
        <v>16845.100697327791</v>
      </c>
      <c r="S37" s="280">
        <v>21948.605248126885</v>
      </c>
      <c r="T37" s="280">
        <v>22047.255265881264</v>
      </c>
      <c r="U37" s="280">
        <v>18806.597843156615</v>
      </c>
      <c r="V37" s="280">
        <v>13383.278335615993</v>
      </c>
      <c r="W37" s="280">
        <v>18029.092481233001</v>
      </c>
    </row>
    <row r="38" spans="1:23" s="214" customFormat="1" ht="15.95" customHeight="1" x14ac:dyDescent="0.25">
      <c r="A38" s="285" t="s">
        <v>43</v>
      </c>
      <c r="B38" s="280">
        <v>995.03130584414043</v>
      </c>
      <c r="C38" s="280">
        <v>34.493635834999992</v>
      </c>
      <c r="D38" s="280">
        <v>8.6846555499999987</v>
      </c>
      <c r="E38" s="280">
        <v>19.083594759999997</v>
      </c>
      <c r="F38" s="280">
        <v>97.005861479000018</v>
      </c>
      <c r="G38" s="280">
        <v>35.791706083000001</v>
      </c>
      <c r="H38" s="280">
        <v>2211.9352993809994</v>
      </c>
      <c r="I38" s="280">
        <v>3041.5947505790004</v>
      </c>
      <c r="J38" s="280">
        <v>4327.1034783469995</v>
      </c>
      <c r="K38" s="280">
        <v>4703.2119106190003</v>
      </c>
      <c r="L38" s="280">
        <v>5377.6853134970006</v>
      </c>
      <c r="M38" s="280">
        <v>5972.5143959220004</v>
      </c>
      <c r="N38" s="280">
        <v>6554.7438731550001</v>
      </c>
      <c r="O38" s="280">
        <v>10046.917411271001</v>
      </c>
      <c r="P38" s="280">
        <v>10072.741769807</v>
      </c>
      <c r="Q38" s="280">
        <v>9377.3936050390002</v>
      </c>
      <c r="R38" s="280">
        <v>11289.588842948</v>
      </c>
      <c r="S38" s="280">
        <v>11505.629615375003</v>
      </c>
      <c r="T38" s="280">
        <v>11750.545170617001</v>
      </c>
      <c r="U38" s="280">
        <v>12026.396232224995</v>
      </c>
      <c r="V38" s="280">
        <v>8887.1713897089976</v>
      </c>
      <c r="W38" s="280">
        <v>10194.857443395997</v>
      </c>
    </row>
    <row r="39" spans="1:23" s="214" customFormat="1" ht="15.95" customHeight="1" x14ac:dyDescent="0.25">
      <c r="A39" s="285" t="s">
        <v>32</v>
      </c>
      <c r="B39" s="280">
        <v>983.175290284722</v>
      </c>
      <c r="C39" s="280">
        <v>1195.9413142019994</v>
      </c>
      <c r="D39" s="280">
        <v>18.424077990000001</v>
      </c>
      <c r="E39" s="280">
        <v>127.18883224999998</v>
      </c>
      <c r="F39" s="280">
        <v>912.47734687699995</v>
      </c>
      <c r="G39" s="280">
        <v>1012.52164356</v>
      </c>
      <c r="H39" s="280">
        <v>1255.913607516</v>
      </c>
      <c r="I39" s="280">
        <v>1206.546062029</v>
      </c>
      <c r="J39" s="280">
        <v>1139.7703300000001</v>
      </c>
      <c r="K39" s="280">
        <v>1167.6023823499997</v>
      </c>
      <c r="L39" s="280">
        <v>2352.2225040529997</v>
      </c>
      <c r="M39" s="280">
        <v>3347.5157150519999</v>
      </c>
      <c r="N39" s="280">
        <v>2525.2257443030007</v>
      </c>
      <c r="O39" s="280">
        <v>3713.7935603290007</v>
      </c>
      <c r="P39" s="280">
        <v>2534.5152908519995</v>
      </c>
      <c r="Q39" s="280">
        <v>3895.7967366519997</v>
      </c>
      <c r="R39" s="280">
        <v>3582.5077650950002</v>
      </c>
      <c r="S39" s="280">
        <v>4929.9998171000007</v>
      </c>
      <c r="T39" s="280">
        <v>5883.1959926849986</v>
      </c>
      <c r="U39" s="280">
        <v>6202.4987776080989</v>
      </c>
      <c r="V39" s="280">
        <v>3325.004898189</v>
      </c>
      <c r="W39" s="280">
        <v>4398.1709957919993</v>
      </c>
    </row>
    <row r="40" spans="1:23" s="214" customFormat="1" ht="15.95" customHeight="1" x14ac:dyDescent="0.25">
      <c r="A40" s="284" t="s">
        <v>41</v>
      </c>
      <c r="B40" s="280">
        <v>3145.0531274572704</v>
      </c>
      <c r="C40" s="280">
        <v>21.896653585999999</v>
      </c>
      <c r="D40" s="280">
        <v>3.8019657970000007</v>
      </c>
      <c r="E40" s="280">
        <v>48.143801489999994</v>
      </c>
      <c r="F40" s="280">
        <v>107.83314291200001</v>
      </c>
      <c r="G40" s="280">
        <v>111.28612315100001</v>
      </c>
      <c r="H40" s="280">
        <v>805.14266253699998</v>
      </c>
      <c r="I40" s="280">
        <v>2177.8695522839998</v>
      </c>
      <c r="J40" s="280">
        <v>3286.5731934099995</v>
      </c>
      <c r="K40" s="280">
        <v>3342.2108835090007</v>
      </c>
      <c r="L40" s="280">
        <v>2802.6367205300003</v>
      </c>
      <c r="M40" s="280">
        <v>3007.6530097270006</v>
      </c>
      <c r="N40" s="280">
        <v>3878.9241674620002</v>
      </c>
      <c r="O40" s="280">
        <v>4502.9781994409987</v>
      </c>
      <c r="P40" s="280">
        <v>5022.183343079997</v>
      </c>
      <c r="Q40" s="280">
        <v>4834.4825598220004</v>
      </c>
      <c r="R40" s="280">
        <v>10323.797991358329</v>
      </c>
      <c r="S40" s="280">
        <v>10651.401410938586</v>
      </c>
      <c r="T40" s="280">
        <v>10060.026724616389</v>
      </c>
      <c r="U40" s="280">
        <v>9125.5286355159969</v>
      </c>
      <c r="V40" s="280">
        <v>3673.9678481130022</v>
      </c>
      <c r="W40" s="280">
        <v>3555.923001257001</v>
      </c>
    </row>
    <row r="41" spans="1:23" s="214" customFormat="1" ht="15.95" customHeight="1" x14ac:dyDescent="0.25">
      <c r="A41" s="286" t="s">
        <v>33</v>
      </c>
      <c r="B41" s="280">
        <v>0</v>
      </c>
      <c r="C41" s="280">
        <v>0</v>
      </c>
      <c r="D41" s="280">
        <v>85.729484000000014</v>
      </c>
      <c r="E41" s="280">
        <v>85.798930108000022</v>
      </c>
      <c r="F41" s="280">
        <v>99.137258228999997</v>
      </c>
      <c r="G41" s="280">
        <v>111.583870214</v>
      </c>
      <c r="H41" s="280">
        <v>87.295219826000007</v>
      </c>
      <c r="I41" s="280">
        <v>74.798739276000006</v>
      </c>
      <c r="J41" s="280">
        <v>62.864604899999996</v>
      </c>
      <c r="K41" s="280">
        <v>95.298906200000019</v>
      </c>
      <c r="L41" s="280">
        <v>93.699550699999989</v>
      </c>
      <c r="M41" s="280">
        <v>87.095528999999999</v>
      </c>
      <c r="N41" s="280">
        <v>73.526160375999993</v>
      </c>
      <c r="O41" s="280">
        <v>674.06867611500002</v>
      </c>
      <c r="P41" s="280">
        <v>3374.3935400400005</v>
      </c>
      <c r="Q41" s="280">
        <v>3766.4521990000003</v>
      </c>
      <c r="R41" s="280">
        <v>3357.5939769000001</v>
      </c>
      <c r="S41" s="280">
        <v>3170.5467796259995</v>
      </c>
      <c r="T41" s="280">
        <v>3340.9477401999993</v>
      </c>
      <c r="U41" s="280">
        <v>3360.3131173000006</v>
      </c>
      <c r="V41" s="280">
        <v>2669.770678765</v>
      </c>
      <c r="W41" s="280">
        <v>2277.1031739509999</v>
      </c>
    </row>
    <row r="42" spans="1:23" s="214" customFormat="1" ht="15.95" customHeight="1" x14ac:dyDescent="0.25">
      <c r="A42" s="284" t="s">
        <v>37</v>
      </c>
      <c r="B42" s="280">
        <v>366.93848155717632</v>
      </c>
      <c r="C42" s="280">
        <v>372.17649770399993</v>
      </c>
      <c r="D42" s="280">
        <v>467.8873401620001</v>
      </c>
      <c r="E42" s="280">
        <v>1620.9793756759993</v>
      </c>
      <c r="F42" s="280">
        <v>1812.8053769470002</v>
      </c>
      <c r="G42" s="280">
        <v>1582.9425068689998</v>
      </c>
      <c r="H42" s="280">
        <v>1874.2183380089998</v>
      </c>
      <c r="I42" s="280">
        <v>1539.957652519</v>
      </c>
      <c r="J42" s="280">
        <v>2104.6370198399995</v>
      </c>
      <c r="K42" s="280">
        <v>2156.5311146619997</v>
      </c>
      <c r="L42" s="280">
        <v>1401.732945688</v>
      </c>
      <c r="M42" s="280">
        <v>1505.3146369959998</v>
      </c>
      <c r="N42" s="280">
        <v>1074.0252406089999</v>
      </c>
      <c r="O42" s="280">
        <v>904.83823965799991</v>
      </c>
      <c r="P42" s="280">
        <v>1044.4725430870001</v>
      </c>
      <c r="Q42" s="280">
        <v>1091.406218865</v>
      </c>
      <c r="R42" s="280">
        <v>1251.40282727</v>
      </c>
      <c r="S42" s="280">
        <v>1845.5177284340002</v>
      </c>
      <c r="T42" s="280">
        <v>1799.2085217890001</v>
      </c>
      <c r="U42" s="280">
        <v>1913.0515489660011</v>
      </c>
      <c r="V42" s="280">
        <v>971.45144286899995</v>
      </c>
      <c r="W42" s="280">
        <v>1794.6261633619997</v>
      </c>
    </row>
    <row r="43" spans="1:23" s="214" customFormat="1" ht="15.95" customHeight="1" x14ac:dyDescent="0.25">
      <c r="A43" s="284" t="s">
        <v>46</v>
      </c>
      <c r="B43" s="280">
        <v>10604.307916721287</v>
      </c>
      <c r="C43" s="280">
        <v>16619.622183647996</v>
      </c>
      <c r="D43" s="280">
        <v>18719.265923738007</v>
      </c>
      <c r="E43" s="280">
        <v>12854.566013302998</v>
      </c>
      <c r="F43" s="280">
        <v>14788.326818703001</v>
      </c>
      <c r="G43" s="280">
        <v>16328.33453301701</v>
      </c>
      <c r="H43" s="280">
        <v>15890.849336870006</v>
      </c>
      <c r="I43" s="280">
        <v>16465.974243386998</v>
      </c>
      <c r="J43" s="280">
        <v>16784.78805879701</v>
      </c>
      <c r="K43" s="280">
        <v>17347.984294609989</v>
      </c>
      <c r="L43" s="280">
        <v>19104.842846596992</v>
      </c>
      <c r="M43" s="280">
        <v>22634.421746057003</v>
      </c>
      <c r="N43" s="280">
        <v>12271.637180818998</v>
      </c>
      <c r="O43" s="280">
        <v>16075.824308992995</v>
      </c>
      <c r="P43" s="280">
        <v>8031.7048128010028</v>
      </c>
      <c r="Q43" s="280">
        <v>12730.632477808998</v>
      </c>
      <c r="R43" s="280">
        <v>17569.474776609997</v>
      </c>
      <c r="S43" s="280">
        <v>12780.978746349001</v>
      </c>
      <c r="T43" s="280">
        <v>10166.368695385005</v>
      </c>
      <c r="U43" s="280">
        <v>7103.0857761999914</v>
      </c>
      <c r="V43" s="280">
        <v>2152.2956104089953</v>
      </c>
      <c r="W43" s="280">
        <v>1617.2676659349991</v>
      </c>
    </row>
    <row r="44" spans="1:23" s="214" customFormat="1" ht="15.95" customHeight="1" x14ac:dyDescent="0.25">
      <c r="A44" s="284" t="s">
        <v>38</v>
      </c>
      <c r="B44" s="280">
        <v>285.63437485652213</v>
      </c>
      <c r="C44" s="280">
        <v>157.86560219999993</v>
      </c>
      <c r="D44" s="280">
        <v>452.82585760000006</v>
      </c>
      <c r="E44" s="280">
        <v>259.37195699999995</v>
      </c>
      <c r="F44" s="280">
        <v>294.43030000000005</v>
      </c>
      <c r="G44" s="280">
        <v>415.24622800000003</v>
      </c>
      <c r="H44" s="280">
        <v>489.58996924000002</v>
      </c>
      <c r="I44" s="280">
        <v>537.42759649999994</v>
      </c>
      <c r="J44" s="280">
        <v>670.24614596000004</v>
      </c>
      <c r="K44" s="280">
        <v>580.40994799999999</v>
      </c>
      <c r="L44" s="280">
        <v>571.69183729999997</v>
      </c>
      <c r="M44" s="280">
        <v>763.53872684800001</v>
      </c>
      <c r="N44" s="280">
        <v>1362.5333268479999</v>
      </c>
      <c r="O44" s="280">
        <v>1297.3468490129999</v>
      </c>
      <c r="P44" s="280">
        <v>487.18439586300008</v>
      </c>
      <c r="Q44" s="280">
        <v>433.383505399</v>
      </c>
      <c r="R44" s="280">
        <v>453.35530662299993</v>
      </c>
      <c r="S44" s="280">
        <v>516.73811576599996</v>
      </c>
      <c r="T44" s="280">
        <v>654.30813258000001</v>
      </c>
      <c r="U44" s="280">
        <v>534.15706414819988</v>
      </c>
      <c r="V44" s="280">
        <v>1162.3205564509999</v>
      </c>
      <c r="W44" s="280">
        <v>1265.3975067640004</v>
      </c>
    </row>
    <row r="45" spans="1:23" s="214" customFormat="1" ht="15.95" customHeight="1" x14ac:dyDescent="0.25">
      <c r="A45" s="285" t="s">
        <v>47</v>
      </c>
      <c r="B45" s="280">
        <v>679.27489145651157</v>
      </c>
      <c r="C45" s="280">
        <v>121.41400815299997</v>
      </c>
      <c r="D45" s="280">
        <v>353.21634066300004</v>
      </c>
      <c r="E45" s="280">
        <v>134.30033399999999</v>
      </c>
      <c r="F45" s="280">
        <v>1308.3259885960001</v>
      </c>
      <c r="G45" s="280">
        <v>1389.3016056289998</v>
      </c>
      <c r="H45" s="280">
        <v>1123.9625890900002</v>
      </c>
      <c r="I45" s="280">
        <v>937.97716421999996</v>
      </c>
      <c r="J45" s="280">
        <v>371.77426426</v>
      </c>
      <c r="K45" s="280">
        <v>94.544468699999982</v>
      </c>
      <c r="L45" s="280">
        <v>0</v>
      </c>
      <c r="M45" s="280">
        <v>0</v>
      </c>
      <c r="N45" s="280">
        <v>0</v>
      </c>
      <c r="O45" s="280">
        <v>0</v>
      </c>
      <c r="P45" s="280">
        <v>0.732809775</v>
      </c>
      <c r="Q45" s="280">
        <v>2299.2867316190004</v>
      </c>
      <c r="R45" s="280">
        <v>2647.5098038489996</v>
      </c>
      <c r="S45" s="280">
        <v>2830.0585162409998</v>
      </c>
      <c r="T45" s="280">
        <v>2606.3465020190001</v>
      </c>
      <c r="U45" s="280">
        <v>1424.5295541600001</v>
      </c>
      <c r="V45" s="280">
        <v>1572.9349304960006</v>
      </c>
      <c r="W45" s="280">
        <v>888.63782487500009</v>
      </c>
    </row>
    <row r="46" spans="1:23" s="214" customFormat="1" ht="15.95" customHeight="1" x14ac:dyDescent="0.25">
      <c r="A46" s="285" t="s">
        <v>30</v>
      </c>
      <c r="B46" s="280">
        <v>25424.389366075702</v>
      </c>
      <c r="C46" s="280">
        <v>28560.600525149996</v>
      </c>
      <c r="D46" s="280">
        <v>28126.161196374997</v>
      </c>
      <c r="E46" s="280">
        <v>28511.528392673998</v>
      </c>
      <c r="F46" s="280">
        <v>20224.916166103998</v>
      </c>
      <c r="G46" s="280">
        <v>19608.800869838</v>
      </c>
      <c r="H46" s="280">
        <v>15911.978540231003</v>
      </c>
      <c r="I46" s="280">
        <v>16250.713364823001</v>
      </c>
      <c r="J46" s="280">
        <v>12565.788572524001</v>
      </c>
      <c r="K46" s="280">
        <v>8588.5891519399993</v>
      </c>
      <c r="L46" s="280">
        <v>6147.419681723999</v>
      </c>
      <c r="M46" s="280">
        <v>4908.2109565529991</v>
      </c>
      <c r="N46" s="280">
        <v>3525.5522182049999</v>
      </c>
      <c r="O46" s="280">
        <v>3013.9189207080003</v>
      </c>
      <c r="P46" s="280">
        <v>552.08948465600008</v>
      </c>
      <c r="Q46" s="280">
        <v>2331.4585649449996</v>
      </c>
      <c r="R46" s="280">
        <v>2966.640479177001</v>
      </c>
      <c r="S46" s="280">
        <v>3823.2864994219999</v>
      </c>
      <c r="T46" s="280">
        <v>2806.7819439669997</v>
      </c>
      <c r="U46" s="280">
        <v>2182.2262817869992</v>
      </c>
      <c r="V46" s="280">
        <v>806.70199445000014</v>
      </c>
      <c r="W46" s="280">
        <v>853.41660293999996</v>
      </c>
    </row>
    <row r="47" spans="1:23" s="214" customFormat="1" ht="15.95" customHeight="1" x14ac:dyDescent="0.25">
      <c r="A47" s="284" t="s">
        <v>40</v>
      </c>
      <c r="B47" s="280">
        <v>249.81832785279991</v>
      </c>
      <c r="C47" s="280">
        <v>634.11854745099981</v>
      </c>
      <c r="D47" s="280">
        <v>1961.5587281119999</v>
      </c>
      <c r="E47" s="280">
        <v>2675.5082478799986</v>
      </c>
      <c r="F47" s="280">
        <v>2770.7162667239995</v>
      </c>
      <c r="G47" s="280">
        <v>3199.4154818390002</v>
      </c>
      <c r="H47" s="280">
        <v>3376.76879134</v>
      </c>
      <c r="I47" s="280">
        <v>2389.5259074740002</v>
      </c>
      <c r="J47" s="280">
        <v>1557.6756113239999</v>
      </c>
      <c r="K47" s="280">
        <v>1208.2727556680002</v>
      </c>
      <c r="L47" s="280">
        <v>1359.2385190680002</v>
      </c>
      <c r="M47" s="280">
        <v>1186.531879806</v>
      </c>
      <c r="N47" s="280">
        <v>466.39794568199994</v>
      </c>
      <c r="O47" s="280">
        <v>208.31955756300002</v>
      </c>
      <c r="P47" s="280">
        <v>115.17219319699997</v>
      </c>
      <c r="Q47" s="280">
        <v>44.885280565999992</v>
      </c>
      <c r="R47" s="280">
        <v>50.204347292000001</v>
      </c>
      <c r="S47" s="280">
        <v>256.54405491999995</v>
      </c>
      <c r="T47" s="280">
        <v>404.43189340600003</v>
      </c>
      <c r="U47" s="280">
        <v>913.633754071</v>
      </c>
      <c r="V47" s="280">
        <v>354.30919797700011</v>
      </c>
      <c r="W47" s="280">
        <v>453.96703027400002</v>
      </c>
    </row>
    <row r="48" spans="1:23" s="214" customFormat="1" ht="15.95" customHeight="1" x14ac:dyDescent="0.25">
      <c r="A48" s="284" t="s">
        <v>36</v>
      </c>
      <c r="B48" s="280">
        <v>552.00072442636463</v>
      </c>
      <c r="C48" s="280">
        <v>0</v>
      </c>
      <c r="D48" s="280">
        <v>0</v>
      </c>
      <c r="E48" s="280">
        <v>0</v>
      </c>
      <c r="F48" s="280">
        <v>0</v>
      </c>
      <c r="G48" s="280">
        <v>0</v>
      </c>
      <c r="H48" s="280">
        <v>0</v>
      </c>
      <c r="I48" s="280">
        <v>0</v>
      </c>
      <c r="J48" s="280">
        <v>0</v>
      </c>
      <c r="K48" s="280">
        <v>1.1905315000000001</v>
      </c>
      <c r="L48" s="280">
        <v>1.6968039999999998</v>
      </c>
      <c r="M48" s="280">
        <v>2.6066062999999997</v>
      </c>
      <c r="N48" s="280">
        <v>12.101677130000001</v>
      </c>
      <c r="O48" s="280">
        <v>209.02044821399997</v>
      </c>
      <c r="P48" s="280">
        <v>243.42469326400004</v>
      </c>
      <c r="Q48" s="280">
        <v>291.98592303499998</v>
      </c>
      <c r="R48" s="280">
        <v>248.18455285099998</v>
      </c>
      <c r="S48" s="280">
        <v>147.92787832799999</v>
      </c>
      <c r="T48" s="280">
        <v>199.58024948200003</v>
      </c>
      <c r="U48" s="280">
        <v>267.82905852500005</v>
      </c>
      <c r="V48" s="280">
        <v>288.35617508500002</v>
      </c>
      <c r="W48" s="280">
        <v>437.08234292299994</v>
      </c>
    </row>
    <row r="49" spans="1:23" s="214" customFormat="1" ht="15.95" customHeight="1" x14ac:dyDescent="0.25">
      <c r="A49" s="284" t="s">
        <v>35</v>
      </c>
      <c r="B49" s="280">
        <v>213.71628047374082</v>
      </c>
      <c r="C49" s="280">
        <v>0</v>
      </c>
      <c r="D49" s="280">
        <v>1751.0533091390005</v>
      </c>
      <c r="E49" s="280">
        <v>3351.0049950219986</v>
      </c>
      <c r="F49" s="280">
        <v>4103.4210216580004</v>
      </c>
      <c r="G49" s="280">
        <v>6562.8657975829992</v>
      </c>
      <c r="H49" s="280">
        <v>5906.6570817900001</v>
      </c>
      <c r="I49" s="280">
        <v>5274.7013270999996</v>
      </c>
      <c r="J49" s="280">
        <v>4758.0481485</v>
      </c>
      <c r="K49" s="280">
        <v>5474.4975724319993</v>
      </c>
      <c r="L49" s="280">
        <v>6627.1580497759996</v>
      </c>
      <c r="M49" s="280">
        <v>6343.5182780260002</v>
      </c>
      <c r="N49" s="280">
        <v>5690.9095512109998</v>
      </c>
      <c r="O49" s="280">
        <v>5079.0978781060003</v>
      </c>
      <c r="P49" s="280">
        <v>3561.1804048190002</v>
      </c>
      <c r="Q49" s="280">
        <v>1591.1869436310001</v>
      </c>
      <c r="R49" s="280">
        <v>904.96468110800004</v>
      </c>
      <c r="S49" s="280">
        <v>618.73685533699995</v>
      </c>
      <c r="T49" s="280">
        <v>461.81767153300007</v>
      </c>
      <c r="U49" s="280">
        <v>376.23163566599999</v>
      </c>
      <c r="V49" s="280">
        <v>176.70983744400002</v>
      </c>
      <c r="W49" s="280">
        <v>143.44535241600002</v>
      </c>
    </row>
    <row r="50" spans="1:23" s="214" customFormat="1" ht="15.95" customHeight="1" x14ac:dyDescent="0.25">
      <c r="A50" s="284" t="s">
        <v>48</v>
      </c>
      <c r="B50" s="280">
        <v>0</v>
      </c>
      <c r="C50" s="280">
        <v>0</v>
      </c>
      <c r="D50" s="280">
        <v>0</v>
      </c>
      <c r="E50" s="280">
        <v>0</v>
      </c>
      <c r="F50" s="280">
        <v>0</v>
      </c>
      <c r="G50" s="280">
        <v>0</v>
      </c>
      <c r="H50" s="280">
        <v>0</v>
      </c>
      <c r="I50" s="280">
        <v>0</v>
      </c>
      <c r="J50" s="280">
        <v>0</v>
      </c>
      <c r="K50" s="280">
        <v>0</v>
      </c>
      <c r="L50" s="280">
        <v>0</v>
      </c>
      <c r="M50" s="280">
        <v>0</v>
      </c>
      <c r="N50" s="280">
        <v>0</v>
      </c>
      <c r="O50" s="280">
        <v>0</v>
      </c>
      <c r="P50" s="280">
        <v>0</v>
      </c>
      <c r="Q50" s="280">
        <v>0</v>
      </c>
      <c r="R50" s="280">
        <v>732.0148040393052</v>
      </c>
      <c r="S50" s="280">
        <v>275.45553692771546</v>
      </c>
      <c r="T50" s="280">
        <v>781.3262407882537</v>
      </c>
      <c r="U50" s="280">
        <v>862.24123205000012</v>
      </c>
      <c r="V50" s="280">
        <v>82.905176999999995</v>
      </c>
      <c r="W50" s="280">
        <v>107.35076092</v>
      </c>
    </row>
    <row r="51" spans="1:23" s="214" customFormat="1" ht="15.95" customHeight="1" x14ac:dyDescent="0.25">
      <c r="A51" s="285" t="s">
        <v>34</v>
      </c>
      <c r="B51" s="280">
        <v>0</v>
      </c>
      <c r="C51" s="280">
        <v>2.5182959999999994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1568.135128222</v>
      </c>
      <c r="K51" s="280">
        <v>1055.401784057</v>
      </c>
      <c r="L51" s="280">
        <v>1033.872304324</v>
      </c>
      <c r="M51" s="280">
        <v>1046.5289445380001</v>
      </c>
      <c r="N51" s="280">
        <v>1.1999999999999999E-6</v>
      </c>
      <c r="O51" s="280">
        <v>0</v>
      </c>
      <c r="P51" s="280">
        <v>733.81556576999992</v>
      </c>
      <c r="Q51" s="280">
        <v>744.72773237000001</v>
      </c>
      <c r="R51" s="280">
        <v>729.32793197199999</v>
      </c>
      <c r="S51" s="280">
        <v>763.58963563599991</v>
      </c>
      <c r="T51" s="280">
        <v>715.22997493499986</v>
      </c>
      <c r="U51" s="280">
        <v>714.60365574000002</v>
      </c>
      <c r="V51" s="280">
        <v>0</v>
      </c>
      <c r="W51" s="280">
        <v>0</v>
      </c>
    </row>
    <row r="52" spans="1:23" s="214" customFormat="1" ht="15.95" customHeight="1" x14ac:dyDescent="0.25">
      <c r="A52" s="284" t="s">
        <v>283</v>
      </c>
      <c r="B52" s="280">
        <v>0</v>
      </c>
      <c r="C52" s="280">
        <v>0</v>
      </c>
      <c r="D52" s="280">
        <v>0</v>
      </c>
      <c r="E52" s="280">
        <v>0</v>
      </c>
      <c r="F52" s="280">
        <v>0</v>
      </c>
      <c r="G52" s="280">
        <v>0</v>
      </c>
      <c r="H52" s="280">
        <v>0</v>
      </c>
      <c r="I52" s="280">
        <v>0</v>
      </c>
      <c r="J52" s="280">
        <v>0</v>
      </c>
      <c r="K52" s="280">
        <v>0</v>
      </c>
      <c r="L52" s="280">
        <v>0</v>
      </c>
      <c r="M52" s="280">
        <v>0</v>
      </c>
      <c r="N52" s="280">
        <v>0</v>
      </c>
      <c r="O52" s="280">
        <v>0</v>
      </c>
      <c r="P52" s="280">
        <v>0</v>
      </c>
      <c r="Q52" s="280">
        <v>0</v>
      </c>
      <c r="R52" s="280">
        <v>0</v>
      </c>
      <c r="S52" s="280">
        <v>0</v>
      </c>
      <c r="T52" s="280">
        <v>0</v>
      </c>
      <c r="U52" s="280">
        <v>0</v>
      </c>
      <c r="V52" s="280">
        <v>0</v>
      </c>
      <c r="W52" s="280">
        <v>0</v>
      </c>
    </row>
    <row r="53" spans="1:23" s="214" customFormat="1" ht="3" customHeight="1" x14ac:dyDescent="0.25">
      <c r="A53" s="287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</row>
    <row r="54" spans="1:23" s="75" customFormat="1" ht="12" customHeight="1" x14ac:dyDescent="0.25">
      <c r="A54" s="266" t="s">
        <v>453</v>
      </c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</row>
    <row r="55" spans="1:23" s="77" customFormat="1" ht="12" customHeight="1" x14ac:dyDescent="0.25">
      <c r="A55" s="73" t="s">
        <v>370</v>
      </c>
    </row>
  </sheetData>
  <sortState ref="A9:V24">
    <sortCondition ref="A9:A24"/>
  </sortState>
  <mergeCells count="4">
    <mergeCell ref="A3:V3"/>
    <mergeCell ref="A4:V4"/>
    <mergeCell ref="A29:V29"/>
    <mergeCell ref="A30:V30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CC"/>
  </sheetPr>
  <dimension ref="A1:W49"/>
  <sheetViews>
    <sheetView showGridLines="0" zoomScaleNormal="100" workbookViewId="0">
      <selection activeCell="O3" sqref="O1:O1048576"/>
    </sheetView>
  </sheetViews>
  <sheetFormatPr baseColWidth="10" defaultColWidth="9.7109375" defaultRowHeight="12.75" customHeight="1" x14ac:dyDescent="0.25"/>
  <cols>
    <col min="1" max="1" width="14.7109375" style="58" customWidth="1"/>
    <col min="2" max="14" width="6.7109375" style="55" hidden="1" customWidth="1"/>
    <col min="15" max="23" width="12.140625" style="55" customWidth="1"/>
    <col min="24" max="16384" width="9.7109375" style="55"/>
  </cols>
  <sheetData>
    <row r="1" spans="1:23" ht="12.75" customHeight="1" x14ac:dyDescent="0.25">
      <c r="A1" s="677" t="s">
        <v>402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</row>
    <row r="2" spans="1:23" ht="12.75" customHeight="1" x14ac:dyDescent="0.25">
      <c r="A2" s="680" t="s">
        <v>49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680"/>
      <c r="U2" s="680"/>
      <c r="V2" s="680"/>
    </row>
    <row r="3" spans="1:23" s="54" customFormat="1" ht="12.75" customHeight="1" x14ac:dyDescent="0.25">
      <c r="A3" s="78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78"/>
    </row>
    <row r="4" spans="1:23" s="211" customFormat="1" ht="20.100000000000001" customHeight="1" x14ac:dyDescent="0.25">
      <c r="A4" s="257" t="s">
        <v>27</v>
      </c>
      <c r="B4" s="258">
        <v>2000</v>
      </c>
      <c r="C4" s="258">
        <v>2001</v>
      </c>
      <c r="D4" s="258">
        <v>2002</v>
      </c>
      <c r="E4" s="258">
        <v>2003</v>
      </c>
      <c r="F4" s="258">
        <v>2004</v>
      </c>
      <c r="G4" s="258">
        <v>2005</v>
      </c>
      <c r="H4" s="258">
        <v>2006</v>
      </c>
      <c r="I4" s="258">
        <v>2007</v>
      </c>
      <c r="J4" s="258">
        <v>2008</v>
      </c>
      <c r="K4" s="258">
        <v>2009</v>
      </c>
      <c r="L4" s="258">
        <v>2010</v>
      </c>
      <c r="M4" s="258">
        <v>2011</v>
      </c>
      <c r="N4" s="258">
        <v>2012</v>
      </c>
      <c r="O4" s="258">
        <v>2013</v>
      </c>
      <c r="P4" s="258">
        <v>2014</v>
      </c>
      <c r="Q4" s="258">
        <v>2015</v>
      </c>
      <c r="R4" s="258">
        <v>2016</v>
      </c>
      <c r="S4" s="258">
        <v>2017</v>
      </c>
      <c r="T4" s="258">
        <v>2018</v>
      </c>
      <c r="U4" s="258">
        <v>2019</v>
      </c>
      <c r="V4" s="258">
        <v>2020</v>
      </c>
      <c r="W4" s="258" t="s">
        <v>401</v>
      </c>
    </row>
    <row r="5" spans="1:23" s="211" customFormat="1" ht="3.2" customHeight="1" x14ac:dyDescent="0.25">
      <c r="A5" s="282"/>
      <c r="B5" s="292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</row>
    <row r="6" spans="1:23" s="211" customFormat="1" ht="15.95" customHeight="1" x14ac:dyDescent="0.25">
      <c r="A6" s="275" t="s">
        <v>28</v>
      </c>
      <c r="B6" s="289">
        <f t="shared" ref="B6:W6" si="0">SUM(B7:B19)</f>
        <v>910303</v>
      </c>
      <c r="C6" s="289">
        <f t="shared" si="0"/>
        <v>1056629.375614</v>
      </c>
      <c r="D6" s="289">
        <f t="shared" si="0"/>
        <v>1232996.9204689998</v>
      </c>
      <c r="E6" s="289">
        <f t="shared" si="0"/>
        <v>1373792.2671210002</v>
      </c>
      <c r="F6" s="289">
        <f t="shared" si="0"/>
        <v>1209005.7091610001</v>
      </c>
      <c r="G6" s="289">
        <f t="shared" si="0"/>
        <v>1201670.9152230003</v>
      </c>
      <c r="H6" s="289">
        <f t="shared" si="0"/>
        <v>1203364.0679979997</v>
      </c>
      <c r="I6" s="289">
        <f t="shared" si="0"/>
        <v>1444361.4378259999</v>
      </c>
      <c r="J6" s="289">
        <f t="shared" si="0"/>
        <v>1602597.0080210003</v>
      </c>
      <c r="K6" s="289">
        <f t="shared" si="0"/>
        <v>1512931.0674320001</v>
      </c>
      <c r="L6" s="289">
        <f t="shared" si="0"/>
        <v>1470449.7064990001</v>
      </c>
      <c r="M6" s="289">
        <f t="shared" si="0"/>
        <v>1256382.6002110001</v>
      </c>
      <c r="N6" s="289">
        <f t="shared" si="0"/>
        <v>1281282.4314850003</v>
      </c>
      <c r="O6" s="289">
        <f t="shared" si="0"/>
        <v>1351273.497128</v>
      </c>
      <c r="P6" s="289">
        <f t="shared" si="0"/>
        <v>1315474.5571109999</v>
      </c>
      <c r="Q6" s="289">
        <f t="shared" si="0"/>
        <v>1421217.9398519997</v>
      </c>
      <c r="R6" s="289">
        <f t="shared" si="0"/>
        <v>1337081.4908789999</v>
      </c>
      <c r="S6" s="289">
        <f t="shared" si="0"/>
        <v>1473072.7682369999</v>
      </c>
      <c r="T6" s="289">
        <f t="shared" si="0"/>
        <v>1474383.128054</v>
      </c>
      <c r="U6" s="289">
        <f t="shared" si="0"/>
        <v>1404381.5470066713</v>
      </c>
      <c r="V6" s="289">
        <f t="shared" si="0"/>
        <v>1334570.477772</v>
      </c>
      <c r="W6" s="289">
        <f t="shared" si="0"/>
        <v>1532173.3973950001</v>
      </c>
    </row>
    <row r="7" spans="1:23" s="211" customFormat="1" ht="15.95" customHeight="1" x14ac:dyDescent="0.3">
      <c r="A7" s="293" t="s">
        <v>30</v>
      </c>
      <c r="B7" s="54">
        <v>61045</v>
      </c>
      <c r="C7" s="54">
        <v>133188.739363</v>
      </c>
      <c r="D7" s="54">
        <v>328169.93054100004</v>
      </c>
      <c r="E7" s="269">
        <v>465748.13385300006</v>
      </c>
      <c r="F7" s="269">
        <v>283048.55992799997</v>
      </c>
      <c r="G7" s="270">
        <v>277221.69871500001</v>
      </c>
      <c r="H7" s="270">
        <v>249196.20861099995</v>
      </c>
      <c r="I7" s="270">
        <v>391299.13607900002</v>
      </c>
      <c r="J7" s="270">
        <v>460367.20389700006</v>
      </c>
      <c r="K7" s="270">
        <v>557012.9363820001</v>
      </c>
      <c r="L7" s="270">
        <v>483198.48579799995</v>
      </c>
      <c r="M7" s="270">
        <v>325278.25747700001</v>
      </c>
      <c r="N7" s="270">
        <v>330956.98845100007</v>
      </c>
      <c r="O7" s="270">
        <v>378977.85730200011</v>
      </c>
      <c r="P7" s="270">
        <v>315923.1873419999</v>
      </c>
      <c r="Q7" s="270">
        <v>345881.99285099987</v>
      </c>
      <c r="R7" s="270">
        <v>308783.33643700002</v>
      </c>
      <c r="S7" s="270">
        <v>497670.469866</v>
      </c>
      <c r="T7" s="270">
        <v>534665.72080800007</v>
      </c>
      <c r="U7" s="270">
        <v>423478.52761524013</v>
      </c>
      <c r="V7" s="270">
        <v>530872.67501399992</v>
      </c>
      <c r="W7" s="270">
        <v>579624.41638500011</v>
      </c>
    </row>
    <row r="8" spans="1:23" s="211" customFormat="1" ht="15.95" customHeight="1" x14ac:dyDescent="0.3">
      <c r="A8" s="293" t="s">
        <v>29</v>
      </c>
      <c r="B8" s="54">
        <v>711</v>
      </c>
      <c r="C8" s="54">
        <v>827.26107999999999</v>
      </c>
      <c r="D8" s="54">
        <v>681.74258299999985</v>
      </c>
      <c r="E8" s="269">
        <v>675.77111599999989</v>
      </c>
      <c r="F8" s="269">
        <v>553.08429100000001</v>
      </c>
      <c r="G8" s="270">
        <v>811.03716800000007</v>
      </c>
      <c r="H8" s="270">
        <v>1703.3793250000001</v>
      </c>
      <c r="I8" s="270">
        <v>8008.4490059999998</v>
      </c>
      <c r="J8" s="270">
        <v>12871.927072</v>
      </c>
      <c r="K8" s="270">
        <v>17233.660146000002</v>
      </c>
      <c r="L8" s="270">
        <v>15700.976477000002</v>
      </c>
      <c r="M8" s="270">
        <v>12858.616667999999</v>
      </c>
      <c r="N8" s="270">
        <v>12883.879600999999</v>
      </c>
      <c r="O8" s="270">
        <v>16608.184596999999</v>
      </c>
      <c r="P8" s="270">
        <v>15640.650547999998</v>
      </c>
      <c r="Q8" s="270">
        <v>21517.140109000004</v>
      </c>
      <c r="R8" s="270">
        <v>25963.181546</v>
      </c>
      <c r="S8" s="270">
        <v>29869.242367000003</v>
      </c>
      <c r="T8" s="270">
        <v>36767.767568000003</v>
      </c>
      <c r="U8" s="270">
        <v>38096.213858299998</v>
      </c>
      <c r="V8" s="270">
        <v>27837.530034000003</v>
      </c>
      <c r="W8" s="270">
        <v>38288.723062000005</v>
      </c>
    </row>
    <row r="9" spans="1:23" s="211" customFormat="1" ht="15.95" customHeight="1" x14ac:dyDescent="0.3">
      <c r="A9" s="293" t="s">
        <v>43</v>
      </c>
      <c r="B9" s="54">
        <v>4938</v>
      </c>
      <c r="C9" s="54">
        <v>8506.0563000000002</v>
      </c>
      <c r="D9" s="54">
        <v>6704.5027</v>
      </c>
      <c r="E9" s="269">
        <v>7101.2784000000011</v>
      </c>
      <c r="F9" s="269">
        <v>9360.4634999999998</v>
      </c>
      <c r="G9" s="270">
        <v>10412.815384</v>
      </c>
      <c r="H9" s="270">
        <v>15528.608564</v>
      </c>
      <c r="I9" s="270">
        <v>20309.265576999998</v>
      </c>
      <c r="J9" s="270">
        <v>21492.938180000001</v>
      </c>
      <c r="K9" s="270">
        <v>24764.007209999996</v>
      </c>
      <c r="L9" s="270">
        <v>24613.381139000001</v>
      </c>
      <c r="M9" s="270">
        <v>22072.792429000001</v>
      </c>
      <c r="N9" s="270">
        <v>38669.826254</v>
      </c>
      <c r="O9" s="270">
        <v>42732.340587999992</v>
      </c>
      <c r="P9" s="270">
        <v>46707.709672000005</v>
      </c>
      <c r="Q9" s="270">
        <v>48383.003298999989</v>
      </c>
      <c r="R9" s="270">
        <v>47005.733364999993</v>
      </c>
      <c r="S9" s="270">
        <v>46908.40090600001</v>
      </c>
      <c r="T9" s="270">
        <v>36711.672091000015</v>
      </c>
      <c r="U9" s="270">
        <v>52103.932426470012</v>
      </c>
      <c r="V9" s="270">
        <v>45403.330862000003</v>
      </c>
      <c r="W9" s="270">
        <v>58994.266661000009</v>
      </c>
    </row>
    <row r="10" spans="1:23" s="211" customFormat="1" ht="15.95" customHeight="1" x14ac:dyDescent="0.3">
      <c r="A10" s="293" t="s">
        <v>39</v>
      </c>
      <c r="B10" s="54">
        <v>15224</v>
      </c>
      <c r="C10" s="54">
        <v>16562.576644000001</v>
      </c>
      <c r="D10" s="54">
        <v>14705.935323000002</v>
      </c>
      <c r="E10" s="269">
        <v>4885.8459899999998</v>
      </c>
      <c r="F10" s="270">
        <v>0</v>
      </c>
      <c r="G10" s="270">
        <v>0</v>
      </c>
      <c r="H10" s="270">
        <v>0</v>
      </c>
      <c r="I10" s="270">
        <v>0</v>
      </c>
      <c r="J10" s="270">
        <v>0</v>
      </c>
      <c r="K10" s="270">
        <v>0</v>
      </c>
      <c r="L10" s="270">
        <v>0</v>
      </c>
      <c r="M10" s="54" t="s">
        <v>31</v>
      </c>
      <c r="N10" s="270">
        <v>0</v>
      </c>
      <c r="O10" s="270">
        <v>0</v>
      </c>
      <c r="P10" s="270">
        <v>0</v>
      </c>
      <c r="Q10" s="270">
        <v>0</v>
      </c>
      <c r="R10" s="270">
        <v>0</v>
      </c>
      <c r="S10" s="270">
        <v>0</v>
      </c>
      <c r="T10" s="270">
        <v>0</v>
      </c>
      <c r="U10" s="270">
        <v>0</v>
      </c>
      <c r="V10" s="270">
        <v>0</v>
      </c>
      <c r="W10" s="270">
        <v>0</v>
      </c>
    </row>
    <row r="11" spans="1:23" s="211" customFormat="1" ht="15.95" customHeight="1" x14ac:dyDescent="0.3">
      <c r="A11" s="293" t="s">
        <v>32</v>
      </c>
      <c r="B11" s="270">
        <v>0</v>
      </c>
      <c r="C11" s="270">
        <v>0</v>
      </c>
      <c r="D11" s="270">
        <v>0</v>
      </c>
      <c r="E11" s="270">
        <v>0</v>
      </c>
      <c r="F11" s="270">
        <v>0</v>
      </c>
      <c r="G11" s="270"/>
      <c r="H11" s="270"/>
      <c r="I11" s="270"/>
      <c r="J11" s="270"/>
      <c r="K11" s="270"/>
      <c r="L11" s="270"/>
      <c r="M11" s="270">
        <v>1.35148</v>
      </c>
      <c r="N11" s="270">
        <v>9.1391570000000009</v>
      </c>
      <c r="O11" s="270">
        <v>244.486243</v>
      </c>
      <c r="P11" s="270">
        <v>253.53405900000001</v>
      </c>
      <c r="Q11" s="270">
        <v>1488.1517159999999</v>
      </c>
      <c r="R11" s="270">
        <v>11.225142</v>
      </c>
      <c r="S11" s="270">
        <v>11.606559000000001</v>
      </c>
      <c r="T11" s="270">
        <v>1857.431961</v>
      </c>
      <c r="U11" s="270">
        <v>1814.6985408309999</v>
      </c>
      <c r="V11" s="270">
        <v>5986.0750800000005</v>
      </c>
      <c r="W11" s="270">
        <v>5175.8910040000001</v>
      </c>
    </row>
    <row r="12" spans="1:23" s="211" customFormat="1" ht="15.95" customHeight="1" x14ac:dyDescent="0.3">
      <c r="A12" s="293" t="s">
        <v>40</v>
      </c>
      <c r="B12" s="54">
        <v>9822</v>
      </c>
      <c r="C12" s="54">
        <v>8008.4370090000002</v>
      </c>
      <c r="D12" s="54">
        <v>7070.0972280000005</v>
      </c>
      <c r="E12" s="269">
        <v>7398.7375009999996</v>
      </c>
      <c r="F12" s="269">
        <v>9786.5051759999988</v>
      </c>
      <c r="G12" s="270">
        <v>9232.4282440000025</v>
      </c>
      <c r="H12" s="270">
        <v>13086.071586000002</v>
      </c>
      <c r="I12" s="270">
        <v>11351.988305999999</v>
      </c>
      <c r="J12" s="270">
        <v>13738.046893999999</v>
      </c>
      <c r="K12" s="270">
        <v>14295.378319000001</v>
      </c>
      <c r="L12" s="270">
        <v>8475.7045909999997</v>
      </c>
      <c r="M12" s="270">
        <v>5137.1995560000005</v>
      </c>
      <c r="N12" s="270">
        <v>6274.4436530000003</v>
      </c>
      <c r="O12" s="270">
        <v>10322.687499</v>
      </c>
      <c r="P12" s="270">
        <v>15742.061326999998</v>
      </c>
      <c r="Q12" s="270">
        <v>14280.831765999999</v>
      </c>
      <c r="R12" s="270">
        <v>10800.535329000002</v>
      </c>
      <c r="S12" s="270">
        <v>9781.3954090000007</v>
      </c>
      <c r="T12" s="270">
        <v>13359.257364000001</v>
      </c>
      <c r="U12" s="270">
        <v>10152.400517599999</v>
      </c>
      <c r="V12" s="270">
        <v>13847.442166000001</v>
      </c>
      <c r="W12" s="270">
        <v>15494.152763</v>
      </c>
    </row>
    <row r="13" spans="1:23" s="211" customFormat="1" ht="15.95" customHeight="1" x14ac:dyDescent="0.3">
      <c r="A13" s="293" t="s">
        <v>42</v>
      </c>
      <c r="B13" s="54">
        <v>33480</v>
      </c>
      <c r="C13" s="54">
        <v>34972.896690000001</v>
      </c>
      <c r="D13" s="54">
        <v>11595.8647</v>
      </c>
      <c r="E13" s="269">
        <v>23444.279610000001</v>
      </c>
      <c r="F13" s="269">
        <v>21460.648657000002</v>
      </c>
      <c r="G13" s="270">
        <v>22337.454364999998</v>
      </c>
      <c r="H13" s="270">
        <v>21745.187449000001</v>
      </c>
      <c r="I13" s="270">
        <v>21266.143394999999</v>
      </c>
      <c r="J13" s="270">
        <v>24037.572257</v>
      </c>
      <c r="K13" s="270">
        <v>18658.501532999999</v>
      </c>
      <c r="L13" s="270">
        <v>22770.286364</v>
      </c>
      <c r="M13" s="270">
        <v>20594.471263999996</v>
      </c>
      <c r="N13" s="270">
        <v>20767.337598999999</v>
      </c>
      <c r="O13" s="270">
        <v>23870.304619999999</v>
      </c>
      <c r="P13" s="270">
        <v>24005.938671999997</v>
      </c>
      <c r="Q13" s="270">
        <v>33822.72092</v>
      </c>
      <c r="R13" s="270">
        <v>43105.757449999997</v>
      </c>
      <c r="S13" s="270">
        <v>54089.145560000004</v>
      </c>
      <c r="T13" s="270">
        <v>47439.707160999998</v>
      </c>
      <c r="U13" s="270">
        <v>42940.770647600002</v>
      </c>
      <c r="V13" s="270">
        <v>9247.6492520000011</v>
      </c>
      <c r="W13" s="270">
        <v>0</v>
      </c>
    </row>
    <row r="14" spans="1:23" s="211" customFormat="1" ht="15.95" customHeight="1" x14ac:dyDescent="0.3">
      <c r="A14" s="293" t="s">
        <v>36</v>
      </c>
      <c r="B14" s="270">
        <v>0</v>
      </c>
      <c r="C14" s="270">
        <v>0</v>
      </c>
      <c r="D14" s="270">
        <v>0</v>
      </c>
      <c r="E14" s="270">
        <v>0</v>
      </c>
      <c r="F14" s="270">
        <v>0</v>
      </c>
      <c r="G14" s="270"/>
      <c r="H14" s="270"/>
      <c r="I14" s="270">
        <v>23850.600502999998</v>
      </c>
      <c r="J14" s="270">
        <v>78271.649516999998</v>
      </c>
      <c r="K14" s="270">
        <v>81378.670339000004</v>
      </c>
      <c r="L14" s="270">
        <v>77310.981784999996</v>
      </c>
      <c r="M14" s="270">
        <v>96156.637574999986</v>
      </c>
      <c r="N14" s="270">
        <v>114037.53564</v>
      </c>
      <c r="O14" s="270">
        <v>161740.39580000003</v>
      </c>
      <c r="P14" s="270">
        <v>174255.436889</v>
      </c>
      <c r="Q14" s="270">
        <v>184176.29011199999</v>
      </c>
      <c r="R14" s="270">
        <v>181054.149378</v>
      </c>
      <c r="S14" s="270">
        <v>163215.28177599999</v>
      </c>
      <c r="T14" s="270">
        <v>138435.196658</v>
      </c>
      <c r="U14" s="270">
        <v>152952.62827900003</v>
      </c>
      <c r="V14" s="270">
        <v>132473.308605</v>
      </c>
      <c r="W14" s="270">
        <v>157591.13480200002</v>
      </c>
    </row>
    <row r="15" spans="1:23" s="211" customFormat="1" ht="15.95" customHeight="1" x14ac:dyDescent="0.3">
      <c r="A15" s="293" t="s">
        <v>34</v>
      </c>
      <c r="B15" s="54">
        <v>202005</v>
      </c>
      <c r="C15" s="54">
        <v>209581.12620299999</v>
      </c>
      <c r="D15" s="54">
        <v>172497.54535100001</v>
      </c>
      <c r="E15" s="269">
        <v>160859.98221799999</v>
      </c>
      <c r="F15" s="269">
        <v>161823.04829900002</v>
      </c>
      <c r="G15" s="270">
        <v>162221.27885200005</v>
      </c>
      <c r="H15" s="270">
        <v>191947.33147100001</v>
      </c>
      <c r="I15" s="270">
        <v>209639.87027800002</v>
      </c>
      <c r="J15" s="270">
        <v>247319.79631700003</v>
      </c>
      <c r="K15" s="270">
        <v>250593.85903700002</v>
      </c>
      <c r="L15" s="270">
        <v>258696.94064499997</v>
      </c>
      <c r="M15" s="270">
        <v>199445.60643300001</v>
      </c>
      <c r="N15" s="270">
        <v>247387.33715400001</v>
      </c>
      <c r="O15" s="270">
        <v>245157.59733300001</v>
      </c>
      <c r="P15" s="270">
        <v>255307.54635199998</v>
      </c>
      <c r="Q15" s="270">
        <v>293072.39513600006</v>
      </c>
      <c r="R15" s="270">
        <v>307834.06277899997</v>
      </c>
      <c r="S15" s="270">
        <v>290343.18254200002</v>
      </c>
      <c r="T15" s="270">
        <v>284570.54075800005</v>
      </c>
      <c r="U15" s="270">
        <v>276256.15650603984</v>
      </c>
      <c r="V15" s="270">
        <v>173681.41917100002</v>
      </c>
      <c r="W15" s="270">
        <v>265428.10533800005</v>
      </c>
    </row>
    <row r="16" spans="1:23" s="211" customFormat="1" ht="15.95" customHeight="1" x14ac:dyDescent="0.3">
      <c r="A16" s="293" t="s">
        <v>44</v>
      </c>
      <c r="B16" s="54">
        <v>25577</v>
      </c>
      <c r="C16" s="54">
        <v>22008.894463000001</v>
      </c>
      <c r="D16" s="54">
        <v>18842.388556999998</v>
      </c>
      <c r="E16" s="269">
        <v>13425.586977999998</v>
      </c>
      <c r="F16" s="269">
        <v>12540.676835</v>
      </c>
      <c r="G16" s="270">
        <v>10570.681411000001</v>
      </c>
      <c r="H16" s="270">
        <v>9443.3344030000007</v>
      </c>
      <c r="I16" s="270">
        <v>8005.9647589999995</v>
      </c>
      <c r="J16" s="270">
        <v>9218.5737439999994</v>
      </c>
      <c r="K16" s="270">
        <v>11754.045760999999</v>
      </c>
      <c r="L16" s="270">
        <v>10759.150903</v>
      </c>
      <c r="M16" s="270">
        <v>8326.8282500000005</v>
      </c>
      <c r="N16" s="270">
        <v>7042.3605749999997</v>
      </c>
      <c r="O16" s="270">
        <v>6410.9425259999998</v>
      </c>
      <c r="P16" s="270">
        <v>4554.942943</v>
      </c>
      <c r="Q16" s="270">
        <v>2946.8411249999999</v>
      </c>
      <c r="R16" s="270">
        <v>2017.5670430000002</v>
      </c>
      <c r="S16" s="270">
        <v>1547.4336639999999</v>
      </c>
      <c r="T16" s="270">
        <v>0</v>
      </c>
      <c r="U16" s="270">
        <v>0</v>
      </c>
      <c r="V16" s="270">
        <v>0</v>
      </c>
      <c r="W16" s="270">
        <v>0</v>
      </c>
    </row>
    <row r="17" spans="1:23" s="211" customFormat="1" ht="15.95" customHeight="1" x14ac:dyDescent="0.3">
      <c r="A17" s="293" t="s">
        <v>38</v>
      </c>
      <c r="B17" s="54">
        <v>206396</v>
      </c>
      <c r="C17" s="54">
        <v>229970.37989400001</v>
      </c>
      <c r="D17" s="54">
        <v>238787.356111</v>
      </c>
      <c r="E17" s="269">
        <v>268855.57298000006</v>
      </c>
      <c r="F17" s="269">
        <v>289516.84399000002</v>
      </c>
      <c r="G17" s="270">
        <v>302304.31052</v>
      </c>
      <c r="H17" s="270">
        <v>285354.36242199992</v>
      </c>
      <c r="I17" s="270">
        <v>285384.40219200001</v>
      </c>
      <c r="J17" s="270">
        <v>285227.06510700006</v>
      </c>
      <c r="K17" s="270">
        <v>110450.63509699999</v>
      </c>
      <c r="L17" s="270">
        <v>187566.17926899999</v>
      </c>
      <c r="M17" s="270">
        <v>238737.35257499997</v>
      </c>
      <c r="N17" s="270">
        <v>175427.07535100001</v>
      </c>
      <c r="O17" s="270">
        <v>177441.96600100002</v>
      </c>
      <c r="P17" s="270">
        <v>212367.73395199998</v>
      </c>
      <c r="Q17" s="270">
        <v>201793.57694799997</v>
      </c>
      <c r="R17" s="270">
        <v>138121.06759499997</v>
      </c>
      <c r="S17" s="270">
        <v>136840.39419600001</v>
      </c>
      <c r="T17" s="270">
        <v>144701.41332199998</v>
      </c>
      <c r="U17" s="270">
        <v>164408.58775769005</v>
      </c>
      <c r="V17" s="270">
        <v>209639.22984200003</v>
      </c>
      <c r="W17" s="270">
        <v>213244.79345800006</v>
      </c>
    </row>
    <row r="18" spans="1:23" s="211" customFormat="1" ht="15.95" customHeight="1" x14ac:dyDescent="0.3">
      <c r="A18" s="293" t="s">
        <v>37</v>
      </c>
      <c r="B18" s="54">
        <v>351105</v>
      </c>
      <c r="C18" s="54">
        <v>393003.00796800002</v>
      </c>
      <c r="D18" s="54">
        <v>433941.55737499992</v>
      </c>
      <c r="E18" s="269">
        <v>421397.07847499999</v>
      </c>
      <c r="F18" s="269">
        <v>419047.87629000004</v>
      </c>
      <c r="G18" s="270">
        <v>404453.67306299997</v>
      </c>
      <c r="H18" s="270">
        <v>411571.57184399996</v>
      </c>
      <c r="I18" s="270">
        <v>460839.22298199998</v>
      </c>
      <c r="J18" s="270">
        <v>447544.81375800003</v>
      </c>
      <c r="K18" s="270">
        <v>424748.61362900003</v>
      </c>
      <c r="L18" s="270">
        <v>378925.97699699999</v>
      </c>
      <c r="M18" s="270">
        <v>325301.46181800001</v>
      </c>
      <c r="N18" s="270">
        <v>325421.75930600002</v>
      </c>
      <c r="O18" s="270">
        <v>285135.36400400003</v>
      </c>
      <c r="P18" s="270">
        <v>248543.22143799998</v>
      </c>
      <c r="Q18" s="270">
        <v>271230.39145200001</v>
      </c>
      <c r="R18" s="270">
        <v>271226.09199500002</v>
      </c>
      <c r="S18" s="270">
        <v>242305.58213299999</v>
      </c>
      <c r="T18" s="270">
        <v>235593.48100499995</v>
      </c>
      <c r="U18" s="270">
        <v>241806.01469150002</v>
      </c>
      <c r="V18" s="270">
        <v>185397.10102899992</v>
      </c>
      <c r="W18" s="270">
        <v>197785.10620199997</v>
      </c>
    </row>
    <row r="19" spans="1:23" s="211" customFormat="1" ht="15.95" customHeight="1" x14ac:dyDescent="0.3">
      <c r="A19" s="293" t="s">
        <v>41</v>
      </c>
      <c r="B19" s="270">
        <v>0</v>
      </c>
      <c r="C19" s="270">
        <v>0</v>
      </c>
      <c r="D19" s="270">
        <v>0</v>
      </c>
      <c r="E19" s="270">
        <v>0</v>
      </c>
      <c r="F19" s="269">
        <v>1868.002195</v>
      </c>
      <c r="G19" s="270">
        <v>2105.5375009999998</v>
      </c>
      <c r="H19" s="270">
        <v>3788.0123229999999</v>
      </c>
      <c r="I19" s="270">
        <v>4406.394749000001</v>
      </c>
      <c r="J19" s="270">
        <v>2507.4212779999998</v>
      </c>
      <c r="K19" s="270">
        <v>2040.7599789999999</v>
      </c>
      <c r="L19" s="270">
        <v>2431.642531</v>
      </c>
      <c r="M19" s="270">
        <v>2472.0246860000002</v>
      </c>
      <c r="N19" s="270">
        <v>2404.748744</v>
      </c>
      <c r="O19" s="270">
        <v>2631.3706149999998</v>
      </c>
      <c r="P19" s="270">
        <v>2172.5939169999992</v>
      </c>
      <c r="Q19" s="270">
        <v>2624.6044179999999</v>
      </c>
      <c r="R19" s="270">
        <v>1158.7828199999999</v>
      </c>
      <c r="S19" s="270">
        <v>490.63325899999995</v>
      </c>
      <c r="T19" s="270">
        <v>280.93935800000003</v>
      </c>
      <c r="U19" s="270">
        <v>371.6161664</v>
      </c>
      <c r="V19" s="270">
        <v>184.71671700000002</v>
      </c>
      <c r="W19" s="270">
        <v>546.80772000000002</v>
      </c>
    </row>
    <row r="20" spans="1:23" s="211" customFormat="1" ht="3.2" customHeight="1" x14ac:dyDescent="0.25">
      <c r="A20" s="294"/>
      <c r="B20" s="290"/>
      <c r="C20" s="290"/>
      <c r="D20" s="290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</row>
    <row r="21" spans="1:23" s="75" customFormat="1" ht="12" customHeight="1" x14ac:dyDescent="0.25">
      <c r="A21" s="266" t="s">
        <v>453</v>
      </c>
      <c r="E21" s="78"/>
      <c r="F21" s="78"/>
      <c r="G21" s="78"/>
    </row>
    <row r="22" spans="1:23" s="75" customFormat="1" ht="12" customHeight="1" x14ac:dyDescent="0.25">
      <c r="A22" s="73" t="s">
        <v>370</v>
      </c>
    </row>
    <row r="23" spans="1:23" ht="19.149999999999999" customHeight="1" x14ac:dyDescent="0.25">
      <c r="A23" s="157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3" s="56" customFormat="1" ht="12.75" customHeight="1" x14ac:dyDescent="0.25">
      <c r="A24" s="678" t="s">
        <v>403</v>
      </c>
      <c r="B24" s="678"/>
      <c r="C24" s="678"/>
      <c r="D24" s="678"/>
      <c r="E24" s="678"/>
      <c r="F24" s="678"/>
      <c r="G24" s="678"/>
      <c r="H24" s="678"/>
      <c r="I24" s="678"/>
      <c r="J24" s="678"/>
      <c r="K24" s="678"/>
      <c r="L24" s="678"/>
      <c r="M24" s="678"/>
      <c r="N24" s="678"/>
      <c r="O24" s="678"/>
      <c r="P24" s="678"/>
      <c r="Q24" s="678"/>
      <c r="R24" s="678"/>
      <c r="S24" s="678"/>
      <c r="T24" s="678"/>
      <c r="U24" s="678"/>
      <c r="V24" s="678"/>
    </row>
    <row r="25" spans="1:23" s="56" customFormat="1" ht="12.75" customHeight="1" x14ac:dyDescent="0.25">
      <c r="A25" s="680" t="s">
        <v>50</v>
      </c>
      <c r="B25" s="680"/>
      <c r="C25" s="680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0"/>
    </row>
    <row r="26" spans="1:23" s="57" customFormat="1" ht="12.75" customHeight="1" x14ac:dyDescent="0.2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</row>
    <row r="27" spans="1:23" s="212" customFormat="1" ht="20.100000000000001" customHeight="1" x14ac:dyDescent="0.25">
      <c r="A27" s="257" t="s">
        <v>27</v>
      </c>
      <c r="B27" s="258">
        <v>2000</v>
      </c>
      <c r="C27" s="258">
        <v>2001</v>
      </c>
      <c r="D27" s="258">
        <v>2002</v>
      </c>
      <c r="E27" s="258">
        <v>2003</v>
      </c>
      <c r="F27" s="258">
        <v>2004</v>
      </c>
      <c r="G27" s="258">
        <v>2005</v>
      </c>
      <c r="H27" s="258">
        <v>2006</v>
      </c>
      <c r="I27" s="258">
        <v>2007</v>
      </c>
      <c r="J27" s="258">
        <v>2008</v>
      </c>
      <c r="K27" s="258">
        <v>2009</v>
      </c>
      <c r="L27" s="258">
        <v>2010</v>
      </c>
      <c r="M27" s="258">
        <v>2011</v>
      </c>
      <c r="N27" s="258">
        <v>2012</v>
      </c>
      <c r="O27" s="295">
        <v>2013</v>
      </c>
      <c r="P27" s="258">
        <v>2014</v>
      </c>
      <c r="Q27" s="258">
        <v>2015</v>
      </c>
      <c r="R27" s="258">
        <v>2016</v>
      </c>
      <c r="S27" s="258">
        <v>2017</v>
      </c>
      <c r="T27" s="258">
        <v>2018</v>
      </c>
      <c r="U27" s="258">
        <v>2019</v>
      </c>
      <c r="V27" s="258">
        <v>2020</v>
      </c>
      <c r="W27" s="258" t="s">
        <v>401</v>
      </c>
    </row>
    <row r="28" spans="1:23" s="212" customFormat="1" ht="2.4500000000000002" customHeight="1" x14ac:dyDescent="0.25">
      <c r="A28" s="282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96"/>
      <c r="P28" s="288"/>
      <c r="Q28" s="288"/>
      <c r="R28" s="288"/>
      <c r="S28" s="288"/>
      <c r="T28" s="288"/>
      <c r="U28" s="288"/>
      <c r="V28" s="288"/>
      <c r="W28" s="288"/>
    </row>
    <row r="29" spans="1:23" s="212" customFormat="1" ht="15.95" customHeight="1" x14ac:dyDescent="0.25">
      <c r="A29" s="283" t="s">
        <v>28</v>
      </c>
      <c r="B29" s="289">
        <f t="shared" ref="B29:W29" si="1">SUM(B30:B46)</f>
        <v>2437705.8000000003</v>
      </c>
      <c r="C29" s="289">
        <f t="shared" si="1"/>
        <v>2571113.7884549997</v>
      </c>
      <c r="D29" s="289">
        <f t="shared" si="1"/>
        <v>2869638.9847490001</v>
      </c>
      <c r="E29" s="289">
        <f t="shared" si="1"/>
        <v>2923686.4022500003</v>
      </c>
      <c r="F29" s="289">
        <f t="shared" si="1"/>
        <v>3059961.896892</v>
      </c>
      <c r="G29" s="289">
        <f t="shared" si="1"/>
        <v>3205672.8292709989</v>
      </c>
      <c r="H29" s="289">
        <f t="shared" si="1"/>
        <v>3470661.2430210002</v>
      </c>
      <c r="I29" s="289">
        <f t="shared" si="1"/>
        <v>3501461.9256330002</v>
      </c>
      <c r="J29" s="289">
        <f t="shared" si="1"/>
        <v>3685931.0012760004</v>
      </c>
      <c r="K29" s="289">
        <f t="shared" si="1"/>
        <v>3922708.3963299999</v>
      </c>
      <c r="L29" s="289">
        <f t="shared" si="1"/>
        <v>3640465.4641499999</v>
      </c>
      <c r="M29" s="289">
        <f t="shared" si="1"/>
        <v>3418862.117422</v>
      </c>
      <c r="N29" s="289">
        <f t="shared" si="1"/>
        <v>3480856.9120259997</v>
      </c>
      <c r="O29" s="297">
        <f t="shared" si="1"/>
        <v>3674282.5108389999</v>
      </c>
      <c r="P29" s="289">
        <f t="shared" si="1"/>
        <v>3768147.2192429998</v>
      </c>
      <c r="Q29" s="289">
        <f t="shared" si="1"/>
        <v>4101567.7170699993</v>
      </c>
      <c r="R29" s="289">
        <f t="shared" si="1"/>
        <v>4375336.6871659989</v>
      </c>
      <c r="S29" s="289">
        <f t="shared" si="1"/>
        <v>4417986.7813470019</v>
      </c>
      <c r="T29" s="289">
        <f t="shared" si="1"/>
        <v>4160161.9325340008</v>
      </c>
      <c r="U29" s="289">
        <f t="shared" si="1"/>
        <v>3860306.0495387162</v>
      </c>
      <c r="V29" s="289">
        <f t="shared" si="1"/>
        <v>2723879.481679</v>
      </c>
      <c r="W29" s="289">
        <f t="shared" si="1"/>
        <v>3310192.3892179993</v>
      </c>
    </row>
    <row r="30" spans="1:23" s="212" customFormat="1" ht="15.95" customHeight="1" x14ac:dyDescent="0.25">
      <c r="A30" s="303" t="s">
        <v>30</v>
      </c>
      <c r="B30" s="299">
        <v>148270.00000000006</v>
      </c>
      <c r="C30" s="299">
        <v>268957.66582400008</v>
      </c>
      <c r="D30" s="299">
        <v>411762.91154200002</v>
      </c>
      <c r="E30" s="299">
        <v>448401.3264679999</v>
      </c>
      <c r="F30" s="299">
        <v>408286.69583800004</v>
      </c>
      <c r="G30" s="299">
        <v>469496.92160399997</v>
      </c>
      <c r="H30" s="299">
        <v>432657.30047299992</v>
      </c>
      <c r="I30" s="299">
        <v>451711.68831</v>
      </c>
      <c r="J30" s="299">
        <v>531079.01403200009</v>
      </c>
      <c r="K30" s="299">
        <v>628094.02379600017</v>
      </c>
      <c r="L30" s="299">
        <v>614195.58521200006</v>
      </c>
      <c r="M30" s="299">
        <v>503178.04419300001</v>
      </c>
      <c r="N30" s="299">
        <v>531012.41327899997</v>
      </c>
      <c r="O30" s="298">
        <v>651965.77473299985</v>
      </c>
      <c r="P30" s="299">
        <v>524367.81582800008</v>
      </c>
      <c r="Q30" s="299">
        <v>684728.42784399993</v>
      </c>
      <c r="R30" s="299">
        <v>785169.48463900015</v>
      </c>
      <c r="S30" s="299">
        <v>801830.84780999983</v>
      </c>
      <c r="T30" s="299">
        <v>682140.12856300012</v>
      </c>
      <c r="U30" s="299">
        <v>650780.02764993906</v>
      </c>
      <c r="V30" s="299">
        <v>529687.81523100031</v>
      </c>
      <c r="W30" s="299">
        <v>650494.96139000019</v>
      </c>
    </row>
    <row r="31" spans="1:23" s="212" customFormat="1" ht="15.95" customHeight="1" x14ac:dyDescent="0.25">
      <c r="A31" s="304" t="s">
        <v>37</v>
      </c>
      <c r="B31" s="299">
        <v>451935.00000000012</v>
      </c>
      <c r="C31" s="299">
        <v>579140.95512799989</v>
      </c>
      <c r="D31" s="299">
        <v>697205.06798400008</v>
      </c>
      <c r="E31" s="299">
        <v>704050.18716600013</v>
      </c>
      <c r="F31" s="299">
        <v>698319.02010900003</v>
      </c>
      <c r="G31" s="299">
        <v>729309.03408600006</v>
      </c>
      <c r="H31" s="299">
        <v>1256177.7384589999</v>
      </c>
      <c r="I31" s="299">
        <v>1176982.3228230001</v>
      </c>
      <c r="J31" s="299">
        <v>1101048.3634230001</v>
      </c>
      <c r="K31" s="299">
        <v>976506.3722649999</v>
      </c>
      <c r="L31" s="299">
        <v>831765.05413399998</v>
      </c>
      <c r="M31" s="299">
        <v>899723.95606799982</v>
      </c>
      <c r="N31" s="299">
        <v>974834.61178499996</v>
      </c>
      <c r="O31" s="298">
        <v>970291.36486999993</v>
      </c>
      <c r="P31" s="299">
        <v>607809.54518600006</v>
      </c>
      <c r="Q31" s="299">
        <v>674501.50568099995</v>
      </c>
      <c r="R31" s="299">
        <v>638814.87095400004</v>
      </c>
      <c r="S31" s="299">
        <v>642318.0575</v>
      </c>
      <c r="T31" s="299">
        <v>645211.40122800006</v>
      </c>
      <c r="U31" s="299">
        <v>658661.45008435391</v>
      </c>
      <c r="V31" s="299">
        <v>464785.39046500024</v>
      </c>
      <c r="W31" s="299">
        <v>627610.01359999983</v>
      </c>
    </row>
    <row r="32" spans="1:23" s="212" customFormat="1" ht="15.95" customHeight="1" x14ac:dyDescent="0.25">
      <c r="A32" s="305" t="s">
        <v>34</v>
      </c>
      <c r="B32" s="299">
        <v>316522.00000000012</v>
      </c>
      <c r="C32" s="299">
        <v>331532.30910299998</v>
      </c>
      <c r="D32" s="299">
        <v>358641.73472500005</v>
      </c>
      <c r="E32" s="299">
        <v>349806.33745200007</v>
      </c>
      <c r="F32" s="299">
        <v>333452.81488699996</v>
      </c>
      <c r="G32" s="299">
        <v>336579.278636</v>
      </c>
      <c r="H32" s="299">
        <v>460253.64047199994</v>
      </c>
      <c r="I32" s="299">
        <v>453362.70101399999</v>
      </c>
      <c r="J32" s="299">
        <v>487722.68300500006</v>
      </c>
      <c r="K32" s="299">
        <v>527576.51160299999</v>
      </c>
      <c r="L32" s="299">
        <v>524464.59068299993</v>
      </c>
      <c r="M32" s="299">
        <v>445332.824425</v>
      </c>
      <c r="N32" s="299">
        <v>515519.27349099994</v>
      </c>
      <c r="O32" s="298">
        <v>516314.09967400006</v>
      </c>
      <c r="P32" s="299">
        <v>686704.44324699987</v>
      </c>
      <c r="Q32" s="299">
        <v>816552.375994</v>
      </c>
      <c r="R32" s="299">
        <v>881759.11104200012</v>
      </c>
      <c r="S32" s="299">
        <v>780561.95792700013</v>
      </c>
      <c r="T32" s="299">
        <v>699193.78380200011</v>
      </c>
      <c r="U32" s="299">
        <v>672187.51406864135</v>
      </c>
      <c r="V32" s="299">
        <v>427271.26520499995</v>
      </c>
      <c r="W32" s="299">
        <v>568198.73480999982</v>
      </c>
    </row>
    <row r="33" spans="1:23" s="212" customFormat="1" ht="15.95" customHeight="1" x14ac:dyDescent="0.25">
      <c r="A33" s="304" t="s">
        <v>38</v>
      </c>
      <c r="B33" s="299">
        <v>658311.00000000023</v>
      </c>
      <c r="C33" s="299">
        <v>687741.02993600012</v>
      </c>
      <c r="D33" s="299">
        <v>685095.71636700002</v>
      </c>
      <c r="E33" s="299">
        <v>671806.48303600005</v>
      </c>
      <c r="F33" s="299">
        <v>688425.83519700007</v>
      </c>
      <c r="G33" s="299">
        <v>703089.69171599997</v>
      </c>
      <c r="H33" s="299">
        <v>318275.49996099999</v>
      </c>
      <c r="I33" s="299">
        <v>292778.696375</v>
      </c>
      <c r="J33" s="299">
        <v>277210.50870800001</v>
      </c>
      <c r="K33" s="299">
        <v>254424.914884</v>
      </c>
      <c r="L33" s="299">
        <v>261331.96939899997</v>
      </c>
      <c r="M33" s="299">
        <v>308087.55985700001</v>
      </c>
      <c r="N33" s="299">
        <v>245864.39663600002</v>
      </c>
      <c r="O33" s="298">
        <v>256978.68493799996</v>
      </c>
      <c r="P33" s="299">
        <v>687702.32432200026</v>
      </c>
      <c r="Q33" s="299">
        <v>711963.00064300012</v>
      </c>
      <c r="R33" s="299">
        <v>790767.65901600011</v>
      </c>
      <c r="S33" s="299">
        <v>793756.60544399987</v>
      </c>
      <c r="T33" s="299">
        <v>653211.16006199992</v>
      </c>
      <c r="U33" s="299">
        <v>531657.22406353708</v>
      </c>
      <c r="V33" s="299">
        <v>408214.26641700009</v>
      </c>
      <c r="W33" s="299">
        <v>411032.68448300008</v>
      </c>
    </row>
    <row r="34" spans="1:23" s="212" customFormat="1" ht="15.95" customHeight="1" x14ac:dyDescent="0.25">
      <c r="A34" s="304" t="s">
        <v>43</v>
      </c>
      <c r="B34" s="299">
        <v>3539.4000000000015</v>
      </c>
      <c r="C34" s="299">
        <v>4481.5994650000002</v>
      </c>
      <c r="D34" s="299">
        <v>22443.832365000002</v>
      </c>
      <c r="E34" s="299">
        <v>4441.5134859999998</v>
      </c>
      <c r="F34" s="299">
        <v>6395.8266670000003</v>
      </c>
      <c r="G34" s="299">
        <v>8405.9636800000007</v>
      </c>
      <c r="H34" s="299">
        <v>14937.367181</v>
      </c>
      <c r="I34" s="299">
        <v>44873.093922</v>
      </c>
      <c r="J34" s="299">
        <v>150319.75725200001</v>
      </c>
      <c r="K34" s="299">
        <v>293230.285859</v>
      </c>
      <c r="L34" s="299">
        <v>334202.43891499995</v>
      </c>
      <c r="M34" s="299">
        <v>289744.11893500003</v>
      </c>
      <c r="N34" s="299">
        <v>258832.80653899998</v>
      </c>
      <c r="O34" s="298">
        <v>297153.89284500002</v>
      </c>
      <c r="P34" s="299">
        <v>297214.73592400004</v>
      </c>
      <c r="Q34" s="299">
        <v>264060.78761900001</v>
      </c>
      <c r="R34" s="299">
        <v>317337.15232499997</v>
      </c>
      <c r="S34" s="299">
        <v>431300.74570300005</v>
      </c>
      <c r="T34" s="299">
        <v>480501.64609100012</v>
      </c>
      <c r="U34" s="299">
        <v>476537.32652799285</v>
      </c>
      <c r="V34" s="299">
        <v>145891.372944</v>
      </c>
      <c r="W34" s="299">
        <v>227687.62664999996</v>
      </c>
    </row>
    <row r="35" spans="1:23" s="212" customFormat="1" ht="15.95" customHeight="1" x14ac:dyDescent="0.25">
      <c r="A35" s="305" t="s">
        <v>36</v>
      </c>
      <c r="B35" s="299">
        <v>0</v>
      </c>
      <c r="C35" s="299">
        <v>0</v>
      </c>
      <c r="D35" s="299">
        <v>0</v>
      </c>
      <c r="E35" s="299">
        <v>0</v>
      </c>
      <c r="F35" s="299">
        <v>0</v>
      </c>
      <c r="G35" s="299">
        <v>0</v>
      </c>
      <c r="H35" s="299">
        <v>0</v>
      </c>
      <c r="I35" s="299">
        <v>24006.027961</v>
      </c>
      <c r="J35" s="299">
        <v>52768.890177000008</v>
      </c>
      <c r="K35" s="299">
        <v>56332.983977999997</v>
      </c>
      <c r="L35" s="299">
        <v>66051.210307000001</v>
      </c>
      <c r="M35" s="299">
        <v>68620.32052899999</v>
      </c>
      <c r="N35" s="299">
        <v>75417.200085000004</v>
      </c>
      <c r="O35" s="298">
        <v>103437.110294</v>
      </c>
      <c r="P35" s="299">
        <v>100713.15476600001</v>
      </c>
      <c r="Q35" s="299">
        <v>127065.720107</v>
      </c>
      <c r="R35" s="299">
        <v>134530.37242799997</v>
      </c>
      <c r="S35" s="299">
        <v>130101.129461</v>
      </c>
      <c r="T35" s="299">
        <v>123196.660242</v>
      </c>
      <c r="U35" s="299">
        <v>121442.22741305399</v>
      </c>
      <c r="V35" s="299">
        <v>98944.989522000003</v>
      </c>
      <c r="W35" s="299">
        <v>167820.520299</v>
      </c>
    </row>
    <row r="36" spans="1:23" s="212" customFormat="1" ht="15.95" customHeight="1" x14ac:dyDescent="0.25">
      <c r="A36" s="304" t="s">
        <v>40</v>
      </c>
      <c r="B36" s="299">
        <v>66533.000000000029</v>
      </c>
      <c r="C36" s="299">
        <v>78929.23193200001</v>
      </c>
      <c r="D36" s="299">
        <v>67542.00202900001</v>
      </c>
      <c r="E36" s="299">
        <v>66677.518414999999</v>
      </c>
      <c r="F36" s="299">
        <v>92912.072079999998</v>
      </c>
      <c r="G36" s="299">
        <v>114466.31975800001</v>
      </c>
      <c r="H36" s="299">
        <v>137967.19708400001</v>
      </c>
      <c r="I36" s="299">
        <v>142517.46555800003</v>
      </c>
      <c r="J36" s="299">
        <v>147419.905134</v>
      </c>
      <c r="K36" s="299">
        <v>165638.943058</v>
      </c>
      <c r="L36" s="299">
        <v>183495.155206</v>
      </c>
      <c r="M36" s="299">
        <v>209468.33005500003</v>
      </c>
      <c r="N36" s="299">
        <v>195863.97024999998</v>
      </c>
      <c r="O36" s="298">
        <v>198503.39387299999</v>
      </c>
      <c r="P36" s="299">
        <v>176912.83688099997</v>
      </c>
      <c r="Q36" s="299">
        <v>160436.057608</v>
      </c>
      <c r="R36" s="299">
        <v>164862.24168699997</v>
      </c>
      <c r="S36" s="299">
        <v>119655.00289399998</v>
      </c>
      <c r="T36" s="299">
        <v>136231.058154</v>
      </c>
      <c r="U36" s="299">
        <v>139882.72105808902</v>
      </c>
      <c r="V36" s="299">
        <v>103096.103478</v>
      </c>
      <c r="W36" s="299">
        <v>123427.21356200003</v>
      </c>
    </row>
    <row r="37" spans="1:23" s="212" customFormat="1" ht="15.95" customHeight="1" x14ac:dyDescent="0.25">
      <c r="A37" s="304" t="s">
        <v>32</v>
      </c>
      <c r="B37" s="299">
        <v>34074.000000000015</v>
      </c>
      <c r="C37" s="299">
        <v>31181.803977</v>
      </c>
      <c r="D37" s="299">
        <v>442.40744599999999</v>
      </c>
      <c r="E37" s="299">
        <v>7044.1032649999997</v>
      </c>
      <c r="F37" s="299">
        <v>31618.854887000001</v>
      </c>
      <c r="G37" s="299">
        <v>26696.428368000004</v>
      </c>
      <c r="H37" s="299">
        <v>31216.831927999992</v>
      </c>
      <c r="I37" s="299">
        <v>35880.103947999996</v>
      </c>
      <c r="J37" s="299">
        <v>29982.448048000002</v>
      </c>
      <c r="K37" s="299">
        <v>29060.898805999997</v>
      </c>
      <c r="L37" s="299">
        <v>25817.237960000002</v>
      </c>
      <c r="M37" s="299">
        <v>27552.563069999997</v>
      </c>
      <c r="N37" s="299">
        <v>16409.436386000001</v>
      </c>
      <c r="O37" s="298">
        <v>32040.014774999996</v>
      </c>
      <c r="P37" s="299">
        <v>34786.219295999996</v>
      </c>
      <c r="Q37" s="299">
        <v>43860.295625999999</v>
      </c>
      <c r="R37" s="299">
        <v>49065.203594999999</v>
      </c>
      <c r="S37" s="299">
        <v>118560.72195599999</v>
      </c>
      <c r="T37" s="299">
        <v>132035.58366199999</v>
      </c>
      <c r="U37" s="299">
        <v>130749.50992534499</v>
      </c>
      <c r="V37" s="299">
        <v>92559.517463000026</v>
      </c>
      <c r="W37" s="299">
        <v>103216.65891099996</v>
      </c>
    </row>
    <row r="38" spans="1:23" s="212" customFormat="1" ht="15.95" customHeight="1" x14ac:dyDescent="0.25">
      <c r="A38" s="304" t="s">
        <v>29</v>
      </c>
      <c r="B38" s="299">
        <v>299881.00000000006</v>
      </c>
      <c r="C38" s="299">
        <v>297865.90026699996</v>
      </c>
      <c r="D38" s="299">
        <v>274625.097221</v>
      </c>
      <c r="E38" s="299">
        <v>253870.02921100002</v>
      </c>
      <c r="F38" s="299">
        <v>265773.38393000001</v>
      </c>
      <c r="G38" s="299">
        <v>243552.71758499995</v>
      </c>
      <c r="H38" s="299">
        <v>242278.040866</v>
      </c>
      <c r="I38" s="299">
        <v>306777.07689900004</v>
      </c>
      <c r="J38" s="299">
        <v>389058.25860200007</v>
      </c>
      <c r="K38" s="299">
        <v>511287.37005500001</v>
      </c>
      <c r="L38" s="299">
        <v>357874.08351600001</v>
      </c>
      <c r="M38" s="299">
        <v>293589.19891700009</v>
      </c>
      <c r="N38" s="299">
        <v>290009.87537299993</v>
      </c>
      <c r="O38" s="298">
        <v>283399.01757100003</v>
      </c>
      <c r="P38" s="299">
        <v>285238.90064000001</v>
      </c>
      <c r="Q38" s="299">
        <v>270983.96634500002</v>
      </c>
      <c r="R38" s="299">
        <v>285459.72509200004</v>
      </c>
      <c r="S38" s="299">
        <v>257856.07726299998</v>
      </c>
      <c r="T38" s="299">
        <v>289916.18665999989</v>
      </c>
      <c r="U38" s="299">
        <v>148055.65774928988</v>
      </c>
      <c r="V38" s="299">
        <v>93622.188534000015</v>
      </c>
      <c r="W38" s="299">
        <v>102179.00459299996</v>
      </c>
    </row>
    <row r="39" spans="1:23" s="212" customFormat="1" ht="15.95" customHeight="1" x14ac:dyDescent="0.25">
      <c r="A39" s="304" t="s">
        <v>47</v>
      </c>
      <c r="B39" s="300">
        <v>1570.4000000000005</v>
      </c>
      <c r="C39" s="300">
        <v>259.95058899999998</v>
      </c>
      <c r="D39" s="300">
        <v>512.11042799999996</v>
      </c>
      <c r="E39" s="300">
        <v>12967.712374999999</v>
      </c>
      <c r="F39" s="300">
        <v>92810.552733999983</v>
      </c>
      <c r="G39" s="300">
        <v>106638.664726</v>
      </c>
      <c r="H39" s="300">
        <v>131294.679622</v>
      </c>
      <c r="I39" s="299">
        <v>122565.03509300001</v>
      </c>
      <c r="J39" s="299">
        <v>51763.657856000005</v>
      </c>
      <c r="K39" s="299">
        <v>19608.922369</v>
      </c>
      <c r="L39" s="299">
        <v>0</v>
      </c>
      <c r="M39" s="299">
        <v>0</v>
      </c>
      <c r="N39" s="299">
        <v>0</v>
      </c>
      <c r="O39" s="298">
        <v>0</v>
      </c>
      <c r="P39" s="300">
        <v>0.73688500000000001</v>
      </c>
      <c r="Q39" s="300">
        <v>1650.7922619999999</v>
      </c>
      <c r="R39" s="300">
        <v>624.51990699999999</v>
      </c>
      <c r="S39" s="300">
        <v>1281.7276120000001</v>
      </c>
      <c r="T39" s="300">
        <v>1166.099387</v>
      </c>
      <c r="U39" s="300">
        <v>1174.350695417</v>
      </c>
      <c r="V39" s="300">
        <v>108617.25679300001</v>
      </c>
      <c r="W39" s="300">
        <v>97558.071414000005</v>
      </c>
    </row>
    <row r="40" spans="1:23" s="212" customFormat="1" ht="15.95" customHeight="1" x14ac:dyDescent="0.25">
      <c r="A40" s="304" t="s">
        <v>33</v>
      </c>
      <c r="B40" s="299">
        <v>0</v>
      </c>
      <c r="C40" s="299">
        <v>0</v>
      </c>
      <c r="D40" s="299">
        <v>45682.175917</v>
      </c>
      <c r="E40" s="299">
        <v>56657.608455000009</v>
      </c>
      <c r="F40" s="299">
        <v>64590.185534000004</v>
      </c>
      <c r="G40" s="299">
        <v>69400.799803000002</v>
      </c>
      <c r="H40" s="299">
        <v>64828.734279999997</v>
      </c>
      <c r="I40" s="299">
        <v>63666.989777000003</v>
      </c>
      <c r="J40" s="299">
        <v>49473.693513999999</v>
      </c>
      <c r="K40" s="299">
        <v>55593.656795999996</v>
      </c>
      <c r="L40" s="299">
        <v>56030.035530000001</v>
      </c>
      <c r="M40" s="299">
        <v>53105.031714000004</v>
      </c>
      <c r="N40" s="299">
        <v>52551.754675999997</v>
      </c>
      <c r="O40" s="298">
        <v>43654.752726999999</v>
      </c>
      <c r="P40" s="299">
        <v>46397.224870999999</v>
      </c>
      <c r="Q40" s="299">
        <v>53424.605984000002</v>
      </c>
      <c r="R40" s="299">
        <v>51998.559795999994</v>
      </c>
      <c r="S40" s="299">
        <v>58825.386485000003</v>
      </c>
      <c r="T40" s="299">
        <v>70336.674165999997</v>
      </c>
      <c r="U40" s="299">
        <v>110615.55105849999</v>
      </c>
      <c r="V40" s="299">
        <v>104099.44166699999</v>
      </c>
      <c r="W40" s="299">
        <v>86273.652124</v>
      </c>
    </row>
    <row r="41" spans="1:23" s="212" customFormat="1" ht="15.95" customHeight="1" x14ac:dyDescent="0.25">
      <c r="A41" s="305" t="s">
        <v>35</v>
      </c>
      <c r="B41" s="299">
        <v>138142.00000000003</v>
      </c>
      <c r="C41" s="299">
        <v>0</v>
      </c>
      <c r="D41" s="299">
        <v>67128.241489999986</v>
      </c>
      <c r="E41" s="299">
        <v>78449.795800000007</v>
      </c>
      <c r="F41" s="299">
        <v>92178.416597999996</v>
      </c>
      <c r="G41" s="299">
        <v>84627.988054000001</v>
      </c>
      <c r="H41" s="299">
        <v>81359.661495000008</v>
      </c>
      <c r="I41" s="299">
        <v>117685.73996799998</v>
      </c>
      <c r="J41" s="299">
        <v>122649.995197</v>
      </c>
      <c r="K41" s="299">
        <v>143047.18844599999</v>
      </c>
      <c r="L41" s="299">
        <v>142220.88521799998</v>
      </c>
      <c r="M41" s="299">
        <v>116345.364216</v>
      </c>
      <c r="N41" s="299">
        <v>113303.84793900001</v>
      </c>
      <c r="O41" s="298">
        <v>116593.917308</v>
      </c>
      <c r="P41" s="299">
        <v>118584.92587899999</v>
      </c>
      <c r="Q41" s="299">
        <v>98066.689740000002</v>
      </c>
      <c r="R41" s="299">
        <v>90275.536833999999</v>
      </c>
      <c r="S41" s="299">
        <v>95821.642632000003</v>
      </c>
      <c r="T41" s="299">
        <v>86120.955268999984</v>
      </c>
      <c r="U41" s="299">
        <v>73611.520939800001</v>
      </c>
      <c r="V41" s="299">
        <v>72509.047065999999</v>
      </c>
      <c r="W41" s="299">
        <v>83781.858831999998</v>
      </c>
    </row>
    <row r="42" spans="1:23" s="212" customFormat="1" ht="15.95" customHeight="1" x14ac:dyDescent="0.25">
      <c r="A42" s="304" t="s">
        <v>39</v>
      </c>
      <c r="B42" s="299">
        <v>132953.00000000006</v>
      </c>
      <c r="C42" s="299">
        <v>107916.936833</v>
      </c>
      <c r="D42" s="299">
        <v>113247.352428</v>
      </c>
      <c r="E42" s="299">
        <v>116675.41596300001</v>
      </c>
      <c r="F42" s="299">
        <v>111329.634072</v>
      </c>
      <c r="G42" s="299">
        <v>133883.211862</v>
      </c>
      <c r="H42" s="299">
        <v>119427.22849999998</v>
      </c>
      <c r="I42" s="299">
        <v>79223.947547000003</v>
      </c>
      <c r="J42" s="299">
        <v>113802.986342</v>
      </c>
      <c r="K42" s="299">
        <v>92923.069411000004</v>
      </c>
      <c r="L42" s="299">
        <v>67506.864671999996</v>
      </c>
      <c r="M42" s="299">
        <v>63804.221570000009</v>
      </c>
      <c r="N42" s="299">
        <v>72326.183623000004</v>
      </c>
      <c r="O42" s="298">
        <v>55217.906765999993</v>
      </c>
      <c r="P42" s="299">
        <v>55922.202809000002</v>
      </c>
      <c r="Q42" s="299">
        <v>55142.390382000005</v>
      </c>
      <c r="R42" s="299">
        <v>40764.070890999996</v>
      </c>
      <c r="S42" s="299">
        <v>46698.061548000005</v>
      </c>
      <c r="T42" s="299">
        <v>44327.274155000006</v>
      </c>
      <c r="U42" s="299">
        <v>39953.438235539012</v>
      </c>
      <c r="V42" s="299">
        <v>40815.801322000007</v>
      </c>
      <c r="W42" s="299">
        <v>34915.854849999996</v>
      </c>
    </row>
    <row r="43" spans="1:23" s="212" customFormat="1" ht="15.95" customHeight="1" x14ac:dyDescent="0.25">
      <c r="A43" s="305" t="s">
        <v>44</v>
      </c>
      <c r="B43" s="299">
        <v>131490.00000000003</v>
      </c>
      <c r="C43" s="299">
        <v>128968.187314</v>
      </c>
      <c r="D43" s="299">
        <v>100476.510865</v>
      </c>
      <c r="E43" s="299">
        <v>100429.02502999999</v>
      </c>
      <c r="F43" s="299">
        <v>102272.01021900002</v>
      </c>
      <c r="G43" s="299">
        <v>89216.259082999983</v>
      </c>
      <c r="H43" s="299">
        <v>85775.70818999999</v>
      </c>
      <c r="I43" s="299">
        <v>92007.225541000022</v>
      </c>
      <c r="J43" s="299">
        <v>80510.113498000006</v>
      </c>
      <c r="K43" s="299">
        <v>80976.053022000007</v>
      </c>
      <c r="L43" s="299">
        <v>76377.513156000001</v>
      </c>
      <c r="M43" s="299">
        <v>67228.70915499999</v>
      </c>
      <c r="N43" s="299">
        <v>70444.273750000008</v>
      </c>
      <c r="O43" s="298">
        <v>73444.300006999998</v>
      </c>
      <c r="P43" s="299">
        <v>67828.696609999999</v>
      </c>
      <c r="Q43" s="299">
        <v>64363.787439</v>
      </c>
      <c r="R43" s="299">
        <v>62516.702182000001</v>
      </c>
      <c r="S43" s="299">
        <v>55636.485189000006</v>
      </c>
      <c r="T43" s="299">
        <v>42545.890656999996</v>
      </c>
      <c r="U43" s="299">
        <v>26791.506638963998</v>
      </c>
      <c r="V43" s="299">
        <v>18342.871810999997</v>
      </c>
      <c r="W43" s="299">
        <v>23133.024946000001</v>
      </c>
    </row>
    <row r="44" spans="1:23" s="212" customFormat="1" ht="15.95" customHeight="1" x14ac:dyDescent="0.25">
      <c r="A44" s="305" t="s">
        <v>41</v>
      </c>
      <c r="B44" s="299">
        <v>0</v>
      </c>
      <c r="C44" s="299">
        <v>0</v>
      </c>
      <c r="D44" s="299">
        <v>0</v>
      </c>
      <c r="E44" s="299">
        <v>0</v>
      </c>
      <c r="F44" s="299">
        <v>21522.713981000001</v>
      </c>
      <c r="G44" s="299">
        <v>27527.437587</v>
      </c>
      <c r="H44" s="299">
        <v>37191.283919000001</v>
      </c>
      <c r="I44" s="299">
        <v>43721.412899000003</v>
      </c>
      <c r="J44" s="299">
        <v>50892.964724000005</v>
      </c>
      <c r="K44" s="299">
        <v>48095.98717700001</v>
      </c>
      <c r="L44" s="299">
        <v>45179.878391000006</v>
      </c>
      <c r="M44" s="299">
        <v>24447.782751000006</v>
      </c>
      <c r="N44" s="299">
        <v>16713.399180999997</v>
      </c>
      <c r="O44" s="298">
        <v>16535.085030999999</v>
      </c>
      <c r="P44" s="299">
        <v>13006.321830000003</v>
      </c>
      <c r="Q44" s="299">
        <v>6545.792101</v>
      </c>
      <c r="R44" s="299">
        <v>2454.3151669999997</v>
      </c>
      <c r="S44" s="299">
        <v>1364.6714879999997</v>
      </c>
      <c r="T44" s="299">
        <v>1779.5363570000002</v>
      </c>
      <c r="U44" s="299">
        <v>1888.781257055</v>
      </c>
      <c r="V44" s="299">
        <v>827.73121800000001</v>
      </c>
      <c r="W44" s="299">
        <v>2856.9175929999992</v>
      </c>
    </row>
    <row r="45" spans="1:23" s="212" customFormat="1" ht="15.95" customHeight="1" x14ac:dyDescent="0.25">
      <c r="A45" s="304" t="s">
        <v>48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8"/>
      <c r="P45" s="299"/>
      <c r="Q45" s="299"/>
      <c r="R45" s="299"/>
      <c r="S45" s="299">
        <v>0</v>
      </c>
      <c r="T45" s="299">
        <v>0</v>
      </c>
      <c r="U45" s="299">
        <v>0</v>
      </c>
      <c r="V45" s="299">
        <v>0</v>
      </c>
      <c r="W45" s="299">
        <v>5.5911609999999996</v>
      </c>
    </row>
    <row r="46" spans="1:23" s="212" customFormat="1" ht="15.95" customHeight="1" x14ac:dyDescent="0.25">
      <c r="A46" s="304" t="s">
        <v>42</v>
      </c>
      <c r="B46" s="299">
        <v>54485.000000000022</v>
      </c>
      <c r="C46" s="299">
        <v>54138.218087000001</v>
      </c>
      <c r="D46" s="299">
        <v>24833.823941999999</v>
      </c>
      <c r="E46" s="299">
        <v>52409.346127999983</v>
      </c>
      <c r="F46" s="299">
        <v>50073.880159</v>
      </c>
      <c r="G46" s="299">
        <v>62782.112722999998</v>
      </c>
      <c r="H46" s="299">
        <v>57020.330590999998</v>
      </c>
      <c r="I46" s="299">
        <v>53702.397998</v>
      </c>
      <c r="J46" s="299">
        <v>50227.761763999988</v>
      </c>
      <c r="K46" s="299">
        <v>40311.214804999996</v>
      </c>
      <c r="L46" s="299">
        <v>53952.961850999985</v>
      </c>
      <c r="M46" s="299">
        <v>48634.091967000008</v>
      </c>
      <c r="N46" s="299">
        <v>51753.469032999994</v>
      </c>
      <c r="O46" s="298">
        <v>58753.195427000006</v>
      </c>
      <c r="P46" s="299">
        <v>64957.134269000009</v>
      </c>
      <c r="Q46" s="299">
        <v>68221.521694999989</v>
      </c>
      <c r="R46" s="299">
        <v>78937.161611000003</v>
      </c>
      <c r="S46" s="299">
        <v>82417.660434999998</v>
      </c>
      <c r="T46" s="299">
        <v>72247.894078999991</v>
      </c>
      <c r="U46" s="299">
        <v>76317.242173200008</v>
      </c>
      <c r="V46" s="299">
        <v>14594.422543000001</v>
      </c>
      <c r="W46" s="299">
        <v>0</v>
      </c>
    </row>
    <row r="47" spans="1:23" s="212" customFormat="1" ht="2.4500000000000002" customHeight="1" x14ac:dyDescent="0.25">
      <c r="A47" s="306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2"/>
      <c r="P47" s="301"/>
      <c r="Q47" s="301"/>
      <c r="R47" s="301"/>
      <c r="S47" s="301"/>
      <c r="T47" s="301"/>
      <c r="U47" s="301"/>
      <c r="V47" s="301"/>
      <c r="W47" s="301"/>
    </row>
    <row r="48" spans="1:23" s="75" customFormat="1" ht="12" customHeight="1" x14ac:dyDescent="0.25">
      <c r="A48" s="266" t="s">
        <v>453</v>
      </c>
      <c r="B48" s="78"/>
      <c r="C48" s="78"/>
      <c r="D48" s="78"/>
      <c r="E48" s="78"/>
      <c r="F48" s="78"/>
      <c r="G48" s="78"/>
      <c r="H48" s="78"/>
    </row>
    <row r="49" spans="1:1" s="75" customFormat="1" ht="12" customHeight="1" x14ac:dyDescent="0.25">
      <c r="A49" s="73" t="s">
        <v>370</v>
      </c>
    </row>
  </sheetData>
  <sortState ref="A7:V19">
    <sortCondition ref="A7:A19"/>
  </sortState>
  <mergeCells count="4">
    <mergeCell ref="A1:V1"/>
    <mergeCell ref="A2:V2"/>
    <mergeCell ref="A24:V24"/>
    <mergeCell ref="A25:V25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CC"/>
  </sheetPr>
  <dimension ref="A1:AE44"/>
  <sheetViews>
    <sheetView showGridLines="0" zoomScale="80" zoomScaleNormal="80" workbookViewId="0">
      <selection activeCell="A28" sqref="A28:W44"/>
    </sheetView>
  </sheetViews>
  <sheetFormatPr baseColWidth="10" defaultColWidth="11.28515625" defaultRowHeight="12.75" customHeight="1" x14ac:dyDescent="0.3"/>
  <cols>
    <col min="1" max="1" width="13.5703125" style="25" customWidth="1"/>
    <col min="2" max="14" width="7.140625" style="25" hidden="1" customWidth="1"/>
    <col min="15" max="23" width="12.140625" style="25" customWidth="1"/>
    <col min="24" max="16384" width="11.28515625" style="25"/>
  </cols>
  <sheetData>
    <row r="1" spans="1:31" s="330" customFormat="1" ht="12.75" customHeight="1" x14ac:dyDescent="0.3">
      <c r="A1" s="678" t="s">
        <v>404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Z1" s="330" t="s">
        <v>25</v>
      </c>
    </row>
    <row r="2" spans="1:31" s="330" customFormat="1" ht="12.75" customHeight="1" x14ac:dyDescent="0.3">
      <c r="A2" s="679" t="s">
        <v>49</v>
      </c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  <c r="V2" s="679"/>
    </row>
    <row r="3" spans="1:31" ht="12.75" customHeight="1" x14ac:dyDescent="0.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spans="1:31" s="218" customFormat="1" ht="20.100000000000001" customHeight="1" x14ac:dyDescent="0.25">
      <c r="A4" s="257" t="s">
        <v>27</v>
      </c>
      <c r="B4" s="258">
        <v>2000</v>
      </c>
      <c r="C4" s="258">
        <v>2001</v>
      </c>
      <c r="D4" s="258">
        <v>2002</v>
      </c>
      <c r="E4" s="258">
        <v>2003</v>
      </c>
      <c r="F4" s="258">
        <v>2004</v>
      </c>
      <c r="G4" s="258">
        <v>2005</v>
      </c>
      <c r="H4" s="258">
        <v>2006</v>
      </c>
      <c r="I4" s="258">
        <v>2007</v>
      </c>
      <c r="J4" s="258">
        <v>2008</v>
      </c>
      <c r="K4" s="258">
        <v>2009</v>
      </c>
      <c r="L4" s="258">
        <v>2010</v>
      </c>
      <c r="M4" s="258">
        <v>2011</v>
      </c>
      <c r="N4" s="258">
        <v>2012</v>
      </c>
      <c r="O4" s="258">
        <v>2013</v>
      </c>
      <c r="P4" s="258">
        <v>2014</v>
      </c>
      <c r="Q4" s="258">
        <v>2015</v>
      </c>
      <c r="R4" s="258">
        <v>2016</v>
      </c>
      <c r="S4" s="258">
        <v>2017</v>
      </c>
      <c r="T4" s="258">
        <v>2018</v>
      </c>
      <c r="U4" s="258">
        <v>2019</v>
      </c>
      <c r="V4" s="258">
        <v>2020</v>
      </c>
      <c r="W4" s="258" t="s">
        <v>401</v>
      </c>
      <c r="X4" s="216"/>
      <c r="Y4" s="217"/>
      <c r="Z4" s="216"/>
      <c r="AA4" s="216"/>
      <c r="AB4" s="216"/>
      <c r="AC4" s="216"/>
      <c r="AD4" s="216"/>
      <c r="AE4" s="216"/>
    </row>
    <row r="5" spans="1:31" s="221" customFormat="1" ht="3" customHeight="1" x14ac:dyDescent="0.25">
      <c r="A5" s="274"/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219"/>
      <c r="Y5" s="220"/>
      <c r="Z5" s="219"/>
      <c r="AA5" s="219"/>
      <c r="AB5" s="219"/>
      <c r="AC5" s="219"/>
      <c r="AD5" s="219"/>
      <c r="AE5" s="219"/>
    </row>
    <row r="6" spans="1:31" s="218" customFormat="1" ht="15.95" customHeight="1" x14ac:dyDescent="0.25">
      <c r="A6" s="275" t="s">
        <v>28</v>
      </c>
      <c r="B6" s="314">
        <f t="shared" ref="B6:W6" si="0">SUM(B7:B19)</f>
        <v>270576.09999999998</v>
      </c>
      <c r="C6" s="314">
        <f t="shared" si="0"/>
        <v>289546.06610700005</v>
      </c>
      <c r="D6" s="314">
        <f t="shared" si="0"/>
        <v>305650.71951299999</v>
      </c>
      <c r="E6" s="314">
        <f t="shared" si="0"/>
        <v>309163.88219000003</v>
      </c>
      <c r="F6" s="314">
        <f t="shared" si="0"/>
        <v>306210.77793799998</v>
      </c>
      <c r="G6" s="314">
        <f t="shared" si="0"/>
        <v>319367.50521099998</v>
      </c>
      <c r="H6" s="314">
        <f t="shared" si="0"/>
        <v>313332.28608799994</v>
      </c>
      <c r="I6" s="314">
        <f t="shared" si="0"/>
        <v>329164.77903500001</v>
      </c>
      <c r="J6" s="314">
        <f t="shared" si="0"/>
        <v>345109.27027199994</v>
      </c>
      <c r="K6" s="314">
        <f t="shared" si="0"/>
        <v>302459.11291000003</v>
      </c>
      <c r="L6" s="314">
        <f t="shared" si="0"/>
        <v>261989.605794</v>
      </c>
      <c r="M6" s="314">
        <f t="shared" si="0"/>
        <v>230199.08238499996</v>
      </c>
      <c r="N6" s="314">
        <f t="shared" si="0"/>
        <v>249236.15747600005</v>
      </c>
      <c r="O6" s="289">
        <f t="shared" si="0"/>
        <v>266472.33039299998</v>
      </c>
      <c r="P6" s="289">
        <f t="shared" si="0"/>
        <v>277294.48259600002</v>
      </c>
      <c r="Q6" s="289">
        <f t="shared" si="0"/>
        <v>315524.81577999995</v>
      </c>
      <c r="R6" s="289">
        <f t="shared" si="0"/>
        <v>314421.59763299994</v>
      </c>
      <c r="S6" s="289">
        <f t="shared" si="0"/>
        <v>306783.61933000002</v>
      </c>
      <c r="T6" s="289">
        <f t="shared" si="0"/>
        <v>289122.51396000001</v>
      </c>
      <c r="U6" s="289">
        <f t="shared" si="0"/>
        <v>308115.57177064405</v>
      </c>
      <c r="V6" s="289">
        <f t="shared" si="0"/>
        <v>241547.91305100001</v>
      </c>
      <c r="W6" s="289">
        <f t="shared" si="0"/>
        <v>264161.67262099992</v>
      </c>
      <c r="X6" s="216"/>
      <c r="Y6" s="210"/>
      <c r="Z6" s="216"/>
      <c r="AA6" s="216"/>
      <c r="AB6" s="216"/>
      <c r="AC6" s="216"/>
      <c r="AD6" s="216"/>
      <c r="AE6" s="216"/>
    </row>
    <row r="7" spans="1:31" s="218" customFormat="1" ht="15.95" customHeight="1" x14ac:dyDescent="0.25">
      <c r="A7" s="317" t="s">
        <v>37</v>
      </c>
      <c r="B7" s="315">
        <v>121240</v>
      </c>
      <c r="C7" s="315">
        <v>143029.840012</v>
      </c>
      <c r="D7" s="315">
        <v>169843.87170500003</v>
      </c>
      <c r="E7" s="315">
        <v>168477.81674699998</v>
      </c>
      <c r="F7" s="315">
        <v>162149.80023999998</v>
      </c>
      <c r="G7" s="315">
        <v>167473.11336600001</v>
      </c>
      <c r="H7" s="315">
        <v>167780.865131</v>
      </c>
      <c r="I7" s="315">
        <v>180716.58996100002</v>
      </c>
      <c r="J7" s="315">
        <v>164842.57566899998</v>
      </c>
      <c r="K7" s="315">
        <v>127720.409894</v>
      </c>
      <c r="L7" s="315">
        <v>94396.498170999985</v>
      </c>
      <c r="M7" s="315">
        <v>83083.059157999989</v>
      </c>
      <c r="N7" s="315">
        <v>91961.573697</v>
      </c>
      <c r="O7" s="315">
        <v>89988.658188999994</v>
      </c>
      <c r="P7" s="315">
        <v>73117.123323000022</v>
      </c>
      <c r="Q7" s="315">
        <v>94528.180955000003</v>
      </c>
      <c r="R7" s="315">
        <v>87415.798746999993</v>
      </c>
      <c r="S7" s="315">
        <v>94886.454699999987</v>
      </c>
      <c r="T7" s="315">
        <v>92641.715719000043</v>
      </c>
      <c r="U7" s="315">
        <v>100487.16504577005</v>
      </c>
      <c r="V7" s="315">
        <v>78329.674029999995</v>
      </c>
      <c r="W7" s="315">
        <v>79966.943474999993</v>
      </c>
      <c r="X7" s="222"/>
      <c r="Y7" s="217"/>
      <c r="Z7" s="216"/>
      <c r="AA7" s="216"/>
      <c r="AB7" s="216"/>
      <c r="AC7" s="216"/>
      <c r="AD7" s="216"/>
      <c r="AE7" s="216"/>
    </row>
    <row r="8" spans="1:31" s="218" customFormat="1" ht="15.95" customHeight="1" x14ac:dyDescent="0.25">
      <c r="A8" s="317" t="s">
        <v>38</v>
      </c>
      <c r="B8" s="315">
        <v>50819</v>
      </c>
      <c r="C8" s="315">
        <v>54505.985355000004</v>
      </c>
      <c r="D8" s="315">
        <v>53006.120683000001</v>
      </c>
      <c r="E8" s="315">
        <v>56634.295124000011</v>
      </c>
      <c r="F8" s="315">
        <v>68690.420383999997</v>
      </c>
      <c r="G8" s="315">
        <v>68608.386034999989</v>
      </c>
      <c r="H8" s="315">
        <v>51180.524106000004</v>
      </c>
      <c r="I8" s="315">
        <v>47483.654728999994</v>
      </c>
      <c r="J8" s="315">
        <v>50475.509019000005</v>
      </c>
      <c r="K8" s="315">
        <v>41412.901015000003</v>
      </c>
      <c r="L8" s="315">
        <v>48550.962531999998</v>
      </c>
      <c r="M8" s="315">
        <v>44661.013916000004</v>
      </c>
      <c r="N8" s="315">
        <v>40457.323843999999</v>
      </c>
      <c r="O8" s="315">
        <v>46736.879674999996</v>
      </c>
      <c r="P8" s="315">
        <v>69978.923854000008</v>
      </c>
      <c r="Q8" s="315">
        <v>69968.766172999996</v>
      </c>
      <c r="R8" s="315">
        <v>60110.259824999994</v>
      </c>
      <c r="S8" s="315">
        <v>53421.259901000005</v>
      </c>
      <c r="T8" s="315">
        <v>50549.69670800001</v>
      </c>
      <c r="U8" s="315">
        <v>52201.701582290007</v>
      </c>
      <c r="V8" s="315">
        <v>46818.137691000004</v>
      </c>
      <c r="W8" s="315">
        <v>47574.695008000002</v>
      </c>
      <c r="Y8" s="223"/>
      <c r="Z8" s="216"/>
      <c r="AA8" s="216"/>
      <c r="AB8" s="216"/>
      <c r="AC8" s="216"/>
      <c r="AD8" s="216"/>
      <c r="AE8" s="216"/>
    </row>
    <row r="9" spans="1:31" s="218" customFormat="1" ht="15.95" customHeight="1" x14ac:dyDescent="0.25">
      <c r="A9" s="317" t="s">
        <v>34</v>
      </c>
      <c r="B9" s="315">
        <v>31573</v>
      </c>
      <c r="C9" s="315">
        <v>30057.569603000004</v>
      </c>
      <c r="D9" s="315">
        <v>27032.499799999998</v>
      </c>
      <c r="E9" s="315">
        <v>26820.801282</v>
      </c>
      <c r="F9" s="315">
        <v>25728.820899999999</v>
      </c>
      <c r="G9" s="315">
        <v>26493.893101000001</v>
      </c>
      <c r="H9" s="315">
        <v>34146.913596999999</v>
      </c>
      <c r="I9" s="315">
        <v>36567.237538000001</v>
      </c>
      <c r="J9" s="315">
        <v>44765.475886</v>
      </c>
      <c r="K9" s="315">
        <v>36210.032818000007</v>
      </c>
      <c r="L9" s="315">
        <v>35185.991178000004</v>
      </c>
      <c r="M9" s="315">
        <v>35079.351654000006</v>
      </c>
      <c r="N9" s="315">
        <v>46127.164706000003</v>
      </c>
      <c r="O9" s="315">
        <v>46705.892148000006</v>
      </c>
      <c r="P9" s="315">
        <v>43237.558248000001</v>
      </c>
      <c r="Q9" s="315">
        <v>46675.827455000006</v>
      </c>
      <c r="R9" s="315">
        <v>51260.502057999984</v>
      </c>
      <c r="S9" s="315">
        <v>43078.505294000002</v>
      </c>
      <c r="T9" s="315">
        <v>45490.166926000005</v>
      </c>
      <c r="U9" s="315">
        <v>45444.570835139988</v>
      </c>
      <c r="V9" s="315">
        <v>28537.393425999999</v>
      </c>
      <c r="W9" s="315">
        <v>42190.500089999994</v>
      </c>
      <c r="Y9" s="223"/>
      <c r="Z9" s="216"/>
      <c r="AA9" s="216"/>
      <c r="AB9" s="216"/>
      <c r="AC9" s="216"/>
      <c r="AD9" s="216"/>
      <c r="AE9" s="216"/>
    </row>
    <row r="10" spans="1:31" s="218" customFormat="1" ht="15.95" customHeight="1" x14ac:dyDescent="0.25">
      <c r="A10" s="317" t="s">
        <v>29</v>
      </c>
      <c r="B10" s="315">
        <v>421.6</v>
      </c>
      <c r="C10" s="315">
        <v>552.27033400000005</v>
      </c>
      <c r="D10" s="315">
        <v>378.60522900000001</v>
      </c>
      <c r="E10" s="315">
        <v>396.60601300000002</v>
      </c>
      <c r="F10" s="315">
        <v>832.270216</v>
      </c>
      <c r="G10" s="315">
        <v>805.60175000000004</v>
      </c>
      <c r="H10" s="315">
        <v>1040.445395</v>
      </c>
      <c r="I10" s="315">
        <v>4754.3679859999993</v>
      </c>
      <c r="J10" s="315">
        <v>8771.0930779999999</v>
      </c>
      <c r="K10" s="315">
        <v>13808.180751</v>
      </c>
      <c r="L10" s="315">
        <v>12528.109796999999</v>
      </c>
      <c r="M10" s="315">
        <v>10071.323707000001</v>
      </c>
      <c r="N10" s="315">
        <v>9638.3620280000014</v>
      </c>
      <c r="O10" s="315">
        <v>10782.912867999999</v>
      </c>
      <c r="P10" s="315">
        <v>8982.5428569999985</v>
      </c>
      <c r="Q10" s="315">
        <v>13485.161707000003</v>
      </c>
      <c r="R10" s="315">
        <v>18415.391415000002</v>
      </c>
      <c r="S10" s="315">
        <v>20090.016950000001</v>
      </c>
      <c r="T10" s="315">
        <v>22110.738778999996</v>
      </c>
      <c r="U10" s="315">
        <v>26097.898893500002</v>
      </c>
      <c r="V10" s="315">
        <v>19733.730985999995</v>
      </c>
      <c r="W10" s="315">
        <v>25456.502632</v>
      </c>
      <c r="X10" s="210"/>
      <c r="Y10" s="223"/>
      <c r="Z10" s="216"/>
      <c r="AA10" s="216"/>
      <c r="AB10" s="216"/>
      <c r="AC10" s="216"/>
      <c r="AD10" s="216"/>
      <c r="AE10" s="216"/>
    </row>
    <row r="11" spans="1:31" s="218" customFormat="1" ht="15.95" customHeight="1" x14ac:dyDescent="0.25">
      <c r="A11" s="317" t="s">
        <v>30</v>
      </c>
      <c r="B11" s="315">
        <v>27276</v>
      </c>
      <c r="C11" s="315">
        <v>25171.611259000001</v>
      </c>
      <c r="D11" s="315">
        <v>26240.883266999997</v>
      </c>
      <c r="E11" s="315">
        <v>29878.535158999999</v>
      </c>
      <c r="F11" s="315">
        <v>20373.327448</v>
      </c>
      <c r="G11" s="315">
        <v>20674.157353999999</v>
      </c>
      <c r="H11" s="315">
        <v>23430.205887</v>
      </c>
      <c r="I11" s="315">
        <v>20716.990461000005</v>
      </c>
      <c r="J11" s="315">
        <v>27568.779437999998</v>
      </c>
      <c r="K11" s="315">
        <v>36086.15017500001</v>
      </c>
      <c r="L11" s="315">
        <v>27095.617654000005</v>
      </c>
      <c r="M11" s="315">
        <v>21230.872543999994</v>
      </c>
      <c r="N11" s="315">
        <v>20424.067673000001</v>
      </c>
      <c r="O11" s="315">
        <v>21439.968382999996</v>
      </c>
      <c r="P11" s="315">
        <v>21328.010920000001</v>
      </c>
      <c r="Q11" s="315">
        <v>20981.796806999999</v>
      </c>
      <c r="R11" s="315">
        <v>29811.946075000007</v>
      </c>
      <c r="S11" s="315">
        <v>39367.680878000006</v>
      </c>
      <c r="T11" s="315">
        <v>26154.292014999999</v>
      </c>
      <c r="U11" s="315">
        <v>27464.763490869991</v>
      </c>
      <c r="V11" s="315">
        <v>25669.007619000004</v>
      </c>
      <c r="W11" s="315">
        <v>23549.146787999998</v>
      </c>
      <c r="Y11" s="217"/>
      <c r="Z11" s="216"/>
      <c r="AA11" s="216"/>
      <c r="AB11" s="216"/>
      <c r="AC11" s="216"/>
      <c r="AD11" s="216"/>
      <c r="AE11" s="216"/>
    </row>
    <row r="12" spans="1:31" s="218" customFormat="1" ht="15.95" customHeight="1" x14ac:dyDescent="0.25">
      <c r="A12" s="317" t="s">
        <v>36</v>
      </c>
      <c r="B12" s="315">
        <v>0</v>
      </c>
      <c r="C12" s="315">
        <v>0</v>
      </c>
      <c r="D12" s="315">
        <v>0</v>
      </c>
      <c r="E12" s="315">
        <v>0</v>
      </c>
      <c r="F12" s="315">
        <v>0</v>
      </c>
      <c r="G12" s="315">
        <v>0</v>
      </c>
      <c r="H12" s="315">
        <v>0</v>
      </c>
      <c r="I12" s="315">
        <v>3246.2589459999999</v>
      </c>
      <c r="J12" s="315">
        <v>9497.0974569999998</v>
      </c>
      <c r="K12" s="315">
        <v>8424.6351529999993</v>
      </c>
      <c r="L12" s="315">
        <v>7951.9535879999994</v>
      </c>
      <c r="M12" s="315">
        <v>9240.0729980000015</v>
      </c>
      <c r="N12" s="315">
        <v>9759.4905799999997</v>
      </c>
      <c r="O12" s="315">
        <v>15258.743</v>
      </c>
      <c r="P12" s="315">
        <v>16684.838929999998</v>
      </c>
      <c r="Q12" s="315">
        <v>17683.912317000002</v>
      </c>
      <c r="R12" s="315">
        <v>18307.49338</v>
      </c>
      <c r="S12" s="315">
        <v>17058.486876999999</v>
      </c>
      <c r="T12" s="315">
        <v>14789.017825999998</v>
      </c>
      <c r="U12" s="315">
        <v>14445.678172000002</v>
      </c>
      <c r="V12" s="315">
        <v>14471.707782000001</v>
      </c>
      <c r="W12" s="315">
        <v>19531.473440000002</v>
      </c>
      <c r="X12" s="210"/>
      <c r="Y12" s="223"/>
      <c r="Z12" s="216"/>
      <c r="AA12" s="216"/>
      <c r="AB12" s="216"/>
      <c r="AC12" s="216"/>
      <c r="AD12" s="216"/>
      <c r="AE12" s="216"/>
    </row>
    <row r="13" spans="1:31" s="218" customFormat="1" ht="15.95" customHeight="1" x14ac:dyDescent="0.25">
      <c r="A13" s="317" t="s">
        <v>40</v>
      </c>
      <c r="B13" s="315">
        <v>9066</v>
      </c>
      <c r="C13" s="315">
        <v>6187.7360040000003</v>
      </c>
      <c r="D13" s="315">
        <v>5977.0183350000007</v>
      </c>
      <c r="E13" s="315">
        <v>5608.8372020000006</v>
      </c>
      <c r="F13" s="315">
        <v>8940.1810399999995</v>
      </c>
      <c r="G13" s="315">
        <v>9241.3720040000007</v>
      </c>
      <c r="H13" s="315">
        <v>12314.683567</v>
      </c>
      <c r="I13" s="315">
        <v>10929.892656999999</v>
      </c>
      <c r="J13" s="315">
        <v>13228.387801999997</v>
      </c>
      <c r="K13" s="315">
        <v>14872.220706000002</v>
      </c>
      <c r="L13" s="315">
        <v>10918.627965</v>
      </c>
      <c r="M13" s="315">
        <v>6380.6397260000003</v>
      </c>
      <c r="N13" s="315">
        <v>7197.7732150000002</v>
      </c>
      <c r="O13" s="315">
        <v>11765.565649</v>
      </c>
      <c r="P13" s="315">
        <v>17090.096868000001</v>
      </c>
      <c r="Q13" s="315">
        <v>15489.300656000001</v>
      </c>
      <c r="R13" s="315">
        <v>14611.491465000001</v>
      </c>
      <c r="S13" s="315">
        <v>10772.446726</v>
      </c>
      <c r="T13" s="315">
        <v>12666.984681000002</v>
      </c>
      <c r="U13" s="315">
        <v>15955.003438709997</v>
      </c>
      <c r="V13" s="315">
        <v>14431.841635999999</v>
      </c>
      <c r="W13" s="315">
        <v>16331.086642999997</v>
      </c>
      <c r="X13" s="210"/>
      <c r="Y13" s="223"/>
      <c r="Z13" s="216"/>
      <c r="AA13" s="216"/>
      <c r="AB13" s="216"/>
      <c r="AC13" s="216"/>
      <c r="AD13" s="216"/>
      <c r="AE13" s="216"/>
    </row>
    <row r="14" spans="1:31" s="218" customFormat="1" ht="15.95" customHeight="1" x14ac:dyDescent="0.25">
      <c r="A14" s="317" t="s">
        <v>43</v>
      </c>
      <c r="B14" s="315">
        <v>2993</v>
      </c>
      <c r="C14" s="315">
        <v>4558.6862000000001</v>
      </c>
      <c r="D14" s="315">
        <v>4650.3375000000005</v>
      </c>
      <c r="E14" s="315">
        <v>2405.9571999999998</v>
      </c>
      <c r="F14" s="315">
        <v>2848.5987999999998</v>
      </c>
      <c r="G14" s="315">
        <v>5242.3291179999997</v>
      </c>
      <c r="H14" s="315">
        <v>6164.3791679999995</v>
      </c>
      <c r="I14" s="315">
        <v>5979.8113180000009</v>
      </c>
      <c r="J14" s="315">
        <v>6971.6206949999996</v>
      </c>
      <c r="K14" s="315">
        <v>5411.0526479999999</v>
      </c>
      <c r="L14" s="315">
        <v>5583.0337879999997</v>
      </c>
      <c r="M14" s="315">
        <v>4147.3602330000003</v>
      </c>
      <c r="N14" s="315">
        <v>7669.0031949999993</v>
      </c>
      <c r="O14" s="315">
        <v>8868.2304060000006</v>
      </c>
      <c r="P14" s="315">
        <v>11346.466191000001</v>
      </c>
      <c r="Q14" s="315">
        <v>10417.734227000001</v>
      </c>
      <c r="R14" s="315">
        <v>7884.2697059999991</v>
      </c>
      <c r="S14" s="315">
        <v>4478.9244950000002</v>
      </c>
      <c r="T14" s="315">
        <v>3018.50461</v>
      </c>
      <c r="U14" s="315">
        <v>7223.7143054999997</v>
      </c>
      <c r="V14" s="315">
        <v>5437.5871909999987</v>
      </c>
      <c r="W14" s="315">
        <v>4706.8030560000016</v>
      </c>
      <c r="X14" s="210"/>
      <c r="Y14" s="223"/>
      <c r="Z14" s="216"/>
      <c r="AA14" s="216"/>
      <c r="AB14" s="216"/>
      <c r="AC14" s="216"/>
      <c r="AD14" s="216"/>
      <c r="AE14" s="216"/>
    </row>
    <row r="15" spans="1:31" s="218" customFormat="1" ht="15.95" customHeight="1" x14ac:dyDescent="0.25">
      <c r="A15" s="317" t="s">
        <v>32</v>
      </c>
      <c r="B15" s="315">
        <v>0</v>
      </c>
      <c r="C15" s="315">
        <v>0</v>
      </c>
      <c r="D15" s="315">
        <v>0</v>
      </c>
      <c r="E15" s="315">
        <v>0</v>
      </c>
      <c r="F15" s="315">
        <v>0</v>
      </c>
      <c r="G15" s="315">
        <v>0</v>
      </c>
      <c r="H15" s="315">
        <v>0</v>
      </c>
      <c r="I15" s="315">
        <v>0</v>
      </c>
      <c r="J15" s="315">
        <v>0</v>
      </c>
      <c r="K15" s="315">
        <v>0</v>
      </c>
      <c r="L15" s="315">
        <v>0</v>
      </c>
      <c r="M15" s="315">
        <v>4.7672559999999997</v>
      </c>
      <c r="N15" s="315">
        <v>21.873735</v>
      </c>
      <c r="O15" s="315">
        <v>200.09933000000001</v>
      </c>
      <c r="P15" s="315">
        <v>177.95544000000001</v>
      </c>
      <c r="Q15" s="315">
        <v>954.42985599999997</v>
      </c>
      <c r="R15" s="315">
        <v>8.1011480000000002</v>
      </c>
      <c r="S15" s="315">
        <v>12.127495</v>
      </c>
      <c r="T15" s="315">
        <v>1214.4584199999999</v>
      </c>
      <c r="U15" s="315">
        <v>1083.7558756640001</v>
      </c>
      <c r="V15" s="315">
        <v>4302.4794089999996</v>
      </c>
      <c r="W15" s="315">
        <v>3394.9529899999993</v>
      </c>
      <c r="Y15" s="217"/>
      <c r="Z15" s="216"/>
      <c r="AA15" s="162"/>
      <c r="AB15" s="216"/>
      <c r="AC15" s="216"/>
      <c r="AD15" s="216"/>
      <c r="AE15" s="216"/>
    </row>
    <row r="16" spans="1:31" s="218" customFormat="1" ht="15.95" customHeight="1" x14ac:dyDescent="0.25">
      <c r="A16" s="317" t="s">
        <v>41</v>
      </c>
      <c r="B16" s="315">
        <v>0</v>
      </c>
      <c r="C16" s="315">
        <v>0</v>
      </c>
      <c r="D16" s="315">
        <v>0</v>
      </c>
      <c r="E16" s="315">
        <v>0</v>
      </c>
      <c r="F16" s="315">
        <v>1460.8312099999998</v>
      </c>
      <c r="G16" s="315">
        <v>1646.2034570000001</v>
      </c>
      <c r="H16" s="315">
        <v>2403.7455270000005</v>
      </c>
      <c r="I16" s="315">
        <v>3089.4241890000003</v>
      </c>
      <c r="J16" s="315">
        <v>1931.2203260000001</v>
      </c>
      <c r="K16" s="315">
        <v>2087.5467840000001</v>
      </c>
      <c r="L16" s="315">
        <v>2183.758366</v>
      </c>
      <c r="M16" s="315">
        <v>1779.1017879999999</v>
      </c>
      <c r="N16" s="315">
        <v>1682.2281269999996</v>
      </c>
      <c r="O16" s="315">
        <v>1568.3132920000003</v>
      </c>
      <c r="P16" s="315">
        <v>1531.7018770000002</v>
      </c>
      <c r="Q16" s="315">
        <v>2715.1902640000008</v>
      </c>
      <c r="R16" s="315">
        <v>1332.8200110000002</v>
      </c>
      <c r="S16" s="315">
        <v>1647.985193</v>
      </c>
      <c r="T16" s="315">
        <v>428.39688599999999</v>
      </c>
      <c r="U16" s="315">
        <v>859.15736979999997</v>
      </c>
      <c r="V16" s="315">
        <v>181.90714299999999</v>
      </c>
      <c r="W16" s="315">
        <v>1459.568499</v>
      </c>
      <c r="Y16" s="223"/>
      <c r="Z16" s="216"/>
      <c r="AA16" s="216"/>
      <c r="AB16" s="216"/>
      <c r="AC16" s="216"/>
      <c r="AD16" s="216"/>
      <c r="AE16" s="216"/>
    </row>
    <row r="17" spans="1:31" s="218" customFormat="1" ht="12.6" hidden="1" customHeight="1" x14ac:dyDescent="0.25">
      <c r="A17" s="317" t="s">
        <v>39</v>
      </c>
      <c r="B17" s="315">
        <v>7587</v>
      </c>
      <c r="C17" s="315">
        <v>6757.7171500000004</v>
      </c>
      <c r="D17" s="315">
        <v>6068.1581750000005</v>
      </c>
      <c r="E17" s="315">
        <v>1892.095669</v>
      </c>
      <c r="F17" s="315" t="s">
        <v>31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216"/>
      <c r="Y17" s="217"/>
      <c r="Z17" s="216"/>
      <c r="AA17" s="216"/>
      <c r="AB17" s="216"/>
      <c r="AC17" s="216"/>
      <c r="AD17" s="216"/>
      <c r="AE17" s="216"/>
    </row>
    <row r="18" spans="1:31" s="218" customFormat="1" ht="15.95" customHeight="1" x14ac:dyDescent="0.25">
      <c r="A18" s="317" t="s">
        <v>42</v>
      </c>
      <c r="B18" s="315">
        <v>10397</v>
      </c>
      <c r="C18" s="315">
        <v>9946.7547500000001</v>
      </c>
      <c r="D18" s="315">
        <v>5574.5063000000009</v>
      </c>
      <c r="E18" s="315">
        <v>12203.46739</v>
      </c>
      <c r="F18" s="315">
        <v>10968.328730000001</v>
      </c>
      <c r="G18" s="315">
        <v>16016.553164000001</v>
      </c>
      <c r="H18" s="315">
        <v>11955.755657000002</v>
      </c>
      <c r="I18" s="315">
        <v>12920.051925</v>
      </c>
      <c r="J18" s="315">
        <v>13864.057350000001</v>
      </c>
      <c r="K18" s="315">
        <v>12750.419327999998</v>
      </c>
      <c r="L18" s="315">
        <v>14259.328469</v>
      </c>
      <c r="M18" s="315">
        <v>11835.236161000001</v>
      </c>
      <c r="N18" s="315">
        <v>12176.22752</v>
      </c>
      <c r="O18" s="315">
        <v>11033.694610000002</v>
      </c>
      <c r="P18" s="315">
        <v>12188.170301</v>
      </c>
      <c r="Q18" s="315">
        <v>21477.263709999999</v>
      </c>
      <c r="R18" s="315">
        <v>24130.063150000002</v>
      </c>
      <c r="S18" s="315">
        <v>21387.0936</v>
      </c>
      <c r="T18" s="315">
        <v>20058.541389999999</v>
      </c>
      <c r="U18" s="315">
        <v>16852.162761399999</v>
      </c>
      <c r="V18" s="315">
        <v>3634.4461379999993</v>
      </c>
      <c r="W18" s="315">
        <v>0</v>
      </c>
      <c r="Y18" s="223"/>
      <c r="Z18" s="216"/>
      <c r="AA18" s="216"/>
      <c r="AB18" s="216"/>
      <c r="AC18" s="216"/>
      <c r="AD18" s="216"/>
      <c r="AE18" s="216"/>
    </row>
    <row r="19" spans="1:31" s="218" customFormat="1" ht="15.95" customHeight="1" x14ac:dyDescent="0.25">
      <c r="A19" s="317" t="s">
        <v>44</v>
      </c>
      <c r="B19" s="315">
        <v>9203.5</v>
      </c>
      <c r="C19" s="315">
        <v>8777.8954400000002</v>
      </c>
      <c r="D19" s="315">
        <v>6878.7185189999991</v>
      </c>
      <c r="E19" s="315">
        <v>4845.4704040000006</v>
      </c>
      <c r="F19" s="315">
        <v>4218.1989700000004</v>
      </c>
      <c r="G19" s="315">
        <v>3165.8958619999999</v>
      </c>
      <c r="H19" s="315">
        <v>2914.7680530000002</v>
      </c>
      <c r="I19" s="315">
        <v>2760.4993249999998</v>
      </c>
      <c r="J19" s="315">
        <v>3193.4535519999999</v>
      </c>
      <c r="K19" s="315">
        <v>3675.5636380000005</v>
      </c>
      <c r="L19" s="315">
        <v>3335.7242859999997</v>
      </c>
      <c r="M19" s="315">
        <v>2686.2832439999997</v>
      </c>
      <c r="N19" s="315">
        <v>2121.069156</v>
      </c>
      <c r="O19" s="315">
        <v>2123.3728430000001</v>
      </c>
      <c r="P19" s="315">
        <v>1631.093787</v>
      </c>
      <c r="Q19" s="315">
        <v>1147.2516529999998</v>
      </c>
      <c r="R19" s="315">
        <v>1133.4606529999999</v>
      </c>
      <c r="S19" s="315">
        <v>582.63722099999995</v>
      </c>
      <c r="T19" s="315">
        <v>0</v>
      </c>
      <c r="U19" s="315">
        <v>0</v>
      </c>
      <c r="V19" s="315">
        <v>0</v>
      </c>
      <c r="W19" s="315">
        <v>0</v>
      </c>
      <c r="X19" s="216"/>
      <c r="Y19" s="217"/>
      <c r="Z19" s="216"/>
      <c r="AA19" s="216"/>
      <c r="AB19" s="216"/>
      <c r="AC19" s="216"/>
      <c r="AD19" s="216"/>
      <c r="AE19" s="216"/>
    </row>
    <row r="20" spans="1:31" s="218" customFormat="1" ht="3" customHeight="1" x14ac:dyDescent="0.25">
      <c r="A20" s="318"/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216"/>
      <c r="Y20" s="217"/>
      <c r="Z20" s="216"/>
      <c r="AA20" s="216"/>
      <c r="AB20" s="216"/>
      <c r="AC20" s="216"/>
      <c r="AD20" s="216"/>
      <c r="AE20" s="216"/>
    </row>
    <row r="21" spans="1:31" s="75" customFormat="1" ht="12" customHeight="1" x14ac:dyDescent="0.25">
      <c r="A21" s="266" t="s">
        <v>453</v>
      </c>
      <c r="X21" s="216"/>
      <c r="Y21" s="217"/>
      <c r="Z21" s="216"/>
      <c r="AA21" s="216"/>
      <c r="AB21" s="216"/>
      <c r="AC21" s="216"/>
      <c r="AD21" s="216"/>
      <c r="AE21" s="216"/>
    </row>
    <row r="22" spans="1:31" s="75" customFormat="1" ht="12" customHeight="1" x14ac:dyDescent="0.25">
      <c r="A22" s="73" t="s">
        <v>370</v>
      </c>
    </row>
    <row r="23" spans="1:31" s="55" customFormat="1" ht="12.75" customHeight="1" x14ac:dyDescent="0.25">
      <c r="A23" s="73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31" ht="12.7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</row>
    <row r="25" spans="1:31" s="331" customFormat="1" ht="12.75" customHeight="1" x14ac:dyDescent="0.25">
      <c r="A25" s="678" t="s">
        <v>405</v>
      </c>
      <c r="B25" s="678"/>
      <c r="C25" s="678"/>
      <c r="D25" s="678"/>
      <c r="E25" s="678"/>
      <c r="F25" s="678"/>
      <c r="G25" s="678"/>
      <c r="H25" s="678"/>
      <c r="I25" s="678"/>
      <c r="J25" s="678"/>
      <c r="K25" s="678"/>
      <c r="L25" s="678"/>
      <c r="M25" s="678"/>
      <c r="N25" s="678"/>
      <c r="O25" s="678"/>
      <c r="P25" s="678"/>
      <c r="Q25" s="678"/>
      <c r="R25" s="678"/>
      <c r="S25" s="678"/>
      <c r="T25" s="678"/>
      <c r="U25" s="678"/>
      <c r="V25" s="678"/>
      <c r="Z25" s="331" t="s">
        <v>25</v>
      </c>
    </row>
    <row r="26" spans="1:31" s="264" customFormat="1" ht="12.75" customHeight="1" x14ac:dyDescent="0.25">
      <c r="A26" s="679" t="s">
        <v>26</v>
      </c>
      <c r="B26" s="679"/>
      <c r="C26" s="679"/>
      <c r="D26" s="679"/>
      <c r="E26" s="679"/>
      <c r="F26" s="679"/>
      <c r="G26" s="679"/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679"/>
      <c r="U26" s="679"/>
      <c r="V26" s="679"/>
    </row>
    <row r="27" spans="1:31" s="4" customFormat="1" ht="12.75" customHeight="1" x14ac:dyDescent="0.25">
      <c r="A27" s="156"/>
      <c r="B27" s="156"/>
      <c r="C27" s="82"/>
      <c r="D27" s="82"/>
      <c r="E27" s="82"/>
      <c r="F27" s="82"/>
      <c r="G27" s="81"/>
      <c r="H27" s="81"/>
      <c r="I27" s="81" t="s">
        <v>25</v>
      </c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</row>
    <row r="28" spans="1:31" s="225" customFormat="1" ht="39" customHeight="1" x14ac:dyDescent="0.25">
      <c r="A28" s="681" t="s">
        <v>51</v>
      </c>
      <c r="B28" s="682"/>
      <c r="C28" s="258">
        <v>2001</v>
      </c>
      <c r="D28" s="258" t="s">
        <v>52</v>
      </c>
      <c r="E28" s="258" t="s">
        <v>53</v>
      </c>
      <c r="F28" s="258" t="s">
        <v>54</v>
      </c>
      <c r="G28" s="258" t="s">
        <v>55</v>
      </c>
      <c r="H28" s="258" t="s">
        <v>56</v>
      </c>
      <c r="I28" s="258" t="s">
        <v>3</v>
      </c>
      <c r="J28" s="258" t="s">
        <v>4</v>
      </c>
      <c r="K28" s="258" t="s">
        <v>5</v>
      </c>
      <c r="L28" s="258" t="s">
        <v>6</v>
      </c>
      <c r="M28" s="258" t="s">
        <v>7</v>
      </c>
      <c r="N28" s="258" t="s">
        <v>8</v>
      </c>
      <c r="O28" s="295" t="s">
        <v>9</v>
      </c>
      <c r="P28" s="258" t="s">
        <v>10</v>
      </c>
      <c r="Q28" s="258" t="s">
        <v>57</v>
      </c>
      <c r="R28" s="258" t="s">
        <v>137</v>
      </c>
      <c r="S28" s="258" t="s">
        <v>138</v>
      </c>
      <c r="T28" s="258" t="s">
        <v>139</v>
      </c>
      <c r="U28" s="258" t="s">
        <v>347</v>
      </c>
      <c r="V28" s="258" t="s">
        <v>411</v>
      </c>
      <c r="W28" s="258" t="s">
        <v>401</v>
      </c>
      <c r="X28" s="224"/>
    </row>
    <row r="29" spans="1:31" s="225" customFormat="1" ht="3.2" customHeight="1" x14ac:dyDescent="0.25">
      <c r="A29" s="319"/>
      <c r="B29" s="308"/>
      <c r="C29" s="43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309"/>
      <c r="P29" s="45"/>
      <c r="Q29" s="45"/>
      <c r="R29" s="45"/>
      <c r="S29" s="45"/>
      <c r="T29" s="45"/>
      <c r="U29" s="45"/>
      <c r="V29" s="45"/>
      <c r="W29" s="45"/>
      <c r="X29" s="224"/>
    </row>
    <row r="30" spans="1:31" s="227" customFormat="1" ht="15.95" customHeight="1" x14ac:dyDescent="0.25">
      <c r="A30" s="320" t="s">
        <v>18</v>
      </c>
      <c r="B30" s="310"/>
      <c r="C30" s="321">
        <f t="shared" ref="C30:R30" si="1">SUM(C31)</f>
        <v>3038401.494655</v>
      </c>
      <c r="D30" s="321">
        <f t="shared" si="1"/>
        <v>3056055.2522</v>
      </c>
      <c r="E30" s="321">
        <f t="shared" si="1"/>
        <v>3484900.3702520002</v>
      </c>
      <c r="F30" s="321">
        <f t="shared" si="1"/>
        <v>4247173.7726000007</v>
      </c>
      <c r="G30" s="322">
        <f t="shared" si="1"/>
        <v>4564989.1370999999</v>
      </c>
      <c r="H30" s="322">
        <f t="shared" si="1"/>
        <v>4784600.5820000004</v>
      </c>
      <c r="I30" s="322">
        <f t="shared" si="1"/>
        <v>5103597.2635999992</v>
      </c>
      <c r="J30" s="322">
        <f t="shared" si="1"/>
        <v>5160707.0164000001</v>
      </c>
      <c r="K30" s="322">
        <f t="shared" si="1"/>
        <v>4418768.325600001</v>
      </c>
      <c r="L30" s="322">
        <f t="shared" si="1"/>
        <v>6042644.2223000005</v>
      </c>
      <c r="M30" s="322">
        <f t="shared" si="1"/>
        <v>7010937.8915999997</v>
      </c>
      <c r="N30" s="322">
        <f t="shared" si="1"/>
        <v>6684539.3917999994</v>
      </c>
      <c r="O30" s="311">
        <f t="shared" si="1"/>
        <v>6680658.79</v>
      </c>
      <c r="P30" s="322">
        <f t="shared" si="1"/>
        <v>7192591.9308000002</v>
      </c>
      <c r="Q30" s="322">
        <f t="shared" si="1"/>
        <v>7320806.8477000007</v>
      </c>
      <c r="R30" s="322">
        <f t="shared" si="1"/>
        <v>7663123.9877000004</v>
      </c>
      <c r="S30" s="322">
        <f>SUM(S31:S31)</f>
        <v>8806451.7127719987</v>
      </c>
      <c r="T30" s="322">
        <f>SUM(T31:T31)</f>
        <v>9533871.1347550005</v>
      </c>
      <c r="U30" s="322">
        <f>SUM(U31:U31)</f>
        <v>10120007.399119999</v>
      </c>
      <c r="V30" s="322">
        <f>SUM(V31:V31)</f>
        <v>8893971.5276180003</v>
      </c>
      <c r="W30" s="322">
        <f>SUM(W31:W31)</f>
        <v>12149273.526027</v>
      </c>
      <c r="X30" s="226"/>
      <c r="Y30" s="226"/>
      <c r="Z30" s="226"/>
      <c r="AA30" s="226"/>
      <c r="AB30" s="226"/>
      <c r="AC30" s="226"/>
    </row>
    <row r="31" spans="1:31" s="225" customFormat="1" ht="15.95" customHeight="1" x14ac:dyDescent="0.25">
      <c r="A31" s="5" t="s">
        <v>58</v>
      </c>
      <c r="B31" s="259"/>
      <c r="C31" s="263">
        <v>3038401.494655</v>
      </c>
      <c r="D31" s="263">
        <v>3056055.2522</v>
      </c>
      <c r="E31" s="263">
        <v>3484900.3702520002</v>
      </c>
      <c r="F31" s="263">
        <v>4247173.7726000007</v>
      </c>
      <c r="G31" s="323">
        <v>4564989.1370999999</v>
      </c>
      <c r="H31" s="323">
        <v>4784600.5820000004</v>
      </c>
      <c r="I31" s="323">
        <v>5103597.2635999992</v>
      </c>
      <c r="J31" s="323">
        <v>5160707.0164000001</v>
      </c>
      <c r="K31" s="323">
        <v>4418768.325600001</v>
      </c>
      <c r="L31" s="323">
        <v>6042644.2223000005</v>
      </c>
      <c r="M31" s="323">
        <v>7010937.8915999997</v>
      </c>
      <c r="N31" s="323">
        <v>6684539.3917999994</v>
      </c>
      <c r="O31" s="312">
        <v>6680658.79</v>
      </c>
      <c r="P31" s="323">
        <v>7192591.9308000002</v>
      </c>
      <c r="Q31" s="323">
        <v>7320806.8477000007</v>
      </c>
      <c r="R31" s="323">
        <v>7663123.9877000004</v>
      </c>
      <c r="S31" s="323">
        <v>8806451.7127719987</v>
      </c>
      <c r="T31" s="323">
        <v>9533871.1347550005</v>
      </c>
      <c r="U31" s="323">
        <v>10120007.399119999</v>
      </c>
      <c r="V31" s="323">
        <v>8893971.5276180003</v>
      </c>
      <c r="W31" s="323">
        <v>12149273.526027</v>
      </c>
      <c r="X31" s="226"/>
      <c r="Y31" s="228"/>
      <c r="AA31" s="226"/>
      <c r="AB31" s="226"/>
      <c r="AC31" s="226"/>
    </row>
    <row r="32" spans="1:31" s="227" customFormat="1" ht="15.95" customHeight="1" x14ac:dyDescent="0.25">
      <c r="A32" s="320" t="s">
        <v>20</v>
      </c>
      <c r="B32" s="310"/>
      <c r="C32" s="321">
        <f t="shared" ref="C32:W32" si="2">SUM(C33)</f>
        <v>38182.076774000001</v>
      </c>
      <c r="D32" s="321">
        <f t="shared" si="2"/>
        <v>38815.044966000001</v>
      </c>
      <c r="E32" s="321">
        <f t="shared" si="2"/>
        <v>40202.178839999993</v>
      </c>
      <c r="F32" s="321">
        <f t="shared" si="2"/>
        <v>41613.363517999998</v>
      </c>
      <c r="G32" s="322">
        <f t="shared" si="2"/>
        <v>42144.586210999994</v>
      </c>
      <c r="H32" s="322">
        <f t="shared" si="2"/>
        <v>38469.547186000011</v>
      </c>
      <c r="I32" s="322">
        <f t="shared" si="2"/>
        <v>39018.915689000001</v>
      </c>
      <c r="J32" s="322">
        <f t="shared" si="2"/>
        <v>39037.065935000006</v>
      </c>
      <c r="K32" s="322">
        <f t="shared" si="2"/>
        <v>37502.627191</v>
      </c>
      <c r="L32" s="322">
        <f t="shared" si="2"/>
        <v>33847.813441999999</v>
      </c>
      <c r="M32" s="322">
        <f t="shared" si="2"/>
        <v>28881.790965999997</v>
      </c>
      <c r="N32" s="322">
        <f t="shared" si="2"/>
        <v>26104.854506999996</v>
      </c>
      <c r="O32" s="311">
        <f t="shared" si="2"/>
        <v>23667.787450999997</v>
      </c>
      <c r="P32" s="322">
        <f t="shared" si="2"/>
        <v>23105.261869000002</v>
      </c>
      <c r="Q32" s="322">
        <f t="shared" si="2"/>
        <v>19510.729781000002</v>
      </c>
      <c r="R32" s="322">
        <f t="shared" si="2"/>
        <v>18789.004763000001</v>
      </c>
      <c r="S32" s="322">
        <f t="shared" si="2"/>
        <v>17790.363567</v>
      </c>
      <c r="T32" s="322">
        <f t="shared" si="2"/>
        <v>18601.344508000002</v>
      </c>
      <c r="U32" s="322">
        <f t="shared" si="2"/>
        <v>19853.168399999995</v>
      </c>
      <c r="V32" s="322">
        <f t="shared" si="2"/>
        <v>20646.581029999998</v>
      </c>
      <c r="W32" s="322">
        <f t="shared" si="2"/>
        <v>26995.267701000004</v>
      </c>
      <c r="X32" s="226"/>
      <c r="Y32" s="226"/>
      <c r="Z32" s="226"/>
      <c r="AA32" s="226"/>
      <c r="AB32" s="226"/>
      <c r="AC32" s="226"/>
    </row>
    <row r="33" spans="1:30" s="225" customFormat="1" ht="15.95" customHeight="1" x14ac:dyDescent="0.25">
      <c r="A33" s="5" t="s">
        <v>59</v>
      </c>
      <c r="B33" s="259"/>
      <c r="C33" s="324">
        <v>38182.076774000001</v>
      </c>
      <c r="D33" s="324">
        <v>38815.044966000001</v>
      </c>
      <c r="E33" s="324">
        <v>40202.178839999993</v>
      </c>
      <c r="F33" s="324">
        <v>41613.363517999998</v>
      </c>
      <c r="G33" s="323">
        <v>42144.586210999994</v>
      </c>
      <c r="H33" s="323">
        <v>38469.547186000011</v>
      </c>
      <c r="I33" s="323">
        <v>39018.915689000001</v>
      </c>
      <c r="J33" s="323">
        <v>39037.065935000006</v>
      </c>
      <c r="K33" s="323">
        <v>37502.627191</v>
      </c>
      <c r="L33" s="323">
        <v>33847.813441999999</v>
      </c>
      <c r="M33" s="323">
        <v>28881.790965999997</v>
      </c>
      <c r="N33" s="323">
        <v>26104.854506999996</v>
      </c>
      <c r="O33" s="312">
        <v>23667.787450999997</v>
      </c>
      <c r="P33" s="323">
        <v>23105.261869000002</v>
      </c>
      <c r="Q33" s="323">
        <v>19510.729781000002</v>
      </c>
      <c r="R33" s="323">
        <v>18789.004763000001</v>
      </c>
      <c r="S33" s="323">
        <v>17790.363567</v>
      </c>
      <c r="T33" s="323">
        <v>18601.344508000002</v>
      </c>
      <c r="U33" s="323">
        <v>19853.168399999995</v>
      </c>
      <c r="V33" s="323">
        <v>20646.581029999998</v>
      </c>
      <c r="W33" s="323">
        <v>26995.267701000004</v>
      </c>
      <c r="X33" s="226"/>
      <c r="AA33" s="226"/>
      <c r="AB33" s="226"/>
      <c r="AC33" s="226"/>
    </row>
    <row r="34" spans="1:30" s="227" customFormat="1" ht="15.95" customHeight="1" x14ac:dyDescent="0.25">
      <c r="A34" s="320" t="s">
        <v>21</v>
      </c>
      <c r="B34" s="310"/>
      <c r="C34" s="322">
        <f t="shared" ref="C34:W34" si="3">SUM(C35:C41)</f>
        <v>9499.2289039999996</v>
      </c>
      <c r="D34" s="322">
        <f t="shared" si="3"/>
        <v>8612.8507310000005</v>
      </c>
      <c r="E34" s="322">
        <f t="shared" si="3"/>
        <v>9589.5781260000003</v>
      </c>
      <c r="F34" s="322">
        <f t="shared" si="3"/>
        <v>14246.326868</v>
      </c>
      <c r="G34" s="322">
        <f t="shared" si="3"/>
        <v>17325.373314000004</v>
      </c>
      <c r="H34" s="322">
        <f t="shared" si="3"/>
        <v>17209.346067999999</v>
      </c>
      <c r="I34" s="322">
        <f t="shared" si="3"/>
        <v>16786.886077000003</v>
      </c>
      <c r="J34" s="322">
        <f t="shared" si="3"/>
        <v>16720.528117000002</v>
      </c>
      <c r="K34" s="322">
        <f t="shared" si="3"/>
        <v>12297.103142</v>
      </c>
      <c r="L34" s="322">
        <f t="shared" si="3"/>
        <v>16963.268972999998</v>
      </c>
      <c r="M34" s="322">
        <f t="shared" si="3"/>
        <v>19141.078051999997</v>
      </c>
      <c r="N34" s="322">
        <f t="shared" si="3"/>
        <v>16790.374243999999</v>
      </c>
      <c r="O34" s="311">
        <f t="shared" si="3"/>
        <v>18139.597244000001</v>
      </c>
      <c r="P34" s="322">
        <f t="shared" si="3"/>
        <v>17017.692465</v>
      </c>
      <c r="Q34" s="322">
        <f t="shared" si="3"/>
        <v>20153.237615999999</v>
      </c>
      <c r="R34" s="322">
        <f t="shared" si="3"/>
        <v>25756.505004999999</v>
      </c>
      <c r="S34" s="322">
        <f t="shared" si="3"/>
        <v>28141.125215</v>
      </c>
      <c r="T34" s="322">
        <f t="shared" si="3"/>
        <v>28033.511926999996</v>
      </c>
      <c r="U34" s="322">
        <f t="shared" si="3"/>
        <v>30441.359039579998</v>
      </c>
      <c r="V34" s="322">
        <f t="shared" si="3"/>
        <v>32184.62588</v>
      </c>
      <c r="W34" s="322">
        <f t="shared" si="3"/>
        <v>34148.029037000008</v>
      </c>
      <c r="X34" s="226"/>
      <c r="Y34" s="226"/>
      <c r="Z34" s="226"/>
      <c r="AA34" s="226"/>
      <c r="AB34" s="226"/>
    </row>
    <row r="35" spans="1:30" s="225" customFormat="1" ht="15.95" customHeight="1" x14ac:dyDescent="0.25">
      <c r="A35" s="5" t="s">
        <v>62</v>
      </c>
      <c r="B35" s="259"/>
      <c r="C35" s="324">
        <v>1148.6495</v>
      </c>
      <c r="D35" s="324">
        <v>714.77020000000005</v>
      </c>
      <c r="E35" s="324">
        <v>576.2826</v>
      </c>
      <c r="F35" s="324">
        <v>3584.9723000000004</v>
      </c>
      <c r="G35" s="323">
        <v>6721.9471000000012</v>
      </c>
      <c r="H35" s="323">
        <v>7874.6571000000004</v>
      </c>
      <c r="I35" s="323">
        <v>6382.2542000000003</v>
      </c>
      <c r="J35" s="323">
        <v>6069.966300000001</v>
      </c>
      <c r="K35" s="323">
        <v>2482.3728999999998</v>
      </c>
      <c r="L35" s="323">
        <v>3413.3224000000005</v>
      </c>
      <c r="M35" s="323">
        <v>6232.700499999999</v>
      </c>
      <c r="N35" s="323">
        <v>5479.7243000000008</v>
      </c>
      <c r="O35" s="312">
        <v>4544.1959000000006</v>
      </c>
      <c r="P35" s="323">
        <v>1423.5237</v>
      </c>
      <c r="Q35" s="323">
        <v>2018.1846</v>
      </c>
      <c r="R35" s="323">
        <v>4667.4817220000004</v>
      </c>
      <c r="S35" s="323">
        <v>3967.8989019999999</v>
      </c>
      <c r="T35" s="323">
        <v>4627.8637019999996</v>
      </c>
      <c r="U35" s="323">
        <v>3532.0812219999998</v>
      </c>
      <c r="V35" s="323">
        <v>3583.7549330000002</v>
      </c>
      <c r="W35" s="323">
        <v>2233.9159010000003</v>
      </c>
      <c r="X35" s="226"/>
      <c r="AA35" s="229"/>
      <c r="AB35" s="230"/>
      <c r="AC35" s="230"/>
      <c r="AD35" s="230"/>
    </row>
    <row r="36" spans="1:30" s="225" customFormat="1" ht="15.95" customHeight="1" x14ac:dyDescent="0.25">
      <c r="A36" s="5" t="s">
        <v>64</v>
      </c>
      <c r="B36" s="259"/>
      <c r="C36" s="323">
        <v>0</v>
      </c>
      <c r="D36" s="323">
        <v>0</v>
      </c>
      <c r="E36" s="323">
        <v>0</v>
      </c>
      <c r="F36" s="323">
        <v>0</v>
      </c>
      <c r="G36" s="323">
        <v>0</v>
      </c>
      <c r="H36" s="323">
        <v>0</v>
      </c>
      <c r="I36" s="323">
        <v>0</v>
      </c>
      <c r="J36" s="323">
        <v>0</v>
      </c>
      <c r="K36" s="323">
        <v>0</v>
      </c>
      <c r="L36" s="323">
        <v>0</v>
      </c>
      <c r="M36" s="323">
        <v>0</v>
      </c>
      <c r="N36" s="323">
        <v>0</v>
      </c>
      <c r="O36" s="312">
        <v>0</v>
      </c>
      <c r="P36" s="323">
        <v>0</v>
      </c>
      <c r="Q36" s="323">
        <v>0</v>
      </c>
      <c r="R36" s="323">
        <v>0</v>
      </c>
      <c r="S36" s="323">
        <v>1084.814873</v>
      </c>
      <c r="T36" s="323">
        <v>1961.3250540000001</v>
      </c>
      <c r="U36" s="323">
        <v>1782.8201120000003</v>
      </c>
      <c r="V36" s="323">
        <v>3167.2684220000001</v>
      </c>
      <c r="W36" s="323">
        <v>5097.8957</v>
      </c>
      <c r="X36" s="226"/>
      <c r="AA36" s="229"/>
      <c r="AB36" s="230"/>
      <c r="AC36" s="230"/>
      <c r="AD36" s="230"/>
    </row>
    <row r="37" spans="1:30" s="225" customFormat="1" ht="15.95" customHeight="1" x14ac:dyDescent="0.25">
      <c r="A37" s="5" t="s">
        <v>60</v>
      </c>
      <c r="B37" s="259"/>
      <c r="C37" s="323">
        <v>0</v>
      </c>
      <c r="D37" s="323">
        <v>0</v>
      </c>
      <c r="E37" s="323">
        <v>0</v>
      </c>
      <c r="F37" s="323">
        <v>0</v>
      </c>
      <c r="G37" s="323">
        <v>0</v>
      </c>
      <c r="H37" s="323">
        <v>0</v>
      </c>
      <c r="I37" s="323">
        <v>355.57755399999996</v>
      </c>
      <c r="J37" s="323">
        <v>1540.591058</v>
      </c>
      <c r="K37" s="323">
        <v>923.45846899999992</v>
      </c>
      <c r="L37" s="323">
        <v>3462.5423129999999</v>
      </c>
      <c r="M37" s="323">
        <v>4758.5811180000001</v>
      </c>
      <c r="N37" s="323">
        <v>3981.7784959999999</v>
      </c>
      <c r="O37" s="312">
        <v>5800.5119069999992</v>
      </c>
      <c r="P37" s="323">
        <v>4735.5970990000005</v>
      </c>
      <c r="Q37" s="323">
        <v>3332.4695369999999</v>
      </c>
      <c r="R37" s="323">
        <v>9579.6235539999998</v>
      </c>
      <c r="S37" s="323">
        <v>12513.412187</v>
      </c>
      <c r="T37" s="323">
        <v>12609.442734999999</v>
      </c>
      <c r="U37" s="323">
        <v>13007.358958999997</v>
      </c>
      <c r="V37" s="323">
        <v>8843.601247999999</v>
      </c>
      <c r="W37" s="323">
        <v>9445.6096020000005</v>
      </c>
      <c r="X37" s="226"/>
      <c r="AA37" s="229"/>
      <c r="AB37" s="230"/>
      <c r="AC37" s="230"/>
      <c r="AD37" s="230"/>
    </row>
    <row r="38" spans="1:30" s="225" customFormat="1" ht="15.95" customHeight="1" x14ac:dyDescent="0.25">
      <c r="A38" s="5" t="s">
        <v>65</v>
      </c>
      <c r="B38" s="259"/>
      <c r="C38" s="323">
        <v>0</v>
      </c>
      <c r="D38" s="323">
        <v>0</v>
      </c>
      <c r="E38" s="323">
        <v>0</v>
      </c>
      <c r="F38" s="323">
        <v>0</v>
      </c>
      <c r="G38" s="323">
        <v>0</v>
      </c>
      <c r="H38" s="323">
        <v>0</v>
      </c>
      <c r="I38" s="323">
        <v>0</v>
      </c>
      <c r="J38" s="323">
        <v>0</v>
      </c>
      <c r="K38" s="323">
        <v>0</v>
      </c>
      <c r="L38" s="323">
        <v>0</v>
      </c>
      <c r="M38" s="323">
        <v>0</v>
      </c>
      <c r="N38" s="323">
        <v>0</v>
      </c>
      <c r="O38" s="312">
        <v>0</v>
      </c>
      <c r="P38" s="323">
        <v>0</v>
      </c>
      <c r="Q38" s="323">
        <v>0</v>
      </c>
      <c r="R38" s="323">
        <v>161.89056499999998</v>
      </c>
      <c r="S38" s="323">
        <v>454.32649499999997</v>
      </c>
      <c r="T38" s="323">
        <v>904.37532799999997</v>
      </c>
      <c r="U38" s="323">
        <v>1272.2996042799998</v>
      </c>
      <c r="V38" s="323">
        <v>1203.6194780000001</v>
      </c>
      <c r="W38" s="323">
        <v>1145.8780240000001</v>
      </c>
      <c r="X38" s="226"/>
      <c r="AA38" s="229"/>
      <c r="AB38" s="230"/>
      <c r="AC38" s="230"/>
      <c r="AD38" s="230"/>
    </row>
    <row r="39" spans="1:30" s="225" customFormat="1" ht="15.95" customHeight="1" x14ac:dyDescent="0.25">
      <c r="A39" s="5" t="s">
        <v>66</v>
      </c>
      <c r="B39" s="259"/>
      <c r="C39" s="323">
        <v>0</v>
      </c>
      <c r="D39" s="323">
        <v>0</v>
      </c>
      <c r="E39" s="323">
        <v>0</v>
      </c>
      <c r="F39" s="323">
        <v>0</v>
      </c>
      <c r="G39" s="323">
        <v>0</v>
      </c>
      <c r="H39" s="323">
        <v>0</v>
      </c>
      <c r="I39" s="323">
        <v>0</v>
      </c>
      <c r="J39" s="323">
        <v>0</v>
      </c>
      <c r="K39" s="323">
        <v>0</v>
      </c>
      <c r="L39" s="323">
        <v>0</v>
      </c>
      <c r="M39" s="323">
        <v>0</v>
      </c>
      <c r="N39" s="323">
        <v>0</v>
      </c>
      <c r="O39" s="312">
        <v>0</v>
      </c>
      <c r="P39" s="323">
        <v>757.32185600000003</v>
      </c>
      <c r="Q39" s="323">
        <v>2434.2019479999999</v>
      </c>
      <c r="R39" s="323">
        <v>1097.27701</v>
      </c>
      <c r="S39" s="323">
        <v>2190.1331400000004</v>
      </c>
      <c r="T39" s="323">
        <v>672.45468000000005</v>
      </c>
      <c r="U39" s="323">
        <v>284.23430329999997</v>
      </c>
      <c r="V39" s="323">
        <v>1142.4950740000002</v>
      </c>
      <c r="W39" s="323">
        <v>1393.1523050000001</v>
      </c>
      <c r="X39" s="226"/>
      <c r="AA39" s="229"/>
      <c r="AB39" s="230"/>
      <c r="AC39" s="230"/>
      <c r="AD39" s="230"/>
    </row>
    <row r="40" spans="1:30" s="225" customFormat="1" ht="15.95" customHeight="1" x14ac:dyDescent="0.25">
      <c r="A40" s="5" t="s">
        <v>63</v>
      </c>
      <c r="B40" s="259"/>
      <c r="C40" s="324">
        <v>4252.2862930000001</v>
      </c>
      <c r="D40" s="324">
        <v>3901.1726760000006</v>
      </c>
      <c r="E40" s="324">
        <v>4860.3591299999998</v>
      </c>
      <c r="F40" s="324">
        <v>4657.0866160000005</v>
      </c>
      <c r="G40" s="323">
        <v>5278.9603430000006</v>
      </c>
      <c r="H40" s="323">
        <v>3521.9042570000006</v>
      </c>
      <c r="I40" s="323">
        <v>3821.1170160000001</v>
      </c>
      <c r="J40" s="323">
        <v>4442.5733840000003</v>
      </c>
      <c r="K40" s="323">
        <v>5293.1435799999999</v>
      </c>
      <c r="L40" s="323">
        <v>5258.9605069999998</v>
      </c>
      <c r="M40" s="323">
        <v>2787.2186640000004</v>
      </c>
      <c r="N40" s="323">
        <v>2860.4109990000006</v>
      </c>
      <c r="O40" s="312">
        <v>3132.8317390000002</v>
      </c>
      <c r="P40" s="323">
        <v>4001.4126259999998</v>
      </c>
      <c r="Q40" s="323">
        <v>4444.5584229999995</v>
      </c>
      <c r="R40" s="323">
        <v>3925.827053</v>
      </c>
      <c r="S40" s="323">
        <v>3746.4261129999995</v>
      </c>
      <c r="T40" s="323">
        <v>3098.8079729999999</v>
      </c>
      <c r="U40" s="323">
        <v>3285.5837310000002</v>
      </c>
      <c r="V40" s="323">
        <v>4224.7644039999996</v>
      </c>
      <c r="W40" s="323">
        <v>4189.9246650000005</v>
      </c>
      <c r="X40" s="226"/>
      <c r="AA40" s="229"/>
      <c r="AB40" s="230"/>
      <c r="AC40" s="230"/>
      <c r="AD40" s="230"/>
    </row>
    <row r="41" spans="1:30" s="225" customFormat="1" ht="15.95" customHeight="1" x14ac:dyDescent="0.25">
      <c r="A41" s="5" t="s">
        <v>61</v>
      </c>
      <c r="B41" s="259"/>
      <c r="C41" s="324">
        <v>4098.293111</v>
      </c>
      <c r="D41" s="324">
        <v>3996.9078549999999</v>
      </c>
      <c r="E41" s="324">
        <v>4152.9363960000001</v>
      </c>
      <c r="F41" s="324">
        <v>6004.2679519999992</v>
      </c>
      <c r="G41" s="323">
        <v>5324.4658710000012</v>
      </c>
      <c r="H41" s="323">
        <v>5812.7847109999993</v>
      </c>
      <c r="I41" s="323">
        <v>6227.9373070000001</v>
      </c>
      <c r="J41" s="323">
        <v>4667.3973749999996</v>
      </c>
      <c r="K41" s="323">
        <v>3598.1281930000005</v>
      </c>
      <c r="L41" s="323">
        <v>4828.4437529999996</v>
      </c>
      <c r="M41" s="323">
        <v>5362.5777699999999</v>
      </c>
      <c r="N41" s="323">
        <v>4468.4604490000002</v>
      </c>
      <c r="O41" s="312">
        <v>4662.0576979999996</v>
      </c>
      <c r="P41" s="323">
        <v>6099.8371839999991</v>
      </c>
      <c r="Q41" s="323">
        <v>7923.8231079999987</v>
      </c>
      <c r="R41" s="323">
        <v>6324.4051010000012</v>
      </c>
      <c r="S41" s="323">
        <v>4184.1135049999993</v>
      </c>
      <c r="T41" s="323">
        <v>4159.2424549999996</v>
      </c>
      <c r="U41" s="323">
        <v>7276.9811079999999</v>
      </c>
      <c r="V41" s="323">
        <v>10019.122321000001</v>
      </c>
      <c r="W41" s="323">
        <v>10641.652840000001</v>
      </c>
      <c r="X41" s="226"/>
      <c r="AA41" s="229"/>
      <c r="AB41" s="230"/>
      <c r="AC41" s="230"/>
      <c r="AD41" s="230"/>
    </row>
    <row r="42" spans="1:30" s="225" customFormat="1" ht="3.2" customHeight="1" x14ac:dyDescent="0.25">
      <c r="A42" s="325"/>
      <c r="B42" s="326"/>
      <c r="C42" s="327"/>
      <c r="D42" s="327"/>
      <c r="E42" s="327"/>
      <c r="F42" s="327"/>
      <c r="G42" s="327"/>
      <c r="H42" s="327"/>
      <c r="I42" s="327"/>
      <c r="J42" s="327"/>
      <c r="K42" s="327"/>
      <c r="L42" s="327"/>
      <c r="M42" s="328"/>
      <c r="N42" s="328"/>
      <c r="O42" s="329"/>
      <c r="P42" s="328"/>
      <c r="Q42" s="328"/>
      <c r="R42" s="328"/>
      <c r="S42" s="328"/>
      <c r="T42" s="328"/>
      <c r="U42" s="328"/>
      <c r="V42" s="328"/>
      <c r="W42" s="328"/>
      <c r="X42" s="226"/>
    </row>
    <row r="43" spans="1:30" s="81" customFormat="1" ht="12" customHeight="1" x14ac:dyDescent="0.25">
      <c r="A43" s="266" t="s">
        <v>453</v>
      </c>
      <c r="B43" s="266"/>
      <c r="C43" s="80"/>
      <c r="D43" s="80"/>
      <c r="E43" s="80"/>
      <c r="F43" s="80"/>
      <c r="G43" s="80"/>
      <c r="H43" s="80"/>
      <c r="N43" s="156"/>
      <c r="X43" s="156"/>
    </row>
    <row r="44" spans="1:30" s="81" customFormat="1" ht="12" customHeight="1" x14ac:dyDescent="0.25">
      <c r="A44" s="73" t="s">
        <v>370</v>
      </c>
      <c r="B44" s="307"/>
      <c r="C44" s="82"/>
      <c r="D44" s="82"/>
      <c r="E44" s="82"/>
      <c r="F44" s="82"/>
      <c r="G44" s="82"/>
      <c r="H44" s="82"/>
      <c r="X44" s="156"/>
    </row>
  </sheetData>
  <sortState ref="A7:U19">
    <sortCondition ref="A7:A19"/>
  </sortState>
  <mergeCells count="5">
    <mergeCell ref="A28:B28"/>
    <mergeCell ref="A1:V1"/>
    <mergeCell ref="A2:V2"/>
    <mergeCell ref="A25:V25"/>
    <mergeCell ref="A26:V2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D28:W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5"/>
  <sheetViews>
    <sheetView showGridLines="0" zoomScaleNormal="100" workbookViewId="0">
      <selection activeCell="A4" sqref="A4:O19"/>
    </sheetView>
  </sheetViews>
  <sheetFormatPr baseColWidth="10" defaultColWidth="14.85546875" defaultRowHeight="12.75" customHeight="1" x14ac:dyDescent="0.25"/>
  <cols>
    <col min="1" max="1" width="19" style="53" customWidth="1"/>
    <col min="2" max="3" width="9.7109375" style="51" customWidth="1"/>
    <col min="4" max="4" width="1.7109375" style="51" customWidth="1"/>
    <col min="5" max="6" width="9.7109375" style="51" customWidth="1"/>
    <col min="7" max="7" width="1.7109375" style="51" customWidth="1"/>
    <col min="8" max="9" width="9.7109375" style="51" customWidth="1"/>
    <col min="10" max="10" width="1.7109375" style="51" customWidth="1"/>
    <col min="11" max="12" width="9.7109375" style="51" customWidth="1"/>
    <col min="13" max="13" width="1.7109375" style="51" customWidth="1"/>
    <col min="14" max="15" width="9.7109375" style="51" customWidth="1"/>
    <col min="16" max="16384" width="14.85546875" style="51"/>
  </cols>
  <sheetData>
    <row r="1" spans="1:15" s="4" customFormat="1" ht="12.75" customHeight="1" x14ac:dyDescent="0.25">
      <c r="A1" s="677" t="s">
        <v>406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1:15" s="4" customFormat="1" ht="12.75" customHeight="1" x14ac:dyDescent="0.25">
      <c r="A2" s="163" t="s">
        <v>67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ht="12.75" hidden="1" customHeight="1" x14ac:dyDescent="0.25">
      <c r="A3" s="164" t="s">
        <v>68</v>
      </c>
      <c r="B3" s="83"/>
      <c r="C3" s="165"/>
      <c r="D3" s="83"/>
      <c r="E3" s="83"/>
      <c r="F3" s="165"/>
      <c r="G3" s="83"/>
      <c r="H3" s="83"/>
      <c r="I3" s="165"/>
      <c r="J3" s="83"/>
      <c r="K3" s="83"/>
      <c r="L3" s="165"/>
      <c r="M3" s="83"/>
      <c r="N3" s="83"/>
      <c r="O3" s="83"/>
    </row>
    <row r="4" spans="1:15" ht="18" customHeight="1" x14ac:dyDescent="0.25">
      <c r="A4" s="682" t="s">
        <v>69</v>
      </c>
      <c r="B4" s="681">
        <v>2017</v>
      </c>
      <c r="C4" s="681"/>
      <c r="D4" s="683"/>
      <c r="E4" s="681">
        <v>2018</v>
      </c>
      <c r="F4" s="681"/>
      <c r="G4" s="683"/>
      <c r="H4" s="681">
        <v>2019</v>
      </c>
      <c r="I4" s="681"/>
      <c r="J4" s="683"/>
      <c r="K4" s="681">
        <v>2020</v>
      </c>
      <c r="L4" s="681"/>
      <c r="M4" s="683"/>
      <c r="N4" s="681">
        <v>2021</v>
      </c>
      <c r="O4" s="681"/>
    </row>
    <row r="5" spans="1:15" ht="45" customHeight="1" x14ac:dyDescent="0.25">
      <c r="A5" s="682"/>
      <c r="B5" s="258" t="s">
        <v>70</v>
      </c>
      <c r="C5" s="258" t="s">
        <v>71</v>
      </c>
      <c r="D5" s="684"/>
      <c r="E5" s="258" t="s">
        <v>70</v>
      </c>
      <c r="F5" s="258" t="s">
        <v>71</v>
      </c>
      <c r="G5" s="684"/>
      <c r="H5" s="258" t="s">
        <v>70</v>
      </c>
      <c r="I5" s="258" t="s">
        <v>71</v>
      </c>
      <c r="J5" s="684"/>
      <c r="K5" s="258" t="s">
        <v>70</v>
      </c>
      <c r="L5" s="258" t="s">
        <v>71</v>
      </c>
      <c r="M5" s="684"/>
      <c r="N5" s="258" t="s">
        <v>70</v>
      </c>
      <c r="O5" s="258" t="s">
        <v>71</v>
      </c>
    </row>
    <row r="6" spans="1:15" ht="15.95" customHeight="1" x14ac:dyDescent="0.25">
      <c r="A6" s="332" t="s">
        <v>13</v>
      </c>
      <c r="B6" s="51">
        <v>1</v>
      </c>
      <c r="C6" s="51">
        <v>6</v>
      </c>
      <c r="E6" s="51">
        <v>1</v>
      </c>
      <c r="F6" s="51">
        <v>6</v>
      </c>
      <c r="H6" s="51">
        <v>1</v>
      </c>
      <c r="I6" s="51">
        <v>8</v>
      </c>
      <c r="K6" s="51">
        <v>2</v>
      </c>
      <c r="L6" s="51">
        <v>12</v>
      </c>
      <c r="N6" s="333">
        <v>2</v>
      </c>
      <c r="O6" s="333">
        <v>10</v>
      </c>
    </row>
    <row r="7" spans="1:15" ht="15.95" customHeight="1" x14ac:dyDescent="0.25">
      <c r="A7" s="332" t="s">
        <v>11</v>
      </c>
      <c r="B7" s="51">
        <v>2</v>
      </c>
      <c r="C7" s="51">
        <v>2</v>
      </c>
      <c r="E7" s="51">
        <v>2</v>
      </c>
      <c r="F7" s="51">
        <v>2</v>
      </c>
      <c r="H7" s="51">
        <v>2</v>
      </c>
      <c r="I7" s="51">
        <v>2</v>
      </c>
      <c r="K7" s="51">
        <v>2</v>
      </c>
      <c r="L7" s="51">
        <v>2</v>
      </c>
      <c r="N7" s="51">
        <v>2</v>
      </c>
      <c r="O7" s="51">
        <v>2</v>
      </c>
    </row>
    <row r="8" spans="1:15" ht="15.95" customHeight="1" x14ac:dyDescent="0.25">
      <c r="A8" s="332" t="s">
        <v>16</v>
      </c>
      <c r="B8" s="51">
        <v>2</v>
      </c>
      <c r="C8" s="51">
        <v>2</v>
      </c>
      <c r="E8" s="51">
        <v>2</v>
      </c>
      <c r="F8" s="51">
        <v>2</v>
      </c>
      <c r="H8" s="51">
        <v>2</v>
      </c>
      <c r="I8" s="51">
        <v>2</v>
      </c>
      <c r="K8" s="51">
        <v>2</v>
      </c>
      <c r="L8" s="51">
        <v>3</v>
      </c>
      <c r="N8" s="51">
        <v>2</v>
      </c>
      <c r="O8" s="51">
        <v>3</v>
      </c>
    </row>
    <row r="9" spans="1:15" ht="15.95" customHeight="1" x14ac:dyDescent="0.25">
      <c r="A9" s="332" t="s">
        <v>15</v>
      </c>
      <c r="B9" s="51">
        <v>1</v>
      </c>
      <c r="C9" s="51">
        <v>2</v>
      </c>
      <c r="E9" s="51">
        <v>1</v>
      </c>
      <c r="F9" s="51">
        <v>2</v>
      </c>
      <c r="H9" s="51">
        <v>1</v>
      </c>
      <c r="I9" s="51">
        <v>2</v>
      </c>
      <c r="K9" s="51">
        <v>1</v>
      </c>
      <c r="L9" s="51">
        <v>3</v>
      </c>
      <c r="N9" s="51">
        <v>1</v>
      </c>
      <c r="O9" s="51">
        <v>2</v>
      </c>
    </row>
    <row r="10" spans="1:15" ht="15.95" customHeight="1" x14ac:dyDescent="0.25">
      <c r="A10" s="332" t="s">
        <v>17</v>
      </c>
      <c r="B10" s="51">
        <v>1</v>
      </c>
      <c r="C10" s="51">
        <v>4</v>
      </c>
      <c r="E10" s="51">
        <v>1</v>
      </c>
      <c r="F10" s="51">
        <v>3</v>
      </c>
      <c r="H10" s="51">
        <v>1</v>
      </c>
      <c r="I10" s="51">
        <v>3</v>
      </c>
      <c r="K10" s="51">
        <v>1</v>
      </c>
      <c r="L10" s="51">
        <v>4</v>
      </c>
      <c r="N10" s="51">
        <v>2</v>
      </c>
      <c r="O10" s="51">
        <v>5</v>
      </c>
    </row>
    <row r="11" spans="1:15" ht="15.95" customHeight="1" x14ac:dyDescent="0.25">
      <c r="A11" s="332" t="s">
        <v>20</v>
      </c>
      <c r="B11" s="51">
        <v>3</v>
      </c>
      <c r="C11" s="51">
        <v>6</v>
      </c>
      <c r="E11" s="51">
        <v>1</v>
      </c>
      <c r="F11" s="51">
        <v>4</v>
      </c>
      <c r="H11" s="51">
        <v>1</v>
      </c>
      <c r="I11" s="51">
        <v>4</v>
      </c>
      <c r="K11" s="51">
        <v>1</v>
      </c>
      <c r="L11" s="51">
        <v>4</v>
      </c>
      <c r="N11" s="51">
        <v>1</v>
      </c>
      <c r="O11" s="51">
        <v>4</v>
      </c>
    </row>
    <row r="12" spans="1:15" ht="15.95" customHeight="1" x14ac:dyDescent="0.25">
      <c r="A12" s="332" t="s">
        <v>21</v>
      </c>
      <c r="B12" s="51">
        <v>2</v>
      </c>
      <c r="C12" s="51">
        <v>4</v>
      </c>
      <c r="E12" s="51">
        <v>2</v>
      </c>
      <c r="F12" s="51">
        <v>4</v>
      </c>
      <c r="H12" s="51">
        <v>2</v>
      </c>
      <c r="I12" s="51">
        <v>4</v>
      </c>
      <c r="K12" s="51">
        <v>2</v>
      </c>
      <c r="L12" s="51">
        <v>4</v>
      </c>
      <c r="N12" s="51">
        <v>2</v>
      </c>
      <c r="O12" s="51">
        <v>4</v>
      </c>
    </row>
    <row r="13" spans="1:15" ht="15.95" customHeight="1" x14ac:dyDescent="0.25">
      <c r="A13" s="332" t="s">
        <v>72</v>
      </c>
      <c r="B13" s="51">
        <v>2</v>
      </c>
      <c r="C13" s="51">
        <v>8</v>
      </c>
      <c r="E13" s="51">
        <v>2</v>
      </c>
      <c r="F13" s="51">
        <v>8</v>
      </c>
      <c r="H13" s="51">
        <v>2</v>
      </c>
      <c r="I13" s="51">
        <v>9</v>
      </c>
      <c r="K13" s="51">
        <v>2</v>
      </c>
      <c r="L13" s="51">
        <v>8</v>
      </c>
      <c r="N13" s="51">
        <v>2</v>
      </c>
      <c r="O13" s="51">
        <v>9</v>
      </c>
    </row>
    <row r="14" spans="1:15" ht="15.95" customHeight="1" x14ac:dyDescent="0.25">
      <c r="A14" s="332" t="s">
        <v>73</v>
      </c>
      <c r="B14" s="51">
        <v>2</v>
      </c>
      <c r="C14" s="51">
        <v>10</v>
      </c>
      <c r="E14" s="51">
        <v>2</v>
      </c>
      <c r="F14" s="51">
        <v>11</v>
      </c>
      <c r="H14" s="51">
        <v>2</v>
      </c>
      <c r="I14" s="51">
        <v>10</v>
      </c>
      <c r="K14" s="51">
        <v>2</v>
      </c>
      <c r="L14" s="51">
        <v>10</v>
      </c>
      <c r="N14" s="51">
        <v>2</v>
      </c>
      <c r="O14" s="51">
        <v>10</v>
      </c>
    </row>
    <row r="15" spans="1:15" ht="15.95" customHeight="1" x14ac:dyDescent="0.25">
      <c r="A15" s="332" t="s">
        <v>74</v>
      </c>
      <c r="B15" s="51">
        <v>2</v>
      </c>
      <c r="C15" s="51">
        <v>6</v>
      </c>
      <c r="E15" s="51">
        <v>1</v>
      </c>
      <c r="F15" s="51">
        <v>5</v>
      </c>
      <c r="H15" s="51">
        <v>1</v>
      </c>
      <c r="I15" s="51">
        <v>6</v>
      </c>
      <c r="K15" s="51">
        <v>1</v>
      </c>
      <c r="L15" s="51">
        <v>5</v>
      </c>
      <c r="N15" s="51">
        <v>2</v>
      </c>
      <c r="O15" s="51">
        <v>6</v>
      </c>
    </row>
    <row r="16" spans="1:15" ht="15.95" customHeight="1" x14ac:dyDescent="0.25">
      <c r="A16" s="332" t="s">
        <v>75</v>
      </c>
      <c r="B16" s="51">
        <v>1</v>
      </c>
      <c r="C16" s="51">
        <v>8</v>
      </c>
      <c r="E16" s="51">
        <v>1</v>
      </c>
      <c r="F16" s="51">
        <v>7</v>
      </c>
      <c r="H16" s="51">
        <v>1</v>
      </c>
      <c r="I16" s="51">
        <v>7</v>
      </c>
      <c r="K16" s="51">
        <v>1</v>
      </c>
      <c r="L16" s="51">
        <v>6</v>
      </c>
      <c r="N16" s="51">
        <v>1</v>
      </c>
      <c r="O16" s="51">
        <v>7</v>
      </c>
    </row>
    <row r="17" spans="1:15" ht="32.1" customHeight="1" x14ac:dyDescent="0.25">
      <c r="A17" s="334" t="s">
        <v>76</v>
      </c>
      <c r="B17" s="51">
        <v>1</v>
      </c>
      <c r="C17" s="51">
        <v>4</v>
      </c>
      <c r="E17" s="51">
        <v>1</v>
      </c>
      <c r="F17" s="51">
        <v>4</v>
      </c>
      <c r="H17" s="51">
        <v>1</v>
      </c>
      <c r="I17" s="51">
        <v>4</v>
      </c>
      <c r="K17" s="337">
        <v>1</v>
      </c>
      <c r="L17" s="337">
        <v>4</v>
      </c>
      <c r="N17" s="337">
        <v>1</v>
      </c>
      <c r="O17" s="337">
        <v>4</v>
      </c>
    </row>
    <row r="18" spans="1:15" ht="15.95" customHeight="1" x14ac:dyDescent="0.25">
      <c r="A18" s="335" t="s">
        <v>77</v>
      </c>
      <c r="B18" s="336">
        <v>1</v>
      </c>
      <c r="C18" s="336">
        <v>10</v>
      </c>
      <c r="D18" s="336"/>
      <c r="E18" s="336">
        <v>1</v>
      </c>
      <c r="F18" s="336">
        <v>10</v>
      </c>
      <c r="G18" s="336"/>
      <c r="H18" s="336">
        <v>1</v>
      </c>
      <c r="I18" s="336">
        <v>11</v>
      </c>
      <c r="J18" s="336"/>
      <c r="K18" s="336">
        <v>1</v>
      </c>
      <c r="L18" s="336">
        <v>10</v>
      </c>
      <c r="M18" s="336"/>
      <c r="N18" s="336">
        <v>1</v>
      </c>
      <c r="O18" s="336">
        <v>10</v>
      </c>
    </row>
    <row r="19" spans="1:15" s="83" customFormat="1" ht="12" customHeight="1" x14ac:dyDescent="0.25">
      <c r="A19" s="73" t="s">
        <v>370</v>
      </c>
    </row>
    <row r="21" spans="1:15" ht="12.75" customHeight="1" x14ac:dyDescent="0.25">
      <c r="A21" s="52"/>
    </row>
    <row r="23" spans="1:15" s="53" customFormat="1" ht="12.75" customHeight="1" x14ac:dyDescent="0.25"/>
    <row r="24" spans="1:15" s="53" customFormat="1" ht="12.75" customHeight="1" x14ac:dyDescent="0.25"/>
    <row r="25" spans="1:15" s="53" customFormat="1" ht="12.75" customHeight="1" x14ac:dyDescent="0.25"/>
  </sheetData>
  <mergeCells count="11">
    <mergeCell ref="A1:O1"/>
    <mergeCell ref="N4:O4"/>
    <mergeCell ref="A4:A5"/>
    <mergeCell ref="B4:C4"/>
    <mergeCell ref="E4:F4"/>
    <mergeCell ref="K4:L4"/>
    <mergeCell ref="H4:I4"/>
    <mergeCell ref="M4:M5"/>
    <mergeCell ref="J4:J5"/>
    <mergeCell ref="G4:G5"/>
    <mergeCell ref="D4:D5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CC"/>
  </sheetPr>
  <dimension ref="A1:AG61"/>
  <sheetViews>
    <sheetView showGridLines="0" showZeros="0" topLeftCell="X1" zoomScaleNormal="100" zoomScaleSheetLayoutView="100" workbookViewId="0">
      <selection activeCell="A4" sqref="A4:AG56"/>
    </sheetView>
  </sheetViews>
  <sheetFormatPr baseColWidth="10" defaultColWidth="11.28515625" defaultRowHeight="12.75" customHeight="1" x14ac:dyDescent="0.25"/>
  <cols>
    <col min="1" max="1" width="20.140625" style="40" customWidth="1"/>
    <col min="2" max="5" width="7.140625" style="37" hidden="1" customWidth="1"/>
    <col min="6" max="6" width="8.140625" style="37" hidden="1" customWidth="1"/>
    <col min="7" max="10" width="7.140625" style="37" hidden="1" customWidth="1"/>
    <col min="11" max="11" width="8.140625" style="37" hidden="1" customWidth="1"/>
    <col min="12" max="14" width="8.28515625" style="37" hidden="1" customWidth="1"/>
    <col min="15" max="18" width="8" style="37" hidden="1" customWidth="1"/>
    <col min="19" max="20" width="7.85546875" style="37" hidden="1" customWidth="1"/>
    <col min="21" max="21" width="0.28515625" style="37" hidden="1" customWidth="1"/>
    <col min="22" max="22" width="8" style="37" hidden="1" customWidth="1"/>
    <col min="23" max="23" width="10" style="37" hidden="1" customWidth="1"/>
    <col min="24" max="31" width="10" style="37" customWidth="1"/>
    <col min="32" max="16384" width="11.28515625" style="37"/>
  </cols>
  <sheetData>
    <row r="1" spans="1:33" ht="15.95" customHeight="1" x14ac:dyDescent="0.25">
      <c r="A1" s="677" t="s">
        <v>407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</row>
    <row r="2" spans="1:33" ht="15.95" customHeight="1" x14ac:dyDescent="0.25">
      <c r="A2" s="680" t="s">
        <v>78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680"/>
      <c r="U2" s="680"/>
      <c r="V2" s="680"/>
      <c r="W2" s="680"/>
      <c r="X2" s="680"/>
      <c r="Y2" s="680"/>
      <c r="Z2" s="680"/>
      <c r="AA2" s="680"/>
      <c r="AB2" s="680"/>
      <c r="AC2" s="680"/>
      <c r="AD2" s="680"/>
      <c r="AE2" s="680"/>
      <c r="AF2" s="680"/>
      <c r="AG2" s="680"/>
    </row>
    <row r="3" spans="1:33" ht="3" customHeight="1" x14ac:dyDescent="0.2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85"/>
    </row>
    <row r="4" spans="1:33" s="231" customFormat="1" ht="20.100000000000001" customHeight="1" x14ac:dyDescent="0.25">
      <c r="A4" s="257" t="s">
        <v>79</v>
      </c>
      <c r="B4" s="258">
        <v>1990</v>
      </c>
      <c r="C4" s="258">
        <f>+B4+1</f>
        <v>1991</v>
      </c>
      <c r="D4" s="258">
        <f>+C4+1</f>
        <v>1992</v>
      </c>
      <c r="E4" s="258">
        <f>+D4+1</f>
        <v>1993</v>
      </c>
      <c r="F4" s="258">
        <f>+E4+1</f>
        <v>1994</v>
      </c>
      <c r="G4" s="258">
        <f>+F4+1</f>
        <v>1995</v>
      </c>
      <c r="H4" s="258">
        <v>1996</v>
      </c>
      <c r="I4" s="258">
        <v>1997</v>
      </c>
      <c r="J4" s="258">
        <v>1998</v>
      </c>
      <c r="K4" s="258">
        <v>1999</v>
      </c>
      <c r="L4" s="258" t="s">
        <v>80</v>
      </c>
      <c r="M4" s="258" t="s">
        <v>81</v>
      </c>
      <c r="N4" s="258">
        <v>2002</v>
      </c>
      <c r="O4" s="258">
        <v>2003</v>
      </c>
      <c r="P4" s="258">
        <v>2004</v>
      </c>
      <c r="Q4" s="258">
        <v>2005</v>
      </c>
      <c r="R4" s="258">
        <v>2006</v>
      </c>
      <c r="S4" s="258">
        <v>2007</v>
      </c>
      <c r="T4" s="258">
        <v>2008</v>
      </c>
      <c r="U4" s="258">
        <v>2009</v>
      </c>
      <c r="V4" s="258">
        <v>2010</v>
      </c>
      <c r="W4" s="258">
        <v>2011</v>
      </c>
      <c r="X4" s="258">
        <v>2012</v>
      </c>
      <c r="Y4" s="258">
        <v>2013</v>
      </c>
      <c r="Z4" s="258">
        <v>2014</v>
      </c>
      <c r="AA4" s="258">
        <v>2015</v>
      </c>
      <c r="AB4" s="258">
        <v>2016</v>
      </c>
      <c r="AC4" s="258">
        <v>2017</v>
      </c>
      <c r="AD4" s="258">
        <v>2018</v>
      </c>
      <c r="AE4" s="258">
        <v>2019</v>
      </c>
      <c r="AF4" s="258">
        <v>2020</v>
      </c>
      <c r="AG4" s="258" t="s">
        <v>401</v>
      </c>
    </row>
    <row r="5" spans="1:33" s="231" customFormat="1" ht="15.95" customHeight="1" x14ac:dyDescent="0.25">
      <c r="A5" s="341" t="s">
        <v>82</v>
      </c>
      <c r="B5" s="338">
        <v>0</v>
      </c>
      <c r="C5" s="338">
        <v>0</v>
      </c>
      <c r="D5" s="338">
        <v>0</v>
      </c>
      <c r="E5" s="338">
        <v>0</v>
      </c>
      <c r="F5" s="338">
        <v>0</v>
      </c>
      <c r="G5" s="338">
        <v>0</v>
      </c>
      <c r="H5" s="338">
        <v>0</v>
      </c>
      <c r="I5" s="338">
        <v>0</v>
      </c>
      <c r="J5" s="338">
        <v>0</v>
      </c>
      <c r="K5" s="338">
        <v>0</v>
      </c>
      <c r="L5" s="338">
        <v>0</v>
      </c>
      <c r="M5" s="338">
        <v>0</v>
      </c>
      <c r="N5" s="338">
        <v>0</v>
      </c>
      <c r="O5" s="338">
        <v>0</v>
      </c>
      <c r="P5" s="338">
        <v>0</v>
      </c>
      <c r="Q5" s="338">
        <v>0</v>
      </c>
      <c r="R5" s="338">
        <v>0</v>
      </c>
      <c r="S5" s="338">
        <v>0</v>
      </c>
      <c r="T5" s="338">
        <v>0</v>
      </c>
      <c r="U5" s="338">
        <v>0</v>
      </c>
      <c r="V5" s="338">
        <v>262868</v>
      </c>
      <c r="W5" s="338">
        <v>276860</v>
      </c>
      <c r="X5" s="338">
        <v>374788</v>
      </c>
      <c r="Y5" s="338">
        <v>322240.34000000003</v>
      </c>
      <c r="Z5" s="338">
        <v>588251.81999999995</v>
      </c>
      <c r="AA5" s="338">
        <v>539559.92000000004</v>
      </c>
      <c r="AB5" s="338">
        <v>639776.04</v>
      </c>
      <c r="AC5" s="338">
        <v>561044.9</v>
      </c>
      <c r="AD5" s="338">
        <v>751070.47</v>
      </c>
      <c r="AE5" s="338">
        <v>750620</v>
      </c>
      <c r="AF5" s="338">
        <v>638001.13000000012</v>
      </c>
      <c r="AG5" s="338">
        <v>1067674.1500000001</v>
      </c>
    </row>
    <row r="6" spans="1:33" s="231" customFormat="1" ht="15.95" customHeight="1" x14ac:dyDescent="0.25">
      <c r="A6" s="341" t="s">
        <v>83</v>
      </c>
      <c r="B6" s="338">
        <v>0</v>
      </c>
      <c r="C6" s="338">
        <v>0</v>
      </c>
      <c r="D6" s="338">
        <v>0</v>
      </c>
      <c r="E6" s="338">
        <v>0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0</v>
      </c>
      <c r="M6" s="338">
        <v>0</v>
      </c>
      <c r="N6" s="338">
        <v>0</v>
      </c>
      <c r="O6" s="338">
        <v>0</v>
      </c>
      <c r="P6" s="338">
        <v>0</v>
      </c>
      <c r="Q6" s="338">
        <v>0</v>
      </c>
      <c r="R6" s="338">
        <v>0</v>
      </c>
      <c r="S6" s="338">
        <v>0</v>
      </c>
      <c r="T6" s="338">
        <v>0</v>
      </c>
      <c r="U6" s="338">
        <v>0</v>
      </c>
      <c r="V6" s="338">
        <v>2202</v>
      </c>
      <c r="W6" s="338">
        <v>2606.2399999999998</v>
      </c>
      <c r="X6" s="338">
        <v>10020.51</v>
      </c>
      <c r="Y6" s="338">
        <v>13836.93</v>
      </c>
      <c r="Z6" s="338">
        <v>13845</v>
      </c>
      <c r="AA6" s="338">
        <v>13542.21</v>
      </c>
      <c r="AB6" s="338">
        <v>11261</v>
      </c>
      <c r="AC6" s="338">
        <v>18215.2</v>
      </c>
      <c r="AD6" s="338">
        <v>22013</v>
      </c>
      <c r="AE6" s="338">
        <v>46760</v>
      </c>
      <c r="AF6" s="338">
        <v>21277</v>
      </c>
      <c r="AG6" s="338">
        <v>35054</v>
      </c>
    </row>
    <row r="7" spans="1:33" s="231" customFormat="1" ht="15.95" customHeight="1" x14ac:dyDescent="0.25">
      <c r="A7" s="341" t="s">
        <v>356</v>
      </c>
      <c r="B7" s="338">
        <v>47250</v>
      </c>
      <c r="C7" s="338">
        <v>45580</v>
      </c>
      <c r="D7" s="338">
        <v>67915</v>
      </c>
      <c r="E7" s="338">
        <v>138423</v>
      </c>
      <c r="F7" s="338">
        <v>354263.46</v>
      </c>
      <c r="G7" s="338">
        <v>431758.76</v>
      </c>
      <c r="H7" s="338">
        <v>468544</v>
      </c>
      <c r="I7" s="338">
        <v>326260.88</v>
      </c>
      <c r="J7" s="338">
        <v>360958.48</v>
      </c>
      <c r="K7" s="338">
        <v>238478.07</v>
      </c>
      <c r="L7" s="338">
        <v>403323.11</v>
      </c>
      <c r="M7" s="338">
        <v>663170.69999999995</v>
      </c>
      <c r="N7" s="338">
        <v>491120.07</v>
      </c>
      <c r="O7" s="338">
        <v>297621</v>
      </c>
      <c r="P7" s="338">
        <v>638929.201</v>
      </c>
      <c r="Q7" s="338">
        <v>1176370.2350000001</v>
      </c>
      <c r="R7" s="338">
        <v>948636.84199999995</v>
      </c>
      <c r="S7" s="338">
        <v>1343038.0110000002</v>
      </c>
      <c r="T7" s="338">
        <v>1720893.9109999998</v>
      </c>
      <c r="U7" s="338">
        <v>2020623.38</v>
      </c>
      <c r="V7" s="338">
        <v>1120043.3599999999</v>
      </c>
      <c r="W7" s="338">
        <v>1021502.349</v>
      </c>
      <c r="X7" s="338">
        <v>1098545.7213999999</v>
      </c>
      <c r="Y7" s="338">
        <v>1270987.5190000003</v>
      </c>
      <c r="Z7" s="338">
        <v>1273154.0934000001</v>
      </c>
      <c r="AA7" s="338">
        <v>1419777.9950000001</v>
      </c>
      <c r="AB7" s="338">
        <v>1368114.2930000001</v>
      </c>
      <c r="AC7" s="338">
        <v>1382742.5250000001</v>
      </c>
      <c r="AD7" s="338">
        <v>1139282.2315000002</v>
      </c>
      <c r="AE7" s="338">
        <v>1377764.9827339998</v>
      </c>
      <c r="AF7" s="338">
        <v>632990.27863199986</v>
      </c>
      <c r="AG7" s="338">
        <v>1441426.7163420003</v>
      </c>
    </row>
    <row r="8" spans="1:33" s="231" customFormat="1" ht="15.95" customHeight="1" x14ac:dyDescent="0.25">
      <c r="A8" s="341" t="s">
        <v>84</v>
      </c>
      <c r="B8" s="338">
        <v>330220</v>
      </c>
      <c r="C8" s="338">
        <v>325215</v>
      </c>
      <c r="D8" s="338">
        <v>326115</v>
      </c>
      <c r="E8" s="338">
        <v>320211</v>
      </c>
      <c r="F8" s="338">
        <v>315791</v>
      </c>
      <c r="G8" s="338">
        <v>345903</v>
      </c>
      <c r="H8" s="338">
        <v>928408</v>
      </c>
      <c r="I8" s="338">
        <v>693836.94</v>
      </c>
      <c r="J8" s="338">
        <v>473669.7</v>
      </c>
      <c r="K8" s="338">
        <v>420019.09</v>
      </c>
      <c r="L8" s="338">
        <v>648262.26</v>
      </c>
      <c r="M8" s="338">
        <v>526900.84</v>
      </c>
      <c r="N8" s="338">
        <v>849975.73</v>
      </c>
      <c r="O8" s="338">
        <v>893536.39</v>
      </c>
      <c r="P8" s="338">
        <v>883512.41</v>
      </c>
      <c r="Q8" s="338">
        <v>1277872.865</v>
      </c>
      <c r="R8" s="338">
        <v>2041654.5500000003</v>
      </c>
      <c r="S8" s="338">
        <v>2248250.3309999998</v>
      </c>
      <c r="T8" s="338">
        <v>2802139.0799999996</v>
      </c>
      <c r="U8" s="338">
        <v>2908416.8760000002</v>
      </c>
      <c r="V8" s="338">
        <v>1906772.92</v>
      </c>
      <c r="W8" s="338">
        <v>1069533.5350000001</v>
      </c>
      <c r="X8" s="338">
        <v>1293368.665</v>
      </c>
      <c r="Y8" s="338">
        <v>910578.9</v>
      </c>
      <c r="Z8" s="338">
        <v>1213403.78764</v>
      </c>
      <c r="AA8" s="338">
        <v>1873669.074</v>
      </c>
      <c r="AB8" s="338">
        <v>1699370.67</v>
      </c>
      <c r="AC8" s="338">
        <v>1501714.7755999998</v>
      </c>
      <c r="AD8" s="338">
        <v>1618978.939</v>
      </c>
      <c r="AE8" s="338">
        <v>1922161.8069999996</v>
      </c>
      <c r="AF8" s="338">
        <v>914081.13899999985</v>
      </c>
      <c r="AG8" s="338">
        <v>1476454.75</v>
      </c>
    </row>
    <row r="9" spans="1:33" s="231" customFormat="1" ht="15.95" customHeight="1" x14ac:dyDescent="0.25">
      <c r="A9" s="341" t="s">
        <v>85</v>
      </c>
      <c r="B9" s="338">
        <v>0</v>
      </c>
      <c r="C9" s="338">
        <v>0</v>
      </c>
      <c r="D9" s="338">
        <v>0</v>
      </c>
      <c r="E9" s="338">
        <v>0</v>
      </c>
      <c r="F9" s="338">
        <v>0</v>
      </c>
      <c r="G9" s="338">
        <v>0</v>
      </c>
      <c r="H9" s="338">
        <v>0</v>
      </c>
      <c r="I9" s="338">
        <v>0</v>
      </c>
      <c r="J9" s="338">
        <v>0</v>
      </c>
      <c r="K9" s="338">
        <v>0</v>
      </c>
      <c r="L9" s="338">
        <v>0</v>
      </c>
      <c r="M9" s="338">
        <v>0</v>
      </c>
      <c r="N9" s="338">
        <v>0</v>
      </c>
      <c r="O9" s="338">
        <v>0</v>
      </c>
      <c r="P9" s="338">
        <v>0</v>
      </c>
      <c r="Q9" s="338">
        <v>0</v>
      </c>
      <c r="R9" s="338">
        <v>23834</v>
      </c>
      <c r="S9" s="338">
        <v>125795.17000000001</v>
      </c>
      <c r="T9" s="338">
        <v>142677.45000000001</v>
      </c>
      <c r="U9" s="338">
        <v>94153.21</v>
      </c>
      <c r="V9" s="338">
        <v>97474.26999999999</v>
      </c>
      <c r="W9" s="338">
        <v>92148.1</v>
      </c>
      <c r="X9" s="338">
        <v>88507.89</v>
      </c>
      <c r="Y9" s="338">
        <v>75404.86099999999</v>
      </c>
      <c r="Z9" s="338">
        <v>47491.38</v>
      </c>
      <c r="AA9" s="338">
        <v>84853.98</v>
      </c>
      <c r="AB9" s="338">
        <v>74634.12999999999</v>
      </c>
      <c r="AC9" s="338">
        <v>73022.133000000002</v>
      </c>
      <c r="AD9" s="338">
        <v>67757.73000000001</v>
      </c>
      <c r="AE9" s="338">
        <v>43853.01</v>
      </c>
      <c r="AF9" s="338">
        <v>41058.430000000008</v>
      </c>
      <c r="AG9" s="338">
        <v>27771.97</v>
      </c>
    </row>
    <row r="10" spans="1:33" s="231" customFormat="1" ht="15.95" customHeight="1" x14ac:dyDescent="0.25">
      <c r="A10" s="341" t="s">
        <v>86</v>
      </c>
      <c r="B10" s="338">
        <v>0</v>
      </c>
      <c r="C10" s="338">
        <v>0</v>
      </c>
      <c r="D10" s="338">
        <v>0</v>
      </c>
      <c r="E10" s="338">
        <v>0</v>
      </c>
      <c r="F10" s="338">
        <v>0</v>
      </c>
      <c r="G10" s="338">
        <v>0</v>
      </c>
      <c r="H10" s="338">
        <v>0</v>
      </c>
      <c r="I10" s="338">
        <v>0</v>
      </c>
      <c r="J10" s="338">
        <v>0</v>
      </c>
      <c r="K10" s="338">
        <v>0</v>
      </c>
      <c r="L10" s="338">
        <v>0</v>
      </c>
      <c r="M10" s="338">
        <v>0</v>
      </c>
      <c r="N10" s="338">
        <v>0</v>
      </c>
      <c r="O10" s="338">
        <v>0</v>
      </c>
      <c r="P10" s="338">
        <v>0</v>
      </c>
      <c r="Q10" s="338">
        <v>0</v>
      </c>
      <c r="R10" s="338">
        <v>0</v>
      </c>
      <c r="S10" s="338">
        <v>0</v>
      </c>
      <c r="T10" s="338">
        <v>0</v>
      </c>
      <c r="U10" s="338">
        <v>0</v>
      </c>
      <c r="V10" s="338">
        <v>0</v>
      </c>
      <c r="W10" s="338">
        <v>0</v>
      </c>
      <c r="X10" s="338">
        <v>0</v>
      </c>
      <c r="Y10" s="338">
        <v>0</v>
      </c>
      <c r="Z10" s="338">
        <v>0</v>
      </c>
      <c r="AA10" s="339">
        <v>0</v>
      </c>
      <c r="AB10" s="338">
        <v>0</v>
      </c>
      <c r="AC10" s="338">
        <v>0</v>
      </c>
      <c r="AD10" s="338">
        <v>132913.20000000001</v>
      </c>
      <c r="AE10" s="338">
        <v>0</v>
      </c>
      <c r="AF10" s="338">
        <v>0</v>
      </c>
      <c r="AG10" s="338">
        <v>0</v>
      </c>
    </row>
    <row r="11" spans="1:33" s="231" customFormat="1" ht="15.95" customHeight="1" x14ac:dyDescent="0.25">
      <c r="A11" s="341" t="s">
        <v>87</v>
      </c>
      <c r="B11" s="338">
        <v>10505</v>
      </c>
      <c r="C11" s="338">
        <v>9250</v>
      </c>
      <c r="D11" s="338">
        <v>16579</v>
      </c>
      <c r="E11" s="338">
        <v>23988</v>
      </c>
      <c r="F11" s="338">
        <v>53074</v>
      </c>
      <c r="G11" s="338">
        <v>37476.400000000001</v>
      </c>
      <c r="H11" s="338">
        <v>37103</v>
      </c>
      <c r="I11" s="338">
        <v>63726.81</v>
      </c>
      <c r="J11" s="338">
        <v>7506.33</v>
      </c>
      <c r="K11" s="338">
        <v>3511.5</v>
      </c>
      <c r="L11" s="338">
        <v>11402.78</v>
      </c>
      <c r="M11" s="338">
        <v>11030.66</v>
      </c>
      <c r="N11" s="338">
        <v>3805.99</v>
      </c>
      <c r="O11" s="338">
        <v>2906.03</v>
      </c>
      <c r="P11" s="338">
        <v>3605.94</v>
      </c>
      <c r="Q11" s="338">
        <v>5647.2749999999996</v>
      </c>
      <c r="R11" s="338">
        <v>1503.9700000000003</v>
      </c>
      <c r="S11" s="338">
        <v>27385.955000000002</v>
      </c>
      <c r="T11" s="338">
        <v>45212.98</v>
      </c>
      <c r="U11" s="338">
        <v>27881.486000000004</v>
      </c>
      <c r="V11" s="338">
        <v>52275.447</v>
      </c>
      <c r="W11" s="338">
        <v>87848.09199999999</v>
      </c>
      <c r="X11" s="338">
        <v>79451.413</v>
      </c>
      <c r="Y11" s="338">
        <v>53139.334000000003</v>
      </c>
      <c r="Z11" s="338">
        <v>106071.48750000002</v>
      </c>
      <c r="AA11" s="338">
        <v>28407.035</v>
      </c>
      <c r="AB11" s="338">
        <v>7952.9</v>
      </c>
      <c r="AC11" s="338">
        <v>9182.119999999999</v>
      </c>
      <c r="AD11" s="338">
        <v>15621.406000000001</v>
      </c>
      <c r="AE11" s="338">
        <v>16372.529999999999</v>
      </c>
      <c r="AF11" s="338">
        <v>5242.3149999999987</v>
      </c>
      <c r="AG11" s="338">
        <v>10361.01</v>
      </c>
    </row>
    <row r="12" spans="1:33" s="231" customFormat="1" ht="15.95" customHeight="1" x14ac:dyDescent="0.25">
      <c r="A12" s="341" t="s">
        <v>88</v>
      </c>
      <c r="B12" s="338">
        <v>25205</v>
      </c>
      <c r="C12" s="338">
        <v>14611</v>
      </c>
      <c r="D12" s="338">
        <v>14210</v>
      </c>
      <c r="E12" s="338">
        <v>10250</v>
      </c>
      <c r="F12" s="338">
        <v>27682</v>
      </c>
      <c r="G12" s="338">
        <v>26961.21</v>
      </c>
      <c r="H12" s="338">
        <v>18592</v>
      </c>
      <c r="I12" s="338">
        <v>20171.45</v>
      </c>
      <c r="J12" s="338">
        <v>19562.7</v>
      </c>
      <c r="K12" s="338">
        <v>19658.650000000001</v>
      </c>
      <c r="L12" s="338">
        <v>21059.439999999999</v>
      </c>
      <c r="M12" s="338">
        <v>18217.419999999998</v>
      </c>
      <c r="N12" s="338">
        <v>20760.080000000002</v>
      </c>
      <c r="O12" s="338">
        <v>15290</v>
      </c>
      <c r="P12" s="338">
        <v>18470.634999999998</v>
      </c>
      <c r="Q12" s="338">
        <v>19027.555</v>
      </c>
      <c r="R12" s="338">
        <v>27108.517</v>
      </c>
      <c r="S12" s="338">
        <v>21455.629999999997</v>
      </c>
      <c r="T12" s="338">
        <v>31565.863000000001</v>
      </c>
      <c r="U12" s="338">
        <v>119452.46699999999</v>
      </c>
      <c r="V12" s="338">
        <v>44265.745000000003</v>
      </c>
      <c r="W12" s="338">
        <v>27533.723000999998</v>
      </c>
      <c r="X12" s="338">
        <v>22976.578999999998</v>
      </c>
      <c r="Y12" s="338">
        <v>47744.403000000006</v>
      </c>
      <c r="Z12" s="338">
        <v>37374.966</v>
      </c>
      <c r="AA12" s="338">
        <v>21340.811000000005</v>
      </c>
      <c r="AB12" s="338">
        <v>19410.187999999998</v>
      </c>
      <c r="AC12" s="338">
        <v>755.80399999999997</v>
      </c>
      <c r="AD12" s="338">
        <v>2383.1580000000004</v>
      </c>
      <c r="AE12" s="338">
        <v>46886.991999999998</v>
      </c>
      <c r="AF12" s="338">
        <v>25532.445</v>
      </c>
      <c r="AG12" s="338">
        <v>56199.278000000006</v>
      </c>
    </row>
    <row r="13" spans="1:33" s="231" customFormat="1" ht="15.95" customHeight="1" x14ac:dyDescent="0.25">
      <c r="A13" s="341" t="s">
        <v>89</v>
      </c>
      <c r="B13" s="338">
        <v>17210</v>
      </c>
      <c r="C13" s="338">
        <v>19644</v>
      </c>
      <c r="D13" s="338">
        <v>26613</v>
      </c>
      <c r="E13" s="338">
        <v>36472</v>
      </c>
      <c r="F13" s="338">
        <v>40991.42</v>
      </c>
      <c r="G13" s="338">
        <v>40580.81</v>
      </c>
      <c r="H13" s="338">
        <v>39982</v>
      </c>
      <c r="I13" s="338">
        <v>53988</v>
      </c>
      <c r="J13" s="338">
        <v>92030</v>
      </c>
      <c r="K13" s="338">
        <v>48094</v>
      </c>
      <c r="L13" s="338">
        <v>150669</v>
      </c>
      <c r="M13" s="338">
        <v>152884</v>
      </c>
      <c r="N13" s="338">
        <v>143650</v>
      </c>
      <c r="O13" s="338">
        <v>243822</v>
      </c>
      <c r="P13" s="338">
        <v>9728.7000000000007</v>
      </c>
      <c r="Q13" s="338">
        <v>147461</v>
      </c>
      <c r="R13" s="338"/>
      <c r="S13" s="338">
        <v>233993.8</v>
      </c>
      <c r="T13" s="338">
        <v>349891.64899999998</v>
      </c>
      <c r="U13" s="338">
        <v>187221.31</v>
      </c>
      <c r="V13" s="338">
        <v>292855.08</v>
      </c>
      <c r="W13" s="338"/>
      <c r="X13" s="338">
        <v>104072</v>
      </c>
      <c r="Y13" s="338">
        <v>224454</v>
      </c>
      <c r="Z13" s="338">
        <v>239725.18</v>
      </c>
      <c r="AA13" s="338">
        <v>662709</v>
      </c>
      <c r="AB13" s="338">
        <v>33792.014999999999</v>
      </c>
      <c r="AC13" s="338">
        <v>0</v>
      </c>
      <c r="AD13" s="338">
        <v>100551.95999999999</v>
      </c>
      <c r="AE13" s="338">
        <v>111108.1731</v>
      </c>
      <c r="AF13" s="338">
        <v>43645.04</v>
      </c>
      <c r="AG13" s="338">
        <v>246362.02000000002</v>
      </c>
    </row>
    <row r="14" spans="1:33" s="231" customFormat="1" ht="15.95" customHeight="1" x14ac:dyDescent="0.25">
      <c r="A14" s="341" t="s">
        <v>90</v>
      </c>
      <c r="B14" s="338">
        <v>0</v>
      </c>
      <c r="C14" s="338">
        <v>0</v>
      </c>
      <c r="D14" s="338">
        <v>0</v>
      </c>
      <c r="E14" s="338">
        <v>0</v>
      </c>
      <c r="F14" s="338">
        <v>0</v>
      </c>
      <c r="G14" s="338">
        <v>0</v>
      </c>
      <c r="H14" s="338">
        <v>0</v>
      </c>
      <c r="I14" s="338">
        <v>0</v>
      </c>
      <c r="J14" s="338">
        <v>46820.68</v>
      </c>
      <c r="K14" s="338">
        <v>9037.65</v>
      </c>
      <c r="L14" s="338">
        <v>0</v>
      </c>
      <c r="M14" s="338">
        <v>0</v>
      </c>
      <c r="N14" s="338">
        <v>0</v>
      </c>
      <c r="O14" s="338">
        <v>0</v>
      </c>
      <c r="P14" s="338">
        <v>674.37</v>
      </c>
      <c r="Q14" s="338">
        <v>5061.04</v>
      </c>
      <c r="R14" s="338">
        <v>205342.68099999998</v>
      </c>
      <c r="S14" s="338">
        <v>351920.185</v>
      </c>
      <c r="T14" s="338">
        <v>312812.99800000008</v>
      </c>
      <c r="U14" s="338">
        <v>506540.67499999999</v>
      </c>
      <c r="V14" s="338">
        <v>331155.95</v>
      </c>
      <c r="W14" s="338">
        <v>421597.89</v>
      </c>
      <c r="X14" s="338">
        <v>752088.23499999999</v>
      </c>
      <c r="Y14" s="338">
        <v>648097.06500000006</v>
      </c>
      <c r="Z14" s="338">
        <v>1006526.64</v>
      </c>
      <c r="AA14" s="338">
        <v>1587264.68</v>
      </c>
      <c r="AB14" s="338">
        <v>2149980.84</v>
      </c>
      <c r="AC14" s="338">
        <v>1908364.2550000001</v>
      </c>
      <c r="AD14" s="338">
        <v>2157357.915</v>
      </c>
      <c r="AE14" s="338">
        <v>2036524.2520000003</v>
      </c>
      <c r="AF14" s="338">
        <v>1052618.1269999999</v>
      </c>
      <c r="AG14" s="338">
        <v>1629637.02</v>
      </c>
    </row>
    <row r="15" spans="1:33" s="231" customFormat="1" ht="15.95" customHeight="1" x14ac:dyDescent="0.25">
      <c r="A15" s="341" t="s">
        <v>91</v>
      </c>
      <c r="B15" s="338">
        <v>3198715</v>
      </c>
      <c r="C15" s="338">
        <v>2472730</v>
      </c>
      <c r="D15" s="338">
        <v>1982458</v>
      </c>
      <c r="E15" s="338">
        <v>1607618</v>
      </c>
      <c r="F15" s="338">
        <v>4298528.49</v>
      </c>
      <c r="G15" s="338">
        <v>4315126.24</v>
      </c>
      <c r="H15" s="338">
        <v>4369013</v>
      </c>
      <c r="I15" s="338">
        <v>4412494.83</v>
      </c>
      <c r="J15" s="338">
        <v>5507770.3899999997</v>
      </c>
      <c r="K15" s="338">
        <v>4313471.7</v>
      </c>
      <c r="L15" s="338">
        <v>4334231.07</v>
      </c>
      <c r="M15" s="338">
        <v>4370864.8499999996</v>
      </c>
      <c r="N15" s="338">
        <v>5695391.79</v>
      </c>
      <c r="O15" s="338">
        <v>6021502.46</v>
      </c>
      <c r="P15" s="338">
        <v>6325052.6100000003</v>
      </c>
      <c r="Q15" s="338">
        <v>7385175.523</v>
      </c>
      <c r="R15" s="338">
        <v>7997025.720999998</v>
      </c>
      <c r="S15" s="338">
        <v>9610042.1889999993</v>
      </c>
      <c r="T15" s="338">
        <v>10364558.030999999</v>
      </c>
      <c r="U15" s="338">
        <v>10303922.211999997</v>
      </c>
      <c r="V15" s="338">
        <v>11527826.024000002</v>
      </c>
      <c r="W15" s="338">
        <v>11593903.369000001</v>
      </c>
      <c r="X15" s="338">
        <v>16305797.085999999</v>
      </c>
      <c r="Y15" s="338">
        <v>16768761.552999999</v>
      </c>
      <c r="Z15" s="338">
        <v>21985639.484999999</v>
      </c>
      <c r="AA15" s="338">
        <v>24661948.447900001</v>
      </c>
      <c r="AB15" s="338">
        <v>18819423.771999989</v>
      </c>
      <c r="AC15" s="338">
        <v>20273311.866999999</v>
      </c>
      <c r="AD15" s="338">
        <v>30515554.859000001</v>
      </c>
      <c r="AE15" s="338">
        <v>16385556.227000002</v>
      </c>
      <c r="AF15" s="338">
        <v>20571606.174806997</v>
      </c>
      <c r="AG15" s="338">
        <v>29818188.053002015</v>
      </c>
    </row>
    <row r="16" spans="1:33" s="231" customFormat="1" ht="15.95" customHeight="1" x14ac:dyDescent="0.25">
      <c r="A16" s="341" t="s">
        <v>92</v>
      </c>
      <c r="B16" s="338">
        <v>3020</v>
      </c>
      <c r="C16" s="338">
        <v>5245</v>
      </c>
      <c r="D16" s="338">
        <v>1338</v>
      </c>
      <c r="E16" s="338">
        <v>4778</v>
      </c>
      <c r="F16" s="338">
        <v>7908</v>
      </c>
      <c r="G16" s="338">
        <v>8444.8799999999992</v>
      </c>
      <c r="H16" s="338">
        <v>14295</v>
      </c>
      <c r="I16" s="338">
        <v>7874.55</v>
      </c>
      <c r="J16" s="338">
        <v>4967.57</v>
      </c>
      <c r="K16" s="338">
        <v>1332.32</v>
      </c>
      <c r="L16" s="338">
        <v>6165.25</v>
      </c>
      <c r="M16" s="338">
        <v>5478.4</v>
      </c>
      <c r="N16" s="338">
        <v>1933.96</v>
      </c>
      <c r="O16" s="338">
        <v>2653</v>
      </c>
      <c r="P16" s="338">
        <v>2719.64</v>
      </c>
      <c r="Q16" s="338">
        <v>2567.2600000000002</v>
      </c>
      <c r="R16" s="338">
        <v>5056.2999999999993</v>
      </c>
      <c r="S16" s="338">
        <v>4780.6859999999997</v>
      </c>
      <c r="T16" s="338">
        <v>13229.983999999999</v>
      </c>
      <c r="U16" s="338">
        <v>9655.1550000000007</v>
      </c>
      <c r="V16" s="338">
        <v>16677.52</v>
      </c>
      <c r="W16" s="338">
        <v>18168.847000000002</v>
      </c>
      <c r="X16" s="338">
        <v>34585.466</v>
      </c>
      <c r="Y16" s="338">
        <v>32248.629999999997</v>
      </c>
      <c r="Z16" s="338">
        <v>19963.88</v>
      </c>
      <c r="AA16" s="338">
        <v>43250.824999999997</v>
      </c>
      <c r="AB16" s="338">
        <v>19097.594999999998</v>
      </c>
      <c r="AC16" s="338">
        <v>17700.056</v>
      </c>
      <c r="AD16" s="338">
        <v>16003.561000000002</v>
      </c>
      <c r="AE16" s="338">
        <v>9208.0729999999985</v>
      </c>
      <c r="AF16" s="338">
        <v>12536.020000000002</v>
      </c>
      <c r="AG16" s="338">
        <v>13141.602000000001</v>
      </c>
    </row>
    <row r="17" spans="1:33" s="232" customFormat="1" ht="16.5" hidden="1" x14ac:dyDescent="0.25">
      <c r="A17" s="342" t="s">
        <v>93</v>
      </c>
      <c r="B17" s="339">
        <v>20201</v>
      </c>
      <c r="C17" s="339">
        <v>10790</v>
      </c>
      <c r="D17" s="339">
        <v>80980</v>
      </c>
      <c r="E17" s="339">
        <v>31095</v>
      </c>
      <c r="F17" s="339">
        <v>22023.87</v>
      </c>
      <c r="G17" s="339">
        <v>17415.98</v>
      </c>
      <c r="H17" s="339">
        <v>20699</v>
      </c>
      <c r="I17" s="339">
        <v>21694.44</v>
      </c>
      <c r="J17" s="339">
        <v>7385.3600000000006</v>
      </c>
      <c r="K17" s="339">
        <v>1488.47</v>
      </c>
      <c r="L17" s="339">
        <v>16624.89</v>
      </c>
      <c r="M17" s="339">
        <v>20219.46</v>
      </c>
      <c r="N17" s="339">
        <v>21579</v>
      </c>
      <c r="O17" s="339">
        <v>17103.63</v>
      </c>
      <c r="P17" s="339">
        <v>0</v>
      </c>
      <c r="Q17" s="339">
        <v>0</v>
      </c>
      <c r="R17" s="339">
        <v>0</v>
      </c>
      <c r="S17" s="339">
        <v>0</v>
      </c>
      <c r="T17" s="339">
        <v>0</v>
      </c>
      <c r="U17" s="339">
        <v>0</v>
      </c>
      <c r="V17" s="339">
        <v>0</v>
      </c>
      <c r="W17" s="339">
        <v>0</v>
      </c>
      <c r="X17" s="339">
        <v>0</v>
      </c>
      <c r="Y17" s="339">
        <v>0</v>
      </c>
      <c r="Z17" s="339">
        <v>0</v>
      </c>
      <c r="AA17" s="339">
        <v>0</v>
      </c>
      <c r="AB17" s="339">
        <v>0</v>
      </c>
      <c r="AC17" s="339">
        <v>0</v>
      </c>
      <c r="AD17" s="339">
        <v>0</v>
      </c>
      <c r="AE17" s="339">
        <v>0</v>
      </c>
      <c r="AF17" s="339">
        <v>0</v>
      </c>
      <c r="AG17" s="339">
        <v>0</v>
      </c>
    </row>
    <row r="18" spans="1:33" s="231" customFormat="1" ht="15.95" customHeight="1" x14ac:dyDescent="0.25">
      <c r="A18" s="341" t="s">
        <v>94</v>
      </c>
      <c r="B18" s="338" t="s">
        <v>22</v>
      </c>
      <c r="C18" s="338" t="s">
        <v>22</v>
      </c>
      <c r="D18" s="338" t="s">
        <v>22</v>
      </c>
      <c r="E18" s="338" t="s">
        <v>22</v>
      </c>
      <c r="F18" s="338" t="s">
        <v>22</v>
      </c>
      <c r="G18" s="338" t="s">
        <v>22</v>
      </c>
      <c r="H18" s="338" t="s">
        <v>22</v>
      </c>
      <c r="I18" s="338" t="s">
        <v>22</v>
      </c>
      <c r="J18" s="338" t="s">
        <v>22</v>
      </c>
      <c r="K18" s="338" t="s">
        <v>22</v>
      </c>
      <c r="L18" s="338" t="s">
        <v>22</v>
      </c>
      <c r="M18" s="338" t="s">
        <v>22</v>
      </c>
      <c r="N18" s="338" t="s">
        <v>22</v>
      </c>
      <c r="O18" s="338" t="s">
        <v>22</v>
      </c>
      <c r="P18" s="338">
        <v>15912</v>
      </c>
      <c r="Q18" s="338">
        <v>32445</v>
      </c>
      <c r="R18" s="338">
        <v>43001</v>
      </c>
      <c r="S18" s="338">
        <v>51514</v>
      </c>
      <c r="T18" s="338">
        <v>65038.849999999991</v>
      </c>
      <c r="U18" s="338">
        <v>63829.51999999999</v>
      </c>
      <c r="V18" s="338">
        <v>63382.15</v>
      </c>
      <c r="W18" s="338">
        <v>77238.81</v>
      </c>
      <c r="X18" s="338">
        <v>123685.55</v>
      </c>
      <c r="Y18" s="338">
        <v>110455.04000000001</v>
      </c>
      <c r="Z18" s="338">
        <v>97889.48</v>
      </c>
      <c r="AA18" s="338">
        <v>143207.80000000002</v>
      </c>
      <c r="AB18" s="338">
        <v>150639.95000000001</v>
      </c>
      <c r="AC18" s="338">
        <v>186043.98</v>
      </c>
      <c r="AD18" s="338">
        <v>106427.14</v>
      </c>
      <c r="AE18" s="338">
        <v>111614.26</v>
      </c>
      <c r="AF18" s="338">
        <v>99434.477999999974</v>
      </c>
      <c r="AG18" s="338">
        <v>77401.849999999991</v>
      </c>
    </row>
    <row r="19" spans="1:33" s="231" customFormat="1" ht="15.95" customHeight="1" x14ac:dyDescent="0.25">
      <c r="A19" s="341" t="s">
        <v>95</v>
      </c>
      <c r="B19" s="338" t="s">
        <v>22</v>
      </c>
      <c r="C19" s="338" t="s">
        <v>22</v>
      </c>
      <c r="D19" s="338" t="s">
        <v>22</v>
      </c>
      <c r="E19" s="338" t="s">
        <v>22</v>
      </c>
      <c r="F19" s="338" t="s">
        <v>22</v>
      </c>
      <c r="G19" s="338" t="s">
        <v>22</v>
      </c>
      <c r="H19" s="338" t="s">
        <v>22</v>
      </c>
      <c r="I19" s="338" t="s">
        <v>22</v>
      </c>
      <c r="J19" s="338" t="s">
        <v>22</v>
      </c>
      <c r="K19" s="338" t="s">
        <v>22</v>
      </c>
      <c r="L19" s="338" t="s">
        <v>22</v>
      </c>
      <c r="M19" s="338" t="s">
        <v>22</v>
      </c>
      <c r="N19" s="338" t="s">
        <v>22</v>
      </c>
      <c r="O19" s="338" t="s">
        <v>22</v>
      </c>
      <c r="P19" s="338">
        <v>13472</v>
      </c>
      <c r="Q19" s="338">
        <v>26366</v>
      </c>
      <c r="R19" s="338">
        <f>28158+2000</f>
        <v>30158</v>
      </c>
      <c r="S19" s="338">
        <v>49080</v>
      </c>
      <c r="T19" s="338">
        <v>65648.656999999992</v>
      </c>
      <c r="U19" s="338">
        <v>78290.12</v>
      </c>
      <c r="V19" s="338">
        <v>57571.42</v>
      </c>
      <c r="W19" s="338">
        <v>105553.34000000001</v>
      </c>
      <c r="X19" s="338">
        <v>103222.26999999999</v>
      </c>
      <c r="Y19" s="338">
        <v>101430.22</v>
      </c>
      <c r="Z19" s="338">
        <v>131323.4</v>
      </c>
      <c r="AA19" s="338">
        <v>108580.38</v>
      </c>
      <c r="AB19" s="338">
        <v>118214.83</v>
      </c>
      <c r="AC19" s="338">
        <v>115132.46</v>
      </c>
      <c r="AD19" s="338">
        <v>112227.06</v>
      </c>
      <c r="AE19" s="338">
        <v>69395.360000000015</v>
      </c>
      <c r="AF19" s="338">
        <v>32081.280000000006</v>
      </c>
      <c r="AG19" s="338">
        <v>69579.819999999978</v>
      </c>
    </row>
    <row r="20" spans="1:33" s="231" customFormat="1" ht="15.95" customHeight="1" x14ac:dyDescent="0.25">
      <c r="A20" s="341" t="s">
        <v>96</v>
      </c>
      <c r="B20" s="338" t="s">
        <v>22</v>
      </c>
      <c r="C20" s="338" t="s">
        <v>22</v>
      </c>
      <c r="D20" s="338" t="s">
        <v>22</v>
      </c>
      <c r="E20" s="338" t="s">
        <v>22</v>
      </c>
      <c r="F20" s="338" t="s">
        <v>22</v>
      </c>
      <c r="G20" s="338" t="s">
        <v>22</v>
      </c>
      <c r="H20" s="338" t="s">
        <v>22</v>
      </c>
      <c r="I20" s="338" t="s">
        <v>22</v>
      </c>
      <c r="J20" s="338" t="s">
        <v>22</v>
      </c>
      <c r="K20" s="338" t="s">
        <v>22</v>
      </c>
      <c r="L20" s="338" t="s">
        <v>22</v>
      </c>
      <c r="M20" s="338" t="s">
        <v>22</v>
      </c>
      <c r="N20" s="338" t="s">
        <v>22</v>
      </c>
      <c r="O20" s="338" t="s">
        <v>22</v>
      </c>
      <c r="P20" s="338">
        <v>0</v>
      </c>
      <c r="Q20" s="338">
        <v>47</v>
      </c>
      <c r="R20" s="338">
        <v>0</v>
      </c>
      <c r="S20" s="338">
        <v>0</v>
      </c>
      <c r="T20" s="338">
        <v>0</v>
      </c>
      <c r="U20" s="338">
        <v>0</v>
      </c>
      <c r="V20" s="338">
        <v>0</v>
      </c>
      <c r="W20" s="338">
        <v>0</v>
      </c>
      <c r="X20" s="338">
        <v>0</v>
      </c>
      <c r="Y20" s="338">
        <v>0</v>
      </c>
      <c r="Z20" s="338">
        <v>0</v>
      </c>
      <c r="AA20" s="338">
        <v>0</v>
      </c>
      <c r="AB20" s="338">
        <v>28.28</v>
      </c>
      <c r="AC20" s="338">
        <v>269.53999999999996</v>
      </c>
      <c r="AD20" s="338">
        <v>132.88499999999999</v>
      </c>
      <c r="AE20" s="338">
        <v>12.950000000000001</v>
      </c>
      <c r="AF20" s="338">
        <v>0</v>
      </c>
      <c r="AG20" s="338">
        <v>0.79999999999999993</v>
      </c>
    </row>
    <row r="21" spans="1:33" s="231" customFormat="1" ht="15.95" customHeight="1" x14ac:dyDescent="0.25">
      <c r="A21" s="341" t="s">
        <v>97</v>
      </c>
      <c r="B21" s="338">
        <v>0</v>
      </c>
      <c r="C21" s="338">
        <v>0</v>
      </c>
      <c r="D21" s="338">
        <v>0</v>
      </c>
      <c r="E21" s="338">
        <v>0</v>
      </c>
      <c r="F21" s="338">
        <v>0</v>
      </c>
      <c r="G21" s="338">
        <v>0</v>
      </c>
      <c r="H21" s="338">
        <v>0</v>
      </c>
      <c r="I21" s="338">
        <v>0</v>
      </c>
      <c r="J21" s="338">
        <v>0</v>
      </c>
      <c r="K21" s="338">
        <v>0</v>
      </c>
      <c r="L21" s="338">
        <v>0</v>
      </c>
      <c r="M21" s="338">
        <v>0</v>
      </c>
      <c r="N21" s="338">
        <v>0</v>
      </c>
      <c r="O21" s="338">
        <v>0</v>
      </c>
      <c r="P21" s="338">
        <v>0</v>
      </c>
      <c r="Q21" s="338">
        <v>0</v>
      </c>
      <c r="R21" s="338">
        <v>21334.27</v>
      </c>
      <c r="S21" s="338">
        <v>2664.98</v>
      </c>
      <c r="T21" s="338">
        <v>6213.69</v>
      </c>
      <c r="U21" s="338">
        <v>3793.2000000000003</v>
      </c>
      <c r="V21" s="338">
        <v>5528.52</v>
      </c>
      <c r="W21" s="338">
        <v>17885.809999999998</v>
      </c>
      <c r="X21" s="338">
        <v>13484</v>
      </c>
      <c r="Y21" s="338">
        <v>20215.71</v>
      </c>
      <c r="Z21" s="338">
        <v>57864.023999999998</v>
      </c>
      <c r="AA21" s="338">
        <v>443363</v>
      </c>
      <c r="AB21" s="338">
        <v>1270521</v>
      </c>
      <c r="AC21" s="338">
        <v>922161</v>
      </c>
      <c r="AD21" s="338">
        <v>1400340.75</v>
      </c>
      <c r="AE21" s="338">
        <v>1628285</v>
      </c>
      <c r="AF21" s="338">
        <v>814159.40999999992</v>
      </c>
      <c r="AG21" s="338">
        <v>1478478.8199999998</v>
      </c>
    </row>
    <row r="22" spans="1:33" s="231" customFormat="1" ht="15.95" customHeight="1" x14ac:dyDescent="0.25">
      <c r="A22" s="341" t="s">
        <v>98</v>
      </c>
      <c r="B22" s="338">
        <v>0</v>
      </c>
      <c r="C22" s="338">
        <v>0</v>
      </c>
      <c r="D22" s="338">
        <v>0</v>
      </c>
      <c r="E22" s="338">
        <v>0</v>
      </c>
      <c r="F22" s="338">
        <v>0</v>
      </c>
      <c r="G22" s="338">
        <v>0</v>
      </c>
      <c r="H22" s="338">
        <v>0</v>
      </c>
      <c r="I22" s="338">
        <v>0</v>
      </c>
      <c r="J22" s="338">
        <v>0</v>
      </c>
      <c r="K22" s="338">
        <v>0</v>
      </c>
      <c r="L22" s="338">
        <v>0</v>
      </c>
      <c r="M22" s="338">
        <v>0</v>
      </c>
      <c r="N22" s="338">
        <v>0</v>
      </c>
      <c r="O22" s="338">
        <v>0</v>
      </c>
      <c r="P22" s="338">
        <v>0</v>
      </c>
      <c r="Q22" s="338">
        <v>0</v>
      </c>
      <c r="R22" s="338">
        <v>110590.728</v>
      </c>
      <c r="S22" s="338">
        <v>119425</v>
      </c>
      <c r="T22" s="338">
        <v>135221.23000000001</v>
      </c>
      <c r="U22" s="338">
        <v>126731.07799999999</v>
      </c>
      <c r="V22" s="338">
        <v>110572.60899999998</v>
      </c>
      <c r="W22" s="338">
        <v>108285.44100000001</v>
      </c>
      <c r="X22" s="338">
        <v>111164.094</v>
      </c>
      <c r="Y22" s="338">
        <v>109102.201</v>
      </c>
      <c r="Z22" s="338">
        <v>48031.285000000003</v>
      </c>
      <c r="AA22" s="338">
        <v>0</v>
      </c>
      <c r="AB22" s="338">
        <v>0</v>
      </c>
      <c r="AC22" s="338">
        <v>0</v>
      </c>
      <c r="AD22" s="338">
        <v>0</v>
      </c>
      <c r="AE22" s="338">
        <v>0</v>
      </c>
      <c r="AF22" s="338">
        <v>0</v>
      </c>
      <c r="AG22" s="338">
        <v>0</v>
      </c>
    </row>
    <row r="23" spans="1:33" s="231" customFormat="1" ht="15.95" customHeight="1" x14ac:dyDescent="0.25">
      <c r="A23" s="341" t="s">
        <v>99</v>
      </c>
      <c r="B23" s="338">
        <v>0</v>
      </c>
      <c r="C23" s="338">
        <v>0</v>
      </c>
      <c r="D23" s="338">
        <v>0</v>
      </c>
      <c r="E23" s="338">
        <v>0</v>
      </c>
      <c r="F23" s="338">
        <v>0</v>
      </c>
      <c r="G23" s="338">
        <v>0</v>
      </c>
      <c r="H23" s="338">
        <v>0</v>
      </c>
      <c r="I23" s="338">
        <v>0</v>
      </c>
      <c r="J23" s="338">
        <v>0</v>
      </c>
      <c r="K23" s="338">
        <v>0</v>
      </c>
      <c r="L23" s="338">
        <v>0</v>
      </c>
      <c r="M23" s="338">
        <v>0</v>
      </c>
      <c r="N23" s="338">
        <v>0</v>
      </c>
      <c r="O23" s="338">
        <v>0</v>
      </c>
      <c r="P23" s="338">
        <v>0</v>
      </c>
      <c r="Q23" s="338">
        <v>0</v>
      </c>
      <c r="R23" s="338">
        <v>0</v>
      </c>
      <c r="S23" s="338">
        <v>0</v>
      </c>
      <c r="T23" s="338">
        <v>0</v>
      </c>
      <c r="U23" s="338">
        <v>0</v>
      </c>
      <c r="V23" s="338">
        <v>0</v>
      </c>
      <c r="W23" s="338">
        <v>0</v>
      </c>
      <c r="X23" s="338">
        <v>0</v>
      </c>
      <c r="Y23" s="338">
        <v>130</v>
      </c>
      <c r="Z23" s="338">
        <v>0</v>
      </c>
      <c r="AA23" s="338">
        <v>0</v>
      </c>
      <c r="AB23" s="338">
        <v>0</v>
      </c>
      <c r="AC23" s="338">
        <v>0</v>
      </c>
      <c r="AD23" s="338">
        <v>0</v>
      </c>
      <c r="AE23" s="338">
        <v>0</v>
      </c>
      <c r="AF23" s="338">
        <v>0</v>
      </c>
      <c r="AG23" s="338">
        <v>0</v>
      </c>
    </row>
    <row r="24" spans="1:33" s="231" customFormat="1" ht="15.95" customHeight="1" x14ac:dyDescent="0.25">
      <c r="A24" s="341" t="s">
        <v>74</v>
      </c>
      <c r="B24" s="338">
        <v>0</v>
      </c>
      <c r="C24" s="338">
        <v>0</v>
      </c>
      <c r="D24" s="338">
        <v>0</v>
      </c>
      <c r="E24" s="338">
        <v>0</v>
      </c>
      <c r="F24" s="338">
        <v>0</v>
      </c>
      <c r="G24" s="338">
        <v>0</v>
      </c>
      <c r="H24" s="338">
        <v>0</v>
      </c>
      <c r="I24" s="338">
        <v>0</v>
      </c>
      <c r="J24" s="338">
        <v>0</v>
      </c>
      <c r="K24" s="338">
        <v>0</v>
      </c>
      <c r="L24" s="338">
        <v>0</v>
      </c>
      <c r="M24" s="338">
        <v>0</v>
      </c>
      <c r="N24" s="338">
        <v>0</v>
      </c>
      <c r="O24" s="338">
        <v>0</v>
      </c>
      <c r="P24" s="338">
        <v>0</v>
      </c>
      <c r="Q24" s="338">
        <v>0</v>
      </c>
      <c r="R24" s="338">
        <v>2095.4499999999998</v>
      </c>
      <c r="S24" s="338">
        <v>21606.559999999998</v>
      </c>
      <c r="T24" s="338">
        <v>12207.956</v>
      </c>
      <c r="U24" s="338">
        <v>11425.251</v>
      </c>
      <c r="V24" s="338">
        <v>18865.645</v>
      </c>
      <c r="W24" s="338">
        <v>57838.875</v>
      </c>
      <c r="X24" s="338">
        <v>93785.675000000003</v>
      </c>
      <c r="Y24" s="338">
        <v>124917.295</v>
      </c>
      <c r="Z24" s="338">
        <v>151398.21522000001</v>
      </c>
      <c r="AA24" s="338">
        <v>120671.515</v>
      </c>
      <c r="AB24" s="338">
        <v>107264.54000000001</v>
      </c>
      <c r="AC24" s="338">
        <v>96589.985000000001</v>
      </c>
      <c r="AD24" s="338">
        <v>96532.145000000004</v>
      </c>
      <c r="AE24" s="338">
        <v>91102.955000000002</v>
      </c>
      <c r="AF24" s="338">
        <v>85406.179999999978</v>
      </c>
      <c r="AG24" s="338">
        <v>94859.974000000017</v>
      </c>
    </row>
    <row r="25" spans="1:33" s="231" customFormat="1" ht="15.95" customHeight="1" x14ac:dyDescent="0.25">
      <c r="A25" s="341" t="s">
        <v>100</v>
      </c>
      <c r="B25" s="338">
        <v>0</v>
      </c>
      <c r="C25" s="338">
        <v>0</v>
      </c>
      <c r="D25" s="338">
        <v>0</v>
      </c>
      <c r="E25" s="338">
        <v>0</v>
      </c>
      <c r="F25" s="338">
        <v>0</v>
      </c>
      <c r="G25" s="338">
        <v>0</v>
      </c>
      <c r="H25" s="338">
        <v>0</v>
      </c>
      <c r="I25" s="338">
        <v>0</v>
      </c>
      <c r="J25" s="338">
        <v>0</v>
      </c>
      <c r="K25" s="338">
        <v>0</v>
      </c>
      <c r="L25" s="338">
        <v>0</v>
      </c>
      <c r="M25" s="338">
        <v>0</v>
      </c>
      <c r="N25" s="338">
        <v>0</v>
      </c>
      <c r="O25" s="338">
        <v>0</v>
      </c>
      <c r="P25" s="338">
        <v>0</v>
      </c>
      <c r="Q25" s="338">
        <v>0</v>
      </c>
      <c r="R25" s="338">
        <v>0</v>
      </c>
      <c r="S25" s="338">
        <v>0</v>
      </c>
      <c r="T25" s="338">
        <v>0</v>
      </c>
      <c r="U25" s="338">
        <v>0</v>
      </c>
      <c r="V25" s="338">
        <v>0</v>
      </c>
      <c r="W25" s="338">
        <v>7</v>
      </c>
      <c r="X25" s="338">
        <v>2545.1999999999998</v>
      </c>
      <c r="Y25" s="338">
        <v>0</v>
      </c>
      <c r="Z25" s="338">
        <v>0</v>
      </c>
      <c r="AA25" s="338">
        <v>332</v>
      </c>
      <c r="AB25" s="338">
        <v>91</v>
      </c>
      <c r="AC25" s="338">
        <v>0</v>
      </c>
      <c r="AD25" s="338">
        <v>8469.4599999999991</v>
      </c>
      <c r="AE25" s="338">
        <v>35845.42</v>
      </c>
      <c r="AF25" s="338">
        <v>4533</v>
      </c>
      <c r="AG25" s="338">
        <v>8505.0649999999987</v>
      </c>
    </row>
    <row r="26" spans="1:33" s="231" customFormat="1" ht="15.95" customHeight="1" x14ac:dyDescent="0.25">
      <c r="A26" s="341" t="s">
        <v>101</v>
      </c>
      <c r="B26" s="338">
        <v>3010</v>
      </c>
      <c r="C26" s="338">
        <v>1273</v>
      </c>
      <c r="D26" s="338">
        <v>10021</v>
      </c>
      <c r="E26" s="338">
        <v>11385</v>
      </c>
      <c r="F26" s="338">
        <v>14808</v>
      </c>
      <c r="G26" s="338">
        <v>9098.68</v>
      </c>
      <c r="H26" s="338">
        <v>5918</v>
      </c>
      <c r="I26" s="338">
        <v>2502.08</v>
      </c>
      <c r="J26" s="338">
        <v>3983.36</v>
      </c>
      <c r="K26" s="338">
        <v>1593.95</v>
      </c>
      <c r="L26" s="338">
        <v>5487.22</v>
      </c>
      <c r="M26" s="338">
        <v>3061.87</v>
      </c>
      <c r="N26" s="338">
        <v>6018.45</v>
      </c>
      <c r="O26" s="338">
        <v>7348.89</v>
      </c>
      <c r="P26" s="338">
        <v>6004.59</v>
      </c>
      <c r="Q26" s="338">
        <v>8875.85</v>
      </c>
      <c r="R26" s="338">
        <v>9286.6299999999992</v>
      </c>
      <c r="S26" s="338">
        <v>15471.964</v>
      </c>
      <c r="T26" s="338">
        <v>13352.823</v>
      </c>
      <c r="U26" s="338">
        <v>5154.3049999999994</v>
      </c>
      <c r="V26" s="338">
        <v>3589.2409999999995</v>
      </c>
      <c r="W26" s="338">
        <v>11645.125999999998</v>
      </c>
      <c r="X26" s="338">
        <v>26358.527999999998</v>
      </c>
      <c r="Y26" s="338">
        <v>22695.111999999997</v>
      </c>
      <c r="Z26" s="338">
        <v>18018.864999999998</v>
      </c>
      <c r="AA26" s="338">
        <v>16979.095000000001</v>
      </c>
      <c r="AB26" s="338">
        <v>16629.769</v>
      </c>
      <c r="AC26" s="338">
        <v>14929.800999999999</v>
      </c>
      <c r="AD26" s="338">
        <v>31587.906000000003</v>
      </c>
      <c r="AE26" s="338">
        <v>29134.296000000002</v>
      </c>
      <c r="AF26" s="338">
        <v>24131.767999999996</v>
      </c>
      <c r="AG26" s="338">
        <v>27273.709000000003</v>
      </c>
    </row>
    <row r="27" spans="1:33" s="231" customFormat="1" ht="15.95" customHeight="1" x14ac:dyDescent="0.25">
      <c r="A27" s="341" t="s">
        <v>102</v>
      </c>
      <c r="B27" s="338">
        <v>0</v>
      </c>
      <c r="C27" s="338">
        <v>0</v>
      </c>
      <c r="D27" s="338">
        <v>0</v>
      </c>
      <c r="E27" s="338">
        <v>0</v>
      </c>
      <c r="F27" s="338">
        <v>0</v>
      </c>
      <c r="G27" s="338">
        <v>0</v>
      </c>
      <c r="H27" s="338">
        <v>0</v>
      </c>
      <c r="I27" s="338">
        <v>0</v>
      </c>
      <c r="J27" s="338">
        <v>46820.68</v>
      </c>
      <c r="K27" s="338">
        <v>9037.65</v>
      </c>
      <c r="L27" s="338">
        <v>5580.55</v>
      </c>
      <c r="M27" s="338">
        <v>4824.97</v>
      </c>
      <c r="N27" s="338">
        <v>45251.65</v>
      </c>
      <c r="O27" s="338">
        <v>11609.55</v>
      </c>
      <c r="P27" s="338">
        <v>45504</v>
      </c>
      <c r="Q27" s="338">
        <v>0</v>
      </c>
      <c r="R27" s="338">
        <v>0</v>
      </c>
      <c r="S27" s="338">
        <v>0</v>
      </c>
      <c r="T27" s="338">
        <v>0</v>
      </c>
      <c r="U27" s="338">
        <v>0</v>
      </c>
      <c r="V27" s="338">
        <v>1134086.3999999999</v>
      </c>
      <c r="W27" s="338">
        <v>8889295</v>
      </c>
      <c r="X27" s="338">
        <v>10345925</v>
      </c>
      <c r="Y27" s="338">
        <v>14842307</v>
      </c>
      <c r="Z27" s="338">
        <v>10884269</v>
      </c>
      <c r="AA27" s="338">
        <v>11161636</v>
      </c>
      <c r="AB27" s="338">
        <v>10561111</v>
      </c>
      <c r="AC27" s="338">
        <v>8450379.0199999996</v>
      </c>
      <c r="AD27" s="338">
        <v>10308276</v>
      </c>
      <c r="AE27" s="338">
        <v>11091501.800000001</v>
      </c>
      <c r="AF27" s="338">
        <v>8594180.1399999987</v>
      </c>
      <c r="AG27" s="338">
        <v>10776136.01</v>
      </c>
    </row>
    <row r="28" spans="1:33" s="232" customFormat="1" ht="16.5" hidden="1" x14ac:dyDescent="0.25">
      <c r="A28" s="342" t="s">
        <v>103</v>
      </c>
      <c r="B28" s="339">
        <v>0</v>
      </c>
      <c r="C28" s="339">
        <v>0</v>
      </c>
      <c r="D28" s="339">
        <v>0</v>
      </c>
      <c r="E28" s="339">
        <v>0</v>
      </c>
      <c r="F28" s="339">
        <v>0</v>
      </c>
      <c r="G28" s="339">
        <v>0</v>
      </c>
      <c r="H28" s="339">
        <v>0</v>
      </c>
      <c r="I28" s="339">
        <v>0</v>
      </c>
      <c r="J28" s="339">
        <v>0</v>
      </c>
      <c r="K28" s="339">
        <v>0</v>
      </c>
      <c r="L28" s="339">
        <v>0</v>
      </c>
      <c r="M28" s="339">
        <v>0</v>
      </c>
      <c r="N28" s="339">
        <v>0</v>
      </c>
      <c r="O28" s="339">
        <v>0</v>
      </c>
      <c r="P28" s="339">
        <v>0</v>
      </c>
      <c r="Q28" s="339">
        <v>0</v>
      </c>
      <c r="R28" s="339">
        <v>0</v>
      </c>
      <c r="S28" s="339">
        <v>0</v>
      </c>
      <c r="T28" s="339">
        <v>0</v>
      </c>
      <c r="U28" s="339">
        <v>1</v>
      </c>
      <c r="V28" s="339">
        <v>0</v>
      </c>
      <c r="W28" s="339">
        <v>0</v>
      </c>
      <c r="X28" s="339">
        <v>0</v>
      </c>
      <c r="Y28" s="339">
        <v>0</v>
      </c>
      <c r="Z28" s="339">
        <v>0</v>
      </c>
      <c r="AA28" s="339">
        <v>0</v>
      </c>
      <c r="AB28" s="339">
        <v>0</v>
      </c>
      <c r="AC28" s="339">
        <v>0</v>
      </c>
      <c r="AD28" s="339">
        <v>0</v>
      </c>
      <c r="AE28" s="339">
        <v>0</v>
      </c>
      <c r="AF28" s="339">
        <v>0</v>
      </c>
      <c r="AG28" s="339">
        <v>0</v>
      </c>
    </row>
    <row r="29" spans="1:33" s="231" customFormat="1" ht="15.95" customHeight="1" x14ac:dyDescent="0.25">
      <c r="A29" s="341" t="s">
        <v>104</v>
      </c>
      <c r="B29" s="338">
        <v>0</v>
      </c>
      <c r="C29" s="338">
        <v>0</v>
      </c>
      <c r="D29" s="338">
        <v>0</v>
      </c>
      <c r="E29" s="338">
        <v>0</v>
      </c>
      <c r="F29" s="338">
        <v>0</v>
      </c>
      <c r="G29" s="338">
        <v>0</v>
      </c>
      <c r="H29" s="338">
        <v>0</v>
      </c>
      <c r="I29" s="338">
        <v>0</v>
      </c>
      <c r="J29" s="338">
        <v>0</v>
      </c>
      <c r="K29" s="338">
        <v>0</v>
      </c>
      <c r="L29" s="338">
        <v>0</v>
      </c>
      <c r="M29" s="338">
        <v>0</v>
      </c>
      <c r="N29" s="338">
        <v>0</v>
      </c>
      <c r="O29" s="338">
        <v>0</v>
      </c>
      <c r="P29" s="338">
        <v>0</v>
      </c>
      <c r="Q29" s="338">
        <v>0</v>
      </c>
      <c r="R29" s="338">
        <v>8</v>
      </c>
      <c r="S29" s="338">
        <v>9</v>
      </c>
      <c r="T29" s="338">
        <v>274</v>
      </c>
      <c r="U29" s="338">
        <v>994</v>
      </c>
      <c r="V29" s="338">
        <v>0</v>
      </c>
      <c r="W29" s="338">
        <v>0</v>
      </c>
      <c r="X29" s="338">
        <v>22</v>
      </c>
      <c r="Y29" s="338">
        <v>104</v>
      </c>
      <c r="Z29" s="338">
        <v>13</v>
      </c>
      <c r="AA29" s="338">
        <v>0</v>
      </c>
      <c r="AB29" s="338">
        <v>0</v>
      </c>
      <c r="AC29" s="338">
        <v>0</v>
      </c>
      <c r="AD29" s="338">
        <v>0</v>
      </c>
      <c r="AE29" s="338">
        <v>3650</v>
      </c>
      <c r="AF29" s="338">
        <v>3806</v>
      </c>
      <c r="AG29" s="338">
        <v>15626</v>
      </c>
    </row>
    <row r="30" spans="1:33" s="231" customFormat="1" ht="15.95" customHeight="1" x14ac:dyDescent="0.25">
      <c r="A30" s="341" t="s">
        <v>105</v>
      </c>
      <c r="B30" s="338">
        <v>0</v>
      </c>
      <c r="C30" s="338">
        <v>0</v>
      </c>
      <c r="D30" s="338">
        <v>0</v>
      </c>
      <c r="E30" s="338">
        <v>0</v>
      </c>
      <c r="F30" s="338">
        <v>0</v>
      </c>
      <c r="G30" s="338">
        <v>0</v>
      </c>
      <c r="H30" s="338">
        <v>0</v>
      </c>
      <c r="I30" s="338">
        <v>0</v>
      </c>
      <c r="J30" s="338">
        <v>0</v>
      </c>
      <c r="K30" s="338">
        <v>0</v>
      </c>
      <c r="L30" s="338">
        <v>0</v>
      </c>
      <c r="M30" s="338">
        <v>0</v>
      </c>
      <c r="N30" s="338">
        <v>0</v>
      </c>
      <c r="O30" s="338">
        <v>0</v>
      </c>
      <c r="P30" s="338">
        <v>0</v>
      </c>
      <c r="Q30" s="338">
        <v>0</v>
      </c>
      <c r="R30" s="338">
        <v>44.89</v>
      </c>
      <c r="S30" s="338">
        <v>0</v>
      </c>
      <c r="T30" s="338">
        <v>0</v>
      </c>
      <c r="U30" s="338">
        <v>10</v>
      </c>
      <c r="V30" s="338">
        <v>215</v>
      </c>
      <c r="W30" s="338">
        <v>60</v>
      </c>
      <c r="X30" s="338">
        <v>203</v>
      </c>
      <c r="Y30" s="338">
        <v>348</v>
      </c>
      <c r="Z30" s="338">
        <v>488</v>
      </c>
      <c r="AA30" s="338">
        <v>213</v>
      </c>
      <c r="AB30" s="338">
        <v>8766</v>
      </c>
      <c r="AC30" s="338">
        <v>288</v>
      </c>
      <c r="AD30" s="338">
        <v>412</v>
      </c>
      <c r="AE30" s="338">
        <v>394</v>
      </c>
      <c r="AF30" s="338">
        <v>276</v>
      </c>
      <c r="AG30" s="338">
        <v>890</v>
      </c>
    </row>
    <row r="31" spans="1:33" s="231" customFormat="1" ht="15.95" customHeight="1" x14ac:dyDescent="0.25">
      <c r="A31" s="341" t="s">
        <v>106</v>
      </c>
      <c r="B31" s="338">
        <v>0</v>
      </c>
      <c r="C31" s="338">
        <v>0</v>
      </c>
      <c r="D31" s="338">
        <v>0</v>
      </c>
      <c r="E31" s="338">
        <v>0</v>
      </c>
      <c r="F31" s="338">
        <v>0</v>
      </c>
      <c r="G31" s="338">
        <v>0</v>
      </c>
      <c r="H31" s="338">
        <v>0</v>
      </c>
      <c r="I31" s="338">
        <v>0</v>
      </c>
      <c r="J31" s="338">
        <v>0</v>
      </c>
      <c r="K31" s="338">
        <v>0</v>
      </c>
      <c r="L31" s="338">
        <v>0</v>
      </c>
      <c r="M31" s="338">
        <v>0</v>
      </c>
      <c r="N31" s="338">
        <v>0</v>
      </c>
      <c r="O31" s="338">
        <v>0</v>
      </c>
      <c r="P31" s="338">
        <v>0</v>
      </c>
      <c r="Q31" s="338">
        <v>0</v>
      </c>
      <c r="R31" s="338">
        <v>1773115.78</v>
      </c>
      <c r="S31" s="338">
        <v>2580041.0300000003</v>
      </c>
      <c r="T31" s="338">
        <v>3153468.8689999999</v>
      </c>
      <c r="U31" s="338">
        <v>3232792.9</v>
      </c>
      <c r="V31" s="338">
        <v>3399030.17</v>
      </c>
      <c r="W31" s="338">
        <v>3029342.0263</v>
      </c>
      <c r="X31" s="338">
        <v>3739151.33</v>
      </c>
      <c r="Y31" s="338">
        <v>6394210.5800000001</v>
      </c>
      <c r="Z31" s="338">
        <v>8755510.0725279991</v>
      </c>
      <c r="AA31" s="338">
        <v>7202733.5630000001</v>
      </c>
      <c r="AB31" s="338">
        <v>5529133.7780000009</v>
      </c>
      <c r="AC31" s="338">
        <v>7014037.9479999989</v>
      </c>
      <c r="AD31" s="338">
        <v>8463955.6960000005</v>
      </c>
      <c r="AE31" s="338">
        <v>6262347.6280000014</v>
      </c>
      <c r="AF31" s="338">
        <v>3416999.1799999997</v>
      </c>
      <c r="AG31" s="338">
        <v>4615962.53</v>
      </c>
    </row>
    <row r="32" spans="1:33" s="231" customFormat="1" ht="15.95" customHeight="1" x14ac:dyDescent="0.25">
      <c r="A32" s="341" t="s">
        <v>107</v>
      </c>
      <c r="B32" s="338">
        <v>0</v>
      </c>
      <c r="C32" s="338">
        <v>0</v>
      </c>
      <c r="D32" s="338">
        <v>0</v>
      </c>
      <c r="E32" s="338">
        <v>0</v>
      </c>
      <c r="F32" s="338">
        <v>0</v>
      </c>
      <c r="G32" s="338">
        <v>0</v>
      </c>
      <c r="H32" s="338">
        <v>0</v>
      </c>
      <c r="I32" s="338">
        <v>0</v>
      </c>
      <c r="J32" s="338">
        <v>0</v>
      </c>
      <c r="K32" s="338">
        <v>0</v>
      </c>
      <c r="L32" s="338">
        <v>0</v>
      </c>
      <c r="M32" s="338">
        <v>0</v>
      </c>
      <c r="N32" s="338">
        <v>0</v>
      </c>
      <c r="O32" s="338">
        <v>0</v>
      </c>
      <c r="P32" s="338">
        <v>0</v>
      </c>
      <c r="Q32" s="338">
        <v>0</v>
      </c>
      <c r="R32" s="338">
        <v>1060.6500000000001</v>
      </c>
      <c r="S32" s="338">
        <v>0</v>
      </c>
      <c r="T32" s="338">
        <v>0</v>
      </c>
      <c r="U32" s="338">
        <v>0</v>
      </c>
      <c r="V32" s="338">
        <v>0</v>
      </c>
      <c r="W32" s="338">
        <v>0</v>
      </c>
      <c r="X32" s="338">
        <v>0</v>
      </c>
      <c r="Y32" s="338">
        <v>58</v>
      </c>
      <c r="Z32" s="338">
        <v>0</v>
      </c>
      <c r="AA32" s="338">
        <v>0</v>
      </c>
      <c r="AB32" s="338">
        <v>0</v>
      </c>
      <c r="AC32" s="338">
        <v>0</v>
      </c>
      <c r="AD32" s="338">
        <v>0</v>
      </c>
      <c r="AE32" s="338">
        <v>0</v>
      </c>
      <c r="AF32" s="338">
        <v>0</v>
      </c>
      <c r="AG32" s="338">
        <v>0</v>
      </c>
    </row>
    <row r="33" spans="1:33" s="231" customFormat="1" ht="15.95" customHeight="1" x14ac:dyDescent="0.25">
      <c r="A33" s="341" t="s">
        <v>108</v>
      </c>
      <c r="B33" s="338">
        <v>32110</v>
      </c>
      <c r="C33" s="338">
        <v>10439</v>
      </c>
      <c r="D33" s="338">
        <v>10256</v>
      </c>
      <c r="E33" s="338">
        <v>13289</v>
      </c>
      <c r="F33" s="338">
        <v>14277</v>
      </c>
      <c r="G33" s="338">
        <v>14924.49</v>
      </c>
      <c r="H33" s="338">
        <v>12542</v>
      </c>
      <c r="I33" s="338">
        <v>10079.530000000001</v>
      </c>
      <c r="J33" s="338">
        <v>9715.51</v>
      </c>
      <c r="K33" s="338">
        <v>7650.64</v>
      </c>
      <c r="L33" s="338">
        <v>10511.29</v>
      </c>
      <c r="M33" s="338">
        <v>11636.26</v>
      </c>
      <c r="N33" s="338">
        <v>16553.03</v>
      </c>
      <c r="O33" s="338">
        <v>21133.55</v>
      </c>
      <c r="P33" s="338">
        <v>22208.002</v>
      </c>
      <c r="Q33" s="338">
        <v>72510.244000000006</v>
      </c>
      <c r="R33" s="338">
        <v>8844.3719999999994</v>
      </c>
      <c r="S33" s="338">
        <v>24515.65</v>
      </c>
      <c r="T33" s="338">
        <v>595.5</v>
      </c>
      <c r="U33" s="338">
        <v>338</v>
      </c>
      <c r="V33" s="338">
        <v>278.70999999999998</v>
      </c>
      <c r="W33" s="338">
        <v>0</v>
      </c>
      <c r="X33" s="338">
        <v>16335</v>
      </c>
      <c r="Y33" s="338">
        <v>225</v>
      </c>
      <c r="Z33" s="338">
        <v>556.5</v>
      </c>
      <c r="AA33" s="338">
        <v>706.82600000000002</v>
      </c>
      <c r="AB33" s="338">
        <v>303.63</v>
      </c>
      <c r="AC33" s="338">
        <v>220</v>
      </c>
      <c r="AD33" s="338">
        <v>223</v>
      </c>
      <c r="AE33" s="338">
        <v>310</v>
      </c>
      <c r="AF33" s="338">
        <v>274</v>
      </c>
      <c r="AG33" s="338">
        <v>280</v>
      </c>
    </row>
    <row r="34" spans="1:33" s="231" customFormat="1" ht="15.95" customHeight="1" x14ac:dyDescent="0.25">
      <c r="A34" s="341" t="s">
        <v>109</v>
      </c>
      <c r="B34" s="338">
        <v>0</v>
      </c>
      <c r="C34" s="338">
        <v>0</v>
      </c>
      <c r="D34" s="338">
        <v>0</v>
      </c>
      <c r="E34" s="338">
        <v>0</v>
      </c>
      <c r="F34" s="338">
        <v>0</v>
      </c>
      <c r="G34" s="338">
        <v>0</v>
      </c>
      <c r="H34" s="338">
        <v>0</v>
      </c>
      <c r="I34" s="338">
        <v>0</v>
      </c>
      <c r="J34" s="338">
        <v>0</v>
      </c>
      <c r="K34" s="338">
        <v>0</v>
      </c>
      <c r="L34" s="338">
        <v>0</v>
      </c>
      <c r="M34" s="338">
        <v>0</v>
      </c>
      <c r="N34" s="338">
        <v>0</v>
      </c>
      <c r="O34" s="338">
        <v>0</v>
      </c>
      <c r="P34" s="338">
        <v>0</v>
      </c>
      <c r="Q34" s="338">
        <v>0</v>
      </c>
      <c r="R34" s="338">
        <v>80.350000000000009</v>
      </c>
      <c r="S34" s="338">
        <v>65.430000000000007</v>
      </c>
      <c r="T34" s="338">
        <v>330.49</v>
      </c>
      <c r="U34" s="338">
        <v>84.72699999999999</v>
      </c>
      <c r="V34" s="338">
        <v>67.28</v>
      </c>
      <c r="W34" s="338">
        <v>89.83</v>
      </c>
      <c r="X34" s="338">
        <v>99.084999999999994</v>
      </c>
      <c r="Y34" s="338">
        <v>155.69499999999999</v>
      </c>
      <c r="Z34" s="338">
        <v>109.47499999999999</v>
      </c>
      <c r="AA34" s="338">
        <v>115.125</v>
      </c>
      <c r="AB34" s="338">
        <v>110.68</v>
      </c>
      <c r="AC34" s="338">
        <v>233.59</v>
      </c>
      <c r="AD34" s="338">
        <v>182.88</v>
      </c>
      <c r="AE34" s="338">
        <v>51.68</v>
      </c>
      <c r="AF34" s="338">
        <v>122.03699999999999</v>
      </c>
      <c r="AG34" s="338">
        <v>143.02000000000001</v>
      </c>
    </row>
    <row r="35" spans="1:33" s="231" customFormat="1" ht="15.95" customHeight="1" x14ac:dyDescent="0.25">
      <c r="A35" s="341" t="s">
        <v>110</v>
      </c>
      <c r="B35" s="338">
        <v>0</v>
      </c>
      <c r="C35" s="338">
        <v>0</v>
      </c>
      <c r="D35" s="338">
        <v>0</v>
      </c>
      <c r="E35" s="338">
        <v>0</v>
      </c>
      <c r="F35" s="338">
        <v>0</v>
      </c>
      <c r="G35" s="338">
        <v>0</v>
      </c>
      <c r="H35" s="338">
        <v>0</v>
      </c>
      <c r="I35" s="338">
        <v>0</v>
      </c>
      <c r="J35" s="338">
        <v>0</v>
      </c>
      <c r="K35" s="338">
        <v>0</v>
      </c>
      <c r="L35" s="338">
        <v>0</v>
      </c>
      <c r="M35" s="338">
        <v>0</v>
      </c>
      <c r="N35" s="338">
        <v>0</v>
      </c>
      <c r="O35" s="338">
        <v>0</v>
      </c>
      <c r="P35" s="338">
        <v>0</v>
      </c>
      <c r="Q35" s="338">
        <v>0</v>
      </c>
      <c r="R35" s="338">
        <v>7863.91</v>
      </c>
      <c r="S35" s="338">
        <v>1921.0350000000001</v>
      </c>
      <c r="T35" s="338">
        <v>0</v>
      </c>
      <c r="U35" s="338">
        <v>0</v>
      </c>
      <c r="V35" s="338">
        <v>0</v>
      </c>
      <c r="W35" s="338">
        <v>0</v>
      </c>
      <c r="X35" s="338">
        <v>87</v>
      </c>
      <c r="Y35" s="338">
        <v>0</v>
      </c>
      <c r="Z35" s="338">
        <v>0</v>
      </c>
      <c r="AA35" s="338">
        <v>0</v>
      </c>
      <c r="AB35" s="338">
        <v>0</v>
      </c>
      <c r="AC35" s="338">
        <v>0</v>
      </c>
      <c r="AD35" s="338">
        <v>0</v>
      </c>
      <c r="AE35" s="338">
        <v>0</v>
      </c>
      <c r="AF35" s="338">
        <v>0</v>
      </c>
      <c r="AG35" s="338">
        <v>0</v>
      </c>
    </row>
    <row r="36" spans="1:33" s="231" customFormat="1" ht="15.95" customHeight="1" x14ac:dyDescent="0.25">
      <c r="A36" s="341" t="s">
        <v>111</v>
      </c>
      <c r="B36" s="338">
        <v>0</v>
      </c>
      <c r="C36" s="338">
        <v>0</v>
      </c>
      <c r="D36" s="338">
        <v>0</v>
      </c>
      <c r="E36" s="338">
        <v>0</v>
      </c>
      <c r="F36" s="338">
        <v>0</v>
      </c>
      <c r="G36" s="338">
        <v>0</v>
      </c>
      <c r="H36" s="338">
        <v>0</v>
      </c>
      <c r="I36" s="338">
        <v>0</v>
      </c>
      <c r="J36" s="338">
        <v>0</v>
      </c>
      <c r="K36" s="338">
        <v>0</v>
      </c>
      <c r="L36" s="338">
        <v>0</v>
      </c>
      <c r="M36" s="338">
        <v>0</v>
      </c>
      <c r="N36" s="338">
        <v>0</v>
      </c>
      <c r="O36" s="338">
        <v>0</v>
      </c>
      <c r="P36" s="338">
        <v>0</v>
      </c>
      <c r="Q36" s="338">
        <v>0</v>
      </c>
      <c r="R36" s="338">
        <v>0</v>
      </c>
      <c r="S36" s="338">
        <v>0</v>
      </c>
      <c r="T36" s="338">
        <v>0</v>
      </c>
      <c r="U36" s="338">
        <v>2982.7000000000003</v>
      </c>
      <c r="V36" s="338">
        <v>823</v>
      </c>
      <c r="W36" s="338">
        <v>14455.21</v>
      </c>
      <c r="X36" s="338">
        <v>3577.5</v>
      </c>
      <c r="Y36" s="338">
        <v>11873</v>
      </c>
      <c r="Z36" s="338">
        <v>369.6</v>
      </c>
      <c r="AA36" s="338">
        <v>158</v>
      </c>
      <c r="AB36" s="338">
        <v>271</v>
      </c>
      <c r="AC36" s="338">
        <v>562</v>
      </c>
      <c r="AD36" s="338">
        <v>402</v>
      </c>
      <c r="AE36" s="338">
        <v>238</v>
      </c>
      <c r="AF36" s="338">
        <v>90</v>
      </c>
      <c r="AG36" s="338">
        <v>25</v>
      </c>
    </row>
    <row r="37" spans="1:33" s="231" customFormat="1" ht="15.95" customHeight="1" x14ac:dyDescent="0.25">
      <c r="A37" s="341" t="s">
        <v>112</v>
      </c>
      <c r="B37" s="338">
        <v>0</v>
      </c>
      <c r="C37" s="338">
        <v>0</v>
      </c>
      <c r="D37" s="338">
        <v>0</v>
      </c>
      <c r="E37" s="338">
        <v>0</v>
      </c>
      <c r="F37" s="338">
        <v>0</v>
      </c>
      <c r="G37" s="338">
        <v>0</v>
      </c>
      <c r="H37" s="338">
        <v>0</v>
      </c>
      <c r="I37" s="338">
        <v>0</v>
      </c>
      <c r="J37" s="338">
        <v>0</v>
      </c>
      <c r="K37" s="338">
        <v>0</v>
      </c>
      <c r="L37" s="338">
        <v>0</v>
      </c>
      <c r="M37" s="338">
        <v>0</v>
      </c>
      <c r="N37" s="338">
        <v>0</v>
      </c>
      <c r="O37" s="338">
        <v>0</v>
      </c>
      <c r="P37" s="338">
        <v>0</v>
      </c>
      <c r="Q37" s="338">
        <v>0</v>
      </c>
      <c r="R37" s="338">
        <v>0</v>
      </c>
      <c r="S37" s="338">
        <v>37154.5</v>
      </c>
      <c r="T37" s="338">
        <v>2529492.3000000003</v>
      </c>
      <c r="U37" s="338">
        <v>2307236.4600000004</v>
      </c>
      <c r="V37" s="338">
        <v>1213891.7899999998</v>
      </c>
      <c r="W37" s="338">
        <v>1344781.4909999997</v>
      </c>
      <c r="X37" s="338">
        <v>1602205.047</v>
      </c>
      <c r="Y37" s="338">
        <v>821303.57000000007</v>
      </c>
      <c r="Z37" s="338">
        <v>1237080.1950000001</v>
      </c>
      <c r="AA37" s="338">
        <v>2189091.7199999997</v>
      </c>
      <c r="AB37" s="338">
        <v>1708521.05</v>
      </c>
      <c r="AC37" s="338">
        <v>1342812.23</v>
      </c>
      <c r="AD37" s="338">
        <v>1591116.3225</v>
      </c>
      <c r="AE37" s="338">
        <v>1618663.1</v>
      </c>
      <c r="AF37" s="338">
        <v>1257790.56</v>
      </c>
      <c r="AG37" s="338">
        <v>2038672.4200000004</v>
      </c>
    </row>
    <row r="38" spans="1:33" s="231" customFormat="1" ht="15.95" customHeight="1" x14ac:dyDescent="0.25">
      <c r="A38" s="341" t="s">
        <v>113</v>
      </c>
      <c r="B38" s="338">
        <v>0</v>
      </c>
      <c r="C38" s="338">
        <v>0</v>
      </c>
      <c r="D38" s="338">
        <v>0</v>
      </c>
      <c r="E38" s="338">
        <v>0</v>
      </c>
      <c r="F38" s="338">
        <v>0</v>
      </c>
      <c r="G38" s="338">
        <v>0</v>
      </c>
      <c r="H38" s="338">
        <v>0</v>
      </c>
      <c r="I38" s="338">
        <v>0</v>
      </c>
      <c r="J38" s="338">
        <v>0</v>
      </c>
      <c r="K38" s="338">
        <v>0</v>
      </c>
      <c r="L38" s="338">
        <v>0</v>
      </c>
      <c r="M38" s="338">
        <v>0</v>
      </c>
      <c r="N38" s="338">
        <v>0</v>
      </c>
      <c r="O38" s="338">
        <v>0</v>
      </c>
      <c r="P38" s="338">
        <v>0</v>
      </c>
      <c r="Q38" s="338">
        <v>0</v>
      </c>
      <c r="R38" s="338">
        <v>7205.1799999999985</v>
      </c>
      <c r="S38" s="338">
        <v>18353.97</v>
      </c>
      <c r="T38" s="338">
        <v>14738.68</v>
      </c>
      <c r="U38" s="338">
        <v>11264.5</v>
      </c>
      <c r="V38" s="338">
        <v>1994</v>
      </c>
      <c r="W38" s="338">
        <v>1295</v>
      </c>
      <c r="X38" s="338">
        <v>2077</v>
      </c>
      <c r="Y38" s="338">
        <v>4367</v>
      </c>
      <c r="Z38" s="338">
        <v>1586.16</v>
      </c>
      <c r="AA38" s="338">
        <v>1511.0599999999997</v>
      </c>
      <c r="AB38" s="338">
        <v>3039.24</v>
      </c>
      <c r="AC38" s="338">
        <v>1431.39</v>
      </c>
      <c r="AD38" s="338">
        <v>2186.6</v>
      </c>
      <c r="AE38" s="338">
        <v>3239.93</v>
      </c>
      <c r="AF38" s="338">
        <v>1142</v>
      </c>
      <c r="AG38" s="338">
        <v>3393</v>
      </c>
    </row>
    <row r="39" spans="1:33" s="232" customFormat="1" ht="11.45" hidden="1" customHeight="1" x14ac:dyDescent="0.25">
      <c r="A39" s="342" t="s">
        <v>114</v>
      </c>
      <c r="B39" s="339">
        <v>0</v>
      </c>
      <c r="C39" s="339">
        <v>0</v>
      </c>
      <c r="D39" s="339">
        <v>0</v>
      </c>
      <c r="E39" s="339">
        <v>0</v>
      </c>
      <c r="F39" s="339">
        <v>0</v>
      </c>
      <c r="G39" s="339">
        <v>0</v>
      </c>
      <c r="H39" s="339">
        <v>0</v>
      </c>
      <c r="I39" s="339">
        <v>0</v>
      </c>
      <c r="J39" s="339">
        <v>0</v>
      </c>
      <c r="K39" s="339">
        <v>0</v>
      </c>
      <c r="L39" s="339">
        <v>0</v>
      </c>
      <c r="M39" s="339">
        <v>0</v>
      </c>
      <c r="N39" s="339">
        <v>0</v>
      </c>
      <c r="O39" s="339">
        <v>0</v>
      </c>
      <c r="P39" s="339">
        <v>0</v>
      </c>
      <c r="Q39" s="339">
        <v>0</v>
      </c>
      <c r="R39" s="339">
        <v>20</v>
      </c>
      <c r="S39" s="339">
        <v>0</v>
      </c>
      <c r="T39" s="339">
        <v>0</v>
      </c>
      <c r="U39" s="339">
        <v>0</v>
      </c>
      <c r="V39" s="339">
        <v>0</v>
      </c>
      <c r="W39" s="339">
        <v>0</v>
      </c>
      <c r="X39" s="339">
        <v>0</v>
      </c>
      <c r="Y39" s="339">
        <v>0</v>
      </c>
      <c r="Z39" s="339">
        <v>0</v>
      </c>
      <c r="AA39" s="339">
        <v>0</v>
      </c>
      <c r="AB39" s="339">
        <v>0</v>
      </c>
      <c r="AC39" s="339">
        <v>0</v>
      </c>
      <c r="AD39" s="339">
        <v>0</v>
      </c>
      <c r="AE39" s="339">
        <v>0</v>
      </c>
      <c r="AF39" s="339">
        <v>0</v>
      </c>
      <c r="AG39" s="339">
        <v>0</v>
      </c>
    </row>
    <row r="40" spans="1:33" s="232" customFormat="1" ht="11.45" hidden="1" customHeight="1" x14ac:dyDescent="0.25">
      <c r="A40" s="342" t="s">
        <v>115</v>
      </c>
      <c r="B40" s="339">
        <v>1810010</v>
      </c>
      <c r="C40" s="339">
        <v>1010250</v>
      </c>
      <c r="D40" s="339">
        <v>959956</v>
      </c>
      <c r="E40" s="339">
        <v>870827</v>
      </c>
      <c r="F40" s="339">
        <v>569895</v>
      </c>
      <c r="G40" s="339">
        <v>990699</v>
      </c>
      <c r="H40" s="339">
        <v>1277306</v>
      </c>
      <c r="I40" s="339">
        <v>1124553.3099999998</v>
      </c>
      <c r="J40" s="339">
        <v>1587354.98</v>
      </c>
      <c r="K40" s="339">
        <v>1427789.61</v>
      </c>
      <c r="L40" s="339">
        <v>932925.59</v>
      </c>
      <c r="M40" s="339">
        <v>571520.31000000006</v>
      </c>
      <c r="N40" s="339">
        <v>1549374.38</v>
      </c>
      <c r="O40" s="339">
        <v>1409527.96</v>
      </c>
      <c r="P40" s="339">
        <v>1569095.5079999999</v>
      </c>
      <c r="Q40" s="339">
        <v>1815097.0109999999</v>
      </c>
      <c r="R40" s="339">
        <v>1773106.98</v>
      </c>
      <c r="S40" s="339">
        <v>0</v>
      </c>
      <c r="T40" s="339">
        <v>0</v>
      </c>
      <c r="U40" s="339">
        <v>0</v>
      </c>
      <c r="V40" s="339">
        <v>0</v>
      </c>
      <c r="W40" s="339">
        <v>0</v>
      </c>
      <c r="X40" s="339">
        <v>0</v>
      </c>
      <c r="Y40" s="339">
        <v>0</v>
      </c>
      <c r="Z40" s="339">
        <v>0</v>
      </c>
      <c r="AA40" s="339">
        <v>0</v>
      </c>
      <c r="AB40" s="339">
        <v>0</v>
      </c>
      <c r="AC40" s="339">
        <v>0</v>
      </c>
      <c r="AD40" s="339">
        <v>0</v>
      </c>
      <c r="AE40" s="339">
        <v>0</v>
      </c>
      <c r="AF40" s="339">
        <v>0</v>
      </c>
      <c r="AG40" s="339">
        <v>0</v>
      </c>
    </row>
    <row r="41" spans="1:33" s="231" customFormat="1" ht="15.95" customHeight="1" x14ac:dyDescent="0.25">
      <c r="A41" s="341" t="s">
        <v>116</v>
      </c>
      <c r="B41" s="338">
        <v>0</v>
      </c>
      <c r="C41" s="338">
        <v>0</v>
      </c>
      <c r="D41" s="338">
        <v>0</v>
      </c>
      <c r="E41" s="338">
        <v>0</v>
      </c>
      <c r="F41" s="338">
        <v>0</v>
      </c>
      <c r="G41" s="338">
        <v>0</v>
      </c>
      <c r="H41" s="338">
        <v>0</v>
      </c>
      <c r="I41" s="338">
        <v>0</v>
      </c>
      <c r="J41" s="338">
        <v>0</v>
      </c>
      <c r="K41" s="338">
        <v>0</v>
      </c>
      <c r="L41" s="338">
        <v>5362.16</v>
      </c>
      <c r="M41" s="338">
        <v>8069</v>
      </c>
      <c r="N41" s="338">
        <v>9514</v>
      </c>
      <c r="O41" s="338">
        <v>12291</v>
      </c>
      <c r="P41" s="338">
        <v>14282</v>
      </c>
      <c r="Q41" s="338">
        <v>10100</v>
      </c>
      <c r="R41" s="338"/>
      <c r="S41" s="338"/>
      <c r="T41" s="338"/>
      <c r="U41" s="338">
        <v>19378.785</v>
      </c>
      <c r="V41" s="338">
        <v>19185.215</v>
      </c>
      <c r="W41" s="338">
        <v>30389.064999999999</v>
      </c>
      <c r="X41" s="338">
        <v>30398.504000000001</v>
      </c>
      <c r="Y41" s="338">
        <v>31678.294999999998</v>
      </c>
      <c r="Z41" s="338">
        <v>17859.125</v>
      </c>
      <c r="AA41" s="338">
        <v>26208.884999999995</v>
      </c>
      <c r="AB41" s="338">
        <v>17871.787</v>
      </c>
      <c r="AC41" s="338">
        <v>22760.419999999995</v>
      </c>
      <c r="AD41" s="338">
        <v>26674.678</v>
      </c>
      <c r="AE41" s="338">
        <v>25038.815000000002</v>
      </c>
      <c r="AF41" s="338">
        <v>20519.396999999997</v>
      </c>
      <c r="AG41" s="338">
        <v>27315.753000000004</v>
      </c>
    </row>
    <row r="42" spans="1:33" s="231" customFormat="1" ht="15.95" customHeight="1" x14ac:dyDescent="0.25">
      <c r="A42" s="341" t="s">
        <v>117</v>
      </c>
      <c r="B42" s="338">
        <v>0</v>
      </c>
      <c r="C42" s="338">
        <v>0</v>
      </c>
      <c r="D42" s="338">
        <v>0</v>
      </c>
      <c r="E42" s="338">
        <v>0</v>
      </c>
      <c r="F42" s="338">
        <v>0</v>
      </c>
      <c r="G42" s="338">
        <v>0</v>
      </c>
      <c r="H42" s="338">
        <v>0</v>
      </c>
      <c r="I42" s="338">
        <v>0</v>
      </c>
      <c r="J42" s="338">
        <v>0</v>
      </c>
      <c r="K42" s="338">
        <v>0</v>
      </c>
      <c r="L42" s="338">
        <v>16706</v>
      </c>
      <c r="M42" s="338">
        <v>16800</v>
      </c>
      <c r="N42" s="338">
        <v>10944</v>
      </c>
      <c r="O42" s="338">
        <v>14260</v>
      </c>
      <c r="P42" s="338">
        <v>11950</v>
      </c>
      <c r="Q42" s="338">
        <v>20365</v>
      </c>
      <c r="R42" s="338">
        <v>30110</v>
      </c>
      <c r="S42" s="338">
        <v>10845.36</v>
      </c>
      <c r="T42" s="338">
        <v>42436</v>
      </c>
      <c r="U42" s="338">
        <v>16439.5</v>
      </c>
      <c r="V42" s="338">
        <v>341</v>
      </c>
      <c r="W42" s="338">
        <v>18165</v>
      </c>
      <c r="X42" s="338">
        <v>33948</v>
      </c>
      <c r="Y42" s="338">
        <v>98211</v>
      </c>
      <c r="Z42" s="338">
        <v>77847</v>
      </c>
      <c r="AA42" s="338">
        <v>65593</v>
      </c>
      <c r="AB42" s="338">
        <v>65554</v>
      </c>
      <c r="AC42" s="338">
        <v>51436</v>
      </c>
      <c r="AD42" s="338">
        <v>23731</v>
      </c>
      <c r="AE42" s="338">
        <v>31459</v>
      </c>
      <c r="AF42" s="338">
        <v>30205</v>
      </c>
      <c r="AG42" s="338">
        <v>49682</v>
      </c>
    </row>
    <row r="43" spans="1:33" s="231" customFormat="1" ht="15.95" customHeight="1" x14ac:dyDescent="0.25">
      <c r="A43" s="341" t="s">
        <v>118</v>
      </c>
      <c r="B43" s="338">
        <v>0</v>
      </c>
      <c r="C43" s="338">
        <v>0</v>
      </c>
      <c r="D43" s="338">
        <v>0</v>
      </c>
      <c r="E43" s="338">
        <v>0</v>
      </c>
      <c r="F43" s="338">
        <v>0</v>
      </c>
      <c r="G43" s="338">
        <v>0</v>
      </c>
      <c r="H43" s="338">
        <v>156110</v>
      </c>
      <c r="I43" s="338">
        <v>161305</v>
      </c>
      <c r="J43" s="338">
        <v>197295</v>
      </c>
      <c r="K43" s="338">
        <v>193437.22</v>
      </c>
      <c r="L43" s="338">
        <v>137295</v>
      </c>
      <c r="M43" s="338">
        <v>140580.94</v>
      </c>
      <c r="N43" s="338">
        <v>172809</v>
      </c>
      <c r="O43" s="338">
        <v>214958</v>
      </c>
      <c r="P43" s="338">
        <v>219462</v>
      </c>
      <c r="Q43" s="338">
        <v>192955</v>
      </c>
      <c r="R43" s="338">
        <v>278476.5</v>
      </c>
      <c r="S43" s="338">
        <v>329266</v>
      </c>
      <c r="T43" s="338">
        <v>425095</v>
      </c>
      <c r="U43" s="338">
        <v>477590.5</v>
      </c>
      <c r="V43" s="338">
        <v>700513.82000000007</v>
      </c>
      <c r="W43" s="338">
        <v>986673.37</v>
      </c>
      <c r="X43" s="338">
        <v>735704.13</v>
      </c>
      <c r="Y43" s="338">
        <v>1031899.99</v>
      </c>
      <c r="Z43" s="338">
        <v>1054193.31</v>
      </c>
      <c r="AA43" s="338">
        <v>1420152.88</v>
      </c>
      <c r="AB43" s="338">
        <v>1010266.84</v>
      </c>
      <c r="AC43" s="338">
        <v>1053820.68</v>
      </c>
      <c r="AD43" s="338">
        <v>1186499.81</v>
      </c>
      <c r="AE43" s="338">
        <v>1321616.5899999999</v>
      </c>
      <c r="AF43" s="338">
        <v>898526.56000000017</v>
      </c>
      <c r="AG43" s="338">
        <v>1121521.02</v>
      </c>
    </row>
    <row r="44" spans="1:33" s="232" customFormat="1" ht="11.45" hidden="1" customHeight="1" x14ac:dyDescent="0.25">
      <c r="A44" s="342" t="s">
        <v>119</v>
      </c>
      <c r="B44" s="339">
        <v>47333</v>
      </c>
      <c r="C44" s="339">
        <v>18239</v>
      </c>
      <c r="D44" s="339">
        <v>0</v>
      </c>
      <c r="E44" s="339">
        <v>92674</v>
      </c>
      <c r="F44" s="339">
        <v>86075</v>
      </c>
      <c r="G44" s="339">
        <v>88637.86</v>
      </c>
      <c r="H44" s="339">
        <v>65436</v>
      </c>
      <c r="I44" s="339">
        <v>67136</v>
      </c>
      <c r="J44" s="339">
        <v>46821</v>
      </c>
      <c r="K44" s="339">
        <v>9038</v>
      </c>
      <c r="L44" s="339">
        <v>5581</v>
      </c>
      <c r="M44" s="339">
        <v>4825</v>
      </c>
      <c r="N44" s="339">
        <v>45252</v>
      </c>
      <c r="O44" s="339">
        <v>11610</v>
      </c>
      <c r="P44" s="339">
        <v>45504</v>
      </c>
      <c r="Q44" s="339">
        <v>0</v>
      </c>
      <c r="R44" s="339">
        <v>0</v>
      </c>
      <c r="S44" s="339">
        <v>0</v>
      </c>
      <c r="T44" s="339">
        <v>0</v>
      </c>
      <c r="U44" s="339">
        <v>0</v>
      </c>
      <c r="V44" s="339">
        <v>0</v>
      </c>
      <c r="W44" s="339">
        <v>0</v>
      </c>
      <c r="X44" s="339">
        <v>0</v>
      </c>
      <c r="Y44" s="339">
        <v>0</v>
      </c>
      <c r="Z44" s="339">
        <v>0</v>
      </c>
      <c r="AA44" s="339">
        <v>0</v>
      </c>
      <c r="AB44" s="339">
        <v>0</v>
      </c>
      <c r="AC44" s="339">
        <v>0</v>
      </c>
      <c r="AD44" s="339">
        <v>0</v>
      </c>
      <c r="AE44" s="339">
        <v>0</v>
      </c>
      <c r="AF44" s="339">
        <v>0</v>
      </c>
      <c r="AG44" s="339">
        <v>0</v>
      </c>
    </row>
    <row r="45" spans="1:33" s="231" customFormat="1" ht="15.95" customHeight="1" x14ac:dyDescent="0.25">
      <c r="A45" s="341" t="s">
        <v>120</v>
      </c>
      <c r="B45" s="338">
        <v>0</v>
      </c>
      <c r="C45" s="338">
        <v>0</v>
      </c>
      <c r="D45" s="338">
        <v>0</v>
      </c>
      <c r="E45" s="338">
        <v>0</v>
      </c>
      <c r="F45" s="338">
        <v>0</v>
      </c>
      <c r="G45" s="338">
        <v>0</v>
      </c>
      <c r="H45" s="338">
        <v>0</v>
      </c>
      <c r="I45" s="338">
        <v>0</v>
      </c>
      <c r="J45" s="338">
        <v>0</v>
      </c>
      <c r="K45" s="338">
        <v>0</v>
      </c>
      <c r="L45" s="338">
        <v>0</v>
      </c>
      <c r="M45" s="338">
        <v>0</v>
      </c>
      <c r="N45" s="338">
        <v>0</v>
      </c>
      <c r="O45" s="338">
        <v>0</v>
      </c>
      <c r="P45" s="338">
        <v>0</v>
      </c>
      <c r="Q45" s="338">
        <v>0</v>
      </c>
      <c r="R45" s="338">
        <v>971713.42999999993</v>
      </c>
      <c r="S45" s="338">
        <v>1185266.048</v>
      </c>
      <c r="T45" s="338">
        <v>1276277.1600000001</v>
      </c>
      <c r="U45" s="338">
        <v>1575132.348</v>
      </c>
      <c r="V45" s="338">
        <v>1228900.27</v>
      </c>
      <c r="W45" s="338">
        <v>1468266.0080000001</v>
      </c>
      <c r="X45" s="338">
        <v>1242765</v>
      </c>
      <c r="Y45" s="338">
        <v>1205435</v>
      </c>
      <c r="Z45" s="338">
        <v>1175157</v>
      </c>
      <c r="AA45" s="338">
        <v>1471131</v>
      </c>
      <c r="AB45" s="338">
        <v>1450415</v>
      </c>
      <c r="AC45" s="338">
        <v>1481397.5</v>
      </c>
      <c r="AD45" s="338">
        <v>1509564.0069999998</v>
      </c>
      <c r="AE45" s="338">
        <v>1266346.6000000001</v>
      </c>
      <c r="AF45" s="338">
        <v>1030597.5</v>
      </c>
      <c r="AG45" s="338">
        <v>1175828.32</v>
      </c>
    </row>
    <row r="46" spans="1:33" s="232" customFormat="1" ht="11.45" hidden="1" customHeight="1" x14ac:dyDescent="0.25">
      <c r="A46" s="342" t="s">
        <v>121</v>
      </c>
      <c r="B46" s="339">
        <v>0</v>
      </c>
      <c r="C46" s="339">
        <v>0</v>
      </c>
      <c r="D46" s="339">
        <v>0</v>
      </c>
      <c r="E46" s="339">
        <v>0</v>
      </c>
      <c r="F46" s="339">
        <v>0</v>
      </c>
      <c r="G46" s="339">
        <v>0</v>
      </c>
      <c r="H46" s="339">
        <v>0</v>
      </c>
      <c r="I46" s="339">
        <v>0</v>
      </c>
      <c r="J46" s="339">
        <v>0</v>
      </c>
      <c r="K46" s="339">
        <v>0</v>
      </c>
      <c r="L46" s="339">
        <v>0</v>
      </c>
      <c r="M46" s="339">
        <v>0</v>
      </c>
      <c r="N46" s="339">
        <v>0</v>
      </c>
      <c r="O46" s="339">
        <v>0</v>
      </c>
      <c r="P46" s="339">
        <v>0</v>
      </c>
      <c r="Q46" s="339">
        <v>0</v>
      </c>
      <c r="R46" s="339">
        <v>55513.805</v>
      </c>
      <c r="S46" s="339">
        <v>0</v>
      </c>
      <c r="T46" s="339">
        <v>0</v>
      </c>
      <c r="U46" s="339">
        <v>0</v>
      </c>
      <c r="V46" s="339"/>
      <c r="W46" s="339">
        <v>0</v>
      </c>
      <c r="X46" s="339">
        <v>0</v>
      </c>
      <c r="Y46" s="339">
        <v>0</v>
      </c>
      <c r="Z46" s="339">
        <v>0</v>
      </c>
      <c r="AA46" s="339">
        <v>0</v>
      </c>
      <c r="AB46" s="339">
        <v>0</v>
      </c>
      <c r="AC46" s="339">
        <v>0</v>
      </c>
      <c r="AD46" s="339">
        <v>0</v>
      </c>
      <c r="AE46" s="339">
        <v>0</v>
      </c>
      <c r="AF46" s="339">
        <v>0</v>
      </c>
      <c r="AG46" s="339">
        <v>0</v>
      </c>
    </row>
    <row r="47" spans="1:33" s="231" customFormat="1" ht="15.95" customHeight="1" x14ac:dyDescent="0.25">
      <c r="A47" s="341" t="s">
        <v>357</v>
      </c>
      <c r="B47" s="338">
        <v>0</v>
      </c>
      <c r="C47" s="338">
        <v>0</v>
      </c>
      <c r="D47" s="338">
        <v>0</v>
      </c>
      <c r="E47" s="338">
        <v>0</v>
      </c>
      <c r="F47" s="338">
        <v>0</v>
      </c>
      <c r="G47" s="338">
        <v>0</v>
      </c>
      <c r="H47" s="338">
        <v>0</v>
      </c>
      <c r="I47" s="338">
        <v>0</v>
      </c>
      <c r="J47" s="338">
        <v>0</v>
      </c>
      <c r="K47" s="338">
        <v>0</v>
      </c>
      <c r="L47" s="338">
        <v>0</v>
      </c>
      <c r="M47" s="338">
        <v>0</v>
      </c>
      <c r="N47" s="338">
        <v>0</v>
      </c>
      <c r="O47" s="338">
        <v>0</v>
      </c>
      <c r="P47" s="338">
        <v>0</v>
      </c>
      <c r="Q47" s="338">
        <v>0</v>
      </c>
      <c r="R47" s="338"/>
      <c r="S47" s="338">
        <v>0</v>
      </c>
      <c r="T47" s="338">
        <v>0</v>
      </c>
      <c r="U47" s="338">
        <v>0</v>
      </c>
      <c r="V47" s="338">
        <v>120865.755</v>
      </c>
      <c r="W47" s="338">
        <v>0</v>
      </c>
      <c r="X47" s="338">
        <v>0</v>
      </c>
      <c r="Y47" s="338">
        <v>0</v>
      </c>
      <c r="Z47" s="338">
        <v>0</v>
      </c>
      <c r="AA47" s="338">
        <v>500</v>
      </c>
      <c r="AB47" s="338">
        <v>90.084999999999994</v>
      </c>
      <c r="AC47" s="338">
        <v>414.65600000000001</v>
      </c>
      <c r="AD47" s="338">
        <v>7112.5349999999999</v>
      </c>
      <c r="AE47" s="338">
        <v>350.18999999999994</v>
      </c>
      <c r="AF47" s="338">
        <v>0</v>
      </c>
      <c r="AG47" s="338">
        <v>0</v>
      </c>
    </row>
    <row r="48" spans="1:33" s="231" customFormat="1" ht="15.95" customHeight="1" x14ac:dyDescent="0.25">
      <c r="A48" s="341" t="s">
        <v>122</v>
      </c>
      <c r="B48" s="338">
        <v>20100</v>
      </c>
      <c r="C48" s="338">
        <v>21103</v>
      </c>
      <c r="D48" s="338">
        <v>20470</v>
      </c>
      <c r="E48" s="338">
        <v>38278</v>
      </c>
      <c r="F48" s="338">
        <v>55735</v>
      </c>
      <c r="G48" s="338">
        <v>54325.27</v>
      </c>
      <c r="H48" s="338">
        <v>76164</v>
      </c>
      <c r="I48" s="338">
        <v>83534.23</v>
      </c>
      <c r="J48" s="338">
        <v>96004.28</v>
      </c>
      <c r="K48" s="338">
        <v>90254.78</v>
      </c>
      <c r="L48" s="338">
        <v>73552.3</v>
      </c>
      <c r="M48" s="338">
        <v>122031.55</v>
      </c>
      <c r="N48" s="338">
        <v>299092.77</v>
      </c>
      <c r="O48" s="338">
        <v>199542</v>
      </c>
      <c r="P48" s="338">
        <v>227602.97</v>
      </c>
      <c r="Q48" s="338">
        <v>230873.905</v>
      </c>
      <c r="R48" s="338">
        <v>175565.55599999998</v>
      </c>
      <c r="S48" s="338">
        <v>203883.519</v>
      </c>
      <c r="T48" s="338">
        <v>266327.93200000003</v>
      </c>
      <c r="U48" s="338">
        <v>206208.15700000001</v>
      </c>
      <c r="V48" s="338">
        <v>283097.66000000003</v>
      </c>
      <c r="W48" s="338">
        <v>316876.95</v>
      </c>
      <c r="X48" s="338">
        <v>374611.27200000011</v>
      </c>
      <c r="Y48" s="338">
        <v>348052.6719999999</v>
      </c>
      <c r="Z48" s="338">
        <v>302874.51499999996</v>
      </c>
      <c r="AA48" s="338">
        <v>409616.38299999997</v>
      </c>
      <c r="AB48" s="338">
        <v>375735.29500000004</v>
      </c>
      <c r="AC48" s="338">
        <v>377145.57899999997</v>
      </c>
      <c r="AD48" s="338">
        <v>435254.56399999995</v>
      </c>
      <c r="AE48" s="338">
        <v>401785.18000000005</v>
      </c>
      <c r="AF48" s="338">
        <v>414325.31000000006</v>
      </c>
      <c r="AG48" s="338">
        <v>583534.53999999992</v>
      </c>
    </row>
    <row r="49" spans="1:33" s="231" customFormat="1" ht="15.95" customHeight="1" x14ac:dyDescent="0.25">
      <c r="A49" s="341" t="s">
        <v>123</v>
      </c>
      <c r="B49" s="338">
        <v>0</v>
      </c>
      <c r="C49" s="338">
        <v>0</v>
      </c>
      <c r="D49" s="338">
        <v>0</v>
      </c>
      <c r="E49" s="338">
        <v>0</v>
      </c>
      <c r="F49" s="338">
        <v>0</v>
      </c>
      <c r="G49" s="338">
        <v>0</v>
      </c>
      <c r="H49" s="338">
        <v>0</v>
      </c>
      <c r="I49" s="338">
        <v>0</v>
      </c>
      <c r="J49" s="338">
        <v>0</v>
      </c>
      <c r="K49" s="338">
        <v>0</v>
      </c>
      <c r="L49" s="338">
        <v>0</v>
      </c>
      <c r="M49" s="338">
        <v>0</v>
      </c>
      <c r="N49" s="338">
        <v>0</v>
      </c>
      <c r="O49" s="338">
        <v>0</v>
      </c>
      <c r="P49" s="338">
        <v>0</v>
      </c>
      <c r="Q49" s="338">
        <v>0</v>
      </c>
      <c r="R49" s="338">
        <v>0</v>
      </c>
      <c r="S49" s="338">
        <v>0</v>
      </c>
      <c r="T49" s="338">
        <v>0</v>
      </c>
      <c r="U49" s="338">
        <v>0</v>
      </c>
      <c r="V49" s="338">
        <v>12</v>
      </c>
      <c r="W49" s="338">
        <v>0</v>
      </c>
      <c r="X49" s="338">
        <v>3206</v>
      </c>
      <c r="Y49" s="338">
        <v>0</v>
      </c>
      <c r="Z49" s="338">
        <v>0</v>
      </c>
      <c r="AA49" s="338">
        <v>0</v>
      </c>
      <c r="AB49" s="338">
        <v>0</v>
      </c>
      <c r="AC49" s="338">
        <v>0</v>
      </c>
      <c r="AD49" s="338">
        <v>0</v>
      </c>
      <c r="AE49" s="338">
        <v>0</v>
      </c>
      <c r="AF49" s="338">
        <v>0</v>
      </c>
      <c r="AG49" s="338">
        <v>0</v>
      </c>
    </row>
    <row r="50" spans="1:33" s="232" customFormat="1" ht="11.45" hidden="1" customHeight="1" x14ac:dyDescent="0.25">
      <c r="A50" s="342" t="s">
        <v>124</v>
      </c>
      <c r="B50" s="339">
        <v>0</v>
      </c>
      <c r="C50" s="339">
        <v>0</v>
      </c>
      <c r="D50" s="339">
        <v>0</v>
      </c>
      <c r="E50" s="339">
        <v>0</v>
      </c>
      <c r="F50" s="339">
        <v>0</v>
      </c>
      <c r="G50" s="339">
        <v>0</v>
      </c>
      <c r="H50" s="339">
        <v>0</v>
      </c>
      <c r="I50" s="339">
        <v>0</v>
      </c>
      <c r="J50" s="339">
        <v>0</v>
      </c>
      <c r="K50" s="339">
        <v>0</v>
      </c>
      <c r="L50" s="339">
        <v>0</v>
      </c>
      <c r="M50" s="339">
        <v>0</v>
      </c>
      <c r="N50" s="339">
        <v>0</v>
      </c>
      <c r="O50" s="339">
        <v>0</v>
      </c>
      <c r="P50" s="339">
        <v>0</v>
      </c>
      <c r="Q50" s="339">
        <v>0</v>
      </c>
      <c r="R50" s="339">
        <v>340</v>
      </c>
      <c r="S50" s="339">
        <v>0</v>
      </c>
      <c r="T50" s="339">
        <v>0</v>
      </c>
      <c r="U50" s="339">
        <v>0</v>
      </c>
      <c r="V50" s="339">
        <v>0</v>
      </c>
      <c r="W50" s="339">
        <v>0</v>
      </c>
      <c r="X50" s="339">
        <v>0</v>
      </c>
      <c r="Y50" s="339">
        <v>0</v>
      </c>
      <c r="Z50" s="339">
        <v>0</v>
      </c>
      <c r="AA50" s="339">
        <v>0</v>
      </c>
      <c r="AB50" s="339">
        <v>0</v>
      </c>
      <c r="AC50" s="339">
        <v>0</v>
      </c>
      <c r="AD50" s="339">
        <v>0</v>
      </c>
      <c r="AE50" s="339">
        <v>0</v>
      </c>
      <c r="AF50" s="339">
        <v>0</v>
      </c>
      <c r="AG50" s="339">
        <v>0</v>
      </c>
    </row>
    <row r="51" spans="1:33" s="231" customFormat="1" ht="15.95" customHeight="1" x14ac:dyDescent="0.25">
      <c r="A51" s="341" t="s">
        <v>125</v>
      </c>
      <c r="B51" s="338">
        <v>0</v>
      </c>
      <c r="C51" s="338">
        <v>0</v>
      </c>
      <c r="D51" s="338">
        <v>0</v>
      </c>
      <c r="E51" s="338">
        <v>0</v>
      </c>
      <c r="F51" s="338">
        <v>0</v>
      </c>
      <c r="G51" s="338">
        <v>0</v>
      </c>
      <c r="H51" s="338">
        <v>0</v>
      </c>
      <c r="I51" s="338">
        <v>0</v>
      </c>
      <c r="J51" s="338">
        <v>0</v>
      </c>
      <c r="K51" s="338">
        <v>0</v>
      </c>
      <c r="L51" s="338">
        <v>0</v>
      </c>
      <c r="M51" s="338">
        <v>0</v>
      </c>
      <c r="N51" s="338">
        <v>0</v>
      </c>
      <c r="O51" s="338">
        <v>0</v>
      </c>
      <c r="P51" s="338">
        <v>0</v>
      </c>
      <c r="Q51" s="338">
        <v>0</v>
      </c>
      <c r="R51" s="338">
        <v>1536.39</v>
      </c>
      <c r="S51" s="338">
        <v>1490.66</v>
      </c>
      <c r="T51" s="338">
        <v>951.62400000000002</v>
      </c>
      <c r="U51" s="338">
        <v>1710.4229999999998</v>
      </c>
      <c r="V51" s="338">
        <v>1027.3600000000001</v>
      </c>
      <c r="W51" s="338">
        <v>563.33999999999992</v>
      </c>
      <c r="X51" s="338">
        <v>178.25</v>
      </c>
      <c r="Y51" s="338">
        <v>31.9</v>
      </c>
      <c r="Z51" s="338">
        <v>350</v>
      </c>
      <c r="AA51" s="338">
        <v>271.5</v>
      </c>
      <c r="AB51" s="338">
        <v>204.67000000000002</v>
      </c>
      <c r="AC51" s="338">
        <v>172</v>
      </c>
      <c r="AD51" s="338">
        <v>295.5</v>
      </c>
      <c r="AE51" s="338">
        <v>256</v>
      </c>
      <c r="AF51" s="338">
        <v>269.45</v>
      </c>
      <c r="AG51" s="338">
        <v>238</v>
      </c>
    </row>
    <row r="52" spans="1:33" s="231" customFormat="1" ht="15.95" customHeight="1" x14ac:dyDescent="0.25">
      <c r="A52" s="341" t="s">
        <v>126</v>
      </c>
      <c r="B52" s="338">
        <v>0</v>
      </c>
      <c r="C52" s="338">
        <v>0</v>
      </c>
      <c r="D52" s="338">
        <v>0</v>
      </c>
      <c r="E52" s="338">
        <v>0</v>
      </c>
      <c r="F52" s="338">
        <v>0</v>
      </c>
      <c r="G52" s="338">
        <v>0</v>
      </c>
      <c r="H52" s="338">
        <v>12985</v>
      </c>
      <c r="I52" s="338">
        <v>6734.59</v>
      </c>
      <c r="J52" s="338">
        <v>11165.42</v>
      </c>
      <c r="K52" s="338">
        <v>12084.64</v>
      </c>
      <c r="L52" s="338">
        <v>9668.1</v>
      </c>
      <c r="M52" s="338">
        <v>10736.57</v>
      </c>
      <c r="N52" s="338">
        <v>10684.59</v>
      </c>
      <c r="O52" s="338">
        <v>10790.98</v>
      </c>
      <c r="P52" s="338">
        <v>23829.85</v>
      </c>
      <c r="Q52" s="338">
        <v>30316.73</v>
      </c>
      <c r="R52" s="338">
        <v>20706.496999999999</v>
      </c>
      <c r="S52" s="338">
        <v>23121.511999999999</v>
      </c>
      <c r="T52" s="338">
        <v>18002.722999999998</v>
      </c>
      <c r="U52" s="338">
        <v>13359.399000000001</v>
      </c>
      <c r="V52" s="338">
        <v>19767.370000000003</v>
      </c>
      <c r="W52" s="338">
        <v>28295.636000000002</v>
      </c>
      <c r="X52" s="338">
        <v>31558.955000000002</v>
      </c>
      <c r="Y52" s="338">
        <v>32899.345000000001</v>
      </c>
      <c r="Z52" s="338">
        <v>28847.260000000002</v>
      </c>
      <c r="AA52" s="338">
        <v>26781.254000000001</v>
      </c>
      <c r="AB52" s="338">
        <v>11506.590000000002</v>
      </c>
      <c r="AC52" s="338">
        <v>19362.82</v>
      </c>
      <c r="AD52" s="338">
        <v>20634.16</v>
      </c>
      <c r="AE52" s="338">
        <v>18935.410000000003</v>
      </c>
      <c r="AF52" s="338">
        <v>17418.125</v>
      </c>
      <c r="AG52" s="338">
        <v>23039.015000000003</v>
      </c>
    </row>
    <row r="53" spans="1:33" s="231" customFormat="1" ht="15.95" customHeight="1" x14ac:dyDescent="0.25">
      <c r="A53" s="341" t="s">
        <v>127</v>
      </c>
      <c r="B53" s="338">
        <v>0</v>
      </c>
      <c r="C53" s="338">
        <v>0</v>
      </c>
      <c r="D53" s="338">
        <v>0</v>
      </c>
      <c r="E53" s="338">
        <v>0</v>
      </c>
      <c r="F53" s="338">
        <v>0</v>
      </c>
      <c r="G53" s="338">
        <v>0</v>
      </c>
      <c r="H53" s="338">
        <v>0</v>
      </c>
      <c r="I53" s="338">
        <v>0</v>
      </c>
      <c r="J53" s="338">
        <v>0</v>
      </c>
      <c r="K53" s="338">
        <v>0</v>
      </c>
      <c r="L53" s="338">
        <v>280</v>
      </c>
      <c r="M53" s="338">
        <v>2970.94</v>
      </c>
      <c r="N53" s="338">
        <v>4318.43</v>
      </c>
      <c r="O53" s="338">
        <v>4658.3900000000003</v>
      </c>
      <c r="P53" s="338">
        <v>6037.85</v>
      </c>
      <c r="Q53" s="338">
        <v>33762.510999999999</v>
      </c>
      <c r="R53" s="338">
        <v>129807.355</v>
      </c>
      <c r="S53" s="338">
        <v>284772.65100000001</v>
      </c>
      <c r="T53" s="338">
        <v>231923.98140000002</v>
      </c>
      <c r="U53" s="338">
        <v>97936.720239999995</v>
      </c>
      <c r="V53" s="338">
        <v>105113.6318</v>
      </c>
      <c r="W53" s="338">
        <v>126200.47125</v>
      </c>
      <c r="X53" s="338">
        <v>149202.31280000001</v>
      </c>
      <c r="Y53" s="338">
        <v>246025.34411000001</v>
      </c>
      <c r="Z53" s="338">
        <v>394477.61201000004</v>
      </c>
      <c r="AA53" s="338">
        <v>567685.63899999997</v>
      </c>
      <c r="AB53" s="338">
        <v>149294.27999999997</v>
      </c>
      <c r="AC53" s="338">
        <v>129905.79</v>
      </c>
      <c r="AD53" s="338">
        <v>144454.45000000001</v>
      </c>
      <c r="AE53" s="338">
        <v>113568.35569999997</v>
      </c>
      <c r="AF53" s="338">
        <v>320172.49</v>
      </c>
      <c r="AG53" s="338">
        <v>436344.08900000009</v>
      </c>
    </row>
    <row r="54" spans="1:33" s="231" customFormat="1" ht="15.95" customHeight="1" x14ac:dyDescent="0.25">
      <c r="A54" s="343" t="s">
        <v>128</v>
      </c>
      <c r="B54" s="340">
        <v>91535</v>
      </c>
      <c r="C54" s="340">
        <v>46675</v>
      </c>
      <c r="D54" s="340">
        <v>35300</v>
      </c>
      <c r="E54" s="340">
        <v>38047</v>
      </c>
      <c r="F54" s="340">
        <v>15161</v>
      </c>
      <c r="G54" s="340">
        <v>25339.85</v>
      </c>
      <c r="H54" s="340">
        <v>65447</v>
      </c>
      <c r="I54" s="340">
        <v>63639.86</v>
      </c>
      <c r="J54" s="340">
        <v>78656.039999999994</v>
      </c>
      <c r="K54" s="340">
        <v>75636.31</v>
      </c>
      <c r="L54" s="340">
        <v>52345.74</v>
      </c>
      <c r="M54" s="340">
        <v>20966</v>
      </c>
      <c r="N54" s="340">
        <v>75306.42</v>
      </c>
      <c r="O54" s="340">
        <v>136642</v>
      </c>
      <c r="P54" s="340">
        <v>276043.24</v>
      </c>
      <c r="Q54" s="340">
        <v>316091.19799999997</v>
      </c>
      <c r="R54" s="340">
        <v>290432.21710000001</v>
      </c>
      <c r="S54" s="340">
        <v>330723.21500000003</v>
      </c>
      <c r="T54" s="340">
        <v>463079.45100000012</v>
      </c>
      <c r="U54" s="340">
        <v>321012.28420000005</v>
      </c>
      <c r="V54" s="340">
        <v>313025.44499999995</v>
      </c>
      <c r="W54" s="340">
        <v>481769.685</v>
      </c>
      <c r="X54" s="340">
        <v>390704.53</v>
      </c>
      <c r="Y54" s="340">
        <v>297726.565</v>
      </c>
      <c r="Z54" s="340">
        <v>543856.4</v>
      </c>
      <c r="AA54" s="340">
        <v>438024.56499999994</v>
      </c>
      <c r="AB54" s="340">
        <v>257422.67000000004</v>
      </c>
      <c r="AC54" s="340">
        <v>286657.27799999999</v>
      </c>
      <c r="AD54" s="340">
        <v>458479.06100299995</v>
      </c>
      <c r="AE54" s="340">
        <v>254381.81699999998</v>
      </c>
      <c r="AF54" s="340">
        <v>171093.12900000002</v>
      </c>
      <c r="AG54" s="340">
        <v>435459.04600000003</v>
      </c>
    </row>
    <row r="55" spans="1:33" s="85" customFormat="1" ht="12" customHeight="1" x14ac:dyDescent="0.25">
      <c r="A55" s="84" t="s">
        <v>454</v>
      </c>
    </row>
    <row r="56" spans="1:33" s="85" customFormat="1" ht="12" customHeight="1" x14ac:dyDescent="0.25">
      <c r="A56" s="73" t="s">
        <v>370</v>
      </c>
      <c r="AF56" s="248"/>
      <c r="AG56" s="84"/>
    </row>
    <row r="57" spans="1:33" ht="12.75" customHeight="1" x14ac:dyDescent="0.3">
      <c r="A57" s="48"/>
      <c r="B57" s="70"/>
      <c r="C57" s="70"/>
      <c r="D57" s="70"/>
      <c r="E57" s="47"/>
      <c r="F57" s="47"/>
      <c r="AF57" s="25"/>
      <c r="AG57" s="40"/>
    </row>
    <row r="58" spans="1:33" ht="12.75" customHeight="1" x14ac:dyDescent="0.3">
      <c r="B58" s="37" t="s">
        <v>358</v>
      </c>
      <c r="AF58" s="25"/>
      <c r="AG58" s="40"/>
    </row>
    <row r="59" spans="1:33" ht="12.75" customHeight="1" x14ac:dyDescent="0.3">
      <c r="B59" s="37" t="s">
        <v>359</v>
      </c>
      <c r="AF59" s="25"/>
      <c r="AG59" s="40"/>
    </row>
    <row r="60" spans="1:33" ht="12.75" customHeight="1" x14ac:dyDescent="0.3">
      <c r="A60" s="49"/>
      <c r="B60" s="37" t="s">
        <v>360</v>
      </c>
      <c r="AF60" s="25"/>
      <c r="AG60" s="40"/>
    </row>
    <row r="61" spans="1:33" ht="12.75" customHeight="1" x14ac:dyDescent="0.3">
      <c r="A61" s="50"/>
      <c r="B61" s="37" t="s">
        <v>361</v>
      </c>
      <c r="AF61" s="25"/>
      <c r="AG61" s="40"/>
    </row>
  </sheetData>
  <mergeCells count="2">
    <mergeCell ref="A1:AG1"/>
    <mergeCell ref="A2:AG2"/>
  </mergeCells>
  <printOptions horizontalCentered="1"/>
  <pageMargins left="0.98425196850393704" right="0.78740157480314965" top="0.59055118110236227" bottom="0.39370078740157483" header="0" footer="0"/>
  <pageSetup paperSize="9" scale="9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CC"/>
  </sheetPr>
  <dimension ref="A1:AA39"/>
  <sheetViews>
    <sheetView showGridLines="0" showZeros="0" zoomScaleNormal="100" workbookViewId="0">
      <selection activeCell="A3" sqref="A3:J33"/>
    </sheetView>
  </sheetViews>
  <sheetFormatPr baseColWidth="10" defaultColWidth="9.7109375" defaultRowHeight="12.75" customHeight="1" x14ac:dyDescent="0.3"/>
  <cols>
    <col min="1" max="1" width="9.28515625" style="5" customWidth="1"/>
    <col min="2" max="2" width="10.7109375" style="4" customWidth="1"/>
    <col min="3" max="3" width="1.28515625" style="4" customWidth="1"/>
    <col min="4" max="10" width="10.7109375" style="4" customWidth="1"/>
    <col min="11" max="14" width="11.28515625" style="68" customWidth="1"/>
    <col min="15" max="17" width="6.140625" style="4" customWidth="1"/>
    <col min="18" max="16384" width="9.7109375" style="4"/>
  </cols>
  <sheetData>
    <row r="1" spans="1:27" ht="12.75" customHeight="1" x14ac:dyDescent="0.3">
      <c r="A1" s="677" t="s">
        <v>408</v>
      </c>
      <c r="B1" s="677"/>
      <c r="C1" s="677"/>
      <c r="D1" s="677"/>
      <c r="E1" s="677"/>
      <c r="F1" s="677"/>
      <c r="G1" s="677"/>
      <c r="H1" s="677"/>
      <c r="I1" s="677"/>
      <c r="J1" s="677"/>
      <c r="M1" s="69"/>
      <c r="AA1" s="4" t="s">
        <v>25</v>
      </c>
    </row>
    <row r="2" spans="1:27" ht="12.75" customHeight="1" x14ac:dyDescent="0.3">
      <c r="A2" s="89"/>
      <c r="B2" s="81"/>
      <c r="C2" s="81"/>
      <c r="D2" s="81"/>
      <c r="E2" s="80"/>
      <c r="F2" s="80"/>
      <c r="G2" s="80"/>
      <c r="H2" s="81"/>
      <c r="I2" s="81"/>
      <c r="J2" s="81"/>
      <c r="M2" s="69"/>
      <c r="O2" s="43"/>
      <c r="P2" s="43"/>
    </row>
    <row r="3" spans="1:27" ht="18" customHeight="1" x14ac:dyDescent="0.3">
      <c r="A3" s="685" t="s">
        <v>129</v>
      </c>
      <c r="B3" s="344"/>
      <c r="C3" s="344"/>
      <c r="D3" s="344" t="s">
        <v>13</v>
      </c>
      <c r="E3" s="345"/>
      <c r="F3" s="345"/>
      <c r="G3" s="346" t="s">
        <v>16</v>
      </c>
      <c r="H3" s="347"/>
      <c r="I3" s="347"/>
      <c r="J3" s="347"/>
      <c r="O3" s="43"/>
      <c r="P3" s="43"/>
      <c r="Q3" s="43"/>
    </row>
    <row r="4" spans="1:27" ht="18" customHeight="1" x14ac:dyDescent="0.3">
      <c r="A4" s="686"/>
      <c r="B4" s="357" t="s">
        <v>455</v>
      </c>
      <c r="C4" s="357"/>
      <c r="D4" s="688" t="s">
        <v>130</v>
      </c>
      <c r="E4" s="358" t="s">
        <v>15</v>
      </c>
      <c r="F4" s="357" t="s">
        <v>456</v>
      </c>
      <c r="G4" s="359" t="s">
        <v>131</v>
      </c>
      <c r="H4" s="359" t="s">
        <v>20</v>
      </c>
      <c r="I4" s="359" t="s">
        <v>21</v>
      </c>
      <c r="J4" s="359" t="s">
        <v>18</v>
      </c>
      <c r="O4" s="43"/>
      <c r="P4" s="43"/>
      <c r="Q4" s="43"/>
    </row>
    <row r="5" spans="1:27" ht="18" customHeight="1" x14ac:dyDescent="0.3">
      <c r="A5" s="686"/>
      <c r="B5" s="688" t="s">
        <v>132</v>
      </c>
      <c r="C5" s="358"/>
      <c r="D5" s="688"/>
      <c r="E5" s="358" t="s">
        <v>132</v>
      </c>
      <c r="F5" s="357" t="s">
        <v>132</v>
      </c>
      <c r="G5" s="359" t="s">
        <v>133</v>
      </c>
      <c r="H5" s="359" t="s">
        <v>132</v>
      </c>
      <c r="I5" s="359" t="s">
        <v>132</v>
      </c>
      <c r="J5" s="359" t="s">
        <v>134</v>
      </c>
      <c r="O5" s="43"/>
      <c r="P5" s="43"/>
      <c r="Q5" s="43"/>
    </row>
    <row r="6" spans="1:27" s="44" customFormat="1" ht="18" customHeight="1" x14ac:dyDescent="0.25">
      <c r="A6" s="687"/>
      <c r="B6" s="689"/>
      <c r="C6" s="348"/>
      <c r="D6" s="689"/>
      <c r="E6" s="349"/>
      <c r="F6" s="350"/>
      <c r="G6" s="351" t="s">
        <v>135</v>
      </c>
      <c r="H6" s="352"/>
      <c r="I6" s="352"/>
      <c r="J6" s="352"/>
      <c r="O6" s="45"/>
      <c r="P6" s="45"/>
      <c r="Q6" s="45"/>
    </row>
    <row r="7" spans="1:27" s="44" customFormat="1" ht="3" customHeight="1" x14ac:dyDescent="0.25">
      <c r="A7" s="353"/>
      <c r="B7" s="45"/>
      <c r="C7" s="45"/>
      <c r="D7" s="45"/>
      <c r="E7" s="45"/>
      <c r="F7" s="45"/>
      <c r="G7" s="45"/>
      <c r="H7" s="45"/>
      <c r="I7" s="45"/>
      <c r="J7" s="45"/>
      <c r="O7" s="45"/>
      <c r="P7" s="45"/>
      <c r="Q7" s="45"/>
    </row>
    <row r="8" spans="1:27" ht="12.75" hidden="1" customHeight="1" x14ac:dyDescent="0.3">
      <c r="A8" s="354">
        <v>1998</v>
      </c>
      <c r="B8" s="360">
        <v>486.39212498000001</v>
      </c>
      <c r="C8" s="360"/>
      <c r="D8" s="360">
        <v>3150.1348488100002</v>
      </c>
      <c r="E8" s="360">
        <v>656.71453713999995</v>
      </c>
      <c r="F8" s="360">
        <v>214.96500105000001</v>
      </c>
      <c r="G8" s="360">
        <v>25.470277119999999</v>
      </c>
      <c r="H8" s="360">
        <v>24.916</v>
      </c>
      <c r="I8" s="360">
        <v>4.594046515079242</v>
      </c>
      <c r="J8" s="361">
        <v>4.5893462300000003</v>
      </c>
      <c r="O8" s="43"/>
      <c r="P8" s="43"/>
      <c r="Q8" s="43"/>
    </row>
    <row r="9" spans="1:27" ht="12.75" hidden="1" customHeight="1" x14ac:dyDescent="0.3">
      <c r="A9" s="354">
        <v>1999</v>
      </c>
      <c r="B9" s="360">
        <v>521.05821245000004</v>
      </c>
      <c r="C9" s="360"/>
      <c r="D9" s="360">
        <v>4228.0919380100004</v>
      </c>
      <c r="E9" s="360">
        <v>669.15874722000001</v>
      </c>
      <c r="F9" s="360">
        <v>221.61749356999997</v>
      </c>
      <c r="G9" s="360">
        <v>32.412614059999996</v>
      </c>
      <c r="H9" s="360">
        <v>27.985848820000001</v>
      </c>
      <c r="I9" s="360">
        <v>5.8044400740000004</v>
      </c>
      <c r="J9" s="361">
        <v>3.8338240300000002</v>
      </c>
      <c r="O9" s="43"/>
      <c r="P9" s="43"/>
      <c r="Q9" s="43"/>
    </row>
    <row r="10" spans="1:27" ht="12.75" hidden="1" customHeight="1" x14ac:dyDescent="0.3">
      <c r="A10" s="355" t="s">
        <v>80</v>
      </c>
      <c r="B10" s="360">
        <v>529.13065266000001</v>
      </c>
      <c r="C10" s="360"/>
      <c r="D10" s="360">
        <v>4082.66846394</v>
      </c>
      <c r="E10" s="360">
        <v>792.00323662000005</v>
      </c>
      <c r="F10" s="360">
        <v>241.29504992</v>
      </c>
      <c r="G10" s="360">
        <v>35.950767880000001</v>
      </c>
      <c r="H10" s="360">
        <v>36.06236861</v>
      </c>
      <c r="I10" s="360">
        <v>7.5553351343999999</v>
      </c>
      <c r="J10" s="361">
        <v>3.60341836</v>
      </c>
      <c r="O10" s="43"/>
      <c r="P10" s="43"/>
      <c r="Q10" s="43"/>
    </row>
    <row r="11" spans="1:27" ht="12.75" hidden="1" customHeight="1" x14ac:dyDescent="0.3">
      <c r="A11" s="355" t="s">
        <v>81</v>
      </c>
      <c r="B11" s="360">
        <v>685.80319370999996</v>
      </c>
      <c r="C11" s="360"/>
      <c r="D11" s="360">
        <v>4294.4494721699994</v>
      </c>
      <c r="E11" s="360">
        <v>920.92874685999993</v>
      </c>
      <c r="F11" s="360">
        <v>253.31962648999999</v>
      </c>
      <c r="G11" s="360">
        <v>38.33876368</v>
      </c>
      <c r="H11" s="360">
        <v>36.283312410000001</v>
      </c>
      <c r="I11" s="360">
        <v>8.5132903500000001</v>
      </c>
      <c r="J11" s="361">
        <v>4.1998260100000007</v>
      </c>
      <c r="O11" s="43"/>
      <c r="P11" s="43"/>
      <c r="Q11" s="43"/>
    </row>
    <row r="12" spans="1:27" ht="12.75" hidden="1" customHeight="1" x14ac:dyDescent="0.3">
      <c r="A12" s="355" t="s">
        <v>52</v>
      </c>
      <c r="B12" s="360">
        <v>858.77791899999988</v>
      </c>
      <c r="C12" s="360"/>
      <c r="D12" s="360">
        <v>4750.3091869999998</v>
      </c>
      <c r="E12" s="360">
        <v>1127.9528600000001</v>
      </c>
      <c r="F12" s="360">
        <v>273.80387499999995</v>
      </c>
      <c r="G12" s="360">
        <v>37.656384000000003</v>
      </c>
      <c r="H12" s="360">
        <v>37.547633000000005</v>
      </c>
      <c r="I12" s="360">
        <v>10.220774087520001</v>
      </c>
      <c r="J12" s="361">
        <v>4.3691089999999999</v>
      </c>
      <c r="O12" s="43"/>
      <c r="P12" s="43"/>
      <c r="Q12" s="43"/>
    </row>
    <row r="13" spans="1:27" ht="12.75" hidden="1" customHeight="1" x14ac:dyDescent="0.3">
      <c r="A13" s="355" t="s">
        <v>136</v>
      </c>
      <c r="B13" s="360">
        <v>787.33661299999994</v>
      </c>
      <c r="C13" s="360"/>
      <c r="D13" s="360">
        <v>5776.6869409999999</v>
      </c>
      <c r="E13" s="360">
        <v>1183.3744839999999</v>
      </c>
      <c r="F13" s="360">
        <v>258.54380299999997</v>
      </c>
      <c r="G13" s="360">
        <v>39.317896999999995</v>
      </c>
      <c r="H13" s="360">
        <v>39.114479000000003</v>
      </c>
      <c r="I13" s="360">
        <v>10.53338095</v>
      </c>
      <c r="J13" s="361">
        <v>5.9128169999999995</v>
      </c>
      <c r="O13" s="43"/>
      <c r="P13" s="43"/>
      <c r="Q13" s="43"/>
    </row>
    <row r="14" spans="1:27" ht="12.75" hidden="1" customHeight="1" x14ac:dyDescent="0.3">
      <c r="A14" s="355" t="s">
        <v>54</v>
      </c>
      <c r="B14" s="360">
        <v>940.54908900000009</v>
      </c>
      <c r="C14" s="360"/>
      <c r="D14" s="360">
        <v>5955.6340999999993</v>
      </c>
      <c r="E14" s="360">
        <v>1035.3916590000001</v>
      </c>
      <c r="F14" s="360">
        <v>281.35056000000003</v>
      </c>
      <c r="G14" s="360">
        <v>39.089636000000006</v>
      </c>
      <c r="H14" s="360">
        <v>40.172686000000006</v>
      </c>
      <c r="I14" s="360">
        <v>13.533790272000001</v>
      </c>
      <c r="J14" s="361">
        <v>5.9986959999999998</v>
      </c>
      <c r="L14" s="4"/>
      <c r="M14" s="4"/>
      <c r="N14" s="4"/>
      <c r="O14" s="43"/>
      <c r="P14" s="43"/>
      <c r="Q14" s="43"/>
    </row>
    <row r="15" spans="1:27" ht="15.95" customHeight="1" x14ac:dyDescent="0.3">
      <c r="A15" s="355" t="s">
        <v>56</v>
      </c>
      <c r="B15" s="360">
        <v>980.64743500000009</v>
      </c>
      <c r="C15" s="360"/>
      <c r="D15" s="360">
        <v>6673.7268830000003</v>
      </c>
      <c r="E15" s="360">
        <v>1063.2270560000002</v>
      </c>
      <c r="F15" s="360">
        <v>377.51258799999994</v>
      </c>
      <c r="G15" s="360">
        <v>41.805786000000005</v>
      </c>
      <c r="H15" s="360">
        <v>46.527904999999997</v>
      </c>
      <c r="I15" s="360">
        <v>17.840987067999997</v>
      </c>
      <c r="J15" s="361">
        <v>6.6783530000000004</v>
      </c>
      <c r="L15" s="4"/>
      <c r="M15" s="4"/>
      <c r="N15" s="4"/>
      <c r="O15" s="43"/>
      <c r="P15" s="43"/>
      <c r="Q15" s="43"/>
    </row>
    <row r="16" spans="1:27" ht="15.95" customHeight="1" x14ac:dyDescent="0.3">
      <c r="A16" s="355" t="s">
        <v>3</v>
      </c>
      <c r="B16" s="360">
        <v>1121.9424399999998</v>
      </c>
      <c r="C16" s="360"/>
      <c r="D16" s="360">
        <v>5967.3943619999991</v>
      </c>
      <c r="E16" s="360">
        <v>1272.656301</v>
      </c>
      <c r="F16" s="360">
        <v>416.63830099999996</v>
      </c>
      <c r="G16" s="360">
        <v>40.359925000000004</v>
      </c>
      <c r="H16" s="360">
        <v>41.111622999999994</v>
      </c>
      <c r="I16" s="360">
        <v>16.161707224000001</v>
      </c>
      <c r="J16" s="361">
        <v>7.1777029999999993</v>
      </c>
      <c r="L16" s="4"/>
      <c r="M16" s="4"/>
      <c r="N16" s="4"/>
      <c r="O16" s="43"/>
      <c r="P16" s="43"/>
      <c r="Q16" s="43"/>
    </row>
    <row r="17" spans="1:17" ht="15.95" customHeight="1" x14ac:dyDescent="0.3">
      <c r="A17" s="355" t="s">
        <v>4</v>
      </c>
      <c r="B17" s="360">
        <v>1243.0921780000001</v>
      </c>
      <c r="C17" s="360"/>
      <c r="D17" s="360">
        <v>6417.683814</v>
      </c>
      <c r="E17" s="360">
        <v>1457.1284639999999</v>
      </c>
      <c r="F17" s="360">
        <v>524.99695399999996</v>
      </c>
      <c r="G17" s="360">
        <v>39.690534</v>
      </c>
      <c r="H17" s="360">
        <v>38.263483999999998</v>
      </c>
      <c r="I17" s="360">
        <v>18.255964222000003</v>
      </c>
      <c r="J17" s="361">
        <v>6.8411140000000001</v>
      </c>
      <c r="L17" s="4"/>
      <c r="M17" s="4"/>
      <c r="N17" s="4"/>
      <c r="O17" s="43"/>
      <c r="P17" s="43"/>
      <c r="Q17" s="43"/>
    </row>
    <row r="18" spans="1:17" ht="15.95" customHeight="1" x14ac:dyDescent="0.3">
      <c r="A18" s="355" t="s">
        <v>5</v>
      </c>
      <c r="B18" s="360">
        <v>1174.938193</v>
      </c>
      <c r="C18" s="360"/>
      <c r="D18" s="360">
        <v>6972.1969499999996</v>
      </c>
      <c r="E18" s="360">
        <v>1339.1760340000001</v>
      </c>
      <c r="F18" s="360">
        <v>681.50996999999995</v>
      </c>
      <c r="G18" s="360">
        <v>16.249386999999999</v>
      </c>
      <c r="H18" s="360">
        <v>39.458700000000007</v>
      </c>
      <c r="I18" s="360">
        <v>12.198253901143008</v>
      </c>
      <c r="J18" s="362">
        <v>6.7791250000000005</v>
      </c>
      <c r="L18" s="4"/>
      <c r="M18" s="4"/>
      <c r="N18" s="4"/>
      <c r="O18" s="43"/>
      <c r="P18" s="43"/>
      <c r="Q18" s="43"/>
    </row>
    <row r="19" spans="1:17" ht="15.95" customHeight="1" x14ac:dyDescent="0.3">
      <c r="A19" s="355" t="s">
        <v>6</v>
      </c>
      <c r="B19" s="360">
        <v>1181.5319850000001</v>
      </c>
      <c r="C19" s="360"/>
      <c r="D19" s="360">
        <v>6334.5532089999997</v>
      </c>
      <c r="E19" s="360">
        <v>1281.7535800000001</v>
      </c>
      <c r="F19" s="360">
        <v>769.96655399999986</v>
      </c>
      <c r="G19" s="360">
        <v>6.1603579999999996</v>
      </c>
      <c r="H19" s="360">
        <v>39.039000000000001</v>
      </c>
      <c r="I19" s="360">
        <v>16.438381096806044</v>
      </c>
      <c r="J19" s="362">
        <v>7.9596069999999992</v>
      </c>
      <c r="L19" s="4"/>
      <c r="M19" s="4"/>
      <c r="N19" s="4"/>
      <c r="O19" s="43"/>
      <c r="P19" s="43"/>
      <c r="Q19" s="43"/>
    </row>
    <row r="20" spans="1:17" ht="15.95" customHeight="1" x14ac:dyDescent="0.3">
      <c r="A20" s="355" t="s">
        <v>7</v>
      </c>
      <c r="B20" s="360">
        <v>1141.0074079999999</v>
      </c>
      <c r="C20" s="360"/>
      <c r="D20" s="360">
        <v>6492.2497980000007</v>
      </c>
      <c r="E20" s="360">
        <v>989.81479500000012</v>
      </c>
      <c r="F20" s="360">
        <v>987.66261499999996</v>
      </c>
      <c r="G20" s="360">
        <v>6.517633</v>
      </c>
      <c r="H20" s="360">
        <v>34.166800000000002</v>
      </c>
      <c r="I20" s="360">
        <v>18.877995786464421</v>
      </c>
      <c r="J20" s="362">
        <v>9.2557340000000003</v>
      </c>
      <c r="L20" s="4"/>
      <c r="M20" s="4"/>
      <c r="N20" s="4"/>
      <c r="O20" s="43"/>
      <c r="P20" s="43"/>
      <c r="Q20" s="43"/>
    </row>
    <row r="21" spans="1:17" ht="15.95" customHeight="1" x14ac:dyDescent="0.3">
      <c r="A21" s="355" t="s">
        <v>8</v>
      </c>
      <c r="B21" s="360">
        <v>1276.6682179999998</v>
      </c>
      <c r="C21" s="360"/>
      <c r="D21" s="360">
        <v>6427.0524129999994</v>
      </c>
      <c r="E21" s="360">
        <v>994.71376300000009</v>
      </c>
      <c r="F21" s="360">
        <v>1169.66029</v>
      </c>
      <c r="G21" s="360">
        <v>6.9355449999999994</v>
      </c>
      <c r="H21" s="360">
        <v>25.5458</v>
      </c>
      <c r="I21" s="360">
        <v>17.317099797016922</v>
      </c>
      <c r="J21" s="362">
        <v>9.7848830000000007</v>
      </c>
      <c r="L21" s="4"/>
      <c r="M21" s="4"/>
      <c r="N21" s="4"/>
      <c r="O21" s="43"/>
      <c r="P21" s="43"/>
      <c r="Q21" s="43"/>
    </row>
    <row r="22" spans="1:17" ht="15.95" customHeight="1" x14ac:dyDescent="0.3">
      <c r="A22" s="355" t="s">
        <v>9</v>
      </c>
      <c r="B22" s="360">
        <v>1324.8542040000002</v>
      </c>
      <c r="C22" s="360"/>
      <c r="D22" s="360">
        <v>6047.3659180000004</v>
      </c>
      <c r="E22" s="360">
        <v>1059.3689420000001</v>
      </c>
      <c r="F22" s="360">
        <v>855.1553100000001</v>
      </c>
      <c r="G22" s="360">
        <v>21.204194000000001</v>
      </c>
      <c r="H22" s="360">
        <v>23.424300000000002</v>
      </c>
      <c r="I22" s="360">
        <v>18.128929260030951</v>
      </c>
      <c r="J22" s="362">
        <v>10.373200000000001</v>
      </c>
      <c r="L22" s="4"/>
      <c r="M22" s="4"/>
      <c r="N22" s="4"/>
      <c r="O22" s="43"/>
      <c r="P22" s="43"/>
      <c r="Q22" s="43"/>
    </row>
    <row r="23" spans="1:17" ht="15.95" customHeight="1" x14ac:dyDescent="0.3">
      <c r="A23" s="355" t="s">
        <v>10</v>
      </c>
      <c r="B23" s="360">
        <v>1319.8441360000002</v>
      </c>
      <c r="C23" s="360"/>
      <c r="D23" s="360">
        <v>5323.3804</v>
      </c>
      <c r="E23" s="360">
        <v>1124.41966</v>
      </c>
      <c r="F23" s="360">
        <v>771.45482599999991</v>
      </c>
      <c r="G23" s="360">
        <v>17.144968000000002</v>
      </c>
      <c r="H23" s="360">
        <v>23.887299999999996</v>
      </c>
      <c r="I23" s="360">
        <v>16.494692460800039</v>
      </c>
      <c r="J23" s="362">
        <v>11.368120999999999</v>
      </c>
      <c r="L23" s="4"/>
      <c r="M23" s="4"/>
      <c r="N23" s="4"/>
      <c r="O23" s="43"/>
      <c r="P23" s="43"/>
      <c r="Q23" s="43"/>
    </row>
    <row r="24" spans="1:17" ht="15.95" customHeight="1" x14ac:dyDescent="0.3">
      <c r="A24" s="355" t="s">
        <v>57</v>
      </c>
      <c r="B24" s="360">
        <v>1643.756969</v>
      </c>
      <c r="C24" s="360"/>
      <c r="D24" s="360">
        <v>5743.7721410000004</v>
      </c>
      <c r="E24" s="360">
        <v>1190.298859</v>
      </c>
      <c r="F24" s="360">
        <v>938.359602</v>
      </c>
      <c r="G24" s="360">
        <v>8.9059539999999995</v>
      </c>
      <c r="H24" s="360">
        <v>20.811199999999999</v>
      </c>
      <c r="I24" s="360">
        <v>17.764907390686929</v>
      </c>
      <c r="J24" s="362">
        <v>11.646830999999999</v>
      </c>
      <c r="L24" s="4"/>
      <c r="M24" s="4"/>
      <c r="N24" s="4"/>
      <c r="O24" s="43"/>
      <c r="P24" s="43"/>
      <c r="Q24" s="43"/>
    </row>
    <row r="25" spans="1:17" ht="15.95" customHeight="1" x14ac:dyDescent="0.3">
      <c r="A25" s="355" t="s">
        <v>137</v>
      </c>
      <c r="B25" s="360">
        <v>2317.2932110000002</v>
      </c>
      <c r="C25" s="360"/>
      <c r="D25" s="360">
        <v>5936.5698080000002</v>
      </c>
      <c r="E25" s="360">
        <v>1102.9358440000001</v>
      </c>
      <c r="F25" s="360">
        <v>942.29859899999997</v>
      </c>
      <c r="G25" s="360">
        <v>7.1565099999999999</v>
      </c>
      <c r="H25" s="360">
        <v>18.915343</v>
      </c>
      <c r="I25" s="360">
        <v>24.500516022025046</v>
      </c>
      <c r="J25" s="362">
        <v>11.089091</v>
      </c>
      <c r="L25" s="4"/>
      <c r="M25" s="4"/>
      <c r="N25" s="4"/>
      <c r="O25" s="43"/>
      <c r="P25" s="43"/>
      <c r="Q25" s="43"/>
    </row>
    <row r="26" spans="1:17" ht="15.95" customHeight="1" x14ac:dyDescent="0.3">
      <c r="A26" s="355" t="s">
        <v>138</v>
      </c>
      <c r="B26" s="360">
        <v>2438.0425139999998</v>
      </c>
      <c r="C26" s="360"/>
      <c r="D26" s="360">
        <v>6563.9221310000003</v>
      </c>
      <c r="E26" s="360">
        <v>1236.5138630000001</v>
      </c>
      <c r="F26" s="360">
        <v>865.54154799999992</v>
      </c>
      <c r="G26" s="360">
        <v>6.9465319999999995</v>
      </c>
      <c r="H26" s="360">
        <v>18.107502</v>
      </c>
      <c r="I26" s="360">
        <v>25.423540350680774</v>
      </c>
      <c r="J26" s="362">
        <v>11.692758999999999</v>
      </c>
      <c r="L26" s="4"/>
      <c r="M26" s="4"/>
      <c r="N26" s="4"/>
      <c r="O26" s="43"/>
      <c r="P26" s="43"/>
      <c r="Q26" s="43"/>
    </row>
    <row r="27" spans="1:17" ht="15.95" customHeight="1" x14ac:dyDescent="0.3">
      <c r="A27" s="355" t="s">
        <v>139</v>
      </c>
      <c r="B27" s="360">
        <v>2487.8854569999999</v>
      </c>
      <c r="C27" s="360"/>
      <c r="D27" s="360">
        <v>6513.3016530000004</v>
      </c>
      <c r="E27" s="360">
        <v>1208.0306520000001</v>
      </c>
      <c r="F27" s="360">
        <v>793.74422600000003</v>
      </c>
      <c r="G27" s="360">
        <v>7.8107290000000003</v>
      </c>
      <c r="H27" s="360">
        <v>17.110648999999999</v>
      </c>
      <c r="I27" s="360">
        <v>27.171357639812072</v>
      </c>
      <c r="J27" s="362">
        <v>14.680347999999999</v>
      </c>
      <c r="L27" s="4"/>
      <c r="M27" s="4"/>
      <c r="N27" s="4"/>
      <c r="O27" s="43"/>
      <c r="P27" s="43"/>
      <c r="Q27" s="43"/>
    </row>
    <row r="28" spans="1:17" ht="15.95" customHeight="1" x14ac:dyDescent="0.3">
      <c r="A28" s="355" t="s">
        <v>347</v>
      </c>
      <c r="B28" s="356">
        <v>2554.9391948135981</v>
      </c>
      <c r="C28" s="360"/>
      <c r="D28" s="360">
        <v>6139.6800270651038</v>
      </c>
      <c r="E28" s="360">
        <v>1194.6094978007111</v>
      </c>
      <c r="F28" s="360">
        <v>835.96116070666892</v>
      </c>
      <c r="G28" s="360">
        <v>4.7343134888110008</v>
      </c>
      <c r="H28" s="360">
        <v>20.077339641999998</v>
      </c>
      <c r="I28" s="360">
        <v>30.339354856170633</v>
      </c>
      <c r="J28" s="363">
        <v>15.748065453363001</v>
      </c>
      <c r="L28" s="4"/>
      <c r="M28" s="4"/>
      <c r="N28" s="4"/>
      <c r="O28" s="43"/>
      <c r="P28" s="43"/>
      <c r="Q28" s="43"/>
    </row>
    <row r="29" spans="1:17" ht="15.95" customHeight="1" x14ac:dyDescent="0.3">
      <c r="A29" s="355" t="s">
        <v>411</v>
      </c>
      <c r="B29" s="356">
        <v>2183.6808451057732</v>
      </c>
      <c r="C29" s="360"/>
      <c r="D29" s="360">
        <v>4446.5430802883111</v>
      </c>
      <c r="E29" s="360">
        <v>1169.8723451279291</v>
      </c>
      <c r="F29" s="360">
        <v>745.74746157161803</v>
      </c>
      <c r="G29" s="360">
        <v>4.68009451039</v>
      </c>
      <c r="H29" s="360">
        <v>20.220412000000003</v>
      </c>
      <c r="I29" s="360">
        <v>29.568652286041463</v>
      </c>
      <c r="J29" s="363">
        <v>14.109335084129</v>
      </c>
      <c r="L29" s="4"/>
      <c r="M29" s="4"/>
      <c r="N29" s="4"/>
      <c r="O29" s="43"/>
      <c r="P29" s="43"/>
      <c r="Q29" s="43"/>
    </row>
    <row r="30" spans="1:17" ht="15.95" customHeight="1" x14ac:dyDescent="0.3">
      <c r="A30" s="364" t="s">
        <v>457</v>
      </c>
      <c r="B30" s="365">
        <v>2331.5031068630997</v>
      </c>
      <c r="C30" s="366"/>
      <c r="D30" s="366">
        <v>5627.3677698374058</v>
      </c>
      <c r="E30" s="366">
        <v>1210.305532257468</v>
      </c>
      <c r="F30" s="366">
        <v>825.11385339009598</v>
      </c>
      <c r="G30" s="366">
        <v>4.6418586206430001</v>
      </c>
      <c r="H30" s="366">
        <v>25.450488200000002</v>
      </c>
      <c r="I30" s="366">
        <v>33.49554006896598</v>
      </c>
      <c r="J30" s="367">
        <v>17.812878940299999</v>
      </c>
      <c r="L30" s="4"/>
      <c r="M30" s="4"/>
      <c r="N30" s="4"/>
      <c r="O30" s="43"/>
      <c r="P30" s="43"/>
      <c r="Q30" s="43"/>
    </row>
    <row r="31" spans="1:17" s="81" customFormat="1" ht="12" customHeight="1" x14ac:dyDescent="0.25">
      <c r="A31" s="86" t="s">
        <v>140</v>
      </c>
      <c r="K31" s="87"/>
    </row>
    <row r="32" spans="1:17" s="81" customFormat="1" ht="12" customHeight="1" x14ac:dyDescent="0.25">
      <c r="A32" s="86" t="s">
        <v>376</v>
      </c>
      <c r="J32" s="88"/>
      <c r="K32" s="87"/>
    </row>
    <row r="33" spans="1:17" s="81" customFormat="1" ht="12" customHeight="1" x14ac:dyDescent="0.25">
      <c r="A33" s="89" t="s">
        <v>141</v>
      </c>
      <c r="B33" s="80"/>
      <c r="C33" s="80"/>
      <c r="D33" s="80"/>
      <c r="E33" s="80"/>
      <c r="F33" s="80"/>
      <c r="G33" s="80"/>
      <c r="H33" s="80"/>
      <c r="I33" s="80"/>
      <c r="J33" s="80"/>
      <c r="K33" s="87"/>
      <c r="O33" s="80"/>
      <c r="P33" s="80"/>
      <c r="Q33" s="80"/>
    </row>
    <row r="34" spans="1:17" ht="12.75" customHeight="1" x14ac:dyDescent="0.3">
      <c r="L34" s="4"/>
      <c r="M34" s="4"/>
      <c r="N34" s="4"/>
    </row>
    <row r="35" spans="1:17" ht="12.75" customHeight="1" x14ac:dyDescent="0.3">
      <c r="L35" s="4"/>
      <c r="M35" s="4"/>
      <c r="N35" s="4"/>
    </row>
    <row r="36" spans="1:17" ht="12.75" customHeight="1" x14ac:dyDescent="0.3">
      <c r="L36" s="4"/>
      <c r="M36" s="4"/>
      <c r="N36" s="4"/>
    </row>
    <row r="37" spans="1:17" ht="12.75" customHeight="1" x14ac:dyDescent="0.3">
      <c r="L37" s="4"/>
      <c r="M37" s="4"/>
      <c r="N37" s="4"/>
    </row>
    <row r="38" spans="1:17" ht="12.75" customHeight="1" x14ac:dyDescent="0.3">
      <c r="L38" s="4"/>
      <c r="M38" s="4"/>
      <c r="N38" s="4"/>
    </row>
    <row r="39" spans="1:17" ht="12.75" customHeight="1" x14ac:dyDescent="0.3">
      <c r="A39" s="46"/>
      <c r="L39" s="4"/>
      <c r="M39" s="4"/>
      <c r="N39" s="4"/>
    </row>
  </sheetData>
  <mergeCells count="4">
    <mergeCell ref="A1:J1"/>
    <mergeCell ref="A3:A6"/>
    <mergeCell ref="D4:D6"/>
    <mergeCell ref="B5:B6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  <ignoredErrors>
    <ignoredError sqref="A15:A29 A10:A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Y33"/>
  <sheetViews>
    <sheetView showGridLines="0" showZeros="0" zoomScaleNormal="100" workbookViewId="0">
      <selection activeCell="A29" sqref="A29:Y29"/>
    </sheetView>
  </sheetViews>
  <sheetFormatPr baseColWidth="10" defaultColWidth="7.140625" defaultRowHeight="12.75" customHeight="1" x14ac:dyDescent="0.25"/>
  <cols>
    <col min="1" max="1" width="21.28515625" style="42" customWidth="1"/>
    <col min="2" max="10" width="7.7109375" style="41" hidden="1" customWidth="1"/>
    <col min="11" max="13" width="8.140625" style="41" hidden="1" customWidth="1"/>
    <col min="14" max="16" width="7.28515625" style="41" hidden="1" customWidth="1"/>
    <col min="17" max="25" width="13.85546875" style="41" customWidth="1"/>
    <col min="26" max="16384" width="7.140625" style="41"/>
  </cols>
  <sheetData>
    <row r="1" spans="1:25" ht="12.75" customHeight="1" x14ac:dyDescent="0.25">
      <c r="A1" s="1" t="s">
        <v>150</v>
      </c>
    </row>
    <row r="3" spans="1:25" s="368" customFormat="1" ht="12.75" customHeight="1" x14ac:dyDescent="0.25">
      <c r="A3" s="678" t="s">
        <v>419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678"/>
      <c r="U3" s="678"/>
      <c r="V3" s="678"/>
      <c r="W3" s="678"/>
      <c r="X3" s="678"/>
      <c r="Y3" s="678"/>
    </row>
    <row r="4" spans="1:25" s="368" customFormat="1" ht="12.75" customHeight="1" x14ac:dyDescent="0.25">
      <c r="A4" s="679" t="s">
        <v>149</v>
      </c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  <c r="W4" s="679"/>
      <c r="X4" s="679"/>
      <c r="Y4" s="679"/>
    </row>
    <row r="5" spans="1:25" ht="12.75" customHeight="1" x14ac:dyDescent="0.25">
      <c r="A5" s="167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</row>
    <row r="6" spans="1:25" ht="20.100000000000001" customHeight="1" x14ac:dyDescent="0.25">
      <c r="A6" s="369" t="s">
        <v>148</v>
      </c>
      <c r="B6" s="370">
        <v>1995</v>
      </c>
      <c r="C6" s="370">
        <v>1996</v>
      </c>
      <c r="D6" s="370">
        <v>1997</v>
      </c>
      <c r="E6" s="370">
        <v>1998</v>
      </c>
      <c r="F6" s="370">
        <v>1999</v>
      </c>
      <c r="G6" s="370">
        <v>2000</v>
      </c>
      <c r="H6" s="370">
        <v>2001</v>
      </c>
      <c r="I6" s="370">
        <v>2002</v>
      </c>
      <c r="J6" s="370">
        <v>2003</v>
      </c>
      <c r="K6" s="370">
        <v>2004</v>
      </c>
      <c r="L6" s="370">
        <v>2005</v>
      </c>
      <c r="M6" s="370">
        <v>2006</v>
      </c>
      <c r="N6" s="370">
        <v>2007</v>
      </c>
      <c r="O6" s="370">
        <v>2008</v>
      </c>
      <c r="P6" s="370">
        <v>2009</v>
      </c>
      <c r="Q6" s="370">
        <v>2011</v>
      </c>
      <c r="R6" s="370">
        <v>2012</v>
      </c>
      <c r="S6" s="370">
        <v>2013</v>
      </c>
      <c r="T6" s="370">
        <v>2014</v>
      </c>
      <c r="U6" s="370">
        <v>2015</v>
      </c>
      <c r="V6" s="370">
        <v>2016</v>
      </c>
      <c r="W6" s="370">
        <v>2017</v>
      </c>
      <c r="X6" s="370">
        <v>2018</v>
      </c>
      <c r="Y6" s="370">
        <v>2019</v>
      </c>
    </row>
    <row r="7" spans="1:25" ht="15.95" customHeight="1" x14ac:dyDescent="0.25">
      <c r="A7" s="371" t="s">
        <v>147</v>
      </c>
      <c r="B7" s="372">
        <v>366089</v>
      </c>
      <c r="C7" s="372">
        <v>340266</v>
      </c>
      <c r="D7" s="372">
        <v>323521</v>
      </c>
      <c r="E7" s="372">
        <v>355745</v>
      </c>
      <c r="F7" s="372">
        <v>309764</v>
      </c>
      <c r="G7" s="372">
        <v>323393</v>
      </c>
      <c r="H7" s="372">
        <v>399560</v>
      </c>
      <c r="I7" s="372">
        <v>374052</v>
      </c>
      <c r="J7" s="373">
        <v>352532</v>
      </c>
      <c r="K7" s="373">
        <v>379316</v>
      </c>
      <c r="L7" s="373">
        <v>382866</v>
      </c>
      <c r="M7" s="373">
        <v>415769</v>
      </c>
      <c r="N7" s="373">
        <v>447382.3</v>
      </c>
      <c r="O7" s="373">
        <v>532661.5</v>
      </c>
      <c r="P7" s="373">
        <v>530904.80000000005</v>
      </c>
      <c r="Q7" s="373">
        <v>579163.5</v>
      </c>
      <c r="R7" s="373">
        <v>632905.30000000005</v>
      </c>
      <c r="S7" s="373">
        <v>741219</v>
      </c>
      <c r="T7" s="373">
        <v>682681.45598867803</v>
      </c>
      <c r="U7" s="373">
        <v>473100</v>
      </c>
      <c r="V7" s="373">
        <v>434882</v>
      </c>
      <c r="W7" s="373">
        <v>339262</v>
      </c>
      <c r="X7" s="374">
        <v>344501</v>
      </c>
      <c r="Y7" s="374">
        <v>348693.5</v>
      </c>
    </row>
    <row r="8" spans="1:25" ht="15.95" customHeight="1" x14ac:dyDescent="0.25">
      <c r="A8" s="371" t="s">
        <v>146</v>
      </c>
      <c r="B8" s="372">
        <v>399360</v>
      </c>
      <c r="C8" s="372">
        <v>352190</v>
      </c>
      <c r="D8" s="372">
        <v>339782</v>
      </c>
      <c r="E8" s="372">
        <v>480590</v>
      </c>
      <c r="F8" s="372">
        <v>428004</v>
      </c>
      <c r="G8" s="372">
        <v>408930</v>
      </c>
      <c r="H8" s="372">
        <v>360280</v>
      </c>
      <c r="I8" s="372">
        <v>349493</v>
      </c>
      <c r="J8" s="373">
        <v>353774</v>
      </c>
      <c r="K8" s="373">
        <v>411634</v>
      </c>
      <c r="L8" s="373">
        <v>438112</v>
      </c>
      <c r="M8" s="373">
        <v>692025</v>
      </c>
      <c r="N8" s="373">
        <v>661071.69999999995</v>
      </c>
      <c r="O8" s="373">
        <v>640469.4</v>
      </c>
      <c r="P8" s="373">
        <v>805906</v>
      </c>
      <c r="Q8" s="373">
        <v>800958.8</v>
      </c>
      <c r="R8" s="373">
        <v>668248.69999999995</v>
      </c>
      <c r="S8" s="373">
        <v>363024.5</v>
      </c>
      <c r="T8" s="373">
        <v>362219.3326189057</v>
      </c>
      <c r="U8" s="373">
        <v>191882</v>
      </c>
      <c r="V8" s="373">
        <v>255192</v>
      </c>
      <c r="W8" s="373">
        <v>101377</v>
      </c>
      <c r="X8" s="374">
        <v>77166</v>
      </c>
      <c r="Y8" s="374">
        <v>138345.79999999999</v>
      </c>
    </row>
    <row r="9" spans="1:25" ht="15.95" customHeight="1" x14ac:dyDescent="0.25">
      <c r="A9" s="371" t="s">
        <v>145</v>
      </c>
      <c r="B9" s="372">
        <v>3314170</v>
      </c>
      <c r="C9" s="372">
        <v>3756968</v>
      </c>
      <c r="D9" s="372">
        <v>4288138</v>
      </c>
      <c r="E9" s="372">
        <v>4264312</v>
      </c>
      <c r="F9" s="372">
        <v>4318671</v>
      </c>
      <c r="G9" s="372">
        <v>4848071</v>
      </c>
      <c r="H9" s="372">
        <v>5120476</v>
      </c>
      <c r="I9" s="372">
        <v>5123708</v>
      </c>
      <c r="J9" s="373">
        <v>5113543</v>
      </c>
      <c r="K9" s="373">
        <v>5073192</v>
      </c>
      <c r="L9" s="373">
        <v>5418090</v>
      </c>
      <c r="M9" s="373">
        <v>5317638.25</v>
      </c>
      <c r="N9" s="373">
        <v>4907029.55</v>
      </c>
      <c r="O9" s="373">
        <v>4637849.9000000004</v>
      </c>
      <c r="P9" s="373">
        <v>1952696</v>
      </c>
      <c r="Q9" s="373">
        <v>1674967.5</v>
      </c>
      <c r="R9" s="373">
        <v>770028.5</v>
      </c>
      <c r="S9" s="373">
        <v>440944.7</v>
      </c>
      <c r="T9" s="373">
        <v>385677.77028950414</v>
      </c>
      <c r="U9" s="373">
        <v>210440</v>
      </c>
      <c r="V9" s="373">
        <v>235829</v>
      </c>
      <c r="W9" s="373">
        <v>97768</v>
      </c>
      <c r="X9" s="374">
        <v>238750</v>
      </c>
      <c r="Y9" s="374">
        <v>312310.90000000002</v>
      </c>
    </row>
    <row r="10" spans="1:25" ht="15.95" customHeight="1" x14ac:dyDescent="0.25">
      <c r="A10" s="371" t="s">
        <v>144</v>
      </c>
      <c r="B10" s="373">
        <v>0</v>
      </c>
      <c r="C10" s="373">
        <v>0</v>
      </c>
      <c r="D10" s="373">
        <v>0</v>
      </c>
      <c r="E10" s="373">
        <v>0</v>
      </c>
      <c r="F10" s="373">
        <v>0</v>
      </c>
      <c r="G10" s="373">
        <v>0</v>
      </c>
      <c r="H10" s="373">
        <v>0</v>
      </c>
      <c r="I10" s="373">
        <v>0</v>
      </c>
      <c r="J10" s="373">
        <v>0</v>
      </c>
      <c r="K10" s="373">
        <v>0</v>
      </c>
      <c r="L10" s="373">
        <v>0</v>
      </c>
      <c r="M10" s="373">
        <v>0</v>
      </c>
      <c r="N10" s="373">
        <v>0</v>
      </c>
      <c r="O10" s="373">
        <v>0</v>
      </c>
      <c r="P10" s="373">
        <v>2839893</v>
      </c>
      <c r="Q10" s="373">
        <v>2773524</v>
      </c>
      <c r="R10" s="373">
        <v>3982286.7</v>
      </c>
      <c r="S10" s="373">
        <v>4459408.2</v>
      </c>
      <c r="T10" s="373">
        <v>637401.93305608595</v>
      </c>
      <c r="U10" s="373">
        <v>737636</v>
      </c>
      <c r="V10" s="373">
        <v>600461</v>
      </c>
      <c r="W10" s="373">
        <v>955977</v>
      </c>
      <c r="X10" s="374">
        <v>788782</v>
      </c>
      <c r="Y10" s="374">
        <v>527501.4</v>
      </c>
    </row>
    <row r="11" spans="1:25" ht="15.95" customHeight="1" x14ac:dyDescent="0.25">
      <c r="A11" s="375" t="s">
        <v>143</v>
      </c>
      <c r="B11" s="376"/>
      <c r="C11" s="376"/>
      <c r="D11" s="376"/>
      <c r="E11" s="376"/>
      <c r="F11" s="376"/>
      <c r="G11" s="376"/>
      <c r="H11" s="376"/>
      <c r="I11" s="376"/>
      <c r="J11" s="376"/>
      <c r="K11" s="376" t="s">
        <v>31</v>
      </c>
      <c r="L11" s="376" t="s">
        <v>31</v>
      </c>
      <c r="M11" s="376" t="s">
        <v>31</v>
      </c>
      <c r="N11" s="376" t="s">
        <v>31</v>
      </c>
      <c r="O11" s="376" t="s">
        <v>31</v>
      </c>
      <c r="P11" s="376" t="s">
        <v>31</v>
      </c>
      <c r="Q11" s="376" t="s">
        <v>31</v>
      </c>
      <c r="R11" s="376" t="s">
        <v>31</v>
      </c>
      <c r="S11" s="376" t="s">
        <v>31</v>
      </c>
      <c r="T11" s="376">
        <v>5428740.5309150554</v>
      </c>
      <c r="U11" s="376">
        <v>9925351</v>
      </c>
      <c r="V11" s="376">
        <v>14713590</v>
      </c>
      <c r="W11" s="376">
        <v>14792336</v>
      </c>
      <c r="X11" s="377">
        <v>23143955</v>
      </c>
      <c r="Y11" s="374">
        <v>21863255.300000001</v>
      </c>
    </row>
    <row r="12" spans="1:25" s="209" customFormat="1" ht="24" customHeight="1" x14ac:dyDescent="0.25">
      <c r="A12" s="690" t="s">
        <v>377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690"/>
      <c r="R12" s="690"/>
      <c r="S12" s="690"/>
      <c r="T12" s="690"/>
      <c r="U12" s="690"/>
      <c r="V12" s="690"/>
      <c r="W12" s="690"/>
      <c r="X12" s="690"/>
      <c r="Y12" s="690"/>
    </row>
    <row r="13" spans="1:25" s="209" customFormat="1" ht="24" customHeight="1" x14ac:dyDescent="0.25">
      <c r="A13" s="691" t="s">
        <v>378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691"/>
      <c r="O13" s="691"/>
      <c r="P13" s="691"/>
      <c r="Q13" s="691"/>
      <c r="R13" s="691"/>
      <c r="S13" s="691"/>
      <c r="T13" s="691"/>
      <c r="U13" s="691"/>
      <c r="V13" s="691"/>
      <c r="W13" s="691"/>
      <c r="X13" s="691"/>
      <c r="Y13" s="691"/>
    </row>
    <row r="14" spans="1:25" s="209" customFormat="1" ht="12" customHeight="1" x14ac:dyDescent="0.25">
      <c r="A14" s="691" t="s">
        <v>379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691"/>
      <c r="O14" s="691"/>
      <c r="P14" s="691"/>
      <c r="Q14" s="691"/>
      <c r="R14" s="691"/>
      <c r="S14" s="691"/>
      <c r="T14" s="691"/>
      <c r="U14" s="691"/>
      <c r="V14" s="691"/>
      <c r="W14" s="691"/>
      <c r="X14" s="691"/>
      <c r="Y14" s="691"/>
    </row>
    <row r="15" spans="1:25" s="90" customFormat="1" ht="12" customHeight="1" x14ac:dyDescent="0.25">
      <c r="A15" s="91" t="s">
        <v>371</v>
      </c>
      <c r="B15" s="92"/>
    </row>
    <row r="16" spans="1:25" s="90" customFormat="1" ht="12" customHeight="1" x14ac:dyDescent="0.25">
      <c r="A16" s="93" t="s">
        <v>142</v>
      </c>
      <c r="B16" s="92"/>
    </row>
    <row r="17" spans="1:25" s="90" customFormat="1" ht="12" customHeight="1" x14ac:dyDescent="0.25">
      <c r="A17" s="93" t="s">
        <v>417</v>
      </c>
      <c r="B17" s="92"/>
      <c r="N17" s="378"/>
      <c r="O17" s="378"/>
      <c r="P17" s="378"/>
      <c r="Q17" s="378"/>
      <c r="R17" s="378"/>
      <c r="S17" s="378"/>
      <c r="T17" s="378"/>
      <c r="U17" s="378"/>
      <c r="V17" s="378"/>
      <c r="W17" s="378"/>
      <c r="X17" s="378"/>
      <c r="Y17" s="378"/>
    </row>
    <row r="18" spans="1:25" ht="12.75" customHeight="1" x14ac:dyDescent="0.25">
      <c r="A18" s="168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 spans="1:25" s="368" customFormat="1" ht="12.75" customHeight="1" x14ac:dyDescent="0.25">
      <c r="A19" s="678" t="s">
        <v>418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</row>
    <row r="20" spans="1:25" s="368" customFormat="1" ht="12.75" customHeight="1" x14ac:dyDescent="0.25">
      <c r="A20" s="679" t="s">
        <v>149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</row>
    <row r="21" spans="1:25" ht="12.75" customHeight="1" x14ac:dyDescent="0.25">
      <c r="A21" s="168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2"/>
      <c r="V21" s="90"/>
      <c r="W21" s="90"/>
      <c r="X21" s="90"/>
      <c r="Y21" s="90"/>
    </row>
    <row r="22" spans="1:25" ht="20.100000000000001" customHeight="1" x14ac:dyDescent="0.25">
      <c r="A22" s="257" t="s">
        <v>148</v>
      </c>
      <c r="B22" s="258">
        <v>1995</v>
      </c>
      <c r="C22" s="258">
        <v>1996</v>
      </c>
      <c r="D22" s="258">
        <v>1997</v>
      </c>
      <c r="E22" s="258">
        <v>1998</v>
      </c>
      <c r="F22" s="258">
        <v>1999</v>
      </c>
      <c r="G22" s="258">
        <v>2000</v>
      </c>
      <c r="H22" s="258">
        <v>2001</v>
      </c>
      <c r="I22" s="258">
        <v>2002</v>
      </c>
      <c r="J22" s="258">
        <v>2003</v>
      </c>
      <c r="K22" s="258">
        <v>2004</v>
      </c>
      <c r="L22" s="258">
        <v>2005</v>
      </c>
      <c r="M22" s="258">
        <v>2006</v>
      </c>
      <c r="N22" s="258">
        <v>2007</v>
      </c>
      <c r="O22" s="258">
        <v>2008</v>
      </c>
      <c r="P22" s="258">
        <v>2009</v>
      </c>
      <c r="Q22" s="258">
        <v>2011</v>
      </c>
      <c r="R22" s="258">
        <v>2012</v>
      </c>
      <c r="S22" s="258">
        <v>2013</v>
      </c>
      <c r="T22" s="258">
        <v>2014</v>
      </c>
      <c r="U22" s="258">
        <v>2015</v>
      </c>
      <c r="V22" s="258">
        <v>2016</v>
      </c>
      <c r="W22" s="258">
        <v>2017</v>
      </c>
      <c r="X22" s="258">
        <v>2018</v>
      </c>
      <c r="Y22" s="258">
        <v>2019</v>
      </c>
    </row>
    <row r="23" spans="1:25" ht="15.95" customHeight="1" x14ac:dyDescent="0.25">
      <c r="A23" s="379" t="s">
        <v>147</v>
      </c>
      <c r="B23" s="385">
        <v>441321</v>
      </c>
      <c r="C23" s="385">
        <v>433255</v>
      </c>
      <c r="D23" s="385">
        <v>434889</v>
      </c>
      <c r="E23" s="385">
        <v>581638</v>
      </c>
      <c r="F23" s="385">
        <v>580836</v>
      </c>
      <c r="G23" s="385">
        <v>582227</v>
      </c>
      <c r="H23" s="385">
        <v>579816</v>
      </c>
      <c r="I23" s="385">
        <v>578839</v>
      </c>
      <c r="J23" s="385">
        <v>577021</v>
      </c>
      <c r="K23" s="385">
        <v>717987</v>
      </c>
      <c r="L23" s="385">
        <v>695392</v>
      </c>
      <c r="M23" s="385">
        <v>681519</v>
      </c>
      <c r="N23" s="385">
        <v>674104</v>
      </c>
      <c r="O23" s="385">
        <v>658200.39999999991</v>
      </c>
      <c r="P23" s="385">
        <v>631720.30700000003</v>
      </c>
      <c r="Q23" s="385">
        <v>626995</v>
      </c>
      <c r="R23" s="385">
        <v>789771.50000000012</v>
      </c>
      <c r="S23" s="385">
        <v>875732.79999999993</v>
      </c>
      <c r="T23" s="385">
        <v>727165.11471720552</v>
      </c>
      <c r="U23" s="385">
        <v>714185</v>
      </c>
      <c r="V23" s="385">
        <v>789719</v>
      </c>
      <c r="W23" s="385">
        <v>645813</v>
      </c>
      <c r="X23" s="386">
        <v>514389</v>
      </c>
      <c r="Y23" s="380">
        <v>493221.00000000006</v>
      </c>
    </row>
    <row r="24" spans="1:25" ht="15.95" customHeight="1" x14ac:dyDescent="0.25">
      <c r="A24" s="381" t="s">
        <v>146</v>
      </c>
      <c r="B24" s="385">
        <v>397800</v>
      </c>
      <c r="C24" s="385">
        <v>395341</v>
      </c>
      <c r="D24" s="385">
        <v>394833</v>
      </c>
      <c r="E24" s="385">
        <v>304982</v>
      </c>
      <c r="F24" s="385">
        <v>344618</v>
      </c>
      <c r="G24" s="385">
        <v>345627</v>
      </c>
      <c r="H24" s="385">
        <v>346274</v>
      </c>
      <c r="I24" s="385">
        <v>348709</v>
      </c>
      <c r="J24" s="385">
        <v>348637</v>
      </c>
      <c r="K24" s="385">
        <v>217850</v>
      </c>
      <c r="L24" s="385">
        <v>294308</v>
      </c>
      <c r="M24" s="385">
        <v>294308</v>
      </c>
      <c r="N24" s="385">
        <v>294308</v>
      </c>
      <c r="O24" s="385">
        <v>294308</v>
      </c>
      <c r="P24" s="385">
        <v>781235.45</v>
      </c>
      <c r="Q24" s="385">
        <v>509262.44999988697</v>
      </c>
      <c r="R24" s="385">
        <v>430856.1</v>
      </c>
      <c r="S24" s="385">
        <v>350509.69999999995</v>
      </c>
      <c r="T24" s="385">
        <v>289436.16561313666</v>
      </c>
      <c r="U24" s="385">
        <v>173003</v>
      </c>
      <c r="V24" s="385">
        <v>112555</v>
      </c>
      <c r="W24" s="385">
        <v>65713</v>
      </c>
      <c r="X24" s="386">
        <v>96476</v>
      </c>
      <c r="Y24" s="387">
        <v>105756.4</v>
      </c>
    </row>
    <row r="25" spans="1:25" ht="15.95" customHeight="1" x14ac:dyDescent="0.25">
      <c r="A25" s="381" t="s">
        <v>145</v>
      </c>
      <c r="B25" s="385">
        <v>749733</v>
      </c>
      <c r="C25" s="385">
        <v>745170</v>
      </c>
      <c r="D25" s="385">
        <v>670984</v>
      </c>
      <c r="E25" s="385">
        <v>413195</v>
      </c>
      <c r="F25" s="385">
        <v>471477</v>
      </c>
      <c r="G25" s="385">
        <v>470258</v>
      </c>
      <c r="H25" s="385">
        <v>455642</v>
      </c>
      <c r="I25" s="385">
        <v>454386</v>
      </c>
      <c r="J25" s="385">
        <v>454499</v>
      </c>
      <c r="K25" s="385">
        <v>476673</v>
      </c>
      <c r="L25" s="385">
        <v>384059</v>
      </c>
      <c r="M25" s="385">
        <v>384059</v>
      </c>
      <c r="N25" s="385">
        <v>384059</v>
      </c>
      <c r="O25" s="385">
        <v>384059.2</v>
      </c>
      <c r="P25" s="385">
        <v>877869.27</v>
      </c>
      <c r="Q25" s="385">
        <v>413973</v>
      </c>
      <c r="R25" s="385">
        <v>263600.89999999997</v>
      </c>
      <c r="S25" s="385">
        <v>265633.10000000003</v>
      </c>
      <c r="T25" s="385">
        <v>248713.37342379839</v>
      </c>
      <c r="U25" s="385">
        <v>100282</v>
      </c>
      <c r="V25" s="385">
        <v>76296</v>
      </c>
      <c r="W25" s="385">
        <v>50044</v>
      </c>
      <c r="X25" s="386">
        <v>84664</v>
      </c>
      <c r="Y25" s="387">
        <v>110320.9</v>
      </c>
    </row>
    <row r="26" spans="1:25" ht="15.95" customHeight="1" x14ac:dyDescent="0.25">
      <c r="A26" s="381" t="s">
        <v>144</v>
      </c>
      <c r="B26" s="385" t="s">
        <v>31</v>
      </c>
      <c r="C26" s="385" t="s">
        <v>31</v>
      </c>
      <c r="D26" s="385" t="s">
        <v>31</v>
      </c>
      <c r="E26" s="385" t="s">
        <v>31</v>
      </c>
      <c r="F26" s="385" t="s">
        <v>31</v>
      </c>
      <c r="G26" s="385" t="s">
        <v>31</v>
      </c>
      <c r="H26" s="385" t="s">
        <v>31</v>
      </c>
      <c r="I26" s="385" t="s">
        <v>31</v>
      </c>
      <c r="J26" s="385" t="s">
        <v>31</v>
      </c>
      <c r="K26" s="385" t="s">
        <v>31</v>
      </c>
      <c r="L26" s="385" t="s">
        <v>31</v>
      </c>
      <c r="M26" s="385" t="s">
        <v>31</v>
      </c>
      <c r="N26" s="385" t="s">
        <v>31</v>
      </c>
      <c r="O26" s="385" t="s">
        <v>31</v>
      </c>
      <c r="P26" s="385">
        <v>1648900</v>
      </c>
      <c r="Q26" s="385">
        <v>2514936</v>
      </c>
      <c r="R26" s="385">
        <v>4213159.4000000004</v>
      </c>
      <c r="S26" s="385">
        <v>4104523.1</v>
      </c>
      <c r="T26" s="385">
        <v>129641.36917832363</v>
      </c>
      <c r="U26" s="385">
        <v>217955</v>
      </c>
      <c r="V26" s="385">
        <v>189957</v>
      </c>
      <c r="W26" s="385">
        <v>128199</v>
      </c>
      <c r="X26" s="386">
        <v>129096</v>
      </c>
      <c r="Y26" s="374">
        <v>143815.29999999999</v>
      </c>
    </row>
    <row r="27" spans="1:25" ht="15.95" customHeight="1" x14ac:dyDescent="0.25">
      <c r="A27" s="382" t="s">
        <v>143</v>
      </c>
      <c r="B27" s="383" t="s">
        <v>31</v>
      </c>
      <c r="C27" s="383" t="s">
        <v>31</v>
      </c>
      <c r="D27" s="383" t="s">
        <v>31</v>
      </c>
      <c r="E27" s="383" t="s">
        <v>31</v>
      </c>
      <c r="F27" s="383" t="s">
        <v>31</v>
      </c>
      <c r="G27" s="383" t="s">
        <v>31</v>
      </c>
      <c r="H27" s="383" t="s">
        <v>31</v>
      </c>
      <c r="I27" s="383" t="s">
        <v>31</v>
      </c>
      <c r="J27" s="383" t="s">
        <v>31</v>
      </c>
      <c r="K27" s="383" t="s">
        <v>31</v>
      </c>
      <c r="L27" s="383" t="s">
        <v>31</v>
      </c>
      <c r="M27" s="383" t="s">
        <v>31</v>
      </c>
      <c r="N27" s="383" t="s">
        <v>31</v>
      </c>
      <c r="O27" s="383" t="s">
        <v>31</v>
      </c>
      <c r="P27" s="383" t="s">
        <v>31</v>
      </c>
      <c r="Q27" s="383" t="s">
        <v>31</v>
      </c>
      <c r="R27" s="383" t="s">
        <v>31</v>
      </c>
      <c r="S27" s="383" t="s">
        <v>31</v>
      </c>
      <c r="T27" s="383">
        <v>3206843.5826742384</v>
      </c>
      <c r="U27" s="383">
        <v>2633816</v>
      </c>
      <c r="V27" s="383">
        <v>1548914</v>
      </c>
      <c r="W27" s="383">
        <v>938006</v>
      </c>
      <c r="X27" s="384">
        <v>859689</v>
      </c>
      <c r="Y27" s="377">
        <v>859689</v>
      </c>
    </row>
    <row r="28" spans="1:25" s="209" customFormat="1" ht="24" customHeight="1" x14ac:dyDescent="0.25">
      <c r="A28" s="691" t="s">
        <v>377</v>
      </c>
      <c r="B28" s="691"/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691"/>
      <c r="N28" s="691"/>
      <c r="O28" s="691"/>
      <c r="P28" s="691"/>
      <c r="Q28" s="691"/>
      <c r="R28" s="691"/>
      <c r="S28" s="691"/>
      <c r="T28" s="691"/>
      <c r="U28" s="691"/>
      <c r="V28" s="691"/>
      <c r="W28" s="691"/>
      <c r="X28" s="691"/>
      <c r="Y28" s="691"/>
    </row>
    <row r="29" spans="1:25" s="209" customFormat="1" ht="24" customHeight="1" x14ac:dyDescent="0.25">
      <c r="A29" s="691" t="s">
        <v>378</v>
      </c>
      <c r="B29" s="691"/>
      <c r="C29" s="691"/>
      <c r="D29" s="691"/>
      <c r="E29" s="691"/>
      <c r="F29" s="691"/>
      <c r="G29" s="691"/>
      <c r="H29" s="691"/>
      <c r="I29" s="691"/>
      <c r="J29" s="691"/>
      <c r="K29" s="691"/>
      <c r="L29" s="691"/>
      <c r="M29" s="691"/>
      <c r="N29" s="691"/>
      <c r="O29" s="691"/>
      <c r="P29" s="691"/>
      <c r="Q29" s="691"/>
      <c r="R29" s="691"/>
      <c r="S29" s="691"/>
      <c r="T29" s="691"/>
      <c r="U29" s="691"/>
      <c r="V29" s="691"/>
      <c r="W29" s="691"/>
      <c r="X29" s="691"/>
      <c r="Y29" s="691"/>
    </row>
    <row r="30" spans="1:25" s="209" customFormat="1" ht="12" customHeight="1" x14ac:dyDescent="0.25">
      <c r="A30" s="691" t="s">
        <v>379</v>
      </c>
      <c r="B30" s="691"/>
      <c r="C30" s="691"/>
      <c r="D30" s="691"/>
      <c r="E30" s="691"/>
      <c r="F30" s="691"/>
      <c r="G30" s="691"/>
      <c r="H30" s="691"/>
      <c r="I30" s="691"/>
      <c r="J30" s="691"/>
      <c r="K30" s="691"/>
      <c r="L30" s="691"/>
      <c r="M30" s="691"/>
      <c r="N30" s="691"/>
      <c r="O30" s="691"/>
      <c r="P30" s="691"/>
      <c r="Q30" s="691"/>
      <c r="R30" s="691"/>
      <c r="S30" s="691"/>
      <c r="T30" s="691"/>
      <c r="U30" s="691"/>
      <c r="V30" s="691"/>
      <c r="W30" s="691"/>
      <c r="X30" s="691"/>
      <c r="Y30" s="691"/>
    </row>
    <row r="31" spans="1:25" s="90" customFormat="1" ht="12" customHeight="1" x14ac:dyDescent="0.25">
      <c r="A31" s="91" t="s">
        <v>371</v>
      </c>
      <c r="U31" s="92"/>
    </row>
    <row r="32" spans="1:25" s="90" customFormat="1" ht="12" customHeight="1" x14ac:dyDescent="0.25">
      <c r="A32" s="93" t="s">
        <v>142</v>
      </c>
      <c r="U32" s="92"/>
    </row>
    <row r="33" spans="1:21" s="90" customFormat="1" ht="12" customHeight="1" x14ac:dyDescent="0.25">
      <c r="A33" s="93" t="s">
        <v>417</v>
      </c>
      <c r="U33" s="92"/>
    </row>
  </sheetData>
  <mergeCells count="10">
    <mergeCell ref="A19:Y19"/>
    <mergeCell ref="A20:Y20"/>
    <mergeCell ref="A28:Y28"/>
    <mergeCell ref="A29:Y29"/>
    <mergeCell ref="A30:Y30"/>
    <mergeCell ref="A3:Y3"/>
    <mergeCell ref="A4:Y4"/>
    <mergeCell ref="A12:Y12"/>
    <mergeCell ref="A13:Y13"/>
    <mergeCell ref="A14:Y14"/>
  </mergeCells>
  <printOptions horizontalCentered="1"/>
  <pageMargins left="0.98425196850393704" right="0.78740157480314965" top="0.98425196850393704" bottom="0.98425196850393704" header="0" footer="0"/>
  <pageSetup paperSize="9" scale="9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32"/>
  <sheetViews>
    <sheetView showGridLines="0" showZeros="0" zoomScaleNormal="100" workbookViewId="0">
      <selection activeCell="A6" sqref="A6:AH10"/>
    </sheetView>
  </sheetViews>
  <sheetFormatPr baseColWidth="10" defaultColWidth="11.28515625" defaultRowHeight="12.75" customHeight="1" x14ac:dyDescent="0.25"/>
  <cols>
    <col min="1" max="1" width="20.28515625" style="40" customWidth="1"/>
    <col min="2" max="2" width="12" style="37" customWidth="1"/>
    <col min="3" max="24" width="8" style="37" hidden="1" customWidth="1"/>
    <col min="25" max="34" width="9.7109375" style="37" customWidth="1"/>
    <col min="35" max="16384" width="11.28515625" style="37"/>
  </cols>
  <sheetData>
    <row r="1" spans="1:34" ht="12.75" customHeight="1" x14ac:dyDescent="0.25">
      <c r="A1" s="1" t="s">
        <v>151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85"/>
      <c r="AH1" s="85"/>
    </row>
    <row r="2" spans="1:34" ht="12.75" customHeight="1" x14ac:dyDescent="0.2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85"/>
      <c r="AH2" s="85"/>
    </row>
    <row r="3" spans="1:34" s="433" customFormat="1" ht="12.75" customHeight="1" x14ac:dyDescent="0.25">
      <c r="A3" s="678" t="s">
        <v>416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678"/>
      <c r="U3" s="678"/>
      <c r="V3" s="678"/>
      <c r="W3" s="678"/>
      <c r="X3" s="678"/>
      <c r="Y3" s="678"/>
      <c r="Z3" s="678"/>
      <c r="AA3" s="678"/>
      <c r="AB3" s="678"/>
      <c r="AC3" s="678"/>
      <c r="AD3" s="678"/>
      <c r="AE3" s="678"/>
      <c r="AF3" s="678"/>
      <c r="AG3" s="678"/>
      <c r="AH3" s="678"/>
    </row>
    <row r="4" spans="1:34" s="433" customFormat="1" ht="12.75" customHeight="1" x14ac:dyDescent="0.25">
      <c r="A4" s="679" t="s">
        <v>78</v>
      </c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  <c r="N4" s="679"/>
      <c r="O4" s="679"/>
      <c r="P4" s="679"/>
      <c r="Q4" s="679"/>
      <c r="R4" s="679"/>
      <c r="S4" s="679"/>
      <c r="T4" s="679"/>
      <c r="U4" s="679"/>
      <c r="V4" s="679"/>
      <c r="W4" s="679"/>
      <c r="X4" s="679"/>
      <c r="Y4" s="679"/>
      <c r="Z4" s="679"/>
      <c r="AA4" s="679"/>
      <c r="AB4" s="679"/>
      <c r="AC4" s="679"/>
      <c r="AD4" s="679"/>
      <c r="AE4" s="679"/>
      <c r="AF4" s="679"/>
      <c r="AG4" s="679"/>
      <c r="AH4" s="679"/>
    </row>
    <row r="5" spans="1:34" ht="12.75" customHeight="1" x14ac:dyDescent="0.25">
      <c r="A5" s="169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</row>
    <row r="6" spans="1:34" ht="20.100000000000001" customHeight="1" x14ac:dyDescent="0.25">
      <c r="A6" s="697" t="s">
        <v>69</v>
      </c>
      <c r="B6" s="698"/>
      <c r="C6" s="388">
        <v>1990</v>
      </c>
      <c r="D6" s="388">
        <v>1991</v>
      </c>
      <c r="E6" s="388">
        <v>1992</v>
      </c>
      <c r="F6" s="388">
        <v>1993</v>
      </c>
      <c r="G6" s="388">
        <v>1994</v>
      </c>
      <c r="H6" s="388">
        <v>1995</v>
      </c>
      <c r="I6" s="388">
        <v>1996</v>
      </c>
      <c r="J6" s="388">
        <v>1997</v>
      </c>
      <c r="K6" s="388">
        <v>1998</v>
      </c>
      <c r="L6" s="388">
        <v>1999</v>
      </c>
      <c r="M6" s="388" t="s">
        <v>80</v>
      </c>
      <c r="N6" s="388" t="s">
        <v>81</v>
      </c>
      <c r="O6" s="388">
        <v>2002</v>
      </c>
      <c r="P6" s="388">
        <v>2003</v>
      </c>
      <c r="Q6" s="388">
        <v>2004</v>
      </c>
      <c r="R6" s="388">
        <v>2005</v>
      </c>
      <c r="S6" s="388">
        <v>2006</v>
      </c>
      <c r="T6" s="388">
        <v>2007</v>
      </c>
      <c r="U6" s="388">
        <v>2008</v>
      </c>
      <c r="V6" s="388">
        <v>2009</v>
      </c>
      <c r="W6" s="388">
        <v>2010</v>
      </c>
      <c r="X6" s="389"/>
      <c r="Y6" s="388">
        <v>2012</v>
      </c>
      <c r="Z6" s="388">
        <v>2013</v>
      </c>
      <c r="AA6" s="388">
        <v>2014</v>
      </c>
      <c r="AB6" s="388">
        <v>2015</v>
      </c>
      <c r="AC6" s="388">
        <v>2016</v>
      </c>
      <c r="AD6" s="388">
        <v>2017</v>
      </c>
      <c r="AE6" s="388">
        <v>2018</v>
      </c>
      <c r="AF6" s="388">
        <v>2019</v>
      </c>
      <c r="AG6" s="388">
        <v>2020</v>
      </c>
      <c r="AH6" s="388">
        <v>2021</v>
      </c>
    </row>
    <row r="7" spans="1:34" ht="12.75" hidden="1" customHeight="1" x14ac:dyDescent="0.25">
      <c r="A7" s="392"/>
      <c r="B7" s="390"/>
      <c r="C7" s="393"/>
      <c r="D7" s="393"/>
      <c r="E7" s="393"/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1"/>
      <c r="Y7" s="393"/>
      <c r="Z7" s="393"/>
      <c r="AA7" s="393"/>
      <c r="AB7" s="393"/>
      <c r="AC7" s="393"/>
      <c r="AD7" s="393"/>
      <c r="AE7" s="393"/>
      <c r="AF7" s="393"/>
      <c r="AG7" s="393"/>
      <c r="AH7" s="393"/>
    </row>
    <row r="8" spans="1:34" ht="15.95" customHeight="1" x14ac:dyDescent="0.25">
      <c r="A8" s="394" t="s">
        <v>93</v>
      </c>
      <c r="B8" s="395"/>
      <c r="C8" s="396">
        <v>20201</v>
      </c>
      <c r="D8" s="396">
        <v>10790</v>
      </c>
      <c r="E8" s="396">
        <v>80980</v>
      </c>
      <c r="F8" s="396">
        <v>31095</v>
      </c>
      <c r="G8" s="396">
        <v>22023.87</v>
      </c>
      <c r="H8" s="396">
        <v>17415.98</v>
      </c>
      <c r="I8" s="396">
        <v>20699</v>
      </c>
      <c r="J8" s="396">
        <v>21694.44</v>
      </c>
      <c r="K8" s="396">
        <v>7385.3600000000006</v>
      </c>
      <c r="L8" s="396">
        <v>1488.47</v>
      </c>
      <c r="M8" s="396">
        <v>16624.89</v>
      </c>
      <c r="N8" s="396">
        <v>20219.46</v>
      </c>
      <c r="O8" s="396">
        <v>21579</v>
      </c>
      <c r="P8" s="396">
        <v>17103.63</v>
      </c>
      <c r="Q8" s="396">
        <v>29406.6875</v>
      </c>
      <c r="R8" s="396">
        <v>58889.107750000003</v>
      </c>
      <c r="S8" s="396">
        <v>71184.55</v>
      </c>
      <c r="T8" s="396">
        <v>100621.18</v>
      </c>
      <c r="U8" s="396">
        <v>131951.36700000006</v>
      </c>
      <c r="V8" s="396">
        <v>144660.54</v>
      </c>
      <c r="W8" s="396">
        <v>120953.57</v>
      </c>
      <c r="X8" s="397"/>
      <c r="Y8" s="396">
        <v>226907.82</v>
      </c>
      <c r="Z8" s="396">
        <v>211885.26</v>
      </c>
      <c r="AA8" s="396">
        <v>229212.88</v>
      </c>
      <c r="AB8" s="396">
        <v>251788.18</v>
      </c>
      <c r="AC8" s="396">
        <v>266236</v>
      </c>
      <c r="AD8" s="396">
        <v>301319.2</v>
      </c>
      <c r="AE8" s="396">
        <v>216727</v>
      </c>
      <c r="AF8" s="396">
        <v>181022.6</v>
      </c>
      <c r="AG8" s="396">
        <v>114864.6</v>
      </c>
      <c r="AH8" s="396">
        <v>142766.70000000001</v>
      </c>
    </row>
    <row r="9" spans="1:34" ht="12.75" hidden="1" customHeight="1" x14ac:dyDescent="0.25">
      <c r="A9" s="170"/>
      <c r="B9" s="171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72"/>
      <c r="Y9" s="166"/>
      <c r="Z9" s="166"/>
      <c r="AA9" s="166"/>
      <c r="AB9" s="166"/>
      <c r="AC9" s="166"/>
      <c r="AD9" s="166"/>
      <c r="AE9" s="166"/>
      <c r="AF9" s="166"/>
      <c r="AG9" s="166"/>
      <c r="AH9" s="166"/>
    </row>
    <row r="10" spans="1:34" s="104" customFormat="1" ht="12.75" customHeight="1" x14ac:dyDescent="0.25">
      <c r="A10" s="73" t="s">
        <v>370</v>
      </c>
    </row>
    <row r="11" spans="1:34" ht="12.7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</row>
    <row r="12" spans="1:34" ht="12.75" customHeight="1" x14ac:dyDescent="0.25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</row>
    <row r="13" spans="1:34" s="432" customFormat="1" ht="12.75" customHeight="1" x14ac:dyDescent="0.3">
      <c r="A13" s="694" t="s">
        <v>410</v>
      </c>
      <c r="B13" s="694"/>
      <c r="C13" s="694"/>
      <c r="D13" s="694"/>
      <c r="E13" s="694"/>
      <c r="F13" s="694"/>
      <c r="G13" s="694"/>
      <c r="H13" s="694"/>
      <c r="I13" s="694"/>
      <c r="J13" s="694"/>
      <c r="K13" s="694"/>
      <c r="L13" s="694"/>
      <c r="M13" s="694"/>
      <c r="N13" s="694"/>
      <c r="O13" s="694"/>
      <c r="P13" s="694"/>
      <c r="Q13" s="694"/>
      <c r="R13" s="694"/>
      <c r="S13" s="694"/>
      <c r="T13" s="694"/>
      <c r="U13" s="694"/>
      <c r="V13" s="694"/>
      <c r="W13" s="694"/>
      <c r="X13" s="694"/>
      <c r="Y13" s="694"/>
      <c r="Z13" s="694"/>
      <c r="AA13" s="694"/>
      <c r="AB13" s="694"/>
      <c r="AC13" s="694"/>
      <c r="AD13" s="694"/>
      <c r="AE13" s="694"/>
      <c r="AF13" s="694"/>
      <c r="AG13" s="694"/>
      <c r="AH13" s="431"/>
    </row>
    <row r="14" spans="1:34" s="38" customFormat="1" ht="12.75" customHeight="1" x14ac:dyDescent="0.3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4"/>
      <c r="P14" s="174"/>
      <c r="Q14" s="174"/>
      <c r="R14" s="173"/>
      <c r="S14" s="173"/>
      <c r="T14" s="173"/>
      <c r="U14" s="173"/>
      <c r="V14" s="175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</row>
    <row r="15" spans="1:34" s="38" customFormat="1" ht="34.5" customHeight="1" x14ac:dyDescent="0.3">
      <c r="A15" s="398" t="s">
        <v>159</v>
      </c>
      <c r="B15" s="399" t="s">
        <v>158</v>
      </c>
      <c r="C15" s="399"/>
      <c r="D15" s="399"/>
      <c r="E15" s="399"/>
      <c r="F15" s="399"/>
      <c r="G15" s="399"/>
      <c r="H15" s="399"/>
      <c r="I15" s="399"/>
      <c r="J15" s="399"/>
      <c r="K15" s="399"/>
      <c r="L15" s="399"/>
      <c r="M15" s="400">
        <v>2000</v>
      </c>
      <c r="N15" s="400">
        <v>2001</v>
      </c>
      <c r="O15" s="400">
        <v>2002</v>
      </c>
      <c r="P15" s="400">
        <v>2003</v>
      </c>
      <c r="Q15" s="400">
        <v>2004</v>
      </c>
      <c r="R15" s="400">
        <v>2005</v>
      </c>
      <c r="S15" s="400">
        <v>2006</v>
      </c>
      <c r="T15" s="400">
        <v>2007</v>
      </c>
      <c r="U15" s="400">
        <v>2008</v>
      </c>
      <c r="V15" s="400">
        <v>2009</v>
      </c>
      <c r="W15" s="400">
        <v>2010</v>
      </c>
      <c r="X15" s="400">
        <v>2011</v>
      </c>
      <c r="Y15" s="400">
        <v>2013</v>
      </c>
      <c r="Z15" s="400">
        <v>2014</v>
      </c>
      <c r="AA15" s="400">
        <v>2015</v>
      </c>
      <c r="AB15" s="400">
        <v>2016</v>
      </c>
      <c r="AC15" s="400">
        <v>2017</v>
      </c>
      <c r="AD15" s="400">
        <v>2018</v>
      </c>
      <c r="AE15" s="400">
        <v>2019</v>
      </c>
      <c r="AF15" s="401">
        <v>2020</v>
      </c>
      <c r="AG15" s="401">
        <v>2021</v>
      </c>
      <c r="AH15" s="173"/>
    </row>
    <row r="16" spans="1:34" s="67" customFormat="1" ht="32.1" customHeight="1" x14ac:dyDescent="0.25">
      <c r="A16" s="402" t="s">
        <v>458</v>
      </c>
      <c r="B16" s="411" t="s">
        <v>157</v>
      </c>
      <c r="C16" s="411"/>
      <c r="D16" s="411"/>
      <c r="E16" s="411"/>
      <c r="F16" s="411"/>
      <c r="G16" s="411"/>
      <c r="H16" s="411"/>
      <c r="I16" s="411"/>
      <c r="J16" s="411"/>
      <c r="K16" s="411"/>
      <c r="L16" s="411"/>
      <c r="M16" s="412">
        <v>12183.9</v>
      </c>
      <c r="N16" s="412">
        <v>13076.5</v>
      </c>
      <c r="O16" s="412">
        <v>15598.6</v>
      </c>
      <c r="P16" s="412">
        <v>18483</v>
      </c>
      <c r="Q16" s="413">
        <v>30355.7</v>
      </c>
      <c r="R16" s="414">
        <v>54331.932329000003</v>
      </c>
      <c r="S16" s="414">
        <v>63556.199198899994</v>
      </c>
      <c r="T16" s="414">
        <v>96206.453983499989</v>
      </c>
      <c r="U16" s="414">
        <v>122230.1447549</v>
      </c>
      <c r="V16" s="414">
        <v>125299.61369310002</v>
      </c>
      <c r="W16" s="415">
        <v>255609.2</v>
      </c>
      <c r="X16" s="415">
        <v>401169.4</v>
      </c>
      <c r="Y16" s="415">
        <v>430559.1</v>
      </c>
      <c r="Z16" s="415">
        <v>456406.9</v>
      </c>
      <c r="AA16" s="415">
        <v>441243.8</v>
      </c>
      <c r="AB16" s="415">
        <v>494430.9</v>
      </c>
      <c r="AC16" s="415">
        <v>457050</v>
      </c>
      <c r="AD16" s="415">
        <v>449244</v>
      </c>
      <c r="AE16" s="415">
        <v>474235</v>
      </c>
      <c r="AF16" s="415">
        <v>424827</v>
      </c>
      <c r="AG16" s="415">
        <v>401691</v>
      </c>
      <c r="AH16" s="176"/>
    </row>
    <row r="17" spans="1:34" s="67" customFormat="1" ht="32.1" customHeight="1" x14ac:dyDescent="0.25">
      <c r="A17" s="402" t="s">
        <v>459</v>
      </c>
      <c r="B17" s="416" t="s">
        <v>155</v>
      </c>
      <c r="C17" s="416"/>
      <c r="D17" s="416"/>
      <c r="E17" s="416"/>
      <c r="F17" s="416"/>
      <c r="G17" s="416"/>
      <c r="H17" s="416"/>
      <c r="I17" s="416"/>
      <c r="J17" s="416"/>
      <c r="K17" s="416"/>
      <c r="L17" s="416"/>
      <c r="M17" s="412">
        <v>1421.9</v>
      </c>
      <c r="N17" s="412">
        <v>1447.1</v>
      </c>
      <c r="O17" s="412">
        <v>1493.4</v>
      </c>
      <c r="P17" s="412">
        <v>1470</v>
      </c>
      <c r="Q17" s="413">
        <v>5204.6000000000004</v>
      </c>
      <c r="R17" s="413">
        <v>13081.7</v>
      </c>
      <c r="S17" s="413">
        <v>13872.9</v>
      </c>
      <c r="T17" s="413">
        <v>13415.8</v>
      </c>
      <c r="U17" s="413">
        <v>15903.3</v>
      </c>
      <c r="V17" s="413">
        <v>27100.2</v>
      </c>
      <c r="W17" s="415">
        <v>30831.7</v>
      </c>
      <c r="X17" s="415">
        <v>30354.400000000001</v>
      </c>
      <c r="Y17" s="415">
        <v>38187.1</v>
      </c>
      <c r="Z17" s="415">
        <v>37750.800000000003</v>
      </c>
      <c r="AA17" s="415">
        <v>33360</v>
      </c>
      <c r="AB17" s="415">
        <v>34672</v>
      </c>
      <c r="AC17" s="415">
        <v>33134</v>
      </c>
      <c r="AD17" s="415">
        <v>31198.972000000002</v>
      </c>
      <c r="AE17" s="415">
        <v>31659.16</v>
      </c>
      <c r="AF17" s="415">
        <v>31090</v>
      </c>
      <c r="AG17" s="415">
        <v>29608</v>
      </c>
      <c r="AH17" s="176"/>
    </row>
    <row r="18" spans="1:34" s="67" customFormat="1" ht="32.1" customHeight="1" x14ac:dyDescent="0.25">
      <c r="A18" s="403" t="s">
        <v>156</v>
      </c>
      <c r="B18" s="404" t="s">
        <v>155</v>
      </c>
      <c r="C18" s="404"/>
      <c r="D18" s="404"/>
      <c r="E18" s="404"/>
      <c r="F18" s="404"/>
      <c r="G18" s="404"/>
      <c r="H18" s="404"/>
      <c r="I18" s="404"/>
      <c r="J18" s="404"/>
      <c r="K18" s="404"/>
      <c r="L18" s="404"/>
      <c r="M18" s="405">
        <v>34891.4</v>
      </c>
      <c r="N18" s="405">
        <v>33992.800000000003</v>
      </c>
      <c r="O18" s="405">
        <v>33862.400000000001</v>
      </c>
      <c r="P18" s="405">
        <v>31872.6</v>
      </c>
      <c r="Q18" s="406">
        <v>29243.4</v>
      </c>
      <c r="R18" s="406">
        <v>27540.9</v>
      </c>
      <c r="S18" s="406">
        <v>28314.2</v>
      </c>
      <c r="T18" s="406">
        <v>28146.400000000001</v>
      </c>
      <c r="U18" s="406">
        <v>28027.1</v>
      </c>
      <c r="V18" s="406">
        <v>25926.9</v>
      </c>
      <c r="W18" s="407">
        <v>26531.3</v>
      </c>
      <c r="X18" s="407">
        <v>25386.799999999999</v>
      </c>
      <c r="Y18" s="407">
        <v>25295.8</v>
      </c>
      <c r="Z18" s="407">
        <v>25295.8</v>
      </c>
      <c r="AA18" s="407">
        <v>21172.799999999999</v>
      </c>
      <c r="AB18" s="407">
        <v>14773.3</v>
      </c>
      <c r="AC18" s="407">
        <v>15900</v>
      </c>
      <c r="AD18" s="407">
        <v>17837.088</v>
      </c>
      <c r="AE18" s="407">
        <v>19339.069</v>
      </c>
      <c r="AF18" s="407">
        <v>14522</v>
      </c>
      <c r="AG18" s="407">
        <v>14013</v>
      </c>
      <c r="AH18" s="176"/>
    </row>
    <row r="19" spans="1:34" s="95" customFormat="1" ht="24" customHeight="1" x14ac:dyDescent="0.25">
      <c r="A19" s="695" t="s">
        <v>380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696"/>
      <c r="AB19" s="696"/>
      <c r="AC19" s="696"/>
      <c r="AD19" s="696"/>
      <c r="AE19" s="696"/>
      <c r="AF19" s="696"/>
      <c r="AG19" s="696"/>
    </row>
    <row r="20" spans="1:34" s="96" customFormat="1" ht="12" customHeight="1" x14ac:dyDescent="0.25">
      <c r="A20" s="96" t="s">
        <v>154</v>
      </c>
      <c r="N20" s="97"/>
      <c r="O20" s="97"/>
      <c r="P20" s="97"/>
      <c r="Q20" s="97"/>
      <c r="R20" s="98"/>
    </row>
    <row r="21" spans="1:34" s="96" customFormat="1" ht="12" customHeight="1" x14ac:dyDescent="0.25">
      <c r="A21" s="96" t="s">
        <v>153</v>
      </c>
      <c r="M21" s="99"/>
    </row>
    <row r="22" spans="1:34" s="102" customFormat="1" ht="12" customHeight="1" x14ac:dyDescent="0.25">
      <c r="A22" s="100" t="s">
        <v>152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O22" s="103"/>
      <c r="P22" s="103"/>
      <c r="Q22" s="103"/>
      <c r="R22" s="103"/>
      <c r="S22" s="103"/>
      <c r="T22" s="103"/>
      <c r="U22" s="103"/>
      <c r="V22" s="103"/>
    </row>
    <row r="23" spans="1:34" ht="12.75" customHeight="1" x14ac:dyDescent="0.25">
      <c r="A23" s="84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</row>
    <row r="24" spans="1:34" s="430" customFormat="1" ht="12.75" customHeight="1" x14ac:dyDescent="0.25">
      <c r="A24" s="694" t="s">
        <v>409</v>
      </c>
      <c r="B24" s="694"/>
      <c r="C24" s="694"/>
      <c r="D24" s="694"/>
      <c r="E24" s="694"/>
      <c r="F24" s="694"/>
      <c r="G24" s="694"/>
      <c r="H24" s="694"/>
      <c r="I24" s="694"/>
      <c r="J24" s="694"/>
      <c r="K24" s="694"/>
      <c r="L24" s="694"/>
      <c r="M24" s="694"/>
      <c r="N24" s="694"/>
      <c r="O24" s="694"/>
      <c r="P24" s="694"/>
      <c r="Q24" s="694"/>
      <c r="R24" s="694"/>
      <c r="S24" s="694"/>
      <c r="T24" s="694"/>
      <c r="U24" s="694"/>
      <c r="V24" s="694"/>
      <c r="W24" s="694"/>
      <c r="X24" s="694"/>
      <c r="Y24" s="694"/>
      <c r="Z24" s="694"/>
      <c r="AA24" s="694"/>
      <c r="AB24" s="694"/>
      <c r="AC24" s="694"/>
      <c r="AD24" s="694"/>
      <c r="AE24" s="694"/>
      <c r="AF24" s="694"/>
      <c r="AG24" s="694"/>
      <c r="AH24" s="429"/>
    </row>
    <row r="25" spans="1:34" s="430" customFormat="1" ht="12.75" customHeight="1" x14ac:dyDescent="0.25">
      <c r="A25" s="679" t="s">
        <v>164</v>
      </c>
      <c r="B25" s="679"/>
      <c r="C25" s="679"/>
      <c r="D25" s="679"/>
      <c r="E25" s="679"/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  <c r="T25" s="679"/>
      <c r="U25" s="679"/>
      <c r="V25" s="679"/>
      <c r="W25" s="679"/>
      <c r="X25" s="679"/>
      <c r="Y25" s="679"/>
      <c r="Z25" s="679"/>
      <c r="AA25" s="679"/>
      <c r="AB25" s="679"/>
      <c r="AC25" s="679"/>
      <c r="AD25" s="679"/>
      <c r="AE25" s="679"/>
      <c r="AF25" s="679"/>
      <c r="AG25" s="679"/>
      <c r="AH25" s="429"/>
    </row>
    <row r="26" spans="1:34" s="39" customFormat="1" ht="12.75" customHeight="1" x14ac:dyDescent="0.25">
      <c r="A26" s="177"/>
      <c r="B26" s="177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79"/>
    </row>
    <row r="27" spans="1:34" s="39" customFormat="1" ht="20.100000000000001" customHeight="1" x14ac:dyDescent="0.25">
      <c r="A27" s="692" t="s">
        <v>163</v>
      </c>
      <c r="B27" s="693"/>
      <c r="C27" s="401">
        <v>1990</v>
      </c>
      <c r="D27" s="401">
        <v>1991</v>
      </c>
      <c r="E27" s="401">
        <v>1992</v>
      </c>
      <c r="F27" s="401">
        <v>1993</v>
      </c>
      <c r="G27" s="401">
        <v>1994</v>
      </c>
      <c r="H27" s="401">
        <v>1995</v>
      </c>
      <c r="I27" s="401">
        <v>1996</v>
      </c>
      <c r="J27" s="401">
        <v>1997</v>
      </c>
      <c r="K27" s="401">
        <v>1998</v>
      </c>
      <c r="L27" s="401">
        <v>1999</v>
      </c>
      <c r="M27" s="401">
        <v>2000</v>
      </c>
      <c r="N27" s="401">
        <v>2001</v>
      </c>
      <c r="O27" s="401">
        <v>2002</v>
      </c>
      <c r="P27" s="401">
        <v>2003</v>
      </c>
      <c r="Q27" s="401">
        <v>2004</v>
      </c>
      <c r="R27" s="401">
        <v>2005</v>
      </c>
      <c r="S27" s="401">
        <v>2006</v>
      </c>
      <c r="T27" s="401">
        <v>2007</v>
      </c>
      <c r="U27" s="401">
        <v>2008</v>
      </c>
      <c r="V27" s="401">
        <v>2009</v>
      </c>
      <c r="W27" s="401">
        <v>2010</v>
      </c>
      <c r="X27" s="401">
        <v>2011</v>
      </c>
      <c r="Y27" s="401">
        <v>2013</v>
      </c>
      <c r="Z27" s="401">
        <v>2014</v>
      </c>
      <c r="AA27" s="401">
        <v>2015</v>
      </c>
      <c r="AB27" s="401">
        <v>2016</v>
      </c>
      <c r="AC27" s="401">
        <v>2017</v>
      </c>
      <c r="AD27" s="401">
        <v>2018</v>
      </c>
      <c r="AE27" s="401">
        <v>2019</v>
      </c>
      <c r="AF27" s="401">
        <v>2020</v>
      </c>
      <c r="AG27" s="401">
        <v>2021</v>
      </c>
      <c r="AH27" s="79"/>
    </row>
    <row r="28" spans="1:34" s="39" customFormat="1" ht="12.75" hidden="1" customHeight="1" x14ac:dyDescent="0.25">
      <c r="A28" s="417"/>
      <c r="B28" s="408"/>
      <c r="C28" s="418"/>
      <c r="D28" s="418"/>
      <c r="E28" s="418"/>
      <c r="F28" s="418"/>
      <c r="G28" s="418"/>
      <c r="H28" s="418"/>
      <c r="I28" s="418"/>
      <c r="J28" s="418"/>
      <c r="K28" s="418"/>
      <c r="L28" s="418"/>
      <c r="M28" s="418"/>
      <c r="N28" s="418"/>
      <c r="O28" s="418"/>
      <c r="P28" s="418"/>
      <c r="Q28" s="418"/>
      <c r="R28" s="418"/>
      <c r="S28" s="418"/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79"/>
    </row>
    <row r="29" spans="1:34" s="39" customFormat="1" ht="15.95" customHeight="1" x14ac:dyDescent="0.25">
      <c r="A29" s="419" t="s">
        <v>162</v>
      </c>
      <c r="B29" s="409"/>
      <c r="C29" s="420">
        <v>47049700</v>
      </c>
      <c r="D29" s="420">
        <v>41898300</v>
      </c>
      <c r="E29" s="420">
        <v>42297700</v>
      </c>
      <c r="F29" s="420">
        <v>46091900</v>
      </c>
      <c r="G29" s="420">
        <v>46467600</v>
      </c>
      <c r="H29" s="420">
        <v>44443100</v>
      </c>
      <c r="I29" s="420">
        <v>43909200</v>
      </c>
      <c r="J29" s="420">
        <v>43157111</v>
      </c>
      <c r="K29" s="420">
        <v>42191359</v>
      </c>
      <c r="L29" s="420">
        <v>38663371</v>
      </c>
      <c r="M29" s="420">
        <v>36313304</v>
      </c>
      <c r="N29" s="420">
        <v>35440467</v>
      </c>
      <c r="O29" s="420">
        <v>35355841</v>
      </c>
      <c r="P29" s="420">
        <v>33342597</v>
      </c>
      <c r="Q29" s="420">
        <v>34448011</v>
      </c>
      <c r="R29" s="420">
        <v>40622578</v>
      </c>
      <c r="S29" s="420">
        <v>42187162</v>
      </c>
      <c r="T29" s="420">
        <v>41562211</v>
      </c>
      <c r="U29" s="420">
        <v>43930376</v>
      </c>
      <c r="V29" s="420">
        <v>53027028</v>
      </c>
      <c r="W29" s="420">
        <v>57362972</v>
      </c>
      <c r="X29" s="420">
        <v>55741183</v>
      </c>
      <c r="Y29" s="420">
        <v>61143096</v>
      </c>
      <c r="Z29" s="420">
        <v>63046641</v>
      </c>
      <c r="AA29" s="420">
        <v>54532757</v>
      </c>
      <c r="AB29" s="420">
        <v>49445007</v>
      </c>
      <c r="AC29" s="420">
        <v>49034457</v>
      </c>
      <c r="AD29" s="420">
        <v>49036060</v>
      </c>
      <c r="AE29" s="421">
        <v>50998229</v>
      </c>
      <c r="AF29" s="420">
        <v>45611583</v>
      </c>
      <c r="AG29" s="420">
        <f t="shared" ref="AG29" si="0">+AG30+AG31</f>
        <v>43620350</v>
      </c>
      <c r="AH29" s="179"/>
    </row>
    <row r="30" spans="1:34" s="39" customFormat="1" ht="15.95" customHeight="1" x14ac:dyDescent="0.25">
      <c r="A30" s="422" t="s">
        <v>161</v>
      </c>
      <c r="B30" s="410"/>
      <c r="C30" s="423">
        <v>47049700</v>
      </c>
      <c r="D30" s="423">
        <v>41898300</v>
      </c>
      <c r="E30" s="423">
        <v>42297700</v>
      </c>
      <c r="F30" s="423">
        <v>46091900</v>
      </c>
      <c r="G30" s="423">
        <v>46467600</v>
      </c>
      <c r="H30" s="423">
        <v>44443100</v>
      </c>
      <c r="I30" s="423">
        <v>43909200</v>
      </c>
      <c r="J30" s="423">
        <v>43157111</v>
      </c>
      <c r="K30" s="423">
        <v>41417178</v>
      </c>
      <c r="L30" s="423">
        <v>37420631</v>
      </c>
      <c r="M30" s="423">
        <v>34891410</v>
      </c>
      <c r="N30" s="423">
        <v>33993333</v>
      </c>
      <c r="O30" s="423">
        <v>33862336</v>
      </c>
      <c r="P30" s="423">
        <v>31872616</v>
      </c>
      <c r="Q30" s="423">
        <v>29243429</v>
      </c>
      <c r="R30" s="423">
        <v>27540851</v>
      </c>
      <c r="S30" s="423">
        <v>28314291</v>
      </c>
      <c r="T30" s="423">
        <v>28146437</v>
      </c>
      <c r="U30" s="423">
        <v>28027081</v>
      </c>
      <c r="V30" s="423">
        <v>25926862</v>
      </c>
      <c r="W30" s="423">
        <v>26531261</v>
      </c>
      <c r="X30" s="423">
        <v>25386804</v>
      </c>
      <c r="Y30" s="423">
        <v>22956028</v>
      </c>
      <c r="Z30" s="423">
        <v>25295795</v>
      </c>
      <c r="AA30" s="423">
        <v>21172793</v>
      </c>
      <c r="AB30" s="423">
        <v>14773321</v>
      </c>
      <c r="AC30" s="423">
        <v>15900305</v>
      </c>
      <c r="AD30" s="423">
        <v>17837088</v>
      </c>
      <c r="AE30" s="424">
        <v>19339069</v>
      </c>
      <c r="AF30" s="423">
        <v>14521840</v>
      </c>
      <c r="AG30" s="423">
        <v>14012650</v>
      </c>
      <c r="AH30" s="180"/>
    </row>
    <row r="31" spans="1:34" s="39" customFormat="1" ht="15.95" customHeight="1" x14ac:dyDescent="0.25">
      <c r="A31" s="425" t="s">
        <v>160</v>
      </c>
      <c r="B31" s="426"/>
      <c r="C31" s="427"/>
      <c r="D31" s="427"/>
      <c r="E31" s="427"/>
      <c r="F31" s="427"/>
      <c r="G31" s="427"/>
      <c r="H31" s="427"/>
      <c r="I31" s="427"/>
      <c r="J31" s="427"/>
      <c r="K31" s="427">
        <v>774181</v>
      </c>
      <c r="L31" s="427">
        <v>1242740</v>
      </c>
      <c r="M31" s="427">
        <v>1421894</v>
      </c>
      <c r="N31" s="427">
        <v>1447134</v>
      </c>
      <c r="O31" s="427">
        <v>1493505</v>
      </c>
      <c r="P31" s="427">
        <v>1469981</v>
      </c>
      <c r="Q31" s="427">
        <v>5204582</v>
      </c>
      <c r="R31" s="427">
        <v>13081727</v>
      </c>
      <c r="S31" s="427">
        <v>13872871</v>
      </c>
      <c r="T31" s="427">
        <v>13415774</v>
      </c>
      <c r="U31" s="427">
        <v>15903295</v>
      </c>
      <c r="V31" s="427">
        <v>27100166</v>
      </c>
      <c r="W31" s="427">
        <v>30831711</v>
      </c>
      <c r="X31" s="427">
        <v>30354379</v>
      </c>
      <c r="Y31" s="427">
        <v>38187068</v>
      </c>
      <c r="Z31" s="427">
        <v>37750846</v>
      </c>
      <c r="AA31" s="427">
        <v>33359964</v>
      </c>
      <c r="AB31" s="427">
        <v>34671686</v>
      </c>
      <c r="AC31" s="427">
        <v>33134152</v>
      </c>
      <c r="AD31" s="427">
        <v>31198972</v>
      </c>
      <c r="AE31" s="428">
        <v>31659160</v>
      </c>
      <c r="AF31" s="427">
        <v>31089743</v>
      </c>
      <c r="AG31" s="427">
        <v>29607700</v>
      </c>
      <c r="AH31" s="180"/>
    </row>
    <row r="32" spans="1:34" s="106" customFormat="1" ht="12" customHeight="1" x14ac:dyDescent="0.25">
      <c r="A32" s="100" t="s">
        <v>152</v>
      </c>
      <c r="B32" s="100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</row>
  </sheetData>
  <mergeCells count="8">
    <mergeCell ref="A27:B27"/>
    <mergeCell ref="A13:AG13"/>
    <mergeCell ref="A19:AG19"/>
    <mergeCell ref="A3:AH3"/>
    <mergeCell ref="A4:AH4"/>
    <mergeCell ref="A24:AG24"/>
    <mergeCell ref="A25:AG25"/>
    <mergeCell ref="A6:B6"/>
  </mergeCells>
  <printOptions horizontalCentered="1"/>
  <pageMargins left="0.78740157480314965" right="0.78740157480314965" top="0.98425196850393704" bottom="1.9685039370078741" header="0" footer="0"/>
  <pageSetup paperSize="9" scale="9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J27"/>
  <sheetViews>
    <sheetView showGridLines="0" zoomScaleNormal="100" zoomScaleSheetLayoutView="130" workbookViewId="0">
      <selection sqref="A1:J1"/>
    </sheetView>
  </sheetViews>
  <sheetFormatPr baseColWidth="10" defaultColWidth="9.140625" defaultRowHeight="12.75" customHeight="1" x14ac:dyDescent="0.3"/>
  <cols>
    <col min="1" max="1" width="8.28515625" style="35" customWidth="1"/>
    <col min="2" max="8" width="11.5703125" style="36" customWidth="1"/>
    <col min="9" max="9" width="13" style="36" customWidth="1"/>
    <col min="10" max="10" width="8.85546875" style="36" customWidth="1"/>
    <col min="11" max="16384" width="9.140625" style="35"/>
  </cols>
  <sheetData>
    <row r="1" spans="1:10" s="434" customFormat="1" ht="12.75" customHeight="1" x14ac:dyDescent="0.3">
      <c r="A1" s="678" t="s">
        <v>441</v>
      </c>
      <c r="B1" s="678"/>
      <c r="C1" s="678"/>
      <c r="D1" s="678"/>
      <c r="E1" s="678"/>
      <c r="F1" s="678"/>
      <c r="G1" s="678"/>
      <c r="H1" s="678"/>
      <c r="I1" s="678"/>
      <c r="J1" s="678"/>
    </row>
    <row r="2" spans="1:10" s="435" customFormat="1" ht="12.75" customHeight="1" x14ac:dyDescent="0.3">
      <c r="A2" s="679" t="s">
        <v>169</v>
      </c>
      <c r="B2" s="679"/>
      <c r="C2" s="679"/>
      <c r="D2" s="679"/>
      <c r="E2" s="679"/>
      <c r="F2" s="679"/>
      <c r="G2" s="679"/>
      <c r="H2" s="679"/>
      <c r="I2" s="679"/>
      <c r="J2" s="679"/>
    </row>
    <row r="3" spans="1:10" ht="12.75" customHeight="1" x14ac:dyDescent="0.3">
      <c r="A3" s="113"/>
      <c r="B3" s="112"/>
      <c r="C3" s="112"/>
      <c r="D3" s="112"/>
      <c r="E3" s="112"/>
      <c r="F3" s="112"/>
      <c r="G3" s="112"/>
      <c r="H3" s="112"/>
      <c r="I3" s="112"/>
      <c r="J3" s="112"/>
    </row>
    <row r="4" spans="1:10" s="113" customFormat="1" ht="38.25" customHeight="1" x14ac:dyDescent="0.25">
      <c r="A4" s="436" t="s">
        <v>129</v>
      </c>
      <c r="B4" s="437" t="s">
        <v>28</v>
      </c>
      <c r="C4" s="438" t="s">
        <v>168</v>
      </c>
      <c r="D4" s="438" t="s">
        <v>348</v>
      </c>
      <c r="E4" s="438" t="s">
        <v>349</v>
      </c>
      <c r="F4" s="437" t="s">
        <v>167</v>
      </c>
      <c r="G4" s="438" t="s">
        <v>364</v>
      </c>
      <c r="H4" s="438" t="s">
        <v>166</v>
      </c>
      <c r="I4" s="438" t="s">
        <v>165</v>
      </c>
      <c r="J4" s="438" t="s">
        <v>363</v>
      </c>
    </row>
    <row r="5" spans="1:10" s="113" customFormat="1" ht="3" customHeight="1" x14ac:dyDescent="0.25">
      <c r="A5" s="439"/>
      <c r="B5" s="443"/>
      <c r="C5" s="444"/>
      <c r="D5" s="444"/>
      <c r="E5" s="444"/>
      <c r="F5" s="445"/>
      <c r="G5" s="444"/>
      <c r="H5" s="444"/>
      <c r="I5" s="444"/>
      <c r="J5" s="444"/>
    </row>
    <row r="6" spans="1:10" s="247" customFormat="1" ht="15" customHeight="1" x14ac:dyDescent="0.25">
      <c r="A6" s="440">
        <v>2001</v>
      </c>
      <c r="B6" s="446">
        <f>SUM(C6:J6)</f>
        <v>415052.25768695335</v>
      </c>
      <c r="C6" s="447">
        <v>125403.64653397146</v>
      </c>
      <c r="D6" s="447">
        <v>152079.77871330915</v>
      </c>
      <c r="E6" s="447">
        <v>7319.3373081569389</v>
      </c>
      <c r="F6" s="447">
        <v>102156.38997100947</v>
      </c>
      <c r="G6" s="447">
        <v>11106.561796552356</v>
      </c>
      <c r="H6" s="447">
        <v>11421.75278080038</v>
      </c>
      <c r="I6" s="447">
        <v>1825.307097691408</v>
      </c>
      <c r="J6" s="447">
        <v>3739.4834854622018</v>
      </c>
    </row>
    <row r="7" spans="1:10" s="247" customFormat="1" ht="15" customHeight="1" x14ac:dyDescent="0.25">
      <c r="A7" s="440">
        <v>2002</v>
      </c>
      <c r="B7" s="446">
        <f t="shared" ref="B7:B25" si="0">SUM(C7:J7)</f>
        <v>415250.6526401405</v>
      </c>
      <c r="C7" s="447">
        <v>118144.00889608703</v>
      </c>
      <c r="D7" s="447">
        <v>155523.686538968</v>
      </c>
      <c r="E7" s="447">
        <v>7572.0895703207079</v>
      </c>
      <c r="F7" s="447">
        <v>106766.89484854683</v>
      </c>
      <c r="G7" s="447">
        <v>11057.161279083328</v>
      </c>
      <c r="H7" s="447">
        <v>10566.289610938356</v>
      </c>
      <c r="I7" s="447">
        <v>1749.6654470262943</v>
      </c>
      <c r="J7" s="447">
        <v>3870.8564491698521</v>
      </c>
    </row>
    <row r="8" spans="1:10" s="247" customFormat="1" ht="15" customHeight="1" x14ac:dyDescent="0.25">
      <c r="A8" s="440">
        <v>2003</v>
      </c>
      <c r="B8" s="446">
        <f t="shared" si="0"/>
        <v>406817.93319876632</v>
      </c>
      <c r="C8" s="447">
        <v>121418.58506826784</v>
      </c>
      <c r="D8" s="447">
        <v>145578.04131290244</v>
      </c>
      <c r="E8" s="447">
        <v>7341.88447799797</v>
      </c>
      <c r="F8" s="447">
        <v>104551.45710707022</v>
      </c>
      <c r="G8" s="447">
        <v>11024.88504964086</v>
      </c>
      <c r="H8" s="447">
        <v>10151.909207392324</v>
      </c>
      <c r="I8" s="447">
        <v>1823.1833132990116</v>
      </c>
      <c r="J8" s="447">
        <v>4927.9876621956628</v>
      </c>
    </row>
    <row r="9" spans="1:10" s="247" customFormat="1" ht="15" customHeight="1" x14ac:dyDescent="0.25">
      <c r="A9" s="440">
        <v>2004</v>
      </c>
      <c r="B9" s="446">
        <f t="shared" si="0"/>
        <v>443574.33436743409</v>
      </c>
      <c r="C9" s="447">
        <v>142100.40804310635</v>
      </c>
      <c r="D9" s="447">
        <v>149326.85039113759</v>
      </c>
      <c r="E9" s="447">
        <v>7553.6777400985329</v>
      </c>
      <c r="F9" s="447">
        <v>115606.00169642398</v>
      </c>
      <c r="G9" s="447">
        <v>13189.503986332229</v>
      </c>
      <c r="H9" s="447">
        <v>9737.6928070405393</v>
      </c>
      <c r="I9" s="447">
        <v>2090.4786306080191</v>
      </c>
      <c r="J9" s="447">
        <v>3969.7210726868152</v>
      </c>
    </row>
    <row r="10" spans="1:10" s="247" customFormat="1" ht="15" customHeight="1" x14ac:dyDescent="0.25">
      <c r="A10" s="440">
        <v>2005</v>
      </c>
      <c r="B10" s="446">
        <f t="shared" si="0"/>
        <v>424290.43523064122</v>
      </c>
      <c r="C10" s="447">
        <v>133559.29105859093</v>
      </c>
      <c r="D10" s="447">
        <v>141846.81478701677</v>
      </c>
      <c r="E10" s="447">
        <v>7354.1062218542274</v>
      </c>
      <c r="F10" s="447">
        <v>111837.4285231324</v>
      </c>
      <c r="G10" s="447">
        <v>12840.394442237581</v>
      </c>
      <c r="H10" s="447">
        <v>11182.539588121395</v>
      </c>
      <c r="I10" s="447">
        <v>1926.1781638726038</v>
      </c>
      <c r="J10" s="447">
        <v>3743.6824458152751</v>
      </c>
    </row>
    <row r="11" spans="1:10" s="247" customFormat="1" ht="15" customHeight="1" x14ac:dyDescent="0.25">
      <c r="A11" s="440">
        <v>2006</v>
      </c>
      <c r="B11" s="446">
        <f t="shared" si="0"/>
        <v>412718.55164781056</v>
      </c>
      <c r="C11" s="447">
        <v>145106.81866998778</v>
      </c>
      <c r="D11" s="447">
        <v>133367.04314390355</v>
      </c>
      <c r="E11" s="447">
        <v>7487.5985492730588</v>
      </c>
      <c r="F11" s="447">
        <v>96708.401059994532</v>
      </c>
      <c r="G11" s="447">
        <v>13362.701530823275</v>
      </c>
      <c r="H11" s="447">
        <v>10658.146167664936</v>
      </c>
      <c r="I11" s="447">
        <v>1976.3126402925511</v>
      </c>
      <c r="J11" s="447">
        <v>4051.5298858708852</v>
      </c>
    </row>
    <row r="12" spans="1:10" s="247" customFormat="1" ht="15" customHeight="1" x14ac:dyDescent="0.25">
      <c r="A12" s="440">
        <v>2007</v>
      </c>
      <c r="B12" s="446">
        <f t="shared" si="0"/>
        <v>439082.59957762086</v>
      </c>
      <c r="C12" s="447">
        <v>151184.69141633951</v>
      </c>
      <c r="D12" s="447">
        <v>136264.31521912012</v>
      </c>
      <c r="E12" s="447">
        <v>7768.5605462317062</v>
      </c>
      <c r="F12" s="447">
        <v>113938.75759838166</v>
      </c>
      <c r="G12" s="447">
        <v>14038.407459337519</v>
      </c>
      <c r="H12" s="447">
        <v>10009.923875629764</v>
      </c>
      <c r="I12" s="447">
        <v>1912.827790343531</v>
      </c>
      <c r="J12" s="447">
        <v>3965.1156722370938</v>
      </c>
    </row>
    <row r="13" spans="1:10" s="247" customFormat="1" ht="15" customHeight="1" x14ac:dyDescent="0.25">
      <c r="A13" s="440">
        <v>2008</v>
      </c>
      <c r="B13" s="446">
        <f t="shared" si="0"/>
        <v>455111.17142546381</v>
      </c>
      <c r="C13" s="447">
        <v>185663.32380075805</v>
      </c>
      <c r="D13" s="447">
        <v>126061.42188108405</v>
      </c>
      <c r="E13" s="447">
        <v>8431.826863774415</v>
      </c>
      <c r="F13" s="447">
        <v>102464.20044437083</v>
      </c>
      <c r="G13" s="447">
        <v>15732.296388295315</v>
      </c>
      <c r="H13" s="447">
        <v>10060.463778161606</v>
      </c>
      <c r="I13" s="447">
        <v>2153.791479782743</v>
      </c>
      <c r="J13" s="447">
        <v>4543.8467892369026</v>
      </c>
    </row>
    <row r="14" spans="1:10" s="247" customFormat="1" ht="15" customHeight="1" x14ac:dyDescent="0.25">
      <c r="A14" s="440">
        <v>2009</v>
      </c>
      <c r="B14" s="446">
        <f t="shared" si="0"/>
        <v>497270.10043797619</v>
      </c>
      <c r="C14" s="447">
        <v>211450.98180129839</v>
      </c>
      <c r="D14" s="447">
        <v>142059.96341461228</v>
      </c>
      <c r="E14" s="447">
        <v>8563.0719126993536</v>
      </c>
      <c r="F14" s="447">
        <v>100115.10827031014</v>
      </c>
      <c r="G14" s="447">
        <v>15548.516217725481</v>
      </c>
      <c r="H14" s="447">
        <v>12117.165405464742</v>
      </c>
      <c r="I14" s="447">
        <v>2162.7803728062549</v>
      </c>
      <c r="J14" s="447">
        <v>5252.51304305949</v>
      </c>
    </row>
    <row r="15" spans="1:10" s="247" customFormat="1" ht="15" customHeight="1" x14ac:dyDescent="0.25">
      <c r="A15" s="440">
        <v>2010</v>
      </c>
      <c r="B15" s="446">
        <f t="shared" si="0"/>
        <v>538036.51539922622</v>
      </c>
      <c r="C15" s="447">
        <v>249986.53510458063</v>
      </c>
      <c r="D15" s="447">
        <v>135260.29032822725</v>
      </c>
      <c r="E15" s="447">
        <v>9416.6442472209983</v>
      </c>
      <c r="F15" s="447">
        <v>104417.36657347083</v>
      </c>
      <c r="G15" s="447">
        <v>17515.370324553252</v>
      </c>
      <c r="H15" s="447">
        <v>12282.689371256431</v>
      </c>
      <c r="I15" s="447">
        <v>2414.2736999660428</v>
      </c>
      <c r="J15" s="447">
        <v>6743.345749950895</v>
      </c>
    </row>
    <row r="16" spans="1:10" s="247" customFormat="1" ht="15" customHeight="1" x14ac:dyDescent="0.25">
      <c r="A16" s="440">
        <v>2011</v>
      </c>
      <c r="B16" s="446">
        <f t="shared" si="0"/>
        <v>572182.20719834976</v>
      </c>
      <c r="C16" s="447">
        <v>272309.28286909725</v>
      </c>
      <c r="D16" s="447">
        <v>128143.9745539501</v>
      </c>
      <c r="E16" s="447">
        <v>9939.0318343465497</v>
      </c>
      <c r="F16" s="447">
        <v>124477.40640279531</v>
      </c>
      <c r="G16" s="447">
        <v>19735.508796485909</v>
      </c>
      <c r="H16" s="447">
        <v>11965.33290369504</v>
      </c>
      <c r="I16" s="447">
        <v>2291.0002716516751</v>
      </c>
      <c r="J16" s="447">
        <v>3320.6695663279488</v>
      </c>
    </row>
    <row r="17" spans="1:10" s="247" customFormat="1" ht="15" customHeight="1" x14ac:dyDescent="0.25">
      <c r="A17" s="441">
        <v>2012</v>
      </c>
      <c r="B17" s="446">
        <f t="shared" si="0"/>
        <v>582535.9045146422</v>
      </c>
      <c r="C17" s="447">
        <v>290730.32083783607</v>
      </c>
      <c r="D17" s="447">
        <v>132406.87127028781</v>
      </c>
      <c r="E17" s="447">
        <v>10526.813766652494</v>
      </c>
      <c r="F17" s="447">
        <v>111632.82777209507</v>
      </c>
      <c r="G17" s="447">
        <v>18856.275182872512</v>
      </c>
      <c r="H17" s="447">
        <v>13210.45585650549</v>
      </c>
      <c r="I17" s="447">
        <v>2079.9644866695326</v>
      </c>
      <c r="J17" s="447">
        <v>3092.3753417231865</v>
      </c>
    </row>
    <row r="18" spans="1:10" s="247" customFormat="1" ht="15" customHeight="1" x14ac:dyDescent="0.25">
      <c r="A18" s="441">
        <v>2013</v>
      </c>
      <c r="B18" s="446">
        <f t="shared" si="0"/>
        <v>607577.41298856062</v>
      </c>
      <c r="C18" s="447">
        <v>313051.10470879823</v>
      </c>
      <c r="D18" s="447">
        <v>128005.57579012131</v>
      </c>
      <c r="E18" s="447">
        <v>11240.878175911244</v>
      </c>
      <c r="F18" s="447">
        <v>115420.73476020528</v>
      </c>
      <c r="G18" s="447">
        <v>20294.51046995951</v>
      </c>
      <c r="H18" s="447">
        <v>14920.068729857403</v>
      </c>
      <c r="I18" s="447">
        <v>2081.1609576899173</v>
      </c>
      <c r="J18" s="447">
        <v>2563.3793960178045</v>
      </c>
    </row>
    <row r="19" spans="1:10" s="247" customFormat="1" ht="15" customHeight="1" x14ac:dyDescent="0.25">
      <c r="A19" s="442" t="s">
        <v>10</v>
      </c>
      <c r="B19" s="446">
        <f t="shared" si="0"/>
        <v>606777.73831658147</v>
      </c>
      <c r="C19" s="447">
        <v>316644.37552865501</v>
      </c>
      <c r="D19" s="447">
        <v>125587.38618194981</v>
      </c>
      <c r="E19" s="447">
        <v>11345.249543593873</v>
      </c>
      <c r="F19" s="447">
        <v>113556.51009586256</v>
      </c>
      <c r="G19" s="447">
        <v>19643.716952006034</v>
      </c>
      <c r="H19" s="447">
        <v>14856.977707190244</v>
      </c>
      <c r="I19" s="447">
        <v>2045.3779335055322</v>
      </c>
      <c r="J19" s="447">
        <v>3098.144373818393</v>
      </c>
    </row>
    <row r="20" spans="1:10" s="247" customFormat="1" ht="15" customHeight="1" x14ac:dyDescent="0.25">
      <c r="A20" s="442" t="s">
        <v>57</v>
      </c>
      <c r="B20" s="446">
        <f t="shared" si="0"/>
        <v>639910.46263019741</v>
      </c>
      <c r="C20" s="447">
        <v>339782.30662043713</v>
      </c>
      <c r="D20" s="447">
        <v>125732.56425266147</v>
      </c>
      <c r="E20" s="447">
        <v>11790.672670918308</v>
      </c>
      <c r="F20" s="447">
        <v>119112.79952147978</v>
      </c>
      <c r="G20" s="447">
        <v>22063.204794191777</v>
      </c>
      <c r="H20" s="447">
        <v>16653.872358968507</v>
      </c>
      <c r="I20" s="447">
        <v>2057.4041482881216</v>
      </c>
      <c r="J20" s="447">
        <v>2717.6382632524101</v>
      </c>
    </row>
    <row r="21" spans="1:10" s="247" customFormat="1" ht="15" customHeight="1" x14ac:dyDescent="0.25">
      <c r="A21" s="442" t="s">
        <v>137</v>
      </c>
      <c r="B21" s="446">
        <f t="shared" si="0"/>
        <v>662456.2592509751</v>
      </c>
      <c r="C21" s="447">
        <v>365574.70583185757</v>
      </c>
      <c r="D21" s="447">
        <v>126036.9343952702</v>
      </c>
      <c r="E21" s="447">
        <v>12164.994535375878</v>
      </c>
      <c r="F21" s="447">
        <v>114840.60708908516</v>
      </c>
      <c r="G21" s="447">
        <v>25456.015755814362</v>
      </c>
      <c r="H21" s="447">
        <v>13289.477850496749</v>
      </c>
      <c r="I21" s="447">
        <v>2056.9417428049987</v>
      </c>
      <c r="J21" s="447">
        <v>3036.5820502702804</v>
      </c>
    </row>
    <row r="22" spans="1:10" s="247" customFormat="1" ht="15" customHeight="1" x14ac:dyDescent="0.25">
      <c r="A22" s="442" t="s">
        <v>138</v>
      </c>
      <c r="B22" s="446">
        <f t="shared" si="0"/>
        <v>675330.27642753988</v>
      </c>
      <c r="C22" s="447">
        <v>394743.59439262637</v>
      </c>
      <c r="D22" s="447">
        <v>125008.79887902798</v>
      </c>
      <c r="E22" s="447">
        <v>19783.347341288507</v>
      </c>
      <c r="F22" s="447">
        <v>107189.50894619722</v>
      </c>
      <c r="G22" s="447">
        <v>19704.867866849971</v>
      </c>
      <c r="H22" s="447">
        <v>3992.626362496198</v>
      </c>
      <c r="I22" s="447">
        <v>2070.2972669430469</v>
      </c>
      <c r="J22" s="447">
        <v>2837.2353721106465</v>
      </c>
    </row>
    <row r="23" spans="1:10" s="247" customFormat="1" ht="15" customHeight="1" x14ac:dyDescent="0.25">
      <c r="A23" s="442" t="s">
        <v>139</v>
      </c>
      <c r="B23" s="446">
        <f t="shared" si="0"/>
        <v>706801.84667806793</v>
      </c>
      <c r="C23" s="447">
        <v>409818.62773192883</v>
      </c>
      <c r="D23" s="447">
        <v>128368.49305596264</v>
      </c>
      <c r="E23" s="447">
        <v>20553.47558941165</v>
      </c>
      <c r="F23" s="447">
        <v>120700.24807028443</v>
      </c>
      <c r="G23" s="447">
        <v>18818.014187214572</v>
      </c>
      <c r="H23" s="447">
        <v>4712.004221237341</v>
      </c>
      <c r="I23" s="447">
        <v>2060.1912107892581</v>
      </c>
      <c r="J23" s="447">
        <v>1770.7926112391556</v>
      </c>
    </row>
    <row r="24" spans="1:10" s="247" customFormat="1" ht="15" customHeight="1" x14ac:dyDescent="0.25">
      <c r="A24" s="442" t="s">
        <v>347</v>
      </c>
      <c r="B24" s="446">
        <f t="shared" si="0"/>
        <v>732763.41167148773</v>
      </c>
      <c r="C24" s="447">
        <v>426122.15435503912</v>
      </c>
      <c r="D24" s="447">
        <v>129663.24413446072</v>
      </c>
      <c r="E24" s="447">
        <v>20636.834740594539</v>
      </c>
      <c r="F24" s="447">
        <v>125473.84034686314</v>
      </c>
      <c r="G24" s="447">
        <v>21801.038299916352</v>
      </c>
      <c r="H24" s="447">
        <v>4391.122226622364</v>
      </c>
      <c r="I24" s="447">
        <v>2275.2028248168613</v>
      </c>
      <c r="J24" s="447">
        <v>2399.9747431747278</v>
      </c>
    </row>
    <row r="25" spans="1:10" s="247" customFormat="1" ht="15" customHeight="1" x14ac:dyDescent="0.25">
      <c r="A25" s="448" t="s">
        <v>411</v>
      </c>
      <c r="B25" s="449">
        <f t="shared" si="0"/>
        <v>595295.41478231805</v>
      </c>
      <c r="C25" s="450">
        <v>316462.66079044348</v>
      </c>
      <c r="D25" s="450">
        <v>137942.80920501438</v>
      </c>
      <c r="E25" s="450">
        <v>17560.93175488005</v>
      </c>
      <c r="F25" s="450">
        <v>97433.368615003972</v>
      </c>
      <c r="G25" s="450">
        <v>17331.273710942554</v>
      </c>
      <c r="H25" s="450">
        <v>4164.7931651373365</v>
      </c>
      <c r="I25" s="450">
        <v>2192.6061640789067</v>
      </c>
      <c r="J25" s="450">
        <v>2206.9713768172705</v>
      </c>
    </row>
    <row r="26" spans="1:10" s="110" customFormat="1" ht="12" customHeight="1" x14ac:dyDescent="0.25">
      <c r="A26" s="108" t="s">
        <v>381</v>
      </c>
      <c r="B26" s="109"/>
      <c r="C26" s="109"/>
      <c r="D26" s="109"/>
      <c r="E26" s="109"/>
      <c r="F26" s="109"/>
      <c r="G26" s="109"/>
      <c r="H26" s="109"/>
      <c r="I26" s="109"/>
      <c r="J26" s="109"/>
    </row>
    <row r="27" spans="1:10" s="113" customFormat="1" ht="12" customHeight="1" x14ac:dyDescent="0.25">
      <c r="A27" s="111" t="s">
        <v>372</v>
      </c>
      <c r="B27" s="112"/>
      <c r="C27" s="112"/>
      <c r="D27" s="112"/>
      <c r="E27" s="112"/>
      <c r="F27" s="112"/>
      <c r="G27" s="112"/>
      <c r="H27" s="112"/>
      <c r="I27" s="112"/>
      <c r="J27" s="112"/>
    </row>
  </sheetData>
  <mergeCells count="2">
    <mergeCell ref="A1:J1"/>
    <mergeCell ref="A2:J2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  <ignoredErrors>
    <ignoredError sqref="A19:A2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W27"/>
  <sheetViews>
    <sheetView showGridLines="0" zoomScaleNormal="100" workbookViewId="0">
      <pane xSplit="1" ySplit="7" topLeftCell="K8" activePane="bottomRight" state="frozen"/>
      <selection activeCell="I3" sqref="I3:I5"/>
      <selection pane="topRight" activeCell="I3" sqref="I3:I5"/>
      <selection pane="bottomLeft" activeCell="I3" sqref="I3:I5"/>
      <selection pane="bottomRight" activeCell="A4" sqref="A4:U27"/>
    </sheetView>
  </sheetViews>
  <sheetFormatPr baseColWidth="10" defaultColWidth="11.28515625" defaultRowHeight="12.75" customHeight="1" x14ac:dyDescent="0.3"/>
  <cols>
    <col min="1" max="1" width="20.42578125" style="64" customWidth="1"/>
    <col min="2" max="13" width="7.85546875" style="64" customWidth="1"/>
    <col min="14" max="20" width="7.85546875" style="66" customWidth="1"/>
    <col min="21" max="21" width="7.85546875" style="64" customWidth="1"/>
    <col min="22" max="16384" width="11.28515625" style="64"/>
  </cols>
  <sheetData>
    <row r="1" spans="1:23" ht="12.75" customHeight="1" x14ac:dyDescent="0.3">
      <c r="A1" s="677" t="s">
        <v>443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W1" s="64" t="s">
        <v>25</v>
      </c>
    </row>
    <row r="2" spans="1:23" ht="12.75" customHeight="1" x14ac:dyDescent="0.3">
      <c r="A2" s="680" t="s">
        <v>169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680"/>
      <c r="U2" s="680"/>
    </row>
    <row r="3" spans="1:23" ht="12.75" customHeight="1" x14ac:dyDescent="0.3">
      <c r="A3" s="160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19"/>
    </row>
    <row r="4" spans="1:23" s="119" customFormat="1" ht="26.45" customHeight="1" x14ac:dyDescent="0.25">
      <c r="A4" s="460" t="s">
        <v>181</v>
      </c>
      <c r="B4" s="461">
        <v>2001</v>
      </c>
      <c r="C4" s="462">
        <v>2002</v>
      </c>
      <c r="D4" s="461">
        <v>2003</v>
      </c>
      <c r="E4" s="461">
        <v>2004</v>
      </c>
      <c r="F4" s="461">
        <v>2005</v>
      </c>
      <c r="G4" s="461">
        <v>2006</v>
      </c>
      <c r="H4" s="461">
        <v>2007</v>
      </c>
      <c r="I4" s="461">
        <v>2008</v>
      </c>
      <c r="J4" s="461">
        <v>2009</v>
      </c>
      <c r="K4" s="462">
        <v>2010</v>
      </c>
      <c r="L4" s="462">
        <v>2011</v>
      </c>
      <c r="M4" s="462">
        <v>2012</v>
      </c>
      <c r="N4" s="462">
        <v>2013</v>
      </c>
      <c r="O4" s="462">
        <v>2014</v>
      </c>
      <c r="P4" s="462">
        <v>2015</v>
      </c>
      <c r="Q4" s="462">
        <v>2016</v>
      </c>
      <c r="R4" s="462">
        <v>2017</v>
      </c>
      <c r="S4" s="462">
        <v>2018</v>
      </c>
      <c r="T4" s="462">
        <v>2019</v>
      </c>
      <c r="U4" s="462">
        <v>2020</v>
      </c>
    </row>
    <row r="5" spans="1:23" s="119" customFormat="1" ht="3" customHeight="1" x14ac:dyDescent="0.3">
      <c r="A5" s="451"/>
      <c r="B5" s="457"/>
      <c r="C5" s="458"/>
      <c r="D5" s="457"/>
      <c r="E5" s="457"/>
      <c r="F5" s="457"/>
      <c r="G5" s="457"/>
      <c r="H5" s="457"/>
      <c r="I5" s="457"/>
      <c r="J5" s="457"/>
      <c r="K5" s="458"/>
      <c r="L5" s="458"/>
      <c r="M5" s="458"/>
      <c r="N5" s="66"/>
      <c r="O5" s="66"/>
      <c r="P5" s="66"/>
      <c r="Q5" s="66"/>
      <c r="R5" s="66"/>
      <c r="S5" s="66"/>
      <c r="T5" s="66"/>
      <c r="U5" s="66"/>
    </row>
    <row r="6" spans="1:23" s="250" customFormat="1" ht="15" customHeight="1" x14ac:dyDescent="0.25">
      <c r="A6" s="452" t="s">
        <v>28</v>
      </c>
      <c r="B6" s="459">
        <v>415052.67190199514</v>
      </c>
      <c r="C6" s="459">
        <v>415251.06713095197</v>
      </c>
      <c r="D6" s="459">
        <v>406818.29365337704</v>
      </c>
      <c r="E6" s="459">
        <v>443574.64250095177</v>
      </c>
      <c r="F6" s="459">
        <v>424290.70788164751</v>
      </c>
      <c r="G6" s="459">
        <v>412718.79159202712</v>
      </c>
      <c r="H6" s="459">
        <v>439082.82149763021</v>
      </c>
      <c r="I6" s="459">
        <v>455111.37603332644</v>
      </c>
      <c r="J6" s="459">
        <v>497270.30900201516</v>
      </c>
      <c r="K6" s="459">
        <v>538036.7114163083</v>
      </c>
      <c r="L6" s="459">
        <v>572182.39157760236</v>
      </c>
      <c r="M6" s="459">
        <v>582536.08611543174</v>
      </c>
      <c r="N6" s="459">
        <v>607577.58675586106</v>
      </c>
      <c r="O6" s="459">
        <v>606777.90990479849</v>
      </c>
      <c r="P6" s="459">
        <v>639910.62847408932</v>
      </c>
      <c r="Q6" s="459">
        <v>662456.41700548027</v>
      </c>
      <c r="R6" s="459">
        <v>675329.70883313683</v>
      </c>
      <c r="S6" s="459">
        <v>706801.23905164353</v>
      </c>
      <c r="T6" s="459">
        <v>732762.77505301335</v>
      </c>
      <c r="U6" s="459">
        <v>595294.75426147901</v>
      </c>
    </row>
    <row r="7" spans="1:23" s="110" customFormat="1" ht="3" customHeight="1" x14ac:dyDescent="0.25">
      <c r="A7" s="453"/>
      <c r="B7" s="446"/>
      <c r="C7" s="446"/>
      <c r="D7" s="446"/>
      <c r="E7" s="446"/>
      <c r="F7" s="446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</row>
    <row r="8" spans="1:23" s="110" customFormat="1" ht="15" customHeight="1" x14ac:dyDescent="0.3">
      <c r="A8" s="454" t="s">
        <v>179</v>
      </c>
      <c r="B8" s="447">
        <v>13775.401095074254</v>
      </c>
      <c r="C8" s="447">
        <v>17745.743169746056</v>
      </c>
      <c r="D8" s="447">
        <v>19698.414276593245</v>
      </c>
      <c r="E8" s="447">
        <v>19972.720937884405</v>
      </c>
      <c r="F8" s="447">
        <v>22042.9836258504</v>
      </c>
      <c r="G8" s="447">
        <v>15336.494006753373</v>
      </c>
      <c r="H8" s="447">
        <v>24630.367720590511</v>
      </c>
      <c r="I8" s="447">
        <v>20999.22484372777</v>
      </c>
      <c r="J8" s="447">
        <v>22949.412025555841</v>
      </c>
      <c r="K8" s="447">
        <v>22896.326024451264</v>
      </c>
      <c r="L8" s="447">
        <v>23900.57479832305</v>
      </c>
      <c r="M8" s="447">
        <v>24021.637575793815</v>
      </c>
      <c r="N8" s="447">
        <v>22959.142391153357</v>
      </c>
      <c r="O8" s="447">
        <v>26519.051222730803</v>
      </c>
      <c r="P8" s="447">
        <v>29206.352978586314</v>
      </c>
      <c r="Q8" s="447">
        <v>23285.60000133888</v>
      </c>
      <c r="R8" s="447">
        <v>19898.505906252751</v>
      </c>
      <c r="S8" s="447">
        <v>21279.81185443854</v>
      </c>
      <c r="T8" s="447">
        <v>22039.238004430972</v>
      </c>
      <c r="U8" s="447">
        <v>14258.926116635888</v>
      </c>
    </row>
    <row r="9" spans="1:23" s="110" customFormat="1" ht="15" customHeight="1" x14ac:dyDescent="0.3">
      <c r="A9" s="454" t="s">
        <v>173</v>
      </c>
      <c r="B9" s="447">
        <v>109706.5479715456</v>
      </c>
      <c r="C9" s="447">
        <v>107780.91454582771</v>
      </c>
      <c r="D9" s="447">
        <v>107503.78150219725</v>
      </c>
      <c r="E9" s="447">
        <v>127320.83668606867</v>
      </c>
      <c r="F9" s="447">
        <v>120907.78966861848</v>
      </c>
      <c r="G9" s="447">
        <v>115843.68654050733</v>
      </c>
      <c r="H9" s="447">
        <v>116883.57555504564</v>
      </c>
      <c r="I9" s="447">
        <v>105647.69667771047</v>
      </c>
      <c r="J9" s="447">
        <v>118263.85411956257</v>
      </c>
      <c r="K9" s="447">
        <v>111426.40920684559</v>
      </c>
      <c r="L9" s="447">
        <v>103830.85059922862</v>
      </c>
      <c r="M9" s="447">
        <v>106079.83897872189</v>
      </c>
      <c r="N9" s="447">
        <v>100142.62367455209</v>
      </c>
      <c r="O9" s="447">
        <v>97024.917926204449</v>
      </c>
      <c r="P9" s="447">
        <v>95718.414581100602</v>
      </c>
      <c r="Q9" s="447">
        <v>94073.523727622189</v>
      </c>
      <c r="R9" s="447">
        <v>90976.778122254385</v>
      </c>
      <c r="S9" s="447">
        <v>92228.211563917444</v>
      </c>
      <c r="T9" s="447">
        <v>93698.001446564333</v>
      </c>
      <c r="U9" s="447">
        <v>96759.665204062825</v>
      </c>
    </row>
    <row r="10" spans="1:23" s="110" customFormat="1" ht="15" customHeight="1" x14ac:dyDescent="0.3">
      <c r="A10" s="454" t="s">
        <v>351</v>
      </c>
      <c r="B10" s="447">
        <v>12422.350901709582</v>
      </c>
      <c r="C10" s="447">
        <v>11668.911617763857</v>
      </c>
      <c r="D10" s="447">
        <v>11093.262317624229</v>
      </c>
      <c r="E10" s="447">
        <v>5464.4303698593376</v>
      </c>
      <c r="F10" s="447">
        <v>6107.2397333949057</v>
      </c>
      <c r="G10" s="447">
        <v>6135.7298012526862</v>
      </c>
      <c r="H10" s="447">
        <v>6345.5821347230631</v>
      </c>
      <c r="I10" s="447">
        <v>6483.7152744493969</v>
      </c>
      <c r="J10" s="447">
        <v>7457.4970820385661</v>
      </c>
      <c r="K10" s="447">
        <v>7077.5063808049035</v>
      </c>
      <c r="L10" s="447">
        <v>6646.9344930460684</v>
      </c>
      <c r="M10" s="447">
        <v>6830.0956047472164</v>
      </c>
      <c r="N10" s="447">
        <v>6406.4000000000005</v>
      </c>
      <c r="O10" s="447">
        <v>5941.3924661459232</v>
      </c>
      <c r="P10" s="447">
        <v>5752.4875905052277</v>
      </c>
      <c r="Q10" s="447">
        <v>5519.0989218121349</v>
      </c>
      <c r="R10" s="447">
        <v>5689.9157825223438</v>
      </c>
      <c r="S10" s="447">
        <v>4637.3220187119814</v>
      </c>
      <c r="T10" s="447">
        <v>4373.5570831646783</v>
      </c>
      <c r="U10" s="447">
        <v>4654.2817604455213</v>
      </c>
    </row>
    <row r="11" spans="1:23" s="110" customFormat="1" ht="15" customHeight="1" x14ac:dyDescent="0.3">
      <c r="A11" s="454" t="s">
        <v>180</v>
      </c>
      <c r="B11" s="447">
        <v>6388.1542620249675</v>
      </c>
      <c r="C11" s="447">
        <v>7280.5172010542001</v>
      </c>
      <c r="D11" s="447">
        <v>7666.3064411715468</v>
      </c>
      <c r="E11" s="447">
        <v>6021.2686743039485</v>
      </c>
      <c r="F11" s="447">
        <v>2475.1534258829442</v>
      </c>
      <c r="G11" s="447">
        <v>3991.9539847799479</v>
      </c>
      <c r="H11" s="447">
        <v>3748.1114509204135</v>
      </c>
      <c r="I11" s="447">
        <v>4507.7244709238721</v>
      </c>
      <c r="J11" s="447">
        <v>3993.359873155574</v>
      </c>
      <c r="K11" s="447">
        <v>6245.6278948463632</v>
      </c>
      <c r="L11" s="447">
        <v>6143.7808316372111</v>
      </c>
      <c r="M11" s="447">
        <v>8713.129569634104</v>
      </c>
      <c r="N11" s="447">
        <v>5426.7367649820262</v>
      </c>
      <c r="O11" s="447">
        <v>1362.4598713866114</v>
      </c>
      <c r="P11" s="447">
        <v>5174.1471570236818</v>
      </c>
      <c r="Q11" s="447">
        <v>6574.5170178362732</v>
      </c>
      <c r="R11" s="447">
        <v>2708.6321221540397</v>
      </c>
      <c r="S11" s="447">
        <v>6172.9677715496937</v>
      </c>
      <c r="T11" s="447">
        <v>8931.8296573647713</v>
      </c>
      <c r="U11" s="447">
        <v>6422.2135896204045</v>
      </c>
    </row>
    <row r="12" spans="1:23" s="117" customFormat="1" ht="15" customHeight="1" x14ac:dyDescent="0.3">
      <c r="A12" s="454" t="s">
        <v>170</v>
      </c>
      <c r="B12" s="447" t="s">
        <v>31</v>
      </c>
      <c r="C12" s="447" t="s">
        <v>31</v>
      </c>
      <c r="D12" s="447" t="s">
        <v>31</v>
      </c>
      <c r="E12" s="447" t="s">
        <v>31</v>
      </c>
      <c r="F12" s="447" t="s">
        <v>31</v>
      </c>
      <c r="G12" s="447" t="s">
        <v>31</v>
      </c>
      <c r="H12" s="447" t="s">
        <v>31</v>
      </c>
      <c r="I12" s="447" t="s">
        <v>31</v>
      </c>
      <c r="J12" s="447" t="s">
        <v>31</v>
      </c>
      <c r="K12" s="447" t="s">
        <v>31</v>
      </c>
      <c r="L12" s="447" t="s">
        <v>31</v>
      </c>
      <c r="M12" s="447" t="s">
        <v>31</v>
      </c>
      <c r="N12" s="447" t="s">
        <v>31</v>
      </c>
      <c r="O12" s="447" t="s">
        <v>31</v>
      </c>
      <c r="P12" s="447" t="s">
        <v>31</v>
      </c>
      <c r="Q12" s="447" t="s">
        <v>31</v>
      </c>
      <c r="R12" s="447">
        <v>48755.583567524329</v>
      </c>
      <c r="S12" s="447">
        <v>50235.41831455889</v>
      </c>
      <c r="T12" s="447">
        <v>48777.656278678245</v>
      </c>
      <c r="U12" s="447">
        <v>21187.370033951182</v>
      </c>
    </row>
    <row r="13" spans="1:23" s="110" customFormat="1" ht="15" customHeight="1" x14ac:dyDescent="0.3">
      <c r="A13" s="454" t="s">
        <v>177</v>
      </c>
      <c r="B13" s="447">
        <v>1205.1212327227306</v>
      </c>
      <c r="C13" s="447">
        <v>1220.3321931595469</v>
      </c>
      <c r="D13" s="447">
        <v>1140.3832837332168</v>
      </c>
      <c r="E13" s="447">
        <v>992.3347394793916</v>
      </c>
      <c r="F13" s="447">
        <v>1262.5617862725167</v>
      </c>
      <c r="G13" s="447">
        <v>1257.6380241764807</v>
      </c>
      <c r="H13" s="447">
        <v>1263.3636471023092</v>
      </c>
      <c r="I13" s="447">
        <v>1355.2790073094318</v>
      </c>
      <c r="J13" s="447">
        <v>201.29431405516297</v>
      </c>
      <c r="K13" s="447">
        <v>1.9749974916911552</v>
      </c>
      <c r="L13" s="447">
        <v>1.8813719450983422</v>
      </c>
      <c r="M13" s="447">
        <v>21.21106224281943</v>
      </c>
      <c r="N13" s="447">
        <v>1017.7408895104761</v>
      </c>
      <c r="O13" s="447">
        <v>2468.7951965566194</v>
      </c>
      <c r="P13" s="447">
        <v>1119.0093957536117</v>
      </c>
      <c r="Q13" s="447">
        <v>2478.2768811753967</v>
      </c>
      <c r="R13" s="447">
        <v>2110.7578137257815</v>
      </c>
      <c r="S13" s="447">
        <v>2097.977934417464</v>
      </c>
      <c r="T13" s="447">
        <v>1566.2273627783775</v>
      </c>
      <c r="U13" s="447">
        <v>1684.9999075335863</v>
      </c>
    </row>
    <row r="14" spans="1:23" s="110" customFormat="1" ht="15" customHeight="1" x14ac:dyDescent="0.3">
      <c r="A14" s="454" t="s">
        <v>178</v>
      </c>
      <c r="B14" s="447">
        <v>6131.4864682250936</v>
      </c>
      <c r="C14" s="447">
        <v>5788.0520091399167</v>
      </c>
      <c r="D14" s="447">
        <v>5625.914486499064</v>
      </c>
      <c r="E14" s="447">
        <v>3829.6249503539052</v>
      </c>
      <c r="F14" s="447">
        <v>4386.731397933444</v>
      </c>
      <c r="G14" s="447">
        <v>4682.2590214520151</v>
      </c>
      <c r="H14" s="447">
        <v>5537.092351734359</v>
      </c>
      <c r="I14" s="447">
        <v>5545.5889150597623</v>
      </c>
      <c r="J14" s="447">
        <v>6458.8842311488979</v>
      </c>
      <c r="K14" s="447">
        <v>6501.1971677444571</v>
      </c>
      <c r="L14" s="447">
        <v>6351.4370408581617</v>
      </c>
      <c r="M14" s="447">
        <v>5939.3701684749803</v>
      </c>
      <c r="N14" s="447">
        <v>6173.3656304820424</v>
      </c>
      <c r="O14" s="447">
        <v>5966.6068688069827</v>
      </c>
      <c r="P14" s="447">
        <v>5522.5677809056942</v>
      </c>
      <c r="Q14" s="447">
        <v>5378.5452306338802</v>
      </c>
      <c r="R14" s="447">
        <v>4955.61299999115</v>
      </c>
      <c r="S14" s="447">
        <v>4795.3709941152829</v>
      </c>
      <c r="T14" s="447">
        <v>4782.5301091119272</v>
      </c>
      <c r="U14" s="447">
        <v>5190.7740177704536</v>
      </c>
    </row>
    <row r="15" spans="1:23" s="110" customFormat="1" ht="15" customHeight="1" x14ac:dyDescent="0.3">
      <c r="A15" s="454" t="s">
        <v>350</v>
      </c>
      <c r="B15" s="447">
        <v>20457.199819251397</v>
      </c>
      <c r="C15" s="447">
        <v>23294.528170840909</v>
      </c>
      <c r="D15" s="447">
        <v>25455.617414584562</v>
      </c>
      <c r="E15" s="447">
        <v>26600.741318928194</v>
      </c>
      <c r="F15" s="447">
        <v>31044.226923173472</v>
      </c>
      <c r="G15" s="447">
        <v>34240.876798072022</v>
      </c>
      <c r="H15" s="447">
        <v>38368.702040952943</v>
      </c>
      <c r="I15" s="447">
        <v>43622.101955599421</v>
      </c>
      <c r="J15" s="447">
        <v>47397.481496787288</v>
      </c>
      <c r="K15" s="447">
        <v>52698.944648371435</v>
      </c>
      <c r="L15" s="447">
        <v>58787.153949443469</v>
      </c>
      <c r="M15" s="447">
        <v>64405.20321665566</v>
      </c>
      <c r="N15" s="447">
        <v>71385.739270143793</v>
      </c>
      <c r="O15" s="447">
        <v>72510.606428290499</v>
      </c>
      <c r="P15" s="447">
        <v>75001.996069104411</v>
      </c>
      <c r="Q15" s="447">
        <v>79351.830551877007</v>
      </c>
      <c r="R15" s="447">
        <v>82800.125187034908</v>
      </c>
      <c r="S15" s="447">
        <v>88503.074129210392</v>
      </c>
      <c r="T15" s="447">
        <v>92047.285352889114</v>
      </c>
      <c r="U15" s="447">
        <v>81653.973316497853</v>
      </c>
    </row>
    <row r="16" spans="1:23" s="110" customFormat="1" ht="16.149999999999999" customHeight="1" x14ac:dyDescent="0.3">
      <c r="A16" s="454" t="s">
        <v>460</v>
      </c>
      <c r="B16" s="447">
        <v>43982.141870915395</v>
      </c>
      <c r="C16" s="447">
        <v>43971.034534697865</v>
      </c>
      <c r="D16" s="447">
        <v>41404.625386969768</v>
      </c>
      <c r="E16" s="447">
        <v>41289.40851976462</v>
      </c>
      <c r="F16" s="447">
        <v>40515.223718233014</v>
      </c>
      <c r="G16" s="447">
        <v>39522.377202724143</v>
      </c>
      <c r="H16" s="447">
        <v>39264.637707839982</v>
      </c>
      <c r="I16" s="447">
        <v>44169.016677405583</v>
      </c>
      <c r="J16" s="447">
        <v>51988.112249025027</v>
      </c>
      <c r="K16" s="447">
        <v>56845.376268372915</v>
      </c>
      <c r="L16" s="447">
        <v>58550.711878411195</v>
      </c>
      <c r="M16" s="447">
        <v>60621.589621867184</v>
      </c>
      <c r="N16" s="447">
        <v>64242.185415212654</v>
      </c>
      <c r="O16" s="447">
        <v>67464.268777789446</v>
      </c>
      <c r="P16" s="447">
        <v>74680.878902570636</v>
      </c>
      <c r="Q16" s="447">
        <v>83681.208815523292</v>
      </c>
      <c r="R16" s="447">
        <v>87115.044108136732</v>
      </c>
      <c r="S16" s="447">
        <v>91214.918901175814</v>
      </c>
      <c r="T16" s="447">
        <v>96926.134442174676</v>
      </c>
      <c r="U16" s="447">
        <v>75286.604494973464</v>
      </c>
    </row>
    <row r="17" spans="1:21" s="110" customFormat="1" ht="15" customHeight="1" x14ac:dyDescent="0.3">
      <c r="A17" s="455" t="s">
        <v>461</v>
      </c>
      <c r="B17" s="447">
        <v>46101.142415999995</v>
      </c>
      <c r="C17" s="447">
        <v>44496.327637999995</v>
      </c>
      <c r="D17" s="447">
        <v>30055.220454000009</v>
      </c>
      <c r="E17" s="447">
        <v>20098.023631</v>
      </c>
      <c r="F17" s="447">
        <v>13206.891103000002</v>
      </c>
      <c r="G17" s="447">
        <v>12838.518223999999</v>
      </c>
      <c r="H17" s="447">
        <v>9784.6959279999992</v>
      </c>
      <c r="I17" s="447">
        <v>9379.0405975000031</v>
      </c>
      <c r="J17" s="447">
        <v>26055.981962499991</v>
      </c>
      <c r="K17" s="447">
        <v>27960.725715999994</v>
      </c>
      <c r="L17" s="447">
        <v>29759.743114499997</v>
      </c>
      <c r="M17" s="447">
        <v>30915.499110999997</v>
      </c>
      <c r="N17" s="447">
        <v>33750.078333999998</v>
      </c>
      <c r="O17" s="447">
        <v>37208.443051499999</v>
      </c>
      <c r="P17" s="447">
        <v>39187.195253499987</v>
      </c>
      <c r="Q17" s="447">
        <v>43448.523814499997</v>
      </c>
      <c r="R17" s="447">
        <v>15351.237214565739</v>
      </c>
      <c r="S17" s="447">
        <v>16140.589552257539</v>
      </c>
      <c r="T17" s="447">
        <v>16240.14638423547</v>
      </c>
      <c r="U17" s="447">
        <v>6269.3891261449726</v>
      </c>
    </row>
    <row r="18" spans="1:21" s="110" customFormat="1" ht="15" customHeight="1" x14ac:dyDescent="0.3">
      <c r="A18" s="454" t="s">
        <v>462</v>
      </c>
      <c r="B18" s="447">
        <v>96590.699150187749</v>
      </c>
      <c r="C18" s="447">
        <v>94583.954684090495</v>
      </c>
      <c r="D18" s="447">
        <v>105289.76990343347</v>
      </c>
      <c r="E18" s="447">
        <v>128548.2771195284</v>
      </c>
      <c r="F18" s="447">
        <v>121228.08831656944</v>
      </c>
      <c r="G18" s="447">
        <v>127902.69161802279</v>
      </c>
      <c r="H18" s="447">
        <v>129707.3926829691</v>
      </c>
      <c r="I18" s="447">
        <v>156542.01426670703</v>
      </c>
      <c r="J18" s="447">
        <v>154495.6193131477</v>
      </c>
      <c r="K18" s="447">
        <v>185683.31793067337</v>
      </c>
      <c r="L18" s="447">
        <v>190234.65887069906</v>
      </c>
      <c r="M18" s="447">
        <v>197309.29573414681</v>
      </c>
      <c r="N18" s="447">
        <v>208975.22502555468</v>
      </c>
      <c r="O18" s="447">
        <v>204762.49520086858</v>
      </c>
      <c r="P18" s="447">
        <v>219296.06243850241</v>
      </c>
      <c r="Q18" s="447">
        <v>227523.48082233837</v>
      </c>
      <c r="R18" s="447">
        <v>223982.02212737058</v>
      </c>
      <c r="S18" s="447">
        <v>230325.66805348359</v>
      </c>
      <c r="T18" s="447">
        <v>238832.14146620184</v>
      </c>
      <c r="U18" s="447">
        <v>202621.24335767151</v>
      </c>
    </row>
    <row r="19" spans="1:21" s="110" customFormat="1" ht="15" customHeight="1" x14ac:dyDescent="0.3">
      <c r="A19" s="454" t="s">
        <v>172</v>
      </c>
      <c r="B19" s="447">
        <v>57275.943428502775</v>
      </c>
      <c r="C19" s="447">
        <v>55901.814518232728</v>
      </c>
      <c r="D19" s="447">
        <v>49783.492842333384</v>
      </c>
      <c r="E19" s="447">
        <v>59949.680479276663</v>
      </c>
      <c r="F19" s="447">
        <v>52820.654942428264</v>
      </c>
      <c r="G19" s="447">
        <v>33687.15308402299</v>
      </c>
      <c r="H19" s="447">
        <v>35972.938152598668</v>
      </c>
      <c r="I19" s="447">
        <v>19510.819400768174</v>
      </c>
      <c r="J19" s="447">
        <v>19633.229511602218</v>
      </c>
      <c r="K19" s="447">
        <v>13740.753408208197</v>
      </c>
      <c r="L19" s="447">
        <v>22934.163429126587</v>
      </c>
      <c r="M19" s="447">
        <v>15758.550376141176</v>
      </c>
      <c r="N19" s="447">
        <v>17093.675052927538</v>
      </c>
      <c r="O19" s="447">
        <v>9416.4117254378561</v>
      </c>
      <c r="P19" s="447">
        <v>9264.2223954570291</v>
      </c>
      <c r="Q19" s="447">
        <v>9686.8550719503255</v>
      </c>
      <c r="R19" s="447">
        <v>3729.2186003827283</v>
      </c>
      <c r="S19" s="447">
        <v>2908.3376886021028</v>
      </c>
      <c r="T19" s="447">
        <v>2942.1183686468285</v>
      </c>
      <c r="U19" s="447">
        <v>3680.3374230721383</v>
      </c>
    </row>
    <row r="20" spans="1:21" s="110" customFormat="1" ht="15" customHeight="1" x14ac:dyDescent="0.3">
      <c r="A20" s="454" t="s">
        <v>195</v>
      </c>
      <c r="B20" s="447">
        <v>4.8107755220369128</v>
      </c>
      <c r="C20" s="447">
        <v>261.9731738466279</v>
      </c>
      <c r="D20" s="447">
        <v>988.49644738954009</v>
      </c>
      <c r="E20" s="447">
        <v>2249.89351973151</v>
      </c>
      <c r="F20" s="447">
        <v>6799.4738768437228</v>
      </c>
      <c r="G20" s="447">
        <v>15601.762180598023</v>
      </c>
      <c r="H20" s="447">
        <v>26010.085131102849</v>
      </c>
      <c r="I20" s="447">
        <v>35635.345940488805</v>
      </c>
      <c r="J20" s="447">
        <v>38375.582823436336</v>
      </c>
      <c r="K20" s="447">
        <v>46958.551772498126</v>
      </c>
      <c r="L20" s="447">
        <v>65040.501200383842</v>
      </c>
      <c r="M20" s="447">
        <v>61920.665096006211</v>
      </c>
      <c r="N20" s="447">
        <v>70004.674307342371</v>
      </c>
      <c r="O20" s="447">
        <v>76132.461169080707</v>
      </c>
      <c r="P20" s="447">
        <v>79987.293931079621</v>
      </c>
      <c r="Q20" s="447">
        <v>81454.956148872501</v>
      </c>
      <c r="R20" s="447">
        <v>87256.275281221533</v>
      </c>
      <c r="S20" s="447">
        <v>96261.570275204765</v>
      </c>
      <c r="T20" s="447">
        <v>101605.90909677211</v>
      </c>
      <c r="U20" s="447">
        <v>75624.97591309913</v>
      </c>
    </row>
    <row r="21" spans="1:21" s="110" customFormat="1" ht="15" customHeight="1" x14ac:dyDescent="0.3">
      <c r="A21" s="456" t="s">
        <v>176</v>
      </c>
      <c r="B21" s="450">
        <v>1011.6725103135485</v>
      </c>
      <c r="C21" s="450">
        <v>1256.9636745521032</v>
      </c>
      <c r="D21" s="450">
        <v>1113.0088968477778</v>
      </c>
      <c r="E21" s="450">
        <v>1237.4015547726835</v>
      </c>
      <c r="F21" s="450">
        <v>1493.6893634469427</v>
      </c>
      <c r="G21" s="450">
        <v>1677.6511056653078</v>
      </c>
      <c r="H21" s="450">
        <v>1566.2769940503588</v>
      </c>
      <c r="I21" s="450">
        <v>1713.8080056768447</v>
      </c>
      <c r="J21" s="450" t="s">
        <v>31</v>
      </c>
      <c r="K21" s="450" t="s">
        <v>31</v>
      </c>
      <c r="L21" s="450" t="s">
        <v>31</v>
      </c>
      <c r="M21" s="450" t="s">
        <v>31</v>
      </c>
      <c r="N21" s="450" t="s">
        <v>31</v>
      </c>
      <c r="O21" s="450" t="s">
        <v>31</v>
      </c>
      <c r="P21" s="450" t="s">
        <v>31</v>
      </c>
      <c r="Q21" s="450" t="s">
        <v>31</v>
      </c>
      <c r="R21" s="450" t="s">
        <v>31</v>
      </c>
      <c r="S21" s="450" t="s">
        <v>31</v>
      </c>
      <c r="T21" s="450" t="s">
        <v>31</v>
      </c>
      <c r="U21" s="450" t="s">
        <v>31</v>
      </c>
    </row>
    <row r="22" spans="1:21" s="110" customFormat="1" ht="12" customHeight="1" x14ac:dyDescent="0.25">
      <c r="A22" s="108" t="s">
        <v>381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</row>
    <row r="23" spans="1:21" s="117" customFormat="1" ht="12" customHeight="1" x14ac:dyDescent="0.25">
      <c r="A23" s="114" t="s">
        <v>382</v>
      </c>
      <c r="B23" s="115"/>
      <c r="C23" s="116"/>
      <c r="D23" s="116"/>
      <c r="E23" s="116"/>
      <c r="F23" s="116"/>
      <c r="G23" s="116"/>
    </row>
    <row r="24" spans="1:21" s="118" customFormat="1" ht="12" customHeight="1" x14ac:dyDescent="0.25">
      <c r="A24" s="118" t="s">
        <v>383</v>
      </c>
    </row>
    <row r="25" spans="1:21" s="118" customFormat="1" ht="12" customHeight="1" x14ac:dyDescent="0.25">
      <c r="A25" s="118" t="s">
        <v>384</v>
      </c>
    </row>
    <row r="26" spans="1:21" s="118" customFormat="1" ht="12" customHeight="1" x14ac:dyDescent="0.25">
      <c r="A26" s="118" t="s">
        <v>385</v>
      </c>
    </row>
    <row r="27" spans="1:21" s="119" customFormat="1" ht="12" customHeight="1" x14ac:dyDescent="0.25">
      <c r="A27" s="111" t="s">
        <v>372</v>
      </c>
      <c r="N27" s="120"/>
      <c r="O27" s="120"/>
      <c r="P27" s="120"/>
      <c r="Q27" s="120"/>
      <c r="R27" s="120"/>
      <c r="S27" s="120"/>
      <c r="T27" s="120"/>
    </row>
  </sheetData>
  <mergeCells count="2">
    <mergeCell ref="A1:U1"/>
    <mergeCell ref="A2:U2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AA37"/>
  <sheetViews>
    <sheetView showGridLines="0" zoomScaleNormal="100" zoomScaleSheetLayoutView="145" workbookViewId="0">
      <selection activeCell="K7" sqref="K7"/>
    </sheetView>
  </sheetViews>
  <sheetFormatPr baseColWidth="10" defaultColWidth="9.140625" defaultRowHeight="12.75" customHeight="1" x14ac:dyDescent="0.3"/>
  <cols>
    <col min="1" max="1" width="10.28515625" style="26" customWidth="1"/>
    <col min="2" max="8" width="9.5703125" style="27" customWidth="1"/>
    <col min="9" max="10" width="9.5703125" style="26" customWidth="1"/>
    <col min="11" max="16384" width="9.140625" style="26"/>
  </cols>
  <sheetData>
    <row r="1" spans="1:27" s="473" customFormat="1" ht="12.75" customHeight="1" x14ac:dyDescent="0.3">
      <c r="A1" s="678" t="s">
        <v>444</v>
      </c>
      <c r="B1" s="678"/>
      <c r="C1" s="678"/>
      <c r="D1" s="678"/>
      <c r="E1" s="678"/>
      <c r="F1" s="678"/>
      <c r="G1" s="678"/>
      <c r="H1" s="678"/>
      <c r="I1" s="678"/>
      <c r="J1" s="678"/>
      <c r="AA1" s="473" t="s">
        <v>25</v>
      </c>
    </row>
    <row r="2" spans="1:27" s="473" customFormat="1" ht="12.75" customHeight="1" x14ac:dyDescent="0.3">
      <c r="A2" s="679" t="s">
        <v>186</v>
      </c>
      <c r="B2" s="679"/>
      <c r="C2" s="679"/>
      <c r="D2" s="679"/>
      <c r="E2" s="679"/>
      <c r="F2" s="679"/>
      <c r="G2" s="679"/>
      <c r="H2" s="679"/>
      <c r="I2" s="679"/>
      <c r="J2" s="679"/>
    </row>
    <row r="3" spans="1:27" ht="3" customHeight="1" x14ac:dyDescent="0.3">
      <c r="A3" s="117"/>
      <c r="B3" s="182"/>
      <c r="C3" s="182"/>
      <c r="D3" s="182"/>
      <c r="E3" s="182"/>
      <c r="F3" s="182"/>
      <c r="G3" s="182"/>
      <c r="H3" s="182"/>
      <c r="I3" s="79"/>
      <c r="J3" s="79"/>
    </row>
    <row r="4" spans="1:27" ht="3" customHeight="1" x14ac:dyDescent="0.3">
      <c r="A4" s="117"/>
      <c r="B4" s="182"/>
      <c r="C4" s="182"/>
      <c r="D4" s="182"/>
      <c r="E4" s="182"/>
      <c r="F4" s="182"/>
      <c r="G4" s="182"/>
      <c r="H4" s="182"/>
      <c r="I4" s="79"/>
      <c r="J4" s="79"/>
    </row>
    <row r="5" spans="1:27" s="117" customFormat="1" ht="55.5" customHeight="1" x14ac:dyDescent="0.25">
      <c r="A5" s="463" t="s">
        <v>129</v>
      </c>
      <c r="B5" s="462" t="s">
        <v>28</v>
      </c>
      <c r="C5" s="461" t="s">
        <v>185</v>
      </c>
      <c r="D5" s="461" t="s">
        <v>184</v>
      </c>
      <c r="E5" s="461" t="s">
        <v>183</v>
      </c>
      <c r="F5" s="461" t="s">
        <v>175</v>
      </c>
      <c r="G5" s="461" t="s">
        <v>174</v>
      </c>
      <c r="H5" s="461" t="s">
        <v>182</v>
      </c>
      <c r="I5" s="461" t="s">
        <v>171</v>
      </c>
      <c r="J5" s="461" t="s">
        <v>170</v>
      </c>
    </row>
    <row r="6" spans="1:27" s="117" customFormat="1" ht="3" customHeight="1" x14ac:dyDescent="0.3">
      <c r="A6" s="464"/>
      <c r="B6" s="467"/>
      <c r="C6" s="468"/>
      <c r="D6" s="467"/>
      <c r="E6" s="468"/>
      <c r="F6" s="468"/>
      <c r="G6" s="468"/>
      <c r="H6" s="468"/>
      <c r="I6" s="3"/>
      <c r="J6" s="3"/>
    </row>
    <row r="7" spans="1:27" s="117" customFormat="1" ht="15" customHeight="1" x14ac:dyDescent="0.25">
      <c r="A7" s="465">
        <v>2001</v>
      </c>
      <c r="B7" s="386">
        <v>125403.64653397146</v>
      </c>
      <c r="C7" s="386">
        <v>72971.393154752222</v>
      </c>
      <c r="D7" s="386">
        <v>37913.197169801453</v>
      </c>
      <c r="E7" s="469">
        <v>0</v>
      </c>
      <c r="F7" s="469">
        <v>859.09284410390023</v>
      </c>
      <c r="G7" s="469">
        <v>0</v>
      </c>
      <c r="H7" s="386">
        <v>387.62620470000002</v>
      </c>
      <c r="I7" s="386">
        <v>13272.337160613879</v>
      </c>
      <c r="J7" s="469">
        <v>0</v>
      </c>
    </row>
    <row r="8" spans="1:27" s="117" customFormat="1" ht="15" customHeight="1" x14ac:dyDescent="0.25">
      <c r="A8" s="465">
        <v>2002</v>
      </c>
      <c r="B8" s="386">
        <v>118144.00889608703</v>
      </c>
      <c r="C8" s="386">
        <v>71374.47962555314</v>
      </c>
      <c r="D8" s="386">
        <v>38375.778984666191</v>
      </c>
      <c r="E8" s="469">
        <v>0</v>
      </c>
      <c r="F8" s="469">
        <v>1339.3102864916514</v>
      </c>
      <c r="G8" s="469">
        <v>0</v>
      </c>
      <c r="H8" s="386">
        <v>289.79673399000001</v>
      </c>
      <c r="I8" s="386">
        <v>6764.6432653860466</v>
      </c>
      <c r="J8" s="469">
        <v>0</v>
      </c>
    </row>
    <row r="9" spans="1:27" s="117" customFormat="1" ht="15" customHeight="1" x14ac:dyDescent="0.25">
      <c r="A9" s="465">
        <v>2003</v>
      </c>
      <c r="B9" s="386">
        <v>121418.58506826784</v>
      </c>
      <c r="C9" s="386">
        <v>79638.945708290572</v>
      </c>
      <c r="D9" s="386">
        <v>35882.444012719439</v>
      </c>
      <c r="E9" s="469">
        <v>0</v>
      </c>
      <c r="F9" s="469">
        <v>1636.7807405402768</v>
      </c>
      <c r="G9" s="469">
        <v>0</v>
      </c>
      <c r="H9" s="386">
        <v>147.66712559999999</v>
      </c>
      <c r="I9" s="386">
        <v>4112.7474811175671</v>
      </c>
      <c r="J9" s="469">
        <v>0</v>
      </c>
    </row>
    <row r="10" spans="1:27" s="117" customFormat="1" ht="15" customHeight="1" x14ac:dyDescent="0.25">
      <c r="A10" s="465">
        <v>2004</v>
      </c>
      <c r="B10" s="386">
        <v>142100.40804310635</v>
      </c>
      <c r="C10" s="386">
        <v>99845.77219019839</v>
      </c>
      <c r="D10" s="386">
        <v>35798.415544741823</v>
      </c>
      <c r="E10" s="469">
        <v>0</v>
      </c>
      <c r="F10" s="469">
        <v>2169.3018088406993</v>
      </c>
      <c r="G10" s="469">
        <v>0</v>
      </c>
      <c r="H10" s="386">
        <v>143.97544746</v>
      </c>
      <c r="I10" s="386">
        <v>4142.9430518654417</v>
      </c>
      <c r="J10" s="469">
        <v>0</v>
      </c>
    </row>
    <row r="11" spans="1:27" s="117" customFormat="1" ht="15" customHeight="1" x14ac:dyDescent="0.25">
      <c r="A11" s="465">
        <v>2005</v>
      </c>
      <c r="B11" s="386">
        <v>133559.29105859093</v>
      </c>
      <c r="C11" s="386">
        <v>94178.590389649893</v>
      </c>
      <c r="D11" s="386">
        <v>34046.907621099788</v>
      </c>
      <c r="E11" s="469">
        <v>0</v>
      </c>
      <c r="F11" s="469">
        <v>3242.5130186015249</v>
      </c>
      <c r="G11" s="469">
        <v>1.2859475382801115</v>
      </c>
      <c r="H11" s="386">
        <v>238.11324003000001</v>
      </c>
      <c r="I11" s="386">
        <v>1851.8808416714351</v>
      </c>
      <c r="J11" s="469">
        <v>0</v>
      </c>
    </row>
    <row r="12" spans="1:27" s="117" customFormat="1" ht="15" customHeight="1" x14ac:dyDescent="0.25">
      <c r="A12" s="465">
        <v>2006</v>
      </c>
      <c r="B12" s="386">
        <v>145106.81866998778</v>
      </c>
      <c r="C12" s="386">
        <v>99760.035757797479</v>
      </c>
      <c r="D12" s="386">
        <v>33240.501966076728</v>
      </c>
      <c r="E12" s="469">
        <v>0</v>
      </c>
      <c r="F12" s="469">
        <v>4357.9937323749191</v>
      </c>
      <c r="G12" s="469">
        <v>323.86398321700142</v>
      </c>
      <c r="H12" s="386">
        <v>258.41746979999999</v>
      </c>
      <c r="I12" s="386">
        <v>7166.0057607216268</v>
      </c>
      <c r="J12" s="469">
        <v>0</v>
      </c>
    </row>
    <row r="13" spans="1:27" s="117" customFormat="1" ht="15" customHeight="1" x14ac:dyDescent="0.25">
      <c r="A13" s="465">
        <v>2007</v>
      </c>
      <c r="B13" s="386">
        <v>151184.69141633951</v>
      </c>
      <c r="C13" s="386">
        <v>102992.62623632963</v>
      </c>
      <c r="D13" s="386">
        <v>33113.527970337447</v>
      </c>
      <c r="E13" s="469">
        <v>0</v>
      </c>
      <c r="F13" s="469">
        <v>7076.0543668359778</v>
      </c>
      <c r="G13" s="469">
        <v>2161.8504581697052</v>
      </c>
      <c r="H13" s="386">
        <v>409.16099384999995</v>
      </c>
      <c r="I13" s="386">
        <v>5431.4713908167523</v>
      </c>
      <c r="J13" s="469">
        <v>0</v>
      </c>
    </row>
    <row r="14" spans="1:27" s="117" customFormat="1" ht="15" customHeight="1" x14ac:dyDescent="0.25">
      <c r="A14" s="465">
        <v>2008</v>
      </c>
      <c r="B14" s="386">
        <v>185663.32380075805</v>
      </c>
      <c r="C14" s="386">
        <v>125580.31135935597</v>
      </c>
      <c r="D14" s="386">
        <v>37641.080692413176</v>
      </c>
      <c r="E14" s="469">
        <v>0</v>
      </c>
      <c r="F14" s="469">
        <v>9738.4718375270895</v>
      </c>
      <c r="G14" s="469">
        <v>6258.4877472179187</v>
      </c>
      <c r="H14" s="386">
        <v>761.71625621999999</v>
      </c>
      <c r="I14" s="386">
        <v>5683.2559080239253</v>
      </c>
      <c r="J14" s="469">
        <v>0</v>
      </c>
    </row>
    <row r="15" spans="1:27" s="117" customFormat="1" ht="15" customHeight="1" x14ac:dyDescent="0.25">
      <c r="A15" s="465">
        <v>2009</v>
      </c>
      <c r="B15" s="386">
        <v>211450.98180129839</v>
      </c>
      <c r="C15" s="386">
        <v>123504.77515506199</v>
      </c>
      <c r="D15" s="386">
        <v>43875.810674765504</v>
      </c>
      <c r="E15" s="469">
        <v>0</v>
      </c>
      <c r="F15" s="469">
        <v>10454.447796289633</v>
      </c>
      <c r="G15" s="469">
        <v>10565.745089831693</v>
      </c>
      <c r="H15" s="386">
        <v>669.4243027199999</v>
      </c>
      <c r="I15" s="386">
        <v>22380.778782629546</v>
      </c>
      <c r="J15" s="469">
        <v>0</v>
      </c>
    </row>
    <row r="16" spans="1:27" s="117" customFormat="1" ht="15" customHeight="1" x14ac:dyDescent="0.25">
      <c r="A16" s="465">
        <v>2010</v>
      </c>
      <c r="B16" s="386">
        <v>249986.53510458063</v>
      </c>
      <c r="C16" s="386">
        <v>149947.7256436974</v>
      </c>
      <c r="D16" s="386">
        <v>41673.556453453479</v>
      </c>
      <c r="E16" s="386">
        <v>7108.0659380182369</v>
      </c>
      <c r="F16" s="469">
        <v>10993.479357352924</v>
      </c>
      <c r="G16" s="469">
        <v>14090.88504873009</v>
      </c>
      <c r="H16" s="386">
        <v>996.13781811000013</v>
      </c>
      <c r="I16" s="386">
        <v>25176.684845218537</v>
      </c>
      <c r="J16" s="469">
        <v>0</v>
      </c>
    </row>
    <row r="17" spans="1:10" s="117" customFormat="1" ht="15" customHeight="1" x14ac:dyDescent="0.25">
      <c r="A17" s="465">
        <v>2011</v>
      </c>
      <c r="B17" s="386">
        <v>272309.28286909725</v>
      </c>
      <c r="C17" s="386">
        <v>158982.72262817511</v>
      </c>
      <c r="D17" s="386">
        <v>28175.483478436465</v>
      </c>
      <c r="E17" s="386">
        <v>21645.380091789964</v>
      </c>
      <c r="F17" s="469">
        <v>12513.189208639114</v>
      </c>
      <c r="G17" s="469">
        <v>17034.422972515535</v>
      </c>
      <c r="H17" s="386">
        <v>6223.5540643499999</v>
      </c>
      <c r="I17" s="386">
        <v>27734.530425191053</v>
      </c>
      <c r="J17" s="469">
        <v>0</v>
      </c>
    </row>
    <row r="18" spans="1:10" s="117" customFormat="1" ht="15" customHeight="1" x14ac:dyDescent="0.25">
      <c r="A18" s="466">
        <v>2012</v>
      </c>
      <c r="B18" s="386">
        <v>290730.32083783607</v>
      </c>
      <c r="C18" s="386">
        <v>165139.53982285963</v>
      </c>
      <c r="D18" s="386">
        <v>8179.3187262506235</v>
      </c>
      <c r="E18" s="386">
        <v>43690.653762761474</v>
      </c>
      <c r="F18" s="469">
        <v>15378.710785503294</v>
      </c>
      <c r="G18" s="469">
        <v>20936.316471078782</v>
      </c>
      <c r="H18" s="386">
        <v>8656.369958610001</v>
      </c>
      <c r="I18" s="386">
        <v>28749.411310772241</v>
      </c>
      <c r="J18" s="469">
        <v>0</v>
      </c>
    </row>
    <row r="19" spans="1:10" s="117" customFormat="1" ht="15" customHeight="1" x14ac:dyDescent="0.25">
      <c r="A19" s="466">
        <v>2013</v>
      </c>
      <c r="B19" s="386">
        <v>313051.10470879823</v>
      </c>
      <c r="C19" s="386">
        <v>176310.4731422828</v>
      </c>
      <c r="D19" s="386">
        <v>8341.4563677002698</v>
      </c>
      <c r="E19" s="386">
        <v>45914.566328868459</v>
      </c>
      <c r="F19" s="469">
        <v>17070.073763838565</v>
      </c>
      <c r="G19" s="469">
        <v>24458.200680390924</v>
      </c>
      <c r="H19" s="386">
        <v>9567.5991795000009</v>
      </c>
      <c r="I19" s="386">
        <v>31388.73524621714</v>
      </c>
      <c r="J19" s="469">
        <v>0</v>
      </c>
    </row>
    <row r="20" spans="1:10" s="117" customFormat="1" ht="15" customHeight="1" x14ac:dyDescent="0.25">
      <c r="A20" s="466">
        <v>2014</v>
      </c>
      <c r="B20" s="386">
        <v>316644.37552865501</v>
      </c>
      <c r="C20" s="386">
        <v>172737.76851292606</v>
      </c>
      <c r="D20" s="386">
        <v>8808.6680395091935</v>
      </c>
      <c r="E20" s="386">
        <v>48771.56439176928</v>
      </c>
      <c r="F20" s="469">
        <v>19157.922604453441</v>
      </c>
      <c r="G20" s="469">
        <v>26625.634978635895</v>
      </c>
      <c r="H20" s="386">
        <v>5686.4148949800001</v>
      </c>
      <c r="I20" s="386">
        <v>34856.40210638116</v>
      </c>
      <c r="J20" s="469">
        <v>0</v>
      </c>
    </row>
    <row r="21" spans="1:10" s="117" customFormat="1" ht="15" customHeight="1" x14ac:dyDescent="0.25">
      <c r="A21" s="466">
        <v>2015</v>
      </c>
      <c r="B21" s="386">
        <v>339782.30662043713</v>
      </c>
      <c r="C21" s="386">
        <v>186005.45035382052</v>
      </c>
      <c r="D21" s="386">
        <v>8988.7150821857958</v>
      </c>
      <c r="E21" s="386">
        <v>54062.677273114343</v>
      </c>
      <c r="F21" s="469">
        <v>21075.212965364884</v>
      </c>
      <c r="G21" s="469">
        <v>27152.807899836364</v>
      </c>
      <c r="H21" s="386">
        <v>5950.3698819900001</v>
      </c>
      <c r="I21" s="386">
        <v>36547.073164125279</v>
      </c>
      <c r="J21" s="469">
        <v>0</v>
      </c>
    </row>
    <row r="22" spans="1:10" s="117" customFormat="1" ht="15" customHeight="1" x14ac:dyDescent="0.25">
      <c r="A22" s="466">
        <v>2016</v>
      </c>
      <c r="B22" s="386">
        <v>365574.70583185757</v>
      </c>
      <c r="C22" s="386">
        <v>193501.05183677864</v>
      </c>
      <c r="D22" s="386">
        <v>10406.930357912304</v>
      </c>
      <c r="E22" s="386">
        <v>62306.523892896497</v>
      </c>
      <c r="F22" s="469">
        <v>22801.154913935086</v>
      </c>
      <c r="G22" s="469">
        <v>27482.661816004562</v>
      </c>
      <c r="H22" s="386">
        <v>7729.7587454699997</v>
      </c>
      <c r="I22" s="386">
        <v>41346.624268860447</v>
      </c>
      <c r="J22" s="469">
        <v>0</v>
      </c>
    </row>
    <row r="23" spans="1:10" s="117" customFormat="1" ht="15" customHeight="1" x14ac:dyDescent="0.25">
      <c r="A23" s="466">
        <v>2017</v>
      </c>
      <c r="B23" s="386">
        <v>394743.59439262637</v>
      </c>
      <c r="C23" s="386">
        <v>191387.01251241827</v>
      </c>
      <c r="D23" s="386">
        <v>12437.916992694953</v>
      </c>
      <c r="E23" s="386">
        <v>73195.509367018996</v>
      </c>
      <c r="F23" s="469">
        <v>23518.091657602898</v>
      </c>
      <c r="G23" s="469">
        <v>29464.019440555785</v>
      </c>
      <c r="H23" s="386">
        <v>1496.9078705099221</v>
      </c>
      <c r="I23" s="386">
        <v>14488.552984301215</v>
      </c>
      <c r="J23" s="386">
        <v>48755.583567524329</v>
      </c>
    </row>
    <row r="24" spans="1:10" s="117" customFormat="1" ht="15" customHeight="1" x14ac:dyDescent="0.25">
      <c r="A24" s="466">
        <v>2018</v>
      </c>
      <c r="B24" s="386">
        <v>409818.62773192883</v>
      </c>
      <c r="C24" s="386">
        <v>197863.82851922791</v>
      </c>
      <c r="D24" s="386">
        <v>13254.200929816399</v>
      </c>
      <c r="E24" s="386">
        <v>76652.898848788303</v>
      </c>
      <c r="F24" s="469">
        <v>25276.716493769374</v>
      </c>
      <c r="G24" s="469">
        <v>29977.564699664999</v>
      </c>
      <c r="H24" s="386">
        <v>1239.1209007631201</v>
      </c>
      <c r="I24" s="386">
        <v>15318.879025339842</v>
      </c>
      <c r="J24" s="386">
        <v>50235.41831455889</v>
      </c>
    </row>
    <row r="25" spans="1:10" s="117" customFormat="1" ht="15" customHeight="1" x14ac:dyDescent="0.25">
      <c r="A25" s="466">
        <v>2019</v>
      </c>
      <c r="B25" s="386">
        <v>426122.15435503912</v>
      </c>
      <c r="C25" s="386">
        <v>205154.58623838943</v>
      </c>
      <c r="D25" s="386">
        <v>13901.861963961534</v>
      </c>
      <c r="E25" s="386">
        <v>78325.170726250435</v>
      </c>
      <c r="F25" s="469">
        <v>32483.076793386983</v>
      </c>
      <c r="G25" s="469">
        <v>30594.841303046102</v>
      </c>
      <c r="H25" s="386">
        <v>754.68186551615986</v>
      </c>
      <c r="I25" s="386">
        <v>16130.279185810217</v>
      </c>
      <c r="J25" s="386">
        <v>48777.656278678245</v>
      </c>
    </row>
    <row r="26" spans="1:10" s="117" customFormat="1" ht="15" customHeight="1" x14ac:dyDescent="0.25">
      <c r="A26" s="470">
        <v>2020</v>
      </c>
      <c r="B26" s="471">
        <v>316462.66079044348</v>
      </c>
      <c r="C26" s="384">
        <v>169752.87432457763</v>
      </c>
      <c r="D26" s="384">
        <v>12658.654453070727</v>
      </c>
      <c r="E26" s="384">
        <v>61127.562549521965</v>
      </c>
      <c r="F26" s="472">
        <v>24434.045581998118</v>
      </c>
      <c r="G26" s="472">
        <v>20521.535901195977</v>
      </c>
      <c r="H26" s="384">
        <v>597.06967370877396</v>
      </c>
      <c r="I26" s="384">
        <v>6183.5482724191679</v>
      </c>
      <c r="J26" s="384">
        <v>21187.370033951182</v>
      </c>
    </row>
    <row r="27" spans="1:10" s="117" customFormat="1" ht="12" customHeight="1" x14ac:dyDescent="0.25">
      <c r="A27" s="699" t="s">
        <v>386</v>
      </c>
      <c r="B27" s="700"/>
      <c r="C27" s="700"/>
      <c r="D27" s="700"/>
      <c r="E27" s="700"/>
      <c r="F27" s="700"/>
      <c r="G27" s="700"/>
      <c r="H27" s="700"/>
      <c r="I27" s="700"/>
      <c r="J27" s="700"/>
    </row>
    <row r="28" spans="1:10" s="117" customFormat="1" ht="12" customHeight="1" x14ac:dyDescent="0.25">
      <c r="A28" s="111" t="s">
        <v>372</v>
      </c>
      <c r="B28" s="121"/>
      <c r="C28" s="121"/>
      <c r="D28" s="121"/>
      <c r="E28" s="121"/>
      <c r="F28" s="121"/>
      <c r="G28" s="121"/>
      <c r="H28" s="121"/>
    </row>
    <row r="29" spans="1:10" ht="12.75" customHeight="1" x14ac:dyDescent="0.3">
      <c r="B29" s="34"/>
      <c r="C29" s="34"/>
      <c r="D29" s="34"/>
      <c r="E29" s="34"/>
      <c r="F29" s="34"/>
      <c r="G29" s="34"/>
      <c r="H29" s="34"/>
      <c r="I29" s="34"/>
      <c r="J29" s="34"/>
    </row>
    <row r="30" spans="1:10" ht="12.75" customHeight="1" x14ac:dyDescent="0.3">
      <c r="B30" s="34"/>
      <c r="C30" s="34"/>
      <c r="D30" s="34"/>
      <c r="E30" s="34"/>
      <c r="F30" s="34"/>
      <c r="G30" s="34"/>
      <c r="H30" s="34"/>
      <c r="I30" s="34"/>
      <c r="J30" s="34"/>
    </row>
    <row r="31" spans="1:10" ht="12.75" customHeight="1" x14ac:dyDescent="0.3">
      <c r="B31" s="34"/>
      <c r="C31" s="34"/>
      <c r="D31" s="34"/>
      <c r="E31" s="34"/>
      <c r="F31" s="34"/>
      <c r="G31" s="34"/>
      <c r="H31" s="34"/>
      <c r="I31" s="34"/>
      <c r="J31" s="34"/>
    </row>
    <row r="32" spans="1:10" ht="12.75" customHeight="1" x14ac:dyDescent="0.3">
      <c r="B32" s="34"/>
      <c r="C32" s="34"/>
      <c r="D32" s="34"/>
      <c r="E32" s="34"/>
      <c r="F32" s="34"/>
      <c r="G32" s="34"/>
      <c r="H32" s="34"/>
      <c r="I32" s="34"/>
      <c r="J32" s="34"/>
    </row>
    <row r="33" spans="2:10" ht="12.75" customHeight="1" x14ac:dyDescent="0.3">
      <c r="B33" s="34"/>
      <c r="C33" s="34"/>
      <c r="D33" s="34"/>
      <c r="E33" s="34"/>
      <c r="F33" s="34"/>
      <c r="G33" s="34"/>
      <c r="H33" s="34"/>
      <c r="I33" s="34"/>
      <c r="J33" s="34"/>
    </row>
    <row r="34" spans="2:10" ht="12.75" customHeight="1" x14ac:dyDescent="0.3">
      <c r="B34" s="34"/>
      <c r="C34" s="34"/>
      <c r="D34" s="34"/>
      <c r="E34" s="34"/>
      <c r="F34" s="34"/>
      <c r="G34" s="34"/>
      <c r="H34" s="34"/>
      <c r="I34" s="34"/>
      <c r="J34" s="34"/>
    </row>
    <row r="35" spans="2:10" ht="12.75" customHeight="1" x14ac:dyDescent="0.3">
      <c r="B35" s="34"/>
      <c r="C35" s="34"/>
      <c r="D35" s="34"/>
      <c r="E35" s="34"/>
      <c r="F35" s="34"/>
      <c r="G35" s="34"/>
      <c r="H35" s="34"/>
      <c r="I35" s="34"/>
      <c r="J35" s="34"/>
    </row>
    <row r="36" spans="2:10" ht="12.75" customHeight="1" x14ac:dyDescent="0.3">
      <c r="B36" s="34"/>
      <c r="C36" s="34"/>
      <c r="D36" s="34"/>
      <c r="E36" s="34"/>
      <c r="F36" s="34"/>
      <c r="G36" s="34"/>
      <c r="H36" s="34"/>
      <c r="I36" s="34"/>
      <c r="J36" s="34"/>
    </row>
    <row r="37" spans="2:10" ht="12.75" customHeight="1" x14ac:dyDescent="0.3">
      <c r="B37" s="34"/>
      <c r="C37" s="34"/>
      <c r="D37" s="34"/>
      <c r="E37" s="34"/>
      <c r="F37" s="34"/>
      <c r="G37" s="34"/>
      <c r="H37" s="34"/>
      <c r="I37" s="34"/>
      <c r="J37" s="34"/>
    </row>
  </sheetData>
  <mergeCells count="3">
    <mergeCell ref="A1:J1"/>
    <mergeCell ref="A2:J2"/>
    <mergeCell ref="A27:J27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U41"/>
  <sheetViews>
    <sheetView showGridLines="0" zoomScale="80" zoomScaleNormal="80" zoomScaleSheetLayoutView="160" workbookViewId="0">
      <selection activeCell="A19" sqref="A19:U34"/>
    </sheetView>
  </sheetViews>
  <sheetFormatPr baseColWidth="10" defaultColWidth="9.140625" defaultRowHeight="12.75" customHeight="1" x14ac:dyDescent="0.3"/>
  <cols>
    <col min="1" max="1" width="20.28515625" style="31" customWidth="1"/>
    <col min="2" max="11" width="7.5703125" style="32" customWidth="1"/>
    <col min="12" max="21" width="7.5703125" style="31" customWidth="1"/>
    <col min="22" max="16384" width="9.140625" style="31"/>
  </cols>
  <sheetData>
    <row r="1" spans="1:21" s="474" customFormat="1" ht="12.75" customHeight="1" x14ac:dyDescent="0.3">
      <c r="A1" s="703" t="s">
        <v>445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</row>
    <row r="2" spans="1:21" s="474" customFormat="1" ht="12.75" customHeight="1" x14ac:dyDescent="0.3">
      <c r="A2" s="679" t="s">
        <v>188</v>
      </c>
      <c r="B2" s="679"/>
      <c r="C2" s="679"/>
      <c r="D2" s="679"/>
      <c r="E2" s="679"/>
      <c r="F2" s="679"/>
      <c r="G2" s="679"/>
      <c r="H2" s="679"/>
      <c r="I2" s="679"/>
      <c r="J2" s="679"/>
      <c r="K2" s="679"/>
      <c r="L2" s="679"/>
      <c r="M2" s="679"/>
      <c r="N2" s="679"/>
      <c r="O2" s="679"/>
      <c r="P2" s="679"/>
      <c r="Q2" s="679"/>
      <c r="R2" s="679"/>
      <c r="S2" s="679"/>
      <c r="T2" s="679"/>
      <c r="U2" s="679"/>
    </row>
    <row r="3" spans="1:21" ht="12.75" customHeight="1" x14ac:dyDescent="0.3">
      <c r="A3" s="184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4"/>
      <c r="M3" s="184"/>
      <c r="N3" s="184"/>
      <c r="O3" s="184"/>
      <c r="P3" s="184"/>
      <c r="Q3" s="184"/>
      <c r="R3" s="184"/>
      <c r="S3" s="184"/>
      <c r="T3" s="184"/>
      <c r="U3" s="184"/>
    </row>
    <row r="4" spans="1:21" s="184" customFormat="1" ht="27.95" customHeight="1" x14ac:dyDescent="0.25">
      <c r="A4" s="463" t="s">
        <v>352</v>
      </c>
      <c r="B4" s="462">
        <v>2001</v>
      </c>
      <c r="C4" s="462">
        <v>2002</v>
      </c>
      <c r="D4" s="462">
        <v>2003</v>
      </c>
      <c r="E4" s="462">
        <v>2004</v>
      </c>
      <c r="F4" s="462">
        <v>2005</v>
      </c>
      <c r="G4" s="462">
        <v>2006</v>
      </c>
      <c r="H4" s="462">
        <v>2007</v>
      </c>
      <c r="I4" s="462">
        <v>2008</v>
      </c>
      <c r="J4" s="462">
        <v>2009</v>
      </c>
      <c r="K4" s="462">
        <v>2010</v>
      </c>
      <c r="L4" s="462">
        <v>2011</v>
      </c>
      <c r="M4" s="462">
        <v>2012</v>
      </c>
      <c r="N4" s="462">
        <v>2013</v>
      </c>
      <c r="O4" s="462">
        <v>2014</v>
      </c>
      <c r="P4" s="462">
        <v>2015</v>
      </c>
      <c r="Q4" s="462">
        <v>2016</v>
      </c>
      <c r="R4" s="462">
        <v>2017</v>
      </c>
      <c r="S4" s="462">
        <v>2018</v>
      </c>
      <c r="T4" s="462">
        <v>2019</v>
      </c>
      <c r="U4" s="462">
        <v>2020</v>
      </c>
    </row>
    <row r="5" spans="1:21" s="251" customFormat="1" ht="15.95" customHeight="1" x14ac:dyDescent="0.25">
      <c r="A5" s="475" t="s">
        <v>353</v>
      </c>
      <c r="B5" s="480">
        <v>152079.77871330915</v>
      </c>
      <c r="C5" s="480">
        <v>155523.686538968</v>
      </c>
      <c r="D5" s="480">
        <v>145578.04131290244</v>
      </c>
      <c r="E5" s="480">
        <v>149326.85039113759</v>
      </c>
      <c r="F5" s="480">
        <v>141846.81478701677</v>
      </c>
      <c r="G5" s="480">
        <v>133367.04314390355</v>
      </c>
      <c r="H5" s="480">
        <v>136264.31521912012</v>
      </c>
      <c r="I5" s="480">
        <v>126061.42188108405</v>
      </c>
      <c r="J5" s="480">
        <v>142059.96341461228</v>
      </c>
      <c r="K5" s="480">
        <v>135260.29032822725</v>
      </c>
      <c r="L5" s="480">
        <v>128143.9745539501</v>
      </c>
      <c r="M5" s="480">
        <v>132406.87127028781</v>
      </c>
      <c r="N5" s="480">
        <v>128005.57579012131</v>
      </c>
      <c r="O5" s="480">
        <v>125587.38618194981</v>
      </c>
      <c r="P5" s="480">
        <v>125732.56425266147</v>
      </c>
      <c r="Q5" s="480">
        <v>126036.9343952702</v>
      </c>
      <c r="R5" s="480">
        <v>125008.79887902798</v>
      </c>
      <c r="S5" s="480">
        <v>128368.49305596264</v>
      </c>
      <c r="T5" s="480">
        <v>129663.24413446072</v>
      </c>
      <c r="U5" s="480">
        <v>137942.80920501438</v>
      </c>
    </row>
    <row r="6" spans="1:21" s="184" customFormat="1" ht="15.95" customHeight="1" x14ac:dyDescent="0.3">
      <c r="A6" s="476" t="s">
        <v>173</v>
      </c>
      <c r="B6" s="386">
        <v>92799.982432824952</v>
      </c>
      <c r="C6" s="386">
        <v>90986.07145033362</v>
      </c>
      <c r="D6" s="386">
        <v>90806.828158921708</v>
      </c>
      <c r="E6" s="386">
        <v>110715.4415567197</v>
      </c>
      <c r="F6" s="481">
        <v>104394.32994890401</v>
      </c>
      <c r="G6" s="386">
        <v>99410.291782317916</v>
      </c>
      <c r="H6" s="386">
        <v>100443.17094806299</v>
      </c>
      <c r="I6" s="386">
        <v>89169.398507189719</v>
      </c>
      <c r="J6" s="386">
        <v>101943.55043453827</v>
      </c>
      <c r="K6" s="386">
        <v>95106.699809419631</v>
      </c>
      <c r="L6" s="386">
        <v>87402.306463218556</v>
      </c>
      <c r="M6" s="481">
        <v>89518.618273779168</v>
      </c>
      <c r="N6" s="482">
        <v>83538.189720143811</v>
      </c>
      <c r="O6" s="481">
        <v>80424.290061856824</v>
      </c>
      <c r="P6" s="481">
        <v>79173.30938513462</v>
      </c>
      <c r="Q6" s="481">
        <v>77595.380298279182</v>
      </c>
      <c r="R6" s="481">
        <v>74615.117252891956</v>
      </c>
      <c r="S6" s="481">
        <v>76514.967054103763</v>
      </c>
      <c r="T6" s="481">
        <v>78069.227297474572</v>
      </c>
      <c r="U6" s="481">
        <v>83128.128711223995</v>
      </c>
    </row>
    <row r="7" spans="1:21" s="184" customFormat="1" ht="15.95" customHeight="1" x14ac:dyDescent="0.3">
      <c r="A7" s="476" t="s">
        <v>199</v>
      </c>
      <c r="B7" s="386">
        <v>12422.35090170958</v>
      </c>
      <c r="C7" s="386">
        <v>11668.911617763857</v>
      </c>
      <c r="D7" s="386">
        <v>11093.26231762423</v>
      </c>
      <c r="E7" s="386">
        <v>5464.4303698593376</v>
      </c>
      <c r="F7" s="481">
        <v>6107.2397333949048</v>
      </c>
      <c r="G7" s="386">
        <v>6135.7298012526862</v>
      </c>
      <c r="H7" s="386">
        <v>6345.5821347230631</v>
      </c>
      <c r="I7" s="386">
        <v>6483.7152744493969</v>
      </c>
      <c r="J7" s="386">
        <v>7457.4970820385661</v>
      </c>
      <c r="K7" s="386">
        <v>7077.5063808049035</v>
      </c>
      <c r="L7" s="386">
        <v>6646.9344930460675</v>
      </c>
      <c r="M7" s="481">
        <v>6830.0956047472164</v>
      </c>
      <c r="N7" s="482">
        <v>6406.4</v>
      </c>
      <c r="O7" s="481">
        <v>5941.3924661459223</v>
      </c>
      <c r="P7" s="481">
        <v>5752.4875905052277</v>
      </c>
      <c r="Q7" s="481">
        <v>5519.0989218121349</v>
      </c>
      <c r="R7" s="481">
        <v>5689.9157825223429</v>
      </c>
      <c r="S7" s="481">
        <v>4637.3220187119814</v>
      </c>
      <c r="T7" s="481">
        <v>4373.5570831646783</v>
      </c>
      <c r="U7" s="481">
        <v>4654.2817604455213</v>
      </c>
    </row>
    <row r="8" spans="1:21" s="184" customFormat="1" ht="15.95" customHeight="1" x14ac:dyDescent="0.3">
      <c r="A8" s="476" t="s">
        <v>178</v>
      </c>
      <c r="B8" s="386">
        <v>3400.2749665846131</v>
      </c>
      <c r="C8" s="386">
        <v>3199.7783758533565</v>
      </c>
      <c r="D8" s="386">
        <v>3089.2252008071973</v>
      </c>
      <c r="E8" s="386">
        <v>1387.8191770888129</v>
      </c>
      <c r="F8" s="481">
        <v>2053.5312176059119</v>
      </c>
      <c r="G8" s="386">
        <v>2415.7664429211391</v>
      </c>
      <c r="H8" s="386">
        <v>3335.8367448385225</v>
      </c>
      <c r="I8" s="386">
        <v>3409.9280118807806</v>
      </c>
      <c r="J8" s="386">
        <v>4277.578821870914</v>
      </c>
      <c r="K8" s="386">
        <v>4351.4378011736389</v>
      </c>
      <c r="L8" s="386">
        <v>4206.9065992554215</v>
      </c>
      <c r="M8" s="481">
        <v>3743.5410005437302</v>
      </c>
      <c r="N8" s="482">
        <v>3988.8</v>
      </c>
      <c r="O8" s="481">
        <v>3757.7460023984704</v>
      </c>
      <c r="P8" s="481">
        <v>3331.5752493333684</v>
      </c>
      <c r="Q8" s="481">
        <v>3227.2552916751292</v>
      </c>
      <c r="R8" s="481">
        <v>2813.6646969807462</v>
      </c>
      <c r="S8" s="481">
        <v>2693.5435540696694</v>
      </c>
      <c r="T8" s="481">
        <v>2668.0965468982758</v>
      </c>
      <c r="U8" s="481">
        <v>3318.9404100924821</v>
      </c>
    </row>
    <row r="9" spans="1:21" s="184" customFormat="1" ht="15.95" customHeight="1" x14ac:dyDescent="0.3">
      <c r="A9" s="476" t="s">
        <v>354</v>
      </c>
      <c r="B9" s="386">
        <v>15795.019452086322</v>
      </c>
      <c r="C9" s="386">
        <v>17376.995459994854</v>
      </c>
      <c r="D9" s="386">
        <v>18913.796236082828</v>
      </c>
      <c r="E9" s="386">
        <v>19007.995658955435</v>
      </c>
      <c r="F9" s="481">
        <v>20987.700470362073</v>
      </c>
      <c r="G9" s="386">
        <v>22086.682817490149</v>
      </c>
      <c r="H9" s="386">
        <v>23828.436010097434</v>
      </c>
      <c r="I9" s="386">
        <v>25218.517126568713</v>
      </c>
      <c r="J9" s="386">
        <v>26878.425788421129</v>
      </c>
      <c r="K9" s="386">
        <v>27894.899064654153</v>
      </c>
      <c r="L9" s="386">
        <v>29464.187923977344</v>
      </c>
      <c r="M9" s="481">
        <v>31593.995046208773</v>
      </c>
      <c r="N9" s="482">
        <v>33016.953269550097</v>
      </c>
      <c r="O9" s="481">
        <v>33691.424563132947</v>
      </c>
      <c r="P9" s="481">
        <v>34983.316196369291</v>
      </c>
      <c r="Q9" s="481">
        <v>36498.091954373704</v>
      </c>
      <c r="R9" s="481">
        <v>37959.08505443616</v>
      </c>
      <c r="S9" s="481">
        <v>39508.441018896396</v>
      </c>
      <c r="T9" s="481">
        <v>38035.818201347873</v>
      </c>
      <c r="U9" s="481">
        <v>38575.663053947959</v>
      </c>
    </row>
    <row r="10" spans="1:21" s="184" customFormat="1" ht="15.95" customHeight="1" x14ac:dyDescent="0.3">
      <c r="A10" s="476" t="s">
        <v>463</v>
      </c>
      <c r="B10" s="386">
        <v>27657.340184581633</v>
      </c>
      <c r="C10" s="386">
        <v>32288.236260002297</v>
      </c>
      <c r="D10" s="386">
        <v>21671.268081018243</v>
      </c>
      <c r="E10" s="386">
        <v>12747.391256942405</v>
      </c>
      <c r="F10" s="481">
        <v>8297.252265675641</v>
      </c>
      <c r="G10" s="386">
        <v>3285.2600044971696</v>
      </c>
      <c r="H10" s="386">
        <v>2244.4004615776175</v>
      </c>
      <c r="I10" s="386">
        <v>1677.526161550519</v>
      </c>
      <c r="J10" s="386">
        <v>1356.1802341658042</v>
      </c>
      <c r="K10" s="386">
        <v>577.92056628094804</v>
      </c>
      <c r="L10" s="483" t="s">
        <v>31</v>
      </c>
      <c r="M10" s="483" t="s">
        <v>31</v>
      </c>
      <c r="N10" s="483" t="s">
        <v>31</v>
      </c>
      <c r="O10" s="483" t="s">
        <v>31</v>
      </c>
      <c r="P10" s="483" t="s">
        <v>31</v>
      </c>
      <c r="Q10" s="483" t="s">
        <v>31</v>
      </c>
      <c r="R10" s="483" t="s">
        <v>31</v>
      </c>
      <c r="S10" s="483" t="s">
        <v>31</v>
      </c>
      <c r="T10" s="483" t="s">
        <v>31</v>
      </c>
      <c r="U10" s="483" t="s">
        <v>31</v>
      </c>
    </row>
    <row r="11" spans="1:21" s="184" customFormat="1" ht="15.95" customHeight="1" x14ac:dyDescent="0.3">
      <c r="A11" s="477" t="s">
        <v>195</v>
      </c>
      <c r="B11" s="384">
        <v>4.8107755220369128</v>
      </c>
      <c r="C11" s="384">
        <v>3.6933750200121565</v>
      </c>
      <c r="D11" s="384">
        <v>3.6613184482327576</v>
      </c>
      <c r="E11" s="384">
        <v>3.7723715718971031</v>
      </c>
      <c r="F11" s="478">
        <v>6.7611510742497636</v>
      </c>
      <c r="G11" s="384">
        <v>33.312295424492973</v>
      </c>
      <c r="H11" s="384">
        <v>66.888919820498515</v>
      </c>
      <c r="I11" s="384">
        <v>102.33679944494227</v>
      </c>
      <c r="J11" s="384">
        <v>146.73105357758399</v>
      </c>
      <c r="K11" s="384">
        <v>251.82670589397833</v>
      </c>
      <c r="L11" s="384">
        <v>423.63907445272275</v>
      </c>
      <c r="M11" s="478">
        <v>720.62134500893615</v>
      </c>
      <c r="N11" s="479">
        <v>1055.2328004274002</v>
      </c>
      <c r="O11" s="478">
        <v>1772.5330884156551</v>
      </c>
      <c r="P11" s="478">
        <v>2491.8758313189496</v>
      </c>
      <c r="Q11" s="478">
        <v>3197.1079291300371</v>
      </c>
      <c r="R11" s="478">
        <v>3931.0160921967727</v>
      </c>
      <c r="S11" s="478">
        <v>5014.2194101808263</v>
      </c>
      <c r="T11" s="478">
        <v>6516.545005575319</v>
      </c>
      <c r="U11" s="478">
        <v>8265.7952693044117</v>
      </c>
    </row>
    <row r="12" spans="1:21" s="124" customFormat="1" ht="12" customHeight="1" x14ac:dyDescent="0.25">
      <c r="A12" s="701" t="s">
        <v>381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</row>
    <row r="13" spans="1:21" s="122" customFormat="1" ht="12" customHeight="1" x14ac:dyDescent="0.25">
      <c r="A13" s="118" t="s">
        <v>387</v>
      </c>
      <c r="D13" s="123"/>
      <c r="E13" s="123"/>
      <c r="F13" s="123"/>
      <c r="G13" s="123"/>
      <c r="H13" s="123"/>
      <c r="I13" s="123"/>
      <c r="J13" s="123"/>
      <c r="K13" s="123"/>
    </row>
    <row r="14" spans="1:21" s="122" customFormat="1" ht="12" customHeight="1" x14ac:dyDescent="0.25">
      <c r="A14" s="125" t="s">
        <v>372</v>
      </c>
    </row>
    <row r="15" spans="1:21" ht="12.75" customHeight="1" x14ac:dyDescent="0.3">
      <c r="A15" s="184"/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4"/>
      <c r="M15" s="184"/>
      <c r="N15" s="184"/>
      <c r="O15" s="184"/>
      <c r="P15" s="184"/>
      <c r="Q15" s="184"/>
      <c r="R15" s="184"/>
      <c r="S15" s="184"/>
      <c r="T15" s="184"/>
      <c r="U15" s="184"/>
    </row>
    <row r="16" spans="1:21" s="474" customFormat="1" ht="12.75" customHeight="1" x14ac:dyDescent="0.3">
      <c r="A16" s="703" t="s">
        <v>446</v>
      </c>
      <c r="B16" s="703"/>
      <c r="C16" s="703"/>
      <c r="D16" s="703"/>
      <c r="E16" s="703"/>
      <c r="F16" s="703"/>
      <c r="G16" s="703"/>
      <c r="H16" s="703"/>
      <c r="I16" s="703"/>
      <c r="J16" s="703"/>
      <c r="K16" s="703"/>
      <c r="L16" s="703"/>
      <c r="M16" s="703"/>
      <c r="N16" s="703"/>
      <c r="O16" s="703"/>
      <c r="P16" s="703"/>
      <c r="Q16" s="703"/>
      <c r="R16" s="703"/>
      <c r="S16" s="703"/>
      <c r="T16" s="703"/>
      <c r="U16" s="703"/>
    </row>
    <row r="17" spans="1:21" s="474" customFormat="1" ht="12.75" customHeight="1" x14ac:dyDescent="0.3">
      <c r="A17" s="679" t="s">
        <v>188</v>
      </c>
      <c r="B17" s="679"/>
      <c r="C17" s="679"/>
      <c r="D17" s="679"/>
      <c r="E17" s="679"/>
      <c r="F17" s="679"/>
      <c r="G17" s="679"/>
      <c r="H17" s="679"/>
      <c r="I17" s="679"/>
      <c r="J17" s="679"/>
      <c r="K17" s="679"/>
      <c r="L17" s="679"/>
      <c r="M17" s="679"/>
      <c r="N17" s="679"/>
      <c r="O17" s="679"/>
      <c r="P17" s="679"/>
      <c r="Q17" s="679"/>
      <c r="R17" s="679"/>
      <c r="S17" s="679"/>
      <c r="T17" s="679"/>
      <c r="U17" s="679"/>
    </row>
    <row r="18" spans="1:21" ht="3" customHeight="1" x14ac:dyDescent="0.3">
      <c r="A18" s="184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4"/>
      <c r="M18" s="184"/>
      <c r="N18" s="184"/>
      <c r="O18" s="184"/>
      <c r="P18" s="184"/>
      <c r="Q18" s="184"/>
      <c r="R18" s="184"/>
      <c r="S18" s="184"/>
      <c r="T18" s="184"/>
      <c r="U18" s="184"/>
    </row>
    <row r="19" spans="1:21" s="184" customFormat="1" ht="27.95" customHeight="1" x14ac:dyDescent="0.25">
      <c r="A19" s="463" t="s">
        <v>352</v>
      </c>
      <c r="B19" s="462">
        <v>2001</v>
      </c>
      <c r="C19" s="462">
        <v>2002</v>
      </c>
      <c r="D19" s="462">
        <v>2003</v>
      </c>
      <c r="E19" s="462">
        <v>2004</v>
      </c>
      <c r="F19" s="462">
        <v>2005</v>
      </c>
      <c r="G19" s="462">
        <v>2006</v>
      </c>
      <c r="H19" s="462">
        <v>2007</v>
      </c>
      <c r="I19" s="462">
        <v>2008</v>
      </c>
      <c r="J19" s="462">
        <v>2009</v>
      </c>
      <c r="K19" s="462">
        <v>2010</v>
      </c>
      <c r="L19" s="462">
        <v>2011</v>
      </c>
      <c r="M19" s="462">
        <v>2012</v>
      </c>
      <c r="N19" s="462">
        <v>2013</v>
      </c>
      <c r="O19" s="462">
        <v>2014</v>
      </c>
      <c r="P19" s="462">
        <v>2015</v>
      </c>
      <c r="Q19" s="462">
        <v>2016</v>
      </c>
      <c r="R19" s="462">
        <v>2017</v>
      </c>
      <c r="S19" s="462">
        <v>2018</v>
      </c>
      <c r="T19" s="462">
        <v>2019</v>
      </c>
      <c r="U19" s="462">
        <v>2020</v>
      </c>
    </row>
    <row r="20" spans="1:21" s="485" customFormat="1" ht="15.95" customHeight="1" x14ac:dyDescent="0.3">
      <c r="A20" s="484" t="s">
        <v>353</v>
      </c>
      <c r="B20" s="491">
        <v>7319.3373081569389</v>
      </c>
      <c r="C20" s="491">
        <v>7572.0895703207079</v>
      </c>
      <c r="D20" s="491">
        <v>7341.88447799797</v>
      </c>
      <c r="E20" s="491">
        <v>7553.6777400985329</v>
      </c>
      <c r="F20" s="491">
        <v>7354.1062218542274</v>
      </c>
      <c r="G20" s="491">
        <v>7487.5985492730588</v>
      </c>
      <c r="H20" s="491">
        <v>7768.5605462317062</v>
      </c>
      <c r="I20" s="491">
        <v>8431.826863774415</v>
      </c>
      <c r="J20" s="491">
        <v>8563.0719126993536</v>
      </c>
      <c r="K20" s="491">
        <v>9416.6442472209983</v>
      </c>
      <c r="L20" s="491">
        <v>9939.0318343465497</v>
      </c>
      <c r="M20" s="491">
        <v>10526.813766652494</v>
      </c>
      <c r="N20" s="491">
        <v>11240.878175911244</v>
      </c>
      <c r="O20" s="491">
        <v>11345.249543593873</v>
      </c>
      <c r="P20" s="491">
        <v>11790.672670918308</v>
      </c>
      <c r="Q20" s="491">
        <v>12164.994535375878</v>
      </c>
      <c r="R20" s="491">
        <v>19783.347341288507</v>
      </c>
      <c r="S20" s="491">
        <v>20553.47558941165</v>
      </c>
      <c r="T20" s="491">
        <v>20636.834740594539</v>
      </c>
      <c r="U20" s="491">
        <v>17560.93175488005</v>
      </c>
    </row>
    <row r="21" spans="1:21" s="485" customFormat="1" ht="15.95" customHeight="1" x14ac:dyDescent="0.3">
      <c r="A21" s="486" t="s">
        <v>179</v>
      </c>
      <c r="B21" s="483" t="s">
        <v>31</v>
      </c>
      <c r="C21" s="483" t="s">
        <v>31</v>
      </c>
      <c r="D21" s="483" t="s">
        <v>31</v>
      </c>
      <c r="E21" s="483" t="s">
        <v>31</v>
      </c>
      <c r="F21" s="483" t="s">
        <v>31</v>
      </c>
      <c r="G21" s="483" t="s">
        <v>31</v>
      </c>
      <c r="H21" s="483" t="s">
        <v>31</v>
      </c>
      <c r="I21" s="483" t="s">
        <v>31</v>
      </c>
      <c r="J21" s="483" t="s">
        <v>31</v>
      </c>
      <c r="K21" s="492">
        <v>8.144398048584554</v>
      </c>
      <c r="L21" s="492">
        <v>8.7395295515593752</v>
      </c>
      <c r="M21" s="492">
        <v>7.8374601474439958</v>
      </c>
      <c r="N21" s="492">
        <v>6.5544831510506008</v>
      </c>
      <c r="O21" s="492">
        <v>6.5544831510506008</v>
      </c>
      <c r="P21" s="492">
        <v>3.7702400776549538</v>
      </c>
      <c r="Q21" s="483" t="s">
        <v>31</v>
      </c>
      <c r="R21" s="483" t="s">
        <v>31</v>
      </c>
      <c r="S21" s="483" t="s">
        <v>31</v>
      </c>
      <c r="T21" s="483" t="s">
        <v>31</v>
      </c>
      <c r="U21" s="483" t="s">
        <v>31</v>
      </c>
    </row>
    <row r="22" spans="1:21" s="485" customFormat="1" ht="15.95" customHeight="1" x14ac:dyDescent="0.3">
      <c r="A22" s="486" t="s">
        <v>173</v>
      </c>
      <c r="B22" s="492">
        <v>1514.6854375755422</v>
      </c>
      <c r="C22" s="492">
        <v>1561.6155207334734</v>
      </c>
      <c r="D22" s="492">
        <v>1636.2048799554991</v>
      </c>
      <c r="E22" s="492">
        <v>1712.154531442972</v>
      </c>
      <c r="F22" s="492">
        <v>1804.4276901158121</v>
      </c>
      <c r="G22" s="492">
        <v>1899.874864074696</v>
      </c>
      <c r="H22" s="492">
        <v>2072.8586971640748</v>
      </c>
      <c r="I22" s="492">
        <v>2286.6512982168715</v>
      </c>
      <c r="J22" s="492">
        <v>2300.7076516264938</v>
      </c>
      <c r="K22" s="492">
        <v>2470.0640386746795</v>
      </c>
      <c r="L22" s="492">
        <v>2743.936214784731</v>
      </c>
      <c r="M22" s="492">
        <v>3040.9333594073864</v>
      </c>
      <c r="N22" s="492">
        <v>3247.2443530002233</v>
      </c>
      <c r="O22" s="492">
        <v>3415.6938785381112</v>
      </c>
      <c r="P22" s="492">
        <v>3528.1447058150861</v>
      </c>
      <c r="Q22" s="492">
        <v>3627.6727565703118</v>
      </c>
      <c r="R22" s="492">
        <v>3674.8295551058172</v>
      </c>
      <c r="S22" s="492">
        <v>3822.7758301915451</v>
      </c>
      <c r="T22" s="492">
        <v>3956.9327387107446</v>
      </c>
      <c r="U22" s="492">
        <v>3643.9246735161259</v>
      </c>
    </row>
    <row r="23" spans="1:21" s="485" customFormat="1" ht="15.95" customHeight="1" x14ac:dyDescent="0.3">
      <c r="A23" s="486" t="s">
        <v>178</v>
      </c>
      <c r="B23" s="492">
        <v>374.53494701141011</v>
      </c>
      <c r="C23" s="492">
        <v>386.13930774054677</v>
      </c>
      <c r="D23" s="492">
        <v>404.5829535370973</v>
      </c>
      <c r="E23" s="492">
        <v>423.36295761565174</v>
      </c>
      <c r="F23" s="492">
        <v>446.17926107825372</v>
      </c>
      <c r="G23" s="492">
        <v>469.78040053219831</v>
      </c>
      <c r="H23" s="492">
        <v>512.55396206036869</v>
      </c>
      <c r="I23" s="492">
        <v>565.41827204865774</v>
      </c>
      <c r="J23" s="492">
        <v>568.89397429603207</v>
      </c>
      <c r="K23" s="492">
        <v>610.77058040552515</v>
      </c>
      <c r="L23" s="492">
        <v>678.4907145156559</v>
      </c>
      <c r="M23" s="492">
        <v>751.92893941985392</v>
      </c>
      <c r="N23" s="492">
        <v>802.9432788571213</v>
      </c>
      <c r="O23" s="492">
        <v>844.59564611194503</v>
      </c>
      <c r="P23" s="492">
        <v>872.40126409093921</v>
      </c>
      <c r="Q23" s="492">
        <v>897.0114783908956</v>
      </c>
      <c r="R23" s="492">
        <v>908.67189883369952</v>
      </c>
      <c r="S23" s="492">
        <v>945.25444523254873</v>
      </c>
      <c r="T23" s="492">
        <v>978.42730698784442</v>
      </c>
      <c r="U23" s="492">
        <v>901.03007571885109</v>
      </c>
    </row>
    <row r="24" spans="1:21" s="485" customFormat="1" ht="15.95" customHeight="1" x14ac:dyDescent="0.3">
      <c r="A24" s="486" t="s">
        <v>354</v>
      </c>
      <c r="B24" s="492">
        <v>1521.7120307518835</v>
      </c>
      <c r="C24" s="492">
        <v>1642.3676173557208</v>
      </c>
      <c r="D24" s="492">
        <v>1669.0635659837112</v>
      </c>
      <c r="E24" s="492">
        <v>1661.0592804671323</v>
      </c>
      <c r="F24" s="492">
        <v>1860.0846243128376</v>
      </c>
      <c r="G24" s="492">
        <v>1995.5798430174102</v>
      </c>
      <c r="H24" s="492">
        <v>2121.0990974929628</v>
      </c>
      <c r="I24" s="492">
        <v>2257.0326435050611</v>
      </c>
      <c r="J24" s="492">
        <v>2397.3089875346086</v>
      </c>
      <c r="K24" s="492">
        <v>2668.4313198868354</v>
      </c>
      <c r="L24" s="492">
        <v>2844.1607398942433</v>
      </c>
      <c r="M24" s="492">
        <v>2994.6327696224466</v>
      </c>
      <c r="N24" s="492">
        <v>3308.598300395247</v>
      </c>
      <c r="O24" s="492">
        <v>3187.6985816315096</v>
      </c>
      <c r="P24" s="492">
        <v>3283.4474513167684</v>
      </c>
      <c r="Q24" s="492">
        <v>3396.1502956637396</v>
      </c>
      <c r="R24" s="492">
        <v>3593.2361769498343</v>
      </c>
      <c r="S24" s="492">
        <v>3756.620011779557</v>
      </c>
      <c r="T24" s="492">
        <v>3645.3658264433084</v>
      </c>
      <c r="U24" s="492">
        <v>3835.1345854043607</v>
      </c>
    </row>
    <row r="25" spans="1:21" s="485" customFormat="1" ht="15.95" customHeight="1" x14ac:dyDescent="0.3">
      <c r="A25" s="487" t="s">
        <v>464</v>
      </c>
      <c r="B25" s="492">
        <v>213.24731534686202</v>
      </c>
      <c r="C25" s="492">
        <v>189.99761302985581</v>
      </c>
      <c r="D25" s="492">
        <v>137.03850803499992</v>
      </c>
      <c r="E25" s="492">
        <v>114.77556730228419</v>
      </c>
      <c r="F25" s="492">
        <v>84.518618346375035</v>
      </c>
      <c r="G25" s="492">
        <v>62.219709874295795</v>
      </c>
      <c r="H25" s="492">
        <v>48.741594301216495</v>
      </c>
      <c r="I25" s="492">
        <v>44.096424277399365</v>
      </c>
      <c r="J25" s="492">
        <v>53.340150152578211</v>
      </c>
      <c r="K25" s="492">
        <v>38.502051012756453</v>
      </c>
      <c r="L25" s="492">
        <v>20.894279080277091</v>
      </c>
      <c r="M25" s="492">
        <v>10.709916859484409</v>
      </c>
      <c r="N25" s="492">
        <v>10.999864736402706</v>
      </c>
      <c r="O25" s="492">
        <v>12.445554976877535</v>
      </c>
      <c r="P25" s="492">
        <v>16.605807512623073</v>
      </c>
      <c r="Q25" s="492">
        <v>21.749101240660835</v>
      </c>
      <c r="R25" s="492">
        <v>9.5682396136765853</v>
      </c>
      <c r="S25" s="492">
        <v>8.3880431135521487</v>
      </c>
      <c r="T25" s="492">
        <v>33.975329286209288</v>
      </c>
      <c r="U25" s="492">
        <v>12.503331252922075</v>
      </c>
    </row>
    <row r="26" spans="1:21" s="485" customFormat="1" ht="15.95" customHeight="1" x14ac:dyDescent="0.3">
      <c r="A26" s="487" t="s">
        <v>465</v>
      </c>
      <c r="B26" s="492">
        <v>1246.4881511402571</v>
      </c>
      <c r="C26" s="492">
        <v>1455.1979203606443</v>
      </c>
      <c r="D26" s="492">
        <v>976.70197867517436</v>
      </c>
      <c r="E26" s="492">
        <v>574.51193982079485</v>
      </c>
      <c r="F26" s="492">
        <v>373.9487082692072</v>
      </c>
      <c r="G26" s="492">
        <v>148.06332213043407</v>
      </c>
      <c r="H26" s="492">
        <v>101.1528427209293</v>
      </c>
      <c r="I26" s="492">
        <v>75.604395420721431</v>
      </c>
      <c r="J26" s="492">
        <v>61.121661787299793</v>
      </c>
      <c r="K26" s="492">
        <v>26.046291268856738</v>
      </c>
      <c r="L26" s="483" t="s">
        <v>31</v>
      </c>
      <c r="M26" s="483" t="s">
        <v>31</v>
      </c>
      <c r="N26" s="483" t="s">
        <v>31</v>
      </c>
      <c r="O26" s="483" t="s">
        <v>31</v>
      </c>
      <c r="P26" s="483" t="s">
        <v>31</v>
      </c>
      <c r="Q26" s="483" t="s">
        <v>31</v>
      </c>
      <c r="R26" s="483" t="s">
        <v>31</v>
      </c>
      <c r="S26" s="483" t="s">
        <v>31</v>
      </c>
      <c r="T26" s="483" t="s">
        <v>31</v>
      </c>
      <c r="U26" s="483" t="s">
        <v>31</v>
      </c>
    </row>
    <row r="27" spans="1:21" s="485" customFormat="1" ht="15.95" customHeight="1" x14ac:dyDescent="0.3">
      <c r="A27" s="487" t="s">
        <v>466</v>
      </c>
      <c r="B27" s="492">
        <v>2198.0267316019435</v>
      </c>
      <c r="C27" s="492">
        <v>2101.1549804063316</v>
      </c>
      <c r="D27" s="492">
        <v>2319.531562084871</v>
      </c>
      <c r="E27" s="492">
        <v>2835.5413806330016</v>
      </c>
      <c r="F27" s="492">
        <v>2585.4374800850715</v>
      </c>
      <c r="G27" s="492">
        <v>2734.9827820713849</v>
      </c>
      <c r="H27" s="492">
        <v>2641.5033211728783</v>
      </c>
      <c r="I27" s="492">
        <v>3033.3809947331733</v>
      </c>
      <c r="J27" s="492">
        <v>2944.4145293448823</v>
      </c>
      <c r="K27" s="492">
        <v>3305.6535416216293</v>
      </c>
      <c r="L27" s="492">
        <v>3277.9512400255708</v>
      </c>
      <c r="M27" s="492">
        <v>3282.566893478996</v>
      </c>
      <c r="N27" s="492">
        <v>3332.7175594142759</v>
      </c>
      <c r="O27" s="492">
        <v>3255.496128558666</v>
      </c>
      <c r="P27" s="492">
        <v>3304.5933559721198</v>
      </c>
      <c r="Q27" s="492">
        <v>3321.0490822568463</v>
      </c>
      <c r="R27" s="492">
        <v>3287.1811519716857</v>
      </c>
      <c r="S27" s="492">
        <v>3349.6386783263797</v>
      </c>
      <c r="T27" s="492">
        <v>3447.7102377845122</v>
      </c>
      <c r="U27" s="492">
        <v>3465.7891870480939</v>
      </c>
    </row>
    <row r="28" spans="1:21" s="485" customFormat="1" ht="15.95" customHeight="1" x14ac:dyDescent="0.3">
      <c r="A28" s="486" t="s">
        <v>172</v>
      </c>
      <c r="B28" s="492">
        <v>250.59984404162083</v>
      </c>
      <c r="C28" s="492">
        <v>235.56140959411016</v>
      </c>
      <c r="D28" s="492">
        <v>198.70582862659074</v>
      </c>
      <c r="E28" s="492">
        <v>231.59087404668361</v>
      </c>
      <c r="F28" s="492">
        <v>194.6397279668561</v>
      </c>
      <c r="G28" s="492">
        <v>108.4074308269572</v>
      </c>
      <c r="H28" s="492">
        <v>101.42264300502094</v>
      </c>
      <c r="I28" s="492">
        <v>46.592376795575774</v>
      </c>
      <c r="J28" s="492">
        <v>39.742995587254292</v>
      </c>
      <c r="K28" s="492">
        <v>22.205284031666249</v>
      </c>
      <c r="L28" s="492">
        <v>22.596728467581702</v>
      </c>
      <c r="M28" s="492">
        <v>6.1072691111340038</v>
      </c>
      <c r="N28" s="492">
        <v>1.9690875295159684</v>
      </c>
      <c r="O28" s="492">
        <v>1.0119434941602548</v>
      </c>
      <c r="P28" s="492">
        <v>0.87014118342449254</v>
      </c>
      <c r="Q28" s="492">
        <v>0.53627763956732988</v>
      </c>
      <c r="R28" s="492">
        <v>0.5926139246560993</v>
      </c>
      <c r="S28" s="483" t="s">
        <v>31</v>
      </c>
      <c r="T28" s="492">
        <v>0.56577768616458068</v>
      </c>
      <c r="U28" s="492">
        <v>0.85038232449851869</v>
      </c>
    </row>
    <row r="29" spans="1:21" s="485" customFormat="1" ht="15.95" customHeight="1" x14ac:dyDescent="0.3">
      <c r="A29" s="488" t="s">
        <v>195</v>
      </c>
      <c r="B29" s="489" t="s">
        <v>31</v>
      </c>
      <c r="C29" s="489" t="s">
        <v>31</v>
      </c>
      <c r="D29" s="489" t="s">
        <v>31</v>
      </c>
      <c r="E29" s="490">
        <v>0.5933448670137168</v>
      </c>
      <c r="F29" s="490">
        <v>4.8701116798135056</v>
      </c>
      <c r="G29" s="490">
        <v>68.690196745682499</v>
      </c>
      <c r="H29" s="490">
        <v>169.22838831425511</v>
      </c>
      <c r="I29" s="490">
        <v>123.05045877695319</v>
      </c>
      <c r="J29" s="490">
        <v>197.54196237020562</v>
      </c>
      <c r="K29" s="490">
        <v>266.82674227046681</v>
      </c>
      <c r="L29" s="490">
        <v>342.26238802692876</v>
      </c>
      <c r="M29" s="490">
        <v>432.09715860574829</v>
      </c>
      <c r="N29" s="490">
        <v>529.85124882740774</v>
      </c>
      <c r="O29" s="490">
        <v>621.75332713155262</v>
      </c>
      <c r="P29" s="490">
        <v>780.83970494969219</v>
      </c>
      <c r="Q29" s="490">
        <v>900.4293217201199</v>
      </c>
      <c r="R29" s="490">
        <v>8308.8714824980634</v>
      </c>
      <c r="S29" s="490">
        <v>8669.9490404581702</v>
      </c>
      <c r="T29" s="490">
        <v>8573.4613013046765</v>
      </c>
      <c r="U29" s="490">
        <v>5701.3032972241217</v>
      </c>
    </row>
    <row r="30" spans="1:21" s="124" customFormat="1" ht="12" customHeight="1" x14ac:dyDescent="0.25">
      <c r="A30" s="701" t="s">
        <v>381</v>
      </c>
      <c r="B30" s="702"/>
      <c r="C30" s="702"/>
      <c r="D30" s="702"/>
      <c r="E30" s="702"/>
      <c r="F30" s="702"/>
      <c r="G30" s="702"/>
      <c r="H30" s="702"/>
      <c r="I30" s="702"/>
      <c r="J30" s="702"/>
      <c r="K30" s="702"/>
    </row>
    <row r="31" spans="1:21" s="118" customFormat="1" ht="12" customHeight="1" x14ac:dyDescent="0.25">
      <c r="A31" s="118" t="s">
        <v>383</v>
      </c>
    </row>
    <row r="32" spans="1:21" s="118" customFormat="1" ht="12" customHeight="1" x14ac:dyDescent="0.25">
      <c r="A32" s="118" t="s">
        <v>384</v>
      </c>
    </row>
    <row r="33" spans="1:16" s="118" customFormat="1" ht="12" customHeight="1" x14ac:dyDescent="0.25">
      <c r="A33" s="118" t="s">
        <v>385</v>
      </c>
    </row>
    <row r="34" spans="1:16" s="122" customFormat="1" ht="12" customHeight="1" x14ac:dyDescent="0.25">
      <c r="A34" s="125" t="s">
        <v>372</v>
      </c>
      <c r="D34" s="123"/>
      <c r="E34" s="123"/>
      <c r="F34" s="123"/>
      <c r="G34" s="123"/>
      <c r="H34" s="123"/>
      <c r="I34" s="123"/>
      <c r="J34" s="123"/>
      <c r="K34" s="123"/>
    </row>
    <row r="35" spans="1:16" ht="12.75" customHeight="1" x14ac:dyDescent="0.3">
      <c r="K35" s="33"/>
    </row>
    <row r="39" spans="1:16" s="32" customFormat="1" ht="12.75" customHeight="1" x14ac:dyDescent="0.3">
      <c r="L39" s="31"/>
      <c r="M39" s="31"/>
      <c r="N39" s="31"/>
      <c r="O39" s="31"/>
      <c r="P39" s="31"/>
    </row>
    <row r="40" spans="1:16" s="32" customFormat="1" ht="12.75" customHeight="1" x14ac:dyDescent="0.3">
      <c r="L40" s="31"/>
      <c r="M40" s="31"/>
      <c r="N40" s="31"/>
      <c r="O40" s="31"/>
      <c r="P40" s="31"/>
    </row>
    <row r="41" spans="1:16" s="32" customFormat="1" ht="12.75" customHeight="1" x14ac:dyDescent="0.3">
      <c r="L41" s="31"/>
      <c r="M41" s="31"/>
      <c r="N41" s="31"/>
      <c r="O41" s="31"/>
      <c r="P41" s="31"/>
    </row>
  </sheetData>
  <mergeCells count="6">
    <mergeCell ref="A30:K30"/>
    <mergeCell ref="A12:K12"/>
    <mergeCell ref="A1:U1"/>
    <mergeCell ref="A16:U16"/>
    <mergeCell ref="A2:U2"/>
    <mergeCell ref="A17:U17"/>
  </mergeCells>
  <printOptions horizontalCentered="1"/>
  <pageMargins left="0.98425196850393704" right="0.78740157480314965" top="0.98425196850393704" bottom="0.98425196850393704" header="0" footer="0"/>
  <pageSetup paperSize="9" scale="9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Z22"/>
  <sheetViews>
    <sheetView showGridLines="0" topLeftCell="C1" zoomScaleNormal="100" zoomScaleSheetLayoutView="130" workbookViewId="0">
      <selection activeCell="A4" sqref="A4:U22"/>
    </sheetView>
  </sheetViews>
  <sheetFormatPr baseColWidth="10" defaultColWidth="11.28515625" defaultRowHeight="12.75" customHeight="1" x14ac:dyDescent="0.3"/>
  <cols>
    <col min="1" max="1" width="25.28515625" style="64" customWidth="1"/>
    <col min="2" max="12" width="7.140625" style="65" customWidth="1"/>
    <col min="13" max="21" width="7.140625" style="64" customWidth="1"/>
    <col min="22" max="22" width="3.85546875" style="64" bestFit="1" customWidth="1"/>
    <col min="23" max="16384" width="11.28515625" style="64"/>
  </cols>
  <sheetData>
    <row r="1" spans="1:26" ht="12.75" customHeight="1" x14ac:dyDescent="0.3">
      <c r="A1" s="677" t="s">
        <v>452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Z1" s="64" t="s">
        <v>25</v>
      </c>
    </row>
    <row r="2" spans="1:26" ht="12.75" customHeight="1" x14ac:dyDescent="0.3">
      <c r="A2" s="680" t="s">
        <v>190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  <c r="R2" s="680"/>
      <c r="S2" s="680"/>
      <c r="T2" s="680"/>
      <c r="U2" s="680"/>
      <c r="V2" s="680"/>
    </row>
    <row r="3" spans="1:26" ht="12.75" customHeight="1" x14ac:dyDescent="0.3">
      <c r="A3" s="117"/>
      <c r="B3" s="121"/>
      <c r="C3" s="121"/>
      <c r="D3" s="121"/>
      <c r="E3" s="121"/>
      <c r="F3" s="121"/>
      <c r="G3" s="187"/>
      <c r="H3" s="187"/>
      <c r="I3" s="187"/>
      <c r="J3" s="187"/>
      <c r="K3" s="187"/>
      <c r="L3" s="187"/>
      <c r="M3" s="119"/>
      <c r="N3" s="119"/>
      <c r="O3" s="119"/>
      <c r="P3" s="119"/>
      <c r="Q3" s="119"/>
      <c r="R3" s="119"/>
      <c r="S3" s="119"/>
      <c r="T3" s="119"/>
      <c r="U3" s="119"/>
      <c r="V3" s="119"/>
    </row>
    <row r="4" spans="1:26" s="119" customFormat="1" ht="32.25" customHeight="1" x14ac:dyDescent="0.25">
      <c r="A4" s="463" t="s">
        <v>352</v>
      </c>
      <c r="B4" s="462">
        <v>2001</v>
      </c>
      <c r="C4" s="462">
        <v>2002</v>
      </c>
      <c r="D4" s="462">
        <v>2003</v>
      </c>
      <c r="E4" s="462">
        <v>2004</v>
      </c>
      <c r="F4" s="462">
        <v>2005</v>
      </c>
      <c r="G4" s="462">
        <v>2006</v>
      </c>
      <c r="H4" s="462">
        <v>2007</v>
      </c>
      <c r="I4" s="462">
        <v>2008</v>
      </c>
      <c r="J4" s="462">
        <v>2009</v>
      </c>
      <c r="K4" s="462">
        <v>2010</v>
      </c>
      <c r="L4" s="462">
        <v>2011</v>
      </c>
      <c r="M4" s="462">
        <v>2012</v>
      </c>
      <c r="N4" s="462">
        <v>2013</v>
      </c>
      <c r="O4" s="462">
        <v>2014</v>
      </c>
      <c r="P4" s="462">
        <v>2015</v>
      </c>
      <c r="Q4" s="462">
        <v>2016</v>
      </c>
      <c r="R4" s="462">
        <v>2017</v>
      </c>
      <c r="S4" s="462">
        <v>2018</v>
      </c>
      <c r="T4" s="462">
        <v>2019</v>
      </c>
      <c r="U4" s="462">
        <v>2020</v>
      </c>
    </row>
    <row r="5" spans="1:26" s="250" customFormat="1" ht="15.95" customHeight="1" x14ac:dyDescent="0.25">
      <c r="A5" s="475" t="s">
        <v>353</v>
      </c>
      <c r="B5" s="494">
        <v>102156.38997100947</v>
      </c>
      <c r="C5" s="494">
        <v>106766.89484854683</v>
      </c>
      <c r="D5" s="494">
        <v>104551.45710707022</v>
      </c>
      <c r="E5" s="494">
        <v>115606.00169642398</v>
      </c>
      <c r="F5" s="494">
        <v>111837.4285231324</v>
      </c>
      <c r="G5" s="494">
        <v>96708.401059994532</v>
      </c>
      <c r="H5" s="494">
        <v>113938.75759838166</v>
      </c>
      <c r="I5" s="494">
        <v>102464.20044437083</v>
      </c>
      <c r="J5" s="494">
        <v>100115.10827031014</v>
      </c>
      <c r="K5" s="494">
        <v>104417.36657347083</v>
      </c>
      <c r="L5" s="494">
        <v>124477.40640279531</v>
      </c>
      <c r="M5" s="494">
        <v>111632.82777209507</v>
      </c>
      <c r="N5" s="494">
        <v>115420.73476020528</v>
      </c>
      <c r="O5" s="494">
        <v>113556.51009586256</v>
      </c>
      <c r="P5" s="494">
        <v>119112.79952147978</v>
      </c>
      <c r="Q5" s="494">
        <v>114840.60708908516</v>
      </c>
      <c r="R5" s="494">
        <v>107189.50894619722</v>
      </c>
      <c r="S5" s="494">
        <v>120700.24807028443</v>
      </c>
      <c r="T5" s="494">
        <v>125473.84034686314</v>
      </c>
      <c r="U5" s="494">
        <v>97433.368615003972</v>
      </c>
    </row>
    <row r="6" spans="1:26" s="119" customFormat="1" ht="15.95" customHeight="1" x14ac:dyDescent="0.25">
      <c r="A6" s="493" t="s">
        <v>179</v>
      </c>
      <c r="B6" s="495">
        <v>13552.052971165576</v>
      </c>
      <c r="C6" s="495">
        <v>17577.96320590367</v>
      </c>
      <c r="D6" s="495">
        <v>19530.651302466598</v>
      </c>
      <c r="E6" s="495">
        <v>19755.622511568748</v>
      </c>
      <c r="F6" s="495">
        <v>21828.11547827251</v>
      </c>
      <c r="G6" s="495">
        <v>15119.182778468496</v>
      </c>
      <c r="H6" s="495">
        <v>24413.056492305634</v>
      </c>
      <c r="I6" s="495">
        <v>20999.22484372777</v>
      </c>
      <c r="J6" s="495">
        <v>22949.412025555841</v>
      </c>
      <c r="K6" s="495">
        <v>22811.827894697202</v>
      </c>
      <c r="L6" s="495">
        <v>23809.902179225624</v>
      </c>
      <c r="M6" s="495">
        <v>23940.323926764086</v>
      </c>
      <c r="N6" s="495">
        <v>22891.139628461206</v>
      </c>
      <c r="O6" s="495">
        <v>26451.048460038655</v>
      </c>
      <c r="P6" s="495">
        <v>29167.238019129229</v>
      </c>
      <c r="Q6" s="495">
        <v>23281.489199191346</v>
      </c>
      <c r="R6" s="495">
        <v>19894.395098945341</v>
      </c>
      <c r="S6" s="495">
        <v>21275.70104713113</v>
      </c>
      <c r="T6" s="495">
        <v>22035.127197123562</v>
      </c>
      <c r="U6" s="495">
        <v>14254.815309328476</v>
      </c>
    </row>
    <row r="7" spans="1:26" s="119" customFormat="1" ht="15.95" customHeight="1" x14ac:dyDescent="0.25">
      <c r="A7" s="493" t="s">
        <v>173</v>
      </c>
      <c r="B7" s="495">
        <v>14954.580382636421</v>
      </c>
      <c r="C7" s="495">
        <v>14801.402857525227</v>
      </c>
      <c r="D7" s="495">
        <v>14648.225332414033</v>
      </c>
      <c r="E7" s="495">
        <v>14495.047807302839</v>
      </c>
      <c r="F7" s="495">
        <v>14341.870282191645</v>
      </c>
      <c r="G7" s="495">
        <v>14188.692757080449</v>
      </c>
      <c r="H7" s="495">
        <v>14035.515231969255</v>
      </c>
      <c r="I7" s="495">
        <v>13882.337706858061</v>
      </c>
      <c r="J7" s="495">
        <v>13729.160181746867</v>
      </c>
      <c r="K7" s="495">
        <v>13575.982656635673</v>
      </c>
      <c r="L7" s="495">
        <v>13422.805131524479</v>
      </c>
      <c r="M7" s="495">
        <v>13269.627606413285</v>
      </c>
      <c r="N7" s="495">
        <v>13116.450081302091</v>
      </c>
      <c r="O7" s="495">
        <v>12951.966671568893</v>
      </c>
      <c r="P7" s="495">
        <v>12789.545922990943</v>
      </c>
      <c r="Q7" s="495">
        <v>12629.161969305813</v>
      </c>
      <c r="R7" s="495">
        <v>12470.789268620169</v>
      </c>
      <c r="S7" s="495">
        <v>11695.478765204809</v>
      </c>
      <c r="T7" s="495">
        <v>11488.039144093053</v>
      </c>
      <c r="U7" s="495">
        <v>9817.1739619231521</v>
      </c>
    </row>
    <row r="8" spans="1:26" s="119" customFormat="1" ht="15.95" customHeight="1" x14ac:dyDescent="0.25">
      <c r="A8" s="493" t="s">
        <v>180</v>
      </c>
      <c r="B8" s="495">
        <v>6388.1542620249675</v>
      </c>
      <c r="C8" s="495">
        <v>7280.5172010541992</v>
      </c>
      <c r="D8" s="495">
        <v>7666.3064411715468</v>
      </c>
      <c r="E8" s="495">
        <v>6021.2686743039485</v>
      </c>
      <c r="F8" s="495">
        <v>2475.1534258829442</v>
      </c>
      <c r="G8" s="495">
        <v>3991.9539847799479</v>
      </c>
      <c r="H8" s="495">
        <v>3748.1114509204135</v>
      </c>
      <c r="I8" s="495">
        <v>4507.7244709238721</v>
      </c>
      <c r="J8" s="495">
        <v>3993.359873155574</v>
      </c>
      <c r="K8" s="495">
        <v>6245.6278948463632</v>
      </c>
      <c r="L8" s="495">
        <v>6143.7808316372111</v>
      </c>
      <c r="M8" s="495">
        <v>8713.129569634104</v>
      </c>
      <c r="N8" s="495">
        <v>5426.7367649820262</v>
      </c>
      <c r="O8" s="495">
        <v>1362.4598713866114</v>
      </c>
      <c r="P8" s="495">
        <v>5174.1471570236818</v>
      </c>
      <c r="Q8" s="495">
        <v>6574.5170178362732</v>
      </c>
      <c r="R8" s="495">
        <v>2708.6321221540393</v>
      </c>
      <c r="S8" s="495">
        <v>6172.9677715496937</v>
      </c>
      <c r="T8" s="495">
        <v>8931.8296573647713</v>
      </c>
      <c r="U8" s="495">
        <v>6422.2135896204045</v>
      </c>
    </row>
    <row r="9" spans="1:26" s="119" customFormat="1" ht="15.95" customHeight="1" x14ac:dyDescent="0.25">
      <c r="A9" s="493" t="s">
        <v>178</v>
      </c>
      <c r="B9" s="495">
        <v>2351.191828824235</v>
      </c>
      <c r="C9" s="495">
        <v>2196.8568627066643</v>
      </c>
      <c r="D9" s="495">
        <v>2127.0332779002133</v>
      </c>
      <c r="E9" s="495">
        <v>2013.5898818799258</v>
      </c>
      <c r="F9" s="495">
        <v>1882.5174928427732</v>
      </c>
      <c r="G9" s="495">
        <v>1792.4555631519065</v>
      </c>
      <c r="H9" s="495">
        <v>1684.6488088431888</v>
      </c>
      <c r="I9" s="495">
        <v>1566.4703507229983</v>
      </c>
      <c r="J9" s="495">
        <v>1608.7163878399906</v>
      </c>
      <c r="K9" s="495">
        <v>1535.4853016335871</v>
      </c>
      <c r="L9" s="495">
        <v>1462.6950063266422</v>
      </c>
      <c r="M9" s="495">
        <v>1440.6532438740085</v>
      </c>
      <c r="N9" s="495">
        <v>1378.5095611295571</v>
      </c>
      <c r="O9" s="495">
        <v>1361.2227227274782</v>
      </c>
      <c r="P9" s="495">
        <v>1315.6525415378605</v>
      </c>
      <c r="Q9" s="495">
        <v>1251.4788064029879</v>
      </c>
      <c r="R9" s="495">
        <v>1230.5371382038434</v>
      </c>
      <c r="S9" s="495">
        <v>1154.0344928987256</v>
      </c>
      <c r="T9" s="495">
        <v>1133.5656875797824</v>
      </c>
      <c r="U9" s="495">
        <v>968.69547645646617</v>
      </c>
    </row>
    <row r="10" spans="1:26" s="119" customFormat="1" ht="15.95" customHeight="1" x14ac:dyDescent="0.25">
      <c r="A10" s="493" t="s">
        <v>177</v>
      </c>
      <c r="B10" s="495">
        <v>1202.0970435888639</v>
      </c>
      <c r="C10" s="495">
        <v>1217.5065153176072</v>
      </c>
      <c r="D10" s="495">
        <v>1137.6474155460533</v>
      </c>
      <c r="E10" s="495">
        <v>989.7447863474556</v>
      </c>
      <c r="F10" s="495">
        <v>1260.1404232529726</v>
      </c>
      <c r="G10" s="495">
        <v>1255.3325021129176</v>
      </c>
      <c r="H10" s="495">
        <v>1261.1967900387435</v>
      </c>
      <c r="I10" s="495">
        <v>1353.2641557115721</v>
      </c>
      <c r="J10" s="495">
        <v>199.22512405546306</v>
      </c>
      <c r="K10" s="496" t="s">
        <v>31</v>
      </c>
      <c r="L10" s="496" t="s">
        <v>31</v>
      </c>
      <c r="M10" s="495">
        <v>19.358041220722495</v>
      </c>
      <c r="N10" s="495">
        <v>1015.9677999715489</v>
      </c>
      <c r="O10" s="495">
        <v>2467.0443419830463</v>
      </c>
      <c r="P10" s="495">
        <v>1117.3171552178605</v>
      </c>
      <c r="Q10" s="495">
        <v>2476.6671832506295</v>
      </c>
      <c r="R10" s="495">
        <v>2110.7578137257815</v>
      </c>
      <c r="S10" s="495">
        <v>2097.977934417464</v>
      </c>
      <c r="T10" s="495">
        <v>1566.2273627783775</v>
      </c>
      <c r="U10" s="495">
        <v>1684.9999075335863</v>
      </c>
    </row>
    <row r="11" spans="1:26" s="119" customFormat="1" ht="15.95" customHeight="1" x14ac:dyDescent="0.25">
      <c r="A11" s="493" t="s">
        <v>354</v>
      </c>
      <c r="B11" s="495">
        <v>2011.1298170749576</v>
      </c>
      <c r="C11" s="495">
        <v>2574.2778448552831</v>
      </c>
      <c r="D11" s="495">
        <v>2843.506446823169</v>
      </c>
      <c r="E11" s="495">
        <v>3316.680323877134</v>
      </c>
      <c r="F11" s="495">
        <v>4328.7240869583029</v>
      </c>
      <c r="G11" s="495">
        <v>5134.9604364818115</v>
      </c>
      <c r="H11" s="495">
        <v>4867.561391888401</v>
      </c>
      <c r="I11" s="495">
        <v>5849.2012805430113</v>
      </c>
      <c r="J11" s="495">
        <v>6778.5597820239136</v>
      </c>
      <c r="K11" s="495">
        <v>10013.804302984636</v>
      </c>
      <c r="L11" s="495">
        <v>12719.338685501229</v>
      </c>
      <c r="M11" s="495">
        <v>13185.529721376523</v>
      </c>
      <c r="N11" s="495">
        <v>16357.346680791621</v>
      </c>
      <c r="O11" s="495">
        <v>15118.109895141739</v>
      </c>
      <c r="P11" s="495">
        <v>14012.274478276815</v>
      </c>
      <c r="Q11" s="495">
        <v>14247.712000046722</v>
      </c>
      <c r="R11" s="495">
        <v>14934.036951697606</v>
      </c>
      <c r="S11" s="495">
        <v>17173.660061014543</v>
      </c>
      <c r="T11" s="495">
        <v>15257.064989780738</v>
      </c>
      <c r="U11" s="495">
        <v>12857.210965680302</v>
      </c>
    </row>
    <row r="12" spans="1:26" s="119" customFormat="1" ht="15.95" customHeight="1" x14ac:dyDescent="0.25">
      <c r="A12" s="493" t="s">
        <v>467</v>
      </c>
      <c r="B12" s="497">
        <v>99.25390275471041</v>
      </c>
      <c r="C12" s="497">
        <v>79.254365719207527</v>
      </c>
      <c r="D12" s="497">
        <v>52.065863980052015</v>
      </c>
      <c r="E12" s="497">
        <v>35.456566938319312</v>
      </c>
      <c r="F12" s="497">
        <v>20.753852551741293</v>
      </c>
      <c r="G12" s="497">
        <v>14.986400478231211</v>
      </c>
      <c r="H12" s="497">
        <v>10.36305969308876</v>
      </c>
      <c r="I12" s="497">
        <v>8.6389719878654265</v>
      </c>
      <c r="J12" s="497">
        <v>12.848913848482583</v>
      </c>
      <c r="K12" s="497">
        <v>7.3435396594394824</v>
      </c>
      <c r="L12" s="497">
        <v>2.8354360603388455</v>
      </c>
      <c r="M12" s="497">
        <v>0.80327541790754542</v>
      </c>
      <c r="N12" s="497">
        <v>0.63335293813528093</v>
      </c>
      <c r="O12" s="497">
        <v>0.69290652510156914</v>
      </c>
      <c r="P12" s="497">
        <v>0.92038503411838857</v>
      </c>
      <c r="Q12" s="497">
        <v>1.2270996991882193</v>
      </c>
      <c r="R12" s="497">
        <v>0.60969362704836472</v>
      </c>
      <c r="S12" s="496" t="s">
        <v>31</v>
      </c>
      <c r="T12" s="497">
        <v>1.7080504377648713</v>
      </c>
      <c r="U12" s="497">
        <v>0.81992486118661678</v>
      </c>
    </row>
    <row r="13" spans="1:26" s="119" customFormat="1" ht="15.95" customHeight="1" x14ac:dyDescent="0.25">
      <c r="A13" s="493" t="s">
        <v>468</v>
      </c>
      <c r="B13" s="497">
        <v>584.48790995253682</v>
      </c>
      <c r="C13" s="497">
        <v>682.35353080638004</v>
      </c>
      <c r="D13" s="497">
        <v>457.98309245069152</v>
      </c>
      <c r="E13" s="497">
        <v>269.39308058520788</v>
      </c>
      <c r="F13" s="497">
        <v>175.34743408974944</v>
      </c>
      <c r="G13" s="497">
        <v>69.428033963644822</v>
      </c>
      <c r="H13" s="497">
        <v>47.43134828327868</v>
      </c>
      <c r="I13" s="497">
        <v>35.451484253788387</v>
      </c>
      <c r="J13" s="497">
        <v>28.660418727770857</v>
      </c>
      <c r="K13" s="497">
        <v>12.21330690694715</v>
      </c>
      <c r="L13" s="496" t="s">
        <v>31</v>
      </c>
      <c r="M13" s="496" t="s">
        <v>31</v>
      </c>
      <c r="N13" s="496" t="s">
        <v>31</v>
      </c>
      <c r="O13" s="496" t="s">
        <v>31</v>
      </c>
      <c r="P13" s="496" t="s">
        <v>31</v>
      </c>
      <c r="Q13" s="496" t="s">
        <v>31</v>
      </c>
      <c r="R13" s="496" t="s">
        <v>31</v>
      </c>
      <c r="S13" s="496" t="s">
        <v>31</v>
      </c>
      <c r="T13" s="496" t="s">
        <v>31</v>
      </c>
      <c r="U13" s="496" t="s">
        <v>31</v>
      </c>
    </row>
    <row r="14" spans="1:26" s="119" customFormat="1" ht="15.95" customHeight="1" x14ac:dyDescent="0.25">
      <c r="A14" s="493" t="s">
        <v>469</v>
      </c>
      <c r="B14" s="495">
        <v>6753.1946143959885</v>
      </c>
      <c r="C14" s="495">
        <v>6491.3304176403508</v>
      </c>
      <c r="D14" s="495">
        <v>7160.419660831938</v>
      </c>
      <c r="E14" s="495">
        <v>8846.2465040666866</v>
      </c>
      <c r="F14" s="495">
        <v>8128.7969903953599</v>
      </c>
      <c r="G14" s="495">
        <v>8549.7856937681645</v>
      </c>
      <c r="H14" s="495">
        <v>8044.0111710029068</v>
      </c>
      <c r="I14" s="495">
        <v>9502.2650558900386</v>
      </c>
      <c r="J14" s="495">
        <v>8957.1292878542281</v>
      </c>
      <c r="K14" s="495">
        <v>10114.669830973535</v>
      </c>
      <c r="L14" s="495">
        <v>10085.106846093933</v>
      </c>
      <c r="M14" s="495">
        <v>9899.7224502559984</v>
      </c>
      <c r="N14" s="495">
        <v>10029.541120667853</v>
      </c>
      <c r="O14" s="495">
        <v>9481.7569237679199</v>
      </c>
      <c r="P14" s="495">
        <v>9370.4689708211172</v>
      </c>
      <c r="Q14" s="495">
        <v>9228.9560306924959</v>
      </c>
      <c r="R14" s="495">
        <v>8954.4829416569555</v>
      </c>
      <c r="S14" s="495">
        <v>9200.2157340725844</v>
      </c>
      <c r="T14" s="495">
        <v>9329.4636028731347</v>
      </c>
      <c r="U14" s="495">
        <v>9282.0646933902462</v>
      </c>
    </row>
    <row r="15" spans="1:26" s="119" customFormat="1" ht="15.95" customHeight="1" x14ac:dyDescent="0.25">
      <c r="A15" s="493" t="s">
        <v>172</v>
      </c>
      <c r="B15" s="495">
        <v>53248.574728277657</v>
      </c>
      <c r="C15" s="495">
        <v>52350.188573639527</v>
      </c>
      <c r="D15" s="495">
        <v>46829.774247696841</v>
      </c>
      <c r="E15" s="495">
        <v>56590.108932712166</v>
      </c>
      <c r="F15" s="495">
        <v>49995.136824631729</v>
      </c>
      <c r="G15" s="495">
        <v>31783.609977553831</v>
      </c>
      <c r="H15" s="495">
        <v>33876.154497739699</v>
      </c>
      <c r="I15" s="495">
        <v>17903.049322329542</v>
      </c>
      <c r="J15" s="495">
        <v>18188.516139361662</v>
      </c>
      <c r="K15" s="495">
        <v>12225.591679890149</v>
      </c>
      <c r="L15" s="495">
        <v>16122.389736259078</v>
      </c>
      <c r="M15" s="495">
        <v>6864.4659014859371</v>
      </c>
      <c r="N15" s="495">
        <v>7364.1297281704146</v>
      </c>
      <c r="O15" s="495">
        <v>3615.6303531775734</v>
      </c>
      <c r="P15" s="495">
        <v>3208.3679858078872</v>
      </c>
      <c r="Q15" s="495">
        <v>1886.8918279575973</v>
      </c>
      <c r="R15" s="495">
        <v>2161.6637051709217</v>
      </c>
      <c r="S15" s="495">
        <v>1602.9152108142716</v>
      </c>
      <c r="T15" s="495">
        <v>2117.2922521958212</v>
      </c>
      <c r="U15" s="495">
        <v>3027.9715067919647</v>
      </c>
    </row>
    <row r="16" spans="1:26" s="119" customFormat="1" ht="15.95" customHeight="1" x14ac:dyDescent="0.25">
      <c r="A16" s="493" t="s">
        <v>195</v>
      </c>
      <c r="B16" s="496" t="s">
        <v>31</v>
      </c>
      <c r="C16" s="497">
        <v>258.27979882661577</v>
      </c>
      <c r="D16" s="497">
        <v>984.83512894130729</v>
      </c>
      <c r="E16" s="495">
        <v>2035.441072068847</v>
      </c>
      <c r="F16" s="495">
        <v>5907.1828686157287</v>
      </c>
      <c r="G16" s="495">
        <v>13130.361826489832</v>
      </c>
      <c r="H16" s="495">
        <v>20384.430361646697</v>
      </c>
      <c r="I16" s="495">
        <v>25142.764795745465</v>
      </c>
      <c r="J16" s="495">
        <v>23669.520136140363</v>
      </c>
      <c r="K16" s="495">
        <v>27874.820165243309</v>
      </c>
      <c r="L16" s="495">
        <v>40708.552550166765</v>
      </c>
      <c r="M16" s="495">
        <v>34299.214035652491</v>
      </c>
      <c r="N16" s="495">
        <v>37840.280041790829</v>
      </c>
      <c r="O16" s="495">
        <v>40746.577949545521</v>
      </c>
      <c r="P16" s="495">
        <v>42956.866905640272</v>
      </c>
      <c r="Q16" s="495">
        <v>43262.505954702101</v>
      </c>
      <c r="R16" s="495">
        <v>42723.604212395527</v>
      </c>
      <c r="S16" s="495">
        <v>50326.917719974408</v>
      </c>
      <c r="T16" s="495">
        <v>53613.522402636125</v>
      </c>
      <c r="U16" s="495">
        <v>39117.403279418184</v>
      </c>
    </row>
    <row r="17" spans="1:21" s="119" customFormat="1" ht="15.95" customHeight="1" x14ac:dyDescent="0.25">
      <c r="A17" s="498" t="s">
        <v>176</v>
      </c>
      <c r="B17" s="499">
        <v>1011.6725103135485</v>
      </c>
      <c r="C17" s="499">
        <v>1256.9636745521032</v>
      </c>
      <c r="D17" s="499">
        <v>1113.0088968477778</v>
      </c>
      <c r="E17" s="499">
        <v>1237.4015547726835</v>
      </c>
      <c r="F17" s="499">
        <v>1493.6893634469427</v>
      </c>
      <c r="G17" s="499">
        <v>1677.6511056653078</v>
      </c>
      <c r="H17" s="499">
        <v>1566.2769940503588</v>
      </c>
      <c r="I17" s="499">
        <v>1713.8080056768449</v>
      </c>
      <c r="J17" s="500" t="s">
        <v>31</v>
      </c>
      <c r="K17" s="500" t="s">
        <v>31</v>
      </c>
      <c r="L17" s="500" t="s">
        <v>31</v>
      </c>
      <c r="M17" s="500" t="s">
        <v>31</v>
      </c>
      <c r="N17" s="500" t="s">
        <v>31</v>
      </c>
      <c r="O17" s="500" t="s">
        <v>31</v>
      </c>
      <c r="P17" s="500" t="s">
        <v>31</v>
      </c>
      <c r="Q17" s="500" t="s">
        <v>31</v>
      </c>
      <c r="R17" s="500" t="s">
        <v>31</v>
      </c>
      <c r="S17" s="500" t="s">
        <v>31</v>
      </c>
      <c r="T17" s="500" t="s">
        <v>31</v>
      </c>
      <c r="U17" s="500" t="s">
        <v>31</v>
      </c>
    </row>
    <row r="18" spans="1:21" s="124" customFormat="1" ht="12" customHeight="1" x14ac:dyDescent="0.25">
      <c r="A18" s="126" t="s">
        <v>381</v>
      </c>
      <c r="B18" s="252"/>
      <c r="C18" s="252"/>
      <c r="D18" s="252"/>
      <c r="E18" s="252"/>
      <c r="F18" s="252"/>
      <c r="G18" s="252"/>
      <c r="H18" s="252"/>
      <c r="I18" s="252"/>
      <c r="J18" s="252"/>
    </row>
    <row r="19" spans="1:21" s="118" customFormat="1" ht="12" customHeight="1" x14ac:dyDescent="0.25">
      <c r="A19" s="118" t="s">
        <v>383</v>
      </c>
    </row>
    <row r="20" spans="1:21" s="118" customFormat="1" ht="12" customHeight="1" x14ac:dyDescent="0.25">
      <c r="A20" s="118" t="s">
        <v>384</v>
      </c>
    </row>
    <row r="21" spans="1:21" s="118" customFormat="1" ht="12" customHeight="1" x14ac:dyDescent="0.25">
      <c r="A21" s="118" t="s">
        <v>385</v>
      </c>
    </row>
    <row r="22" spans="1:21" s="122" customFormat="1" ht="12" customHeight="1" x14ac:dyDescent="0.25">
      <c r="A22" s="125" t="s">
        <v>372</v>
      </c>
      <c r="C22" s="123"/>
      <c r="D22" s="123"/>
      <c r="E22" s="123"/>
      <c r="F22" s="123"/>
      <c r="G22" s="123"/>
      <c r="H22" s="123"/>
      <c r="I22" s="123"/>
      <c r="J22" s="123"/>
    </row>
  </sheetData>
  <mergeCells count="2">
    <mergeCell ref="A1:V1"/>
    <mergeCell ref="A2:V2"/>
  </mergeCells>
  <printOptions horizontalCentered="1"/>
  <pageMargins left="0.98425196850393704" right="0.78740157480314965" top="0.98425196850393704" bottom="0.98425196850393704" header="0" footer="0"/>
  <pageSetup paperSize="9" scale="9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T34"/>
  <sheetViews>
    <sheetView showGridLines="0" zoomScaleNormal="100" zoomScaleSheetLayoutView="145" workbookViewId="0">
      <selection activeCell="A3" sqref="A1:A1048576"/>
    </sheetView>
  </sheetViews>
  <sheetFormatPr baseColWidth="10" defaultColWidth="9.140625" defaultRowHeight="12.75" customHeight="1" x14ac:dyDescent="0.3"/>
  <cols>
    <col min="1" max="1" width="11.28515625" style="26" customWidth="1"/>
    <col min="2" max="2" width="8.85546875" style="27" customWidth="1"/>
    <col min="3" max="3" width="7.140625" style="27" customWidth="1"/>
    <col min="4" max="4" width="8.140625" style="27" customWidth="1"/>
    <col min="5" max="5" width="12.5703125" style="27" customWidth="1"/>
    <col min="6" max="6" width="11.7109375" style="27" customWidth="1"/>
    <col min="7" max="7" width="8.7109375" style="27" customWidth="1"/>
    <col min="8" max="8" width="11.42578125" style="27" customWidth="1"/>
    <col min="9" max="9" width="9.5703125" style="27" customWidth="1"/>
    <col min="10" max="10" width="7.85546875" style="26" customWidth="1"/>
    <col min="11" max="16384" width="9.140625" style="26"/>
  </cols>
  <sheetData>
    <row r="1" spans="1:13" s="473" customFormat="1" ht="12.75" customHeight="1" x14ac:dyDescent="0.3">
      <c r="A1" s="678" t="s">
        <v>447</v>
      </c>
      <c r="B1" s="678"/>
      <c r="C1" s="678"/>
      <c r="D1" s="678"/>
      <c r="E1" s="678"/>
      <c r="F1" s="678"/>
      <c r="G1" s="678"/>
      <c r="H1" s="678"/>
      <c r="I1" s="678"/>
      <c r="J1" s="678"/>
      <c r="M1" s="473" t="s">
        <v>25</v>
      </c>
    </row>
    <row r="2" spans="1:13" s="473" customFormat="1" ht="12.75" customHeight="1" x14ac:dyDescent="0.3">
      <c r="A2" s="679" t="s">
        <v>192</v>
      </c>
      <c r="B2" s="679"/>
      <c r="C2" s="679"/>
      <c r="D2" s="679"/>
      <c r="E2" s="679"/>
      <c r="F2" s="679"/>
      <c r="G2" s="679"/>
      <c r="H2" s="679"/>
      <c r="I2" s="679"/>
      <c r="J2" s="679"/>
    </row>
    <row r="3" spans="1:13" ht="12.75" customHeight="1" x14ac:dyDescent="0.3">
      <c r="A3" s="117"/>
      <c r="B3" s="121"/>
      <c r="C3" s="121"/>
      <c r="D3" s="121"/>
      <c r="E3" s="121"/>
      <c r="F3" s="121"/>
      <c r="G3" s="121"/>
      <c r="H3" s="121"/>
      <c r="I3" s="121"/>
      <c r="J3" s="117"/>
    </row>
    <row r="4" spans="1:13" s="117" customFormat="1" ht="57.75" customHeight="1" x14ac:dyDescent="0.25">
      <c r="A4" s="463" t="s">
        <v>129</v>
      </c>
      <c r="B4" s="462" t="s">
        <v>28</v>
      </c>
      <c r="C4" s="462" t="s">
        <v>173</v>
      </c>
      <c r="D4" s="461" t="s">
        <v>189</v>
      </c>
      <c r="E4" s="461" t="s">
        <v>362</v>
      </c>
      <c r="F4" s="461" t="s">
        <v>472</v>
      </c>
      <c r="G4" s="461" t="s">
        <v>470</v>
      </c>
      <c r="H4" s="461" t="s">
        <v>471</v>
      </c>
      <c r="I4" s="461" t="s">
        <v>182</v>
      </c>
      <c r="J4" s="461" t="s">
        <v>191</v>
      </c>
    </row>
    <row r="5" spans="1:13" s="117" customFormat="1" ht="15.95" customHeight="1" x14ac:dyDescent="0.3">
      <c r="A5" s="466">
        <v>2001</v>
      </c>
      <c r="B5" s="501">
        <v>11421.75278080038</v>
      </c>
      <c r="C5" s="501">
        <v>227.93195455403313</v>
      </c>
      <c r="D5" s="501">
        <v>1.4988928012099334</v>
      </c>
      <c r="E5" s="501">
        <v>30.950909860940786</v>
      </c>
      <c r="F5" s="501">
        <v>5219.7251316034726</v>
      </c>
      <c r="G5" s="501">
        <v>2338.3149256133947</v>
      </c>
      <c r="H5" s="501">
        <v>3476.8217429304136</v>
      </c>
      <c r="I5" s="501">
        <v>126.5092234369141</v>
      </c>
      <c r="J5" s="501" t="s">
        <v>31</v>
      </c>
    </row>
    <row r="6" spans="1:13" s="117" customFormat="1" ht="15.95" customHeight="1" x14ac:dyDescent="0.3">
      <c r="A6" s="466">
        <v>2002</v>
      </c>
      <c r="B6" s="501">
        <v>10566.289610938356</v>
      </c>
      <c r="C6" s="501">
        <v>236.200096804769</v>
      </c>
      <c r="D6" s="501">
        <v>1.553264549669932</v>
      </c>
      <c r="E6" s="501">
        <v>31.663232745133829</v>
      </c>
      <c r="F6" s="501">
        <v>4774.3930805946029</v>
      </c>
      <c r="G6" s="501">
        <v>2135.9203229731402</v>
      </c>
      <c r="H6" s="501">
        <v>3276.6979046665883</v>
      </c>
      <c r="I6" s="501">
        <v>109.86170860445209</v>
      </c>
      <c r="J6" s="501" t="s">
        <v>31</v>
      </c>
    </row>
    <row r="7" spans="1:13" s="117" customFormat="1" ht="15.95" customHeight="1" x14ac:dyDescent="0.3">
      <c r="A7" s="466">
        <v>2003</v>
      </c>
      <c r="B7" s="501">
        <v>10151.909207392324</v>
      </c>
      <c r="C7" s="501">
        <v>223.11612642782845</v>
      </c>
      <c r="D7" s="501">
        <v>1.4672236562479823</v>
      </c>
      <c r="E7" s="501">
        <v>31.933602137996623</v>
      </c>
      <c r="F7" s="501">
        <v>4821.7834139334136</v>
      </c>
      <c r="G7" s="501">
        <v>2051.2533021433542</v>
      </c>
      <c r="H7" s="501">
        <v>2917.3446914224119</v>
      </c>
      <c r="I7" s="501">
        <v>105.01084767107221</v>
      </c>
      <c r="J7" s="501" t="s">
        <v>31</v>
      </c>
    </row>
    <row r="8" spans="1:13" s="117" customFormat="1" ht="15.95" customHeight="1" x14ac:dyDescent="0.3">
      <c r="A8" s="466">
        <v>2004</v>
      </c>
      <c r="B8" s="501">
        <v>9737.6928070405393</v>
      </c>
      <c r="C8" s="501">
        <v>218.88763739421805</v>
      </c>
      <c r="D8" s="501">
        <v>1.4394168847714921</v>
      </c>
      <c r="E8" s="501">
        <v>31.028316828528499</v>
      </c>
      <c r="F8" s="501">
        <v>4689.2142647977153</v>
      </c>
      <c r="G8" s="501">
        <v>1901.8778034638449</v>
      </c>
      <c r="H8" s="501">
        <v>2799.2155405406484</v>
      </c>
      <c r="I8" s="501">
        <v>96.029827130813814</v>
      </c>
      <c r="J8" s="501" t="s">
        <v>31</v>
      </c>
    </row>
    <row r="9" spans="1:13" s="117" customFormat="1" ht="15.95" customHeight="1" x14ac:dyDescent="0.3">
      <c r="A9" s="466">
        <v>2005</v>
      </c>
      <c r="B9" s="501">
        <v>11182.539588121395</v>
      </c>
      <c r="C9" s="501">
        <v>199.52826329479538</v>
      </c>
      <c r="D9" s="501">
        <v>1.312108598707215</v>
      </c>
      <c r="E9" s="501">
        <v>34.907101138076783</v>
      </c>
      <c r="F9" s="501">
        <v>5681.4789492993568</v>
      </c>
      <c r="G9" s="501">
        <v>2207.8078086753999</v>
      </c>
      <c r="H9" s="501">
        <v>2948.7538548028851</v>
      </c>
      <c r="I9" s="501">
        <v>108.75071402585161</v>
      </c>
      <c r="J9" s="501" t="s">
        <v>31</v>
      </c>
    </row>
    <row r="10" spans="1:13" s="117" customFormat="1" ht="15.95" customHeight="1" x14ac:dyDescent="0.3">
      <c r="A10" s="466">
        <v>2006</v>
      </c>
      <c r="B10" s="501">
        <v>10658.146167664936</v>
      </c>
      <c r="C10" s="501">
        <v>185.21344297303989</v>
      </c>
      <c r="D10" s="501">
        <v>1.2179735697996883</v>
      </c>
      <c r="E10" s="501">
        <v>36.278681608626798</v>
      </c>
      <c r="F10" s="501">
        <v>5493.2481073080771</v>
      </c>
      <c r="G10" s="501">
        <v>2050.718475519845</v>
      </c>
      <c r="H10" s="501">
        <v>2793.999426055791</v>
      </c>
      <c r="I10" s="501">
        <v>97.463590459302026</v>
      </c>
      <c r="J10" s="501" t="s">
        <v>31</v>
      </c>
    </row>
    <row r="11" spans="1:13" s="117" customFormat="1" ht="15.95" customHeight="1" x14ac:dyDescent="0.3">
      <c r="A11" s="466">
        <v>2007</v>
      </c>
      <c r="B11" s="501">
        <v>10009.923875629764</v>
      </c>
      <c r="C11" s="501">
        <v>182.01690618154012</v>
      </c>
      <c r="D11" s="501">
        <v>1.1969529718104499</v>
      </c>
      <c r="E11" s="501">
        <v>37.303955527811397</v>
      </c>
      <c r="F11" s="501">
        <v>5195.1078645536054</v>
      </c>
      <c r="G11" s="501">
        <v>1878.9131929557348</v>
      </c>
      <c r="H11" s="501">
        <v>2630.6632113958026</v>
      </c>
      <c r="I11" s="501">
        <v>84.6305339141216</v>
      </c>
      <c r="J11" s="501" t="s">
        <v>31</v>
      </c>
    </row>
    <row r="12" spans="1:13" s="117" customFormat="1" ht="15.95" customHeight="1" x14ac:dyDescent="0.3">
      <c r="A12" s="466">
        <v>2008</v>
      </c>
      <c r="B12" s="501">
        <v>10060.463778161606</v>
      </c>
      <c r="C12" s="501">
        <v>169.81889050887048</v>
      </c>
      <c r="D12" s="501">
        <v>1.1167381642088408</v>
      </c>
      <c r="E12" s="501">
        <v>39.304665146922083</v>
      </c>
      <c r="F12" s="501">
        <v>5276.4650474142336</v>
      </c>
      <c r="G12" s="501">
        <v>1846.4168592603887</v>
      </c>
      <c r="H12" s="501">
        <v>2649.1075204055142</v>
      </c>
      <c r="I12" s="501">
        <v>78.009229456628276</v>
      </c>
      <c r="J12" s="501" t="s">
        <v>31</v>
      </c>
    </row>
    <row r="13" spans="1:13" s="117" customFormat="1" ht="15.95" customHeight="1" x14ac:dyDescent="0.3">
      <c r="A13" s="466">
        <v>2009</v>
      </c>
      <c r="B13" s="501">
        <v>12117.165405464742</v>
      </c>
      <c r="C13" s="501">
        <v>147.18367255176275</v>
      </c>
      <c r="D13" s="501">
        <v>0.9678877526195182</v>
      </c>
      <c r="E13" s="501">
        <v>43.098160447807757</v>
      </c>
      <c r="F13" s="501">
        <v>6453.5896936354056</v>
      </c>
      <c r="G13" s="501">
        <v>2180.0991662779411</v>
      </c>
      <c r="H13" s="501">
        <v>3206.7427996623956</v>
      </c>
      <c r="I13" s="501">
        <v>85.320546864594419</v>
      </c>
      <c r="J13" s="501" t="s">
        <v>31</v>
      </c>
    </row>
    <row r="14" spans="1:13" s="117" customFormat="1" ht="15.95" customHeight="1" x14ac:dyDescent="0.3">
      <c r="A14" s="466">
        <v>2010</v>
      </c>
      <c r="B14" s="501">
        <v>12282.689371256431</v>
      </c>
      <c r="C14" s="501">
        <v>136.93156846367444</v>
      </c>
      <c r="D14" s="501">
        <v>0.90046936433360691</v>
      </c>
      <c r="E14" s="501">
        <v>45.469487153848149</v>
      </c>
      <c r="F14" s="501">
        <v>6602.7669100874382</v>
      </c>
      <c r="G14" s="501">
        <v>2146.9195380732135</v>
      </c>
      <c r="H14" s="501">
        <v>3272.874336134616</v>
      </c>
      <c r="I14" s="501">
        <v>76.564618271096762</v>
      </c>
      <c r="J14" s="501" t="s">
        <v>31</v>
      </c>
    </row>
    <row r="15" spans="1:13" s="117" customFormat="1" ht="15.95" customHeight="1" x14ac:dyDescent="0.3">
      <c r="A15" s="466">
        <v>2011</v>
      </c>
      <c r="B15" s="501">
        <v>11965.33290369504</v>
      </c>
      <c r="C15" s="501">
        <v>131.55345016677467</v>
      </c>
      <c r="D15" s="501">
        <v>0.86510256894482118</v>
      </c>
      <c r="E15" s="501">
        <v>47.2293265053261</v>
      </c>
      <c r="F15" s="501">
        <v>6486.484661727126</v>
      </c>
      <c r="G15" s="501">
        <v>2025.2126893089437</v>
      </c>
      <c r="H15" s="501">
        <v>3209.376990904203</v>
      </c>
      <c r="I15" s="501">
        <v>64.256190744729722</v>
      </c>
      <c r="J15" s="501" t="s">
        <v>31</v>
      </c>
    </row>
    <row r="16" spans="1:13" s="117" customFormat="1" ht="15.95" customHeight="1" x14ac:dyDescent="0.3">
      <c r="A16" s="466">
        <v>2012</v>
      </c>
      <c r="B16" s="501">
        <v>13210.45585650549</v>
      </c>
      <c r="C16" s="501">
        <v>122.37316351978588</v>
      </c>
      <c r="D16" s="501">
        <v>0.80473250984039135</v>
      </c>
      <c r="E16" s="501">
        <v>49.754269924847648</v>
      </c>
      <c r="F16" s="501">
        <v>7237.5150206889575</v>
      </c>
      <c r="G16" s="501">
        <v>2166.0878002277564</v>
      </c>
      <c r="H16" s="501">
        <v>3574.4965989763009</v>
      </c>
      <c r="I16" s="501">
        <v>58.96955911612649</v>
      </c>
      <c r="J16" s="501" t="s">
        <v>31</v>
      </c>
    </row>
    <row r="17" spans="1:20" s="117" customFormat="1" ht="15.95" customHeight="1" x14ac:dyDescent="0.3">
      <c r="A17" s="466">
        <v>2013</v>
      </c>
      <c r="B17" s="501">
        <v>14920.068729857403</v>
      </c>
      <c r="C17" s="501">
        <v>117.98668434599972</v>
      </c>
      <c r="D17" s="501">
        <v>0.77588678669854583</v>
      </c>
      <c r="E17" s="501">
        <v>51.751313353692794</v>
      </c>
      <c r="F17" s="501">
        <v>8261.8706921806443</v>
      </c>
      <c r="G17" s="501">
        <v>2361.3430877828578</v>
      </c>
      <c r="H17" s="501">
        <v>4073.5814425290882</v>
      </c>
      <c r="I17" s="501">
        <v>52.185561654918423</v>
      </c>
      <c r="J17" s="501">
        <v>0.57406122350340671</v>
      </c>
    </row>
    <row r="18" spans="1:20" s="117" customFormat="1" ht="15.95" customHeight="1" x14ac:dyDescent="0.3">
      <c r="A18" s="466">
        <v>2014</v>
      </c>
      <c r="B18" s="501">
        <v>14856.977707190244</v>
      </c>
      <c r="C18" s="501">
        <v>111.75382829370993</v>
      </c>
      <c r="D18" s="501">
        <v>0.73489918982546132</v>
      </c>
      <c r="E18" s="501">
        <v>53.022906486448029</v>
      </c>
      <c r="F18" s="501">
        <v>8229.32414440514</v>
      </c>
      <c r="G18" s="501">
        <v>2352.0409451188389</v>
      </c>
      <c r="H18" s="501">
        <v>4057.4170668286665</v>
      </c>
      <c r="I18" s="501">
        <v>51.979984777069717</v>
      </c>
      <c r="J18" s="501">
        <v>0.70393209054678385</v>
      </c>
    </row>
    <row r="19" spans="1:20" s="117" customFormat="1" ht="15.95" customHeight="1" x14ac:dyDescent="0.3">
      <c r="A19" s="466">
        <v>2015</v>
      </c>
      <c r="B19" s="501">
        <v>16653.872358968507</v>
      </c>
      <c r="C19" s="501">
        <v>107.72112721257254</v>
      </c>
      <c r="D19" s="501">
        <v>0.70837993046239811</v>
      </c>
      <c r="E19" s="501">
        <v>54.518046533474653</v>
      </c>
      <c r="F19" s="501">
        <v>9237.2633416579629</v>
      </c>
      <c r="G19" s="501">
        <v>2640.1220893747122</v>
      </c>
      <c r="H19" s="501">
        <v>4554.3667826185547</v>
      </c>
      <c r="I19" s="501">
        <v>58.346563353882935</v>
      </c>
      <c r="J19" s="501">
        <v>0.82602828688377472</v>
      </c>
    </row>
    <row r="20" spans="1:20" s="117" customFormat="1" ht="15.95" customHeight="1" x14ac:dyDescent="0.3">
      <c r="A20" s="466">
        <v>2016</v>
      </c>
      <c r="B20" s="501">
        <v>13289.477850496749</v>
      </c>
      <c r="C20" s="501">
        <v>103.11624777994288</v>
      </c>
      <c r="D20" s="501">
        <v>0.67809799546336291</v>
      </c>
      <c r="E20" s="501">
        <v>56.23272227011865</v>
      </c>
      <c r="F20" s="501">
        <v>7354.1312711543424</v>
      </c>
      <c r="G20" s="501">
        <v>2101.8995456395501</v>
      </c>
      <c r="H20" s="501">
        <v>3625.9307110770874</v>
      </c>
      <c r="I20" s="501">
        <v>46.45187262237615</v>
      </c>
      <c r="J20" s="501">
        <v>1.0373819578676031</v>
      </c>
    </row>
    <row r="21" spans="1:20" s="117" customFormat="1" ht="15.95" customHeight="1" x14ac:dyDescent="0.3">
      <c r="A21" s="466">
        <v>2017</v>
      </c>
      <c r="B21" s="501">
        <v>3992.626362496198</v>
      </c>
      <c r="C21" s="501">
        <v>99.33175150967817</v>
      </c>
      <c r="D21" s="501">
        <v>0.65321094429581417</v>
      </c>
      <c r="E21" s="501">
        <v>59.265746987961762</v>
      </c>
      <c r="F21" s="501">
        <v>14.238551818955131</v>
      </c>
      <c r="G21" s="501">
        <v>862.6842302645224</v>
      </c>
      <c r="H21" s="501">
        <v>2749.4964922982595</v>
      </c>
      <c r="I21" s="501">
        <v>0</v>
      </c>
      <c r="J21" s="501">
        <v>206.9563786725252</v>
      </c>
    </row>
    <row r="22" spans="1:20" s="117" customFormat="1" ht="15.95" customHeight="1" x14ac:dyDescent="0.3">
      <c r="A22" s="466">
        <v>2018</v>
      </c>
      <c r="B22" s="501">
        <v>4712.004221237341</v>
      </c>
      <c r="C22" s="501">
        <v>94.814759536595503</v>
      </c>
      <c r="D22" s="501">
        <v>0.62350696196115796</v>
      </c>
      <c r="E22" s="501">
        <v>61.709561576060175</v>
      </c>
      <c r="F22" s="501">
        <v>13.674455811484069</v>
      </c>
      <c r="G22" s="501">
        <v>821.71052691769842</v>
      </c>
      <c r="H22" s="501">
        <v>3509.5258201987149</v>
      </c>
      <c r="I22" s="501">
        <v>0</v>
      </c>
      <c r="J22" s="501">
        <v>209.94559023482762</v>
      </c>
    </row>
    <row r="23" spans="1:20" s="117" customFormat="1" ht="15.95" customHeight="1" x14ac:dyDescent="0.3">
      <c r="A23" s="466">
        <v>2019</v>
      </c>
      <c r="B23" s="501">
        <v>4391.122226622364</v>
      </c>
      <c r="C23" s="501">
        <v>89.953896790759444</v>
      </c>
      <c r="D23" s="501">
        <v>0.5915416669165966</v>
      </c>
      <c r="E23" s="501">
        <v>60.242129305809442</v>
      </c>
      <c r="F23" s="501">
        <v>0.6553997072460731</v>
      </c>
      <c r="G23" s="501">
        <v>109.86719842525375</v>
      </c>
      <c r="H23" s="501">
        <v>3922.9343485927561</v>
      </c>
      <c r="I23" s="501">
        <v>0</v>
      </c>
      <c r="J23" s="501">
        <v>206.87771213362277</v>
      </c>
    </row>
    <row r="24" spans="1:20" s="117" customFormat="1" ht="15.95" customHeight="1" x14ac:dyDescent="0.3">
      <c r="A24" s="470">
        <v>2020</v>
      </c>
      <c r="B24" s="502">
        <v>4164.7931651373365</v>
      </c>
      <c r="C24" s="503">
        <v>82.930389822712527</v>
      </c>
      <c r="D24" s="503">
        <v>0.54535470706600797</v>
      </c>
      <c r="E24" s="503">
        <v>67.791691394306156</v>
      </c>
      <c r="F24" s="503">
        <v>0.16820479495637461</v>
      </c>
      <c r="G24" s="503">
        <v>85.84085372580364</v>
      </c>
      <c r="H24" s="503">
        <v>3780.6000920507695</v>
      </c>
      <c r="I24" s="503">
        <v>0</v>
      </c>
      <c r="J24" s="503">
        <v>146.91657864172268</v>
      </c>
    </row>
    <row r="25" spans="1:20" s="124" customFormat="1" ht="12" customHeight="1" x14ac:dyDescent="0.25">
      <c r="A25" s="701" t="s">
        <v>381</v>
      </c>
      <c r="B25" s="701"/>
      <c r="C25" s="701"/>
      <c r="D25" s="701"/>
      <c r="E25" s="701"/>
      <c r="F25" s="701"/>
      <c r="G25" s="701"/>
      <c r="H25" s="701"/>
      <c r="I25" s="701"/>
      <c r="J25" s="701"/>
      <c r="K25" s="128"/>
      <c r="M25" s="117"/>
      <c r="N25" s="117"/>
      <c r="O25" s="117"/>
      <c r="P25" s="117"/>
      <c r="Q25" s="117"/>
      <c r="R25" s="117"/>
      <c r="S25" s="117"/>
      <c r="T25" s="117"/>
    </row>
    <row r="26" spans="1:20" s="118" customFormat="1" ht="12" customHeight="1" x14ac:dyDescent="0.25">
      <c r="A26" s="118" t="s">
        <v>383</v>
      </c>
      <c r="M26" s="117"/>
      <c r="N26" s="117"/>
      <c r="O26" s="117"/>
      <c r="P26" s="117"/>
      <c r="Q26" s="117"/>
      <c r="R26" s="117"/>
      <c r="S26" s="117"/>
      <c r="T26" s="117"/>
    </row>
    <row r="27" spans="1:20" s="118" customFormat="1" ht="12" customHeight="1" x14ac:dyDescent="0.25">
      <c r="A27" s="705" t="s">
        <v>384</v>
      </c>
      <c r="B27" s="706"/>
      <c r="C27" s="706"/>
      <c r="D27" s="706"/>
      <c r="E27" s="706"/>
      <c r="F27" s="706"/>
      <c r="G27" s="706"/>
      <c r="H27" s="706"/>
      <c r="I27" s="706"/>
      <c r="J27" s="706"/>
    </row>
    <row r="28" spans="1:20" s="118" customFormat="1" ht="24" customHeight="1" x14ac:dyDescent="0.25">
      <c r="A28" s="704" t="s">
        <v>385</v>
      </c>
      <c r="B28" s="702"/>
      <c r="C28" s="702"/>
      <c r="D28" s="702"/>
      <c r="E28" s="702"/>
      <c r="F28" s="702"/>
      <c r="G28" s="702"/>
      <c r="H28" s="702"/>
      <c r="I28" s="702"/>
      <c r="J28" s="702"/>
    </row>
    <row r="29" spans="1:20" s="124" customFormat="1" ht="12" customHeight="1" x14ac:dyDescent="0.25">
      <c r="A29" s="125" t="s">
        <v>372</v>
      </c>
    </row>
    <row r="30" spans="1:20" ht="12.75" customHeight="1" x14ac:dyDescent="0.3">
      <c r="I30" s="30"/>
    </row>
    <row r="31" spans="1:20" ht="12.75" customHeight="1" x14ac:dyDescent="0.3">
      <c r="I31" s="30"/>
    </row>
    <row r="32" spans="1:20" ht="12.75" customHeight="1" x14ac:dyDescent="0.3">
      <c r="I32" s="30"/>
    </row>
    <row r="33" spans="2:9" ht="12.75" customHeight="1" x14ac:dyDescent="0.3">
      <c r="B33" s="26"/>
      <c r="C33" s="26"/>
      <c r="D33" s="26"/>
      <c r="E33" s="26"/>
      <c r="F33" s="26"/>
      <c r="G33" s="26"/>
      <c r="H33" s="26"/>
      <c r="I33" s="30"/>
    </row>
    <row r="34" spans="2:9" ht="12.75" customHeight="1" x14ac:dyDescent="0.3">
      <c r="B34" s="26"/>
      <c r="C34" s="26"/>
      <c r="D34" s="26"/>
      <c r="E34" s="26"/>
      <c r="F34" s="26"/>
      <c r="G34" s="26"/>
      <c r="H34" s="26"/>
      <c r="I34" s="30"/>
    </row>
  </sheetData>
  <mergeCells count="5">
    <mergeCell ref="A1:J1"/>
    <mergeCell ref="A2:J2"/>
    <mergeCell ref="A25:J25"/>
    <mergeCell ref="A28:J28"/>
    <mergeCell ref="A27:J27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T32"/>
  <sheetViews>
    <sheetView showGridLines="0" zoomScaleNormal="100" zoomScaleSheetLayoutView="130" workbookViewId="0">
      <selection activeCell="A2" sqref="A2:U2"/>
    </sheetView>
  </sheetViews>
  <sheetFormatPr baseColWidth="10" defaultColWidth="9.140625" defaultRowHeight="12.75" customHeight="1" x14ac:dyDescent="0.3"/>
  <cols>
    <col min="1" max="1" width="11.28515625" style="26" customWidth="1"/>
    <col min="2" max="2" width="8.85546875" style="27" customWidth="1"/>
    <col min="3" max="3" width="7.140625" style="27" customWidth="1"/>
    <col min="4" max="4" width="8.140625" style="27" customWidth="1"/>
    <col min="5" max="5" width="12.5703125" style="27" customWidth="1"/>
    <col min="6" max="6" width="11.7109375" style="27" customWidth="1"/>
    <col min="7" max="7" width="8.7109375" style="27" customWidth="1"/>
    <col min="8" max="8" width="11.42578125" style="27" customWidth="1"/>
    <col min="9" max="9" width="8.28515625" style="27" hidden="1" customWidth="1"/>
    <col min="10" max="10" width="7.85546875" style="26" customWidth="1"/>
    <col min="11" max="16384" width="9.140625" style="26"/>
  </cols>
  <sheetData>
    <row r="1" spans="1:10" s="473" customFormat="1" ht="25.7" customHeight="1" x14ac:dyDescent="0.3">
      <c r="A1" s="703" t="s">
        <v>448</v>
      </c>
      <c r="B1" s="703"/>
      <c r="C1" s="703"/>
      <c r="D1" s="703"/>
      <c r="E1" s="703"/>
      <c r="F1" s="703"/>
      <c r="G1" s="703"/>
      <c r="H1" s="703"/>
      <c r="I1" s="703"/>
      <c r="J1" s="703"/>
    </row>
    <row r="2" spans="1:10" s="473" customFormat="1" ht="12.75" customHeight="1" x14ac:dyDescent="0.3">
      <c r="A2" s="707" t="s">
        <v>190</v>
      </c>
      <c r="B2" s="707"/>
      <c r="C2" s="707"/>
      <c r="D2" s="707"/>
      <c r="E2" s="707"/>
      <c r="F2" s="707"/>
      <c r="G2" s="707"/>
      <c r="H2" s="707"/>
      <c r="I2" s="707"/>
      <c r="J2" s="707"/>
    </row>
    <row r="3" spans="1:10" ht="12.75" customHeight="1" x14ac:dyDescent="0.3">
      <c r="A3" s="117"/>
      <c r="B3" s="121"/>
      <c r="C3" s="121"/>
      <c r="D3" s="121"/>
      <c r="E3" s="121"/>
      <c r="F3" s="121"/>
      <c r="G3" s="121"/>
      <c r="H3" s="121"/>
      <c r="I3" s="121"/>
      <c r="J3" s="117"/>
    </row>
    <row r="4" spans="1:10" s="117" customFormat="1" ht="57.75" customHeight="1" x14ac:dyDescent="0.25">
      <c r="A4" s="463" t="s">
        <v>129</v>
      </c>
      <c r="B4" s="462" t="s">
        <v>28</v>
      </c>
      <c r="C4" s="462" t="s">
        <v>173</v>
      </c>
      <c r="D4" s="461" t="s">
        <v>189</v>
      </c>
      <c r="E4" s="461" t="s">
        <v>362</v>
      </c>
      <c r="F4" s="461" t="s">
        <v>472</v>
      </c>
      <c r="G4" s="461" t="s">
        <v>470</v>
      </c>
      <c r="H4" s="461" t="s">
        <v>471</v>
      </c>
      <c r="I4" s="461" t="s">
        <v>182</v>
      </c>
      <c r="J4" s="461" t="s">
        <v>191</v>
      </c>
    </row>
    <row r="5" spans="1:10" s="117" customFormat="1" ht="15.95" customHeight="1" x14ac:dyDescent="0.3">
      <c r="A5" s="465">
        <v>2001</v>
      </c>
      <c r="B5" s="504">
        <f>SUM(C5:J5)</f>
        <v>1825.307097691408</v>
      </c>
      <c r="C5" s="504">
        <v>160.82121439485991</v>
      </c>
      <c r="D5" s="504">
        <v>7.6134048517610431</v>
      </c>
      <c r="E5" s="504">
        <v>5.0609204828542111</v>
      </c>
      <c r="F5" s="504">
        <v>432.7512970707719</v>
      </c>
      <c r="G5" s="504">
        <v>3.7364451030436241</v>
      </c>
      <c r="H5" s="504">
        <v>1215.3238157881174</v>
      </c>
      <c r="I5" s="504" t="s">
        <v>31</v>
      </c>
      <c r="J5" s="504">
        <v>0</v>
      </c>
    </row>
    <row r="6" spans="1:10" s="117" customFormat="1" ht="15.95" customHeight="1" x14ac:dyDescent="0.3">
      <c r="A6" s="465">
        <v>2002</v>
      </c>
      <c r="B6" s="504">
        <f t="shared" ref="B6:B24" si="0">SUM(C6:J6)</f>
        <v>1749.6654470262943</v>
      </c>
      <c r="C6" s="504">
        <v>150.26472284434732</v>
      </c>
      <c r="D6" s="504">
        <v>5.7184141820707408</v>
      </c>
      <c r="E6" s="504">
        <v>6.9097483391309371</v>
      </c>
      <c r="F6" s="504">
        <v>416.808666550726</v>
      </c>
      <c r="G6" s="504">
        <v>4.3620688560231526</v>
      </c>
      <c r="H6" s="504">
        <v>1165.601826253996</v>
      </c>
      <c r="I6" s="504" t="s">
        <v>31</v>
      </c>
      <c r="J6" s="504">
        <v>0</v>
      </c>
    </row>
    <row r="7" spans="1:10" s="117" customFormat="1" ht="15.95" customHeight="1" x14ac:dyDescent="0.3">
      <c r="A7" s="465">
        <v>2003</v>
      </c>
      <c r="B7" s="504">
        <f t="shared" si="0"/>
        <v>1823.1833132990116</v>
      </c>
      <c r="C7" s="504">
        <v>145.48879875158997</v>
      </c>
      <c r="D7" s="504">
        <v>5.7111536948863213</v>
      </c>
      <c r="E7" s="504">
        <v>7.6025806438179924</v>
      </c>
      <c r="F7" s="504">
        <v>382.37824186007083</v>
      </c>
      <c r="G7" s="504">
        <v>2.9277400848259147</v>
      </c>
      <c r="H7" s="504">
        <v>1279.0747982638206</v>
      </c>
      <c r="I7" s="504" t="s">
        <v>31</v>
      </c>
      <c r="J7" s="504">
        <v>0</v>
      </c>
    </row>
    <row r="8" spans="1:10" s="117" customFormat="1" ht="15.95" customHeight="1" x14ac:dyDescent="0.3">
      <c r="A8" s="465">
        <v>2004</v>
      </c>
      <c r="B8" s="504">
        <f t="shared" si="0"/>
        <v>2090.4786306080191</v>
      </c>
      <c r="C8" s="504">
        <v>137.72928526170895</v>
      </c>
      <c r="D8" s="504">
        <v>5.6569709547040663</v>
      </c>
      <c r="E8" s="504">
        <v>7.614504293580608</v>
      </c>
      <c r="F8" s="504">
        <v>394.61559182502862</v>
      </c>
      <c r="G8" s="504">
        <v>1.7221441874275463</v>
      </c>
      <c r="H8" s="504">
        <v>1540.8921315910879</v>
      </c>
      <c r="I8" s="504" t="s">
        <v>31</v>
      </c>
      <c r="J8" s="504">
        <v>2.2480024944813555</v>
      </c>
    </row>
    <row r="9" spans="1:10" s="117" customFormat="1" ht="15.95" customHeight="1" x14ac:dyDescent="0.3">
      <c r="A9" s="465">
        <v>2005</v>
      </c>
      <c r="B9" s="504">
        <f t="shared" si="0"/>
        <v>1926.1781638726038</v>
      </c>
      <c r="C9" s="504">
        <v>128.76395094905462</v>
      </c>
      <c r="D9" s="504">
        <v>3.5145561199300435</v>
      </c>
      <c r="E9" s="504">
        <v>9.9778366394758784</v>
      </c>
      <c r="F9" s="504">
        <v>368.78313820162464</v>
      </c>
      <c r="G9" s="504">
        <v>1.1209403142130219</v>
      </c>
      <c r="H9" s="504">
        <v>1404.6081387297575</v>
      </c>
      <c r="I9" s="504" t="s">
        <v>31</v>
      </c>
      <c r="J9" s="504">
        <v>9.4096029185481864</v>
      </c>
    </row>
    <row r="10" spans="1:10" s="117" customFormat="1" ht="15.95" customHeight="1" x14ac:dyDescent="0.3">
      <c r="A10" s="465">
        <v>2006</v>
      </c>
      <c r="B10" s="504">
        <f t="shared" si="0"/>
        <v>1976.3126402925511</v>
      </c>
      <c r="C10" s="504">
        <v>122.60372670615536</v>
      </c>
      <c r="D10" s="504">
        <v>3.7804232684844958</v>
      </c>
      <c r="E10" s="504">
        <v>13.936867838054434</v>
      </c>
      <c r="F10" s="504">
        <v>321.34845054324262</v>
      </c>
      <c r="G10" s="504">
        <v>0.4438313147289441</v>
      </c>
      <c r="H10" s="504">
        <v>1492.3114722631065</v>
      </c>
      <c r="I10" s="504" t="s">
        <v>31</v>
      </c>
      <c r="J10" s="504">
        <v>21.887868358778857</v>
      </c>
    </row>
    <row r="11" spans="1:10" s="117" customFormat="1" ht="15.95" customHeight="1" x14ac:dyDescent="0.3">
      <c r="A11" s="465">
        <v>2007</v>
      </c>
      <c r="B11" s="504">
        <f t="shared" si="0"/>
        <v>1912.827790343531</v>
      </c>
      <c r="C11" s="504">
        <v>115.22975877408479</v>
      </c>
      <c r="D11" s="504">
        <v>3.7804232684844958</v>
      </c>
      <c r="E11" s="504">
        <v>13.606619660199858</v>
      </c>
      <c r="F11" s="504">
        <v>328.81028557597199</v>
      </c>
      <c r="G11" s="504">
        <v>0.30321350708213063</v>
      </c>
      <c r="H11" s="504">
        <v>1416.561070985608</v>
      </c>
      <c r="I11" s="504" t="s">
        <v>31</v>
      </c>
      <c r="J11" s="504">
        <v>34.536418572099485</v>
      </c>
    </row>
    <row r="12" spans="1:10" s="117" customFormat="1" ht="15.95" customHeight="1" x14ac:dyDescent="0.3">
      <c r="A12" s="465">
        <v>2008</v>
      </c>
      <c r="B12" s="504">
        <f t="shared" si="0"/>
        <v>2153.791479782743</v>
      </c>
      <c r="C12" s="504">
        <v>107.14636765422652</v>
      </c>
      <c r="D12" s="504">
        <v>0</v>
      </c>
      <c r="E12" s="504">
        <v>18.969891690232178</v>
      </c>
      <c r="F12" s="504">
        <v>354.56921583067327</v>
      </c>
      <c r="G12" s="504">
        <v>0.22663005081910478</v>
      </c>
      <c r="H12" s="504">
        <v>1629.9872036193817</v>
      </c>
      <c r="I12" s="504" t="s">
        <v>31</v>
      </c>
      <c r="J12" s="504">
        <v>42.892170937410235</v>
      </c>
    </row>
    <row r="13" spans="1:10" s="117" customFormat="1" ht="15.95" customHeight="1" x14ac:dyDescent="0.3">
      <c r="A13" s="465">
        <v>2009</v>
      </c>
      <c r="B13" s="504">
        <f t="shared" si="0"/>
        <v>2162.7803728062549</v>
      </c>
      <c r="C13" s="504">
        <v>110.03599108232534</v>
      </c>
      <c r="D13" s="504">
        <v>0</v>
      </c>
      <c r="E13" s="504">
        <v>24.584309197675406</v>
      </c>
      <c r="F13" s="504">
        <v>415.73352531736271</v>
      </c>
      <c r="G13" s="504">
        <v>0.18321693123687582</v>
      </c>
      <c r="H13" s="504">
        <v>1571.6260569299172</v>
      </c>
      <c r="I13" s="504" t="s">
        <v>31</v>
      </c>
      <c r="J13" s="504">
        <v>40.617273347737445</v>
      </c>
    </row>
    <row r="14" spans="1:10" s="117" customFormat="1" ht="15.95" customHeight="1" x14ac:dyDescent="0.3">
      <c r="A14" s="465">
        <v>2010</v>
      </c>
      <c r="B14" s="504">
        <f t="shared" si="0"/>
        <v>2414.2736999660428</v>
      </c>
      <c r="C14" s="504">
        <v>105.02699433829622</v>
      </c>
      <c r="D14" s="504">
        <v>76.3537317054802</v>
      </c>
      <c r="E14" s="504">
        <v>32.131157693858015</v>
      </c>
      <c r="F14" s="504">
        <v>406.9684856192498</v>
      </c>
      <c r="G14" s="504">
        <v>7.8075782248664946E-2</v>
      </c>
      <c r="H14" s="504">
        <v>1745.8426107994351</v>
      </c>
      <c r="I14" s="504" t="s">
        <v>31</v>
      </c>
      <c r="J14" s="504">
        <v>47.872644027474941</v>
      </c>
    </row>
    <row r="15" spans="1:10" s="117" customFormat="1" ht="15.95" customHeight="1" x14ac:dyDescent="0.3">
      <c r="A15" s="465">
        <v>2011</v>
      </c>
      <c r="B15" s="504">
        <f t="shared" si="0"/>
        <v>2291.0002716516751</v>
      </c>
      <c r="C15" s="504">
        <v>100.04814763429192</v>
      </c>
      <c r="D15" s="504">
        <v>81.933089545869137</v>
      </c>
      <c r="E15" s="504">
        <v>39.490382475892034</v>
      </c>
      <c r="F15" s="504">
        <v>278.21265750086025</v>
      </c>
      <c r="G15" s="504">
        <v>0</v>
      </c>
      <c r="H15" s="504">
        <v>1721.4290932853021</v>
      </c>
      <c r="I15" s="504" t="s">
        <v>31</v>
      </c>
      <c r="J15" s="504">
        <v>69.886901209459481</v>
      </c>
    </row>
    <row r="16" spans="1:10" s="117" customFormat="1" ht="15.95" customHeight="1" x14ac:dyDescent="0.3">
      <c r="A16" s="465">
        <v>2012</v>
      </c>
      <c r="B16" s="504">
        <f t="shared" si="0"/>
        <v>2079.9644866695326</v>
      </c>
      <c r="C16" s="504">
        <v>98.540493957727278</v>
      </c>
      <c r="D16" s="504">
        <v>73.476188882287474</v>
      </c>
      <c r="E16" s="504">
        <v>50.775602087617365</v>
      </c>
      <c r="F16" s="504">
        <v>76.19736193527828</v>
      </c>
      <c r="G16" s="504">
        <v>0</v>
      </c>
      <c r="H16" s="504">
        <v>1721.7808921643607</v>
      </c>
      <c r="I16" s="504" t="s">
        <v>31</v>
      </c>
      <c r="J16" s="504">
        <v>59.193947642261392</v>
      </c>
    </row>
    <row r="17" spans="1:20" s="117" customFormat="1" ht="15.95" customHeight="1" x14ac:dyDescent="0.3">
      <c r="A17" s="465">
        <v>2013</v>
      </c>
      <c r="B17" s="504">
        <f t="shared" si="0"/>
        <v>2081.1609576899173</v>
      </c>
      <c r="C17" s="504">
        <v>94.289874164220564</v>
      </c>
      <c r="D17" s="504">
        <v>61.448279541099382</v>
      </c>
      <c r="E17" s="504">
        <v>57.373148795555444</v>
      </c>
      <c r="F17" s="504">
        <v>79.950566973488549</v>
      </c>
      <c r="G17" s="504">
        <v>0</v>
      </c>
      <c r="H17" s="504">
        <v>1722.6071890627529</v>
      </c>
      <c r="I17" s="504" t="s">
        <v>31</v>
      </c>
      <c r="J17" s="504">
        <v>65.491899152800229</v>
      </c>
    </row>
    <row r="18" spans="1:20" s="117" customFormat="1" ht="15.95" customHeight="1" x14ac:dyDescent="0.3">
      <c r="A18" s="465">
        <v>2014</v>
      </c>
      <c r="B18" s="504">
        <f t="shared" si="0"/>
        <v>2045.3779335055322</v>
      </c>
      <c r="C18" s="504">
        <v>93.10745667246691</v>
      </c>
      <c r="D18" s="504">
        <v>61.448279541099382</v>
      </c>
      <c r="E18" s="504">
        <v>58.809252429745776</v>
      </c>
      <c r="F18" s="504">
        <v>84.771006093969262</v>
      </c>
      <c r="G18" s="504">
        <v>0</v>
      </c>
      <c r="H18" s="504">
        <v>1679.1314229887978</v>
      </c>
      <c r="I18" s="504" t="s">
        <v>31</v>
      </c>
      <c r="J18" s="504">
        <v>68.110515779452896</v>
      </c>
    </row>
    <row r="19" spans="1:20" s="117" customFormat="1" ht="15.95" customHeight="1" x14ac:dyDescent="0.3">
      <c r="A19" s="465">
        <v>2015</v>
      </c>
      <c r="B19" s="504">
        <f t="shared" si="0"/>
        <v>2057.4041482881216</v>
      </c>
      <c r="C19" s="504">
        <v>91.939866977835678</v>
      </c>
      <c r="D19" s="504">
        <v>35.344719379429797</v>
      </c>
      <c r="E19" s="504">
        <v>65.498229704453522</v>
      </c>
      <c r="F19" s="504">
        <v>88.032625447158154</v>
      </c>
      <c r="G19" s="504">
        <v>0</v>
      </c>
      <c r="H19" s="504">
        <v>1705.922735899002</v>
      </c>
      <c r="I19" s="504" t="s">
        <v>31</v>
      </c>
      <c r="J19" s="504">
        <v>70.665970880242511</v>
      </c>
    </row>
    <row r="20" spans="1:20" s="117" customFormat="1" ht="15.95" customHeight="1" x14ac:dyDescent="0.3">
      <c r="A20" s="465">
        <v>2016</v>
      </c>
      <c r="B20" s="504">
        <f t="shared" si="0"/>
        <v>2056.9417428049987</v>
      </c>
      <c r="C20" s="504">
        <v>90.786919136217406</v>
      </c>
      <c r="D20" s="504">
        <v>3.7145802537944128</v>
      </c>
      <c r="E20" s="504">
        <v>73.193857713420073</v>
      </c>
      <c r="F20" s="504">
        <v>103.03496704785461</v>
      </c>
      <c r="G20" s="504">
        <v>0</v>
      </c>
      <c r="H20" s="504">
        <v>1715.4690880717535</v>
      </c>
      <c r="I20" s="504" t="s">
        <v>31</v>
      </c>
      <c r="J20" s="504">
        <v>70.742330581959052</v>
      </c>
    </row>
    <row r="21" spans="1:20" s="117" customFormat="1" ht="15.95" customHeight="1" x14ac:dyDescent="0.3">
      <c r="A21" s="465">
        <v>2017</v>
      </c>
      <c r="B21" s="504">
        <f t="shared" si="0"/>
        <v>2070.2972669430469</v>
      </c>
      <c r="C21" s="504">
        <v>89.648429535286084</v>
      </c>
      <c r="D21" s="504">
        <v>3.7145849163362539</v>
      </c>
      <c r="E21" s="504">
        <v>81.995260369688808</v>
      </c>
      <c r="F21" s="504">
        <v>61.999320726758611</v>
      </c>
      <c r="G21" s="504">
        <v>0</v>
      </c>
      <c r="H21" s="504">
        <v>1698.6526315044728</v>
      </c>
      <c r="I21" s="504" t="s">
        <v>31</v>
      </c>
      <c r="J21" s="504">
        <v>134.28703989050436</v>
      </c>
    </row>
    <row r="22" spans="1:20" s="117" customFormat="1" ht="15.95" customHeight="1" x14ac:dyDescent="0.3">
      <c r="A22" s="465">
        <v>2018</v>
      </c>
      <c r="B22" s="504">
        <f t="shared" si="0"/>
        <v>2060.1912107892581</v>
      </c>
      <c r="C22" s="504">
        <v>82.884872370391875</v>
      </c>
      <c r="D22" s="504">
        <v>3.7145849163362539</v>
      </c>
      <c r="E22" s="504">
        <v>105.88729787468536</v>
      </c>
      <c r="F22" s="504">
        <v>40.072800590627011</v>
      </c>
      <c r="G22" s="504"/>
      <c r="H22" s="504">
        <v>1761.4821163653867</v>
      </c>
      <c r="I22" s="504"/>
      <c r="J22" s="504">
        <v>66.149538671831024</v>
      </c>
    </row>
    <row r="23" spans="1:20" s="117" customFormat="1" ht="15.95" customHeight="1" x14ac:dyDescent="0.3">
      <c r="A23" s="465">
        <v>2019</v>
      </c>
      <c r="B23" s="504">
        <f t="shared" si="0"/>
        <v>2275.2028248168613</v>
      </c>
      <c r="C23" s="504">
        <v>79.807413343619643</v>
      </c>
      <c r="D23" s="504">
        <v>3.7145849163362539</v>
      </c>
      <c r="E23" s="504">
        <v>115.21960391904041</v>
      </c>
      <c r="F23" s="504">
        <v>188.1008824712915</v>
      </c>
      <c r="G23" s="504">
        <v>0</v>
      </c>
      <c r="H23" s="504">
        <v>1821.0023447916496</v>
      </c>
      <c r="I23" s="504" t="s">
        <v>31</v>
      </c>
      <c r="J23" s="504">
        <v>67.357995374923433</v>
      </c>
    </row>
    <row r="24" spans="1:20" s="117" customFormat="1" ht="15.95" customHeight="1" x14ac:dyDescent="0.3">
      <c r="A24" s="505">
        <v>2020</v>
      </c>
      <c r="B24" s="506">
        <f t="shared" si="0"/>
        <v>2192.6061640789067</v>
      </c>
      <c r="C24" s="507">
        <v>75.96478231686244</v>
      </c>
      <c r="D24" s="507">
        <v>3.7145849163362539</v>
      </c>
      <c r="E24" s="507">
        <v>137.44619366398192</v>
      </c>
      <c r="F24" s="507">
        <v>68.714945670179929</v>
      </c>
      <c r="G24" s="507">
        <v>0</v>
      </c>
      <c r="H24" s="507">
        <v>1892.4320588658568</v>
      </c>
      <c r="I24" s="507"/>
      <c r="J24" s="507">
        <v>14.333598645689664</v>
      </c>
    </row>
    <row r="25" spans="1:20" s="124" customFormat="1" ht="12" customHeight="1" x14ac:dyDescent="0.25">
      <c r="A25" s="701" t="s">
        <v>381</v>
      </c>
      <c r="B25" s="702"/>
      <c r="C25" s="702"/>
      <c r="D25" s="702"/>
      <c r="E25" s="702"/>
      <c r="F25" s="702"/>
      <c r="G25" s="702"/>
      <c r="H25" s="702"/>
      <c r="I25" s="702"/>
      <c r="J25" s="702"/>
      <c r="N25" s="117"/>
      <c r="O25" s="117"/>
      <c r="P25" s="117"/>
      <c r="Q25" s="117"/>
      <c r="R25" s="117"/>
      <c r="S25" s="117"/>
      <c r="T25" s="117"/>
    </row>
    <row r="26" spans="1:20" s="118" customFormat="1" ht="12" customHeight="1" x14ac:dyDescent="0.25">
      <c r="A26" s="118" t="s">
        <v>383</v>
      </c>
      <c r="N26" s="117"/>
      <c r="O26" s="117"/>
      <c r="P26" s="117"/>
      <c r="Q26" s="117"/>
      <c r="R26" s="117"/>
      <c r="S26" s="117"/>
      <c r="T26" s="117"/>
    </row>
    <row r="27" spans="1:20" s="118" customFormat="1" ht="24" customHeight="1" x14ac:dyDescent="0.25">
      <c r="A27" s="704" t="s">
        <v>384</v>
      </c>
      <c r="B27" s="702"/>
      <c r="C27" s="702"/>
      <c r="D27" s="702"/>
      <c r="E27" s="702"/>
      <c r="F27" s="702"/>
      <c r="G27" s="702"/>
      <c r="H27" s="702"/>
      <c r="I27" s="702"/>
      <c r="J27" s="702"/>
      <c r="N27" s="117"/>
      <c r="O27" s="117"/>
      <c r="P27" s="117"/>
      <c r="Q27" s="117"/>
      <c r="R27" s="117"/>
      <c r="S27" s="117"/>
      <c r="T27" s="117"/>
    </row>
    <row r="28" spans="1:20" s="118" customFormat="1" ht="24" customHeight="1" x14ac:dyDescent="0.25">
      <c r="A28" s="704" t="s">
        <v>385</v>
      </c>
      <c r="B28" s="702"/>
      <c r="C28" s="702"/>
      <c r="D28" s="702"/>
      <c r="E28" s="702"/>
      <c r="F28" s="702"/>
      <c r="G28" s="702"/>
      <c r="H28" s="702"/>
      <c r="I28" s="702"/>
      <c r="J28" s="702"/>
      <c r="N28" s="117"/>
      <c r="O28" s="117"/>
      <c r="P28" s="117"/>
      <c r="Q28" s="117"/>
      <c r="R28" s="117"/>
      <c r="S28" s="117"/>
      <c r="T28" s="117"/>
    </row>
    <row r="29" spans="1:20" s="124" customFormat="1" ht="12" customHeight="1" x14ac:dyDescent="0.25">
      <c r="A29" s="125" t="s">
        <v>372</v>
      </c>
      <c r="N29" s="117"/>
      <c r="O29" s="117"/>
      <c r="P29" s="117"/>
      <c r="Q29" s="117"/>
      <c r="R29" s="117"/>
      <c r="S29" s="117"/>
      <c r="T29" s="117"/>
    </row>
    <row r="30" spans="1:20" ht="12.75" customHeight="1" x14ac:dyDescent="0.3">
      <c r="B30" s="26"/>
      <c r="C30" s="26"/>
      <c r="D30" s="26"/>
      <c r="E30" s="26"/>
      <c r="F30" s="26"/>
      <c r="G30" s="26"/>
      <c r="H30" s="26"/>
      <c r="I30" s="26"/>
    </row>
    <row r="31" spans="1:20" ht="12.75" customHeight="1" x14ac:dyDescent="0.3">
      <c r="B31" s="26"/>
      <c r="C31" s="26"/>
      <c r="D31" s="26"/>
      <c r="E31" s="26"/>
      <c r="F31" s="26"/>
      <c r="G31" s="26"/>
      <c r="H31" s="26"/>
      <c r="I31" s="26"/>
    </row>
    <row r="32" spans="1:20" ht="12.75" customHeight="1" x14ac:dyDescent="0.3">
      <c r="B32" s="26"/>
      <c r="C32" s="26"/>
      <c r="D32" s="26"/>
      <c r="E32" s="26"/>
      <c r="F32" s="26"/>
      <c r="G32" s="26"/>
      <c r="H32" s="26"/>
      <c r="I32" s="26"/>
    </row>
  </sheetData>
  <mergeCells count="5">
    <mergeCell ref="A1:J1"/>
    <mergeCell ref="A2:J2"/>
    <mergeCell ref="A28:J28"/>
    <mergeCell ref="A25:J25"/>
    <mergeCell ref="A27:J27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AA33"/>
  <sheetViews>
    <sheetView showGridLines="0" zoomScaleNormal="100" zoomScaleSheetLayoutView="145" workbookViewId="0">
      <selection activeCell="A4" sqref="A4:J28"/>
    </sheetView>
  </sheetViews>
  <sheetFormatPr baseColWidth="10" defaultColWidth="9.140625" defaultRowHeight="12.75" customHeight="1" x14ac:dyDescent="0.3"/>
  <cols>
    <col min="1" max="1" width="11.28515625" style="28" customWidth="1"/>
    <col min="2" max="2" width="8.85546875" style="28" customWidth="1"/>
    <col min="3" max="3" width="9" style="28" customWidth="1"/>
    <col min="4" max="4" width="8.140625" style="26" customWidth="1"/>
    <col min="5" max="5" width="10.5703125" style="26" customWidth="1"/>
    <col min="6" max="6" width="11.7109375" style="26" customWidth="1"/>
    <col min="7" max="7" width="11.42578125" style="26" customWidth="1"/>
    <col min="8" max="8" width="9.5703125" style="26" customWidth="1"/>
    <col min="9" max="9" width="7.28515625" style="26" customWidth="1"/>
    <col min="10" max="10" width="7.85546875" style="26" customWidth="1"/>
    <col min="11" max="16384" width="9.140625" style="26"/>
  </cols>
  <sheetData>
    <row r="1" spans="1:27" s="473" customFormat="1" ht="12.75" customHeight="1" x14ac:dyDescent="0.3">
      <c r="A1" s="678" t="s">
        <v>449</v>
      </c>
      <c r="B1" s="678"/>
      <c r="C1" s="678"/>
      <c r="D1" s="678"/>
      <c r="E1" s="678"/>
      <c r="F1" s="678"/>
      <c r="G1" s="678"/>
      <c r="H1" s="678"/>
      <c r="I1" s="678"/>
      <c r="J1" s="678"/>
      <c r="AA1" s="473" t="s">
        <v>25</v>
      </c>
    </row>
    <row r="2" spans="1:27" s="473" customFormat="1" ht="12.75" customHeight="1" x14ac:dyDescent="0.3">
      <c r="A2" s="679" t="s">
        <v>193</v>
      </c>
      <c r="B2" s="679"/>
      <c r="C2" s="679"/>
      <c r="D2" s="679"/>
      <c r="E2" s="679"/>
      <c r="F2" s="679"/>
      <c r="G2" s="679"/>
      <c r="H2" s="679"/>
      <c r="I2" s="679"/>
      <c r="J2" s="679"/>
    </row>
    <row r="3" spans="1:27" ht="12.75" customHeight="1" x14ac:dyDescent="0.3">
      <c r="A3" s="117"/>
      <c r="B3" s="121"/>
      <c r="C3" s="121"/>
      <c r="D3" s="121"/>
      <c r="E3" s="121"/>
      <c r="F3" s="121"/>
      <c r="G3" s="121"/>
      <c r="H3" s="121"/>
      <c r="I3" s="121"/>
      <c r="J3" s="117"/>
    </row>
    <row r="4" spans="1:27" s="117" customFormat="1" ht="54.75" customHeight="1" x14ac:dyDescent="0.25">
      <c r="A4" s="463" t="s">
        <v>129</v>
      </c>
      <c r="B4" s="462" t="s">
        <v>28</v>
      </c>
      <c r="C4" s="461" t="s">
        <v>187</v>
      </c>
      <c r="D4" s="461" t="s">
        <v>191</v>
      </c>
      <c r="E4" s="461" t="s">
        <v>473</v>
      </c>
      <c r="F4" s="461" t="s">
        <v>474</v>
      </c>
      <c r="G4" s="461" t="s">
        <v>362</v>
      </c>
      <c r="H4" s="461" t="s">
        <v>182</v>
      </c>
      <c r="I4" s="461" t="s">
        <v>173</v>
      </c>
      <c r="J4" s="461" t="s">
        <v>189</v>
      </c>
    </row>
    <row r="5" spans="1:27" s="117" customFormat="1" ht="15.95" customHeight="1" x14ac:dyDescent="0.3">
      <c r="A5" s="508">
        <v>2001</v>
      </c>
      <c r="B5" s="504">
        <v>3739.4834854622018</v>
      </c>
      <c r="C5" s="504">
        <v>215.69186836949703</v>
      </c>
      <c r="D5" s="504" t="s">
        <v>31</v>
      </c>
      <c r="E5" s="504">
        <v>79.24580076230157</v>
      </c>
      <c r="F5" s="504">
        <v>3393.0408285838412</v>
      </c>
      <c r="G5" s="504">
        <v>7.0925424436385436</v>
      </c>
      <c r="H5" s="504" t="s">
        <v>31</v>
      </c>
      <c r="I5" s="504">
        <v>43.747179687118781</v>
      </c>
      <c r="J5" s="504">
        <v>0.66526561580470478</v>
      </c>
      <c r="K5" s="186"/>
    </row>
    <row r="6" spans="1:27" s="117" customFormat="1" ht="15.95" customHeight="1" x14ac:dyDescent="0.3">
      <c r="A6" s="508">
        <v>2002</v>
      </c>
      <c r="B6" s="504">
        <v>3870.8564491698521</v>
      </c>
      <c r="C6" s="504">
        <v>162.00634856028719</v>
      </c>
      <c r="D6" s="504" t="s">
        <v>31</v>
      </c>
      <c r="E6" s="504">
        <v>114.54962063534019</v>
      </c>
      <c r="F6" s="504">
        <v>3544.5876705611736</v>
      </c>
      <c r="G6" s="504">
        <v>8.2156486721928381</v>
      </c>
      <c r="H6" s="504" t="s">
        <v>31</v>
      </c>
      <c r="I6" s="504">
        <v>40.875563933789493</v>
      </c>
      <c r="J6" s="504">
        <v>0.62159680706877607</v>
      </c>
      <c r="K6" s="186"/>
    </row>
    <row r="7" spans="1:27" s="117" customFormat="1" ht="15.95" customHeight="1" x14ac:dyDescent="0.3">
      <c r="A7" s="508">
        <v>2003</v>
      </c>
      <c r="B7" s="504">
        <v>4927.9876621956628</v>
      </c>
      <c r="C7" s="504">
        <v>161.99661933173226</v>
      </c>
      <c r="D7" s="504" t="s">
        <v>31</v>
      </c>
      <c r="E7" s="504">
        <v>113.02107354556591</v>
      </c>
      <c r="F7" s="504">
        <v>4605.2820138904699</v>
      </c>
      <c r="G7" s="504">
        <v>7.5097156287706603</v>
      </c>
      <c r="H7" s="504" t="s">
        <v>31</v>
      </c>
      <c r="I7" s="504">
        <v>39.576399453257039</v>
      </c>
      <c r="J7" s="504">
        <v>0.60184034586706103</v>
      </c>
      <c r="K7" s="186"/>
    </row>
    <row r="8" spans="1:27" s="117" customFormat="1" ht="15.95" customHeight="1" x14ac:dyDescent="0.3">
      <c r="A8" s="508">
        <v>2004</v>
      </c>
      <c r="B8" s="504">
        <v>3969.7210726868152</v>
      </c>
      <c r="C8" s="504">
        <v>211.35359145795499</v>
      </c>
      <c r="D8" s="504" t="s">
        <v>31</v>
      </c>
      <c r="E8" s="504">
        <v>243.51899137059957</v>
      </c>
      <c r="F8" s="504">
        <v>3464.7232647534834</v>
      </c>
      <c r="G8" s="504">
        <v>12.08477797088946</v>
      </c>
      <c r="H8" s="504" t="s">
        <v>31</v>
      </c>
      <c r="I8" s="504">
        <v>37.465627984432118</v>
      </c>
      <c r="J8" s="504">
        <v>0.56974173537207906</v>
      </c>
      <c r="K8" s="186"/>
    </row>
    <row r="9" spans="1:27" s="117" customFormat="1" ht="15.95" customHeight="1" x14ac:dyDescent="0.3">
      <c r="A9" s="508">
        <v>2005</v>
      </c>
      <c r="B9" s="504">
        <v>3743.6824458152751</v>
      </c>
      <c r="C9" s="504">
        <v>211.35359145795499</v>
      </c>
      <c r="D9" s="504" t="s">
        <v>31</v>
      </c>
      <c r="E9" s="504">
        <v>303.61379184617215</v>
      </c>
      <c r="F9" s="504">
        <v>3178.3476110701718</v>
      </c>
      <c r="G9" s="504">
        <v>14.786698873498089</v>
      </c>
      <c r="H9" s="504" t="s">
        <v>31</v>
      </c>
      <c r="I9" s="504">
        <v>35.026844689537931</v>
      </c>
      <c r="J9" s="504">
        <v>0.53265503213553356</v>
      </c>
      <c r="K9" s="186"/>
    </row>
    <row r="10" spans="1:27" s="117" customFormat="1" ht="15.95" customHeight="1" x14ac:dyDescent="0.3">
      <c r="A10" s="508">
        <v>2006</v>
      </c>
      <c r="B10" s="504">
        <v>4051.5298858708852</v>
      </c>
      <c r="C10" s="504">
        <v>213.53080501639431</v>
      </c>
      <c r="D10" s="504" t="s">
        <v>31</v>
      </c>
      <c r="E10" s="504">
        <v>381.68776482225019</v>
      </c>
      <c r="F10" s="504">
        <v>3405.8487318385801</v>
      </c>
      <c r="G10" s="504">
        <v>16.554857572716042</v>
      </c>
      <c r="H10" s="504" t="s">
        <v>31</v>
      </c>
      <c r="I10" s="504">
        <v>33.351117778252572</v>
      </c>
      <c r="J10" s="504">
        <v>0.50717216664500642</v>
      </c>
      <c r="K10" s="186"/>
    </row>
    <row r="11" spans="1:27" s="117" customFormat="1" ht="15.95" customHeight="1" x14ac:dyDescent="0.3">
      <c r="A11" s="508">
        <v>2007</v>
      </c>
      <c r="B11" s="504">
        <v>3965.1156722370938</v>
      </c>
      <c r="C11" s="504">
        <v>213.53080501639431</v>
      </c>
      <c r="D11" s="504" t="s">
        <v>31</v>
      </c>
      <c r="E11" s="504">
        <v>560.17542212905687</v>
      </c>
      <c r="F11" s="504">
        <v>3139.4805812346945</v>
      </c>
      <c r="G11" s="504">
        <v>20.028966472106855</v>
      </c>
      <c r="H11" s="504" t="s">
        <v>31</v>
      </c>
      <c r="I11" s="504">
        <v>31.345223833568781</v>
      </c>
      <c r="J11" s="504" t="s">
        <v>31</v>
      </c>
      <c r="K11" s="186"/>
    </row>
    <row r="12" spans="1:27" s="117" customFormat="1" ht="15.95" customHeight="1" x14ac:dyDescent="0.3">
      <c r="A12" s="508">
        <v>2008</v>
      </c>
      <c r="B12" s="504">
        <v>4543.8467892369026</v>
      </c>
      <c r="C12" s="504" t="s">
        <v>31</v>
      </c>
      <c r="D12" s="504" t="s">
        <v>31</v>
      </c>
      <c r="E12" s="504">
        <v>836.45609408233645</v>
      </c>
      <c r="F12" s="504">
        <v>3655.2850121314004</v>
      </c>
      <c r="G12" s="504">
        <v>22.419225298745612</v>
      </c>
      <c r="H12" s="504" t="s">
        <v>31</v>
      </c>
      <c r="I12" s="504">
        <v>29.146349977701405</v>
      </c>
      <c r="J12" s="504" t="s">
        <v>31</v>
      </c>
      <c r="K12" s="186"/>
    </row>
    <row r="13" spans="1:27" s="117" customFormat="1" ht="15.95" customHeight="1" x14ac:dyDescent="0.3">
      <c r="A13" s="508">
        <v>2009</v>
      </c>
      <c r="B13" s="504">
        <v>5252.51304305949</v>
      </c>
      <c r="C13" s="504" t="s">
        <v>31</v>
      </c>
      <c r="D13" s="504" t="s">
        <v>31</v>
      </c>
      <c r="E13" s="504">
        <v>1167.3506122391468</v>
      </c>
      <c r="F13" s="504">
        <v>4032.2788077486048</v>
      </c>
      <c r="G13" s="504">
        <v>22.404304046307246</v>
      </c>
      <c r="H13" s="504" t="s">
        <v>31</v>
      </c>
      <c r="I13" s="504">
        <v>29.932395996647443</v>
      </c>
      <c r="J13" s="504" t="s">
        <v>31</v>
      </c>
      <c r="K13" s="186"/>
    </row>
    <row r="14" spans="1:27" s="117" customFormat="1" ht="15.95" customHeight="1" x14ac:dyDescent="0.3">
      <c r="A14" s="508">
        <v>2010</v>
      </c>
      <c r="B14" s="504">
        <v>6743.345749950895</v>
      </c>
      <c r="C14" s="504" t="s">
        <v>31</v>
      </c>
      <c r="D14" s="504" t="s">
        <v>31</v>
      </c>
      <c r="E14" s="504">
        <v>687.77676268206608</v>
      </c>
      <c r="F14" s="504">
        <v>6012.5107394479519</v>
      </c>
      <c r="G14" s="504">
        <v>13.945827941303534</v>
      </c>
      <c r="H14" s="504" t="s">
        <v>31</v>
      </c>
      <c r="I14" s="504">
        <v>28.569830234177747</v>
      </c>
      <c r="J14" s="504" t="s">
        <v>31</v>
      </c>
      <c r="K14" s="186"/>
    </row>
    <row r="15" spans="1:27" s="117" customFormat="1" ht="15.95" customHeight="1" x14ac:dyDescent="0.3">
      <c r="A15" s="508">
        <v>2011</v>
      </c>
      <c r="B15" s="504">
        <v>3320.6695663279488</v>
      </c>
      <c r="C15" s="504" t="s">
        <v>31</v>
      </c>
      <c r="D15" s="504" t="s">
        <v>31</v>
      </c>
      <c r="E15" s="504">
        <v>1219.0213155580454</v>
      </c>
      <c r="F15" s="504">
        <v>2045.8406092846337</v>
      </c>
      <c r="G15" s="504">
        <v>28.020459587768858</v>
      </c>
      <c r="H15" s="504" t="s">
        <v>31</v>
      </c>
      <c r="I15" s="504">
        <v>27.215465996758731</v>
      </c>
      <c r="J15" s="504" t="s">
        <v>31</v>
      </c>
      <c r="K15" s="186"/>
    </row>
    <row r="16" spans="1:27" s="117" customFormat="1" ht="15.95" customHeight="1" x14ac:dyDescent="0.3">
      <c r="A16" s="508">
        <v>2012</v>
      </c>
      <c r="B16" s="504">
        <v>3092.3753417231865</v>
      </c>
      <c r="C16" s="504" t="s">
        <v>31</v>
      </c>
      <c r="D16" s="504" t="s">
        <v>31</v>
      </c>
      <c r="E16" s="504">
        <v>143.048395376152</v>
      </c>
      <c r="F16" s="504">
        <v>2907.8699362411999</v>
      </c>
      <c r="G16" s="504">
        <v>14.11033386305029</v>
      </c>
      <c r="H16" s="504" t="s">
        <v>31</v>
      </c>
      <c r="I16" s="504">
        <v>26.805348484944155</v>
      </c>
      <c r="J16" s="504" t="s">
        <v>31</v>
      </c>
      <c r="K16" s="186"/>
    </row>
    <row r="17" spans="1:20" s="117" customFormat="1" ht="15.95" customHeight="1" x14ac:dyDescent="0.3">
      <c r="A17" s="508">
        <v>2013</v>
      </c>
      <c r="B17" s="504">
        <v>2563.3793960178045</v>
      </c>
      <c r="C17" s="504" t="s">
        <v>31</v>
      </c>
      <c r="D17" s="504" t="s">
        <v>31</v>
      </c>
      <c r="E17" s="504">
        <v>181.63945404957934</v>
      </c>
      <c r="F17" s="504">
        <v>2335.7307422101348</v>
      </c>
      <c r="G17" s="504">
        <v>19.82215146468543</v>
      </c>
      <c r="H17" s="504" t="s">
        <v>31</v>
      </c>
      <c r="I17" s="504">
        <v>25.649079216689547</v>
      </c>
      <c r="J17" s="504" t="s">
        <v>31</v>
      </c>
      <c r="K17" s="115"/>
    </row>
    <row r="18" spans="1:20" s="117" customFormat="1" ht="15.95" customHeight="1" x14ac:dyDescent="0.3">
      <c r="A18" s="508">
        <v>2014</v>
      </c>
      <c r="B18" s="504">
        <v>3098.144373818393</v>
      </c>
      <c r="C18" s="504" t="s">
        <v>31</v>
      </c>
      <c r="D18" s="504" t="s">
        <v>31</v>
      </c>
      <c r="E18" s="504">
        <v>104.21442902071337</v>
      </c>
      <c r="F18" s="504">
        <v>2956.4724647279559</v>
      </c>
      <c r="G18" s="504">
        <v>11.591054127053402</v>
      </c>
      <c r="H18" s="504" t="s">
        <v>31</v>
      </c>
      <c r="I18" s="504">
        <v>25.327433651012282</v>
      </c>
      <c r="J18" s="504" t="s">
        <v>31</v>
      </c>
      <c r="K18" s="186"/>
    </row>
    <row r="19" spans="1:20" s="117" customFormat="1" ht="15.95" customHeight="1" x14ac:dyDescent="0.3">
      <c r="A19" s="508">
        <v>2015</v>
      </c>
      <c r="B19" s="504">
        <v>2717.6382632524101</v>
      </c>
      <c r="C19" s="504" t="s">
        <v>31</v>
      </c>
      <c r="D19" s="504" t="s">
        <v>31</v>
      </c>
      <c r="E19" s="504">
        <v>149.45336226640561</v>
      </c>
      <c r="F19" s="504">
        <v>2527.6331158659259</v>
      </c>
      <c r="G19" s="504">
        <v>15.010093397221409</v>
      </c>
      <c r="H19" s="504" t="s">
        <v>31</v>
      </c>
      <c r="I19" s="504">
        <v>25.009821597378309</v>
      </c>
      <c r="J19" s="504" t="s">
        <v>31</v>
      </c>
      <c r="K19" s="186"/>
    </row>
    <row r="20" spans="1:20" s="117" customFormat="1" ht="15.95" customHeight="1" x14ac:dyDescent="0.3">
      <c r="A20" s="508">
        <v>2016</v>
      </c>
      <c r="B20" s="504">
        <v>3036.5820502702804</v>
      </c>
      <c r="C20" s="504" t="s">
        <v>31</v>
      </c>
      <c r="D20" s="504" t="s">
        <v>31</v>
      </c>
      <c r="E20" s="504">
        <v>156.6138495604942</v>
      </c>
      <c r="F20" s="504">
        <v>2841.9363145612156</v>
      </c>
      <c r="G20" s="504">
        <v>12.821808926032723</v>
      </c>
      <c r="H20" s="504" t="s">
        <v>31</v>
      </c>
      <c r="I20" s="504">
        <v>24.696192474585398</v>
      </c>
      <c r="J20" s="504" t="s">
        <v>31</v>
      </c>
      <c r="K20" s="186"/>
    </row>
    <row r="21" spans="1:20" s="117" customFormat="1" ht="15.95" customHeight="1" x14ac:dyDescent="0.3">
      <c r="A21" s="508">
        <v>2017</v>
      </c>
      <c r="B21" s="504">
        <v>2837.2353721106465</v>
      </c>
      <c r="C21" s="504" t="s">
        <v>31</v>
      </c>
      <c r="D21" s="504">
        <v>60.167276810887287</v>
      </c>
      <c r="E21" s="504">
        <v>110.03033665388796</v>
      </c>
      <c r="F21" s="504">
        <v>2583.0333351015383</v>
      </c>
      <c r="G21" s="504">
        <v>14.467889095504274</v>
      </c>
      <c r="H21" s="504">
        <v>44.801859782013466</v>
      </c>
      <c r="I21" s="504">
        <v>24.386496335731653</v>
      </c>
      <c r="J21" s="504" t="s">
        <v>31</v>
      </c>
      <c r="K21" s="186"/>
    </row>
    <row r="22" spans="1:20" s="117" customFormat="1" ht="15.95" customHeight="1" x14ac:dyDescent="0.3">
      <c r="A22" s="508">
        <v>2018</v>
      </c>
      <c r="B22" s="504">
        <v>1770.7926112391556</v>
      </c>
      <c r="C22" s="504" t="s">
        <v>31</v>
      </c>
      <c r="D22" s="504">
        <v>95.221260902380919</v>
      </c>
      <c r="E22" s="504">
        <v>135.05794081449784</v>
      </c>
      <c r="F22" s="504">
        <v>1456.9202921815024</v>
      </c>
      <c r="G22" s="504">
        <v>23.420820924225723</v>
      </c>
      <c r="H22" s="504">
        <v>45.313855484789698</v>
      </c>
      <c r="I22" s="504">
        <v>14.649285677614202</v>
      </c>
      <c r="J22" s="504" t="s">
        <v>31</v>
      </c>
      <c r="K22" s="186"/>
    </row>
    <row r="23" spans="1:20" s="117" customFormat="1" ht="15.95" customHeight="1" x14ac:dyDescent="0.3">
      <c r="A23" s="508">
        <v>2019</v>
      </c>
      <c r="B23" s="504">
        <v>2399.9747431747278</v>
      </c>
      <c r="C23" s="504" t="s">
        <v>31</v>
      </c>
      <c r="D23" s="504">
        <v>96.960816057636961</v>
      </c>
      <c r="E23" s="504">
        <v>406.96021512085019</v>
      </c>
      <c r="F23" s="504">
        <v>1826.8345977416643</v>
      </c>
      <c r="G23" s="504">
        <v>15.182330836448278</v>
      </c>
      <c r="H23" s="504">
        <v>42.484424460144687</v>
      </c>
      <c r="I23" s="504">
        <v>11.389741858051638</v>
      </c>
      <c r="J23" s="504" t="s">
        <v>31</v>
      </c>
      <c r="K23" s="186"/>
    </row>
    <row r="24" spans="1:20" s="117" customFormat="1" ht="15.95" customHeight="1" x14ac:dyDescent="0.3">
      <c r="A24" s="509">
        <v>2020</v>
      </c>
      <c r="B24" s="506">
        <v>2206.9713768172705</v>
      </c>
      <c r="C24" s="507" t="s">
        <v>31</v>
      </c>
      <c r="D24" s="507">
        <v>154.90348248737794</v>
      </c>
      <c r="E24" s="507">
        <v>168.8872970284163</v>
      </c>
      <c r="F24" s="507">
        <v>1842.8939080209652</v>
      </c>
      <c r="G24" s="507">
        <v>18.43721528592674</v>
      </c>
      <c r="H24" s="507">
        <v>12.396652036183189</v>
      </c>
      <c r="I24" s="507">
        <v>9.3197590490299387</v>
      </c>
      <c r="J24" s="507" t="s">
        <v>31</v>
      </c>
      <c r="K24" s="186"/>
    </row>
    <row r="25" spans="1:20" s="124" customFormat="1" ht="12" customHeight="1" x14ac:dyDescent="0.25">
      <c r="A25" s="708" t="s">
        <v>386</v>
      </c>
      <c r="B25" s="702"/>
      <c r="C25" s="702"/>
      <c r="D25" s="702"/>
      <c r="E25" s="702"/>
      <c r="F25" s="702"/>
      <c r="G25" s="702"/>
      <c r="H25" s="702"/>
      <c r="I25" s="702"/>
      <c r="J25" s="702"/>
      <c r="M25" s="117"/>
      <c r="N25" s="117"/>
      <c r="O25" s="117"/>
      <c r="P25" s="117"/>
      <c r="Q25" s="117"/>
      <c r="R25" s="117"/>
      <c r="S25" s="117"/>
      <c r="T25" s="117"/>
    </row>
    <row r="26" spans="1:20" s="124" customFormat="1" ht="12" customHeight="1" x14ac:dyDescent="0.25">
      <c r="A26" s="118" t="s">
        <v>383</v>
      </c>
      <c r="M26" s="117"/>
      <c r="N26" s="117"/>
      <c r="O26" s="117"/>
      <c r="P26" s="117"/>
      <c r="Q26" s="117"/>
      <c r="R26" s="117"/>
      <c r="S26" s="117"/>
      <c r="T26" s="117"/>
    </row>
    <row r="27" spans="1:20" s="124" customFormat="1" ht="24" customHeight="1" x14ac:dyDescent="0.25">
      <c r="A27" s="704" t="s">
        <v>388</v>
      </c>
      <c r="B27" s="702"/>
      <c r="C27" s="702"/>
      <c r="D27" s="702"/>
      <c r="E27" s="702"/>
      <c r="F27" s="702"/>
      <c r="G27" s="702"/>
      <c r="H27" s="702"/>
      <c r="I27" s="702"/>
      <c r="J27" s="702"/>
      <c r="M27" s="117"/>
      <c r="N27" s="117"/>
      <c r="O27" s="117"/>
      <c r="P27" s="117"/>
      <c r="Q27" s="117"/>
      <c r="R27" s="117"/>
      <c r="S27" s="117"/>
      <c r="T27" s="117"/>
    </row>
    <row r="28" spans="1:20" s="124" customFormat="1" ht="12" customHeight="1" x14ac:dyDescent="0.25">
      <c r="A28" s="125" t="s">
        <v>372</v>
      </c>
      <c r="B28" s="129"/>
      <c r="C28" s="129"/>
      <c r="I28" s="130"/>
      <c r="J28" s="130"/>
      <c r="M28" s="117"/>
      <c r="N28" s="117"/>
      <c r="O28" s="117"/>
      <c r="P28" s="117"/>
      <c r="Q28" s="117"/>
      <c r="R28" s="117"/>
      <c r="S28" s="117"/>
      <c r="T28" s="117"/>
    </row>
    <row r="29" spans="1:20" ht="12.75" customHeight="1" x14ac:dyDescent="0.3">
      <c r="I29" s="29"/>
      <c r="J29" s="29"/>
    </row>
    <row r="30" spans="1:20" ht="12.75" customHeight="1" x14ac:dyDescent="0.3">
      <c r="I30" s="29"/>
      <c r="J30" s="29"/>
    </row>
    <row r="31" spans="1:20" ht="12.75" customHeight="1" x14ac:dyDescent="0.3">
      <c r="I31" s="29"/>
      <c r="J31" s="29"/>
    </row>
    <row r="32" spans="1:20" ht="12.75" customHeight="1" x14ac:dyDescent="0.3">
      <c r="I32" s="29"/>
      <c r="J32" s="29"/>
    </row>
    <row r="33" spans="1:10" ht="12.75" customHeight="1" x14ac:dyDescent="0.3">
      <c r="A33" s="26"/>
      <c r="B33" s="26"/>
      <c r="C33" s="26"/>
      <c r="I33" s="29"/>
      <c r="J33" s="29"/>
    </row>
  </sheetData>
  <mergeCells count="4">
    <mergeCell ref="A1:J1"/>
    <mergeCell ref="A2:J2"/>
    <mergeCell ref="A25:J25"/>
    <mergeCell ref="A27:J27"/>
  </mergeCells>
  <printOptions horizontalCentered="1"/>
  <pageMargins left="0.98425196850393704" right="0.78740157480314965" top="0.98425196850393704" bottom="0.98425196850393704" header="0" footer="0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Z31"/>
  <sheetViews>
    <sheetView showGridLines="0" zoomScaleNormal="100" workbookViewId="0">
      <selection activeCell="A4" sqref="A4:U31"/>
    </sheetView>
  </sheetViews>
  <sheetFormatPr baseColWidth="10" defaultColWidth="11.28515625" defaultRowHeight="12.75" customHeight="1" x14ac:dyDescent="0.3"/>
  <cols>
    <col min="1" max="1" width="23" style="25" customWidth="1"/>
    <col min="2" max="9" width="8.42578125" style="25" hidden="1" customWidth="1"/>
    <col min="10" max="21" width="8.42578125" style="25" customWidth="1"/>
    <col min="22" max="16384" width="11.28515625" style="25"/>
  </cols>
  <sheetData>
    <row r="1" spans="1:26" ht="12.75" customHeight="1" x14ac:dyDescent="0.3">
      <c r="A1" s="709" t="s">
        <v>451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Z1" s="25" t="s">
        <v>25</v>
      </c>
    </row>
    <row r="2" spans="1:26" ht="12.75" customHeight="1" x14ac:dyDescent="0.3">
      <c r="A2" s="710" t="s">
        <v>169</v>
      </c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</row>
    <row r="3" spans="1:26" s="3" customFormat="1" ht="12.75" customHeight="1" x14ac:dyDescent="0.3">
      <c r="A3" s="188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3"/>
      <c r="U3" s="183"/>
    </row>
    <row r="4" spans="1:26" s="248" customFormat="1" ht="27" customHeight="1" x14ac:dyDescent="0.25">
      <c r="A4" s="510" t="s">
        <v>201</v>
      </c>
      <c r="B4" s="511">
        <v>2000</v>
      </c>
      <c r="C4" s="511">
        <v>2001</v>
      </c>
      <c r="D4" s="511">
        <v>2002</v>
      </c>
      <c r="E4" s="511">
        <v>2003</v>
      </c>
      <c r="F4" s="511">
        <v>2004</v>
      </c>
      <c r="G4" s="511">
        <v>2005</v>
      </c>
      <c r="H4" s="511">
        <v>2006</v>
      </c>
      <c r="I4" s="511">
        <v>2007</v>
      </c>
      <c r="J4" s="511">
        <v>2009</v>
      </c>
      <c r="K4" s="511">
        <v>2010</v>
      </c>
      <c r="L4" s="511">
        <v>2011</v>
      </c>
      <c r="M4" s="511">
        <v>2012</v>
      </c>
      <c r="N4" s="511">
        <v>2013</v>
      </c>
      <c r="O4" s="511">
        <v>2014</v>
      </c>
      <c r="P4" s="511">
        <v>2015</v>
      </c>
      <c r="Q4" s="511">
        <v>2016</v>
      </c>
      <c r="R4" s="511">
        <v>2017</v>
      </c>
      <c r="S4" s="511">
        <v>2018</v>
      </c>
      <c r="T4" s="511">
        <v>2019</v>
      </c>
      <c r="U4" s="511">
        <v>2020</v>
      </c>
    </row>
    <row r="5" spans="1:26" s="255" customFormat="1" ht="3" customHeight="1" x14ac:dyDescent="0.25">
      <c r="A5" s="512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</row>
    <row r="6" spans="1:26" s="255" customFormat="1" ht="15.95" customHeight="1" x14ac:dyDescent="0.25">
      <c r="A6" s="513" t="s">
        <v>28</v>
      </c>
      <c r="B6" s="520">
        <v>506639</v>
      </c>
      <c r="C6" s="520">
        <v>492080</v>
      </c>
      <c r="D6" s="520">
        <v>498004</v>
      </c>
      <c r="E6" s="520">
        <v>493024</v>
      </c>
      <c r="F6" s="520">
        <v>523247</v>
      </c>
      <c r="G6" s="520">
        <v>514108</v>
      </c>
      <c r="H6" s="520">
        <v>516689</v>
      </c>
      <c r="I6" s="520">
        <v>545339</v>
      </c>
      <c r="J6" s="520">
        <v>656956</v>
      </c>
      <c r="K6" s="520">
        <v>688382</v>
      </c>
      <c r="L6" s="520">
        <v>736312</v>
      </c>
      <c r="M6" s="520">
        <v>741309</v>
      </c>
      <c r="N6" s="520">
        <v>764203</v>
      </c>
      <c r="O6" s="520">
        <v>771179</v>
      </c>
      <c r="P6" s="520">
        <v>809197.60349270282</v>
      </c>
      <c r="Q6" s="520">
        <v>841437.21044217329</v>
      </c>
      <c r="R6" s="520">
        <v>858806.1528060264</v>
      </c>
      <c r="S6" s="520">
        <v>896529.9252268062</v>
      </c>
      <c r="T6" s="520">
        <v>928220.79456011776</v>
      </c>
      <c r="U6" s="520">
        <v>768611.93447524973</v>
      </c>
    </row>
    <row r="7" spans="1:26" s="248" customFormat="1" ht="15.95" customHeight="1" x14ac:dyDescent="0.3">
      <c r="A7" s="514" t="s">
        <v>200</v>
      </c>
      <c r="B7" s="521">
        <v>148384</v>
      </c>
      <c r="C7" s="521">
        <v>147808</v>
      </c>
      <c r="D7" s="521">
        <v>150465</v>
      </c>
      <c r="E7" s="521">
        <v>152570</v>
      </c>
      <c r="F7" s="521">
        <v>150280</v>
      </c>
      <c r="G7" s="521">
        <v>149190</v>
      </c>
      <c r="H7" s="521">
        <v>142168</v>
      </c>
      <c r="I7" s="521">
        <v>150988</v>
      </c>
      <c r="J7" s="521">
        <v>156211</v>
      </c>
      <c r="K7" s="521">
        <v>148691</v>
      </c>
      <c r="L7" s="521">
        <v>145191</v>
      </c>
      <c r="M7" s="521">
        <v>144623</v>
      </c>
      <c r="N7" s="521">
        <v>138305</v>
      </c>
      <c r="O7" s="521">
        <v>139147</v>
      </c>
      <c r="P7" s="521">
        <v>140857.36834079234</v>
      </c>
      <c r="Q7" s="521">
        <v>132925.65227350069</v>
      </c>
      <c r="R7" s="521">
        <v>123248.721259839</v>
      </c>
      <c r="S7" s="521">
        <v>128159.41256830814</v>
      </c>
      <c r="T7" s="521">
        <v>133440.32220745363</v>
      </c>
      <c r="U7" s="521">
        <v>126188.57648078018</v>
      </c>
    </row>
    <row r="8" spans="1:26" s="248" customFormat="1" ht="15.95" customHeight="1" x14ac:dyDescent="0.3">
      <c r="A8" s="515" t="s">
        <v>179</v>
      </c>
      <c r="B8" s="522">
        <v>15948</v>
      </c>
      <c r="C8" s="522">
        <v>13775</v>
      </c>
      <c r="D8" s="522">
        <v>17746</v>
      </c>
      <c r="E8" s="522">
        <v>19698</v>
      </c>
      <c r="F8" s="522">
        <v>19973</v>
      </c>
      <c r="G8" s="522">
        <v>22043</v>
      </c>
      <c r="H8" s="522">
        <v>15336</v>
      </c>
      <c r="I8" s="522">
        <v>24630</v>
      </c>
      <c r="J8" s="522">
        <v>22949</v>
      </c>
      <c r="K8" s="522">
        <v>22896</v>
      </c>
      <c r="L8" s="522">
        <v>23901</v>
      </c>
      <c r="M8" s="522">
        <v>24022</v>
      </c>
      <c r="N8" s="522">
        <v>22959</v>
      </c>
      <c r="O8" s="522">
        <v>26519</v>
      </c>
      <c r="P8" s="522">
        <v>29206.352978586314</v>
      </c>
      <c r="Q8" s="522">
        <v>23285.60000133888</v>
      </c>
      <c r="R8" s="522">
        <v>19898.505906252751</v>
      </c>
      <c r="S8" s="522">
        <v>21279.81185443854</v>
      </c>
      <c r="T8" s="522">
        <v>22039.238004430972</v>
      </c>
      <c r="U8" s="522">
        <v>14258.926116635888</v>
      </c>
    </row>
    <row r="9" spans="1:26" s="248" customFormat="1" ht="15.95" customHeight="1" x14ac:dyDescent="0.3">
      <c r="A9" s="515" t="s">
        <v>173</v>
      </c>
      <c r="B9" s="522">
        <v>108201</v>
      </c>
      <c r="C9" s="522">
        <v>109707</v>
      </c>
      <c r="D9" s="522">
        <v>107781</v>
      </c>
      <c r="E9" s="522">
        <v>107504</v>
      </c>
      <c r="F9" s="522">
        <v>108383</v>
      </c>
      <c r="G9" s="522">
        <v>109018</v>
      </c>
      <c r="H9" s="522">
        <v>107558</v>
      </c>
      <c r="I9" s="522">
        <v>107045</v>
      </c>
      <c r="J9" s="522">
        <v>112683</v>
      </c>
      <c r="K9" s="522">
        <v>108417</v>
      </c>
      <c r="L9" s="522">
        <v>104813</v>
      </c>
      <c r="M9" s="522">
        <v>102109</v>
      </c>
      <c r="N9" s="522">
        <v>100554</v>
      </c>
      <c r="O9" s="522">
        <v>101685</v>
      </c>
      <c r="P9" s="522">
        <v>95718.414581100602</v>
      </c>
      <c r="Q9" s="522">
        <v>94073.523727622189</v>
      </c>
      <c r="R9" s="522">
        <v>90976.778122254385</v>
      </c>
      <c r="S9" s="522">
        <v>92228.211563917444</v>
      </c>
      <c r="T9" s="522">
        <v>93698.001446564333</v>
      </c>
      <c r="U9" s="522">
        <v>96759.665204062825</v>
      </c>
    </row>
    <row r="10" spans="1:26" s="248" customFormat="1" ht="15.95" customHeight="1" x14ac:dyDescent="0.3">
      <c r="A10" s="515" t="s">
        <v>199</v>
      </c>
      <c r="B10" s="522">
        <v>12922</v>
      </c>
      <c r="C10" s="522">
        <v>12422</v>
      </c>
      <c r="D10" s="522">
        <v>11669</v>
      </c>
      <c r="E10" s="522">
        <v>11093</v>
      </c>
      <c r="F10" s="522">
        <v>10841</v>
      </c>
      <c r="G10" s="522">
        <v>10549</v>
      </c>
      <c r="H10" s="522">
        <v>9919</v>
      </c>
      <c r="I10" s="522">
        <v>9395</v>
      </c>
      <c r="J10" s="522">
        <v>9258</v>
      </c>
      <c r="K10" s="522">
        <v>8627</v>
      </c>
      <c r="L10" s="522">
        <v>7938</v>
      </c>
      <c r="M10" s="522">
        <v>7167</v>
      </c>
      <c r="N10" s="522">
        <v>6775</v>
      </c>
      <c r="O10" s="522">
        <v>6520</v>
      </c>
      <c r="P10" s="522">
        <v>5752.4875905052277</v>
      </c>
      <c r="Q10" s="522">
        <v>5519.0989218121349</v>
      </c>
      <c r="R10" s="522">
        <v>5689.9157825223438</v>
      </c>
      <c r="S10" s="522">
        <v>4637.3220187119814</v>
      </c>
      <c r="T10" s="522">
        <v>4373.5570831646783</v>
      </c>
      <c r="U10" s="522">
        <v>4654.2817604455213</v>
      </c>
    </row>
    <row r="11" spans="1:26" s="255" customFormat="1" ht="15.95" customHeight="1" x14ac:dyDescent="0.3">
      <c r="A11" s="516" t="s">
        <v>180</v>
      </c>
      <c r="B11" s="522">
        <v>6169</v>
      </c>
      <c r="C11" s="522">
        <v>6388</v>
      </c>
      <c r="D11" s="522">
        <v>7281</v>
      </c>
      <c r="E11" s="522">
        <v>7666</v>
      </c>
      <c r="F11" s="522">
        <v>6021</v>
      </c>
      <c r="G11" s="522">
        <v>2475</v>
      </c>
      <c r="H11" s="522">
        <v>3992</v>
      </c>
      <c r="I11" s="522">
        <v>3748</v>
      </c>
      <c r="J11" s="522">
        <v>3993</v>
      </c>
      <c r="K11" s="522">
        <v>6246</v>
      </c>
      <c r="L11" s="522">
        <v>6144</v>
      </c>
      <c r="M11" s="522">
        <v>8713</v>
      </c>
      <c r="N11" s="522">
        <v>5427</v>
      </c>
      <c r="O11" s="522">
        <v>1362</v>
      </c>
      <c r="P11" s="522">
        <v>5174.1471570236818</v>
      </c>
      <c r="Q11" s="522">
        <v>6574.5170178362732</v>
      </c>
      <c r="R11" s="522">
        <v>2708.6321221540397</v>
      </c>
      <c r="S11" s="522">
        <v>6172.9677715496937</v>
      </c>
      <c r="T11" s="522">
        <v>8931.8296573647713</v>
      </c>
      <c r="U11" s="522">
        <v>6422.2135896204045</v>
      </c>
    </row>
    <row r="12" spans="1:26" s="248" customFormat="1" ht="15.95" customHeight="1" x14ac:dyDescent="0.3">
      <c r="A12" s="515" t="s">
        <v>198</v>
      </c>
      <c r="B12" s="522" t="s">
        <v>31</v>
      </c>
      <c r="C12" s="522" t="s">
        <v>31</v>
      </c>
      <c r="D12" s="522" t="s">
        <v>31</v>
      </c>
      <c r="E12" s="522" t="s">
        <v>31</v>
      </c>
      <c r="F12" s="522" t="s">
        <v>31</v>
      </c>
      <c r="G12" s="522" t="s">
        <v>31</v>
      </c>
      <c r="H12" s="522" t="s">
        <v>31</v>
      </c>
      <c r="I12" s="522">
        <v>294</v>
      </c>
      <c r="J12" s="522">
        <v>215</v>
      </c>
      <c r="K12" s="522">
        <v>239</v>
      </c>
      <c r="L12" s="522">
        <v>263</v>
      </c>
      <c r="M12" s="522">
        <v>287</v>
      </c>
      <c r="N12" s="522">
        <v>311</v>
      </c>
      <c r="O12" s="522">
        <v>335</v>
      </c>
      <c r="P12" s="522">
        <v>1066.7867186547378</v>
      </c>
      <c r="Q12" s="522">
        <v>1382.5487418580954</v>
      </c>
      <c r="R12" s="522">
        <v>1382.2593868587187</v>
      </c>
      <c r="S12" s="522">
        <v>1436.4423101647649</v>
      </c>
      <c r="T12" s="522">
        <v>1481.708503452091</v>
      </c>
      <c r="U12" s="522">
        <v>1514.7079380214268</v>
      </c>
    </row>
    <row r="13" spans="1:26" s="255" customFormat="1" ht="15.95" customHeight="1" x14ac:dyDescent="0.3">
      <c r="A13" s="516" t="s">
        <v>197</v>
      </c>
      <c r="B13" s="522">
        <v>5144</v>
      </c>
      <c r="C13" s="522">
        <v>5516</v>
      </c>
      <c r="D13" s="522">
        <v>5988</v>
      </c>
      <c r="E13" s="522">
        <v>6609</v>
      </c>
      <c r="F13" s="522">
        <v>5062</v>
      </c>
      <c r="G13" s="522">
        <v>5105</v>
      </c>
      <c r="H13" s="522">
        <v>5363</v>
      </c>
      <c r="I13" s="522">
        <v>5876</v>
      </c>
      <c r="J13" s="522">
        <v>7113</v>
      </c>
      <c r="K13" s="522">
        <v>2266</v>
      </c>
      <c r="L13" s="522">
        <v>2132</v>
      </c>
      <c r="M13" s="522">
        <v>2325</v>
      </c>
      <c r="N13" s="522">
        <v>2279</v>
      </c>
      <c r="O13" s="522">
        <v>2726</v>
      </c>
      <c r="P13" s="522">
        <v>3939.179314921771</v>
      </c>
      <c r="Q13" s="522">
        <v>2090.3638630331011</v>
      </c>
      <c r="R13" s="522">
        <v>2592.6299397967841</v>
      </c>
      <c r="S13" s="522">
        <v>2404.6570495257038</v>
      </c>
      <c r="T13" s="522">
        <v>2915.98751247679</v>
      </c>
      <c r="U13" s="522">
        <v>2578.7818719941065</v>
      </c>
    </row>
    <row r="14" spans="1:26" s="248" customFormat="1" ht="15.95" customHeight="1" x14ac:dyDescent="0.3">
      <c r="A14" s="514" t="s">
        <v>196</v>
      </c>
      <c r="B14" s="521">
        <v>358255</v>
      </c>
      <c r="C14" s="521">
        <v>344272</v>
      </c>
      <c r="D14" s="521">
        <v>347539</v>
      </c>
      <c r="E14" s="521">
        <v>340454</v>
      </c>
      <c r="F14" s="521">
        <v>372967</v>
      </c>
      <c r="G14" s="521">
        <v>364918</v>
      </c>
      <c r="H14" s="521">
        <v>374521</v>
      </c>
      <c r="I14" s="521">
        <v>394351</v>
      </c>
      <c r="J14" s="521">
        <v>500745</v>
      </c>
      <c r="K14" s="521">
        <v>539691</v>
      </c>
      <c r="L14" s="521">
        <v>591121</v>
      </c>
      <c r="M14" s="521">
        <v>596686</v>
      </c>
      <c r="N14" s="521">
        <v>625898</v>
      </c>
      <c r="O14" s="521">
        <v>632032</v>
      </c>
      <c r="P14" s="521">
        <v>668340.23515191046</v>
      </c>
      <c r="Q14" s="521">
        <v>708511.55816867261</v>
      </c>
      <c r="R14" s="521">
        <v>735557.43154618738</v>
      </c>
      <c r="S14" s="521">
        <v>768370.51265849802</v>
      </c>
      <c r="T14" s="521">
        <v>794780.4723526641</v>
      </c>
      <c r="U14" s="521">
        <v>642423.35799446958</v>
      </c>
    </row>
    <row r="15" spans="1:26" s="248" customFormat="1" ht="15.95" customHeight="1" x14ac:dyDescent="0.3">
      <c r="A15" s="515" t="s">
        <v>170</v>
      </c>
      <c r="B15" s="522" t="s">
        <v>31</v>
      </c>
      <c r="C15" s="522" t="s">
        <v>31</v>
      </c>
      <c r="D15" s="522" t="s">
        <v>31</v>
      </c>
      <c r="E15" s="522" t="s">
        <v>31</v>
      </c>
      <c r="F15" s="522" t="s">
        <v>31</v>
      </c>
      <c r="G15" s="522" t="s">
        <v>31</v>
      </c>
      <c r="H15" s="522" t="s">
        <v>31</v>
      </c>
      <c r="I15" s="522" t="s">
        <v>31</v>
      </c>
      <c r="J15" s="522" t="s">
        <v>31</v>
      </c>
      <c r="K15" s="522" t="s">
        <v>31</v>
      </c>
      <c r="L15" s="522" t="s">
        <v>31</v>
      </c>
      <c r="M15" s="522" t="s">
        <v>31</v>
      </c>
      <c r="N15" s="522" t="s">
        <v>31</v>
      </c>
      <c r="O15" s="522" t="s">
        <v>31</v>
      </c>
      <c r="P15" s="522" t="s">
        <v>31</v>
      </c>
      <c r="Q15" s="522" t="s">
        <v>31</v>
      </c>
      <c r="R15" s="522">
        <v>48755.583567524329</v>
      </c>
      <c r="S15" s="522">
        <v>50235.41831455889</v>
      </c>
      <c r="T15" s="522">
        <v>48777.656278678245</v>
      </c>
      <c r="U15" s="522">
        <v>21187.370033951182</v>
      </c>
    </row>
    <row r="16" spans="1:26" s="248" customFormat="1" ht="15.95" customHeight="1" x14ac:dyDescent="0.3">
      <c r="A16" s="515" t="s">
        <v>177</v>
      </c>
      <c r="B16" s="522">
        <v>1042</v>
      </c>
      <c r="C16" s="522">
        <v>1205</v>
      </c>
      <c r="D16" s="522">
        <v>1220</v>
      </c>
      <c r="E16" s="522">
        <v>1140</v>
      </c>
      <c r="F16" s="522">
        <v>992</v>
      </c>
      <c r="G16" s="522">
        <v>1263</v>
      </c>
      <c r="H16" s="522">
        <v>1258</v>
      </c>
      <c r="I16" s="522">
        <v>1263</v>
      </c>
      <c r="J16" s="522">
        <v>201</v>
      </c>
      <c r="K16" s="522">
        <v>2</v>
      </c>
      <c r="L16" s="522">
        <v>2</v>
      </c>
      <c r="M16" s="522">
        <v>21</v>
      </c>
      <c r="N16" s="522">
        <v>1018</v>
      </c>
      <c r="O16" s="522">
        <v>2469</v>
      </c>
      <c r="P16" s="522">
        <v>1119.0093957536117</v>
      </c>
      <c r="Q16" s="522">
        <v>2478.2768811753967</v>
      </c>
      <c r="R16" s="522">
        <v>2110.7578137257815</v>
      </c>
      <c r="S16" s="522">
        <v>2097.977934417464</v>
      </c>
      <c r="T16" s="522">
        <v>1566.2273627783775</v>
      </c>
      <c r="U16" s="522">
        <v>1684.9999075335863</v>
      </c>
    </row>
    <row r="17" spans="1:21" s="248" customFormat="1" ht="15.95" customHeight="1" x14ac:dyDescent="0.3">
      <c r="A17" s="515" t="s">
        <v>178</v>
      </c>
      <c r="B17" s="522">
        <v>6334</v>
      </c>
      <c r="C17" s="522">
        <v>6132</v>
      </c>
      <c r="D17" s="522">
        <v>5788</v>
      </c>
      <c r="E17" s="522">
        <v>5626</v>
      </c>
      <c r="F17" s="522">
        <v>5590</v>
      </c>
      <c r="G17" s="522">
        <v>5841</v>
      </c>
      <c r="H17" s="522">
        <v>5994</v>
      </c>
      <c r="I17" s="522">
        <v>6350</v>
      </c>
      <c r="J17" s="522">
        <v>6645</v>
      </c>
      <c r="K17" s="522">
        <v>6524</v>
      </c>
      <c r="L17" s="522">
        <v>6227</v>
      </c>
      <c r="M17" s="522">
        <v>5772</v>
      </c>
      <c r="N17" s="522">
        <v>5654</v>
      </c>
      <c r="O17" s="522">
        <v>5483</v>
      </c>
      <c r="P17" s="522">
        <v>5522.5677809056942</v>
      </c>
      <c r="Q17" s="522">
        <v>5378.5452306338802</v>
      </c>
      <c r="R17" s="522">
        <v>4955.61299999115</v>
      </c>
      <c r="S17" s="522">
        <v>4795.3709941152829</v>
      </c>
      <c r="T17" s="522">
        <v>4782.5301091119272</v>
      </c>
      <c r="U17" s="522">
        <v>5190.7740177704536</v>
      </c>
    </row>
    <row r="18" spans="1:21" s="248" customFormat="1" ht="15.95" customHeight="1" x14ac:dyDescent="0.3">
      <c r="A18" s="515" t="s">
        <v>354</v>
      </c>
      <c r="B18" s="522">
        <v>19714</v>
      </c>
      <c r="C18" s="522">
        <v>20457</v>
      </c>
      <c r="D18" s="522">
        <v>23295</v>
      </c>
      <c r="E18" s="522">
        <v>25456</v>
      </c>
      <c r="F18" s="522">
        <v>26601</v>
      </c>
      <c r="G18" s="522">
        <v>31044</v>
      </c>
      <c r="H18" s="522">
        <v>34241</v>
      </c>
      <c r="I18" s="522">
        <v>38369</v>
      </c>
      <c r="J18" s="522">
        <v>47397</v>
      </c>
      <c r="K18" s="522">
        <v>52699</v>
      </c>
      <c r="L18" s="522">
        <v>58787</v>
      </c>
      <c r="M18" s="522">
        <v>64405</v>
      </c>
      <c r="N18" s="522">
        <v>71386</v>
      </c>
      <c r="O18" s="522">
        <v>72511</v>
      </c>
      <c r="P18" s="522">
        <v>75001.996069104411</v>
      </c>
      <c r="Q18" s="522">
        <v>79351.830551877007</v>
      </c>
      <c r="R18" s="522">
        <v>82800.125187034908</v>
      </c>
      <c r="S18" s="522">
        <v>88503.074129210392</v>
      </c>
      <c r="T18" s="522">
        <v>92047.285352889114</v>
      </c>
      <c r="U18" s="522">
        <v>81653.973316497853</v>
      </c>
    </row>
    <row r="19" spans="1:21" s="256" customFormat="1" ht="15.95" customHeight="1" x14ac:dyDescent="0.3">
      <c r="A19" s="515" t="s">
        <v>475</v>
      </c>
      <c r="B19" s="522">
        <v>48051</v>
      </c>
      <c r="C19" s="522">
        <v>43982</v>
      </c>
      <c r="D19" s="522">
        <v>43971</v>
      </c>
      <c r="E19" s="522">
        <v>41405</v>
      </c>
      <c r="F19" s="522">
        <v>41289</v>
      </c>
      <c r="G19" s="522">
        <v>40515</v>
      </c>
      <c r="H19" s="522">
        <v>39522</v>
      </c>
      <c r="I19" s="522">
        <v>39265</v>
      </c>
      <c r="J19" s="522">
        <v>51988</v>
      </c>
      <c r="K19" s="522">
        <v>56845</v>
      </c>
      <c r="L19" s="522">
        <v>58551</v>
      </c>
      <c r="M19" s="522">
        <v>60622</v>
      </c>
      <c r="N19" s="522">
        <v>64242</v>
      </c>
      <c r="O19" s="522">
        <v>67464</v>
      </c>
      <c r="P19" s="522">
        <v>74680.878902570636</v>
      </c>
      <c r="Q19" s="522">
        <v>83681.208815523292</v>
      </c>
      <c r="R19" s="522">
        <v>87115.044108136732</v>
      </c>
      <c r="S19" s="522">
        <v>91214.918901175814</v>
      </c>
      <c r="T19" s="522">
        <v>96926.134442174676</v>
      </c>
      <c r="U19" s="522">
        <v>75286.604494973464</v>
      </c>
    </row>
    <row r="20" spans="1:21" s="248" customFormat="1" ht="15.95" customHeight="1" x14ac:dyDescent="0.3">
      <c r="A20" s="515" t="s">
        <v>461</v>
      </c>
      <c r="B20" s="522">
        <v>42999</v>
      </c>
      <c r="C20" s="522">
        <v>46101</v>
      </c>
      <c r="D20" s="522">
        <v>44496</v>
      </c>
      <c r="E20" s="522">
        <v>30055</v>
      </c>
      <c r="F20" s="522">
        <v>20098</v>
      </c>
      <c r="G20" s="522">
        <v>13207</v>
      </c>
      <c r="H20" s="522">
        <v>12839</v>
      </c>
      <c r="I20" s="522">
        <v>9785</v>
      </c>
      <c r="J20" s="522">
        <v>26056</v>
      </c>
      <c r="K20" s="522">
        <v>27961</v>
      </c>
      <c r="L20" s="522">
        <v>29760</v>
      </c>
      <c r="M20" s="522">
        <v>30915</v>
      </c>
      <c r="N20" s="522">
        <v>33750</v>
      </c>
      <c r="O20" s="522">
        <v>37208</v>
      </c>
      <c r="P20" s="522">
        <v>39187.195253499987</v>
      </c>
      <c r="Q20" s="522">
        <v>43448.523814499997</v>
      </c>
      <c r="R20" s="522">
        <v>15351.237214565739</v>
      </c>
      <c r="S20" s="522">
        <v>16140.589552257539</v>
      </c>
      <c r="T20" s="522">
        <v>16240.14638423547</v>
      </c>
      <c r="U20" s="522">
        <v>6269.3891261449726</v>
      </c>
    </row>
    <row r="21" spans="1:21" s="248" customFormat="1" ht="15.95" customHeight="1" x14ac:dyDescent="0.3">
      <c r="A21" s="515" t="s">
        <v>469</v>
      </c>
      <c r="B21" s="522">
        <v>107071</v>
      </c>
      <c r="C21" s="522">
        <v>96591</v>
      </c>
      <c r="D21" s="522">
        <v>94584</v>
      </c>
      <c r="E21" s="522">
        <v>105290</v>
      </c>
      <c r="F21" s="522">
        <v>128548</v>
      </c>
      <c r="G21" s="522">
        <v>121228</v>
      </c>
      <c r="H21" s="522">
        <v>127903</v>
      </c>
      <c r="I21" s="522">
        <v>129707</v>
      </c>
      <c r="J21" s="522">
        <v>154496</v>
      </c>
      <c r="K21" s="522">
        <v>185683</v>
      </c>
      <c r="L21" s="522">
        <v>190235</v>
      </c>
      <c r="M21" s="522">
        <v>197309</v>
      </c>
      <c r="N21" s="522">
        <v>208975</v>
      </c>
      <c r="O21" s="522">
        <v>204763</v>
      </c>
      <c r="P21" s="522">
        <v>219296.06243850241</v>
      </c>
      <c r="Q21" s="522">
        <v>227523.48082233837</v>
      </c>
      <c r="R21" s="522">
        <v>223982.02212737058</v>
      </c>
      <c r="S21" s="522">
        <v>230325.66805348359</v>
      </c>
      <c r="T21" s="522">
        <v>238832.14146620184</v>
      </c>
      <c r="U21" s="522">
        <v>202621.24335767151</v>
      </c>
    </row>
    <row r="22" spans="1:21" s="248" customFormat="1" ht="15.95" customHeight="1" x14ac:dyDescent="0.3">
      <c r="A22" s="515" t="s">
        <v>172</v>
      </c>
      <c r="B22" s="522">
        <v>64506</v>
      </c>
      <c r="C22" s="522">
        <v>57276</v>
      </c>
      <c r="D22" s="522">
        <v>55902</v>
      </c>
      <c r="E22" s="522">
        <v>49784</v>
      </c>
      <c r="F22" s="522">
        <v>59950</v>
      </c>
      <c r="G22" s="522">
        <v>52821</v>
      </c>
      <c r="H22" s="522">
        <v>33687</v>
      </c>
      <c r="I22" s="522">
        <v>35973</v>
      </c>
      <c r="J22" s="522">
        <v>19633</v>
      </c>
      <c r="K22" s="522">
        <v>13741</v>
      </c>
      <c r="L22" s="522">
        <v>22934</v>
      </c>
      <c r="M22" s="522">
        <v>15759</v>
      </c>
      <c r="N22" s="522">
        <v>17094</v>
      </c>
      <c r="O22" s="522">
        <v>9416</v>
      </c>
      <c r="P22" s="522">
        <v>9264.2223954570291</v>
      </c>
      <c r="Q22" s="522">
        <v>9686.8550719503255</v>
      </c>
      <c r="R22" s="522">
        <v>3729.2186003827283</v>
      </c>
      <c r="S22" s="522">
        <v>2908.3376886021028</v>
      </c>
      <c r="T22" s="522">
        <v>2942.1183686468285</v>
      </c>
      <c r="U22" s="522">
        <v>3680.3374230721383</v>
      </c>
    </row>
    <row r="23" spans="1:21" s="248" customFormat="1" ht="15.95" customHeight="1" x14ac:dyDescent="0.3">
      <c r="A23" s="515" t="s">
        <v>195</v>
      </c>
      <c r="B23" s="522">
        <v>37</v>
      </c>
      <c r="C23" s="522">
        <v>5</v>
      </c>
      <c r="D23" s="522">
        <v>262</v>
      </c>
      <c r="E23" s="522">
        <v>988</v>
      </c>
      <c r="F23" s="522">
        <v>2250</v>
      </c>
      <c r="G23" s="522">
        <v>6799</v>
      </c>
      <c r="H23" s="522">
        <v>15602</v>
      </c>
      <c r="I23" s="522">
        <v>26010</v>
      </c>
      <c r="J23" s="522">
        <v>38376</v>
      </c>
      <c r="K23" s="522">
        <v>46959</v>
      </c>
      <c r="L23" s="522">
        <v>65041</v>
      </c>
      <c r="M23" s="522">
        <v>61921</v>
      </c>
      <c r="N23" s="522">
        <v>70005</v>
      </c>
      <c r="O23" s="522">
        <v>76132</v>
      </c>
      <c r="P23" s="522">
        <v>79987.293931079621</v>
      </c>
      <c r="Q23" s="522">
        <v>81454.956148872501</v>
      </c>
      <c r="R23" s="522">
        <v>87256.275281221533</v>
      </c>
      <c r="S23" s="522">
        <v>96261.570275204765</v>
      </c>
      <c r="T23" s="522">
        <v>101605.90909677211</v>
      </c>
      <c r="U23" s="522">
        <v>75624.97591309913</v>
      </c>
    </row>
    <row r="24" spans="1:21" s="248" customFormat="1" ht="15.95" customHeight="1" x14ac:dyDescent="0.3">
      <c r="A24" s="515" t="s">
        <v>197</v>
      </c>
      <c r="B24" s="522">
        <v>5121</v>
      </c>
      <c r="C24" s="522">
        <v>5833</v>
      </c>
      <c r="D24" s="522">
        <v>7189</v>
      </c>
      <c r="E24" s="522">
        <v>6891</v>
      </c>
      <c r="F24" s="522">
        <v>8844</v>
      </c>
      <c r="G24" s="522">
        <v>8886</v>
      </c>
      <c r="H24" s="522">
        <v>14025</v>
      </c>
      <c r="I24" s="522">
        <v>9239</v>
      </c>
      <c r="J24" s="522">
        <v>49101</v>
      </c>
      <c r="K24" s="522">
        <v>35585</v>
      </c>
      <c r="L24" s="522">
        <v>33195</v>
      </c>
      <c r="M24" s="522">
        <v>29464</v>
      </c>
      <c r="N24" s="522">
        <v>16040</v>
      </c>
      <c r="O24" s="522">
        <v>13668</v>
      </c>
      <c r="P24" s="522">
        <v>12758.055561018004</v>
      </c>
      <c r="Q24" s="522">
        <v>11228.659400173303</v>
      </c>
      <c r="R24" s="522">
        <v>12330.901759270662</v>
      </c>
      <c r="S24" s="522">
        <v>12121.029997718526</v>
      </c>
      <c r="T24" s="522">
        <v>11755.720256841059</v>
      </c>
      <c r="U24" s="522">
        <v>4973.8459809994192</v>
      </c>
    </row>
    <row r="25" spans="1:21" s="248" customFormat="1" ht="15.95" customHeight="1" x14ac:dyDescent="0.3">
      <c r="A25" s="515" t="s">
        <v>176</v>
      </c>
      <c r="B25" s="522">
        <v>1023</v>
      </c>
      <c r="C25" s="522">
        <v>1012</v>
      </c>
      <c r="D25" s="522">
        <v>1257</v>
      </c>
      <c r="E25" s="522">
        <v>1113</v>
      </c>
      <c r="F25" s="522">
        <v>1237</v>
      </c>
      <c r="G25" s="522">
        <v>1494</v>
      </c>
      <c r="H25" s="522">
        <v>1678</v>
      </c>
      <c r="I25" s="522">
        <v>1566</v>
      </c>
      <c r="J25" s="522" t="s">
        <v>31</v>
      </c>
      <c r="K25" s="522" t="s">
        <v>31</v>
      </c>
      <c r="L25" s="522" t="s">
        <v>31</v>
      </c>
      <c r="M25" s="522" t="s">
        <v>31</v>
      </c>
      <c r="N25" s="522" t="s">
        <v>31</v>
      </c>
      <c r="O25" s="522" t="s">
        <v>31</v>
      </c>
      <c r="P25" s="522" t="s">
        <v>31</v>
      </c>
      <c r="Q25" s="522" t="s">
        <v>31</v>
      </c>
      <c r="R25" s="522" t="s">
        <v>31</v>
      </c>
      <c r="S25" s="522" t="s">
        <v>31</v>
      </c>
      <c r="T25" s="522" t="s">
        <v>31</v>
      </c>
      <c r="U25" s="522" t="s">
        <v>31</v>
      </c>
    </row>
    <row r="26" spans="1:21" s="248" customFormat="1" ht="15.95" customHeight="1" x14ac:dyDescent="0.3">
      <c r="A26" s="517" t="s">
        <v>194</v>
      </c>
      <c r="B26" s="518">
        <v>62357</v>
      </c>
      <c r="C26" s="518">
        <v>65678</v>
      </c>
      <c r="D26" s="518">
        <v>69575</v>
      </c>
      <c r="E26" s="518">
        <v>72706</v>
      </c>
      <c r="F26" s="518">
        <v>77568</v>
      </c>
      <c r="G26" s="518">
        <v>81820</v>
      </c>
      <c r="H26" s="518">
        <v>87772</v>
      </c>
      <c r="I26" s="518">
        <v>96824</v>
      </c>
      <c r="J26" s="518">
        <v>106852</v>
      </c>
      <c r="K26" s="518">
        <v>113692</v>
      </c>
      <c r="L26" s="518">
        <v>126389</v>
      </c>
      <c r="M26" s="518">
        <v>130498</v>
      </c>
      <c r="N26" s="518">
        <v>137734</v>
      </c>
      <c r="O26" s="518">
        <v>142918</v>
      </c>
      <c r="P26" s="518">
        <v>151522.95342401907</v>
      </c>
      <c r="Q26" s="518">
        <v>164279.22143162848</v>
      </c>
      <c r="R26" s="518">
        <v>167170.65288696322</v>
      </c>
      <c r="S26" s="518">
        <v>173766.55681775374</v>
      </c>
      <c r="T26" s="518">
        <v>179304.6032343345</v>
      </c>
      <c r="U26" s="518">
        <v>164249.84442275588</v>
      </c>
    </row>
    <row r="27" spans="1:21" s="124" customFormat="1" ht="12" customHeight="1" x14ac:dyDescent="0.25">
      <c r="A27" s="711" t="s">
        <v>381</v>
      </c>
      <c r="B27" s="711"/>
      <c r="C27" s="711"/>
      <c r="D27" s="711"/>
      <c r="E27" s="711"/>
      <c r="F27" s="711"/>
      <c r="G27" s="711"/>
      <c r="H27" s="711"/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</row>
    <row r="28" spans="1:21" s="118" customFormat="1" ht="12" customHeight="1" x14ac:dyDescent="0.25">
      <c r="A28" s="118" t="s">
        <v>383</v>
      </c>
    </row>
    <row r="29" spans="1:21" s="118" customFormat="1" ht="12" customHeight="1" x14ac:dyDescent="0.25">
      <c r="A29" s="118" t="s">
        <v>384</v>
      </c>
    </row>
    <row r="30" spans="1:21" s="118" customFormat="1" ht="12" customHeight="1" x14ac:dyDescent="0.25">
      <c r="A30" s="118" t="s">
        <v>385</v>
      </c>
    </row>
    <row r="31" spans="1:21" s="124" customFormat="1" ht="12" customHeight="1" x14ac:dyDescent="0.25">
      <c r="A31" s="125" t="s">
        <v>372</v>
      </c>
    </row>
  </sheetData>
  <mergeCells count="3">
    <mergeCell ref="A1:U1"/>
    <mergeCell ref="A2:U2"/>
    <mergeCell ref="A27:U27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6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AA25"/>
  <sheetViews>
    <sheetView showGridLines="0" zoomScaleNormal="100" workbookViewId="0">
      <selection activeCell="A4" sqref="A4:C25"/>
    </sheetView>
  </sheetViews>
  <sheetFormatPr baseColWidth="10" defaultColWidth="11.28515625" defaultRowHeight="12.75" customHeight="1" x14ac:dyDescent="0.3"/>
  <cols>
    <col min="1" max="1" width="26.7109375" style="3" customWidth="1"/>
    <col min="2" max="2" width="7.7109375" style="3" customWidth="1"/>
    <col min="3" max="3" width="31.7109375" style="3" customWidth="1"/>
    <col min="4" max="16384" width="11.28515625" style="3"/>
  </cols>
  <sheetData>
    <row r="1" spans="1:27" ht="12.75" customHeight="1" x14ac:dyDescent="0.3">
      <c r="A1" s="677" t="s">
        <v>450</v>
      </c>
      <c r="B1" s="677"/>
      <c r="C1" s="677"/>
      <c r="AA1" s="3" t="s">
        <v>25</v>
      </c>
    </row>
    <row r="2" spans="1:27" ht="12.75" customHeight="1" x14ac:dyDescent="0.3">
      <c r="A2" s="712" t="s">
        <v>205</v>
      </c>
      <c r="B2" s="712"/>
      <c r="C2" s="712"/>
    </row>
    <row r="3" spans="1:27" ht="12.75" customHeight="1" x14ac:dyDescent="0.3">
      <c r="A3" s="190"/>
      <c r="B3" s="190"/>
      <c r="C3" s="190"/>
    </row>
    <row r="4" spans="1:27" ht="24" customHeight="1" x14ac:dyDescent="0.3">
      <c r="A4" s="253" t="s">
        <v>129</v>
      </c>
      <c r="B4" s="713" t="s">
        <v>204</v>
      </c>
      <c r="C4" s="713"/>
    </row>
    <row r="5" spans="1:27" ht="15.95" customHeight="1" x14ac:dyDescent="0.3">
      <c r="A5" s="254">
        <v>2001</v>
      </c>
      <c r="B5" s="523"/>
      <c r="C5" s="524">
        <v>5.7000505201714411</v>
      </c>
    </row>
    <row r="6" spans="1:27" ht="15.95" customHeight="1" x14ac:dyDescent="0.3">
      <c r="A6" s="254">
        <v>2002</v>
      </c>
      <c r="B6" s="523"/>
      <c r="C6" s="524">
        <v>5.4703432906273068</v>
      </c>
    </row>
    <row r="7" spans="1:27" ht="15.95" customHeight="1" x14ac:dyDescent="0.3">
      <c r="A7" s="254">
        <v>2003</v>
      </c>
      <c r="B7" s="523"/>
      <c r="C7" s="524">
        <v>5.1991402338478299</v>
      </c>
    </row>
    <row r="8" spans="1:27" ht="15.95" customHeight="1" x14ac:dyDescent="0.3">
      <c r="A8" s="254">
        <v>2004</v>
      </c>
      <c r="B8" s="523"/>
      <c r="C8" s="524">
        <v>5.3757416099442077</v>
      </c>
    </row>
    <row r="9" spans="1:27" ht="15.95" customHeight="1" x14ac:dyDescent="0.3">
      <c r="A9" s="254">
        <v>2005</v>
      </c>
      <c r="B9" s="523"/>
      <c r="C9" s="524">
        <v>4.9165458098546964</v>
      </c>
    </row>
    <row r="10" spans="1:27" ht="15.95" customHeight="1" x14ac:dyDescent="0.3">
      <c r="A10" s="254">
        <v>2006</v>
      </c>
      <c r="B10" s="523"/>
      <c r="C10" s="524">
        <v>4.5703758725190369</v>
      </c>
    </row>
    <row r="11" spans="1:27" ht="15.95" customHeight="1" x14ac:dyDescent="0.3">
      <c r="A11" s="254">
        <v>2007</v>
      </c>
      <c r="B11" s="523"/>
      <c r="C11" s="524">
        <v>4.4662553749980063</v>
      </c>
    </row>
    <row r="12" spans="1:27" ht="15.95" customHeight="1" x14ac:dyDescent="0.3">
      <c r="A12" s="254" t="s">
        <v>4</v>
      </c>
      <c r="B12" s="523"/>
      <c r="C12" s="524">
        <v>4.3435369206729213</v>
      </c>
    </row>
    <row r="13" spans="1:27" ht="15.95" customHeight="1" x14ac:dyDescent="0.3">
      <c r="A13" s="254" t="s">
        <v>5</v>
      </c>
      <c r="B13" s="523"/>
      <c r="C13" s="524">
        <v>4.8505041453688928</v>
      </c>
    </row>
    <row r="14" spans="1:27" ht="15.95" customHeight="1" x14ac:dyDescent="0.3">
      <c r="A14" s="254" t="s">
        <v>6</v>
      </c>
      <c r="B14" s="523"/>
      <c r="C14" s="524">
        <v>4.6758251055746589</v>
      </c>
    </row>
    <row r="15" spans="1:27" ht="15.95" customHeight="1" x14ac:dyDescent="0.3">
      <c r="A15" s="254" t="s">
        <v>7</v>
      </c>
      <c r="B15" s="523"/>
      <c r="C15" s="524">
        <v>4.6802809088378323</v>
      </c>
    </row>
    <row r="16" spans="1:27" ht="15.95" customHeight="1" x14ac:dyDescent="0.3">
      <c r="A16" s="254" t="s">
        <v>8</v>
      </c>
      <c r="B16" s="523"/>
      <c r="C16" s="524">
        <v>4.4752910013482099</v>
      </c>
    </row>
    <row r="17" spans="1:3" ht="15.95" customHeight="1" x14ac:dyDescent="0.3">
      <c r="A17" s="254" t="s">
        <v>203</v>
      </c>
      <c r="B17" s="523"/>
      <c r="C17" s="524">
        <v>4.3347092065464352</v>
      </c>
    </row>
    <row r="18" spans="1:3" ht="15.95" customHeight="1" x14ac:dyDescent="0.3">
      <c r="A18" s="254" t="s">
        <v>202</v>
      </c>
      <c r="B18" s="523"/>
      <c r="C18" s="524">
        <v>4.2476056542863718</v>
      </c>
    </row>
    <row r="19" spans="1:3" ht="15.95" customHeight="1" x14ac:dyDescent="0.3">
      <c r="A19" s="254" t="s">
        <v>57</v>
      </c>
      <c r="B19" s="523"/>
      <c r="C19" s="524">
        <v>4.3432586889240259</v>
      </c>
    </row>
    <row r="20" spans="1:3" ht="15.95" customHeight="1" x14ac:dyDescent="0.3">
      <c r="A20" s="254" t="s">
        <v>137</v>
      </c>
      <c r="B20" s="523"/>
      <c r="C20" s="524">
        <v>4.344729156437209</v>
      </c>
    </row>
    <row r="21" spans="1:3" ht="15.95" customHeight="1" x14ac:dyDescent="0.3">
      <c r="A21" s="254" t="s">
        <v>138</v>
      </c>
      <c r="B21" s="523"/>
      <c r="C21" s="524">
        <v>4.3254617682105803</v>
      </c>
    </row>
    <row r="22" spans="1:3" ht="15.95" customHeight="1" x14ac:dyDescent="0.3">
      <c r="A22" s="254" t="s">
        <v>139</v>
      </c>
      <c r="B22" s="523"/>
      <c r="C22" s="524">
        <v>4.3427522065521602</v>
      </c>
    </row>
    <row r="23" spans="1:3" ht="15.95" customHeight="1" x14ac:dyDescent="0.3">
      <c r="A23" s="254" t="s">
        <v>347</v>
      </c>
      <c r="B23" s="523"/>
      <c r="C23" s="524">
        <v>4.4016205992372868</v>
      </c>
    </row>
    <row r="24" spans="1:3" ht="15.95" customHeight="1" x14ac:dyDescent="0.3">
      <c r="A24" s="525" t="s">
        <v>411</v>
      </c>
      <c r="B24" s="526"/>
      <c r="C24" s="527">
        <v>4.1002364910803832</v>
      </c>
    </row>
    <row r="25" spans="1:3" s="131" customFormat="1" ht="12" customHeight="1" x14ac:dyDescent="0.25">
      <c r="A25" s="125" t="s">
        <v>372</v>
      </c>
    </row>
  </sheetData>
  <mergeCells count="3">
    <mergeCell ref="A1:C1"/>
    <mergeCell ref="A2:C2"/>
    <mergeCell ref="B4:C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A12:A2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AA45"/>
  <sheetViews>
    <sheetView showGridLines="0" zoomScaleNormal="100" zoomScaleSheetLayoutView="100" workbookViewId="0">
      <selection activeCell="A3" sqref="A3:I44"/>
    </sheetView>
  </sheetViews>
  <sheetFormatPr baseColWidth="10" defaultColWidth="11.28515625" defaultRowHeight="12.75" customHeight="1" x14ac:dyDescent="0.3"/>
  <cols>
    <col min="1" max="1" width="8.7109375" style="24" customWidth="1"/>
    <col min="2" max="2" width="17.7109375" style="23" customWidth="1"/>
    <col min="3" max="3" width="1.7109375" style="23" customWidth="1"/>
    <col min="4" max="5" width="17.7109375" style="23" customWidth="1"/>
    <col min="6" max="6" width="1.7109375" style="23" customWidth="1"/>
    <col min="7" max="7" width="20.5703125" style="23" customWidth="1"/>
    <col min="8" max="8" width="1.7109375" style="23" customWidth="1"/>
    <col min="9" max="9" width="24.28515625" style="23" customWidth="1"/>
    <col min="10" max="10" width="11.7109375" style="23" customWidth="1"/>
    <col min="11" max="11" width="14.7109375" style="23" customWidth="1"/>
    <col min="12" max="12" width="15.140625" style="23" customWidth="1"/>
    <col min="13" max="13" width="15" style="24" customWidth="1"/>
    <col min="14" max="14" width="15.140625" style="24" bestFit="1" customWidth="1"/>
    <col min="15" max="16" width="11.28515625" style="24"/>
    <col min="17" max="17" width="11.28515625" style="24" customWidth="1"/>
    <col min="18" max="16384" width="11.28515625" style="24"/>
  </cols>
  <sheetData>
    <row r="1" spans="1:27" ht="12.75" customHeight="1" x14ac:dyDescent="0.3">
      <c r="A1" s="677" t="s">
        <v>442</v>
      </c>
      <c r="B1" s="677"/>
      <c r="C1" s="677"/>
      <c r="D1" s="677"/>
      <c r="E1" s="677"/>
      <c r="F1" s="677"/>
      <c r="G1" s="677"/>
      <c r="H1" s="677"/>
      <c r="I1" s="677"/>
      <c r="AA1" s="24" t="s">
        <v>25</v>
      </c>
    </row>
    <row r="2" spans="1:27" ht="12.75" customHeight="1" x14ac:dyDescent="0.3">
      <c r="A2" s="191"/>
      <c r="B2" s="192"/>
      <c r="C2" s="192"/>
      <c r="D2" s="192"/>
      <c r="E2" s="192"/>
      <c r="F2" s="192"/>
      <c r="G2" s="192"/>
      <c r="H2" s="192"/>
      <c r="I2" s="192"/>
    </row>
    <row r="3" spans="1:27" s="191" customFormat="1" ht="24" customHeight="1" x14ac:dyDescent="0.3">
      <c r="A3" s="714" t="s">
        <v>129</v>
      </c>
      <c r="B3" s="721" t="s">
        <v>476</v>
      </c>
      <c r="C3" s="528"/>
      <c r="D3" s="717" t="s">
        <v>210</v>
      </c>
      <c r="E3" s="717"/>
      <c r="F3" s="529"/>
      <c r="G3" s="724" t="s">
        <v>478</v>
      </c>
      <c r="H3" s="528"/>
      <c r="I3" s="718" t="s">
        <v>477</v>
      </c>
      <c r="J3" s="193"/>
      <c r="K3" s="248"/>
      <c r="L3" s="248"/>
      <c r="M3" s="248"/>
      <c r="N3" s="248"/>
    </row>
    <row r="4" spans="1:27" s="191" customFormat="1" ht="18" customHeight="1" x14ac:dyDescent="0.3">
      <c r="A4" s="715"/>
      <c r="B4" s="722"/>
      <c r="C4" s="533"/>
      <c r="D4" s="533" t="s">
        <v>209</v>
      </c>
      <c r="E4" s="533" t="s">
        <v>208</v>
      </c>
      <c r="F4" s="533"/>
      <c r="G4" s="725"/>
      <c r="H4" s="533"/>
      <c r="I4" s="719"/>
      <c r="J4" s="193"/>
      <c r="K4" s="248"/>
      <c r="L4" s="248"/>
      <c r="M4" s="248"/>
      <c r="N4" s="248"/>
    </row>
    <row r="5" spans="1:27" s="191" customFormat="1" ht="18" customHeight="1" x14ac:dyDescent="0.25">
      <c r="A5" s="716"/>
      <c r="B5" s="723"/>
      <c r="C5" s="530"/>
      <c r="D5" s="530" t="s">
        <v>169</v>
      </c>
      <c r="E5" s="530" t="s">
        <v>169</v>
      </c>
      <c r="F5" s="530"/>
      <c r="G5" s="726"/>
      <c r="H5" s="530"/>
      <c r="I5" s="720"/>
      <c r="J5" s="193"/>
      <c r="K5" s="248"/>
      <c r="L5" s="248"/>
      <c r="M5" s="248"/>
      <c r="N5" s="248"/>
    </row>
    <row r="6" spans="1:27" s="191" customFormat="1" ht="16.5" hidden="1" x14ac:dyDescent="0.3">
      <c r="A6" s="531"/>
      <c r="B6" s="534"/>
      <c r="C6" s="534"/>
      <c r="D6" s="534"/>
      <c r="E6" s="534"/>
      <c r="F6" s="534"/>
      <c r="G6" s="535"/>
      <c r="H6" s="535"/>
      <c r="I6" s="536"/>
      <c r="J6" s="193"/>
      <c r="K6" s="193"/>
      <c r="L6" s="193"/>
    </row>
    <row r="7" spans="1:27" s="191" customFormat="1" ht="16.5" hidden="1" x14ac:dyDescent="0.3">
      <c r="A7" s="532">
        <v>1985</v>
      </c>
      <c r="B7" s="534"/>
      <c r="C7" s="534"/>
      <c r="D7" s="534"/>
      <c r="E7" s="534"/>
      <c r="F7" s="534"/>
      <c r="G7" s="535"/>
      <c r="H7" s="535"/>
      <c r="I7" s="536"/>
      <c r="J7" s="193"/>
      <c r="K7" s="193"/>
      <c r="L7" s="193"/>
    </row>
    <row r="8" spans="1:27" s="191" customFormat="1" ht="16.5" hidden="1" x14ac:dyDescent="0.3">
      <c r="A8" s="532">
        <v>1986</v>
      </c>
      <c r="B8" s="534"/>
      <c r="C8" s="534"/>
      <c r="D8" s="534"/>
      <c r="E8" s="534"/>
      <c r="F8" s="534"/>
      <c r="G8" s="535"/>
      <c r="H8" s="535"/>
      <c r="I8" s="536"/>
      <c r="J8" s="193"/>
      <c r="K8" s="193"/>
      <c r="L8" s="193"/>
    </row>
    <row r="9" spans="1:27" s="191" customFormat="1" ht="16.5" hidden="1" x14ac:dyDescent="0.3">
      <c r="A9" s="532">
        <v>1987</v>
      </c>
      <c r="B9" s="534"/>
      <c r="C9" s="534"/>
      <c r="D9" s="534"/>
      <c r="E9" s="534"/>
      <c r="F9" s="534"/>
      <c r="G9" s="535"/>
      <c r="H9" s="535"/>
      <c r="I9" s="536"/>
      <c r="J9" s="193"/>
      <c r="K9" s="193"/>
      <c r="L9" s="193"/>
    </row>
    <row r="10" spans="1:27" s="191" customFormat="1" ht="16.5" hidden="1" x14ac:dyDescent="0.3">
      <c r="A10" s="532">
        <v>1988</v>
      </c>
      <c r="B10" s="534"/>
      <c r="C10" s="534"/>
      <c r="D10" s="534"/>
      <c r="E10" s="534"/>
      <c r="F10" s="534"/>
      <c r="G10" s="535"/>
      <c r="H10" s="535"/>
      <c r="I10" s="536"/>
      <c r="J10" s="193"/>
      <c r="K10" s="193"/>
      <c r="L10" s="193"/>
    </row>
    <row r="11" spans="1:27" s="191" customFormat="1" ht="16.5" hidden="1" x14ac:dyDescent="0.25">
      <c r="A11" s="532">
        <v>1989</v>
      </c>
      <c r="B11" s="537"/>
      <c r="C11" s="537"/>
      <c r="D11" s="537"/>
      <c r="E11" s="537"/>
      <c r="F11" s="537"/>
      <c r="G11" s="538"/>
      <c r="H11" s="538"/>
      <c r="I11" s="538"/>
      <c r="J11" s="194"/>
      <c r="K11" s="194"/>
      <c r="L11" s="194"/>
      <c r="M11" s="195"/>
      <c r="N11" s="195"/>
    </row>
    <row r="12" spans="1:27" s="191" customFormat="1" ht="16.5" hidden="1" x14ac:dyDescent="0.25">
      <c r="A12" s="532">
        <v>1990</v>
      </c>
      <c r="B12" s="537"/>
      <c r="C12" s="537"/>
      <c r="D12" s="537"/>
      <c r="E12" s="537"/>
      <c r="F12" s="537"/>
      <c r="G12" s="538"/>
      <c r="H12" s="538"/>
      <c r="I12" s="538"/>
      <c r="J12" s="194"/>
      <c r="K12" s="194"/>
      <c r="L12" s="194"/>
      <c r="M12" s="195"/>
      <c r="N12" s="195"/>
    </row>
    <row r="13" spans="1:27" s="191" customFormat="1" ht="16.5" hidden="1" x14ac:dyDescent="0.25">
      <c r="A13" s="532">
        <v>1991</v>
      </c>
      <c r="B13" s="537"/>
      <c r="C13" s="537"/>
      <c r="D13" s="537"/>
      <c r="E13" s="537"/>
      <c r="F13" s="537"/>
      <c r="G13" s="538"/>
      <c r="H13" s="538"/>
      <c r="I13" s="538"/>
      <c r="J13" s="194"/>
      <c r="K13" s="194"/>
      <c r="L13" s="194"/>
      <c r="M13" s="195"/>
      <c r="N13" s="195"/>
    </row>
    <row r="14" spans="1:27" s="191" customFormat="1" ht="16.5" hidden="1" x14ac:dyDescent="0.25">
      <c r="A14" s="532">
        <v>1992</v>
      </c>
      <c r="B14" s="537"/>
      <c r="C14" s="537"/>
      <c r="D14" s="537"/>
      <c r="E14" s="537"/>
      <c r="F14" s="537"/>
      <c r="G14" s="538"/>
      <c r="H14" s="538"/>
      <c r="I14" s="538"/>
      <c r="J14" s="194"/>
      <c r="K14" s="194"/>
      <c r="L14" s="194"/>
      <c r="M14" s="195"/>
      <c r="N14" s="195"/>
    </row>
    <row r="15" spans="1:27" s="191" customFormat="1" ht="16.5" hidden="1" x14ac:dyDescent="0.25">
      <c r="A15" s="532">
        <v>1993</v>
      </c>
      <c r="B15" s="537"/>
      <c r="C15" s="537"/>
      <c r="D15" s="537"/>
      <c r="E15" s="537"/>
      <c r="F15" s="537"/>
      <c r="G15" s="538"/>
      <c r="H15" s="538"/>
      <c r="I15" s="538"/>
      <c r="J15" s="194"/>
      <c r="K15" s="194"/>
      <c r="L15" s="194"/>
      <c r="M15" s="195"/>
      <c r="N15" s="195"/>
    </row>
    <row r="16" spans="1:27" s="191" customFormat="1" ht="16.5" hidden="1" x14ac:dyDescent="0.25">
      <c r="A16" s="532">
        <v>1994</v>
      </c>
      <c r="B16" s="537"/>
      <c r="C16" s="537"/>
      <c r="D16" s="537"/>
      <c r="E16" s="537"/>
      <c r="F16" s="537"/>
      <c r="G16" s="538"/>
      <c r="H16" s="538"/>
      <c r="I16" s="538"/>
      <c r="J16" s="194"/>
      <c r="K16" s="194"/>
      <c r="L16" s="194"/>
      <c r="M16" s="195"/>
      <c r="N16" s="195"/>
    </row>
    <row r="17" spans="1:14" s="191" customFormat="1" ht="16.5" hidden="1" x14ac:dyDescent="0.25">
      <c r="A17" s="532" t="s">
        <v>207</v>
      </c>
      <c r="B17" s="537"/>
      <c r="C17" s="537"/>
      <c r="D17" s="537"/>
      <c r="E17" s="537"/>
      <c r="F17" s="537"/>
      <c r="G17" s="538"/>
      <c r="H17" s="538"/>
      <c r="I17" s="538"/>
      <c r="J17" s="194"/>
      <c r="K17" s="194"/>
      <c r="L17" s="194"/>
      <c r="M17" s="195"/>
      <c r="N17" s="195"/>
    </row>
    <row r="18" spans="1:14" s="191" customFormat="1" ht="16.5" hidden="1" x14ac:dyDescent="0.25">
      <c r="A18" s="532">
        <v>1996</v>
      </c>
      <c r="B18" s="537"/>
      <c r="C18" s="537"/>
      <c r="D18" s="537"/>
      <c r="E18" s="537"/>
      <c r="F18" s="537"/>
      <c r="G18" s="538"/>
      <c r="H18" s="538"/>
      <c r="I18" s="538"/>
      <c r="J18" s="194"/>
      <c r="K18" s="194"/>
      <c r="L18" s="194"/>
      <c r="M18" s="195"/>
      <c r="N18" s="195"/>
    </row>
    <row r="19" spans="1:14" s="191" customFormat="1" ht="16.5" hidden="1" x14ac:dyDescent="0.25">
      <c r="A19" s="532">
        <v>1997</v>
      </c>
      <c r="B19" s="537"/>
      <c r="C19" s="537"/>
      <c r="D19" s="537"/>
      <c r="E19" s="537"/>
      <c r="F19" s="537"/>
      <c r="G19" s="538"/>
      <c r="H19" s="538"/>
      <c r="I19" s="538"/>
      <c r="J19" s="194"/>
      <c r="K19" s="194"/>
      <c r="L19" s="194"/>
      <c r="M19" s="195"/>
      <c r="N19" s="195"/>
    </row>
    <row r="20" spans="1:14" s="191" customFormat="1" ht="16.5" hidden="1" x14ac:dyDescent="0.25">
      <c r="A20" s="532">
        <v>1998</v>
      </c>
      <c r="B20" s="537"/>
      <c r="C20" s="537"/>
      <c r="D20" s="537"/>
      <c r="E20" s="537"/>
      <c r="F20" s="537"/>
      <c r="G20" s="538"/>
      <c r="H20" s="538"/>
      <c r="I20" s="538"/>
      <c r="J20" s="194"/>
      <c r="K20" s="194"/>
      <c r="L20" s="194"/>
      <c r="M20" s="195"/>
      <c r="N20" s="195"/>
    </row>
    <row r="21" spans="1:14" s="191" customFormat="1" ht="16.5" hidden="1" x14ac:dyDescent="0.25">
      <c r="A21" s="532">
        <v>1999</v>
      </c>
      <c r="B21" s="539"/>
      <c r="C21" s="539"/>
      <c r="D21" s="539"/>
      <c r="E21" s="539"/>
      <c r="F21" s="539"/>
      <c r="G21" s="540"/>
      <c r="H21" s="540"/>
      <c r="I21" s="538"/>
      <c r="J21" s="194"/>
      <c r="K21" s="194"/>
      <c r="L21" s="194"/>
      <c r="M21" s="195"/>
      <c r="N21" s="195"/>
    </row>
    <row r="22" spans="1:14" s="191" customFormat="1" ht="15.95" customHeight="1" x14ac:dyDescent="0.25">
      <c r="A22" s="532">
        <v>2001</v>
      </c>
      <c r="B22" s="539">
        <v>228304</v>
      </c>
      <c r="C22" s="539"/>
      <c r="D22" s="539">
        <v>74792</v>
      </c>
      <c r="E22" s="539">
        <v>79227.600000000006</v>
      </c>
      <c r="F22" s="539"/>
      <c r="G22" s="540">
        <v>2.4585150929411843</v>
      </c>
      <c r="H22" s="540"/>
      <c r="I22" s="538">
        <v>18.663040049895081</v>
      </c>
      <c r="J22" s="249"/>
      <c r="K22" s="194"/>
      <c r="L22" s="194"/>
      <c r="M22" s="195"/>
      <c r="N22" s="195"/>
    </row>
    <row r="23" spans="1:14" s="191" customFormat="1" ht="15.95" customHeight="1" x14ac:dyDescent="0.25">
      <c r="A23" s="532">
        <v>2002</v>
      </c>
      <c r="B23" s="539">
        <v>243384.8</v>
      </c>
      <c r="C23" s="539"/>
      <c r="D23" s="539">
        <v>79097.600000000006</v>
      </c>
      <c r="E23" s="539">
        <v>81140.800000000003</v>
      </c>
      <c r="F23" s="539"/>
      <c r="G23" s="540">
        <v>2.5769089873873412</v>
      </c>
      <c r="H23" s="540"/>
      <c r="I23" s="538">
        <v>18.624353323569636</v>
      </c>
      <c r="J23" s="249"/>
      <c r="K23" s="194"/>
      <c r="L23" s="194"/>
      <c r="M23" s="195"/>
      <c r="N23" s="195"/>
    </row>
    <row r="24" spans="1:14" s="191" customFormat="1" ht="15.95" customHeight="1" x14ac:dyDescent="0.25">
      <c r="A24" s="532">
        <v>2003</v>
      </c>
      <c r="B24" s="539">
        <v>278941.3</v>
      </c>
      <c r="C24" s="539"/>
      <c r="D24" s="539">
        <v>82494.399999999994</v>
      </c>
      <c r="E24" s="539">
        <v>83360.899999999994</v>
      </c>
      <c r="F24" s="539"/>
      <c r="G24" s="540">
        <v>2.6676638861045845</v>
      </c>
      <c r="H24" s="540"/>
      <c r="I24" s="538">
        <v>18.190449657227195</v>
      </c>
      <c r="J24" s="249"/>
      <c r="K24" s="195"/>
      <c r="L24" s="194"/>
      <c r="M24" s="195"/>
      <c r="N24" s="195"/>
    </row>
    <row r="25" spans="1:14" s="191" customFormat="1" ht="15.95" customHeight="1" x14ac:dyDescent="0.25">
      <c r="A25" s="532">
        <v>2004</v>
      </c>
      <c r="B25" s="539">
        <v>282300.59999999998</v>
      </c>
      <c r="C25" s="539"/>
      <c r="D25" s="539">
        <v>87318.399999999994</v>
      </c>
      <c r="E25" s="539">
        <v>98531.7</v>
      </c>
      <c r="F25" s="539"/>
      <c r="G25" s="540">
        <v>2.8214125504685965</v>
      </c>
      <c r="H25" s="540"/>
      <c r="I25" s="538">
        <v>19.484564459742952</v>
      </c>
      <c r="J25" s="249"/>
      <c r="K25" s="195"/>
      <c r="L25" s="194"/>
      <c r="M25" s="195"/>
      <c r="N25" s="195"/>
    </row>
    <row r="26" spans="1:14" s="191" customFormat="1" ht="15.95" customHeight="1" x14ac:dyDescent="0.25">
      <c r="A26" s="532">
        <v>2005</v>
      </c>
      <c r="B26" s="539">
        <v>284337.7</v>
      </c>
      <c r="C26" s="539"/>
      <c r="D26" s="539">
        <v>91790.1</v>
      </c>
      <c r="E26" s="539">
        <v>64717.2</v>
      </c>
      <c r="F26" s="539"/>
      <c r="G26" s="540">
        <v>2.9514439218814337</v>
      </c>
      <c r="H26" s="540"/>
      <c r="I26" s="538">
        <v>18.7016043212857</v>
      </c>
      <c r="J26" s="249"/>
      <c r="L26" s="194"/>
      <c r="M26" s="195"/>
      <c r="N26" s="195"/>
    </row>
    <row r="27" spans="1:14" s="191" customFormat="1" ht="15.95" customHeight="1" x14ac:dyDescent="0.25">
      <c r="A27" s="532">
        <v>2006</v>
      </c>
      <c r="B27" s="539">
        <v>235166.51481008844</v>
      </c>
      <c r="C27" s="539"/>
      <c r="D27" s="539">
        <v>98483.07481015037</v>
      </c>
      <c r="E27" s="539">
        <v>88131.339325770052</v>
      </c>
      <c r="F27" s="539"/>
      <c r="G27" s="540">
        <v>3.1420875876979735</v>
      </c>
      <c r="H27" s="540"/>
      <c r="I27" s="538">
        <v>18.467268462900481</v>
      </c>
      <c r="J27" s="249"/>
      <c r="L27" s="194"/>
      <c r="M27" s="195"/>
      <c r="N27" s="195"/>
    </row>
    <row r="28" spans="1:14" s="191" customFormat="1" ht="15.95" customHeight="1" x14ac:dyDescent="0.25">
      <c r="A28" s="532">
        <v>2007</v>
      </c>
      <c r="B28" s="539">
        <v>323815.40000000002</v>
      </c>
      <c r="C28" s="539"/>
      <c r="D28" s="539">
        <v>271776</v>
      </c>
      <c r="E28" s="539">
        <v>87926.414698794164</v>
      </c>
      <c r="F28" s="539"/>
      <c r="G28" s="540">
        <v>3.4429794206780868</v>
      </c>
      <c r="H28" s="540"/>
      <c r="I28" s="538">
        <v>19.356663148634421</v>
      </c>
      <c r="J28" s="249"/>
      <c r="L28" s="194"/>
      <c r="M28" s="195"/>
      <c r="N28" s="195"/>
    </row>
    <row r="29" spans="1:14" s="191" customFormat="1" ht="15.95" customHeight="1" x14ac:dyDescent="0.25">
      <c r="A29" s="532">
        <v>2008</v>
      </c>
      <c r="B29" s="539">
        <v>310726.6602723985</v>
      </c>
      <c r="C29" s="539"/>
      <c r="D29" s="539">
        <v>116738.9</v>
      </c>
      <c r="E29" s="539">
        <v>85637.456081332697</v>
      </c>
      <c r="F29" s="539"/>
      <c r="G29" s="540">
        <v>3.7189377534974697</v>
      </c>
      <c r="H29" s="540"/>
      <c r="I29" s="538">
        <v>20.311028356344032</v>
      </c>
      <c r="J29" s="249"/>
      <c r="L29" s="194"/>
      <c r="M29" s="195"/>
      <c r="N29" s="195"/>
    </row>
    <row r="30" spans="1:14" s="191" customFormat="1" ht="15.95" customHeight="1" x14ac:dyDescent="0.25">
      <c r="A30" s="532">
        <v>2009</v>
      </c>
      <c r="B30" s="539">
        <v>284673.00278006413</v>
      </c>
      <c r="C30" s="539"/>
      <c r="D30" s="539">
        <v>118542.9352771897</v>
      </c>
      <c r="E30" s="539">
        <v>89523.106676401454</v>
      </c>
      <c r="F30" s="539"/>
      <c r="G30" s="540">
        <v>3.7511260385159013</v>
      </c>
      <c r="H30" s="540"/>
      <c r="I30" s="538">
        <v>22.674415102197937</v>
      </c>
      <c r="J30" s="249"/>
      <c r="L30" s="194"/>
      <c r="M30" s="195"/>
      <c r="N30" s="195"/>
    </row>
    <row r="31" spans="1:14" s="191" customFormat="1" ht="15.95" customHeight="1" x14ac:dyDescent="0.25">
      <c r="A31" s="532">
        <v>2010</v>
      </c>
      <c r="B31" s="539">
        <v>349079</v>
      </c>
      <c r="C31" s="539"/>
      <c r="D31" s="539">
        <v>129268.8</v>
      </c>
      <c r="E31" s="539">
        <v>90190.367506317823</v>
      </c>
      <c r="F31" s="539"/>
      <c r="G31" s="540">
        <v>3.9623860437297522</v>
      </c>
      <c r="H31" s="540"/>
      <c r="I31" s="538">
        <v>23.413935602946484</v>
      </c>
      <c r="J31" s="249"/>
      <c r="L31" s="194"/>
      <c r="M31" s="195"/>
      <c r="N31" s="195"/>
    </row>
    <row r="32" spans="1:14" s="191" customFormat="1" ht="15.95" customHeight="1" x14ac:dyDescent="0.25">
      <c r="A32" s="532">
        <v>2011</v>
      </c>
      <c r="B32" s="539">
        <v>354858</v>
      </c>
      <c r="C32" s="539"/>
      <c r="D32" s="539">
        <v>139629.6</v>
      </c>
      <c r="E32" s="539">
        <v>96959</v>
      </c>
      <c r="F32" s="539"/>
      <c r="G32" s="540">
        <v>4.3725034749675888</v>
      </c>
      <c r="H32" s="540"/>
      <c r="I32" s="538">
        <v>24.638245637498958</v>
      </c>
      <c r="J32" s="249"/>
      <c r="L32" s="194"/>
      <c r="M32" s="195"/>
      <c r="N32" s="195"/>
    </row>
    <row r="33" spans="1:15" s="191" customFormat="1" ht="15.95" customHeight="1" x14ac:dyDescent="0.25">
      <c r="A33" s="532">
        <v>2012</v>
      </c>
      <c r="B33" s="539">
        <v>337270</v>
      </c>
      <c r="C33" s="539"/>
      <c r="D33" s="539">
        <v>143740.80000000002</v>
      </c>
      <c r="E33" s="539">
        <v>96092</v>
      </c>
      <c r="F33" s="539"/>
      <c r="G33" s="540">
        <v>4.482459510470008</v>
      </c>
      <c r="H33" s="540"/>
      <c r="I33" s="538">
        <v>24.725039314593001</v>
      </c>
      <c r="J33" s="249"/>
      <c r="L33" s="194"/>
      <c r="M33" s="195"/>
      <c r="N33" s="195"/>
    </row>
    <row r="34" spans="1:15" s="191" customFormat="1" ht="15.95" customHeight="1" x14ac:dyDescent="0.25">
      <c r="A34" s="532">
        <v>2013</v>
      </c>
      <c r="B34" s="539">
        <v>353780.30615242547</v>
      </c>
      <c r="C34" s="539"/>
      <c r="D34" s="539">
        <v>157737.52451252457</v>
      </c>
      <c r="E34" s="539">
        <v>100662.46206917426</v>
      </c>
      <c r="F34" s="539"/>
      <c r="G34" s="540">
        <v>4.6942025815744648</v>
      </c>
      <c r="H34" s="540"/>
      <c r="I34" s="538">
        <v>25.067724469921028</v>
      </c>
      <c r="J34" s="249"/>
      <c r="L34" s="194"/>
      <c r="M34" s="195"/>
      <c r="N34" s="195"/>
    </row>
    <row r="35" spans="1:15" s="191" customFormat="1" ht="15.95" customHeight="1" x14ac:dyDescent="0.25">
      <c r="A35" s="532">
        <v>2014</v>
      </c>
      <c r="B35" s="539">
        <v>317641.92261590797</v>
      </c>
      <c r="C35" s="539"/>
      <c r="D35" s="539">
        <v>163898.98753018395</v>
      </c>
      <c r="E35" s="539">
        <v>99898.993956163351</v>
      </c>
      <c r="F35" s="539"/>
      <c r="G35" s="540">
        <v>4.8256099911784283</v>
      </c>
      <c r="H35" s="540"/>
      <c r="I35" s="538">
        <v>24.872400582142891</v>
      </c>
      <c r="J35" s="249"/>
      <c r="L35" s="194"/>
      <c r="M35" s="195"/>
      <c r="N35" s="195"/>
    </row>
    <row r="36" spans="1:15" s="191" customFormat="1" ht="15.95" customHeight="1" x14ac:dyDescent="0.25">
      <c r="A36" s="532">
        <v>2015</v>
      </c>
      <c r="B36" s="539">
        <v>343533.73510206467</v>
      </c>
      <c r="C36" s="539"/>
      <c r="D36" s="539">
        <v>173715.01145865917</v>
      </c>
      <c r="E36" s="539">
        <v>106699.66524331574</v>
      </c>
      <c r="F36" s="539"/>
      <c r="G36" s="540">
        <v>5.0567491024635212</v>
      </c>
      <c r="H36" s="540"/>
      <c r="I36" s="538">
        <v>25.976081052697698</v>
      </c>
      <c r="J36" s="249"/>
      <c r="L36" s="194"/>
      <c r="M36" s="195"/>
      <c r="N36" s="195"/>
    </row>
    <row r="37" spans="1:15" s="191" customFormat="1" ht="15.95" customHeight="1" x14ac:dyDescent="0.25">
      <c r="A37" s="532">
        <v>2016</v>
      </c>
      <c r="B37" s="539">
        <v>459036.34544919356</v>
      </c>
      <c r="C37" s="539"/>
      <c r="D37" s="539">
        <v>168514</v>
      </c>
      <c r="E37" s="539">
        <v>108719.3</v>
      </c>
      <c r="F37" s="539"/>
      <c r="G37" s="540">
        <v>5.3998663514131371</v>
      </c>
      <c r="H37" s="540"/>
      <c r="I37" s="538">
        <v>26.721941985150934</v>
      </c>
      <c r="J37" s="249"/>
      <c r="L37" s="194"/>
      <c r="M37" s="195"/>
      <c r="N37" s="195"/>
    </row>
    <row r="38" spans="1:15" s="191" customFormat="1" ht="15.95" customHeight="1" x14ac:dyDescent="0.25">
      <c r="A38" s="532">
        <v>2017</v>
      </c>
      <c r="B38" s="539">
        <v>529576.57394221111</v>
      </c>
      <c r="C38" s="539"/>
      <c r="D38" s="539">
        <v>189873.27408458453</v>
      </c>
      <c r="E38" s="539">
        <v>130835.31073927092</v>
      </c>
      <c r="F38" s="539"/>
      <c r="G38" s="540">
        <v>5.3971297237683542</v>
      </c>
      <c r="H38" s="540"/>
      <c r="I38" s="540">
        <v>26.984404797547288</v>
      </c>
      <c r="J38" s="249"/>
      <c r="L38" s="194"/>
      <c r="M38" s="195"/>
      <c r="N38" s="195"/>
    </row>
    <row r="39" spans="1:15" s="191" customFormat="1" ht="15.95" customHeight="1" x14ac:dyDescent="0.25">
      <c r="A39" s="532">
        <v>2018</v>
      </c>
      <c r="B39" s="539">
        <v>500032.50899649179</v>
      </c>
      <c r="C39" s="539"/>
      <c r="D39" s="539">
        <v>197936.42064543543</v>
      </c>
      <c r="E39" s="539">
        <v>138318.55924202193</v>
      </c>
      <c r="F39" s="539"/>
      <c r="G39" s="540">
        <v>5.5055396076802712</v>
      </c>
      <c r="H39" s="540"/>
      <c r="I39" s="538">
        <v>27.87528126904585</v>
      </c>
      <c r="J39" s="249"/>
      <c r="L39" s="194"/>
      <c r="M39" s="195"/>
      <c r="N39" s="195"/>
    </row>
    <row r="40" spans="1:15" s="191" customFormat="1" ht="15.95" customHeight="1" x14ac:dyDescent="0.25">
      <c r="A40" s="532">
        <v>2019</v>
      </c>
      <c r="B40" s="539">
        <v>469177</v>
      </c>
      <c r="C40" s="539"/>
      <c r="D40" s="539">
        <v>205238</v>
      </c>
      <c r="E40" s="539">
        <v>141510</v>
      </c>
      <c r="F40" s="539"/>
      <c r="G40" s="540">
        <v>5.5803545203238727</v>
      </c>
      <c r="H40" s="540"/>
      <c r="I40" s="538">
        <v>28.564586140058051</v>
      </c>
      <c r="J40" s="249"/>
      <c r="L40" s="194"/>
      <c r="M40" s="195"/>
      <c r="N40" s="195"/>
    </row>
    <row r="41" spans="1:15" s="191" customFormat="1" ht="15.95" customHeight="1" x14ac:dyDescent="0.25">
      <c r="A41" s="541">
        <v>2020</v>
      </c>
      <c r="B41" s="542">
        <v>323927.75778029964</v>
      </c>
      <c r="C41" s="542"/>
      <c r="D41" s="542">
        <v>189999.66871656608</v>
      </c>
      <c r="E41" s="542">
        <v>137229.26698939415</v>
      </c>
      <c r="F41" s="542"/>
      <c r="G41" s="543">
        <v>5.0343317050206746</v>
      </c>
      <c r="H41" s="543"/>
      <c r="I41" s="544">
        <v>23.558301952643635</v>
      </c>
      <c r="J41" s="249"/>
      <c r="L41" s="194"/>
      <c r="M41" s="195"/>
      <c r="N41" s="195"/>
    </row>
    <row r="42" spans="1:15" s="133" customFormat="1" ht="12" customHeight="1" x14ac:dyDescent="0.25">
      <c r="A42" s="132" t="s">
        <v>389</v>
      </c>
    </row>
    <row r="43" spans="1:15" s="133" customFormat="1" ht="12" customHeight="1" x14ac:dyDescent="0.25">
      <c r="A43" s="133" t="s">
        <v>206</v>
      </c>
      <c r="G43" s="134"/>
      <c r="H43" s="134"/>
    </row>
    <row r="44" spans="1:15" s="133" customFormat="1" ht="12" customHeight="1" x14ac:dyDescent="0.25">
      <c r="A44" s="125" t="s">
        <v>372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6"/>
    </row>
    <row r="45" spans="1:15" s="191" customFormat="1" x14ac:dyDescent="0.25"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</row>
  </sheetData>
  <mergeCells count="6">
    <mergeCell ref="A1:I1"/>
    <mergeCell ref="A3:A5"/>
    <mergeCell ref="D3:E3"/>
    <mergeCell ref="I3:I5"/>
    <mergeCell ref="B3:B5"/>
    <mergeCell ref="G3:G5"/>
  </mergeCells>
  <printOptions horizontalCentered="1"/>
  <pageMargins left="0.98425196850393704" right="0.78740157480314965" top="0.98425196850393704" bottom="0.98425196850393704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Q39"/>
  <sheetViews>
    <sheetView showGridLines="0" zoomScaleNormal="100" workbookViewId="0">
      <selection activeCell="A4" sqref="A4:P34"/>
    </sheetView>
  </sheetViews>
  <sheetFormatPr baseColWidth="10" defaultColWidth="11.28515625" defaultRowHeight="12.75" customHeight="1" x14ac:dyDescent="0.3"/>
  <cols>
    <col min="1" max="1" width="8.28515625" style="8" customWidth="1"/>
    <col min="2" max="2" width="8.7109375" style="60" customWidth="1"/>
    <col min="3" max="3" width="10.42578125" style="61" customWidth="1"/>
    <col min="4" max="4" width="8.7109375" style="61" customWidth="1"/>
    <col min="5" max="5" width="7" style="61" customWidth="1"/>
    <col min="6" max="6" width="8.7109375" style="61" customWidth="1"/>
    <col min="7" max="7" width="1.28515625" style="61" customWidth="1"/>
    <col min="8" max="8" width="8.7109375" style="61" customWidth="1"/>
    <col min="9" max="9" width="10.42578125" style="61" customWidth="1"/>
    <col min="10" max="10" width="8.7109375" style="61" customWidth="1"/>
    <col min="11" max="11" width="7" style="61" customWidth="1"/>
    <col min="12" max="12" width="8.7109375" style="61" customWidth="1"/>
    <col min="13" max="13" width="1.28515625" style="61" customWidth="1"/>
    <col min="14" max="14" width="8.7109375" style="61" customWidth="1"/>
    <col min="15" max="15" width="10.42578125" style="61" customWidth="1"/>
    <col min="16" max="16" width="8.7109375" style="61" customWidth="1"/>
    <col min="17" max="16384" width="11.28515625" style="8"/>
  </cols>
  <sheetData>
    <row r="1" spans="1:17" ht="12.75" customHeight="1" x14ac:dyDescent="0.3">
      <c r="A1" s="677" t="s">
        <v>412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8" t="s">
        <v>25</v>
      </c>
    </row>
    <row r="2" spans="1:17" ht="12.75" customHeight="1" x14ac:dyDescent="0.3">
      <c r="A2" s="680" t="s">
        <v>218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17" ht="12.75" customHeight="1" x14ac:dyDescent="0.3">
      <c r="A3" s="196"/>
      <c r="B3" s="197"/>
      <c r="C3" s="198"/>
      <c r="D3" s="198"/>
      <c r="E3" s="198"/>
      <c r="F3" s="199"/>
      <c r="G3" s="198"/>
      <c r="H3" s="198"/>
      <c r="I3" s="198"/>
      <c r="J3" s="198"/>
      <c r="K3" s="198"/>
      <c r="L3" s="198"/>
      <c r="M3" s="198"/>
      <c r="N3" s="198"/>
      <c r="O3" s="198"/>
      <c r="P3" s="198"/>
    </row>
    <row r="4" spans="1:17" s="19" customFormat="1" ht="17.25" customHeight="1" x14ac:dyDescent="0.25">
      <c r="A4" s="727" t="s">
        <v>129</v>
      </c>
      <c r="B4" s="730" t="s">
        <v>217</v>
      </c>
      <c r="C4" s="729"/>
      <c r="D4" s="729"/>
      <c r="E4" s="729"/>
      <c r="F4" s="729"/>
      <c r="G4" s="545"/>
      <c r="H4" s="729" t="s">
        <v>216</v>
      </c>
      <c r="I4" s="729"/>
      <c r="J4" s="729"/>
      <c r="K4" s="729"/>
      <c r="L4" s="729"/>
      <c r="M4" s="545"/>
      <c r="N4" s="729" t="s">
        <v>215</v>
      </c>
      <c r="O4" s="729"/>
      <c r="P4" s="729"/>
    </row>
    <row r="5" spans="1:17" s="19" customFormat="1" ht="17.25" customHeight="1" x14ac:dyDescent="0.25">
      <c r="A5" s="728"/>
      <c r="B5" s="546" t="s">
        <v>28</v>
      </c>
      <c r="C5" s="547" t="s">
        <v>213</v>
      </c>
      <c r="D5" s="546" t="s">
        <v>212</v>
      </c>
      <c r="E5" s="546" t="s">
        <v>198</v>
      </c>
      <c r="F5" s="546" t="s">
        <v>214</v>
      </c>
      <c r="G5" s="548"/>
      <c r="H5" s="546" t="s">
        <v>28</v>
      </c>
      <c r="I5" s="547" t="s">
        <v>213</v>
      </c>
      <c r="J5" s="546" t="s">
        <v>212</v>
      </c>
      <c r="K5" s="546" t="s">
        <v>198</v>
      </c>
      <c r="L5" s="546" t="s">
        <v>214</v>
      </c>
      <c r="M5" s="548"/>
      <c r="N5" s="546" t="s">
        <v>28</v>
      </c>
      <c r="O5" s="546" t="s">
        <v>213</v>
      </c>
      <c r="P5" s="546" t="s">
        <v>212</v>
      </c>
    </row>
    <row r="6" spans="1:17" s="20" customFormat="1" ht="12.75" hidden="1" customHeight="1" x14ac:dyDescent="0.3">
      <c r="A6" s="549">
        <v>1995</v>
      </c>
      <c r="B6" s="555">
        <v>4461.7</v>
      </c>
      <c r="C6" s="555">
        <v>2479.4</v>
      </c>
      <c r="D6" s="555">
        <v>1982.3</v>
      </c>
      <c r="E6" s="556" t="s">
        <v>31</v>
      </c>
      <c r="F6" s="556" t="s">
        <v>31</v>
      </c>
      <c r="G6" s="557"/>
      <c r="H6" s="555">
        <v>3185.7</v>
      </c>
      <c r="I6" s="555">
        <v>2190</v>
      </c>
      <c r="J6" s="555">
        <v>995.7</v>
      </c>
      <c r="K6" s="556" t="s">
        <v>31</v>
      </c>
      <c r="L6" s="556" t="s">
        <v>31</v>
      </c>
      <c r="M6" s="557"/>
      <c r="N6" s="555">
        <v>1276</v>
      </c>
      <c r="O6" s="555">
        <v>289.39999999999998</v>
      </c>
      <c r="P6" s="555">
        <v>986.6</v>
      </c>
    </row>
    <row r="7" spans="1:17" s="20" customFormat="1" ht="12.75" hidden="1" customHeight="1" x14ac:dyDescent="0.3">
      <c r="A7" s="549">
        <v>1996</v>
      </c>
      <c r="B7" s="555">
        <v>4662.6000000000004</v>
      </c>
      <c r="C7" s="555">
        <v>2492.6999999999998</v>
      </c>
      <c r="D7" s="555">
        <v>2169.6</v>
      </c>
      <c r="E7" s="556" t="s">
        <v>31</v>
      </c>
      <c r="F7" s="557">
        <v>0.3</v>
      </c>
      <c r="G7" s="557"/>
      <c r="H7" s="555">
        <v>3352.9</v>
      </c>
      <c r="I7" s="555">
        <v>2200.1999999999998</v>
      </c>
      <c r="J7" s="555">
        <v>1152.4000000000001</v>
      </c>
      <c r="K7" s="556" t="s">
        <v>31</v>
      </c>
      <c r="L7" s="557">
        <v>0.3</v>
      </c>
      <c r="M7" s="557"/>
      <c r="N7" s="555">
        <v>1309.7</v>
      </c>
      <c r="O7" s="555">
        <v>292.5</v>
      </c>
      <c r="P7" s="555">
        <v>1017.2</v>
      </c>
    </row>
    <row r="8" spans="1:17" s="20" customFormat="1" ht="12.75" hidden="1" customHeight="1" x14ac:dyDescent="0.3">
      <c r="A8" s="549">
        <v>1997</v>
      </c>
      <c r="B8" s="555">
        <v>5192.6000000000004</v>
      </c>
      <c r="C8" s="555">
        <v>2513</v>
      </c>
      <c r="D8" s="555">
        <v>2679.3</v>
      </c>
      <c r="E8" s="556" t="s">
        <v>31</v>
      </c>
      <c r="F8" s="557">
        <v>0.3</v>
      </c>
      <c r="G8" s="557"/>
      <c r="H8" s="555">
        <v>4325.1000000000004</v>
      </c>
      <c r="I8" s="555">
        <v>2411.5</v>
      </c>
      <c r="J8" s="555">
        <v>1913.3</v>
      </c>
      <c r="K8" s="556" t="s">
        <v>31</v>
      </c>
      <c r="L8" s="557">
        <v>0.3</v>
      </c>
      <c r="M8" s="557"/>
      <c r="N8" s="555">
        <v>867.5</v>
      </c>
      <c r="O8" s="555">
        <v>101.5</v>
      </c>
      <c r="P8" s="555">
        <v>766</v>
      </c>
    </row>
    <row r="9" spans="1:17" s="20" customFormat="1" ht="12.75" hidden="1" customHeight="1" x14ac:dyDescent="0.3">
      <c r="A9" s="549">
        <v>1998</v>
      </c>
      <c r="B9" s="558">
        <v>5515.3</v>
      </c>
      <c r="C9" s="558">
        <v>2572</v>
      </c>
      <c r="D9" s="558">
        <v>2943</v>
      </c>
      <c r="E9" s="556" t="s">
        <v>31</v>
      </c>
      <c r="F9" s="559">
        <v>0.3</v>
      </c>
      <c r="G9" s="559"/>
      <c r="H9" s="555">
        <v>4632.3</v>
      </c>
      <c r="I9" s="555">
        <v>2467.4</v>
      </c>
      <c r="J9" s="555">
        <v>2164.6</v>
      </c>
      <c r="K9" s="556" t="s">
        <v>31</v>
      </c>
      <c r="L9" s="557">
        <v>0.3</v>
      </c>
      <c r="M9" s="559"/>
      <c r="N9" s="558">
        <v>883</v>
      </c>
      <c r="O9" s="558">
        <v>104.6</v>
      </c>
      <c r="P9" s="558">
        <v>778.4</v>
      </c>
    </row>
    <row r="10" spans="1:17" s="20" customFormat="1" ht="12.75" hidden="1" customHeight="1" x14ac:dyDescent="0.3">
      <c r="A10" s="549">
        <v>1999</v>
      </c>
      <c r="B10" s="558">
        <v>5742.4000000000005</v>
      </c>
      <c r="C10" s="558">
        <v>2673.3</v>
      </c>
      <c r="D10" s="558">
        <v>3068.4</v>
      </c>
      <c r="E10" s="556" t="s">
        <v>31</v>
      </c>
      <c r="F10" s="559">
        <v>0.7</v>
      </c>
      <c r="G10" s="559"/>
      <c r="H10" s="555">
        <v>4828.2</v>
      </c>
      <c r="I10" s="555">
        <v>2587.1</v>
      </c>
      <c r="J10" s="555">
        <v>2240.4</v>
      </c>
      <c r="K10" s="556" t="s">
        <v>31</v>
      </c>
      <c r="L10" s="559">
        <v>0.7</v>
      </c>
      <c r="M10" s="559"/>
      <c r="N10" s="558">
        <v>914.2</v>
      </c>
      <c r="O10" s="558">
        <v>86.2</v>
      </c>
      <c r="P10" s="558">
        <v>828</v>
      </c>
    </row>
    <row r="11" spans="1:17" s="20" customFormat="1" ht="15.95" customHeight="1" x14ac:dyDescent="0.3">
      <c r="A11" s="549">
        <v>2001</v>
      </c>
      <c r="B11" s="558">
        <v>5906.7</v>
      </c>
      <c r="C11" s="558">
        <v>2966.3</v>
      </c>
      <c r="D11" s="558">
        <v>2939.7</v>
      </c>
      <c r="E11" s="556" t="s">
        <v>31</v>
      </c>
      <c r="F11" s="559">
        <v>0.7</v>
      </c>
      <c r="G11" s="559"/>
      <c r="H11" s="555">
        <v>5050.8</v>
      </c>
      <c r="I11" s="555">
        <v>2889.4</v>
      </c>
      <c r="J11" s="555">
        <v>2160.6999999999998</v>
      </c>
      <c r="K11" s="556" t="s">
        <v>31</v>
      </c>
      <c r="L11" s="559">
        <v>0.7</v>
      </c>
      <c r="M11" s="559"/>
      <c r="N11" s="558">
        <v>855.9</v>
      </c>
      <c r="O11" s="558">
        <v>76.900000000000006</v>
      </c>
      <c r="P11" s="558">
        <v>779</v>
      </c>
    </row>
    <row r="12" spans="1:17" s="20" customFormat="1" ht="15.95" customHeight="1" x14ac:dyDescent="0.3">
      <c r="A12" s="549">
        <v>2002</v>
      </c>
      <c r="B12" s="558">
        <v>5935.5999999999995</v>
      </c>
      <c r="C12" s="558">
        <v>2996.5</v>
      </c>
      <c r="D12" s="558">
        <v>2938.4</v>
      </c>
      <c r="E12" s="556" t="s">
        <v>31</v>
      </c>
      <c r="F12" s="559">
        <v>0.7</v>
      </c>
      <c r="G12" s="559"/>
      <c r="H12" s="555">
        <v>5067.9999999999991</v>
      </c>
      <c r="I12" s="555">
        <v>2917.6</v>
      </c>
      <c r="J12" s="555">
        <v>2149.6999999999998</v>
      </c>
      <c r="K12" s="556" t="s">
        <v>31</v>
      </c>
      <c r="L12" s="559">
        <v>0.7</v>
      </c>
      <c r="M12" s="559"/>
      <c r="N12" s="558">
        <v>867.6</v>
      </c>
      <c r="O12" s="558">
        <v>78.900000000000006</v>
      </c>
      <c r="P12" s="558">
        <v>788.7</v>
      </c>
    </row>
    <row r="13" spans="1:17" s="20" customFormat="1" ht="15.95" customHeight="1" x14ac:dyDescent="0.3">
      <c r="A13" s="549">
        <v>2003</v>
      </c>
      <c r="B13" s="558">
        <v>5970.0999999999995</v>
      </c>
      <c r="C13" s="558">
        <v>3032.3</v>
      </c>
      <c r="D13" s="558">
        <v>2937.1</v>
      </c>
      <c r="E13" s="556" t="s">
        <v>31</v>
      </c>
      <c r="F13" s="559">
        <v>0.7</v>
      </c>
      <c r="G13" s="559"/>
      <c r="H13" s="555">
        <v>5095.0999999999995</v>
      </c>
      <c r="I13" s="555">
        <v>2946.8</v>
      </c>
      <c r="J13" s="555">
        <v>2147.6</v>
      </c>
      <c r="K13" s="556" t="s">
        <v>31</v>
      </c>
      <c r="L13" s="559">
        <v>0.7</v>
      </c>
      <c r="M13" s="559"/>
      <c r="N13" s="558">
        <v>875</v>
      </c>
      <c r="O13" s="558">
        <v>85.5</v>
      </c>
      <c r="P13" s="558">
        <v>789.5</v>
      </c>
    </row>
    <row r="14" spans="1:17" s="20" customFormat="1" ht="15.95" customHeight="1" x14ac:dyDescent="0.3">
      <c r="A14" s="549">
        <v>2004</v>
      </c>
      <c r="B14" s="558">
        <v>6016.4000000000005</v>
      </c>
      <c r="C14" s="558">
        <v>3055.9</v>
      </c>
      <c r="D14" s="558">
        <v>2959.8</v>
      </c>
      <c r="E14" s="556" t="s">
        <v>31</v>
      </c>
      <c r="F14" s="559">
        <v>0.7</v>
      </c>
      <c r="G14" s="559"/>
      <c r="H14" s="558">
        <v>5096.1000000000004</v>
      </c>
      <c r="I14" s="558">
        <v>2969.1</v>
      </c>
      <c r="J14" s="558">
        <v>2126.3000000000002</v>
      </c>
      <c r="K14" s="556" t="s">
        <v>31</v>
      </c>
      <c r="L14" s="558">
        <v>0.7</v>
      </c>
      <c r="M14" s="558"/>
      <c r="N14" s="558">
        <v>920.3</v>
      </c>
      <c r="O14" s="558">
        <v>86.8</v>
      </c>
      <c r="P14" s="558">
        <v>833.5</v>
      </c>
    </row>
    <row r="15" spans="1:17" s="20" customFormat="1" ht="15.95" customHeight="1" x14ac:dyDescent="0.3">
      <c r="A15" s="549">
        <v>2005</v>
      </c>
      <c r="B15" s="558">
        <v>6200.5</v>
      </c>
      <c r="C15" s="558">
        <v>3207.1</v>
      </c>
      <c r="D15" s="558">
        <v>2992.7</v>
      </c>
      <c r="E15" s="556" t="s">
        <v>31</v>
      </c>
      <c r="F15" s="559">
        <v>0.7</v>
      </c>
      <c r="G15" s="559"/>
      <c r="H15" s="558">
        <v>5220.6000000000004</v>
      </c>
      <c r="I15" s="558">
        <v>3119.2</v>
      </c>
      <c r="J15" s="558">
        <v>2100.6999999999998</v>
      </c>
      <c r="K15" s="556" t="s">
        <v>31</v>
      </c>
      <c r="L15" s="558">
        <v>0.7</v>
      </c>
      <c r="M15" s="558"/>
      <c r="N15" s="558">
        <v>979.9</v>
      </c>
      <c r="O15" s="558">
        <v>87.9</v>
      </c>
      <c r="P15" s="558">
        <v>892</v>
      </c>
    </row>
    <row r="16" spans="1:17" s="20" customFormat="1" ht="15.95" customHeight="1" x14ac:dyDescent="0.3">
      <c r="A16" s="549">
        <v>2006</v>
      </c>
      <c r="B16" s="558">
        <v>6658.0999999999995</v>
      </c>
      <c r="C16" s="558">
        <v>3216</v>
      </c>
      <c r="D16" s="558">
        <v>3441.4</v>
      </c>
      <c r="E16" s="556" t="s">
        <v>31</v>
      </c>
      <c r="F16" s="559">
        <v>0.7</v>
      </c>
      <c r="G16" s="559"/>
      <c r="H16" s="558">
        <v>5625.1</v>
      </c>
      <c r="I16" s="558">
        <v>3127.8</v>
      </c>
      <c r="J16" s="558">
        <v>2496.6</v>
      </c>
      <c r="K16" s="556" t="s">
        <v>31</v>
      </c>
      <c r="L16" s="558">
        <v>0.7</v>
      </c>
      <c r="M16" s="558"/>
      <c r="N16" s="558">
        <v>1033</v>
      </c>
      <c r="O16" s="558">
        <v>88.2</v>
      </c>
      <c r="P16" s="558">
        <v>944.8</v>
      </c>
    </row>
    <row r="17" spans="1:16" s="20" customFormat="1" ht="15.95" customHeight="1" x14ac:dyDescent="0.3">
      <c r="A17" s="549">
        <v>2007</v>
      </c>
      <c r="B17" s="558">
        <v>7027.4999999999991</v>
      </c>
      <c r="C17" s="558">
        <v>3233.6</v>
      </c>
      <c r="D17" s="558">
        <v>3793.2</v>
      </c>
      <c r="E17" s="556" t="s">
        <v>31</v>
      </c>
      <c r="F17" s="559">
        <v>0.7</v>
      </c>
      <c r="G17" s="559"/>
      <c r="H17" s="558">
        <v>5989.7</v>
      </c>
      <c r="I17" s="558">
        <v>3145.1</v>
      </c>
      <c r="J17" s="558">
        <v>2843.9</v>
      </c>
      <c r="K17" s="556" t="s">
        <v>31</v>
      </c>
      <c r="L17" s="558">
        <v>0.7</v>
      </c>
      <c r="M17" s="558"/>
      <c r="N17" s="558">
        <v>1037.8</v>
      </c>
      <c r="O17" s="558">
        <v>88.5</v>
      </c>
      <c r="P17" s="558">
        <v>949.3</v>
      </c>
    </row>
    <row r="18" spans="1:16" s="20" customFormat="1" ht="15.95" customHeight="1" x14ac:dyDescent="0.3">
      <c r="A18" s="549">
        <v>2008</v>
      </c>
      <c r="B18" s="558">
        <v>7157.9</v>
      </c>
      <c r="C18" s="558">
        <v>3242</v>
      </c>
      <c r="D18" s="558">
        <v>3915.2</v>
      </c>
      <c r="E18" s="556" t="s">
        <v>31</v>
      </c>
      <c r="F18" s="559">
        <v>0.7</v>
      </c>
      <c r="G18" s="559"/>
      <c r="H18" s="558">
        <v>5996.9</v>
      </c>
      <c r="I18" s="558">
        <v>3152</v>
      </c>
      <c r="J18" s="558">
        <v>2844.2</v>
      </c>
      <c r="K18" s="556" t="s">
        <v>31</v>
      </c>
      <c r="L18" s="558">
        <v>0.7</v>
      </c>
      <c r="M18" s="558"/>
      <c r="N18" s="558">
        <v>1161</v>
      </c>
      <c r="O18" s="558">
        <v>90</v>
      </c>
      <c r="P18" s="558">
        <v>1071</v>
      </c>
    </row>
    <row r="19" spans="1:16" s="20" customFormat="1" ht="15.95" customHeight="1" x14ac:dyDescent="0.3">
      <c r="A19" s="549">
        <v>2009</v>
      </c>
      <c r="B19" s="558">
        <v>7986.5</v>
      </c>
      <c r="C19" s="558">
        <v>3277.5</v>
      </c>
      <c r="D19" s="558">
        <v>4708.3</v>
      </c>
      <c r="E19" s="556" t="s">
        <v>31</v>
      </c>
      <c r="F19" s="559">
        <v>0.7</v>
      </c>
      <c r="G19" s="559"/>
      <c r="H19" s="558">
        <v>6723.5</v>
      </c>
      <c r="I19" s="558">
        <v>3183.1</v>
      </c>
      <c r="J19" s="558">
        <v>3539.7</v>
      </c>
      <c r="K19" s="556" t="s">
        <v>31</v>
      </c>
      <c r="L19" s="558">
        <v>0.7</v>
      </c>
      <c r="M19" s="558"/>
      <c r="N19" s="558">
        <v>1263</v>
      </c>
      <c r="O19" s="558">
        <v>94.4</v>
      </c>
      <c r="P19" s="558">
        <v>1168.5999999999999</v>
      </c>
    </row>
    <row r="20" spans="1:16" s="20" customFormat="1" ht="15.95" customHeight="1" x14ac:dyDescent="0.3">
      <c r="A20" s="549">
        <v>2010</v>
      </c>
      <c r="B20" s="558">
        <v>8612.6</v>
      </c>
      <c r="C20" s="558">
        <v>3437.6</v>
      </c>
      <c r="D20" s="558">
        <v>5174.3</v>
      </c>
      <c r="E20" s="556" t="s">
        <v>31</v>
      </c>
      <c r="F20" s="559">
        <v>0.7</v>
      </c>
      <c r="G20" s="559"/>
      <c r="H20" s="558">
        <v>7309.2</v>
      </c>
      <c r="I20" s="558">
        <v>3344.8</v>
      </c>
      <c r="J20" s="558">
        <v>3963.7</v>
      </c>
      <c r="K20" s="556" t="s">
        <v>31</v>
      </c>
      <c r="L20" s="558">
        <v>0.7</v>
      </c>
      <c r="M20" s="558"/>
      <c r="N20" s="558">
        <v>1303.4000000000001</v>
      </c>
      <c r="O20" s="558">
        <v>92.8</v>
      </c>
      <c r="P20" s="558">
        <v>1210.5999999999999</v>
      </c>
    </row>
    <row r="21" spans="1:16" s="20" customFormat="1" ht="15.95" customHeight="1" x14ac:dyDescent="0.3">
      <c r="A21" s="549">
        <v>2011</v>
      </c>
      <c r="B21" s="558">
        <v>8691.4000000000015</v>
      </c>
      <c r="C21" s="558">
        <v>3451</v>
      </c>
      <c r="D21" s="558">
        <v>5239.7</v>
      </c>
      <c r="E21" s="556" t="s">
        <v>31</v>
      </c>
      <c r="F21" s="559">
        <v>0.7</v>
      </c>
      <c r="G21" s="559"/>
      <c r="H21" s="558">
        <v>7314.3</v>
      </c>
      <c r="I21" s="558">
        <v>3357.1</v>
      </c>
      <c r="J21" s="558">
        <v>3956.5</v>
      </c>
      <c r="K21" s="556" t="s">
        <v>31</v>
      </c>
      <c r="L21" s="558">
        <v>0.7</v>
      </c>
      <c r="M21" s="558"/>
      <c r="N21" s="558">
        <v>1377.1</v>
      </c>
      <c r="O21" s="558">
        <v>93.9</v>
      </c>
      <c r="P21" s="558">
        <v>1283.2</v>
      </c>
    </row>
    <row r="22" spans="1:16" s="20" customFormat="1" ht="15.95" customHeight="1" x14ac:dyDescent="0.3">
      <c r="A22" s="549">
        <v>2012</v>
      </c>
      <c r="B22" s="558">
        <v>9699.1</v>
      </c>
      <c r="C22" s="560">
        <v>3484</v>
      </c>
      <c r="D22" s="560">
        <v>6134.4</v>
      </c>
      <c r="E22" s="560">
        <v>80</v>
      </c>
      <c r="F22" s="560">
        <v>0.7</v>
      </c>
      <c r="G22" s="559"/>
      <c r="H22" s="558">
        <v>8267.2000000000007</v>
      </c>
      <c r="I22" s="558">
        <v>3380.9</v>
      </c>
      <c r="J22" s="558">
        <v>4805.6000000000004</v>
      </c>
      <c r="K22" s="558">
        <v>80</v>
      </c>
      <c r="L22" s="558">
        <v>0.7</v>
      </c>
      <c r="M22" s="558"/>
      <c r="N22" s="558">
        <v>1431.9</v>
      </c>
      <c r="O22" s="558">
        <v>103.1</v>
      </c>
      <c r="P22" s="558">
        <v>1328.8</v>
      </c>
    </row>
    <row r="23" spans="1:16" s="20" customFormat="1" ht="15.95" customHeight="1" x14ac:dyDescent="0.3">
      <c r="A23" s="549">
        <v>2013</v>
      </c>
      <c r="B23" s="558">
        <v>11050.7</v>
      </c>
      <c r="C23" s="560">
        <v>3556.2</v>
      </c>
      <c r="D23" s="560">
        <v>7413.8</v>
      </c>
      <c r="E23" s="560">
        <v>80</v>
      </c>
      <c r="F23" s="560">
        <v>0.7</v>
      </c>
      <c r="G23" s="559"/>
      <c r="H23" s="558">
        <v>9634.6</v>
      </c>
      <c r="I23" s="558">
        <v>3450.5</v>
      </c>
      <c r="J23" s="558">
        <v>6103.4</v>
      </c>
      <c r="K23" s="558">
        <v>80</v>
      </c>
      <c r="L23" s="558">
        <v>0.7</v>
      </c>
      <c r="M23" s="558"/>
      <c r="N23" s="558">
        <v>1416.1</v>
      </c>
      <c r="O23" s="558">
        <v>105.7</v>
      </c>
      <c r="P23" s="558">
        <v>1310.4000000000001</v>
      </c>
    </row>
    <row r="24" spans="1:16" s="20" customFormat="1" ht="15.95" customHeight="1" x14ac:dyDescent="0.3">
      <c r="A24" s="549">
        <v>2014</v>
      </c>
      <c r="B24" s="558">
        <v>11202.7</v>
      </c>
      <c r="C24" s="560">
        <v>3661.9</v>
      </c>
      <c r="D24" s="560">
        <v>7302.1</v>
      </c>
      <c r="E24" s="560">
        <v>96</v>
      </c>
      <c r="F24" s="560">
        <v>142.69999999999999</v>
      </c>
      <c r="G24" s="559"/>
      <c r="H24" s="558">
        <v>9739.2999999999993</v>
      </c>
      <c r="I24" s="558">
        <v>3558.3</v>
      </c>
      <c r="J24" s="558">
        <v>5942.3</v>
      </c>
      <c r="K24" s="558">
        <v>96</v>
      </c>
      <c r="L24" s="558">
        <v>142.69999999999999</v>
      </c>
      <c r="M24" s="558"/>
      <c r="N24" s="558">
        <v>1463.4</v>
      </c>
      <c r="O24" s="558">
        <v>103.6</v>
      </c>
      <c r="P24" s="558">
        <v>1359.8</v>
      </c>
    </row>
    <row r="25" spans="1:16" s="20" customFormat="1" ht="15.95" customHeight="1" x14ac:dyDescent="0.3">
      <c r="A25" s="549">
        <v>2015</v>
      </c>
      <c r="B25" s="561">
        <v>12188.599999999999</v>
      </c>
      <c r="C25" s="561">
        <v>4151.8999999999996</v>
      </c>
      <c r="D25" s="561">
        <v>7700.9</v>
      </c>
      <c r="E25" s="561">
        <v>96</v>
      </c>
      <c r="F25" s="561">
        <v>239.8</v>
      </c>
      <c r="G25" s="561"/>
      <c r="H25" s="558">
        <v>10717.7</v>
      </c>
      <c r="I25" s="558">
        <v>4047.9</v>
      </c>
      <c r="J25" s="558">
        <v>6334</v>
      </c>
      <c r="K25" s="558">
        <v>96</v>
      </c>
      <c r="L25" s="558">
        <v>239.8</v>
      </c>
      <c r="M25" s="558"/>
      <c r="N25" s="558">
        <v>1470.9</v>
      </c>
      <c r="O25" s="558">
        <v>104</v>
      </c>
      <c r="P25" s="561">
        <v>1366.9</v>
      </c>
    </row>
    <row r="26" spans="1:16" s="20" customFormat="1" ht="15.95" customHeight="1" x14ac:dyDescent="0.3">
      <c r="A26" s="549">
        <v>2016</v>
      </c>
      <c r="B26" s="561">
        <v>14517.7</v>
      </c>
      <c r="C26" s="561">
        <v>5189.2</v>
      </c>
      <c r="D26" s="561">
        <v>8988.5</v>
      </c>
      <c r="E26" s="561">
        <v>100</v>
      </c>
      <c r="F26" s="561">
        <v>240</v>
      </c>
      <c r="G26" s="561"/>
      <c r="H26" s="558">
        <v>13044.5</v>
      </c>
      <c r="I26" s="558">
        <v>5072.5</v>
      </c>
      <c r="J26" s="558">
        <v>7632</v>
      </c>
      <c r="K26" s="558">
        <v>100</v>
      </c>
      <c r="L26" s="558">
        <v>240</v>
      </c>
      <c r="M26" s="558"/>
      <c r="N26" s="558">
        <v>1473.2</v>
      </c>
      <c r="O26" s="558">
        <v>116.7</v>
      </c>
      <c r="P26" s="561">
        <v>1356.5</v>
      </c>
    </row>
    <row r="27" spans="1:16" s="21" customFormat="1" ht="15.95" customHeight="1" x14ac:dyDescent="0.3">
      <c r="A27" s="549">
        <v>2017</v>
      </c>
      <c r="B27" s="553">
        <v>14734.8</v>
      </c>
      <c r="C27" s="553">
        <v>5245.9</v>
      </c>
      <c r="D27" s="553">
        <v>9004.4</v>
      </c>
      <c r="E27" s="553">
        <v>244.5</v>
      </c>
      <c r="F27" s="553">
        <v>240</v>
      </c>
      <c r="G27" s="553"/>
      <c r="H27" s="554">
        <v>13238.8</v>
      </c>
      <c r="I27" s="554">
        <v>5115.7</v>
      </c>
      <c r="J27" s="554">
        <v>7638.6</v>
      </c>
      <c r="K27" s="554">
        <v>244.5</v>
      </c>
      <c r="L27" s="554">
        <v>240</v>
      </c>
      <c r="M27" s="554"/>
      <c r="N27" s="554">
        <v>1496</v>
      </c>
      <c r="O27" s="554">
        <v>130.19999999999999</v>
      </c>
      <c r="P27" s="553">
        <v>1365.8</v>
      </c>
    </row>
    <row r="28" spans="1:16" s="21" customFormat="1" ht="15.95" customHeight="1" x14ac:dyDescent="0.3">
      <c r="A28" s="549">
        <v>2018</v>
      </c>
      <c r="B28" s="550">
        <v>15144.599999999999</v>
      </c>
      <c r="C28" s="550">
        <v>5363.4</v>
      </c>
      <c r="D28" s="550">
        <v>9124.5</v>
      </c>
      <c r="E28" s="551">
        <v>284.39999999999998</v>
      </c>
      <c r="F28" s="552">
        <v>372.3</v>
      </c>
      <c r="G28" s="553"/>
      <c r="H28" s="550">
        <v>13649.9</v>
      </c>
      <c r="I28" s="554">
        <v>5232.5</v>
      </c>
      <c r="J28" s="554">
        <v>7760.7</v>
      </c>
      <c r="K28" s="554">
        <v>284.39999999999998</v>
      </c>
      <c r="L28" s="554">
        <v>372.3</v>
      </c>
      <c r="M28" s="554"/>
      <c r="N28" s="550">
        <v>1494.7</v>
      </c>
      <c r="O28" s="554">
        <v>130.9</v>
      </c>
      <c r="P28" s="553">
        <v>1363.8</v>
      </c>
    </row>
    <row r="29" spans="1:16" s="21" customFormat="1" ht="15.95" customHeight="1" x14ac:dyDescent="0.3">
      <c r="A29" s="549">
        <v>2019</v>
      </c>
      <c r="B29" s="550">
        <v>15122.84</v>
      </c>
      <c r="C29" s="550">
        <v>5397.2050000000008</v>
      </c>
      <c r="D29" s="550">
        <v>9064.3509999999987</v>
      </c>
      <c r="E29" s="551">
        <v>289.03399999999999</v>
      </c>
      <c r="F29" s="552">
        <v>372.24999999999994</v>
      </c>
      <c r="G29" s="553"/>
      <c r="H29" s="550">
        <v>13650.195</v>
      </c>
      <c r="I29" s="554">
        <v>5266.3020000000006</v>
      </c>
      <c r="J29" s="554">
        <v>7722.6089999999986</v>
      </c>
      <c r="K29" s="554">
        <v>289.03399999999999</v>
      </c>
      <c r="L29" s="554">
        <v>372.24999999999994</v>
      </c>
      <c r="M29" s="554"/>
      <c r="N29" s="550">
        <v>1472.6449999999993</v>
      </c>
      <c r="O29" s="554">
        <v>130.90299999999999</v>
      </c>
      <c r="P29" s="553">
        <v>1341.7419999999993</v>
      </c>
    </row>
    <row r="30" spans="1:16" s="21" customFormat="1" ht="15.95" customHeight="1" x14ac:dyDescent="0.3">
      <c r="A30" s="549">
        <v>2020</v>
      </c>
      <c r="B30" s="550">
        <v>15186.97000000001</v>
      </c>
      <c r="C30" s="550">
        <v>5416.5830000000033</v>
      </c>
      <c r="D30" s="550">
        <v>9072.3630000000085</v>
      </c>
      <c r="E30" s="551">
        <v>289.03399999999999</v>
      </c>
      <c r="F30" s="552">
        <v>408.98999999999995</v>
      </c>
      <c r="G30" s="553"/>
      <c r="H30" s="550">
        <v>13724.04800000001</v>
      </c>
      <c r="I30" s="554">
        <v>5285.680000000003</v>
      </c>
      <c r="J30" s="554">
        <v>7740.3440000000073</v>
      </c>
      <c r="K30" s="554">
        <v>289.03399999999999</v>
      </c>
      <c r="L30" s="554">
        <v>408.98999999999995</v>
      </c>
      <c r="M30" s="554"/>
      <c r="N30" s="550">
        <v>1462.9220000000009</v>
      </c>
      <c r="O30" s="554">
        <v>130.90299999999999</v>
      </c>
      <c r="P30" s="553">
        <v>1332.0190000000009</v>
      </c>
    </row>
    <row r="31" spans="1:16" s="21" customFormat="1" ht="15.95" customHeight="1" x14ac:dyDescent="0.3">
      <c r="A31" s="549" t="s">
        <v>401</v>
      </c>
      <c r="B31" s="550">
        <v>15274.019000000008</v>
      </c>
      <c r="C31" s="550">
        <v>5514.359000000004</v>
      </c>
      <c r="D31" s="550">
        <v>9064.4350000000031</v>
      </c>
      <c r="E31" s="551">
        <v>286.23500000000001</v>
      </c>
      <c r="F31" s="552">
        <v>408.98999999999995</v>
      </c>
      <c r="G31" s="553"/>
      <c r="H31" s="550">
        <v>13861.015000000009</v>
      </c>
      <c r="I31" s="554">
        <v>5384.4560000000038</v>
      </c>
      <c r="J31" s="554">
        <v>7781.3340000000035</v>
      </c>
      <c r="K31" s="554">
        <v>286.23500000000001</v>
      </c>
      <c r="L31" s="554">
        <v>408.98999999999995</v>
      </c>
      <c r="M31" s="554"/>
      <c r="N31" s="550">
        <v>1413.0040000000001</v>
      </c>
      <c r="O31" s="554">
        <v>129.90299999999999</v>
      </c>
      <c r="P31" s="553">
        <v>1283.1010000000001</v>
      </c>
    </row>
    <row r="32" spans="1:16" s="22" customFormat="1" ht="3" customHeight="1" x14ac:dyDescent="0.3">
      <c r="A32" s="562"/>
      <c r="B32" s="563"/>
      <c r="C32" s="563"/>
      <c r="D32" s="563"/>
      <c r="E32" s="564"/>
      <c r="F32" s="565"/>
      <c r="G32" s="566"/>
      <c r="H32" s="563"/>
      <c r="I32" s="567"/>
      <c r="J32" s="567"/>
      <c r="K32" s="567"/>
      <c r="L32" s="567"/>
      <c r="M32" s="567"/>
      <c r="N32" s="563"/>
      <c r="O32" s="567"/>
      <c r="P32" s="566"/>
    </row>
    <row r="33" spans="1:16" s="140" customFormat="1" ht="12" customHeight="1" x14ac:dyDescent="0.25">
      <c r="A33" s="138" t="s">
        <v>390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</row>
    <row r="34" spans="1:16" s="141" customFormat="1" ht="12" customHeight="1" x14ac:dyDescent="0.25">
      <c r="A34" s="137" t="s">
        <v>211</v>
      </c>
      <c r="H34" s="142"/>
      <c r="I34" s="142"/>
    </row>
    <row r="35" spans="1:16" ht="12.75" customHeight="1" x14ac:dyDescent="0.3">
      <c r="C35" s="62"/>
      <c r="H35" s="62"/>
      <c r="I35" s="62"/>
      <c r="N35" s="63"/>
      <c r="O35" s="8"/>
      <c r="P35" s="8"/>
    </row>
    <row r="36" spans="1:16" ht="12.75" customHeight="1" x14ac:dyDescent="0.3">
      <c r="C36" s="62"/>
      <c r="D36" s="63"/>
      <c r="H36" s="62"/>
      <c r="I36" s="63"/>
      <c r="O36" s="8"/>
      <c r="P36" s="8"/>
    </row>
    <row r="37" spans="1:16" ht="12.75" customHeight="1" x14ac:dyDescent="0.3">
      <c r="C37" s="62"/>
      <c r="D37" s="63"/>
      <c r="H37" s="62"/>
      <c r="I37" s="62"/>
      <c r="N37" s="63"/>
      <c r="O37" s="8"/>
      <c r="P37" s="8"/>
    </row>
    <row r="38" spans="1:16" ht="12.75" customHeight="1" x14ac:dyDescent="0.3">
      <c r="H38" s="62"/>
      <c r="I38" s="62"/>
      <c r="N38" s="63"/>
      <c r="O38" s="8"/>
      <c r="P38" s="8"/>
    </row>
    <row r="39" spans="1:16" ht="12.75" customHeight="1" x14ac:dyDescent="0.3">
      <c r="C39" s="62"/>
      <c r="D39" s="63"/>
      <c r="O39" s="8"/>
      <c r="P39" s="8"/>
    </row>
  </sheetData>
  <mergeCells count="6">
    <mergeCell ref="A1:P1"/>
    <mergeCell ref="A2:P2"/>
    <mergeCell ref="A4:A5"/>
    <mergeCell ref="H4:L4"/>
    <mergeCell ref="N4:P4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Q61"/>
  <sheetViews>
    <sheetView showGridLines="0" zoomScaleNormal="100" workbookViewId="0">
      <selection activeCell="A4" sqref="A4:Q59"/>
    </sheetView>
  </sheetViews>
  <sheetFormatPr baseColWidth="10" defaultColWidth="11.28515625" defaultRowHeight="12.75" customHeight="1" x14ac:dyDescent="0.3"/>
  <cols>
    <col min="1" max="1" width="9.7109375" style="25" customWidth="1"/>
    <col min="2" max="2" width="10.28515625" style="25" customWidth="1"/>
    <col min="3" max="3" width="1.7109375" style="25" customWidth="1"/>
    <col min="4" max="4" width="10.85546875" style="25" customWidth="1"/>
    <col min="5" max="5" width="9.140625" style="25" customWidth="1"/>
    <col min="6" max="7" width="9.85546875" style="25" customWidth="1"/>
    <col min="8" max="8" width="1.7109375" style="25" customWidth="1"/>
    <col min="9" max="9" width="10.28515625" style="25" customWidth="1"/>
    <col min="10" max="10" width="10.85546875" style="25" customWidth="1"/>
    <col min="11" max="13" width="9.140625" style="25" customWidth="1"/>
    <col min="14" max="14" width="1.7109375" style="25" customWidth="1"/>
    <col min="15" max="15" width="10.28515625" style="25" customWidth="1"/>
    <col min="16" max="16" width="14.42578125" style="25" customWidth="1"/>
    <col min="17" max="17" width="14" style="25" customWidth="1"/>
    <col min="18" max="16384" width="11.28515625" style="25"/>
  </cols>
  <sheetData>
    <row r="1" spans="1:17" ht="12.75" customHeight="1" x14ac:dyDescent="0.3">
      <c r="A1" s="677" t="s">
        <v>413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</row>
    <row r="2" spans="1:17" ht="12.75" customHeight="1" x14ac:dyDescent="0.3">
      <c r="A2" s="680" t="s">
        <v>232</v>
      </c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</row>
    <row r="3" spans="1:17" ht="12.75" customHeight="1" x14ac:dyDescent="0.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17" s="16" customFormat="1" ht="18" customHeight="1" x14ac:dyDescent="0.25">
      <c r="A4" s="731" t="s">
        <v>129</v>
      </c>
      <c r="B4" s="733" t="s">
        <v>28</v>
      </c>
      <c r="C4" s="568"/>
      <c r="D4" s="735" t="s">
        <v>231</v>
      </c>
      <c r="E4" s="735"/>
      <c r="F4" s="735"/>
      <c r="G4" s="735"/>
      <c r="H4" s="569"/>
      <c r="I4" s="736" t="s">
        <v>28</v>
      </c>
      <c r="J4" s="735" t="s">
        <v>230</v>
      </c>
      <c r="K4" s="735"/>
      <c r="L4" s="735"/>
      <c r="M4" s="735"/>
      <c r="N4" s="569"/>
      <c r="O4" s="736" t="s">
        <v>28</v>
      </c>
      <c r="P4" s="735" t="s">
        <v>229</v>
      </c>
      <c r="Q4" s="735"/>
    </row>
    <row r="5" spans="1:17" s="16" customFormat="1" ht="18" customHeight="1" x14ac:dyDescent="0.25">
      <c r="A5" s="732"/>
      <c r="B5" s="734"/>
      <c r="C5" s="571"/>
      <c r="D5" s="570" t="s">
        <v>213</v>
      </c>
      <c r="E5" s="570" t="s">
        <v>212</v>
      </c>
      <c r="F5" s="570" t="s">
        <v>198</v>
      </c>
      <c r="G5" s="570" t="s">
        <v>214</v>
      </c>
      <c r="H5" s="572"/>
      <c r="I5" s="737"/>
      <c r="J5" s="570" t="s">
        <v>213</v>
      </c>
      <c r="K5" s="570" t="s">
        <v>212</v>
      </c>
      <c r="L5" s="570" t="s">
        <v>198</v>
      </c>
      <c r="M5" s="570" t="s">
        <v>214</v>
      </c>
      <c r="N5" s="572"/>
      <c r="O5" s="737"/>
      <c r="P5" s="570" t="s">
        <v>213</v>
      </c>
      <c r="Q5" s="570" t="s">
        <v>212</v>
      </c>
    </row>
    <row r="6" spans="1:17" s="15" customFormat="1" ht="12.75" hidden="1" customHeight="1" x14ac:dyDescent="0.3">
      <c r="A6" s="573" t="s">
        <v>228</v>
      </c>
      <c r="B6" s="575">
        <v>7911.1</v>
      </c>
      <c r="C6" s="575"/>
      <c r="D6" s="575">
        <v>5797.7</v>
      </c>
      <c r="E6" s="575">
        <v>2113.4</v>
      </c>
      <c r="F6" s="576" t="s">
        <v>31</v>
      </c>
      <c r="G6" s="576" t="s">
        <v>31</v>
      </c>
      <c r="H6" s="575"/>
      <c r="I6" s="575">
        <v>5031.8999999999996</v>
      </c>
      <c r="J6" s="575">
        <v>4623.3999999999996</v>
      </c>
      <c r="K6" s="575">
        <v>408.5</v>
      </c>
      <c r="L6" s="576" t="s">
        <v>31</v>
      </c>
      <c r="M6" s="576" t="s">
        <v>31</v>
      </c>
      <c r="N6" s="575"/>
      <c r="O6" s="575">
        <v>2879.2</v>
      </c>
      <c r="P6" s="575">
        <v>1174.3</v>
      </c>
      <c r="Q6" s="575">
        <v>1704.9</v>
      </c>
    </row>
    <row r="7" spans="1:17" s="15" customFormat="1" ht="12.75" hidden="1" customHeight="1" x14ac:dyDescent="0.3">
      <c r="A7" s="573" t="s">
        <v>227</v>
      </c>
      <c r="B7" s="575">
        <v>8627</v>
      </c>
      <c r="C7" s="575"/>
      <c r="D7" s="575">
        <v>6027</v>
      </c>
      <c r="E7" s="575">
        <v>2600</v>
      </c>
      <c r="F7" s="576" t="s">
        <v>31</v>
      </c>
      <c r="G7" s="576" t="s">
        <v>31</v>
      </c>
      <c r="H7" s="575"/>
      <c r="I7" s="575">
        <v>5349.6</v>
      </c>
      <c r="J7" s="575">
        <v>4868</v>
      </c>
      <c r="K7" s="575">
        <v>481.6</v>
      </c>
      <c r="L7" s="576" t="s">
        <v>31</v>
      </c>
      <c r="M7" s="576" t="s">
        <v>31</v>
      </c>
      <c r="N7" s="575"/>
      <c r="O7" s="575">
        <v>3277.4</v>
      </c>
      <c r="P7" s="575">
        <v>1159</v>
      </c>
      <c r="Q7" s="575">
        <v>2118.4</v>
      </c>
    </row>
    <row r="8" spans="1:17" s="15" customFormat="1" ht="12.75" hidden="1" customHeight="1" x14ac:dyDescent="0.3">
      <c r="A8" s="573" t="s">
        <v>226</v>
      </c>
      <c r="B8" s="575">
        <v>8764.7999999999993</v>
      </c>
      <c r="C8" s="575"/>
      <c r="D8" s="575">
        <v>6198.4</v>
      </c>
      <c r="E8" s="575">
        <v>2566.4</v>
      </c>
      <c r="F8" s="576" t="s">
        <v>31</v>
      </c>
      <c r="G8" s="576" t="s">
        <v>31</v>
      </c>
      <c r="H8" s="575"/>
      <c r="I8" s="575">
        <v>5489.8</v>
      </c>
      <c r="J8" s="575">
        <v>5004.6000000000004</v>
      </c>
      <c r="K8" s="575">
        <v>485.2</v>
      </c>
      <c r="L8" s="576" t="s">
        <v>31</v>
      </c>
      <c r="M8" s="576" t="s">
        <v>31</v>
      </c>
      <c r="N8" s="575"/>
      <c r="O8" s="575">
        <v>3275</v>
      </c>
      <c r="P8" s="575">
        <v>1193.8</v>
      </c>
      <c r="Q8" s="575">
        <v>2081.1999999999998</v>
      </c>
    </row>
    <row r="9" spans="1:17" s="15" customFormat="1" ht="12.75" hidden="1" customHeight="1" x14ac:dyDescent="0.3">
      <c r="A9" s="573" t="s">
        <v>225</v>
      </c>
      <c r="B9" s="575">
        <v>9265.2999999999993</v>
      </c>
      <c r="C9" s="575"/>
      <c r="D9" s="575">
        <v>6698.3</v>
      </c>
      <c r="E9" s="575">
        <v>2567</v>
      </c>
      <c r="F9" s="576" t="s">
        <v>31</v>
      </c>
      <c r="G9" s="576" t="s">
        <v>31</v>
      </c>
      <c r="H9" s="575"/>
      <c r="I9" s="575">
        <v>5960.9</v>
      </c>
      <c r="J9" s="575">
        <v>5383</v>
      </c>
      <c r="K9" s="575">
        <v>577.9</v>
      </c>
      <c r="L9" s="576" t="s">
        <v>31</v>
      </c>
      <c r="M9" s="576" t="s">
        <v>31</v>
      </c>
      <c r="N9" s="575"/>
      <c r="O9" s="575">
        <v>3304.4</v>
      </c>
      <c r="P9" s="575">
        <v>1315.3</v>
      </c>
      <c r="Q9" s="575">
        <v>1989.1</v>
      </c>
    </row>
    <row r="10" spans="1:17" s="15" customFormat="1" ht="12.75" hidden="1" customHeight="1" x14ac:dyDescent="0.3">
      <c r="A10" s="573" t="s">
        <v>224</v>
      </c>
      <c r="B10" s="575">
        <v>10038.700000000001</v>
      </c>
      <c r="C10" s="575"/>
      <c r="D10" s="575">
        <v>7012.4</v>
      </c>
      <c r="E10" s="575">
        <v>3026.3</v>
      </c>
      <c r="F10" s="576" t="s">
        <v>31</v>
      </c>
      <c r="G10" s="576" t="s">
        <v>31</v>
      </c>
      <c r="H10" s="575"/>
      <c r="I10" s="575">
        <v>6388.5</v>
      </c>
      <c r="J10" s="575">
        <v>5748.3</v>
      </c>
      <c r="K10" s="575">
        <v>640.20000000000005</v>
      </c>
      <c r="L10" s="576" t="s">
        <v>31</v>
      </c>
      <c r="M10" s="576" t="s">
        <v>31</v>
      </c>
      <c r="N10" s="575"/>
      <c r="O10" s="575">
        <v>3650.2</v>
      </c>
      <c r="P10" s="575">
        <v>1264.0999999999999</v>
      </c>
      <c r="Q10" s="575">
        <v>2386.1</v>
      </c>
    </row>
    <row r="11" spans="1:17" s="15" customFormat="1" ht="12.75" hidden="1" customHeight="1" x14ac:dyDescent="0.3">
      <c r="A11" s="573" t="s">
        <v>223</v>
      </c>
      <c r="B11" s="575">
        <v>10756.9</v>
      </c>
      <c r="C11" s="575"/>
      <c r="D11" s="575">
        <v>7996.8</v>
      </c>
      <c r="E11" s="575">
        <v>2760.1</v>
      </c>
      <c r="F11" s="576" t="s">
        <v>31</v>
      </c>
      <c r="G11" s="576" t="s">
        <v>31</v>
      </c>
      <c r="H11" s="575"/>
      <c r="I11" s="575">
        <v>7287.3</v>
      </c>
      <c r="J11" s="575">
        <v>6677.5</v>
      </c>
      <c r="K11" s="575">
        <v>609.79999999999995</v>
      </c>
      <c r="L11" s="576" t="s">
        <v>31</v>
      </c>
      <c r="M11" s="576" t="s">
        <v>31</v>
      </c>
      <c r="N11" s="575"/>
      <c r="O11" s="575">
        <v>3469.6</v>
      </c>
      <c r="P11" s="575">
        <v>1319.3</v>
      </c>
      <c r="Q11" s="575">
        <v>2150.3000000000002</v>
      </c>
    </row>
    <row r="12" spans="1:17" s="15" customFormat="1" ht="12.75" hidden="1" customHeight="1" x14ac:dyDescent="0.3">
      <c r="A12" s="573" t="s">
        <v>222</v>
      </c>
      <c r="B12" s="575">
        <v>11350.4</v>
      </c>
      <c r="C12" s="575"/>
      <c r="D12" s="575">
        <v>8400.7999999999993</v>
      </c>
      <c r="E12" s="575">
        <v>2949.6</v>
      </c>
      <c r="F12" s="576" t="s">
        <v>31</v>
      </c>
      <c r="G12" s="576" t="s">
        <v>31</v>
      </c>
      <c r="H12" s="575"/>
      <c r="I12" s="575">
        <v>7637.8</v>
      </c>
      <c r="J12" s="575">
        <v>6980.5</v>
      </c>
      <c r="K12" s="575">
        <v>657.3</v>
      </c>
      <c r="L12" s="576" t="s">
        <v>31</v>
      </c>
      <c r="M12" s="576" t="s">
        <v>31</v>
      </c>
      <c r="N12" s="575"/>
      <c r="O12" s="575">
        <v>3712.6</v>
      </c>
      <c r="P12" s="575">
        <v>1420.3</v>
      </c>
      <c r="Q12" s="575">
        <v>2292.3000000000002</v>
      </c>
    </row>
    <row r="13" spans="1:17" s="15" customFormat="1" ht="12.75" hidden="1" customHeight="1" x14ac:dyDescent="0.3">
      <c r="A13" s="573" t="s">
        <v>221</v>
      </c>
      <c r="B13" s="575">
        <v>10674.9</v>
      </c>
      <c r="C13" s="575"/>
      <c r="D13" s="575">
        <v>8110.5</v>
      </c>
      <c r="E13" s="575">
        <v>2564.4</v>
      </c>
      <c r="F13" s="576" t="s">
        <v>31</v>
      </c>
      <c r="G13" s="576" t="s">
        <v>31</v>
      </c>
      <c r="H13" s="575"/>
      <c r="I13" s="575">
        <v>7458.8</v>
      </c>
      <c r="J13" s="575">
        <v>6752.6</v>
      </c>
      <c r="K13" s="575">
        <v>706.2</v>
      </c>
      <c r="L13" s="576" t="s">
        <v>31</v>
      </c>
      <c r="M13" s="576" t="s">
        <v>31</v>
      </c>
      <c r="N13" s="575"/>
      <c r="O13" s="575">
        <v>3216.1</v>
      </c>
      <c r="P13" s="575">
        <v>1357.9</v>
      </c>
      <c r="Q13" s="575">
        <v>1858.2</v>
      </c>
    </row>
    <row r="14" spans="1:17" s="15" customFormat="1" ht="12.75" hidden="1" customHeight="1" x14ac:dyDescent="0.3">
      <c r="A14" s="573" t="s">
        <v>220</v>
      </c>
      <c r="B14" s="575">
        <v>11717</v>
      </c>
      <c r="C14" s="575"/>
      <c r="D14" s="575">
        <v>8570.9</v>
      </c>
      <c r="E14" s="575">
        <v>3146.1</v>
      </c>
      <c r="F14" s="576" t="s">
        <v>31</v>
      </c>
      <c r="G14" s="576" t="s">
        <v>31</v>
      </c>
      <c r="H14" s="575"/>
      <c r="I14" s="575">
        <v>8074.9</v>
      </c>
      <c r="J14" s="575">
        <v>7240.9</v>
      </c>
      <c r="K14" s="575">
        <v>834</v>
      </c>
      <c r="L14" s="576" t="s">
        <v>31</v>
      </c>
      <c r="M14" s="576" t="s">
        <v>31</v>
      </c>
      <c r="N14" s="575"/>
      <c r="O14" s="575">
        <v>3642.1</v>
      </c>
      <c r="P14" s="575">
        <v>1330</v>
      </c>
      <c r="Q14" s="575">
        <v>2312.1</v>
      </c>
    </row>
    <row r="15" spans="1:17" s="15" customFormat="1" ht="12.75" hidden="1" customHeight="1" x14ac:dyDescent="0.3">
      <c r="A15" s="573">
        <v>1985</v>
      </c>
      <c r="B15" s="555">
        <v>12115.3</v>
      </c>
      <c r="C15" s="555"/>
      <c r="D15" s="555">
        <v>9385.5</v>
      </c>
      <c r="E15" s="555">
        <v>2729.8</v>
      </c>
      <c r="F15" s="576" t="s">
        <v>31</v>
      </c>
      <c r="G15" s="576" t="s">
        <v>31</v>
      </c>
      <c r="H15" s="575"/>
      <c r="I15" s="555">
        <v>8379.5</v>
      </c>
      <c r="J15" s="555">
        <v>7583.3</v>
      </c>
      <c r="K15" s="555">
        <v>796.2</v>
      </c>
      <c r="L15" s="576" t="s">
        <v>31</v>
      </c>
      <c r="M15" s="576" t="s">
        <v>31</v>
      </c>
      <c r="N15" s="575"/>
      <c r="O15" s="555">
        <v>3735.8</v>
      </c>
      <c r="P15" s="555">
        <v>1802.2</v>
      </c>
      <c r="Q15" s="555">
        <v>1933.6</v>
      </c>
    </row>
    <row r="16" spans="1:17" s="15" customFormat="1" ht="12.75" hidden="1" customHeight="1" x14ac:dyDescent="0.3">
      <c r="A16" s="573">
        <v>1986</v>
      </c>
      <c r="B16" s="555">
        <v>12941.3</v>
      </c>
      <c r="C16" s="555"/>
      <c r="D16" s="555">
        <v>9880.5</v>
      </c>
      <c r="E16" s="555">
        <v>3060.8</v>
      </c>
      <c r="F16" s="576" t="s">
        <v>31</v>
      </c>
      <c r="G16" s="576" t="s">
        <v>31</v>
      </c>
      <c r="H16" s="575"/>
      <c r="I16" s="555">
        <v>9234.4</v>
      </c>
      <c r="J16" s="555">
        <v>8443</v>
      </c>
      <c r="K16" s="555">
        <v>791.4</v>
      </c>
      <c r="L16" s="576" t="s">
        <v>31</v>
      </c>
      <c r="M16" s="576" t="s">
        <v>31</v>
      </c>
      <c r="N16" s="575"/>
      <c r="O16" s="555">
        <v>3706.9</v>
      </c>
      <c r="P16" s="555">
        <v>1437.5</v>
      </c>
      <c r="Q16" s="555">
        <v>2269.4</v>
      </c>
    </row>
    <row r="17" spans="1:17" s="15" customFormat="1" ht="12.75" hidden="1" customHeight="1" x14ac:dyDescent="0.3">
      <c r="A17" s="573">
        <v>1987</v>
      </c>
      <c r="B17" s="555">
        <v>13784.8</v>
      </c>
      <c r="C17" s="555"/>
      <c r="D17" s="555">
        <v>10646.3</v>
      </c>
      <c r="E17" s="555">
        <v>3138.5</v>
      </c>
      <c r="F17" s="576" t="s">
        <v>31</v>
      </c>
      <c r="G17" s="576" t="s">
        <v>31</v>
      </c>
      <c r="H17" s="575"/>
      <c r="I17" s="555">
        <v>10092.699999999999</v>
      </c>
      <c r="J17" s="555">
        <v>9196.2999999999993</v>
      </c>
      <c r="K17" s="555">
        <v>896.4</v>
      </c>
      <c r="L17" s="576" t="s">
        <v>31</v>
      </c>
      <c r="M17" s="576" t="s">
        <v>31</v>
      </c>
      <c r="N17" s="575"/>
      <c r="O17" s="555">
        <v>3692.1</v>
      </c>
      <c r="P17" s="555">
        <v>1450</v>
      </c>
      <c r="Q17" s="555">
        <v>2242.1</v>
      </c>
    </row>
    <row r="18" spans="1:17" s="15" customFormat="1" ht="12.75" hidden="1" customHeight="1" x14ac:dyDescent="0.3">
      <c r="A18" s="573">
        <v>1988</v>
      </c>
      <c r="B18" s="555">
        <v>13544</v>
      </c>
      <c r="C18" s="555"/>
      <c r="D18" s="555">
        <v>10426.1</v>
      </c>
      <c r="E18" s="555">
        <v>3117.9</v>
      </c>
      <c r="F18" s="576" t="s">
        <v>31</v>
      </c>
      <c r="G18" s="576" t="s">
        <v>31</v>
      </c>
      <c r="H18" s="575"/>
      <c r="I18" s="555">
        <v>10022.799999999999</v>
      </c>
      <c r="J18" s="555">
        <v>9077.9</v>
      </c>
      <c r="K18" s="555">
        <v>944.9</v>
      </c>
      <c r="L18" s="576" t="s">
        <v>31</v>
      </c>
      <c r="M18" s="576" t="s">
        <v>31</v>
      </c>
      <c r="N18" s="575"/>
      <c r="O18" s="555">
        <v>3521.2</v>
      </c>
      <c r="P18" s="555">
        <v>1348.2</v>
      </c>
      <c r="Q18" s="555">
        <v>2173</v>
      </c>
    </row>
    <row r="19" spans="1:17" s="15" customFormat="1" ht="12.75" hidden="1" customHeight="1" x14ac:dyDescent="0.3">
      <c r="A19" s="573">
        <v>1989</v>
      </c>
      <c r="B19" s="555">
        <v>13358.400000000001</v>
      </c>
      <c r="C19" s="555"/>
      <c r="D19" s="555">
        <v>10394.300000000001</v>
      </c>
      <c r="E19" s="555">
        <v>2964.1</v>
      </c>
      <c r="F19" s="576" t="s">
        <v>31</v>
      </c>
      <c r="G19" s="576" t="s">
        <v>31</v>
      </c>
      <c r="H19" s="575"/>
      <c r="I19" s="555">
        <v>9596.7000000000007</v>
      </c>
      <c r="J19" s="555">
        <v>8848.1</v>
      </c>
      <c r="K19" s="555">
        <v>748.6</v>
      </c>
      <c r="L19" s="576" t="s">
        <v>31</v>
      </c>
      <c r="M19" s="576" t="s">
        <v>31</v>
      </c>
      <c r="N19" s="575"/>
      <c r="O19" s="555">
        <v>3761.7</v>
      </c>
      <c r="P19" s="555">
        <v>1546.2</v>
      </c>
      <c r="Q19" s="555">
        <v>2215.5</v>
      </c>
    </row>
    <row r="20" spans="1:17" s="18" customFormat="1" ht="12.75" hidden="1" customHeight="1" x14ac:dyDescent="0.3">
      <c r="A20" s="574">
        <v>1990</v>
      </c>
      <c r="B20" s="550">
        <v>13162.3</v>
      </c>
      <c r="C20" s="550"/>
      <c r="D20" s="550">
        <v>10170</v>
      </c>
      <c r="E20" s="550">
        <v>2992.3</v>
      </c>
      <c r="F20" s="577" t="s">
        <v>31</v>
      </c>
      <c r="G20" s="577" t="s">
        <v>31</v>
      </c>
      <c r="H20" s="550"/>
      <c r="I20" s="550">
        <v>9547.7000000000007</v>
      </c>
      <c r="J20" s="550">
        <v>8779.7000000000007</v>
      </c>
      <c r="K20" s="550">
        <v>768</v>
      </c>
      <c r="L20" s="577" t="s">
        <v>31</v>
      </c>
      <c r="M20" s="577" t="s">
        <v>31</v>
      </c>
      <c r="N20" s="550"/>
      <c r="O20" s="550">
        <v>3614.6</v>
      </c>
      <c r="P20" s="550">
        <v>1390.3</v>
      </c>
      <c r="Q20" s="550">
        <v>2224.3000000000002</v>
      </c>
    </row>
    <row r="21" spans="1:17" s="18" customFormat="1" ht="12.75" hidden="1" customHeight="1" x14ac:dyDescent="0.3">
      <c r="A21" s="574">
        <v>1991</v>
      </c>
      <c r="B21" s="550">
        <v>13900.6</v>
      </c>
      <c r="C21" s="550"/>
      <c r="D21" s="550">
        <v>11230.9</v>
      </c>
      <c r="E21" s="550">
        <v>2669.7</v>
      </c>
      <c r="F21" s="577" t="s">
        <v>31</v>
      </c>
      <c r="G21" s="577" t="s">
        <v>31</v>
      </c>
      <c r="H21" s="550"/>
      <c r="I21" s="550">
        <v>10487.9</v>
      </c>
      <c r="J21" s="550">
        <v>9846.9</v>
      </c>
      <c r="K21" s="550">
        <v>641</v>
      </c>
      <c r="L21" s="577" t="s">
        <v>31</v>
      </c>
      <c r="M21" s="577" t="s">
        <v>31</v>
      </c>
      <c r="N21" s="550"/>
      <c r="O21" s="550">
        <v>3412.7</v>
      </c>
      <c r="P21" s="550">
        <v>1384</v>
      </c>
      <c r="Q21" s="550">
        <v>2028.7</v>
      </c>
    </row>
    <row r="22" spans="1:17" s="18" customFormat="1" ht="12.75" hidden="1" customHeight="1" x14ac:dyDescent="0.3">
      <c r="A22" s="574">
        <v>1992</v>
      </c>
      <c r="B22" s="550">
        <v>13044.1</v>
      </c>
      <c r="C22" s="550"/>
      <c r="D22" s="550">
        <v>9690.4</v>
      </c>
      <c r="E22" s="550">
        <v>3353.7</v>
      </c>
      <c r="F22" s="577" t="s">
        <v>31</v>
      </c>
      <c r="G22" s="577" t="s">
        <v>31</v>
      </c>
      <c r="H22" s="550"/>
      <c r="I22" s="550">
        <v>9562.6</v>
      </c>
      <c r="J22" s="550">
        <v>8388.1</v>
      </c>
      <c r="K22" s="550">
        <v>1174.5</v>
      </c>
      <c r="L22" s="577" t="s">
        <v>31</v>
      </c>
      <c r="M22" s="577" t="s">
        <v>31</v>
      </c>
      <c r="N22" s="550"/>
      <c r="O22" s="550">
        <v>3481.5</v>
      </c>
      <c r="P22" s="550">
        <v>1302.3</v>
      </c>
      <c r="Q22" s="550">
        <v>2179.1999999999998</v>
      </c>
    </row>
    <row r="23" spans="1:17" s="18" customFormat="1" ht="12.75" hidden="1" customHeight="1" x14ac:dyDescent="0.3">
      <c r="A23" s="574">
        <v>1993</v>
      </c>
      <c r="B23" s="550">
        <v>14678.5</v>
      </c>
      <c r="C23" s="550"/>
      <c r="D23" s="550">
        <v>11675.9</v>
      </c>
      <c r="E23" s="550">
        <v>3002.6</v>
      </c>
      <c r="F23" s="577" t="s">
        <v>31</v>
      </c>
      <c r="G23" s="577" t="s">
        <v>31</v>
      </c>
      <c r="H23" s="550"/>
      <c r="I23" s="550">
        <v>11122.2</v>
      </c>
      <c r="J23" s="550">
        <v>10247.299999999999</v>
      </c>
      <c r="K23" s="550">
        <v>874.9</v>
      </c>
      <c r="L23" s="577" t="s">
        <v>31</v>
      </c>
      <c r="M23" s="577" t="s">
        <v>31</v>
      </c>
      <c r="N23" s="550"/>
      <c r="O23" s="550">
        <v>3556.3</v>
      </c>
      <c r="P23" s="550">
        <v>1428.6</v>
      </c>
      <c r="Q23" s="550">
        <v>2127.6999999999998</v>
      </c>
    </row>
    <row r="24" spans="1:17" s="18" customFormat="1" ht="12.75" hidden="1" customHeight="1" x14ac:dyDescent="0.3">
      <c r="A24" s="574">
        <v>1994</v>
      </c>
      <c r="B24" s="550">
        <v>15842.6</v>
      </c>
      <c r="C24" s="550"/>
      <c r="D24" s="550">
        <v>12816.3</v>
      </c>
      <c r="E24" s="550">
        <v>3026.3</v>
      </c>
      <c r="F24" s="577" t="s">
        <v>31</v>
      </c>
      <c r="G24" s="577" t="s">
        <v>31</v>
      </c>
      <c r="H24" s="550"/>
      <c r="I24" s="550">
        <v>12502.8</v>
      </c>
      <c r="J24" s="550">
        <v>11505.1</v>
      </c>
      <c r="K24" s="550">
        <v>997.7</v>
      </c>
      <c r="L24" s="577" t="s">
        <v>31</v>
      </c>
      <c r="M24" s="577" t="s">
        <v>31</v>
      </c>
      <c r="N24" s="550"/>
      <c r="O24" s="550">
        <v>3339.8</v>
      </c>
      <c r="P24" s="550">
        <v>1311.2</v>
      </c>
      <c r="Q24" s="550">
        <v>2028.6</v>
      </c>
    </row>
    <row r="25" spans="1:17" s="18" customFormat="1" ht="12.75" hidden="1" customHeight="1" x14ac:dyDescent="0.3">
      <c r="A25" s="574">
        <v>1995</v>
      </c>
      <c r="B25" s="550">
        <v>16880.099999999999</v>
      </c>
      <c r="C25" s="550"/>
      <c r="D25" s="550">
        <v>12937.6</v>
      </c>
      <c r="E25" s="550">
        <v>3942.5</v>
      </c>
      <c r="F25" s="577" t="s">
        <v>31</v>
      </c>
      <c r="G25" s="577" t="s">
        <v>31</v>
      </c>
      <c r="H25" s="550"/>
      <c r="I25" s="550">
        <v>13106.3</v>
      </c>
      <c r="J25" s="550">
        <v>11540.6</v>
      </c>
      <c r="K25" s="550">
        <v>1565.7</v>
      </c>
      <c r="L25" s="577" t="s">
        <v>31</v>
      </c>
      <c r="M25" s="577" t="s">
        <v>31</v>
      </c>
      <c r="N25" s="550"/>
      <c r="O25" s="550">
        <v>3773.8</v>
      </c>
      <c r="P25" s="550">
        <v>1397</v>
      </c>
      <c r="Q25" s="550">
        <v>2376.8000000000002</v>
      </c>
    </row>
    <row r="26" spans="1:17" s="18" customFormat="1" ht="12.75" hidden="1" customHeight="1" x14ac:dyDescent="0.3">
      <c r="A26" s="574">
        <v>1996</v>
      </c>
      <c r="B26" s="550">
        <v>17279.8</v>
      </c>
      <c r="C26" s="550"/>
      <c r="D26" s="550">
        <v>13323.6</v>
      </c>
      <c r="E26" s="550">
        <v>3955.8</v>
      </c>
      <c r="F26" s="577" t="s">
        <v>31</v>
      </c>
      <c r="G26" s="550">
        <v>0.4</v>
      </c>
      <c r="H26" s="550"/>
      <c r="I26" s="550">
        <v>13307.5</v>
      </c>
      <c r="J26" s="550">
        <v>11847.9</v>
      </c>
      <c r="K26" s="550">
        <v>1459.2</v>
      </c>
      <c r="L26" s="577" t="s">
        <v>31</v>
      </c>
      <c r="M26" s="550">
        <v>0.4</v>
      </c>
      <c r="N26" s="550"/>
      <c r="O26" s="550">
        <v>3972.3</v>
      </c>
      <c r="P26" s="550">
        <v>1475.7</v>
      </c>
      <c r="Q26" s="550">
        <v>2496.6</v>
      </c>
    </row>
    <row r="27" spans="1:17" s="18" customFormat="1" ht="12.75" hidden="1" customHeight="1" x14ac:dyDescent="0.3">
      <c r="A27" s="574">
        <v>1997</v>
      </c>
      <c r="B27" s="550">
        <v>17953.400000000001</v>
      </c>
      <c r="C27" s="550"/>
      <c r="D27" s="550">
        <v>13214.5</v>
      </c>
      <c r="E27" s="550">
        <v>4738.3</v>
      </c>
      <c r="F27" s="577" t="s">
        <v>31</v>
      </c>
      <c r="G27" s="550">
        <v>0.6</v>
      </c>
      <c r="H27" s="550"/>
      <c r="I27" s="550">
        <v>15348.6</v>
      </c>
      <c r="J27" s="550">
        <v>12264.8</v>
      </c>
      <c r="K27" s="550">
        <v>3083.2</v>
      </c>
      <c r="L27" s="577" t="s">
        <v>31</v>
      </c>
      <c r="M27" s="550">
        <v>0.6</v>
      </c>
      <c r="N27" s="550"/>
      <c r="O27" s="550">
        <v>2604.8000000000002</v>
      </c>
      <c r="P27" s="550">
        <v>949.7</v>
      </c>
      <c r="Q27" s="550">
        <v>1655.1</v>
      </c>
    </row>
    <row r="28" spans="1:17" s="18" customFormat="1" ht="12.75" hidden="1" customHeight="1" x14ac:dyDescent="0.3">
      <c r="A28" s="574">
        <v>1998</v>
      </c>
      <c r="B28" s="550">
        <v>18582.5</v>
      </c>
      <c r="C28" s="550"/>
      <c r="D28" s="550">
        <v>13809.2</v>
      </c>
      <c r="E28" s="550">
        <v>4772.8</v>
      </c>
      <c r="F28" s="577" t="s">
        <v>31</v>
      </c>
      <c r="G28" s="550">
        <v>0.5</v>
      </c>
      <c r="H28" s="550"/>
      <c r="I28" s="550">
        <v>16815.900000000001</v>
      </c>
      <c r="J28" s="550">
        <v>13367.2</v>
      </c>
      <c r="K28" s="550">
        <v>3448.2</v>
      </c>
      <c r="L28" s="577" t="s">
        <v>31</v>
      </c>
      <c r="M28" s="550">
        <v>0.5</v>
      </c>
      <c r="N28" s="550"/>
      <c r="O28" s="550">
        <v>1766.6</v>
      </c>
      <c r="P28" s="550">
        <v>442</v>
      </c>
      <c r="Q28" s="550">
        <v>1324.6</v>
      </c>
    </row>
    <row r="29" spans="1:17" s="18" customFormat="1" ht="12.75" hidden="1" customHeight="1" x14ac:dyDescent="0.3">
      <c r="A29" s="574">
        <v>1999</v>
      </c>
      <c r="B29" s="550">
        <v>19049.599999999999</v>
      </c>
      <c r="C29" s="550"/>
      <c r="D29" s="550">
        <v>14541</v>
      </c>
      <c r="E29" s="550">
        <v>4508</v>
      </c>
      <c r="F29" s="577" t="s">
        <v>31</v>
      </c>
      <c r="G29" s="550">
        <v>0.6</v>
      </c>
      <c r="H29" s="550"/>
      <c r="I29" s="550">
        <v>17366.599999999999</v>
      </c>
      <c r="J29" s="550">
        <v>14111</v>
      </c>
      <c r="K29" s="550">
        <v>3255</v>
      </c>
      <c r="L29" s="577" t="s">
        <v>31</v>
      </c>
      <c r="M29" s="550">
        <v>0.6</v>
      </c>
      <c r="N29" s="550"/>
      <c r="O29" s="550">
        <v>1683</v>
      </c>
      <c r="P29" s="550">
        <v>430</v>
      </c>
      <c r="Q29" s="550">
        <v>1253</v>
      </c>
    </row>
    <row r="30" spans="1:17" s="18" customFormat="1" ht="15.95" customHeight="1" x14ac:dyDescent="0.3">
      <c r="A30" s="574">
        <v>2001</v>
      </c>
      <c r="B30" s="550">
        <v>20785.5</v>
      </c>
      <c r="C30" s="550"/>
      <c r="D30" s="550">
        <v>17614.7</v>
      </c>
      <c r="E30" s="550">
        <v>3169.6</v>
      </c>
      <c r="F30" s="577" t="s">
        <v>31</v>
      </c>
      <c r="G30" s="550">
        <v>1.2</v>
      </c>
      <c r="H30" s="550"/>
      <c r="I30" s="550">
        <v>19214.3</v>
      </c>
      <c r="J30" s="550">
        <v>17188.3</v>
      </c>
      <c r="K30" s="550">
        <v>2024.8</v>
      </c>
      <c r="L30" s="577" t="s">
        <v>31</v>
      </c>
      <c r="M30" s="550">
        <v>1.2</v>
      </c>
      <c r="N30" s="550"/>
      <c r="O30" s="550">
        <v>1571.2</v>
      </c>
      <c r="P30" s="550">
        <v>426.4</v>
      </c>
      <c r="Q30" s="550">
        <v>1144.8</v>
      </c>
    </row>
    <row r="31" spans="1:17" s="18" customFormat="1" ht="15.95" customHeight="1" x14ac:dyDescent="0.3">
      <c r="A31" s="574">
        <v>2002</v>
      </c>
      <c r="B31" s="550">
        <v>21982.3</v>
      </c>
      <c r="C31" s="550"/>
      <c r="D31" s="550">
        <v>18040.2</v>
      </c>
      <c r="E31" s="550">
        <v>3940.9</v>
      </c>
      <c r="F31" s="577" t="s">
        <v>31</v>
      </c>
      <c r="G31" s="550">
        <v>1.2</v>
      </c>
      <c r="H31" s="550"/>
      <c r="I31" s="550">
        <v>20419.5</v>
      </c>
      <c r="J31" s="550">
        <v>17638.2</v>
      </c>
      <c r="K31" s="550">
        <v>2780.1</v>
      </c>
      <c r="L31" s="577" t="s">
        <v>31</v>
      </c>
      <c r="M31" s="550">
        <v>1.2</v>
      </c>
      <c r="N31" s="550"/>
      <c r="O31" s="550">
        <v>1562.8</v>
      </c>
      <c r="P31" s="550">
        <v>402</v>
      </c>
      <c r="Q31" s="550">
        <v>1160.8</v>
      </c>
    </row>
    <row r="32" spans="1:17" s="18" customFormat="1" ht="15.95" customHeight="1" x14ac:dyDescent="0.3">
      <c r="A32" s="574">
        <v>2003</v>
      </c>
      <c r="B32" s="550">
        <v>22923.4</v>
      </c>
      <c r="C32" s="550"/>
      <c r="D32" s="550">
        <v>18533.8</v>
      </c>
      <c r="E32" s="550">
        <v>4388.3999999999996</v>
      </c>
      <c r="F32" s="577" t="s">
        <v>31</v>
      </c>
      <c r="G32" s="550">
        <v>1.2</v>
      </c>
      <c r="H32" s="550"/>
      <c r="I32" s="550">
        <v>21361.5</v>
      </c>
      <c r="J32" s="550">
        <v>18118.400000000001</v>
      </c>
      <c r="K32" s="550">
        <v>3241.9</v>
      </c>
      <c r="L32" s="577" t="s">
        <v>31</v>
      </c>
      <c r="M32" s="550">
        <v>1.2</v>
      </c>
      <c r="N32" s="550"/>
      <c r="O32" s="550">
        <v>1561.9</v>
      </c>
      <c r="P32" s="550">
        <v>415.4</v>
      </c>
      <c r="Q32" s="550">
        <v>1146.5</v>
      </c>
    </row>
    <row r="33" spans="1:17" s="18" customFormat="1" ht="15.95" customHeight="1" x14ac:dyDescent="0.3">
      <c r="A33" s="574">
        <v>2004</v>
      </c>
      <c r="B33" s="550">
        <v>24267</v>
      </c>
      <c r="C33" s="550"/>
      <c r="D33" s="550">
        <v>17525.400000000001</v>
      </c>
      <c r="E33" s="550">
        <v>6740.4</v>
      </c>
      <c r="F33" s="577" t="s">
        <v>31</v>
      </c>
      <c r="G33" s="550">
        <v>1.2</v>
      </c>
      <c r="H33" s="550"/>
      <c r="I33" s="550">
        <v>22619.9</v>
      </c>
      <c r="J33" s="550">
        <v>17100.7</v>
      </c>
      <c r="K33" s="550">
        <v>5518</v>
      </c>
      <c r="L33" s="577" t="s">
        <v>31</v>
      </c>
      <c r="M33" s="550">
        <v>1.2</v>
      </c>
      <c r="N33" s="550"/>
      <c r="O33" s="550">
        <v>1647.1</v>
      </c>
      <c r="P33" s="550">
        <v>424.7</v>
      </c>
      <c r="Q33" s="550">
        <v>1222.4000000000001</v>
      </c>
    </row>
    <row r="34" spans="1:17" s="18" customFormat="1" ht="15.95" customHeight="1" x14ac:dyDescent="0.3">
      <c r="A34" s="574">
        <v>2005</v>
      </c>
      <c r="B34" s="550">
        <v>25509.7</v>
      </c>
      <c r="C34" s="550"/>
      <c r="D34" s="550">
        <v>17977</v>
      </c>
      <c r="E34" s="550">
        <v>7531.5</v>
      </c>
      <c r="F34" s="577" t="s">
        <v>31</v>
      </c>
      <c r="G34" s="550">
        <v>1.2</v>
      </c>
      <c r="H34" s="550"/>
      <c r="I34" s="550">
        <v>23810.799999999999</v>
      </c>
      <c r="J34" s="550">
        <v>17567.099999999999</v>
      </c>
      <c r="K34" s="550">
        <v>6242.5</v>
      </c>
      <c r="L34" s="577" t="s">
        <v>31</v>
      </c>
      <c r="M34" s="550">
        <v>1.2</v>
      </c>
      <c r="N34" s="550"/>
      <c r="O34" s="550">
        <v>1698.9</v>
      </c>
      <c r="P34" s="550">
        <v>409.9</v>
      </c>
      <c r="Q34" s="550">
        <v>1289</v>
      </c>
    </row>
    <row r="35" spans="1:17" s="18" customFormat="1" ht="15.95" customHeight="1" x14ac:dyDescent="0.3">
      <c r="A35" s="574">
        <v>2006</v>
      </c>
      <c r="B35" s="550">
        <v>27369.8</v>
      </c>
      <c r="C35" s="550"/>
      <c r="D35" s="550">
        <v>19594.3</v>
      </c>
      <c r="E35" s="550">
        <v>7774.3</v>
      </c>
      <c r="F35" s="577" t="s">
        <v>31</v>
      </c>
      <c r="G35" s="550">
        <v>1.2</v>
      </c>
      <c r="H35" s="550"/>
      <c r="I35" s="550">
        <v>25613.8</v>
      </c>
      <c r="J35" s="550">
        <v>19160.8</v>
      </c>
      <c r="K35" s="550">
        <v>6451.8</v>
      </c>
      <c r="L35" s="577" t="s">
        <v>31</v>
      </c>
      <c r="M35" s="550">
        <v>1.2</v>
      </c>
      <c r="N35" s="550"/>
      <c r="O35" s="550">
        <v>1756</v>
      </c>
      <c r="P35" s="550">
        <v>433.5</v>
      </c>
      <c r="Q35" s="550">
        <v>1322.5</v>
      </c>
    </row>
    <row r="36" spans="1:17" s="18" customFormat="1" ht="15.95" customHeight="1" x14ac:dyDescent="0.3">
      <c r="A36" s="574">
        <v>2007</v>
      </c>
      <c r="B36" s="550">
        <v>29943</v>
      </c>
      <c r="C36" s="550"/>
      <c r="D36" s="550">
        <v>19548.8</v>
      </c>
      <c r="E36" s="550">
        <v>10393</v>
      </c>
      <c r="F36" s="577" t="s">
        <v>31</v>
      </c>
      <c r="G36" s="550">
        <v>1.2</v>
      </c>
      <c r="H36" s="550"/>
      <c r="I36" s="550">
        <v>28200.400000000001</v>
      </c>
      <c r="J36" s="550">
        <v>19107.2</v>
      </c>
      <c r="K36" s="550">
        <v>9092</v>
      </c>
      <c r="L36" s="577" t="s">
        <v>31</v>
      </c>
      <c r="M36" s="550">
        <v>1.2</v>
      </c>
      <c r="N36" s="550"/>
      <c r="O36" s="550">
        <v>1742.6</v>
      </c>
      <c r="P36" s="550">
        <v>441.6</v>
      </c>
      <c r="Q36" s="550">
        <v>1301</v>
      </c>
    </row>
    <row r="37" spans="1:17" s="18" customFormat="1" ht="15.95" customHeight="1" x14ac:dyDescent="0.3">
      <c r="A37" s="574">
        <v>2008</v>
      </c>
      <c r="B37" s="550">
        <v>32463.1</v>
      </c>
      <c r="C37" s="550"/>
      <c r="D37" s="550">
        <v>19059.599999999999</v>
      </c>
      <c r="E37" s="550">
        <v>13402.3</v>
      </c>
      <c r="F37" s="577" t="s">
        <v>31</v>
      </c>
      <c r="G37" s="550">
        <v>1.2</v>
      </c>
      <c r="H37" s="550"/>
      <c r="I37" s="550">
        <v>30574.7</v>
      </c>
      <c r="J37" s="550">
        <v>18607.8</v>
      </c>
      <c r="K37" s="550">
        <v>11965.7</v>
      </c>
      <c r="L37" s="577" t="s">
        <v>31</v>
      </c>
      <c r="M37" s="550">
        <v>1.2</v>
      </c>
      <c r="N37" s="550"/>
      <c r="O37" s="550">
        <v>1888.4</v>
      </c>
      <c r="P37" s="550">
        <v>451.8</v>
      </c>
      <c r="Q37" s="550">
        <v>1436.6</v>
      </c>
    </row>
    <row r="38" spans="1:17" s="18" customFormat="1" ht="15.95" customHeight="1" x14ac:dyDescent="0.3">
      <c r="A38" s="574">
        <v>2009</v>
      </c>
      <c r="B38" s="550">
        <v>32944.699999999997</v>
      </c>
      <c r="C38" s="550"/>
      <c r="D38" s="550">
        <v>19903.8</v>
      </c>
      <c r="E38" s="550">
        <v>13039.7</v>
      </c>
      <c r="F38" s="577" t="s">
        <v>31</v>
      </c>
      <c r="G38" s="550">
        <v>1.2</v>
      </c>
      <c r="H38" s="550"/>
      <c r="I38" s="550">
        <v>30921.9</v>
      </c>
      <c r="J38" s="550">
        <v>19419.2</v>
      </c>
      <c r="K38" s="550">
        <v>11501.5</v>
      </c>
      <c r="L38" s="577" t="s">
        <v>31</v>
      </c>
      <c r="M38" s="550">
        <v>1.2</v>
      </c>
      <c r="N38" s="550"/>
      <c r="O38" s="550">
        <v>2022.8</v>
      </c>
      <c r="P38" s="550">
        <v>484.6</v>
      </c>
      <c r="Q38" s="550">
        <v>1538.2</v>
      </c>
    </row>
    <row r="39" spans="1:17" s="18" customFormat="1" ht="15.95" customHeight="1" x14ac:dyDescent="0.3">
      <c r="A39" s="574">
        <v>2010</v>
      </c>
      <c r="B39" s="550">
        <v>35908</v>
      </c>
      <c r="C39" s="550"/>
      <c r="D39" s="550">
        <v>20052.099999999999</v>
      </c>
      <c r="E39" s="550">
        <v>15854.7</v>
      </c>
      <c r="F39" s="577" t="s">
        <v>31</v>
      </c>
      <c r="G39" s="550">
        <v>1.2</v>
      </c>
      <c r="H39" s="550"/>
      <c r="I39" s="550">
        <v>33545.800000000003</v>
      </c>
      <c r="J39" s="550">
        <v>19567.400000000001</v>
      </c>
      <c r="K39" s="550">
        <v>13977.2</v>
      </c>
      <c r="L39" s="577" t="s">
        <v>31</v>
      </c>
      <c r="M39" s="550">
        <v>1.2</v>
      </c>
      <c r="N39" s="550"/>
      <c r="O39" s="550">
        <v>2362.1999999999998</v>
      </c>
      <c r="P39" s="550">
        <v>484.7</v>
      </c>
      <c r="Q39" s="550">
        <v>1877.5</v>
      </c>
    </row>
    <row r="40" spans="1:17" s="18" customFormat="1" ht="15.95" customHeight="1" x14ac:dyDescent="0.3">
      <c r="A40" s="574">
        <v>2011</v>
      </c>
      <c r="B40" s="550">
        <v>38806.5</v>
      </c>
      <c r="C40" s="550"/>
      <c r="D40" s="550">
        <v>21557.3</v>
      </c>
      <c r="E40" s="550">
        <v>17248</v>
      </c>
      <c r="F40" s="577" t="s">
        <v>31</v>
      </c>
      <c r="G40" s="550">
        <v>1.2</v>
      </c>
      <c r="H40" s="550"/>
      <c r="I40" s="550">
        <v>36248.5</v>
      </c>
      <c r="J40" s="550">
        <v>21027.4</v>
      </c>
      <c r="K40" s="550">
        <v>15219.9</v>
      </c>
      <c r="L40" s="577" t="s">
        <v>31</v>
      </c>
      <c r="M40" s="550">
        <v>1.2</v>
      </c>
      <c r="N40" s="550"/>
      <c r="O40" s="550">
        <v>2558</v>
      </c>
      <c r="P40" s="550">
        <v>529.9</v>
      </c>
      <c r="Q40" s="550">
        <v>2028.1</v>
      </c>
    </row>
    <row r="41" spans="1:17" s="18" customFormat="1" ht="15.95" customHeight="1" x14ac:dyDescent="0.3">
      <c r="A41" s="574">
        <v>2012</v>
      </c>
      <c r="B41" s="550">
        <v>41036</v>
      </c>
      <c r="C41" s="550"/>
      <c r="D41" s="550">
        <v>22031.9</v>
      </c>
      <c r="E41" s="550">
        <v>18943.2</v>
      </c>
      <c r="F41" s="550">
        <v>59.7</v>
      </c>
      <c r="G41" s="550">
        <v>1.2</v>
      </c>
      <c r="H41" s="550"/>
      <c r="I41" s="550">
        <v>38361</v>
      </c>
      <c r="J41" s="550">
        <v>21490.799999999999</v>
      </c>
      <c r="K41" s="550">
        <v>16809.3</v>
      </c>
      <c r="L41" s="550">
        <v>59.7</v>
      </c>
      <c r="M41" s="550">
        <v>1.2</v>
      </c>
      <c r="N41" s="550"/>
      <c r="O41" s="550">
        <v>2675</v>
      </c>
      <c r="P41" s="550">
        <v>541.1</v>
      </c>
      <c r="Q41" s="550">
        <v>2133.9</v>
      </c>
    </row>
    <row r="42" spans="1:17" s="18" customFormat="1" ht="15.95" customHeight="1" x14ac:dyDescent="0.3">
      <c r="A42" s="574">
        <v>2013</v>
      </c>
      <c r="B42" s="550">
        <v>43330.2</v>
      </c>
      <c r="C42" s="550"/>
      <c r="D42" s="550">
        <v>22319.599999999999</v>
      </c>
      <c r="E42" s="550">
        <v>20812.5</v>
      </c>
      <c r="F42" s="550">
        <v>196.9</v>
      </c>
      <c r="G42" s="550">
        <v>1.2</v>
      </c>
      <c r="H42" s="550"/>
      <c r="I42" s="550">
        <v>40664.699999999997</v>
      </c>
      <c r="J42" s="550">
        <v>21709.4</v>
      </c>
      <c r="K42" s="550">
        <v>18757.2</v>
      </c>
      <c r="L42" s="550">
        <v>196.9</v>
      </c>
      <c r="M42" s="550">
        <v>1.2</v>
      </c>
      <c r="N42" s="550"/>
      <c r="O42" s="550">
        <v>2665.5</v>
      </c>
      <c r="P42" s="550">
        <v>610.20000000000005</v>
      </c>
      <c r="Q42" s="550">
        <v>2055.3000000000002</v>
      </c>
    </row>
    <row r="43" spans="1:17" s="18" customFormat="1" ht="15.95" customHeight="1" x14ac:dyDescent="0.3">
      <c r="A43" s="574">
        <v>2014</v>
      </c>
      <c r="B43" s="550">
        <v>45549.8</v>
      </c>
      <c r="C43" s="550"/>
      <c r="D43" s="550">
        <v>22210.7</v>
      </c>
      <c r="E43" s="550">
        <v>22882.3</v>
      </c>
      <c r="F43" s="550">
        <v>199.3</v>
      </c>
      <c r="G43" s="550">
        <v>257.5</v>
      </c>
      <c r="H43" s="550"/>
      <c r="I43" s="550">
        <v>42846.2</v>
      </c>
      <c r="J43" s="550">
        <v>21610.9</v>
      </c>
      <c r="K43" s="550">
        <v>20778.5</v>
      </c>
      <c r="L43" s="550">
        <v>199.3</v>
      </c>
      <c r="M43" s="550">
        <v>257.5</v>
      </c>
      <c r="N43" s="550"/>
      <c r="O43" s="550">
        <v>2703.6</v>
      </c>
      <c r="P43" s="550">
        <v>599.79999999999995</v>
      </c>
      <c r="Q43" s="550">
        <v>2103.8000000000002</v>
      </c>
    </row>
    <row r="44" spans="1:17" s="18" customFormat="1" ht="15.95" customHeight="1" x14ac:dyDescent="0.3">
      <c r="A44" s="574">
        <v>2015</v>
      </c>
      <c r="B44" s="550">
        <v>48066.2</v>
      </c>
      <c r="C44" s="550"/>
      <c r="D44" s="550">
        <v>23300.6</v>
      </c>
      <c r="E44" s="550">
        <v>23932.799999999999</v>
      </c>
      <c r="F44" s="550">
        <v>230.4</v>
      </c>
      <c r="G44" s="550">
        <v>602.4</v>
      </c>
      <c r="H44" s="550"/>
      <c r="I44" s="550">
        <v>45546.5</v>
      </c>
      <c r="J44" s="550">
        <v>22710.3</v>
      </c>
      <c r="K44" s="550">
        <v>22003.4</v>
      </c>
      <c r="L44" s="550">
        <v>230.4</v>
      </c>
      <c r="M44" s="550">
        <v>602.4</v>
      </c>
      <c r="N44" s="550"/>
      <c r="O44" s="550">
        <v>2519.6999999999998</v>
      </c>
      <c r="P44" s="550">
        <v>590.29999999999995</v>
      </c>
      <c r="Q44" s="550">
        <v>1929.4</v>
      </c>
    </row>
    <row r="45" spans="1:17" s="18" customFormat="1" ht="15.95" customHeight="1" x14ac:dyDescent="0.3">
      <c r="A45" s="574">
        <v>2016</v>
      </c>
      <c r="B45" s="550">
        <v>51700</v>
      </c>
      <c r="C45" s="550"/>
      <c r="D45" s="550">
        <v>24171.7</v>
      </c>
      <c r="E45" s="550">
        <v>26223.5</v>
      </c>
      <c r="F45" s="550">
        <v>241</v>
      </c>
      <c r="G45" s="550">
        <v>1063.8</v>
      </c>
      <c r="H45" s="550"/>
      <c r="I45" s="550">
        <v>49534.1</v>
      </c>
      <c r="J45" s="550">
        <v>23652.6</v>
      </c>
      <c r="K45" s="550">
        <v>24576.7</v>
      </c>
      <c r="L45" s="550">
        <v>241</v>
      </c>
      <c r="M45" s="550">
        <v>1063.8</v>
      </c>
      <c r="N45" s="550"/>
      <c r="O45" s="550">
        <v>2165.9</v>
      </c>
      <c r="P45" s="550">
        <v>519.1</v>
      </c>
      <c r="Q45" s="550">
        <v>1646.8</v>
      </c>
    </row>
    <row r="46" spans="1:17" s="18" customFormat="1" ht="15.95" customHeight="1" x14ac:dyDescent="0.3">
      <c r="A46" s="574">
        <v>2017</v>
      </c>
      <c r="B46" s="550">
        <v>52700.1</v>
      </c>
      <c r="C46" s="550"/>
      <c r="D46" s="550">
        <v>29074.5</v>
      </c>
      <c r="E46" s="550">
        <v>22265</v>
      </c>
      <c r="F46" s="550">
        <v>287.2</v>
      </c>
      <c r="G46" s="550">
        <v>1073.4000000000001</v>
      </c>
      <c r="H46" s="550"/>
      <c r="I46" s="550">
        <v>50344.9</v>
      </c>
      <c r="J46" s="550">
        <v>28393</v>
      </c>
      <c r="K46" s="550">
        <v>20591.3</v>
      </c>
      <c r="L46" s="550">
        <v>287.2</v>
      </c>
      <c r="M46" s="550">
        <v>1073.4000000000001</v>
      </c>
      <c r="N46" s="550"/>
      <c r="O46" s="550">
        <v>2355.1999999999998</v>
      </c>
      <c r="P46" s="550">
        <v>681.5</v>
      </c>
      <c r="Q46" s="550">
        <v>1673.7</v>
      </c>
    </row>
    <row r="47" spans="1:17" s="18" customFormat="1" ht="15.95" customHeight="1" x14ac:dyDescent="0.3">
      <c r="A47" s="574">
        <v>2018</v>
      </c>
      <c r="B47" s="17">
        <v>54893.2</v>
      </c>
      <c r="C47" s="550"/>
      <c r="D47" s="17">
        <v>30737.457609388199</v>
      </c>
      <c r="E47" s="17">
        <v>21907.9</v>
      </c>
      <c r="F47" s="550">
        <v>745.4</v>
      </c>
      <c r="G47" s="550">
        <v>1502.4</v>
      </c>
      <c r="H47" s="550"/>
      <c r="I47" s="17">
        <v>52362.400000000001</v>
      </c>
      <c r="J47" s="550">
        <v>29989.3</v>
      </c>
      <c r="K47" s="550">
        <v>20125.2</v>
      </c>
      <c r="L47" s="550">
        <v>745.4</v>
      </c>
      <c r="M47" s="550">
        <v>1502.4</v>
      </c>
      <c r="N47" s="550"/>
      <c r="O47" s="17">
        <v>2530.8000000000002</v>
      </c>
      <c r="P47" s="550">
        <v>748.2</v>
      </c>
      <c r="Q47" s="550">
        <v>1782.6</v>
      </c>
    </row>
    <row r="48" spans="1:17" s="18" customFormat="1" ht="15.95" customHeight="1" x14ac:dyDescent="0.3">
      <c r="A48" s="574">
        <v>2019</v>
      </c>
      <c r="B48" s="17">
        <v>56968.504119371828</v>
      </c>
      <c r="C48" s="550"/>
      <c r="D48" s="17">
        <v>31462.088384782866</v>
      </c>
      <c r="E48" s="17">
        <v>23088.318115588962</v>
      </c>
      <c r="F48" s="555">
        <v>763.05862699999989</v>
      </c>
      <c r="G48" s="550">
        <v>1655.0389919999998</v>
      </c>
      <c r="H48" s="550"/>
      <c r="I48" s="17">
        <v>54448.591955298813</v>
      </c>
      <c r="J48" s="555">
        <v>30769.21131790131</v>
      </c>
      <c r="K48" s="555">
        <v>21261.283018397502</v>
      </c>
      <c r="L48" s="555">
        <v>763.05862699999989</v>
      </c>
      <c r="M48" s="555">
        <v>1655.0389919999998</v>
      </c>
      <c r="N48" s="550"/>
      <c r="O48" s="17">
        <v>2519.912164073015</v>
      </c>
      <c r="P48" s="555">
        <v>692.87706688155492</v>
      </c>
      <c r="Q48" s="555">
        <v>1827.03509719146</v>
      </c>
    </row>
    <row r="49" spans="1:17" s="18" customFormat="1" ht="15.95" customHeight="1" x14ac:dyDescent="0.3">
      <c r="A49" s="574" t="s">
        <v>355</v>
      </c>
      <c r="B49" s="17">
        <v>52743.710685599581</v>
      </c>
      <c r="C49" s="550"/>
      <c r="D49" s="17">
        <v>30510.304202127463</v>
      </c>
      <c r="E49" s="17">
        <v>19641.098247472124</v>
      </c>
      <c r="F49" s="555">
        <v>778.20613200000003</v>
      </c>
      <c r="G49" s="550">
        <v>1814.1021039999998</v>
      </c>
      <c r="H49" s="550"/>
      <c r="I49" s="17">
        <v>50657.021359539751</v>
      </c>
      <c r="J49" s="555">
        <v>29895.459940539771</v>
      </c>
      <c r="K49" s="555">
        <v>18169.253182999986</v>
      </c>
      <c r="L49" s="555">
        <v>778.20613200000003</v>
      </c>
      <c r="M49" s="555">
        <v>1814.1021039999998</v>
      </c>
      <c r="N49" s="550"/>
      <c r="O49" s="17">
        <v>2086.6893260598281</v>
      </c>
      <c r="P49" s="555">
        <v>614.84426158769088</v>
      </c>
      <c r="Q49" s="555">
        <v>1471.845064472137</v>
      </c>
    </row>
    <row r="50" spans="1:17" s="18" customFormat="1" ht="15.95" customHeight="1" x14ac:dyDescent="0.3">
      <c r="A50" s="578" t="s">
        <v>401</v>
      </c>
      <c r="B50" s="579">
        <v>57400.839386761698</v>
      </c>
      <c r="C50" s="580"/>
      <c r="D50" s="579">
        <v>31929.469901000022</v>
      </c>
      <c r="E50" s="579">
        <v>22847.289840761678</v>
      </c>
      <c r="F50" s="581">
        <v>801.50465600000007</v>
      </c>
      <c r="G50" s="580">
        <v>1822.574989</v>
      </c>
      <c r="H50" s="580"/>
      <c r="I50" s="579">
        <v>55537.724466000021</v>
      </c>
      <c r="J50" s="581">
        <v>31293.709969000021</v>
      </c>
      <c r="K50" s="581">
        <v>21619.934852000006</v>
      </c>
      <c r="L50" s="581">
        <v>801.50465600000007</v>
      </c>
      <c r="M50" s="581">
        <v>1822.574989</v>
      </c>
      <c r="N50" s="580"/>
      <c r="O50" s="579">
        <v>1863.1149207616704</v>
      </c>
      <c r="P50" s="581">
        <v>635.75993199999994</v>
      </c>
      <c r="Q50" s="581">
        <v>1227.3549887616705</v>
      </c>
    </row>
    <row r="51" spans="1:17" s="139" customFormat="1" ht="12" customHeight="1" x14ac:dyDescent="0.25">
      <c r="A51" s="138" t="s">
        <v>420</v>
      </c>
    </row>
    <row r="52" spans="1:17" s="139" customFormat="1" ht="12" customHeight="1" x14ac:dyDescent="0.25">
      <c r="A52" s="137" t="s">
        <v>391</v>
      </c>
    </row>
    <row r="53" spans="1:17" s="139" customFormat="1" ht="12" customHeight="1" x14ac:dyDescent="0.25">
      <c r="A53" s="137" t="s">
        <v>392</v>
      </c>
    </row>
    <row r="54" spans="1:17" s="139" customFormat="1" ht="12" customHeight="1" x14ac:dyDescent="0.25">
      <c r="A54" s="140" t="s">
        <v>365</v>
      </c>
    </row>
    <row r="55" spans="1:17" s="139" customFormat="1" ht="12" customHeight="1" x14ac:dyDescent="0.25">
      <c r="A55" s="137" t="s">
        <v>393</v>
      </c>
    </row>
    <row r="56" spans="1:17" s="139" customFormat="1" ht="12" customHeight="1" x14ac:dyDescent="0.25">
      <c r="A56" s="137" t="s">
        <v>394</v>
      </c>
    </row>
    <row r="57" spans="1:17" s="139" customFormat="1" ht="12" customHeight="1" x14ac:dyDescent="0.25">
      <c r="A57" s="143" t="s">
        <v>395</v>
      </c>
    </row>
    <row r="58" spans="1:17" s="127" customFormat="1" ht="12" customHeight="1" x14ac:dyDescent="0.25">
      <c r="A58" s="143" t="s">
        <v>396</v>
      </c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</row>
    <row r="59" spans="1:17" s="127" customFormat="1" ht="12" customHeight="1" x14ac:dyDescent="0.25">
      <c r="A59" s="137" t="s">
        <v>219</v>
      </c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</row>
    <row r="60" spans="1:17" ht="12.75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spans="1:17" ht="12.7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</sheetData>
  <mergeCells count="9">
    <mergeCell ref="A1:Q1"/>
    <mergeCell ref="A2:Q2"/>
    <mergeCell ref="A4:A5"/>
    <mergeCell ref="B4:B5"/>
    <mergeCell ref="D4:G4"/>
    <mergeCell ref="I4:I5"/>
    <mergeCell ref="O4:O5"/>
    <mergeCell ref="J4:M4"/>
    <mergeCell ref="P4:Q4"/>
  </mergeCells>
  <printOptions horizontalCentered="1"/>
  <pageMargins left="0.70866141732283472" right="0.70866141732283472" top="0.74803149606299213" bottom="0.35433070866141736" header="0.31496062992125984" footer="0.31496062992125984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T34"/>
  <sheetViews>
    <sheetView showGridLines="0" zoomScaleNormal="100" zoomScaleSheetLayoutView="145" workbookViewId="0">
      <selection activeCell="A4" sqref="A4:F34"/>
    </sheetView>
  </sheetViews>
  <sheetFormatPr baseColWidth="10" defaultColWidth="11.28515625" defaultRowHeight="12.75" customHeight="1" x14ac:dyDescent="0.3"/>
  <cols>
    <col min="1" max="1" width="20.28515625" style="24" customWidth="1"/>
    <col min="2" max="16384" width="11.28515625" style="24"/>
  </cols>
  <sheetData>
    <row r="1" spans="1:20" s="582" customFormat="1" ht="25.7" customHeight="1" x14ac:dyDescent="0.3">
      <c r="A1" s="703" t="s">
        <v>414</v>
      </c>
      <c r="B1" s="703"/>
      <c r="C1" s="703"/>
      <c r="D1" s="703"/>
      <c r="E1" s="703"/>
      <c r="F1" s="703"/>
      <c r="T1" s="582" t="s">
        <v>25</v>
      </c>
    </row>
    <row r="2" spans="1:20" s="582" customFormat="1" ht="12.75" customHeight="1" x14ac:dyDescent="0.3">
      <c r="A2" s="679" t="s">
        <v>258</v>
      </c>
      <c r="B2" s="679"/>
      <c r="C2" s="679"/>
      <c r="D2" s="679"/>
      <c r="E2" s="679"/>
      <c r="F2" s="679"/>
    </row>
    <row r="3" spans="1:20" s="15" customFormat="1" ht="12.75" customHeight="1" x14ac:dyDescent="0.3">
      <c r="A3" s="200"/>
      <c r="B3" s="201"/>
      <c r="C3" s="201"/>
      <c r="D3" s="201"/>
      <c r="E3" s="201"/>
      <c r="F3" s="201"/>
    </row>
    <row r="4" spans="1:20" s="16" customFormat="1" ht="26.25" customHeight="1" x14ac:dyDescent="0.25">
      <c r="A4" s="583" t="s">
        <v>27</v>
      </c>
      <c r="B4" s="584" t="s">
        <v>28</v>
      </c>
      <c r="C4" s="585" t="s">
        <v>213</v>
      </c>
      <c r="D4" s="584" t="s">
        <v>212</v>
      </c>
      <c r="E4" s="584" t="s">
        <v>198</v>
      </c>
      <c r="F4" s="584" t="s">
        <v>214</v>
      </c>
    </row>
    <row r="5" spans="1:20" s="16" customFormat="1" ht="3" customHeight="1" x14ac:dyDescent="0.25">
      <c r="A5" s="586"/>
      <c r="B5" s="593"/>
      <c r="C5" s="594"/>
      <c r="D5" s="593"/>
      <c r="E5" s="593"/>
      <c r="F5" s="593"/>
    </row>
    <row r="6" spans="1:20" s="15" customFormat="1" ht="15.95" customHeight="1" x14ac:dyDescent="0.3">
      <c r="A6" s="587" t="s">
        <v>257</v>
      </c>
      <c r="B6" s="595">
        <v>57400.839386761683</v>
      </c>
      <c r="C6" s="595">
        <v>31929.469901</v>
      </c>
      <c r="D6" s="595">
        <v>22847.289840761685</v>
      </c>
      <c r="E6" s="595">
        <v>801.50465600000007</v>
      </c>
      <c r="F6" s="595">
        <v>1822.574989</v>
      </c>
    </row>
    <row r="7" spans="1:20" s="15" customFormat="1" ht="15.95" customHeight="1" x14ac:dyDescent="0.3">
      <c r="A7" s="588" t="s">
        <v>256</v>
      </c>
      <c r="B7" s="554">
        <v>50.395209000000001</v>
      </c>
      <c r="C7" s="554">
        <v>48.702449000000001</v>
      </c>
      <c r="D7" s="554">
        <v>1.69276</v>
      </c>
      <c r="E7" s="596">
        <v>0</v>
      </c>
      <c r="F7" s="596">
        <v>0</v>
      </c>
    </row>
    <row r="8" spans="1:20" s="15" customFormat="1" ht="15.95" customHeight="1" x14ac:dyDescent="0.3">
      <c r="A8" s="588" t="s">
        <v>255</v>
      </c>
      <c r="B8" s="554">
        <v>2357.0139024000009</v>
      </c>
      <c r="C8" s="554">
        <v>2225.4953720000008</v>
      </c>
      <c r="D8" s="554">
        <v>131.51853040000017</v>
      </c>
      <c r="E8" s="596">
        <v>0</v>
      </c>
      <c r="F8" s="596">
        <v>0</v>
      </c>
    </row>
    <row r="9" spans="1:20" s="15" customFormat="1" ht="15.95" customHeight="1" x14ac:dyDescent="0.3">
      <c r="A9" s="588" t="s">
        <v>254</v>
      </c>
      <c r="B9" s="554">
        <v>45.498533000000002</v>
      </c>
      <c r="C9" s="554">
        <v>45.498533000000002</v>
      </c>
      <c r="D9" s="596">
        <v>0</v>
      </c>
      <c r="E9" s="596">
        <v>0</v>
      </c>
      <c r="F9" s="596">
        <v>0</v>
      </c>
    </row>
    <row r="10" spans="1:20" s="15" customFormat="1" ht="15.95" customHeight="1" x14ac:dyDescent="0.3">
      <c r="A10" s="588" t="s">
        <v>253</v>
      </c>
      <c r="B10" s="554">
        <v>1217.4956816000001</v>
      </c>
      <c r="C10" s="554">
        <v>1086.6289160000001</v>
      </c>
      <c r="D10" s="554">
        <v>43.144014600000006</v>
      </c>
      <c r="E10" s="554">
        <v>87.722750999999988</v>
      </c>
      <c r="F10" s="596">
        <v>0</v>
      </c>
    </row>
    <row r="11" spans="1:20" s="15" customFormat="1" ht="15.95" customHeight="1" x14ac:dyDescent="0.3">
      <c r="A11" s="588" t="s">
        <v>252</v>
      </c>
      <c r="B11" s="554">
        <v>10.701713999999999</v>
      </c>
      <c r="C11" s="554">
        <v>9.7916679999999996</v>
      </c>
      <c r="D11" s="554">
        <v>0.91004600000000013</v>
      </c>
      <c r="E11" s="596">
        <v>0</v>
      </c>
      <c r="F11" s="596">
        <v>0</v>
      </c>
    </row>
    <row r="12" spans="1:20" s="15" customFormat="1" ht="15.95" customHeight="1" x14ac:dyDescent="0.3">
      <c r="A12" s="588" t="s">
        <v>251</v>
      </c>
      <c r="B12" s="554">
        <v>1469.2519974000008</v>
      </c>
      <c r="C12" s="554">
        <v>1351.7999910000008</v>
      </c>
      <c r="D12" s="554">
        <v>1.4526053999999997</v>
      </c>
      <c r="E12" s="596">
        <v>0</v>
      </c>
      <c r="F12" s="596">
        <v>115.99940100000001</v>
      </c>
    </row>
    <row r="13" spans="1:20" s="15" customFormat="1" ht="15.95" customHeight="1" x14ac:dyDescent="0.3">
      <c r="A13" s="588" t="s">
        <v>479</v>
      </c>
      <c r="B13" s="554">
        <v>3165.1906350000008</v>
      </c>
      <c r="C13" s="596">
        <v>0</v>
      </c>
      <c r="D13" s="554">
        <v>3165.1906350000008</v>
      </c>
      <c r="E13" s="596">
        <v>0</v>
      </c>
      <c r="F13" s="596">
        <v>0</v>
      </c>
    </row>
    <row r="14" spans="1:20" s="15" customFormat="1" ht="15.95" customHeight="1" x14ac:dyDescent="0.3">
      <c r="A14" s="588" t="s">
        <v>250</v>
      </c>
      <c r="B14" s="554">
        <v>2052.0613058000004</v>
      </c>
      <c r="C14" s="554">
        <v>1945.3269960000005</v>
      </c>
      <c r="D14" s="554">
        <v>106.73430980000001</v>
      </c>
      <c r="E14" s="596">
        <v>0</v>
      </c>
      <c r="F14" s="596">
        <v>0</v>
      </c>
    </row>
    <row r="15" spans="1:20" s="15" customFormat="1" ht="15.95" customHeight="1" x14ac:dyDescent="0.3">
      <c r="A15" s="588" t="s">
        <v>249</v>
      </c>
      <c r="B15" s="554">
        <v>10202.526968000002</v>
      </c>
      <c r="C15" s="554">
        <v>10201.962118000001</v>
      </c>
      <c r="D15" s="554">
        <v>0.56484999999999996</v>
      </c>
      <c r="E15" s="596">
        <v>0</v>
      </c>
      <c r="F15" s="596">
        <v>0</v>
      </c>
    </row>
    <row r="16" spans="1:20" s="15" customFormat="1" ht="15.95" customHeight="1" x14ac:dyDescent="0.3">
      <c r="A16" s="588" t="s">
        <v>248</v>
      </c>
      <c r="B16" s="554">
        <v>2424.0812966000008</v>
      </c>
      <c r="C16" s="554">
        <v>2423.3060070000006</v>
      </c>
      <c r="D16" s="554">
        <v>0.77528960000000002</v>
      </c>
      <c r="E16" s="596">
        <v>0</v>
      </c>
      <c r="F16" s="596">
        <v>0</v>
      </c>
    </row>
    <row r="17" spans="1:6" s="15" customFormat="1" ht="15.95" customHeight="1" x14ac:dyDescent="0.3">
      <c r="A17" s="588" t="s">
        <v>247</v>
      </c>
      <c r="B17" s="554">
        <v>1698.1200678</v>
      </c>
      <c r="C17" s="596">
        <v>0</v>
      </c>
      <c r="D17" s="554">
        <v>447.62656980000014</v>
      </c>
      <c r="E17" s="596">
        <v>0</v>
      </c>
      <c r="F17" s="554">
        <v>1250.4934979999998</v>
      </c>
    </row>
    <row r="18" spans="1:6" s="15" customFormat="1" ht="15.95" customHeight="1" x14ac:dyDescent="0.3">
      <c r="A18" s="588" t="s">
        <v>246</v>
      </c>
      <c r="B18" s="554">
        <v>3134.146678600001</v>
      </c>
      <c r="C18" s="554">
        <v>3133.7950130000008</v>
      </c>
      <c r="D18" s="554">
        <v>0.35166559999999997</v>
      </c>
      <c r="E18" s="596">
        <v>0</v>
      </c>
      <c r="F18" s="596">
        <v>0</v>
      </c>
    </row>
    <row r="19" spans="1:6" s="15" customFormat="1" ht="15.95" customHeight="1" x14ac:dyDescent="0.3">
      <c r="A19" s="588" t="s">
        <v>245</v>
      </c>
      <c r="B19" s="554">
        <v>710.62087258160761</v>
      </c>
      <c r="C19" s="554">
        <v>101.516032</v>
      </c>
      <c r="D19" s="554">
        <v>288.70455058160758</v>
      </c>
      <c r="E19" s="596">
        <v>0</v>
      </c>
      <c r="F19" s="554">
        <v>320.40029000000004</v>
      </c>
    </row>
    <row r="20" spans="1:6" s="15" customFormat="1" ht="15.95" customHeight="1" x14ac:dyDescent="0.3">
      <c r="A20" s="588" t="s">
        <v>244</v>
      </c>
      <c r="B20" s="554">
        <v>61.721998200000002</v>
      </c>
      <c r="C20" s="554">
        <v>3.0912469999999996</v>
      </c>
      <c r="D20" s="554">
        <v>58.630751199999999</v>
      </c>
      <c r="E20" s="596">
        <v>0</v>
      </c>
      <c r="F20" s="596">
        <v>0</v>
      </c>
    </row>
    <row r="21" spans="1:6" s="15" customFormat="1" ht="15.95" customHeight="1" x14ac:dyDescent="0.3">
      <c r="A21" s="588" t="s">
        <v>243</v>
      </c>
      <c r="B21" s="554">
        <v>23848.586215600015</v>
      </c>
      <c r="C21" s="554">
        <v>7130.7555480000001</v>
      </c>
      <c r="D21" s="554">
        <v>16716.853217600015</v>
      </c>
      <c r="E21" s="596">
        <v>0.97745000000000004</v>
      </c>
      <c r="F21" s="596">
        <v>0</v>
      </c>
    </row>
    <row r="22" spans="1:6" s="15" customFormat="1" ht="15.95" customHeight="1" x14ac:dyDescent="0.3">
      <c r="A22" s="588" t="s">
        <v>242</v>
      </c>
      <c r="B22" s="554">
        <v>412.34330180000001</v>
      </c>
      <c r="C22" s="596">
        <v>0</v>
      </c>
      <c r="D22" s="554">
        <v>412.34330180000001</v>
      </c>
      <c r="E22" s="596">
        <v>0</v>
      </c>
      <c r="F22" s="596">
        <v>0</v>
      </c>
    </row>
    <row r="23" spans="1:6" s="15" customFormat="1" ht="15.95" customHeight="1" x14ac:dyDescent="0.3">
      <c r="A23" s="588" t="s">
        <v>241</v>
      </c>
      <c r="B23" s="554">
        <v>1.9796260000000003</v>
      </c>
      <c r="C23" s="596">
        <v>0</v>
      </c>
      <c r="D23" s="554">
        <v>1.9796260000000003</v>
      </c>
      <c r="E23" s="596">
        <v>0</v>
      </c>
      <c r="F23" s="596">
        <v>0</v>
      </c>
    </row>
    <row r="24" spans="1:6" s="15" customFormat="1" ht="15.95" customHeight="1" x14ac:dyDescent="0.3">
      <c r="A24" s="588" t="s">
        <v>240</v>
      </c>
      <c r="B24" s="554">
        <v>753.19695700000011</v>
      </c>
      <c r="C24" s="554">
        <v>43.193279000000004</v>
      </c>
      <c r="D24" s="554">
        <v>50.847131000000012</v>
      </c>
      <c r="E24" s="554">
        <v>659.15654700000005</v>
      </c>
      <c r="F24" s="596">
        <v>0</v>
      </c>
    </row>
    <row r="25" spans="1:6" s="15" customFormat="1" ht="15.95" customHeight="1" x14ac:dyDescent="0.3">
      <c r="A25" s="588" t="s">
        <v>239</v>
      </c>
      <c r="B25" s="554">
        <v>872.14029499999992</v>
      </c>
      <c r="C25" s="554">
        <v>871.99403099999995</v>
      </c>
      <c r="D25" s="554">
        <v>0.14626400000000001</v>
      </c>
      <c r="E25" s="596">
        <v>0</v>
      </c>
      <c r="F25" s="596">
        <v>0</v>
      </c>
    </row>
    <row r="26" spans="1:6" s="15" customFormat="1" ht="15.95" customHeight="1" x14ac:dyDescent="0.3">
      <c r="A26" s="588" t="s">
        <v>238</v>
      </c>
      <c r="B26" s="554">
        <v>1477.7218543800639</v>
      </c>
      <c r="C26" s="554">
        <v>188.03185099999999</v>
      </c>
      <c r="D26" s="554">
        <v>1154.0082033800638</v>
      </c>
      <c r="E26" s="596">
        <v>0</v>
      </c>
      <c r="F26" s="554">
        <v>135.68179999999998</v>
      </c>
    </row>
    <row r="27" spans="1:6" s="15" customFormat="1" ht="15.95" customHeight="1" x14ac:dyDescent="0.3">
      <c r="A27" s="588" t="s">
        <v>237</v>
      </c>
      <c r="B27" s="554">
        <v>978.98936700000013</v>
      </c>
      <c r="C27" s="554">
        <v>965.38096700000017</v>
      </c>
      <c r="D27" s="554">
        <v>13.608400000000001</v>
      </c>
      <c r="E27" s="596">
        <v>0</v>
      </c>
      <c r="F27" s="596">
        <v>0</v>
      </c>
    </row>
    <row r="28" spans="1:6" s="15" customFormat="1" ht="15.95" customHeight="1" x14ac:dyDescent="0.3">
      <c r="A28" s="588" t="s">
        <v>236</v>
      </c>
      <c r="B28" s="554">
        <v>47.203683999999996</v>
      </c>
      <c r="C28" s="554">
        <v>44.538891999999997</v>
      </c>
      <c r="D28" s="554">
        <v>2.6647920000000003</v>
      </c>
      <c r="E28" s="596">
        <v>0</v>
      </c>
      <c r="F28" s="596">
        <v>0</v>
      </c>
    </row>
    <row r="29" spans="1:6" s="15" customFormat="1" ht="15.95" customHeight="1" x14ac:dyDescent="0.3">
      <c r="A29" s="588" t="s">
        <v>235</v>
      </c>
      <c r="B29" s="554">
        <v>157.78662299999999</v>
      </c>
      <c r="C29" s="554">
        <v>104.009838</v>
      </c>
      <c r="D29" s="554">
        <v>0.20642000000000002</v>
      </c>
      <c r="E29" s="554">
        <v>53.570364999999995</v>
      </c>
      <c r="F29" s="596">
        <v>0</v>
      </c>
    </row>
    <row r="30" spans="1:6" s="15" customFormat="1" ht="15.95" customHeight="1" x14ac:dyDescent="0.3">
      <c r="A30" s="588" t="s">
        <v>234</v>
      </c>
      <c r="B30" s="554">
        <v>13.206576000000002</v>
      </c>
      <c r="C30" s="596">
        <v>0</v>
      </c>
      <c r="D30" s="554">
        <v>13.206576000000002</v>
      </c>
      <c r="E30" s="596">
        <v>0</v>
      </c>
      <c r="F30" s="596">
        <v>0</v>
      </c>
    </row>
    <row r="31" spans="1:6" s="15" customFormat="1" ht="15.95" customHeight="1" x14ac:dyDescent="0.3">
      <c r="A31" s="589" t="s">
        <v>233</v>
      </c>
      <c r="B31" s="590">
        <v>238.85802700000002</v>
      </c>
      <c r="C31" s="590">
        <v>4.6511530000000008</v>
      </c>
      <c r="D31" s="590">
        <v>234.12933100000004</v>
      </c>
      <c r="E31" s="591">
        <v>7.7543000000000015E-2</v>
      </c>
      <c r="F31" s="591">
        <v>0</v>
      </c>
    </row>
    <row r="32" spans="1:6" ht="12" customHeight="1" x14ac:dyDescent="0.3">
      <c r="A32" s="592" t="s">
        <v>421</v>
      </c>
    </row>
    <row r="33" spans="1:6" s="147" customFormat="1" ht="12" customHeight="1" x14ac:dyDescent="0.25">
      <c r="A33" s="145" t="s">
        <v>397</v>
      </c>
      <c r="B33" s="148"/>
      <c r="C33" s="149"/>
      <c r="D33" s="149"/>
      <c r="E33" s="150"/>
      <c r="F33" s="150"/>
    </row>
    <row r="34" spans="1:6" s="133" customFormat="1" ht="12" customHeight="1" x14ac:dyDescent="0.25">
      <c r="A34" s="146" t="s">
        <v>219</v>
      </c>
      <c r="B34" s="147"/>
      <c r="C34" s="147"/>
      <c r="D34" s="147"/>
      <c r="E34" s="147"/>
      <c r="F34" s="147"/>
    </row>
  </sheetData>
  <mergeCells count="2">
    <mergeCell ref="A1:F1"/>
    <mergeCell ref="A2:F2"/>
  </mergeCells>
  <printOptions horizontalCentered="1"/>
  <pageMargins left="0.86614173228346458" right="0.62992125984251968" top="0.98425196850393704" bottom="0.98425196850393704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CC"/>
  </sheetPr>
  <dimension ref="A1:AE45"/>
  <sheetViews>
    <sheetView showGridLines="0" topLeftCell="N16" zoomScaleNormal="100" zoomScaleSheetLayoutView="145" workbookViewId="0">
      <selection activeCell="A4" sqref="A4:X45"/>
    </sheetView>
  </sheetViews>
  <sheetFormatPr baseColWidth="10" defaultColWidth="11.28515625" defaultRowHeight="12.75" customHeight="1" x14ac:dyDescent="0.3"/>
  <cols>
    <col min="1" max="1" width="54.5703125" style="11" customWidth="1"/>
    <col min="2" max="2" width="7" style="13" hidden="1" customWidth="1"/>
    <col min="3" max="3" width="8" style="13" hidden="1" customWidth="1"/>
    <col min="4" max="5" width="7" style="13" hidden="1" customWidth="1"/>
    <col min="6" max="6" width="8" style="13" hidden="1" customWidth="1"/>
    <col min="7" max="9" width="7.140625" style="11" hidden="1" customWidth="1"/>
    <col min="10" max="10" width="9" style="12" hidden="1" customWidth="1"/>
    <col min="11" max="11" width="0.140625" style="11" hidden="1" customWidth="1"/>
    <col min="12" max="12" width="8.85546875" style="11" hidden="1" customWidth="1"/>
    <col min="13" max="13" width="7.85546875" style="8" hidden="1" customWidth="1"/>
    <col min="14" max="16" width="13.28515625" style="14" customWidth="1"/>
    <col min="17" max="24" width="13.28515625" style="8" customWidth="1"/>
    <col min="25" max="16384" width="11.28515625" style="8"/>
  </cols>
  <sheetData>
    <row r="1" spans="1:27" s="621" customFormat="1" ht="12.75" customHeight="1" x14ac:dyDescent="0.3">
      <c r="A1" s="738" t="s">
        <v>415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AA1" s="621" t="s">
        <v>25</v>
      </c>
    </row>
    <row r="2" spans="1:27" s="621" customFormat="1" ht="12.75" customHeight="1" x14ac:dyDescent="0.3">
      <c r="A2" s="739" t="s">
        <v>281</v>
      </c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</row>
    <row r="3" spans="1:27" ht="12.75" customHeight="1" x14ac:dyDescent="0.3">
      <c r="A3" s="154"/>
      <c r="B3" s="202"/>
      <c r="C3" s="202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4"/>
      <c r="R3" s="204"/>
      <c r="S3" s="205"/>
      <c r="T3" s="205"/>
      <c r="U3" s="205"/>
      <c r="V3" s="205"/>
      <c r="W3" s="205"/>
      <c r="X3" s="196"/>
    </row>
    <row r="4" spans="1:27" s="9" customFormat="1" ht="24" customHeight="1" x14ac:dyDescent="0.25">
      <c r="A4" s="607" t="s">
        <v>280</v>
      </c>
      <c r="B4" s="608">
        <v>1998</v>
      </c>
      <c r="C4" s="608">
        <v>1999</v>
      </c>
      <c r="D4" s="608">
        <v>2000</v>
      </c>
      <c r="E4" s="608">
        <v>2001</v>
      </c>
      <c r="F4" s="608">
        <v>2002</v>
      </c>
      <c r="G4" s="608">
        <v>2003</v>
      </c>
      <c r="H4" s="608">
        <v>2004</v>
      </c>
      <c r="I4" s="608">
        <v>2005</v>
      </c>
      <c r="J4" s="608">
        <v>2006</v>
      </c>
      <c r="K4" s="608">
        <v>2007</v>
      </c>
      <c r="L4" s="608">
        <v>2008</v>
      </c>
      <c r="M4" s="608">
        <v>2009</v>
      </c>
      <c r="N4" s="608">
        <v>2011</v>
      </c>
      <c r="O4" s="608">
        <v>2012</v>
      </c>
      <c r="P4" s="608">
        <v>2013</v>
      </c>
      <c r="Q4" s="608">
        <v>2014</v>
      </c>
      <c r="R4" s="608">
        <v>2015</v>
      </c>
      <c r="S4" s="608">
        <v>2016</v>
      </c>
      <c r="T4" s="608">
        <v>2017</v>
      </c>
      <c r="U4" s="608">
        <v>2018</v>
      </c>
      <c r="V4" s="608">
        <v>2019</v>
      </c>
      <c r="W4" s="608" t="s">
        <v>355</v>
      </c>
      <c r="X4" s="608" t="s">
        <v>401</v>
      </c>
    </row>
    <row r="5" spans="1:27" s="10" customFormat="1" ht="3.75" customHeight="1" x14ac:dyDescent="0.3">
      <c r="A5" s="597"/>
      <c r="B5" s="609"/>
      <c r="C5" s="609"/>
      <c r="D5" s="609"/>
      <c r="E5" s="609"/>
      <c r="F5" s="609"/>
      <c r="G5" s="609"/>
      <c r="H5" s="609"/>
      <c r="I5" s="609"/>
      <c r="J5" s="609"/>
      <c r="K5" s="609"/>
      <c r="L5" s="609"/>
      <c r="M5" s="609"/>
      <c r="N5" s="609"/>
      <c r="O5" s="609"/>
      <c r="P5" s="609"/>
      <c r="Q5" s="609"/>
      <c r="R5" s="609"/>
      <c r="S5" s="609"/>
      <c r="T5" s="609"/>
      <c r="U5" s="609"/>
      <c r="V5" s="609"/>
      <c r="W5" s="609"/>
      <c r="X5" s="609"/>
    </row>
    <row r="6" spans="1:27" s="9" customFormat="1" ht="15.95" customHeight="1" x14ac:dyDescent="0.25">
      <c r="A6" s="598" t="s">
        <v>28</v>
      </c>
      <c r="B6" s="610">
        <v>16794.900000000005</v>
      </c>
      <c r="C6" s="610">
        <v>17429.899999999998</v>
      </c>
      <c r="D6" s="610">
        <v>18353.499999999996</v>
      </c>
      <c r="E6" s="610">
        <v>19214.500000000004</v>
      </c>
      <c r="F6" s="610">
        <v>20419.500000000004</v>
      </c>
      <c r="G6" s="610">
        <v>21361.499999999996</v>
      </c>
      <c r="H6" s="610">
        <v>22619.9</v>
      </c>
      <c r="I6" s="610">
        <v>23811.399999999994</v>
      </c>
      <c r="J6" s="610">
        <v>25650.6</v>
      </c>
      <c r="K6" s="610">
        <v>28200.500000000004</v>
      </c>
      <c r="L6" s="611">
        <v>30574.7</v>
      </c>
      <c r="M6" s="611">
        <v>30921.900000000005</v>
      </c>
      <c r="N6" s="611">
        <v>36248.499999999985</v>
      </c>
      <c r="O6" s="611">
        <v>38360.999999999993</v>
      </c>
      <c r="P6" s="611">
        <v>40664.700000000012</v>
      </c>
      <c r="Q6" s="611">
        <v>42846.19999999999</v>
      </c>
      <c r="R6" s="611">
        <v>45711.399999999994</v>
      </c>
      <c r="S6" s="611">
        <v>49534.100000000006</v>
      </c>
      <c r="T6" s="611">
        <v>50344.9</v>
      </c>
      <c r="U6" s="611">
        <v>52362.394586649454</v>
      </c>
      <c r="V6" s="612">
        <v>54448.591955298813</v>
      </c>
      <c r="W6" s="612">
        <v>50657.02135953978</v>
      </c>
      <c r="X6" s="612">
        <v>55537.681282999998</v>
      </c>
      <c r="Z6" s="233"/>
    </row>
    <row r="7" spans="1:27" s="10" customFormat="1" ht="15.95" customHeight="1" x14ac:dyDescent="0.3">
      <c r="A7" s="599" t="s">
        <v>480</v>
      </c>
      <c r="B7" s="613" t="s">
        <v>31</v>
      </c>
      <c r="C7" s="613" t="s">
        <v>31</v>
      </c>
      <c r="D7" s="613" t="s">
        <v>31</v>
      </c>
      <c r="E7" s="613" t="s">
        <v>31</v>
      </c>
      <c r="F7" s="613" t="s">
        <v>31</v>
      </c>
      <c r="G7" s="613" t="s">
        <v>31</v>
      </c>
      <c r="H7" s="613" t="s">
        <v>31</v>
      </c>
      <c r="I7" s="613" t="s">
        <v>31</v>
      </c>
      <c r="J7" s="613" t="s">
        <v>31</v>
      </c>
      <c r="K7" s="613" t="s">
        <v>31</v>
      </c>
      <c r="L7" s="613" t="s">
        <v>31</v>
      </c>
      <c r="M7" s="613" t="s">
        <v>31</v>
      </c>
      <c r="N7" s="613" t="s">
        <v>31</v>
      </c>
      <c r="O7" s="613" t="s">
        <v>31</v>
      </c>
      <c r="P7" s="613" t="s">
        <v>31</v>
      </c>
      <c r="Q7" s="613" t="s">
        <v>31</v>
      </c>
      <c r="R7" s="613" t="s">
        <v>31</v>
      </c>
      <c r="S7" s="613">
        <v>746.7</v>
      </c>
      <c r="T7" s="614">
        <v>1314.7</v>
      </c>
      <c r="U7" s="615" t="s">
        <v>31</v>
      </c>
      <c r="V7" s="615" t="s">
        <v>31</v>
      </c>
      <c r="W7" s="615" t="s">
        <v>31</v>
      </c>
      <c r="X7" s="615" t="s">
        <v>31</v>
      </c>
    </row>
    <row r="8" spans="1:27" s="10" customFormat="1" ht="15.95" customHeight="1" x14ac:dyDescent="0.3">
      <c r="A8" s="599" t="s">
        <v>279</v>
      </c>
      <c r="B8" s="613" t="s">
        <v>31</v>
      </c>
      <c r="C8" s="613" t="s">
        <v>31</v>
      </c>
      <c r="D8" s="613" t="s">
        <v>31</v>
      </c>
      <c r="E8" s="613" t="s">
        <v>31</v>
      </c>
      <c r="F8" s="613" t="s">
        <v>31</v>
      </c>
      <c r="G8" s="613" t="s">
        <v>31</v>
      </c>
      <c r="H8" s="613" t="s">
        <v>31</v>
      </c>
      <c r="I8" s="613" t="s">
        <v>31</v>
      </c>
      <c r="J8" s="613" t="s">
        <v>31</v>
      </c>
      <c r="K8" s="613" t="s">
        <v>31</v>
      </c>
      <c r="L8" s="613" t="s">
        <v>31</v>
      </c>
      <c r="M8" s="613">
        <v>500.6</v>
      </c>
      <c r="N8" s="613">
        <v>1161.5999999999999</v>
      </c>
      <c r="O8" s="613">
        <v>1145.8</v>
      </c>
      <c r="P8" s="613">
        <v>1140.5999999999999</v>
      </c>
      <c r="Q8" s="613">
        <v>958.4</v>
      </c>
      <c r="R8" s="613">
        <v>1123</v>
      </c>
      <c r="S8" s="613">
        <v>941.5</v>
      </c>
      <c r="T8" s="614">
        <v>1112.3</v>
      </c>
      <c r="U8" s="616">
        <v>1248.2760470000003</v>
      </c>
      <c r="V8" s="616">
        <v>1014.8053199999999</v>
      </c>
      <c r="W8" s="615">
        <v>969.90121199999999</v>
      </c>
      <c r="X8" s="615">
        <v>1032.7053410000001</v>
      </c>
    </row>
    <row r="9" spans="1:27" s="10" customFormat="1" ht="15.95" customHeight="1" x14ac:dyDescent="0.3">
      <c r="A9" s="599" t="s">
        <v>278</v>
      </c>
      <c r="B9" s="613" t="s">
        <v>31</v>
      </c>
      <c r="C9" s="613" t="s">
        <v>31</v>
      </c>
      <c r="D9" s="613" t="s">
        <v>31</v>
      </c>
      <c r="E9" s="613" t="s">
        <v>31</v>
      </c>
      <c r="F9" s="613" t="s">
        <v>31</v>
      </c>
      <c r="G9" s="613" t="s">
        <v>31</v>
      </c>
      <c r="H9" s="613" t="s">
        <v>31</v>
      </c>
      <c r="I9" s="613" t="s">
        <v>31</v>
      </c>
      <c r="J9" s="613" t="s">
        <v>31</v>
      </c>
      <c r="K9" s="613" t="s">
        <v>31</v>
      </c>
      <c r="L9" s="613" t="s">
        <v>31</v>
      </c>
      <c r="M9" s="613" t="s">
        <v>31</v>
      </c>
      <c r="N9" s="613">
        <v>1224.0999999999999</v>
      </c>
      <c r="O9" s="613">
        <v>1222.8</v>
      </c>
      <c r="P9" s="613">
        <v>1149.0999999999999</v>
      </c>
      <c r="Q9" s="613">
        <v>1167</v>
      </c>
      <c r="R9" s="613">
        <v>1176.7</v>
      </c>
      <c r="S9" s="613">
        <v>908.7</v>
      </c>
      <c r="T9" s="614">
        <v>1183.7</v>
      </c>
      <c r="U9" s="616">
        <v>1126.3693939999998</v>
      </c>
      <c r="V9" s="616">
        <v>1173.2401789999999</v>
      </c>
      <c r="W9" s="615">
        <v>1107.6220779999999</v>
      </c>
      <c r="X9" s="615">
        <v>1134.2347870000001</v>
      </c>
    </row>
    <row r="10" spans="1:27" s="10" customFormat="1" ht="15.95" customHeight="1" x14ac:dyDescent="0.3">
      <c r="A10" s="599" t="s">
        <v>481</v>
      </c>
      <c r="B10" s="613">
        <v>3071.7</v>
      </c>
      <c r="C10" s="613">
        <v>3092.8</v>
      </c>
      <c r="D10" s="613">
        <v>3740.8</v>
      </c>
      <c r="E10" s="613">
        <v>4355.3</v>
      </c>
      <c r="F10" s="613">
        <v>4279.3999999999996</v>
      </c>
      <c r="G10" s="613">
        <v>4465</v>
      </c>
      <c r="H10" s="613">
        <v>4284.8999999999996</v>
      </c>
      <c r="I10" s="613">
        <v>4553.1000000000004</v>
      </c>
      <c r="J10" s="613">
        <v>4962</v>
      </c>
      <c r="K10" s="613">
        <v>7787.9</v>
      </c>
      <c r="L10" s="613">
        <v>8235.5</v>
      </c>
      <c r="M10" s="613">
        <v>7802.3</v>
      </c>
      <c r="N10" s="613">
        <v>8144.3</v>
      </c>
      <c r="O10" s="613">
        <v>7691</v>
      </c>
      <c r="P10" s="613">
        <v>7559.8</v>
      </c>
      <c r="Q10" s="613">
        <v>7889.9</v>
      </c>
      <c r="R10" s="613">
        <v>7246.7</v>
      </c>
      <c r="S10" s="613">
        <v>7210.7</v>
      </c>
      <c r="T10" s="614">
        <v>5877.8</v>
      </c>
      <c r="U10" s="616">
        <v>6382.7588739999992</v>
      </c>
      <c r="V10" s="616">
        <v>6701.5039880000004</v>
      </c>
      <c r="W10" s="615">
        <v>6257.6655900000005</v>
      </c>
      <c r="X10" s="615">
        <v>6909.2311420000024</v>
      </c>
    </row>
    <row r="11" spans="1:27" s="10" customFormat="1" ht="15.95" customHeight="1" x14ac:dyDescent="0.3">
      <c r="A11" s="599" t="s">
        <v>482</v>
      </c>
      <c r="B11" s="613"/>
      <c r="C11" s="613"/>
      <c r="D11" s="613"/>
      <c r="E11" s="613"/>
      <c r="F11" s="613"/>
      <c r="G11" s="613"/>
      <c r="H11" s="613"/>
      <c r="I11" s="613"/>
      <c r="J11" s="613"/>
      <c r="K11" s="613"/>
      <c r="L11" s="613" t="s">
        <v>31</v>
      </c>
      <c r="M11" s="613" t="s">
        <v>31</v>
      </c>
      <c r="N11" s="613" t="s">
        <v>31</v>
      </c>
      <c r="O11" s="613" t="s">
        <v>31</v>
      </c>
      <c r="P11" s="613" t="s">
        <v>31</v>
      </c>
      <c r="Q11" s="613" t="s">
        <v>31</v>
      </c>
      <c r="R11" s="613" t="s">
        <v>31</v>
      </c>
      <c r="S11" s="613" t="s">
        <v>31</v>
      </c>
      <c r="T11" s="614">
        <v>61.4</v>
      </c>
      <c r="U11" s="616">
        <v>896.91541200000006</v>
      </c>
      <c r="V11" s="616">
        <v>1008.1715829999999</v>
      </c>
      <c r="W11" s="615">
        <v>1055.5700270000004</v>
      </c>
      <c r="X11" s="615">
        <v>1062.7668010000004</v>
      </c>
    </row>
    <row r="12" spans="1:27" s="10" customFormat="1" ht="15.95" customHeight="1" x14ac:dyDescent="0.3">
      <c r="A12" s="599" t="s">
        <v>277</v>
      </c>
      <c r="B12" s="613">
        <v>221.9</v>
      </c>
      <c r="C12" s="613">
        <v>220.2</v>
      </c>
      <c r="D12" s="613">
        <v>254.1</v>
      </c>
      <c r="E12" s="613">
        <v>256.5</v>
      </c>
      <c r="F12" s="613">
        <v>284</v>
      </c>
      <c r="G12" s="613">
        <v>302.7</v>
      </c>
      <c r="H12" s="613">
        <v>326.3</v>
      </c>
      <c r="I12" s="613">
        <v>356.7</v>
      </c>
      <c r="J12" s="613">
        <v>376.3</v>
      </c>
      <c r="K12" s="613">
        <v>419.1</v>
      </c>
      <c r="L12" s="613">
        <v>466.7</v>
      </c>
      <c r="M12" s="613">
        <v>497</v>
      </c>
      <c r="N12" s="613">
        <v>403.6</v>
      </c>
      <c r="O12" s="613">
        <v>428.8</v>
      </c>
      <c r="P12" s="613">
        <v>442.8</v>
      </c>
      <c r="Q12" s="613">
        <v>481.8</v>
      </c>
      <c r="R12" s="613">
        <v>505.8</v>
      </c>
      <c r="S12" s="613">
        <v>578.1</v>
      </c>
      <c r="T12" s="614">
        <v>516.20000000000005</v>
      </c>
      <c r="U12" s="616">
        <v>206.48020199999999</v>
      </c>
      <c r="V12" s="616">
        <v>171.520355</v>
      </c>
      <c r="W12" s="615">
        <v>153.13249799999997</v>
      </c>
      <c r="X12" s="615">
        <v>172.1787479999999</v>
      </c>
    </row>
    <row r="13" spans="1:27" s="10" customFormat="1" ht="15.95" customHeight="1" x14ac:dyDescent="0.3">
      <c r="A13" s="599" t="s">
        <v>276</v>
      </c>
      <c r="B13" s="613">
        <v>29.8</v>
      </c>
      <c r="C13" s="613">
        <v>38.200000000000003</v>
      </c>
      <c r="D13" s="613">
        <v>41.5</v>
      </c>
      <c r="E13" s="613">
        <v>42</v>
      </c>
      <c r="F13" s="613">
        <v>48.6</v>
      </c>
      <c r="G13" s="613">
        <v>48.9</v>
      </c>
      <c r="H13" s="613">
        <v>56</v>
      </c>
      <c r="I13" s="613">
        <v>55.7</v>
      </c>
      <c r="J13" s="613">
        <v>61.1</v>
      </c>
      <c r="K13" s="613">
        <v>70.8</v>
      </c>
      <c r="L13" s="613">
        <v>77.599999999999994</v>
      </c>
      <c r="M13" s="613">
        <v>52.3</v>
      </c>
      <c r="N13" s="613">
        <v>55.8</v>
      </c>
      <c r="O13" s="613">
        <v>54.7</v>
      </c>
      <c r="P13" s="613">
        <v>57.2</v>
      </c>
      <c r="Q13" s="613">
        <v>59.2</v>
      </c>
      <c r="R13" s="613" t="s">
        <v>31</v>
      </c>
      <c r="S13" s="613">
        <v>45.6</v>
      </c>
      <c r="T13" s="614">
        <v>55.6</v>
      </c>
      <c r="U13" s="616">
        <v>62.731884999999991</v>
      </c>
      <c r="V13" s="616">
        <v>60.162550000000003</v>
      </c>
      <c r="W13" s="615">
        <v>59.290070999999934</v>
      </c>
      <c r="X13" s="615">
        <v>61.197607999999974</v>
      </c>
    </row>
    <row r="14" spans="1:27" s="10" customFormat="1" ht="15.95" customHeight="1" x14ac:dyDescent="0.3">
      <c r="A14" s="599" t="s">
        <v>275</v>
      </c>
      <c r="B14" s="613">
        <v>102.1</v>
      </c>
      <c r="C14" s="613">
        <v>102.6</v>
      </c>
      <c r="D14" s="613">
        <v>104.1</v>
      </c>
      <c r="E14" s="613">
        <v>104.6</v>
      </c>
      <c r="F14" s="613">
        <v>69.2</v>
      </c>
      <c r="G14" s="613">
        <v>58.5</v>
      </c>
      <c r="H14" s="613">
        <v>108.1</v>
      </c>
      <c r="I14" s="613">
        <v>73.900000000000006</v>
      </c>
      <c r="J14" s="613">
        <v>76.2</v>
      </c>
      <c r="K14" s="613">
        <v>30.5</v>
      </c>
      <c r="L14" s="613">
        <v>52.9</v>
      </c>
      <c r="M14" s="613">
        <v>14.1</v>
      </c>
      <c r="N14" s="613">
        <v>4.2</v>
      </c>
      <c r="O14" s="613">
        <v>5</v>
      </c>
      <c r="P14" s="613">
        <v>5.3</v>
      </c>
      <c r="Q14" s="613">
        <v>8.3000000000000007</v>
      </c>
      <c r="R14" s="613">
        <v>14</v>
      </c>
      <c r="S14" s="613">
        <v>11.7</v>
      </c>
      <c r="T14" s="614">
        <v>7.2</v>
      </c>
      <c r="U14" s="616">
        <v>7.3128860000000007</v>
      </c>
      <c r="V14" s="616">
        <v>8.3061790000000002</v>
      </c>
      <c r="W14" s="615">
        <v>8.2920869999999987</v>
      </c>
      <c r="X14" s="615">
        <v>8.5421120000000013</v>
      </c>
    </row>
    <row r="15" spans="1:27" s="10" customFormat="1" ht="15.95" customHeight="1" x14ac:dyDescent="0.3">
      <c r="A15" s="599" t="s">
        <v>274</v>
      </c>
      <c r="B15" s="613">
        <v>44</v>
      </c>
      <c r="C15" s="613">
        <v>55</v>
      </c>
      <c r="D15" s="613">
        <v>60.2</v>
      </c>
      <c r="E15" s="613">
        <v>56.1</v>
      </c>
      <c r="F15" s="613">
        <v>65.400000000000006</v>
      </c>
      <c r="G15" s="613">
        <v>69.5</v>
      </c>
      <c r="H15" s="613">
        <v>67.2</v>
      </c>
      <c r="I15" s="613">
        <v>66.400000000000006</v>
      </c>
      <c r="J15" s="613">
        <v>72</v>
      </c>
      <c r="K15" s="613">
        <v>74.900000000000006</v>
      </c>
      <c r="L15" s="613">
        <v>72.400000000000006</v>
      </c>
      <c r="M15" s="613">
        <v>81.2</v>
      </c>
      <c r="N15" s="613">
        <v>76.2</v>
      </c>
      <c r="O15" s="613">
        <v>78.7</v>
      </c>
      <c r="P15" s="613">
        <v>86.5</v>
      </c>
      <c r="Q15" s="613">
        <v>89.5</v>
      </c>
      <c r="R15" s="613">
        <v>91.6</v>
      </c>
      <c r="S15" s="613">
        <v>92</v>
      </c>
      <c r="T15" s="614">
        <v>94</v>
      </c>
      <c r="U15" s="616">
        <v>85.137056000000001</v>
      </c>
      <c r="V15" s="616">
        <v>73.595033000000015</v>
      </c>
      <c r="W15" s="615">
        <v>90.521768000000066</v>
      </c>
      <c r="X15" s="615">
        <v>80.885877000000022</v>
      </c>
    </row>
    <row r="16" spans="1:27" s="10" customFormat="1" ht="15.95" customHeight="1" x14ac:dyDescent="0.3">
      <c r="A16" s="599" t="s">
        <v>273</v>
      </c>
      <c r="B16" s="613">
        <v>6480.1</v>
      </c>
      <c r="C16" s="613">
        <v>6814.8</v>
      </c>
      <c r="D16" s="613">
        <v>6868.3</v>
      </c>
      <c r="E16" s="613">
        <v>6927.6</v>
      </c>
      <c r="F16" s="613">
        <v>6863.4</v>
      </c>
      <c r="G16" s="613">
        <v>7117.9</v>
      </c>
      <c r="H16" s="613">
        <v>6607.6</v>
      </c>
      <c r="I16" s="613">
        <v>6811.5</v>
      </c>
      <c r="J16" s="613">
        <v>7343.2</v>
      </c>
      <c r="K16" s="613">
        <v>7143.3</v>
      </c>
      <c r="L16" s="613">
        <v>6689.8</v>
      </c>
      <c r="M16" s="613">
        <v>7156.7</v>
      </c>
      <c r="N16" s="613">
        <v>7238.9</v>
      </c>
      <c r="O16" s="613">
        <v>7352.1</v>
      </c>
      <c r="P16" s="613">
        <v>7272.3</v>
      </c>
      <c r="Q16" s="613">
        <v>7041.3</v>
      </c>
      <c r="R16" s="613">
        <v>7171.8</v>
      </c>
      <c r="S16" s="613">
        <v>6644.2</v>
      </c>
      <c r="T16" s="614">
        <v>6932</v>
      </c>
      <c r="U16" s="616">
        <v>6909.7344450000001</v>
      </c>
      <c r="V16" s="616">
        <v>7178.3471050000007</v>
      </c>
      <c r="W16" s="615">
        <v>6984.2829419999989</v>
      </c>
      <c r="X16" s="615">
        <v>7050.4297050000023</v>
      </c>
    </row>
    <row r="17" spans="1:28" s="10" customFormat="1" ht="15.95" customHeight="1" x14ac:dyDescent="0.3">
      <c r="A17" s="599" t="s">
        <v>422</v>
      </c>
      <c r="B17" s="613">
        <v>1081.2</v>
      </c>
      <c r="C17" s="613">
        <v>1097.5</v>
      </c>
      <c r="D17" s="613">
        <v>1153.4000000000001</v>
      </c>
      <c r="E17" s="613">
        <v>1180.5</v>
      </c>
      <c r="F17" s="613">
        <v>1173</v>
      </c>
      <c r="G17" s="613">
        <v>1154.3</v>
      </c>
      <c r="H17" s="613">
        <v>1042.9000000000001</v>
      </c>
      <c r="I17" s="613">
        <v>1047.3</v>
      </c>
      <c r="J17" s="613">
        <v>1102.9000000000001</v>
      </c>
      <c r="K17" s="613">
        <v>976</v>
      </c>
      <c r="L17" s="613">
        <v>1053.5</v>
      </c>
      <c r="M17" s="613">
        <v>1134.0999999999999</v>
      </c>
      <c r="N17" s="613" t="s">
        <v>31</v>
      </c>
      <c r="O17" s="613" t="s">
        <v>31</v>
      </c>
      <c r="P17" s="613" t="s">
        <v>31</v>
      </c>
      <c r="Q17" s="613" t="s">
        <v>31</v>
      </c>
      <c r="R17" s="613" t="s">
        <v>31</v>
      </c>
      <c r="S17" s="613" t="s">
        <v>31</v>
      </c>
      <c r="T17" s="613" t="s">
        <v>31</v>
      </c>
      <c r="U17" s="613">
        <v>0</v>
      </c>
      <c r="V17" s="613">
        <v>0</v>
      </c>
      <c r="W17" s="617">
        <v>0</v>
      </c>
      <c r="X17" s="617">
        <v>0</v>
      </c>
    </row>
    <row r="18" spans="1:28" s="10" customFormat="1" ht="15.95" customHeight="1" x14ac:dyDescent="0.3">
      <c r="A18" s="599" t="s">
        <v>423</v>
      </c>
      <c r="B18" s="613">
        <v>180.5</v>
      </c>
      <c r="C18" s="613">
        <v>233.8</v>
      </c>
      <c r="D18" s="613">
        <v>301</v>
      </c>
      <c r="E18" s="613">
        <v>234.5</v>
      </c>
      <c r="F18" s="613">
        <v>299</v>
      </c>
      <c r="G18" s="613">
        <v>306.3</v>
      </c>
      <c r="H18" s="613">
        <v>359.9</v>
      </c>
      <c r="I18" s="613">
        <v>483.7</v>
      </c>
      <c r="J18" s="613">
        <v>495.9</v>
      </c>
      <c r="K18" s="613">
        <v>527.9</v>
      </c>
      <c r="L18" s="613">
        <v>544.6</v>
      </c>
      <c r="M18" s="613">
        <v>537.4</v>
      </c>
      <c r="N18" s="613" t="s">
        <v>31</v>
      </c>
      <c r="O18" s="613" t="s">
        <v>31</v>
      </c>
      <c r="P18" s="613" t="s">
        <v>31</v>
      </c>
      <c r="Q18" s="613" t="s">
        <v>31</v>
      </c>
      <c r="R18" s="613" t="s">
        <v>31</v>
      </c>
      <c r="S18" s="613" t="s">
        <v>31</v>
      </c>
      <c r="T18" s="613" t="s">
        <v>31</v>
      </c>
      <c r="U18" s="613">
        <v>0</v>
      </c>
      <c r="V18" s="613">
        <v>0</v>
      </c>
      <c r="W18" s="617">
        <v>0</v>
      </c>
      <c r="X18" s="617">
        <v>0</v>
      </c>
    </row>
    <row r="19" spans="1:28" s="10" customFormat="1" ht="15.95" customHeight="1" x14ac:dyDescent="0.3">
      <c r="A19" s="599" t="s">
        <v>272</v>
      </c>
      <c r="B19" s="613">
        <v>1137</v>
      </c>
      <c r="C19" s="613">
        <v>1378.1</v>
      </c>
      <c r="D19" s="613">
        <v>1041.5</v>
      </c>
      <c r="E19" s="613">
        <v>1108.7</v>
      </c>
      <c r="F19" s="613">
        <v>849.8</v>
      </c>
      <c r="G19" s="613">
        <v>910.1</v>
      </c>
      <c r="H19" s="613">
        <v>1035.9000000000001</v>
      </c>
      <c r="I19" s="613">
        <v>772.8</v>
      </c>
      <c r="J19" s="613">
        <v>1087.7</v>
      </c>
      <c r="K19" s="613">
        <v>986.7</v>
      </c>
      <c r="L19" s="613">
        <v>915.2</v>
      </c>
      <c r="M19" s="613">
        <v>742.9</v>
      </c>
      <c r="N19" s="613">
        <v>1328.6</v>
      </c>
      <c r="O19" s="613">
        <v>1279</v>
      </c>
      <c r="P19" s="613">
        <v>1419.3</v>
      </c>
      <c r="Q19" s="613">
        <v>1292.9000000000001</v>
      </c>
      <c r="R19" s="613">
        <v>1274.2</v>
      </c>
      <c r="S19" s="613">
        <v>1345.6</v>
      </c>
      <c r="T19" s="614">
        <v>1405.1</v>
      </c>
      <c r="U19" s="616">
        <v>1041.584051</v>
      </c>
      <c r="V19" s="616">
        <v>992.98150399999986</v>
      </c>
      <c r="W19" s="615">
        <v>1023.9525830000001</v>
      </c>
      <c r="X19" s="615">
        <v>988.07722600000022</v>
      </c>
    </row>
    <row r="20" spans="1:28" s="10" customFormat="1" ht="15.95" customHeight="1" x14ac:dyDescent="0.3">
      <c r="A20" s="599" t="s">
        <v>271</v>
      </c>
      <c r="B20" s="613">
        <v>199.3</v>
      </c>
      <c r="C20" s="613">
        <v>241.5</v>
      </c>
      <c r="D20" s="613">
        <v>209.1</v>
      </c>
      <c r="E20" s="613">
        <v>139.6</v>
      </c>
      <c r="F20" s="613">
        <v>135.69999999999999</v>
      </c>
      <c r="G20" s="613">
        <v>178</v>
      </c>
      <c r="H20" s="613">
        <v>203.2</v>
      </c>
      <c r="I20" s="613">
        <v>195.4</v>
      </c>
      <c r="J20" s="613">
        <v>46.9</v>
      </c>
      <c r="K20" s="613">
        <v>92.2</v>
      </c>
      <c r="L20" s="613">
        <v>108.4</v>
      </c>
      <c r="M20" s="613">
        <v>102.3</v>
      </c>
      <c r="N20" s="613">
        <v>193.8</v>
      </c>
      <c r="O20" s="613">
        <v>256.3</v>
      </c>
      <c r="P20" s="613">
        <v>268.5</v>
      </c>
      <c r="Q20" s="613">
        <v>273.60000000000002</v>
      </c>
      <c r="R20" s="613">
        <v>229.8</v>
      </c>
      <c r="S20" s="613">
        <v>244.1</v>
      </c>
      <c r="T20" s="614">
        <v>259.39999999999998</v>
      </c>
      <c r="U20" s="616">
        <v>259.17074699999995</v>
      </c>
      <c r="V20" s="616">
        <v>165.52861000000001</v>
      </c>
      <c r="W20" s="615">
        <v>133.094775</v>
      </c>
      <c r="X20" s="615">
        <v>193.08113499999999</v>
      </c>
    </row>
    <row r="21" spans="1:28" s="11" customFormat="1" ht="15.95" customHeight="1" x14ac:dyDescent="0.3">
      <c r="A21" s="599" t="s">
        <v>270</v>
      </c>
      <c r="B21" s="618">
        <v>251.2</v>
      </c>
      <c r="C21" s="618">
        <v>71.099999999999994</v>
      </c>
      <c r="D21" s="618">
        <v>9</v>
      </c>
      <c r="E21" s="618">
        <v>326.10000000000002</v>
      </c>
      <c r="F21" s="618">
        <v>700</v>
      </c>
      <c r="G21" s="618">
        <v>719</v>
      </c>
      <c r="H21" s="618">
        <v>720.5</v>
      </c>
      <c r="I21" s="618">
        <v>748.3</v>
      </c>
      <c r="J21" s="618">
        <v>742.3</v>
      </c>
      <c r="K21" s="618">
        <v>750.5</v>
      </c>
      <c r="L21" s="618">
        <v>751.4</v>
      </c>
      <c r="M21" s="618">
        <v>757.7</v>
      </c>
      <c r="N21" s="618">
        <v>743.1</v>
      </c>
      <c r="O21" s="618">
        <v>736.4</v>
      </c>
      <c r="P21" s="618">
        <v>714.7</v>
      </c>
      <c r="Q21" s="618">
        <v>686.3</v>
      </c>
      <c r="R21" s="618">
        <v>1007.1</v>
      </c>
      <c r="S21" s="618">
        <v>1232.9000000000001</v>
      </c>
      <c r="T21" s="619">
        <v>1229.8</v>
      </c>
      <c r="U21" s="616">
        <v>1285.4856340000001</v>
      </c>
      <c r="V21" s="616">
        <v>1254.114245</v>
      </c>
      <c r="W21" s="615">
        <v>1173.0610629999999</v>
      </c>
      <c r="X21" s="615">
        <v>1244.5650470000005</v>
      </c>
      <c r="AB21" s="10"/>
    </row>
    <row r="22" spans="1:28" s="11" customFormat="1" ht="15.95" customHeight="1" x14ac:dyDescent="0.3">
      <c r="A22" s="599" t="s">
        <v>269</v>
      </c>
      <c r="B22" s="618" t="s">
        <v>31</v>
      </c>
      <c r="C22" s="618">
        <v>4.5999999999999996</v>
      </c>
      <c r="D22" s="618">
        <v>554.79999999999995</v>
      </c>
      <c r="E22" s="618">
        <v>735.2</v>
      </c>
      <c r="F22" s="618">
        <v>774.4</v>
      </c>
      <c r="G22" s="618">
        <v>735.7</v>
      </c>
      <c r="H22" s="618">
        <v>790.2</v>
      </c>
      <c r="I22" s="618">
        <v>757.3</v>
      </c>
      <c r="J22" s="618">
        <v>775.3</v>
      </c>
      <c r="K22" s="618">
        <v>767.5</v>
      </c>
      <c r="L22" s="618">
        <v>741.6</v>
      </c>
      <c r="M22" s="618">
        <v>736.2</v>
      </c>
      <c r="N22" s="618">
        <v>745.1</v>
      </c>
      <c r="O22" s="618">
        <v>710.4</v>
      </c>
      <c r="P22" s="618">
        <v>782.5</v>
      </c>
      <c r="Q22" s="618">
        <v>774.7</v>
      </c>
      <c r="R22" s="618">
        <v>802</v>
      </c>
      <c r="S22" s="618">
        <v>714.9</v>
      </c>
      <c r="T22" s="619">
        <v>745.6</v>
      </c>
      <c r="U22" s="616">
        <v>804.31512899999996</v>
      </c>
      <c r="V22" s="616">
        <v>728.24041799999998</v>
      </c>
      <c r="W22" s="615">
        <v>730.79483499999992</v>
      </c>
      <c r="X22" s="615">
        <v>626.97009100000002</v>
      </c>
      <c r="AB22" s="10"/>
    </row>
    <row r="23" spans="1:28" s="12" customFormat="1" ht="16.5" hidden="1" x14ac:dyDescent="0.3">
      <c r="A23" s="600" t="s">
        <v>268</v>
      </c>
      <c r="B23" s="620">
        <v>327.5</v>
      </c>
      <c r="C23" s="620">
        <v>32</v>
      </c>
      <c r="D23" s="620">
        <v>2.9</v>
      </c>
      <c r="E23" s="620">
        <v>9.3000000000000007</v>
      </c>
      <c r="F23" s="620">
        <v>9.5</v>
      </c>
      <c r="G23" s="620">
        <v>6.1</v>
      </c>
      <c r="H23" s="620">
        <v>965.4</v>
      </c>
      <c r="I23" s="620">
        <v>1866.9</v>
      </c>
      <c r="J23" s="620">
        <v>1813.9</v>
      </c>
      <c r="K23" s="620">
        <v>0</v>
      </c>
      <c r="L23" s="620">
        <v>0</v>
      </c>
      <c r="M23" s="620">
        <v>0</v>
      </c>
      <c r="N23" s="620">
        <v>0</v>
      </c>
      <c r="O23" s="620">
        <v>0</v>
      </c>
      <c r="P23" s="620">
        <v>0</v>
      </c>
      <c r="Q23" s="620">
        <v>0</v>
      </c>
      <c r="R23" s="620">
        <v>0</v>
      </c>
      <c r="S23" s="618">
        <v>0</v>
      </c>
      <c r="T23" s="618">
        <v>0</v>
      </c>
      <c r="U23" s="616">
        <v>0</v>
      </c>
      <c r="V23" s="616">
        <v>0</v>
      </c>
      <c r="W23" s="615">
        <v>0</v>
      </c>
      <c r="X23" s="615">
        <v>0</v>
      </c>
      <c r="AB23" s="10"/>
    </row>
    <row r="24" spans="1:28" s="11" customFormat="1" ht="15.95" customHeight="1" x14ac:dyDescent="0.3">
      <c r="A24" s="599" t="s">
        <v>483</v>
      </c>
      <c r="B24" s="618">
        <v>450.1</v>
      </c>
      <c r="C24" s="618">
        <v>546.5</v>
      </c>
      <c r="D24" s="618">
        <v>408.6</v>
      </c>
      <c r="E24" s="618">
        <v>297.2</v>
      </c>
      <c r="F24" s="618">
        <v>261.3</v>
      </c>
      <c r="G24" s="618">
        <v>395.1</v>
      </c>
      <c r="H24" s="618">
        <v>553.6</v>
      </c>
      <c r="I24" s="618">
        <v>515.79999999999995</v>
      </c>
      <c r="J24" s="618">
        <v>614.5</v>
      </c>
      <c r="K24" s="618">
        <v>601</v>
      </c>
      <c r="L24" s="618">
        <v>685.1</v>
      </c>
      <c r="M24" s="618">
        <v>579.79999999999995</v>
      </c>
      <c r="N24" s="618">
        <v>703.6</v>
      </c>
      <c r="O24" s="618">
        <v>504.6</v>
      </c>
      <c r="P24" s="618">
        <v>143.6</v>
      </c>
      <c r="Q24" s="618">
        <v>454.7</v>
      </c>
      <c r="R24" s="618">
        <v>584.29999999999995</v>
      </c>
      <c r="S24" s="618">
        <v>679.6</v>
      </c>
      <c r="T24" s="619">
        <v>558.4</v>
      </c>
      <c r="U24" s="616">
        <v>608.2021400000001</v>
      </c>
      <c r="V24" s="616">
        <v>664.69504000000006</v>
      </c>
      <c r="W24" s="615">
        <v>624.03506599999992</v>
      </c>
      <c r="X24" s="615">
        <v>725.36848899999995</v>
      </c>
      <c r="AB24" s="10"/>
    </row>
    <row r="25" spans="1:28" s="11" customFormat="1" ht="15.95" customHeight="1" x14ac:dyDescent="0.3">
      <c r="A25" s="599" t="s">
        <v>484</v>
      </c>
      <c r="B25" s="618">
        <v>1074.0999999999999</v>
      </c>
      <c r="C25" s="618">
        <v>1173.3</v>
      </c>
      <c r="D25" s="618">
        <v>1259.0999999999999</v>
      </c>
      <c r="E25" s="618">
        <v>765.4</v>
      </c>
      <c r="F25" s="618">
        <v>1269.3</v>
      </c>
      <c r="G25" s="618">
        <v>1398.5</v>
      </c>
      <c r="H25" s="618">
        <v>1651.9</v>
      </c>
      <c r="I25" s="618">
        <v>1550.4</v>
      </c>
      <c r="J25" s="618">
        <v>2218.5</v>
      </c>
      <c r="K25" s="618">
        <v>3866.5</v>
      </c>
      <c r="L25" s="618">
        <v>4823.1000000000004</v>
      </c>
      <c r="M25" s="618">
        <v>4749.7</v>
      </c>
      <c r="N25" s="618">
        <v>4675.5</v>
      </c>
      <c r="O25" s="618">
        <v>5781.9</v>
      </c>
      <c r="P25" s="618">
        <v>7719.4</v>
      </c>
      <c r="Q25" s="618">
        <v>7098.3</v>
      </c>
      <c r="R25" s="618">
        <v>7172.2</v>
      </c>
      <c r="S25" s="618">
        <v>8182.4</v>
      </c>
      <c r="T25" s="619">
        <v>7807.1</v>
      </c>
      <c r="U25" s="616">
        <v>5333.6568959999995</v>
      </c>
      <c r="V25" s="616">
        <v>6603.736508</v>
      </c>
      <c r="W25" s="615">
        <v>6472.310399</v>
      </c>
      <c r="X25" s="615">
        <v>6710.3167479999993</v>
      </c>
      <c r="AB25" s="10"/>
    </row>
    <row r="26" spans="1:28" s="11" customFormat="1" ht="15.95" customHeight="1" x14ac:dyDescent="0.3">
      <c r="A26" s="599" t="s">
        <v>267</v>
      </c>
      <c r="B26" s="618" t="s">
        <v>31</v>
      </c>
      <c r="C26" s="618" t="s">
        <v>31</v>
      </c>
      <c r="D26" s="618" t="s">
        <v>31</v>
      </c>
      <c r="E26" s="618" t="s">
        <v>31</v>
      </c>
      <c r="F26" s="618" t="s">
        <v>31</v>
      </c>
      <c r="G26" s="618" t="s">
        <v>31</v>
      </c>
      <c r="H26" s="618" t="s">
        <v>31</v>
      </c>
      <c r="I26" s="618" t="s">
        <v>31</v>
      </c>
      <c r="J26" s="618" t="s">
        <v>31</v>
      </c>
      <c r="K26" s="618" t="s">
        <v>31</v>
      </c>
      <c r="L26" s="618" t="s">
        <v>31</v>
      </c>
      <c r="M26" s="618" t="s">
        <v>31</v>
      </c>
      <c r="N26" s="618" t="s">
        <v>31</v>
      </c>
      <c r="O26" s="618" t="s">
        <v>31</v>
      </c>
      <c r="P26" s="618">
        <v>13.4</v>
      </c>
      <c r="Q26" s="618">
        <v>1512.8</v>
      </c>
      <c r="R26" s="618">
        <v>2249.6</v>
      </c>
      <c r="S26" s="618">
        <v>3581.8</v>
      </c>
      <c r="T26" s="619">
        <v>4112.8</v>
      </c>
      <c r="U26" s="616">
        <v>3913.5255890000003</v>
      </c>
      <c r="V26" s="616">
        <v>3767.4608260000005</v>
      </c>
      <c r="W26" s="615">
        <v>2860.5593579999995</v>
      </c>
      <c r="X26" s="615">
        <v>3425.7774149999996</v>
      </c>
      <c r="AB26" s="10"/>
    </row>
    <row r="27" spans="1:28" s="11" customFormat="1" ht="15.95" customHeight="1" x14ac:dyDescent="0.3">
      <c r="A27" s="599" t="s">
        <v>266</v>
      </c>
      <c r="B27" s="618" t="s">
        <v>31</v>
      </c>
      <c r="C27" s="618" t="s">
        <v>31</v>
      </c>
      <c r="D27" s="618" t="s">
        <v>31</v>
      </c>
      <c r="E27" s="618" t="s">
        <v>31</v>
      </c>
      <c r="F27" s="618" t="s">
        <v>31</v>
      </c>
      <c r="G27" s="618" t="s">
        <v>31</v>
      </c>
      <c r="H27" s="618" t="s">
        <v>31</v>
      </c>
      <c r="I27" s="618" t="s">
        <v>31</v>
      </c>
      <c r="J27" s="618" t="s">
        <v>31</v>
      </c>
      <c r="K27" s="618" t="s">
        <v>31</v>
      </c>
      <c r="L27" s="618" t="s">
        <v>31</v>
      </c>
      <c r="M27" s="618">
        <v>22.2</v>
      </c>
      <c r="N27" s="618">
        <v>63.5</v>
      </c>
      <c r="O27" s="618">
        <v>105.9</v>
      </c>
      <c r="P27" s="618">
        <v>184.5</v>
      </c>
      <c r="Q27" s="618">
        <v>176</v>
      </c>
      <c r="R27" s="618">
        <v>177.5</v>
      </c>
      <c r="S27" s="618">
        <v>148.19999999999999</v>
      </c>
      <c r="T27" s="619">
        <v>158</v>
      </c>
      <c r="U27" s="616">
        <v>177.10130099999998</v>
      </c>
      <c r="V27" s="616">
        <v>102.671649</v>
      </c>
      <c r="W27" s="615" t="s">
        <v>31</v>
      </c>
      <c r="X27" s="615" t="s">
        <v>31</v>
      </c>
      <c r="AB27" s="10"/>
    </row>
    <row r="28" spans="1:28" s="11" customFormat="1" ht="15.95" customHeight="1" x14ac:dyDescent="0.3">
      <c r="A28" s="599" t="s">
        <v>265</v>
      </c>
      <c r="B28" s="618" t="s">
        <v>31</v>
      </c>
      <c r="C28" s="618" t="s">
        <v>31</v>
      </c>
      <c r="D28" s="618" t="s">
        <v>31</v>
      </c>
      <c r="E28" s="618" t="s">
        <v>31</v>
      </c>
      <c r="F28" s="618" t="s">
        <v>31</v>
      </c>
      <c r="G28" s="618" t="s">
        <v>31</v>
      </c>
      <c r="H28" s="618" t="s">
        <v>31</v>
      </c>
      <c r="I28" s="618" t="s">
        <v>31</v>
      </c>
      <c r="J28" s="618" t="s">
        <v>31</v>
      </c>
      <c r="K28" s="618">
        <v>279.8</v>
      </c>
      <c r="L28" s="618">
        <v>987.6</v>
      </c>
      <c r="M28" s="618">
        <v>1237.9000000000001</v>
      </c>
      <c r="N28" s="618">
        <v>3993.7</v>
      </c>
      <c r="O28" s="618">
        <v>4284.2</v>
      </c>
      <c r="P28" s="618">
        <v>5458.4</v>
      </c>
      <c r="Q28" s="618">
        <v>6004.2</v>
      </c>
      <c r="R28" s="618">
        <v>5165.7</v>
      </c>
      <c r="S28" s="618">
        <v>6014.8</v>
      </c>
      <c r="T28" s="619">
        <v>4402.8999999999996</v>
      </c>
      <c r="U28" s="616">
        <v>7627.2135160000007</v>
      </c>
      <c r="V28" s="616">
        <v>7967.9315160000006</v>
      </c>
      <c r="W28" s="615">
        <v>7368.2729550000004</v>
      </c>
      <c r="X28" s="615">
        <v>9238.944569000003</v>
      </c>
      <c r="AB28" s="10"/>
    </row>
    <row r="29" spans="1:28" s="11" customFormat="1" ht="15.95" customHeight="1" x14ac:dyDescent="0.3">
      <c r="A29" s="599" t="s">
        <v>485</v>
      </c>
      <c r="B29" s="618">
        <v>1384.7</v>
      </c>
      <c r="C29" s="618">
        <v>1496.3</v>
      </c>
      <c r="D29" s="618">
        <v>1591.6</v>
      </c>
      <c r="E29" s="618">
        <v>1706.9</v>
      </c>
      <c r="F29" s="618">
        <v>2052.9</v>
      </c>
      <c r="G29" s="618">
        <v>2030</v>
      </c>
      <c r="H29" s="618">
        <v>2179.6</v>
      </c>
      <c r="I29" s="618">
        <v>2086.5</v>
      </c>
      <c r="J29" s="618">
        <v>2081.6999999999998</v>
      </c>
      <c r="K29" s="618">
        <v>2185.6999999999998</v>
      </c>
      <c r="L29" s="618">
        <v>2386</v>
      </c>
      <c r="M29" s="618">
        <v>2208.6999999999998</v>
      </c>
      <c r="N29" s="618">
        <v>2317.6999999999998</v>
      </c>
      <c r="O29" s="618">
        <v>2643.7</v>
      </c>
      <c r="P29" s="618">
        <v>2360</v>
      </c>
      <c r="Q29" s="618">
        <v>2153.6</v>
      </c>
      <c r="R29" s="618">
        <v>2207.6</v>
      </c>
      <c r="S29" s="618">
        <v>2054.3000000000002</v>
      </c>
      <c r="T29" s="619">
        <v>2185.6</v>
      </c>
      <c r="U29" s="616">
        <v>2098.956651</v>
      </c>
      <c r="V29" s="616">
        <v>2094.0133942674997</v>
      </c>
      <c r="W29" s="615">
        <v>2027.285534000001</v>
      </c>
      <c r="X29" s="615">
        <v>2210.3365780000004</v>
      </c>
      <c r="AB29" s="10"/>
    </row>
    <row r="30" spans="1:28" s="11" customFormat="1" ht="15.95" customHeight="1" x14ac:dyDescent="0.3">
      <c r="A30" s="599" t="s">
        <v>264</v>
      </c>
      <c r="B30" s="618" t="s">
        <v>31</v>
      </c>
      <c r="C30" s="618" t="s">
        <v>31</v>
      </c>
      <c r="D30" s="618" t="s">
        <v>31</v>
      </c>
      <c r="E30" s="618" t="s">
        <v>31</v>
      </c>
      <c r="F30" s="618" t="s">
        <v>31</v>
      </c>
      <c r="G30" s="618" t="s">
        <v>31</v>
      </c>
      <c r="H30" s="618" t="s">
        <v>31</v>
      </c>
      <c r="I30" s="618" t="s">
        <v>31</v>
      </c>
      <c r="J30" s="618" t="s">
        <v>31</v>
      </c>
      <c r="K30" s="618" t="s">
        <v>31</v>
      </c>
      <c r="L30" s="618" t="s">
        <v>31</v>
      </c>
      <c r="M30" s="618">
        <v>212</v>
      </c>
      <c r="N30" s="618">
        <v>162.19999999999999</v>
      </c>
      <c r="O30" s="618">
        <v>266.60000000000002</v>
      </c>
      <c r="P30" s="618">
        <v>244</v>
      </c>
      <c r="Q30" s="618">
        <v>215.7</v>
      </c>
      <c r="R30" s="618">
        <v>235</v>
      </c>
      <c r="S30" s="618">
        <v>224.6</v>
      </c>
      <c r="T30" s="619">
        <v>258</v>
      </c>
      <c r="U30" s="616">
        <v>242.66551999999999</v>
      </c>
      <c r="V30" s="616">
        <v>265.72700739749996</v>
      </c>
      <c r="W30" s="615">
        <v>63.772594000000012</v>
      </c>
      <c r="X30" s="615">
        <v>148.52079800000001</v>
      </c>
      <c r="AB30" s="10"/>
    </row>
    <row r="31" spans="1:28" s="11" customFormat="1" ht="15.95" customHeight="1" x14ac:dyDescent="0.3">
      <c r="A31" s="599" t="s">
        <v>263</v>
      </c>
      <c r="B31" s="618">
        <v>106.7</v>
      </c>
      <c r="C31" s="618">
        <v>2.8</v>
      </c>
      <c r="D31" s="618">
        <v>1.1000000000000001</v>
      </c>
      <c r="E31" s="618">
        <v>11.5</v>
      </c>
      <c r="F31" s="618">
        <v>28.1</v>
      </c>
      <c r="G31" s="618">
        <v>52.3</v>
      </c>
      <c r="H31" s="618">
        <v>65.900000000000006</v>
      </c>
      <c r="I31" s="618">
        <v>107.3</v>
      </c>
      <c r="J31" s="618">
        <v>111.8</v>
      </c>
      <c r="K31" s="618">
        <v>38.5</v>
      </c>
      <c r="L31" s="618">
        <v>225.3</v>
      </c>
      <c r="M31" s="618">
        <v>132.9</v>
      </c>
      <c r="N31" s="618">
        <v>21.7</v>
      </c>
      <c r="O31" s="618">
        <v>17.7</v>
      </c>
      <c r="P31" s="618">
        <v>17.399999999999999</v>
      </c>
      <c r="Q31" s="618">
        <v>3.1</v>
      </c>
      <c r="R31" s="618">
        <v>5.3</v>
      </c>
      <c r="S31" s="618">
        <v>13.3</v>
      </c>
      <c r="T31" s="619">
        <v>19.7</v>
      </c>
      <c r="U31" s="616">
        <v>24.787599000000004</v>
      </c>
      <c r="V31" s="616">
        <v>47.669620000000002</v>
      </c>
      <c r="W31" s="615">
        <v>8.6928970000000003</v>
      </c>
      <c r="X31" s="615">
        <v>7.9203869999999998</v>
      </c>
      <c r="AB31" s="10"/>
    </row>
    <row r="32" spans="1:28" s="11" customFormat="1" ht="15.95" customHeight="1" x14ac:dyDescent="0.3">
      <c r="A32" s="599" t="s">
        <v>262</v>
      </c>
      <c r="B32" s="618">
        <v>50.5</v>
      </c>
      <c r="C32" s="618">
        <v>61.7</v>
      </c>
      <c r="D32" s="618">
        <v>65.2</v>
      </c>
      <c r="E32" s="618">
        <v>79.3</v>
      </c>
      <c r="F32" s="618">
        <v>64.900000000000006</v>
      </c>
      <c r="G32" s="618">
        <v>49.6</v>
      </c>
      <c r="H32" s="618">
        <v>60.5</v>
      </c>
      <c r="I32" s="618">
        <v>102.8</v>
      </c>
      <c r="J32" s="618">
        <v>113.5</v>
      </c>
      <c r="K32" s="618">
        <v>112.5</v>
      </c>
      <c r="L32" s="618">
        <v>161.5</v>
      </c>
      <c r="M32" s="618">
        <v>208.8</v>
      </c>
      <c r="N32" s="618">
        <v>181.6</v>
      </c>
      <c r="O32" s="618">
        <v>222.2</v>
      </c>
      <c r="P32" s="618">
        <v>153.5</v>
      </c>
      <c r="Q32" s="618">
        <v>50.4</v>
      </c>
      <c r="R32" s="618">
        <v>56.8</v>
      </c>
      <c r="S32" s="618">
        <v>206.2</v>
      </c>
      <c r="T32" s="619">
        <v>209</v>
      </c>
      <c r="U32" s="616">
        <v>145.77153999999999</v>
      </c>
      <c r="V32" s="616">
        <v>263.52276900000004</v>
      </c>
      <c r="W32" s="615">
        <v>323.90646100000015</v>
      </c>
      <c r="X32" s="615">
        <v>335.76178899999996</v>
      </c>
      <c r="AB32" s="10"/>
    </row>
    <row r="33" spans="1:31" s="11" customFormat="1" ht="15.95" customHeight="1" x14ac:dyDescent="0.3">
      <c r="A33" s="599" t="s">
        <v>424</v>
      </c>
      <c r="B33" s="618" t="s">
        <v>31</v>
      </c>
      <c r="C33" s="618" t="s">
        <v>31</v>
      </c>
      <c r="D33" s="618" t="s">
        <v>31</v>
      </c>
      <c r="E33" s="618" t="s">
        <v>31</v>
      </c>
      <c r="F33" s="618">
        <v>36.200000000000003</v>
      </c>
      <c r="G33" s="618">
        <v>145.5</v>
      </c>
      <c r="H33" s="618">
        <v>109.3</v>
      </c>
      <c r="I33" s="618">
        <v>117.3</v>
      </c>
      <c r="J33" s="618">
        <v>134.1</v>
      </c>
      <c r="K33" s="618">
        <v>103.9</v>
      </c>
      <c r="L33" s="618">
        <v>137.19999999999999</v>
      </c>
      <c r="M33" s="618">
        <v>148.6</v>
      </c>
      <c r="N33" s="618">
        <v>153.5</v>
      </c>
      <c r="O33" s="618">
        <v>148.9</v>
      </c>
      <c r="P33" s="618">
        <v>51.4</v>
      </c>
      <c r="Q33" s="618" t="s">
        <v>31</v>
      </c>
      <c r="R33" s="618" t="s">
        <v>31</v>
      </c>
      <c r="S33" s="618" t="s">
        <v>31</v>
      </c>
      <c r="T33" s="601" t="s">
        <v>31</v>
      </c>
      <c r="U33" s="616" t="s">
        <v>31</v>
      </c>
      <c r="V33" s="616" t="s">
        <v>31</v>
      </c>
      <c r="W33" s="615" t="s">
        <v>31</v>
      </c>
      <c r="X33" s="615" t="s">
        <v>31</v>
      </c>
      <c r="AB33" s="10"/>
    </row>
    <row r="34" spans="1:31" s="11" customFormat="1" ht="15.95" customHeight="1" x14ac:dyDescent="0.3">
      <c r="A34" s="599" t="s">
        <v>425</v>
      </c>
      <c r="B34" s="618" t="s">
        <v>31</v>
      </c>
      <c r="C34" s="618" t="s">
        <v>31</v>
      </c>
      <c r="D34" s="618" t="s">
        <v>31</v>
      </c>
      <c r="E34" s="618" t="s">
        <v>31</v>
      </c>
      <c r="F34" s="618" t="s">
        <v>31</v>
      </c>
      <c r="G34" s="618" t="s">
        <v>31</v>
      </c>
      <c r="H34" s="618" t="s">
        <v>31</v>
      </c>
      <c r="I34" s="618" t="s">
        <v>31</v>
      </c>
      <c r="J34" s="618" t="s">
        <v>31</v>
      </c>
      <c r="K34" s="618" t="s">
        <v>31</v>
      </c>
      <c r="L34" s="618" t="s">
        <v>31</v>
      </c>
      <c r="M34" s="618" t="s">
        <v>31</v>
      </c>
      <c r="N34" s="618">
        <v>1685.1</v>
      </c>
      <c r="O34" s="618">
        <v>1753.7</v>
      </c>
      <c r="P34" s="618">
        <v>1773.9</v>
      </c>
      <c r="Q34" s="618">
        <v>1728.2</v>
      </c>
      <c r="R34" s="618">
        <v>1813</v>
      </c>
      <c r="S34" s="618">
        <v>2079</v>
      </c>
      <c r="T34" s="619">
        <v>2323.3000000000002</v>
      </c>
      <c r="U34" s="616">
        <v>2391.534979</v>
      </c>
      <c r="V34" s="616">
        <v>2374.9295980000002</v>
      </c>
      <c r="W34" s="615">
        <v>2245.7923049999995</v>
      </c>
      <c r="X34" s="615">
        <v>2451.7010110000019</v>
      </c>
      <c r="AB34" s="10"/>
    </row>
    <row r="35" spans="1:31" s="10" customFormat="1" ht="15.95" customHeight="1" x14ac:dyDescent="0.3">
      <c r="A35" s="599" t="s">
        <v>261</v>
      </c>
      <c r="B35" s="613" t="s">
        <v>31</v>
      </c>
      <c r="C35" s="613" t="s">
        <v>31</v>
      </c>
      <c r="D35" s="613" t="s">
        <v>31</v>
      </c>
      <c r="E35" s="613" t="s">
        <v>31</v>
      </c>
      <c r="F35" s="613" t="s">
        <v>31</v>
      </c>
      <c r="G35" s="613" t="s">
        <v>31</v>
      </c>
      <c r="H35" s="613" t="s">
        <v>31</v>
      </c>
      <c r="I35" s="613" t="s">
        <v>31</v>
      </c>
      <c r="J35" s="613" t="s">
        <v>31</v>
      </c>
      <c r="K35" s="613" t="s">
        <v>31</v>
      </c>
      <c r="L35" s="613" t="s">
        <v>31</v>
      </c>
      <c r="M35" s="613" t="s">
        <v>31</v>
      </c>
      <c r="N35" s="613" t="s">
        <v>31</v>
      </c>
      <c r="O35" s="613" t="s">
        <v>31</v>
      </c>
      <c r="P35" s="613">
        <v>54.5</v>
      </c>
      <c r="Q35" s="613">
        <v>356.5</v>
      </c>
      <c r="R35" s="613">
        <v>379.3</v>
      </c>
      <c r="S35" s="613">
        <v>1105.8</v>
      </c>
      <c r="T35" s="614">
        <v>621.20000000000005</v>
      </c>
      <c r="U35" s="616">
        <v>1791.7008810000002</v>
      </c>
      <c r="V35" s="616">
        <v>1628.1128049999998</v>
      </c>
      <c r="W35" s="615">
        <v>1088.570813</v>
      </c>
      <c r="X35" s="615">
        <v>969.23419899999988</v>
      </c>
    </row>
    <row r="36" spans="1:31" s="10" customFormat="1" ht="15.95" customHeight="1" x14ac:dyDescent="0.3">
      <c r="A36" s="599" t="s">
        <v>260</v>
      </c>
      <c r="B36" s="613">
        <v>338.8</v>
      </c>
      <c r="C36" s="613">
        <v>310.60000000000002</v>
      </c>
      <c r="D36" s="613">
        <v>260.10000000000002</v>
      </c>
      <c r="E36" s="613">
        <v>447.1</v>
      </c>
      <c r="F36" s="613">
        <v>745.2</v>
      </c>
      <c r="G36" s="613">
        <v>834.8</v>
      </c>
      <c r="H36" s="613">
        <v>1130.3</v>
      </c>
      <c r="I36" s="613">
        <v>1291.0999999999999</v>
      </c>
      <c r="J36" s="613">
        <v>1174</v>
      </c>
      <c r="K36" s="613">
        <v>1150.5999999999999</v>
      </c>
      <c r="L36" s="613">
        <v>1223.7</v>
      </c>
      <c r="M36" s="613">
        <v>1037.3</v>
      </c>
      <c r="N36" s="613">
        <v>488.7</v>
      </c>
      <c r="O36" s="613">
        <v>888.2</v>
      </c>
      <c r="P36" s="613">
        <v>391.3</v>
      </c>
      <c r="Q36" s="613">
        <v>380</v>
      </c>
      <c r="R36" s="613">
        <v>440.7</v>
      </c>
      <c r="S36" s="613">
        <v>368.5</v>
      </c>
      <c r="T36" s="614">
        <v>126.2</v>
      </c>
      <c r="U36" s="616">
        <v>370.83545299999997</v>
      </c>
      <c r="V36" s="616">
        <v>323.70947699999994</v>
      </c>
      <c r="W36" s="615">
        <v>73.957240999999996</v>
      </c>
      <c r="X36" s="615">
        <v>218.93568500000001</v>
      </c>
    </row>
    <row r="37" spans="1:31" s="9" customFormat="1" ht="15.95" customHeight="1" x14ac:dyDescent="0.3">
      <c r="A37" s="602" t="s">
        <v>486</v>
      </c>
      <c r="B37" s="603">
        <v>263.7</v>
      </c>
      <c r="C37" s="603">
        <v>456.5</v>
      </c>
      <c r="D37" s="603">
        <v>427.1</v>
      </c>
      <c r="E37" s="603">
        <v>431.1</v>
      </c>
      <c r="F37" s="603">
        <v>410.2</v>
      </c>
      <c r="G37" s="603">
        <v>383.7</v>
      </c>
      <c r="H37" s="603">
        <v>300.7</v>
      </c>
      <c r="I37" s="603">
        <v>251.2</v>
      </c>
      <c r="J37" s="603">
        <v>246.8</v>
      </c>
      <c r="K37" s="603">
        <v>234.7</v>
      </c>
      <c r="L37" s="603">
        <v>235.6</v>
      </c>
      <c r="M37" s="603">
        <v>269.2</v>
      </c>
      <c r="N37" s="603">
        <v>482.4</v>
      </c>
      <c r="O37" s="603">
        <v>782.4</v>
      </c>
      <c r="P37" s="603">
        <v>1200.8</v>
      </c>
      <c r="Q37" s="603">
        <v>1989.8</v>
      </c>
      <c r="R37" s="603">
        <v>4581.7</v>
      </c>
      <c r="S37" s="603">
        <v>4158.8999999999996</v>
      </c>
      <c r="T37" s="604">
        <v>6767.9</v>
      </c>
      <c r="U37" s="605">
        <v>7320.1707596494525</v>
      </c>
      <c r="V37" s="605">
        <v>7813.8946766338049</v>
      </c>
      <c r="W37" s="606">
        <v>7752.6842075397817</v>
      </c>
      <c r="X37" s="606">
        <v>8529.9979949999979</v>
      </c>
      <c r="AB37" s="10"/>
    </row>
    <row r="38" spans="1:31" s="151" customFormat="1" ht="12" customHeight="1" x14ac:dyDescent="0.25">
      <c r="A38" s="234" t="s">
        <v>426</v>
      </c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</row>
    <row r="39" spans="1:31" s="151" customFormat="1" ht="12" customHeight="1" x14ac:dyDescent="0.25">
      <c r="A39" s="151" t="s">
        <v>427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</row>
    <row r="40" spans="1:31" s="151" customFormat="1" ht="12" customHeight="1" x14ac:dyDescent="0.25">
      <c r="A40" s="152" t="s">
        <v>428</v>
      </c>
      <c r="T40" s="155" t="s">
        <v>259</v>
      </c>
      <c r="U40" s="155"/>
      <c r="V40" s="155"/>
      <c r="W40" s="155"/>
    </row>
    <row r="41" spans="1:31" s="151" customFormat="1" ht="12" customHeight="1" x14ac:dyDescent="0.25">
      <c r="A41" s="152" t="s">
        <v>430</v>
      </c>
      <c r="T41" s="152"/>
      <c r="U41" s="152"/>
      <c r="V41" s="152"/>
      <c r="W41" s="152"/>
    </row>
    <row r="42" spans="1:31" s="151" customFormat="1" ht="12" customHeight="1" x14ac:dyDescent="0.25">
      <c r="A42" s="152" t="s">
        <v>429</v>
      </c>
    </row>
    <row r="43" spans="1:31" s="151" customFormat="1" ht="12" customHeight="1" x14ac:dyDescent="0.25">
      <c r="A43" s="153" t="s">
        <v>431</v>
      </c>
    </row>
    <row r="44" spans="1:31" s="151" customFormat="1" ht="12" customHeight="1" x14ac:dyDescent="0.25">
      <c r="A44" s="152" t="s">
        <v>432</v>
      </c>
    </row>
    <row r="45" spans="1:31" ht="12" customHeight="1" x14ac:dyDescent="0.3">
      <c r="A45" s="154" t="s">
        <v>219</v>
      </c>
      <c r="AC45"/>
      <c r="AD45"/>
      <c r="AE45"/>
    </row>
  </sheetData>
  <mergeCells count="2">
    <mergeCell ref="A1:X1"/>
    <mergeCell ref="A2:X2"/>
  </mergeCells>
  <printOptions horizontalCentered="1"/>
  <pageMargins left="0.98425196850393704" right="0.59055118110236227" top="0.78740157480314965" bottom="0.59055118110236227" header="0.31496062992125984" footer="0.31496062992125984"/>
  <pageSetup paperSize="9"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74"/>
  <sheetViews>
    <sheetView showGridLines="0" tabSelected="1" zoomScaleNormal="100" workbookViewId="0">
      <selection activeCell="A3" sqref="A3:I55"/>
    </sheetView>
  </sheetViews>
  <sheetFormatPr baseColWidth="10" defaultColWidth="7.140625" defaultRowHeight="12.75" customHeight="1" x14ac:dyDescent="0.3"/>
  <cols>
    <col min="1" max="1" width="42.42578125" style="7" customWidth="1"/>
    <col min="2" max="2" width="0.85546875" style="7" customWidth="1"/>
    <col min="3" max="3" width="23.85546875" style="7" customWidth="1"/>
    <col min="4" max="4" width="15.7109375" style="7" customWidth="1"/>
    <col min="5" max="6" width="6.42578125" style="7" customWidth="1"/>
    <col min="7" max="7" width="1.7109375" style="7" customWidth="1"/>
    <col min="8" max="8" width="7.85546875" style="7" customWidth="1"/>
    <col min="9" max="9" width="6.42578125" style="7" customWidth="1"/>
    <col min="10" max="197" width="7.140625" style="7"/>
    <col min="198" max="198" width="33.28515625" style="7" customWidth="1"/>
    <col min="199" max="199" width="0.85546875" style="7" customWidth="1"/>
    <col min="200" max="200" width="12.28515625" style="7" customWidth="1"/>
    <col min="201" max="201" width="11.140625" style="7" customWidth="1"/>
    <col min="202" max="203" width="7.28515625" style="7" customWidth="1"/>
    <col min="204" max="204" width="0.85546875" style="7" customWidth="1"/>
    <col min="205" max="206" width="7.28515625" style="7" customWidth="1"/>
    <col min="207" max="207" width="18.28515625" style="7" customWidth="1"/>
    <col min="208" max="208" width="5.7109375" style="7" customWidth="1"/>
    <col min="209" max="209" width="7.140625" style="7"/>
    <col min="210" max="210" width="7.85546875" style="7" customWidth="1"/>
    <col min="211" max="211" width="5.7109375" style="7" customWidth="1"/>
    <col min="212" max="212" width="5" style="7" customWidth="1"/>
    <col min="213" max="213" width="2.28515625" style="7" customWidth="1"/>
    <col min="214" max="215" width="5" style="7" customWidth="1"/>
    <col min="216" max="453" width="7.140625" style="7"/>
    <col min="454" max="454" width="33.28515625" style="7" customWidth="1"/>
    <col min="455" max="455" width="0.85546875" style="7" customWidth="1"/>
    <col min="456" max="456" width="12.28515625" style="7" customWidth="1"/>
    <col min="457" max="457" width="11.140625" style="7" customWidth="1"/>
    <col min="458" max="459" width="7.28515625" style="7" customWidth="1"/>
    <col min="460" max="460" width="0.85546875" style="7" customWidth="1"/>
    <col min="461" max="462" width="7.28515625" style="7" customWidth="1"/>
    <col min="463" max="463" width="18.28515625" style="7" customWidth="1"/>
    <col min="464" max="464" width="5.7109375" style="7" customWidth="1"/>
    <col min="465" max="465" width="7.140625" style="7"/>
    <col min="466" max="466" width="7.85546875" style="7" customWidth="1"/>
    <col min="467" max="467" width="5.7109375" style="7" customWidth="1"/>
    <col min="468" max="468" width="5" style="7" customWidth="1"/>
    <col min="469" max="469" width="2.28515625" style="7" customWidth="1"/>
    <col min="470" max="471" width="5" style="7" customWidth="1"/>
    <col min="472" max="709" width="7.140625" style="7"/>
    <col min="710" max="710" width="33.28515625" style="7" customWidth="1"/>
    <col min="711" max="711" width="0.85546875" style="7" customWidth="1"/>
    <col min="712" max="712" width="12.28515625" style="7" customWidth="1"/>
    <col min="713" max="713" width="11.140625" style="7" customWidth="1"/>
    <col min="714" max="715" width="7.28515625" style="7" customWidth="1"/>
    <col min="716" max="716" width="0.85546875" style="7" customWidth="1"/>
    <col min="717" max="718" width="7.28515625" style="7" customWidth="1"/>
    <col min="719" max="719" width="18.28515625" style="7" customWidth="1"/>
    <col min="720" max="720" width="5.7109375" style="7" customWidth="1"/>
    <col min="721" max="721" width="7.140625" style="7"/>
    <col min="722" max="722" width="7.85546875" style="7" customWidth="1"/>
    <col min="723" max="723" width="5.7109375" style="7" customWidth="1"/>
    <col min="724" max="724" width="5" style="7" customWidth="1"/>
    <col min="725" max="725" width="2.28515625" style="7" customWidth="1"/>
    <col min="726" max="727" width="5" style="7" customWidth="1"/>
    <col min="728" max="965" width="7.140625" style="7"/>
    <col min="966" max="966" width="33.28515625" style="7" customWidth="1"/>
    <col min="967" max="967" width="0.85546875" style="7" customWidth="1"/>
    <col min="968" max="968" width="12.28515625" style="7" customWidth="1"/>
    <col min="969" max="969" width="11.140625" style="7" customWidth="1"/>
    <col min="970" max="971" width="7.28515625" style="7" customWidth="1"/>
    <col min="972" max="972" width="0.85546875" style="7" customWidth="1"/>
    <col min="973" max="974" width="7.28515625" style="7" customWidth="1"/>
    <col min="975" max="975" width="18.28515625" style="7" customWidth="1"/>
    <col min="976" max="976" width="5.7109375" style="7" customWidth="1"/>
    <col min="977" max="977" width="7.140625" style="7"/>
    <col min="978" max="978" width="7.85546875" style="7" customWidth="1"/>
    <col min="979" max="979" width="5.7109375" style="7" customWidth="1"/>
    <col min="980" max="980" width="5" style="7" customWidth="1"/>
    <col min="981" max="981" width="2.28515625" style="7" customWidth="1"/>
    <col min="982" max="983" width="5" style="7" customWidth="1"/>
    <col min="984" max="1221" width="7.140625" style="7"/>
    <col min="1222" max="1222" width="33.28515625" style="7" customWidth="1"/>
    <col min="1223" max="1223" width="0.85546875" style="7" customWidth="1"/>
    <col min="1224" max="1224" width="12.28515625" style="7" customWidth="1"/>
    <col min="1225" max="1225" width="11.140625" style="7" customWidth="1"/>
    <col min="1226" max="1227" width="7.28515625" style="7" customWidth="1"/>
    <col min="1228" max="1228" width="0.85546875" style="7" customWidth="1"/>
    <col min="1229" max="1230" width="7.28515625" style="7" customWidth="1"/>
    <col min="1231" max="1231" width="18.28515625" style="7" customWidth="1"/>
    <col min="1232" max="1232" width="5.7109375" style="7" customWidth="1"/>
    <col min="1233" max="1233" width="7.140625" style="7"/>
    <col min="1234" max="1234" width="7.85546875" style="7" customWidth="1"/>
    <col min="1235" max="1235" width="5.7109375" style="7" customWidth="1"/>
    <col min="1236" max="1236" width="5" style="7" customWidth="1"/>
    <col min="1237" max="1237" width="2.28515625" style="7" customWidth="1"/>
    <col min="1238" max="1239" width="5" style="7" customWidth="1"/>
    <col min="1240" max="1477" width="7.140625" style="7"/>
    <col min="1478" max="1478" width="33.28515625" style="7" customWidth="1"/>
    <col min="1479" max="1479" width="0.85546875" style="7" customWidth="1"/>
    <col min="1480" max="1480" width="12.28515625" style="7" customWidth="1"/>
    <col min="1481" max="1481" width="11.140625" style="7" customWidth="1"/>
    <col min="1482" max="1483" width="7.28515625" style="7" customWidth="1"/>
    <col min="1484" max="1484" width="0.85546875" style="7" customWidth="1"/>
    <col min="1485" max="1486" width="7.28515625" style="7" customWidth="1"/>
    <col min="1487" max="1487" width="18.28515625" style="7" customWidth="1"/>
    <col min="1488" max="1488" width="5.7109375" style="7" customWidth="1"/>
    <col min="1489" max="1489" width="7.140625" style="7"/>
    <col min="1490" max="1490" width="7.85546875" style="7" customWidth="1"/>
    <col min="1491" max="1491" width="5.7109375" style="7" customWidth="1"/>
    <col min="1492" max="1492" width="5" style="7" customWidth="1"/>
    <col min="1493" max="1493" width="2.28515625" style="7" customWidth="1"/>
    <col min="1494" max="1495" width="5" style="7" customWidth="1"/>
    <col min="1496" max="1733" width="7.140625" style="7"/>
    <col min="1734" max="1734" width="33.28515625" style="7" customWidth="1"/>
    <col min="1735" max="1735" width="0.85546875" style="7" customWidth="1"/>
    <col min="1736" max="1736" width="12.28515625" style="7" customWidth="1"/>
    <col min="1737" max="1737" width="11.140625" style="7" customWidth="1"/>
    <col min="1738" max="1739" width="7.28515625" style="7" customWidth="1"/>
    <col min="1740" max="1740" width="0.85546875" style="7" customWidth="1"/>
    <col min="1741" max="1742" width="7.28515625" style="7" customWidth="1"/>
    <col min="1743" max="1743" width="18.28515625" style="7" customWidth="1"/>
    <col min="1744" max="1744" width="5.7109375" style="7" customWidth="1"/>
    <col min="1745" max="1745" width="7.140625" style="7"/>
    <col min="1746" max="1746" width="7.85546875" style="7" customWidth="1"/>
    <col min="1747" max="1747" width="5.7109375" style="7" customWidth="1"/>
    <col min="1748" max="1748" width="5" style="7" customWidth="1"/>
    <col min="1749" max="1749" width="2.28515625" style="7" customWidth="1"/>
    <col min="1750" max="1751" width="5" style="7" customWidth="1"/>
    <col min="1752" max="1989" width="7.140625" style="7"/>
    <col min="1990" max="1990" width="33.28515625" style="7" customWidth="1"/>
    <col min="1991" max="1991" width="0.85546875" style="7" customWidth="1"/>
    <col min="1992" max="1992" width="12.28515625" style="7" customWidth="1"/>
    <col min="1993" max="1993" width="11.140625" style="7" customWidth="1"/>
    <col min="1994" max="1995" width="7.28515625" style="7" customWidth="1"/>
    <col min="1996" max="1996" width="0.85546875" style="7" customWidth="1"/>
    <col min="1997" max="1998" width="7.28515625" style="7" customWidth="1"/>
    <col min="1999" max="1999" width="18.28515625" style="7" customWidth="1"/>
    <col min="2000" max="2000" width="5.7109375" style="7" customWidth="1"/>
    <col min="2001" max="2001" width="7.140625" style="7"/>
    <col min="2002" max="2002" width="7.85546875" style="7" customWidth="1"/>
    <col min="2003" max="2003" width="5.7109375" style="7" customWidth="1"/>
    <col min="2004" max="2004" width="5" style="7" customWidth="1"/>
    <col min="2005" max="2005" width="2.28515625" style="7" customWidth="1"/>
    <col min="2006" max="2007" width="5" style="7" customWidth="1"/>
    <col min="2008" max="2245" width="7.140625" style="7"/>
    <col min="2246" max="2246" width="33.28515625" style="7" customWidth="1"/>
    <col min="2247" max="2247" width="0.85546875" style="7" customWidth="1"/>
    <col min="2248" max="2248" width="12.28515625" style="7" customWidth="1"/>
    <col min="2249" max="2249" width="11.140625" style="7" customWidth="1"/>
    <col min="2250" max="2251" width="7.28515625" style="7" customWidth="1"/>
    <col min="2252" max="2252" width="0.85546875" style="7" customWidth="1"/>
    <col min="2253" max="2254" width="7.28515625" style="7" customWidth="1"/>
    <col min="2255" max="2255" width="18.28515625" style="7" customWidth="1"/>
    <col min="2256" max="2256" width="5.7109375" style="7" customWidth="1"/>
    <col min="2257" max="2257" width="7.140625" style="7"/>
    <col min="2258" max="2258" width="7.85546875" style="7" customWidth="1"/>
    <col min="2259" max="2259" width="5.7109375" style="7" customWidth="1"/>
    <col min="2260" max="2260" width="5" style="7" customWidth="1"/>
    <col min="2261" max="2261" width="2.28515625" style="7" customWidth="1"/>
    <col min="2262" max="2263" width="5" style="7" customWidth="1"/>
    <col min="2264" max="2501" width="7.140625" style="7"/>
    <col min="2502" max="2502" width="33.28515625" style="7" customWidth="1"/>
    <col min="2503" max="2503" width="0.85546875" style="7" customWidth="1"/>
    <col min="2504" max="2504" width="12.28515625" style="7" customWidth="1"/>
    <col min="2505" max="2505" width="11.140625" style="7" customWidth="1"/>
    <col min="2506" max="2507" width="7.28515625" style="7" customWidth="1"/>
    <col min="2508" max="2508" width="0.85546875" style="7" customWidth="1"/>
    <col min="2509" max="2510" width="7.28515625" style="7" customWidth="1"/>
    <col min="2511" max="2511" width="18.28515625" style="7" customWidth="1"/>
    <col min="2512" max="2512" width="5.7109375" style="7" customWidth="1"/>
    <col min="2513" max="2513" width="7.140625" style="7"/>
    <col min="2514" max="2514" width="7.85546875" style="7" customWidth="1"/>
    <col min="2515" max="2515" width="5.7109375" style="7" customWidth="1"/>
    <col min="2516" max="2516" width="5" style="7" customWidth="1"/>
    <col min="2517" max="2517" width="2.28515625" style="7" customWidth="1"/>
    <col min="2518" max="2519" width="5" style="7" customWidth="1"/>
    <col min="2520" max="2757" width="7.140625" style="7"/>
    <col min="2758" max="2758" width="33.28515625" style="7" customWidth="1"/>
    <col min="2759" max="2759" width="0.85546875" style="7" customWidth="1"/>
    <col min="2760" max="2760" width="12.28515625" style="7" customWidth="1"/>
    <col min="2761" max="2761" width="11.140625" style="7" customWidth="1"/>
    <col min="2762" max="2763" width="7.28515625" style="7" customWidth="1"/>
    <col min="2764" max="2764" width="0.85546875" style="7" customWidth="1"/>
    <col min="2765" max="2766" width="7.28515625" style="7" customWidth="1"/>
    <col min="2767" max="2767" width="18.28515625" style="7" customWidth="1"/>
    <col min="2768" max="2768" width="5.7109375" style="7" customWidth="1"/>
    <col min="2769" max="2769" width="7.140625" style="7"/>
    <col min="2770" max="2770" width="7.85546875" style="7" customWidth="1"/>
    <col min="2771" max="2771" width="5.7109375" style="7" customWidth="1"/>
    <col min="2772" max="2772" width="5" style="7" customWidth="1"/>
    <col min="2773" max="2773" width="2.28515625" style="7" customWidth="1"/>
    <col min="2774" max="2775" width="5" style="7" customWidth="1"/>
    <col min="2776" max="3013" width="7.140625" style="7"/>
    <col min="3014" max="3014" width="33.28515625" style="7" customWidth="1"/>
    <col min="3015" max="3015" width="0.85546875" style="7" customWidth="1"/>
    <col min="3016" max="3016" width="12.28515625" style="7" customWidth="1"/>
    <col min="3017" max="3017" width="11.140625" style="7" customWidth="1"/>
    <col min="3018" max="3019" width="7.28515625" style="7" customWidth="1"/>
    <col min="3020" max="3020" width="0.85546875" style="7" customWidth="1"/>
    <col min="3021" max="3022" width="7.28515625" style="7" customWidth="1"/>
    <col min="3023" max="3023" width="18.28515625" style="7" customWidth="1"/>
    <col min="3024" max="3024" width="5.7109375" style="7" customWidth="1"/>
    <col min="3025" max="3025" width="7.140625" style="7"/>
    <col min="3026" max="3026" width="7.85546875" style="7" customWidth="1"/>
    <col min="3027" max="3027" width="5.7109375" style="7" customWidth="1"/>
    <col min="3028" max="3028" width="5" style="7" customWidth="1"/>
    <col min="3029" max="3029" width="2.28515625" style="7" customWidth="1"/>
    <col min="3030" max="3031" width="5" style="7" customWidth="1"/>
    <col min="3032" max="3269" width="7.140625" style="7"/>
    <col min="3270" max="3270" width="33.28515625" style="7" customWidth="1"/>
    <col min="3271" max="3271" width="0.85546875" style="7" customWidth="1"/>
    <col min="3272" max="3272" width="12.28515625" style="7" customWidth="1"/>
    <col min="3273" max="3273" width="11.140625" style="7" customWidth="1"/>
    <col min="3274" max="3275" width="7.28515625" style="7" customWidth="1"/>
    <col min="3276" max="3276" width="0.85546875" style="7" customWidth="1"/>
    <col min="3277" max="3278" width="7.28515625" style="7" customWidth="1"/>
    <col min="3279" max="3279" width="18.28515625" style="7" customWidth="1"/>
    <col min="3280" max="3280" width="5.7109375" style="7" customWidth="1"/>
    <col min="3281" max="3281" width="7.140625" style="7"/>
    <col min="3282" max="3282" width="7.85546875" style="7" customWidth="1"/>
    <col min="3283" max="3283" width="5.7109375" style="7" customWidth="1"/>
    <col min="3284" max="3284" width="5" style="7" customWidth="1"/>
    <col min="3285" max="3285" width="2.28515625" style="7" customWidth="1"/>
    <col min="3286" max="3287" width="5" style="7" customWidth="1"/>
    <col min="3288" max="3525" width="7.140625" style="7"/>
    <col min="3526" max="3526" width="33.28515625" style="7" customWidth="1"/>
    <col min="3527" max="3527" width="0.85546875" style="7" customWidth="1"/>
    <col min="3528" max="3528" width="12.28515625" style="7" customWidth="1"/>
    <col min="3529" max="3529" width="11.140625" style="7" customWidth="1"/>
    <col min="3530" max="3531" width="7.28515625" style="7" customWidth="1"/>
    <col min="3532" max="3532" width="0.85546875" style="7" customWidth="1"/>
    <col min="3533" max="3534" width="7.28515625" style="7" customWidth="1"/>
    <col min="3535" max="3535" width="18.28515625" style="7" customWidth="1"/>
    <col min="3536" max="3536" width="5.7109375" style="7" customWidth="1"/>
    <col min="3537" max="3537" width="7.140625" style="7"/>
    <col min="3538" max="3538" width="7.85546875" style="7" customWidth="1"/>
    <col min="3539" max="3539" width="5.7109375" style="7" customWidth="1"/>
    <col min="3540" max="3540" width="5" style="7" customWidth="1"/>
    <col min="3541" max="3541" width="2.28515625" style="7" customWidth="1"/>
    <col min="3542" max="3543" width="5" style="7" customWidth="1"/>
    <col min="3544" max="3781" width="7.140625" style="7"/>
    <col min="3782" max="3782" width="33.28515625" style="7" customWidth="1"/>
    <col min="3783" max="3783" width="0.85546875" style="7" customWidth="1"/>
    <col min="3784" max="3784" width="12.28515625" style="7" customWidth="1"/>
    <col min="3785" max="3785" width="11.140625" style="7" customWidth="1"/>
    <col min="3786" max="3787" width="7.28515625" style="7" customWidth="1"/>
    <col min="3788" max="3788" width="0.85546875" style="7" customWidth="1"/>
    <col min="3789" max="3790" width="7.28515625" style="7" customWidth="1"/>
    <col min="3791" max="3791" width="18.28515625" style="7" customWidth="1"/>
    <col min="3792" max="3792" width="5.7109375" style="7" customWidth="1"/>
    <col min="3793" max="3793" width="7.140625" style="7"/>
    <col min="3794" max="3794" width="7.85546875" style="7" customWidth="1"/>
    <col min="3795" max="3795" width="5.7109375" style="7" customWidth="1"/>
    <col min="3796" max="3796" width="5" style="7" customWidth="1"/>
    <col min="3797" max="3797" width="2.28515625" style="7" customWidth="1"/>
    <col min="3798" max="3799" width="5" style="7" customWidth="1"/>
    <col min="3800" max="4037" width="7.140625" style="7"/>
    <col min="4038" max="4038" width="33.28515625" style="7" customWidth="1"/>
    <col min="4039" max="4039" width="0.85546875" style="7" customWidth="1"/>
    <col min="4040" max="4040" width="12.28515625" style="7" customWidth="1"/>
    <col min="4041" max="4041" width="11.140625" style="7" customWidth="1"/>
    <col min="4042" max="4043" width="7.28515625" style="7" customWidth="1"/>
    <col min="4044" max="4044" width="0.85546875" style="7" customWidth="1"/>
    <col min="4045" max="4046" width="7.28515625" style="7" customWidth="1"/>
    <col min="4047" max="4047" width="18.28515625" style="7" customWidth="1"/>
    <col min="4048" max="4048" width="5.7109375" style="7" customWidth="1"/>
    <col min="4049" max="4049" width="7.140625" style="7"/>
    <col min="4050" max="4050" width="7.85546875" style="7" customWidth="1"/>
    <col min="4051" max="4051" width="5.7109375" style="7" customWidth="1"/>
    <col min="4052" max="4052" width="5" style="7" customWidth="1"/>
    <col min="4053" max="4053" width="2.28515625" style="7" customWidth="1"/>
    <col min="4054" max="4055" width="5" style="7" customWidth="1"/>
    <col min="4056" max="4293" width="7.140625" style="7"/>
    <col min="4294" max="4294" width="33.28515625" style="7" customWidth="1"/>
    <col min="4295" max="4295" width="0.85546875" style="7" customWidth="1"/>
    <col min="4296" max="4296" width="12.28515625" style="7" customWidth="1"/>
    <col min="4297" max="4297" width="11.140625" style="7" customWidth="1"/>
    <col min="4298" max="4299" width="7.28515625" style="7" customWidth="1"/>
    <col min="4300" max="4300" width="0.85546875" style="7" customWidth="1"/>
    <col min="4301" max="4302" width="7.28515625" style="7" customWidth="1"/>
    <col min="4303" max="4303" width="18.28515625" style="7" customWidth="1"/>
    <col min="4304" max="4304" width="5.7109375" style="7" customWidth="1"/>
    <col min="4305" max="4305" width="7.140625" style="7"/>
    <col min="4306" max="4306" width="7.85546875" style="7" customWidth="1"/>
    <col min="4307" max="4307" width="5.7109375" style="7" customWidth="1"/>
    <col min="4308" max="4308" width="5" style="7" customWidth="1"/>
    <col min="4309" max="4309" width="2.28515625" style="7" customWidth="1"/>
    <col min="4310" max="4311" width="5" style="7" customWidth="1"/>
    <col min="4312" max="4549" width="7.140625" style="7"/>
    <col min="4550" max="4550" width="33.28515625" style="7" customWidth="1"/>
    <col min="4551" max="4551" width="0.85546875" style="7" customWidth="1"/>
    <col min="4552" max="4552" width="12.28515625" style="7" customWidth="1"/>
    <col min="4553" max="4553" width="11.140625" style="7" customWidth="1"/>
    <col min="4554" max="4555" width="7.28515625" style="7" customWidth="1"/>
    <col min="4556" max="4556" width="0.85546875" style="7" customWidth="1"/>
    <col min="4557" max="4558" width="7.28515625" style="7" customWidth="1"/>
    <col min="4559" max="4559" width="18.28515625" style="7" customWidth="1"/>
    <col min="4560" max="4560" width="5.7109375" style="7" customWidth="1"/>
    <col min="4561" max="4561" width="7.140625" style="7"/>
    <col min="4562" max="4562" width="7.85546875" style="7" customWidth="1"/>
    <col min="4563" max="4563" width="5.7109375" style="7" customWidth="1"/>
    <col min="4564" max="4564" width="5" style="7" customWidth="1"/>
    <col min="4565" max="4565" width="2.28515625" style="7" customWidth="1"/>
    <col min="4566" max="4567" width="5" style="7" customWidth="1"/>
    <col min="4568" max="4805" width="7.140625" style="7"/>
    <col min="4806" max="4806" width="33.28515625" style="7" customWidth="1"/>
    <col min="4807" max="4807" width="0.85546875" style="7" customWidth="1"/>
    <col min="4808" max="4808" width="12.28515625" style="7" customWidth="1"/>
    <col min="4809" max="4809" width="11.140625" style="7" customWidth="1"/>
    <col min="4810" max="4811" width="7.28515625" style="7" customWidth="1"/>
    <col min="4812" max="4812" width="0.85546875" style="7" customWidth="1"/>
    <col min="4813" max="4814" width="7.28515625" style="7" customWidth="1"/>
    <col min="4815" max="4815" width="18.28515625" style="7" customWidth="1"/>
    <col min="4816" max="4816" width="5.7109375" style="7" customWidth="1"/>
    <col min="4817" max="4817" width="7.140625" style="7"/>
    <col min="4818" max="4818" width="7.85546875" style="7" customWidth="1"/>
    <col min="4819" max="4819" width="5.7109375" style="7" customWidth="1"/>
    <col min="4820" max="4820" width="5" style="7" customWidth="1"/>
    <col min="4821" max="4821" width="2.28515625" style="7" customWidth="1"/>
    <col min="4822" max="4823" width="5" style="7" customWidth="1"/>
    <col min="4824" max="5061" width="7.140625" style="7"/>
    <col min="5062" max="5062" width="33.28515625" style="7" customWidth="1"/>
    <col min="5063" max="5063" width="0.85546875" style="7" customWidth="1"/>
    <col min="5064" max="5064" width="12.28515625" style="7" customWidth="1"/>
    <col min="5065" max="5065" width="11.140625" style="7" customWidth="1"/>
    <col min="5066" max="5067" width="7.28515625" style="7" customWidth="1"/>
    <col min="5068" max="5068" width="0.85546875" style="7" customWidth="1"/>
    <col min="5069" max="5070" width="7.28515625" style="7" customWidth="1"/>
    <col min="5071" max="5071" width="18.28515625" style="7" customWidth="1"/>
    <col min="5072" max="5072" width="5.7109375" style="7" customWidth="1"/>
    <col min="5073" max="5073" width="7.140625" style="7"/>
    <col min="5074" max="5074" width="7.85546875" style="7" customWidth="1"/>
    <col min="5075" max="5075" width="5.7109375" style="7" customWidth="1"/>
    <col min="5076" max="5076" width="5" style="7" customWidth="1"/>
    <col min="5077" max="5077" width="2.28515625" style="7" customWidth="1"/>
    <col min="5078" max="5079" width="5" style="7" customWidth="1"/>
    <col min="5080" max="5317" width="7.140625" style="7"/>
    <col min="5318" max="5318" width="33.28515625" style="7" customWidth="1"/>
    <col min="5319" max="5319" width="0.85546875" style="7" customWidth="1"/>
    <col min="5320" max="5320" width="12.28515625" style="7" customWidth="1"/>
    <col min="5321" max="5321" width="11.140625" style="7" customWidth="1"/>
    <col min="5322" max="5323" width="7.28515625" style="7" customWidth="1"/>
    <col min="5324" max="5324" width="0.85546875" style="7" customWidth="1"/>
    <col min="5325" max="5326" width="7.28515625" style="7" customWidth="1"/>
    <col min="5327" max="5327" width="18.28515625" style="7" customWidth="1"/>
    <col min="5328" max="5328" width="5.7109375" style="7" customWidth="1"/>
    <col min="5329" max="5329" width="7.140625" style="7"/>
    <col min="5330" max="5330" width="7.85546875" style="7" customWidth="1"/>
    <col min="5331" max="5331" width="5.7109375" style="7" customWidth="1"/>
    <col min="5332" max="5332" width="5" style="7" customWidth="1"/>
    <col min="5333" max="5333" width="2.28515625" style="7" customWidth="1"/>
    <col min="5334" max="5335" width="5" style="7" customWidth="1"/>
    <col min="5336" max="5573" width="7.140625" style="7"/>
    <col min="5574" max="5574" width="33.28515625" style="7" customWidth="1"/>
    <col min="5575" max="5575" width="0.85546875" style="7" customWidth="1"/>
    <col min="5576" max="5576" width="12.28515625" style="7" customWidth="1"/>
    <col min="5577" max="5577" width="11.140625" style="7" customWidth="1"/>
    <col min="5578" max="5579" width="7.28515625" style="7" customWidth="1"/>
    <col min="5580" max="5580" width="0.85546875" style="7" customWidth="1"/>
    <col min="5581" max="5582" width="7.28515625" style="7" customWidth="1"/>
    <col min="5583" max="5583" width="18.28515625" style="7" customWidth="1"/>
    <col min="5584" max="5584" width="5.7109375" style="7" customWidth="1"/>
    <col min="5585" max="5585" width="7.140625" style="7"/>
    <col min="5586" max="5586" width="7.85546875" style="7" customWidth="1"/>
    <col min="5587" max="5587" width="5.7109375" style="7" customWidth="1"/>
    <col min="5588" max="5588" width="5" style="7" customWidth="1"/>
    <col min="5589" max="5589" width="2.28515625" style="7" customWidth="1"/>
    <col min="5590" max="5591" width="5" style="7" customWidth="1"/>
    <col min="5592" max="5829" width="7.140625" style="7"/>
    <col min="5830" max="5830" width="33.28515625" style="7" customWidth="1"/>
    <col min="5831" max="5831" width="0.85546875" style="7" customWidth="1"/>
    <col min="5832" max="5832" width="12.28515625" style="7" customWidth="1"/>
    <col min="5833" max="5833" width="11.140625" style="7" customWidth="1"/>
    <col min="5834" max="5835" width="7.28515625" style="7" customWidth="1"/>
    <col min="5836" max="5836" width="0.85546875" style="7" customWidth="1"/>
    <col min="5837" max="5838" width="7.28515625" style="7" customWidth="1"/>
    <col min="5839" max="5839" width="18.28515625" style="7" customWidth="1"/>
    <col min="5840" max="5840" width="5.7109375" style="7" customWidth="1"/>
    <col min="5841" max="5841" width="7.140625" style="7"/>
    <col min="5842" max="5842" width="7.85546875" style="7" customWidth="1"/>
    <col min="5843" max="5843" width="5.7109375" style="7" customWidth="1"/>
    <col min="5844" max="5844" width="5" style="7" customWidth="1"/>
    <col min="5845" max="5845" width="2.28515625" style="7" customWidth="1"/>
    <col min="5846" max="5847" width="5" style="7" customWidth="1"/>
    <col min="5848" max="6085" width="7.140625" style="7"/>
    <col min="6086" max="6086" width="33.28515625" style="7" customWidth="1"/>
    <col min="6087" max="6087" width="0.85546875" style="7" customWidth="1"/>
    <col min="6088" max="6088" width="12.28515625" style="7" customWidth="1"/>
    <col min="6089" max="6089" width="11.140625" style="7" customWidth="1"/>
    <col min="6090" max="6091" width="7.28515625" style="7" customWidth="1"/>
    <col min="6092" max="6092" width="0.85546875" style="7" customWidth="1"/>
    <col min="6093" max="6094" width="7.28515625" style="7" customWidth="1"/>
    <col min="6095" max="6095" width="18.28515625" style="7" customWidth="1"/>
    <col min="6096" max="6096" width="5.7109375" style="7" customWidth="1"/>
    <col min="6097" max="6097" width="7.140625" style="7"/>
    <col min="6098" max="6098" width="7.85546875" style="7" customWidth="1"/>
    <col min="6099" max="6099" width="5.7109375" style="7" customWidth="1"/>
    <col min="6100" max="6100" width="5" style="7" customWidth="1"/>
    <col min="6101" max="6101" width="2.28515625" style="7" customWidth="1"/>
    <col min="6102" max="6103" width="5" style="7" customWidth="1"/>
    <col min="6104" max="6341" width="7.140625" style="7"/>
    <col min="6342" max="6342" width="33.28515625" style="7" customWidth="1"/>
    <col min="6343" max="6343" width="0.85546875" style="7" customWidth="1"/>
    <col min="6344" max="6344" width="12.28515625" style="7" customWidth="1"/>
    <col min="6345" max="6345" width="11.140625" style="7" customWidth="1"/>
    <col min="6346" max="6347" width="7.28515625" style="7" customWidth="1"/>
    <col min="6348" max="6348" width="0.85546875" style="7" customWidth="1"/>
    <col min="6349" max="6350" width="7.28515625" style="7" customWidth="1"/>
    <col min="6351" max="6351" width="18.28515625" style="7" customWidth="1"/>
    <col min="6352" max="6352" width="5.7109375" style="7" customWidth="1"/>
    <col min="6353" max="6353" width="7.140625" style="7"/>
    <col min="6354" max="6354" width="7.85546875" style="7" customWidth="1"/>
    <col min="6355" max="6355" width="5.7109375" style="7" customWidth="1"/>
    <col min="6356" max="6356" width="5" style="7" customWidth="1"/>
    <col min="6357" max="6357" width="2.28515625" style="7" customWidth="1"/>
    <col min="6358" max="6359" width="5" style="7" customWidth="1"/>
    <col min="6360" max="6597" width="7.140625" style="7"/>
    <col min="6598" max="6598" width="33.28515625" style="7" customWidth="1"/>
    <col min="6599" max="6599" width="0.85546875" style="7" customWidth="1"/>
    <col min="6600" max="6600" width="12.28515625" style="7" customWidth="1"/>
    <col min="6601" max="6601" width="11.140625" style="7" customWidth="1"/>
    <col min="6602" max="6603" width="7.28515625" style="7" customWidth="1"/>
    <col min="6604" max="6604" width="0.85546875" style="7" customWidth="1"/>
    <col min="6605" max="6606" width="7.28515625" style="7" customWidth="1"/>
    <col min="6607" max="6607" width="18.28515625" style="7" customWidth="1"/>
    <col min="6608" max="6608" width="5.7109375" style="7" customWidth="1"/>
    <col min="6609" max="6609" width="7.140625" style="7"/>
    <col min="6610" max="6610" width="7.85546875" style="7" customWidth="1"/>
    <col min="6611" max="6611" width="5.7109375" style="7" customWidth="1"/>
    <col min="6612" max="6612" width="5" style="7" customWidth="1"/>
    <col min="6613" max="6613" width="2.28515625" style="7" customWidth="1"/>
    <col min="6614" max="6615" width="5" style="7" customWidth="1"/>
    <col min="6616" max="6853" width="7.140625" style="7"/>
    <col min="6854" max="6854" width="33.28515625" style="7" customWidth="1"/>
    <col min="6855" max="6855" width="0.85546875" style="7" customWidth="1"/>
    <col min="6856" max="6856" width="12.28515625" style="7" customWidth="1"/>
    <col min="6857" max="6857" width="11.140625" style="7" customWidth="1"/>
    <col min="6858" max="6859" width="7.28515625" style="7" customWidth="1"/>
    <col min="6860" max="6860" width="0.85546875" style="7" customWidth="1"/>
    <col min="6861" max="6862" width="7.28515625" style="7" customWidth="1"/>
    <col min="6863" max="6863" width="18.28515625" style="7" customWidth="1"/>
    <col min="6864" max="6864" width="5.7109375" style="7" customWidth="1"/>
    <col min="6865" max="6865" width="7.140625" style="7"/>
    <col min="6866" max="6866" width="7.85546875" style="7" customWidth="1"/>
    <col min="6867" max="6867" width="5.7109375" style="7" customWidth="1"/>
    <col min="6868" max="6868" width="5" style="7" customWidth="1"/>
    <col min="6869" max="6869" width="2.28515625" style="7" customWidth="1"/>
    <col min="6870" max="6871" width="5" style="7" customWidth="1"/>
    <col min="6872" max="7109" width="7.140625" style="7"/>
    <col min="7110" max="7110" width="33.28515625" style="7" customWidth="1"/>
    <col min="7111" max="7111" width="0.85546875" style="7" customWidth="1"/>
    <col min="7112" max="7112" width="12.28515625" style="7" customWidth="1"/>
    <col min="7113" max="7113" width="11.140625" style="7" customWidth="1"/>
    <col min="7114" max="7115" width="7.28515625" style="7" customWidth="1"/>
    <col min="7116" max="7116" width="0.85546875" style="7" customWidth="1"/>
    <col min="7117" max="7118" width="7.28515625" style="7" customWidth="1"/>
    <col min="7119" max="7119" width="18.28515625" style="7" customWidth="1"/>
    <col min="7120" max="7120" width="5.7109375" style="7" customWidth="1"/>
    <col min="7121" max="7121" width="7.140625" style="7"/>
    <col min="7122" max="7122" width="7.85546875" style="7" customWidth="1"/>
    <col min="7123" max="7123" width="5.7109375" style="7" customWidth="1"/>
    <col min="7124" max="7124" width="5" style="7" customWidth="1"/>
    <col min="7125" max="7125" width="2.28515625" style="7" customWidth="1"/>
    <col min="7126" max="7127" width="5" style="7" customWidth="1"/>
    <col min="7128" max="7365" width="7.140625" style="7"/>
    <col min="7366" max="7366" width="33.28515625" style="7" customWidth="1"/>
    <col min="7367" max="7367" width="0.85546875" style="7" customWidth="1"/>
    <col min="7368" max="7368" width="12.28515625" style="7" customWidth="1"/>
    <col min="7369" max="7369" width="11.140625" style="7" customWidth="1"/>
    <col min="7370" max="7371" width="7.28515625" style="7" customWidth="1"/>
    <col min="7372" max="7372" width="0.85546875" style="7" customWidth="1"/>
    <col min="7373" max="7374" width="7.28515625" style="7" customWidth="1"/>
    <col min="7375" max="7375" width="18.28515625" style="7" customWidth="1"/>
    <col min="7376" max="7376" width="5.7109375" style="7" customWidth="1"/>
    <col min="7377" max="7377" width="7.140625" style="7"/>
    <col min="7378" max="7378" width="7.85546875" style="7" customWidth="1"/>
    <col min="7379" max="7379" width="5.7109375" style="7" customWidth="1"/>
    <col min="7380" max="7380" width="5" style="7" customWidth="1"/>
    <col min="7381" max="7381" width="2.28515625" style="7" customWidth="1"/>
    <col min="7382" max="7383" width="5" style="7" customWidth="1"/>
    <col min="7384" max="7621" width="7.140625" style="7"/>
    <col min="7622" max="7622" width="33.28515625" style="7" customWidth="1"/>
    <col min="7623" max="7623" width="0.85546875" style="7" customWidth="1"/>
    <col min="7624" max="7624" width="12.28515625" style="7" customWidth="1"/>
    <col min="7625" max="7625" width="11.140625" style="7" customWidth="1"/>
    <col min="7626" max="7627" width="7.28515625" style="7" customWidth="1"/>
    <col min="7628" max="7628" width="0.85546875" style="7" customWidth="1"/>
    <col min="7629" max="7630" width="7.28515625" style="7" customWidth="1"/>
    <col min="7631" max="7631" width="18.28515625" style="7" customWidth="1"/>
    <col min="7632" max="7632" width="5.7109375" style="7" customWidth="1"/>
    <col min="7633" max="7633" width="7.140625" style="7"/>
    <col min="7634" max="7634" width="7.85546875" style="7" customWidth="1"/>
    <col min="7635" max="7635" width="5.7109375" style="7" customWidth="1"/>
    <col min="7636" max="7636" width="5" style="7" customWidth="1"/>
    <col min="7637" max="7637" width="2.28515625" style="7" customWidth="1"/>
    <col min="7638" max="7639" width="5" style="7" customWidth="1"/>
    <col min="7640" max="7877" width="7.140625" style="7"/>
    <col min="7878" max="7878" width="33.28515625" style="7" customWidth="1"/>
    <col min="7879" max="7879" width="0.85546875" style="7" customWidth="1"/>
    <col min="7880" max="7880" width="12.28515625" style="7" customWidth="1"/>
    <col min="7881" max="7881" width="11.140625" style="7" customWidth="1"/>
    <col min="7882" max="7883" width="7.28515625" style="7" customWidth="1"/>
    <col min="7884" max="7884" width="0.85546875" style="7" customWidth="1"/>
    <col min="7885" max="7886" width="7.28515625" style="7" customWidth="1"/>
    <col min="7887" max="7887" width="18.28515625" style="7" customWidth="1"/>
    <col min="7888" max="7888" width="5.7109375" style="7" customWidth="1"/>
    <col min="7889" max="7889" width="7.140625" style="7"/>
    <col min="7890" max="7890" width="7.85546875" style="7" customWidth="1"/>
    <col min="7891" max="7891" width="5.7109375" style="7" customWidth="1"/>
    <col min="7892" max="7892" width="5" style="7" customWidth="1"/>
    <col min="7893" max="7893" width="2.28515625" style="7" customWidth="1"/>
    <col min="7894" max="7895" width="5" style="7" customWidth="1"/>
    <col min="7896" max="8133" width="7.140625" style="7"/>
    <col min="8134" max="8134" width="33.28515625" style="7" customWidth="1"/>
    <col min="8135" max="8135" width="0.85546875" style="7" customWidth="1"/>
    <col min="8136" max="8136" width="12.28515625" style="7" customWidth="1"/>
    <col min="8137" max="8137" width="11.140625" style="7" customWidth="1"/>
    <col min="8138" max="8139" width="7.28515625" style="7" customWidth="1"/>
    <col min="8140" max="8140" width="0.85546875" style="7" customWidth="1"/>
    <col min="8141" max="8142" width="7.28515625" style="7" customWidth="1"/>
    <col min="8143" max="8143" width="18.28515625" style="7" customWidth="1"/>
    <col min="8144" max="8144" width="5.7109375" style="7" customWidth="1"/>
    <col min="8145" max="8145" width="7.140625" style="7"/>
    <col min="8146" max="8146" width="7.85546875" style="7" customWidth="1"/>
    <col min="8147" max="8147" width="5.7109375" style="7" customWidth="1"/>
    <col min="8148" max="8148" width="5" style="7" customWidth="1"/>
    <col min="8149" max="8149" width="2.28515625" style="7" customWidth="1"/>
    <col min="8150" max="8151" width="5" style="7" customWidth="1"/>
    <col min="8152" max="8389" width="7.140625" style="7"/>
    <col min="8390" max="8390" width="33.28515625" style="7" customWidth="1"/>
    <col min="8391" max="8391" width="0.85546875" style="7" customWidth="1"/>
    <col min="8392" max="8392" width="12.28515625" style="7" customWidth="1"/>
    <col min="8393" max="8393" width="11.140625" style="7" customWidth="1"/>
    <col min="8394" max="8395" width="7.28515625" style="7" customWidth="1"/>
    <col min="8396" max="8396" width="0.85546875" style="7" customWidth="1"/>
    <col min="8397" max="8398" width="7.28515625" style="7" customWidth="1"/>
    <col min="8399" max="8399" width="18.28515625" style="7" customWidth="1"/>
    <col min="8400" max="8400" width="5.7109375" style="7" customWidth="1"/>
    <col min="8401" max="8401" width="7.140625" style="7"/>
    <col min="8402" max="8402" width="7.85546875" style="7" customWidth="1"/>
    <col min="8403" max="8403" width="5.7109375" style="7" customWidth="1"/>
    <col min="8404" max="8404" width="5" style="7" customWidth="1"/>
    <col min="8405" max="8405" width="2.28515625" style="7" customWidth="1"/>
    <col min="8406" max="8407" width="5" style="7" customWidth="1"/>
    <col min="8408" max="8645" width="7.140625" style="7"/>
    <col min="8646" max="8646" width="33.28515625" style="7" customWidth="1"/>
    <col min="8647" max="8647" width="0.85546875" style="7" customWidth="1"/>
    <col min="8648" max="8648" width="12.28515625" style="7" customWidth="1"/>
    <col min="8649" max="8649" width="11.140625" style="7" customWidth="1"/>
    <col min="8650" max="8651" width="7.28515625" style="7" customWidth="1"/>
    <col min="8652" max="8652" width="0.85546875" style="7" customWidth="1"/>
    <col min="8653" max="8654" width="7.28515625" style="7" customWidth="1"/>
    <col min="8655" max="8655" width="18.28515625" style="7" customWidth="1"/>
    <col min="8656" max="8656" width="5.7109375" style="7" customWidth="1"/>
    <col min="8657" max="8657" width="7.140625" style="7"/>
    <col min="8658" max="8658" width="7.85546875" style="7" customWidth="1"/>
    <col min="8659" max="8659" width="5.7109375" style="7" customWidth="1"/>
    <col min="8660" max="8660" width="5" style="7" customWidth="1"/>
    <col min="8661" max="8661" width="2.28515625" style="7" customWidth="1"/>
    <col min="8662" max="8663" width="5" style="7" customWidth="1"/>
    <col min="8664" max="8901" width="7.140625" style="7"/>
    <col min="8902" max="8902" width="33.28515625" style="7" customWidth="1"/>
    <col min="8903" max="8903" width="0.85546875" style="7" customWidth="1"/>
    <col min="8904" max="8904" width="12.28515625" style="7" customWidth="1"/>
    <col min="8905" max="8905" width="11.140625" style="7" customWidth="1"/>
    <col min="8906" max="8907" width="7.28515625" style="7" customWidth="1"/>
    <col min="8908" max="8908" width="0.85546875" style="7" customWidth="1"/>
    <col min="8909" max="8910" width="7.28515625" style="7" customWidth="1"/>
    <col min="8911" max="8911" width="18.28515625" style="7" customWidth="1"/>
    <col min="8912" max="8912" width="5.7109375" style="7" customWidth="1"/>
    <col min="8913" max="8913" width="7.140625" style="7"/>
    <col min="8914" max="8914" width="7.85546875" style="7" customWidth="1"/>
    <col min="8915" max="8915" width="5.7109375" style="7" customWidth="1"/>
    <col min="8916" max="8916" width="5" style="7" customWidth="1"/>
    <col min="8917" max="8917" width="2.28515625" style="7" customWidth="1"/>
    <col min="8918" max="8919" width="5" style="7" customWidth="1"/>
    <col min="8920" max="9157" width="7.140625" style="7"/>
    <col min="9158" max="9158" width="33.28515625" style="7" customWidth="1"/>
    <col min="9159" max="9159" width="0.85546875" style="7" customWidth="1"/>
    <col min="9160" max="9160" width="12.28515625" style="7" customWidth="1"/>
    <col min="9161" max="9161" width="11.140625" style="7" customWidth="1"/>
    <col min="9162" max="9163" width="7.28515625" style="7" customWidth="1"/>
    <col min="9164" max="9164" width="0.85546875" style="7" customWidth="1"/>
    <col min="9165" max="9166" width="7.28515625" style="7" customWidth="1"/>
    <col min="9167" max="9167" width="18.28515625" style="7" customWidth="1"/>
    <col min="9168" max="9168" width="5.7109375" style="7" customWidth="1"/>
    <col min="9169" max="9169" width="7.140625" style="7"/>
    <col min="9170" max="9170" width="7.85546875" style="7" customWidth="1"/>
    <col min="9171" max="9171" width="5.7109375" style="7" customWidth="1"/>
    <col min="9172" max="9172" width="5" style="7" customWidth="1"/>
    <col min="9173" max="9173" width="2.28515625" style="7" customWidth="1"/>
    <col min="9174" max="9175" width="5" style="7" customWidth="1"/>
    <col min="9176" max="9413" width="7.140625" style="7"/>
    <col min="9414" max="9414" width="33.28515625" style="7" customWidth="1"/>
    <col min="9415" max="9415" width="0.85546875" style="7" customWidth="1"/>
    <col min="9416" max="9416" width="12.28515625" style="7" customWidth="1"/>
    <col min="9417" max="9417" width="11.140625" style="7" customWidth="1"/>
    <col min="9418" max="9419" width="7.28515625" style="7" customWidth="1"/>
    <col min="9420" max="9420" width="0.85546875" style="7" customWidth="1"/>
    <col min="9421" max="9422" width="7.28515625" style="7" customWidth="1"/>
    <col min="9423" max="9423" width="18.28515625" style="7" customWidth="1"/>
    <col min="9424" max="9424" width="5.7109375" style="7" customWidth="1"/>
    <col min="9425" max="9425" width="7.140625" style="7"/>
    <col min="9426" max="9426" width="7.85546875" style="7" customWidth="1"/>
    <col min="9427" max="9427" width="5.7109375" style="7" customWidth="1"/>
    <col min="9428" max="9428" width="5" style="7" customWidth="1"/>
    <col min="9429" max="9429" width="2.28515625" style="7" customWidth="1"/>
    <col min="9430" max="9431" width="5" style="7" customWidth="1"/>
    <col min="9432" max="9669" width="7.140625" style="7"/>
    <col min="9670" max="9670" width="33.28515625" style="7" customWidth="1"/>
    <col min="9671" max="9671" width="0.85546875" style="7" customWidth="1"/>
    <col min="9672" max="9672" width="12.28515625" style="7" customWidth="1"/>
    <col min="9673" max="9673" width="11.140625" style="7" customWidth="1"/>
    <col min="9674" max="9675" width="7.28515625" style="7" customWidth="1"/>
    <col min="9676" max="9676" width="0.85546875" style="7" customWidth="1"/>
    <col min="9677" max="9678" width="7.28515625" style="7" customWidth="1"/>
    <col min="9679" max="9679" width="18.28515625" style="7" customWidth="1"/>
    <col min="9680" max="9680" width="5.7109375" style="7" customWidth="1"/>
    <col min="9681" max="9681" width="7.140625" style="7"/>
    <col min="9682" max="9682" width="7.85546875" style="7" customWidth="1"/>
    <col min="9683" max="9683" width="5.7109375" style="7" customWidth="1"/>
    <col min="9684" max="9684" width="5" style="7" customWidth="1"/>
    <col min="9685" max="9685" width="2.28515625" style="7" customWidth="1"/>
    <col min="9686" max="9687" width="5" style="7" customWidth="1"/>
    <col min="9688" max="9925" width="7.140625" style="7"/>
    <col min="9926" max="9926" width="33.28515625" style="7" customWidth="1"/>
    <col min="9927" max="9927" width="0.85546875" style="7" customWidth="1"/>
    <col min="9928" max="9928" width="12.28515625" style="7" customWidth="1"/>
    <col min="9929" max="9929" width="11.140625" style="7" customWidth="1"/>
    <col min="9930" max="9931" width="7.28515625" style="7" customWidth="1"/>
    <col min="9932" max="9932" width="0.85546875" style="7" customWidth="1"/>
    <col min="9933" max="9934" width="7.28515625" style="7" customWidth="1"/>
    <col min="9935" max="9935" width="18.28515625" style="7" customWidth="1"/>
    <col min="9936" max="9936" width="5.7109375" style="7" customWidth="1"/>
    <col min="9937" max="9937" width="7.140625" style="7"/>
    <col min="9938" max="9938" width="7.85546875" style="7" customWidth="1"/>
    <col min="9939" max="9939" width="5.7109375" style="7" customWidth="1"/>
    <col min="9940" max="9940" width="5" style="7" customWidth="1"/>
    <col min="9941" max="9941" width="2.28515625" style="7" customWidth="1"/>
    <col min="9942" max="9943" width="5" style="7" customWidth="1"/>
    <col min="9944" max="10181" width="7.140625" style="7"/>
    <col min="10182" max="10182" width="33.28515625" style="7" customWidth="1"/>
    <col min="10183" max="10183" width="0.85546875" style="7" customWidth="1"/>
    <col min="10184" max="10184" width="12.28515625" style="7" customWidth="1"/>
    <col min="10185" max="10185" width="11.140625" style="7" customWidth="1"/>
    <col min="10186" max="10187" width="7.28515625" style="7" customWidth="1"/>
    <col min="10188" max="10188" width="0.85546875" style="7" customWidth="1"/>
    <col min="10189" max="10190" width="7.28515625" style="7" customWidth="1"/>
    <col min="10191" max="10191" width="18.28515625" style="7" customWidth="1"/>
    <col min="10192" max="10192" width="5.7109375" style="7" customWidth="1"/>
    <col min="10193" max="10193" width="7.140625" style="7"/>
    <col min="10194" max="10194" width="7.85546875" style="7" customWidth="1"/>
    <col min="10195" max="10195" width="5.7109375" style="7" customWidth="1"/>
    <col min="10196" max="10196" width="5" style="7" customWidth="1"/>
    <col min="10197" max="10197" width="2.28515625" style="7" customWidth="1"/>
    <col min="10198" max="10199" width="5" style="7" customWidth="1"/>
    <col min="10200" max="10437" width="7.140625" style="7"/>
    <col min="10438" max="10438" width="33.28515625" style="7" customWidth="1"/>
    <col min="10439" max="10439" width="0.85546875" style="7" customWidth="1"/>
    <col min="10440" max="10440" width="12.28515625" style="7" customWidth="1"/>
    <col min="10441" max="10441" width="11.140625" style="7" customWidth="1"/>
    <col min="10442" max="10443" width="7.28515625" style="7" customWidth="1"/>
    <col min="10444" max="10444" width="0.85546875" style="7" customWidth="1"/>
    <col min="10445" max="10446" width="7.28515625" style="7" customWidth="1"/>
    <col min="10447" max="10447" width="18.28515625" style="7" customWidth="1"/>
    <col min="10448" max="10448" width="5.7109375" style="7" customWidth="1"/>
    <col min="10449" max="10449" width="7.140625" style="7"/>
    <col min="10450" max="10450" width="7.85546875" style="7" customWidth="1"/>
    <col min="10451" max="10451" width="5.7109375" style="7" customWidth="1"/>
    <col min="10452" max="10452" width="5" style="7" customWidth="1"/>
    <col min="10453" max="10453" width="2.28515625" style="7" customWidth="1"/>
    <col min="10454" max="10455" width="5" style="7" customWidth="1"/>
    <col min="10456" max="10693" width="7.140625" style="7"/>
    <col min="10694" max="10694" width="33.28515625" style="7" customWidth="1"/>
    <col min="10695" max="10695" width="0.85546875" style="7" customWidth="1"/>
    <col min="10696" max="10696" width="12.28515625" style="7" customWidth="1"/>
    <col min="10697" max="10697" width="11.140625" style="7" customWidth="1"/>
    <col min="10698" max="10699" width="7.28515625" style="7" customWidth="1"/>
    <col min="10700" max="10700" width="0.85546875" style="7" customWidth="1"/>
    <col min="10701" max="10702" width="7.28515625" style="7" customWidth="1"/>
    <col min="10703" max="10703" width="18.28515625" style="7" customWidth="1"/>
    <col min="10704" max="10704" width="5.7109375" style="7" customWidth="1"/>
    <col min="10705" max="10705" width="7.140625" style="7"/>
    <col min="10706" max="10706" width="7.85546875" style="7" customWidth="1"/>
    <col min="10707" max="10707" width="5.7109375" style="7" customWidth="1"/>
    <col min="10708" max="10708" width="5" style="7" customWidth="1"/>
    <col min="10709" max="10709" width="2.28515625" style="7" customWidth="1"/>
    <col min="10710" max="10711" width="5" style="7" customWidth="1"/>
    <col min="10712" max="10949" width="7.140625" style="7"/>
    <col min="10950" max="10950" width="33.28515625" style="7" customWidth="1"/>
    <col min="10951" max="10951" width="0.85546875" style="7" customWidth="1"/>
    <col min="10952" max="10952" width="12.28515625" style="7" customWidth="1"/>
    <col min="10953" max="10953" width="11.140625" style="7" customWidth="1"/>
    <col min="10954" max="10955" width="7.28515625" style="7" customWidth="1"/>
    <col min="10956" max="10956" width="0.85546875" style="7" customWidth="1"/>
    <col min="10957" max="10958" width="7.28515625" style="7" customWidth="1"/>
    <col min="10959" max="10959" width="18.28515625" style="7" customWidth="1"/>
    <col min="10960" max="10960" width="5.7109375" style="7" customWidth="1"/>
    <col min="10961" max="10961" width="7.140625" style="7"/>
    <col min="10962" max="10962" width="7.85546875" style="7" customWidth="1"/>
    <col min="10963" max="10963" width="5.7109375" style="7" customWidth="1"/>
    <col min="10964" max="10964" width="5" style="7" customWidth="1"/>
    <col min="10965" max="10965" width="2.28515625" style="7" customWidth="1"/>
    <col min="10966" max="10967" width="5" style="7" customWidth="1"/>
    <col min="10968" max="11205" width="7.140625" style="7"/>
    <col min="11206" max="11206" width="33.28515625" style="7" customWidth="1"/>
    <col min="11207" max="11207" width="0.85546875" style="7" customWidth="1"/>
    <col min="11208" max="11208" width="12.28515625" style="7" customWidth="1"/>
    <col min="11209" max="11209" width="11.140625" style="7" customWidth="1"/>
    <col min="11210" max="11211" width="7.28515625" style="7" customWidth="1"/>
    <col min="11212" max="11212" width="0.85546875" style="7" customWidth="1"/>
    <col min="11213" max="11214" width="7.28515625" style="7" customWidth="1"/>
    <col min="11215" max="11215" width="18.28515625" style="7" customWidth="1"/>
    <col min="11216" max="11216" width="5.7109375" style="7" customWidth="1"/>
    <col min="11217" max="11217" width="7.140625" style="7"/>
    <col min="11218" max="11218" width="7.85546875" style="7" customWidth="1"/>
    <col min="11219" max="11219" width="5.7109375" style="7" customWidth="1"/>
    <col min="11220" max="11220" width="5" style="7" customWidth="1"/>
    <col min="11221" max="11221" width="2.28515625" style="7" customWidth="1"/>
    <col min="11222" max="11223" width="5" style="7" customWidth="1"/>
    <col min="11224" max="11461" width="7.140625" style="7"/>
    <col min="11462" max="11462" width="33.28515625" style="7" customWidth="1"/>
    <col min="11463" max="11463" width="0.85546875" style="7" customWidth="1"/>
    <col min="11464" max="11464" width="12.28515625" style="7" customWidth="1"/>
    <col min="11465" max="11465" width="11.140625" style="7" customWidth="1"/>
    <col min="11466" max="11467" width="7.28515625" style="7" customWidth="1"/>
    <col min="11468" max="11468" width="0.85546875" style="7" customWidth="1"/>
    <col min="11469" max="11470" width="7.28515625" style="7" customWidth="1"/>
    <col min="11471" max="11471" width="18.28515625" style="7" customWidth="1"/>
    <col min="11472" max="11472" width="5.7109375" style="7" customWidth="1"/>
    <col min="11473" max="11473" width="7.140625" style="7"/>
    <col min="11474" max="11474" width="7.85546875" style="7" customWidth="1"/>
    <col min="11475" max="11475" width="5.7109375" style="7" customWidth="1"/>
    <col min="11476" max="11476" width="5" style="7" customWidth="1"/>
    <col min="11477" max="11477" width="2.28515625" style="7" customWidth="1"/>
    <col min="11478" max="11479" width="5" style="7" customWidth="1"/>
    <col min="11480" max="11717" width="7.140625" style="7"/>
    <col min="11718" max="11718" width="33.28515625" style="7" customWidth="1"/>
    <col min="11719" max="11719" width="0.85546875" style="7" customWidth="1"/>
    <col min="11720" max="11720" width="12.28515625" style="7" customWidth="1"/>
    <col min="11721" max="11721" width="11.140625" style="7" customWidth="1"/>
    <col min="11722" max="11723" width="7.28515625" style="7" customWidth="1"/>
    <col min="11724" max="11724" width="0.85546875" style="7" customWidth="1"/>
    <col min="11725" max="11726" width="7.28515625" style="7" customWidth="1"/>
    <col min="11727" max="11727" width="18.28515625" style="7" customWidth="1"/>
    <col min="11728" max="11728" width="5.7109375" style="7" customWidth="1"/>
    <col min="11729" max="11729" width="7.140625" style="7"/>
    <col min="11730" max="11730" width="7.85546875" style="7" customWidth="1"/>
    <col min="11731" max="11731" width="5.7109375" style="7" customWidth="1"/>
    <col min="11732" max="11732" width="5" style="7" customWidth="1"/>
    <col min="11733" max="11733" width="2.28515625" style="7" customWidth="1"/>
    <col min="11734" max="11735" width="5" style="7" customWidth="1"/>
    <col min="11736" max="11973" width="7.140625" style="7"/>
    <col min="11974" max="11974" width="33.28515625" style="7" customWidth="1"/>
    <col min="11975" max="11975" width="0.85546875" style="7" customWidth="1"/>
    <col min="11976" max="11976" width="12.28515625" style="7" customWidth="1"/>
    <col min="11977" max="11977" width="11.140625" style="7" customWidth="1"/>
    <col min="11978" max="11979" width="7.28515625" style="7" customWidth="1"/>
    <col min="11980" max="11980" width="0.85546875" style="7" customWidth="1"/>
    <col min="11981" max="11982" width="7.28515625" style="7" customWidth="1"/>
    <col min="11983" max="11983" width="18.28515625" style="7" customWidth="1"/>
    <col min="11984" max="11984" width="5.7109375" style="7" customWidth="1"/>
    <col min="11985" max="11985" width="7.140625" style="7"/>
    <col min="11986" max="11986" width="7.85546875" style="7" customWidth="1"/>
    <col min="11987" max="11987" width="5.7109375" style="7" customWidth="1"/>
    <col min="11988" max="11988" width="5" style="7" customWidth="1"/>
    <col min="11989" max="11989" width="2.28515625" style="7" customWidth="1"/>
    <col min="11990" max="11991" width="5" style="7" customWidth="1"/>
    <col min="11992" max="12229" width="7.140625" style="7"/>
    <col min="12230" max="12230" width="33.28515625" style="7" customWidth="1"/>
    <col min="12231" max="12231" width="0.85546875" style="7" customWidth="1"/>
    <col min="12232" max="12232" width="12.28515625" style="7" customWidth="1"/>
    <col min="12233" max="12233" width="11.140625" style="7" customWidth="1"/>
    <col min="12234" max="12235" width="7.28515625" style="7" customWidth="1"/>
    <col min="12236" max="12236" width="0.85546875" style="7" customWidth="1"/>
    <col min="12237" max="12238" width="7.28515625" style="7" customWidth="1"/>
    <col min="12239" max="12239" width="18.28515625" style="7" customWidth="1"/>
    <col min="12240" max="12240" width="5.7109375" style="7" customWidth="1"/>
    <col min="12241" max="12241" width="7.140625" style="7"/>
    <col min="12242" max="12242" width="7.85546875" style="7" customWidth="1"/>
    <col min="12243" max="12243" width="5.7109375" style="7" customWidth="1"/>
    <col min="12244" max="12244" width="5" style="7" customWidth="1"/>
    <col min="12245" max="12245" width="2.28515625" style="7" customWidth="1"/>
    <col min="12246" max="12247" width="5" style="7" customWidth="1"/>
    <col min="12248" max="12485" width="7.140625" style="7"/>
    <col min="12486" max="12486" width="33.28515625" style="7" customWidth="1"/>
    <col min="12487" max="12487" width="0.85546875" style="7" customWidth="1"/>
    <col min="12488" max="12488" width="12.28515625" style="7" customWidth="1"/>
    <col min="12489" max="12489" width="11.140625" style="7" customWidth="1"/>
    <col min="12490" max="12491" width="7.28515625" style="7" customWidth="1"/>
    <col min="12492" max="12492" width="0.85546875" style="7" customWidth="1"/>
    <col min="12493" max="12494" width="7.28515625" style="7" customWidth="1"/>
    <col min="12495" max="12495" width="18.28515625" style="7" customWidth="1"/>
    <col min="12496" max="12496" width="5.7109375" style="7" customWidth="1"/>
    <col min="12497" max="12497" width="7.140625" style="7"/>
    <col min="12498" max="12498" width="7.85546875" style="7" customWidth="1"/>
    <col min="12499" max="12499" width="5.7109375" style="7" customWidth="1"/>
    <col min="12500" max="12500" width="5" style="7" customWidth="1"/>
    <col min="12501" max="12501" width="2.28515625" style="7" customWidth="1"/>
    <col min="12502" max="12503" width="5" style="7" customWidth="1"/>
    <col min="12504" max="12741" width="7.140625" style="7"/>
    <col min="12742" max="12742" width="33.28515625" style="7" customWidth="1"/>
    <col min="12743" max="12743" width="0.85546875" style="7" customWidth="1"/>
    <col min="12744" max="12744" width="12.28515625" style="7" customWidth="1"/>
    <col min="12745" max="12745" width="11.140625" style="7" customWidth="1"/>
    <col min="12746" max="12747" width="7.28515625" style="7" customWidth="1"/>
    <col min="12748" max="12748" width="0.85546875" style="7" customWidth="1"/>
    <col min="12749" max="12750" width="7.28515625" style="7" customWidth="1"/>
    <col min="12751" max="12751" width="18.28515625" style="7" customWidth="1"/>
    <col min="12752" max="12752" width="5.7109375" style="7" customWidth="1"/>
    <col min="12753" max="12753" width="7.140625" style="7"/>
    <col min="12754" max="12754" width="7.85546875" style="7" customWidth="1"/>
    <col min="12755" max="12755" width="5.7109375" style="7" customWidth="1"/>
    <col min="12756" max="12756" width="5" style="7" customWidth="1"/>
    <col min="12757" max="12757" width="2.28515625" style="7" customWidth="1"/>
    <col min="12758" max="12759" width="5" style="7" customWidth="1"/>
    <col min="12760" max="12997" width="7.140625" style="7"/>
    <col min="12998" max="12998" width="33.28515625" style="7" customWidth="1"/>
    <col min="12999" max="12999" width="0.85546875" style="7" customWidth="1"/>
    <col min="13000" max="13000" width="12.28515625" style="7" customWidth="1"/>
    <col min="13001" max="13001" width="11.140625" style="7" customWidth="1"/>
    <col min="13002" max="13003" width="7.28515625" style="7" customWidth="1"/>
    <col min="13004" max="13004" width="0.85546875" style="7" customWidth="1"/>
    <col min="13005" max="13006" width="7.28515625" style="7" customWidth="1"/>
    <col min="13007" max="13007" width="18.28515625" style="7" customWidth="1"/>
    <col min="13008" max="13008" width="5.7109375" style="7" customWidth="1"/>
    <col min="13009" max="13009" width="7.140625" style="7"/>
    <col min="13010" max="13010" width="7.85546875" style="7" customWidth="1"/>
    <col min="13011" max="13011" width="5.7109375" style="7" customWidth="1"/>
    <col min="13012" max="13012" width="5" style="7" customWidth="1"/>
    <col min="13013" max="13013" width="2.28515625" style="7" customWidth="1"/>
    <col min="13014" max="13015" width="5" style="7" customWidth="1"/>
    <col min="13016" max="13253" width="7.140625" style="7"/>
    <col min="13254" max="13254" width="33.28515625" style="7" customWidth="1"/>
    <col min="13255" max="13255" width="0.85546875" style="7" customWidth="1"/>
    <col min="13256" max="13256" width="12.28515625" style="7" customWidth="1"/>
    <col min="13257" max="13257" width="11.140625" style="7" customWidth="1"/>
    <col min="13258" max="13259" width="7.28515625" style="7" customWidth="1"/>
    <col min="13260" max="13260" width="0.85546875" style="7" customWidth="1"/>
    <col min="13261" max="13262" width="7.28515625" style="7" customWidth="1"/>
    <col min="13263" max="13263" width="18.28515625" style="7" customWidth="1"/>
    <col min="13264" max="13264" width="5.7109375" style="7" customWidth="1"/>
    <col min="13265" max="13265" width="7.140625" style="7"/>
    <col min="13266" max="13266" width="7.85546875" style="7" customWidth="1"/>
    <col min="13267" max="13267" width="5.7109375" style="7" customWidth="1"/>
    <col min="13268" max="13268" width="5" style="7" customWidth="1"/>
    <col min="13269" max="13269" width="2.28515625" style="7" customWidth="1"/>
    <col min="13270" max="13271" width="5" style="7" customWidth="1"/>
    <col min="13272" max="13509" width="7.140625" style="7"/>
    <col min="13510" max="13510" width="33.28515625" style="7" customWidth="1"/>
    <col min="13511" max="13511" width="0.85546875" style="7" customWidth="1"/>
    <col min="13512" max="13512" width="12.28515625" style="7" customWidth="1"/>
    <col min="13513" max="13513" width="11.140625" style="7" customWidth="1"/>
    <col min="13514" max="13515" width="7.28515625" style="7" customWidth="1"/>
    <col min="13516" max="13516" width="0.85546875" style="7" customWidth="1"/>
    <col min="13517" max="13518" width="7.28515625" style="7" customWidth="1"/>
    <col min="13519" max="13519" width="18.28515625" style="7" customWidth="1"/>
    <col min="13520" max="13520" width="5.7109375" style="7" customWidth="1"/>
    <col min="13521" max="13521" width="7.140625" style="7"/>
    <col min="13522" max="13522" width="7.85546875" style="7" customWidth="1"/>
    <col min="13523" max="13523" width="5.7109375" style="7" customWidth="1"/>
    <col min="13524" max="13524" width="5" style="7" customWidth="1"/>
    <col min="13525" max="13525" width="2.28515625" style="7" customWidth="1"/>
    <col min="13526" max="13527" width="5" style="7" customWidth="1"/>
    <col min="13528" max="13765" width="7.140625" style="7"/>
    <col min="13766" max="13766" width="33.28515625" style="7" customWidth="1"/>
    <col min="13767" max="13767" width="0.85546875" style="7" customWidth="1"/>
    <col min="13768" max="13768" width="12.28515625" style="7" customWidth="1"/>
    <col min="13769" max="13769" width="11.140625" style="7" customWidth="1"/>
    <col min="13770" max="13771" width="7.28515625" style="7" customWidth="1"/>
    <col min="13772" max="13772" width="0.85546875" style="7" customWidth="1"/>
    <col min="13773" max="13774" width="7.28515625" style="7" customWidth="1"/>
    <col min="13775" max="13775" width="18.28515625" style="7" customWidth="1"/>
    <col min="13776" max="13776" width="5.7109375" style="7" customWidth="1"/>
    <col min="13777" max="13777" width="7.140625" style="7"/>
    <col min="13778" max="13778" width="7.85546875" style="7" customWidth="1"/>
    <col min="13779" max="13779" width="5.7109375" style="7" customWidth="1"/>
    <col min="13780" max="13780" width="5" style="7" customWidth="1"/>
    <col min="13781" max="13781" width="2.28515625" style="7" customWidth="1"/>
    <col min="13782" max="13783" width="5" style="7" customWidth="1"/>
    <col min="13784" max="14021" width="7.140625" style="7"/>
    <col min="14022" max="14022" width="33.28515625" style="7" customWidth="1"/>
    <col min="14023" max="14023" width="0.85546875" style="7" customWidth="1"/>
    <col min="14024" max="14024" width="12.28515625" style="7" customWidth="1"/>
    <col min="14025" max="14025" width="11.140625" style="7" customWidth="1"/>
    <col min="14026" max="14027" width="7.28515625" style="7" customWidth="1"/>
    <col min="14028" max="14028" width="0.85546875" style="7" customWidth="1"/>
    <col min="14029" max="14030" width="7.28515625" style="7" customWidth="1"/>
    <col min="14031" max="14031" width="18.28515625" style="7" customWidth="1"/>
    <col min="14032" max="14032" width="5.7109375" style="7" customWidth="1"/>
    <col min="14033" max="14033" width="7.140625" style="7"/>
    <col min="14034" max="14034" width="7.85546875" style="7" customWidth="1"/>
    <col min="14035" max="14035" width="5.7109375" style="7" customWidth="1"/>
    <col min="14036" max="14036" width="5" style="7" customWidth="1"/>
    <col min="14037" max="14037" width="2.28515625" style="7" customWidth="1"/>
    <col min="14038" max="14039" width="5" style="7" customWidth="1"/>
    <col min="14040" max="14277" width="7.140625" style="7"/>
    <col min="14278" max="14278" width="33.28515625" style="7" customWidth="1"/>
    <col min="14279" max="14279" width="0.85546875" style="7" customWidth="1"/>
    <col min="14280" max="14280" width="12.28515625" style="7" customWidth="1"/>
    <col min="14281" max="14281" width="11.140625" style="7" customWidth="1"/>
    <col min="14282" max="14283" width="7.28515625" style="7" customWidth="1"/>
    <col min="14284" max="14284" width="0.85546875" style="7" customWidth="1"/>
    <col min="14285" max="14286" width="7.28515625" style="7" customWidth="1"/>
    <col min="14287" max="14287" width="18.28515625" style="7" customWidth="1"/>
    <col min="14288" max="14288" width="5.7109375" style="7" customWidth="1"/>
    <col min="14289" max="14289" width="7.140625" style="7"/>
    <col min="14290" max="14290" width="7.85546875" style="7" customWidth="1"/>
    <col min="14291" max="14291" width="5.7109375" style="7" customWidth="1"/>
    <col min="14292" max="14292" width="5" style="7" customWidth="1"/>
    <col min="14293" max="14293" width="2.28515625" style="7" customWidth="1"/>
    <col min="14294" max="14295" width="5" style="7" customWidth="1"/>
    <col min="14296" max="14533" width="7.140625" style="7"/>
    <col min="14534" max="14534" width="33.28515625" style="7" customWidth="1"/>
    <col min="14535" max="14535" width="0.85546875" style="7" customWidth="1"/>
    <col min="14536" max="14536" width="12.28515625" style="7" customWidth="1"/>
    <col min="14537" max="14537" width="11.140625" style="7" customWidth="1"/>
    <col min="14538" max="14539" width="7.28515625" style="7" customWidth="1"/>
    <col min="14540" max="14540" width="0.85546875" style="7" customWidth="1"/>
    <col min="14541" max="14542" width="7.28515625" style="7" customWidth="1"/>
    <col min="14543" max="14543" width="18.28515625" style="7" customWidth="1"/>
    <col min="14544" max="14544" width="5.7109375" style="7" customWidth="1"/>
    <col min="14545" max="14545" width="7.140625" style="7"/>
    <col min="14546" max="14546" width="7.85546875" style="7" customWidth="1"/>
    <col min="14547" max="14547" width="5.7109375" style="7" customWidth="1"/>
    <col min="14548" max="14548" width="5" style="7" customWidth="1"/>
    <col min="14549" max="14549" width="2.28515625" style="7" customWidth="1"/>
    <col min="14550" max="14551" width="5" style="7" customWidth="1"/>
    <col min="14552" max="14789" width="7.140625" style="7"/>
    <col min="14790" max="14790" width="33.28515625" style="7" customWidth="1"/>
    <col min="14791" max="14791" width="0.85546875" style="7" customWidth="1"/>
    <col min="14792" max="14792" width="12.28515625" style="7" customWidth="1"/>
    <col min="14793" max="14793" width="11.140625" style="7" customWidth="1"/>
    <col min="14794" max="14795" width="7.28515625" style="7" customWidth="1"/>
    <col min="14796" max="14796" width="0.85546875" style="7" customWidth="1"/>
    <col min="14797" max="14798" width="7.28515625" style="7" customWidth="1"/>
    <col min="14799" max="14799" width="18.28515625" style="7" customWidth="1"/>
    <col min="14800" max="14800" width="5.7109375" style="7" customWidth="1"/>
    <col min="14801" max="14801" width="7.140625" style="7"/>
    <col min="14802" max="14802" width="7.85546875" style="7" customWidth="1"/>
    <col min="14803" max="14803" width="5.7109375" style="7" customWidth="1"/>
    <col min="14804" max="14804" width="5" style="7" customWidth="1"/>
    <col min="14805" max="14805" width="2.28515625" style="7" customWidth="1"/>
    <col min="14806" max="14807" width="5" style="7" customWidth="1"/>
    <col min="14808" max="15045" width="7.140625" style="7"/>
    <col min="15046" max="15046" width="33.28515625" style="7" customWidth="1"/>
    <col min="15047" max="15047" width="0.85546875" style="7" customWidth="1"/>
    <col min="15048" max="15048" width="12.28515625" style="7" customWidth="1"/>
    <col min="15049" max="15049" width="11.140625" style="7" customWidth="1"/>
    <col min="15050" max="15051" width="7.28515625" style="7" customWidth="1"/>
    <col min="15052" max="15052" width="0.85546875" style="7" customWidth="1"/>
    <col min="15053" max="15054" width="7.28515625" style="7" customWidth="1"/>
    <col min="15055" max="15055" width="18.28515625" style="7" customWidth="1"/>
    <col min="15056" max="15056" width="5.7109375" style="7" customWidth="1"/>
    <col min="15057" max="15057" width="7.140625" style="7"/>
    <col min="15058" max="15058" width="7.85546875" style="7" customWidth="1"/>
    <col min="15059" max="15059" width="5.7109375" style="7" customWidth="1"/>
    <col min="15060" max="15060" width="5" style="7" customWidth="1"/>
    <col min="15061" max="15061" width="2.28515625" style="7" customWidth="1"/>
    <col min="15062" max="15063" width="5" style="7" customWidth="1"/>
    <col min="15064" max="15301" width="7.140625" style="7"/>
    <col min="15302" max="15302" width="33.28515625" style="7" customWidth="1"/>
    <col min="15303" max="15303" width="0.85546875" style="7" customWidth="1"/>
    <col min="15304" max="15304" width="12.28515625" style="7" customWidth="1"/>
    <col min="15305" max="15305" width="11.140625" style="7" customWidth="1"/>
    <col min="15306" max="15307" width="7.28515625" style="7" customWidth="1"/>
    <col min="15308" max="15308" width="0.85546875" style="7" customWidth="1"/>
    <col min="15309" max="15310" width="7.28515625" style="7" customWidth="1"/>
    <col min="15311" max="15311" width="18.28515625" style="7" customWidth="1"/>
    <col min="15312" max="15312" width="5.7109375" style="7" customWidth="1"/>
    <col min="15313" max="15313" width="7.140625" style="7"/>
    <col min="15314" max="15314" width="7.85546875" style="7" customWidth="1"/>
    <col min="15315" max="15315" width="5.7109375" style="7" customWidth="1"/>
    <col min="15316" max="15316" width="5" style="7" customWidth="1"/>
    <col min="15317" max="15317" width="2.28515625" style="7" customWidth="1"/>
    <col min="15318" max="15319" width="5" style="7" customWidth="1"/>
    <col min="15320" max="15557" width="7.140625" style="7"/>
    <col min="15558" max="15558" width="33.28515625" style="7" customWidth="1"/>
    <col min="15559" max="15559" width="0.85546875" style="7" customWidth="1"/>
    <col min="15560" max="15560" width="12.28515625" style="7" customWidth="1"/>
    <col min="15561" max="15561" width="11.140625" style="7" customWidth="1"/>
    <col min="15562" max="15563" width="7.28515625" style="7" customWidth="1"/>
    <col min="15564" max="15564" width="0.85546875" style="7" customWidth="1"/>
    <col min="15565" max="15566" width="7.28515625" style="7" customWidth="1"/>
    <col min="15567" max="15567" width="18.28515625" style="7" customWidth="1"/>
    <col min="15568" max="15568" width="5.7109375" style="7" customWidth="1"/>
    <col min="15569" max="15569" width="7.140625" style="7"/>
    <col min="15570" max="15570" width="7.85546875" style="7" customWidth="1"/>
    <col min="15571" max="15571" width="5.7109375" style="7" customWidth="1"/>
    <col min="15572" max="15572" width="5" style="7" customWidth="1"/>
    <col min="15573" max="15573" width="2.28515625" style="7" customWidth="1"/>
    <col min="15574" max="15575" width="5" style="7" customWidth="1"/>
    <col min="15576" max="15813" width="7.140625" style="7"/>
    <col min="15814" max="15814" width="33.28515625" style="7" customWidth="1"/>
    <col min="15815" max="15815" width="0.85546875" style="7" customWidth="1"/>
    <col min="15816" max="15816" width="12.28515625" style="7" customWidth="1"/>
    <col min="15817" max="15817" width="11.140625" style="7" customWidth="1"/>
    <col min="15818" max="15819" width="7.28515625" style="7" customWidth="1"/>
    <col min="15820" max="15820" width="0.85546875" style="7" customWidth="1"/>
    <col min="15821" max="15822" width="7.28515625" style="7" customWidth="1"/>
    <col min="15823" max="15823" width="18.28515625" style="7" customWidth="1"/>
    <col min="15824" max="15824" width="5.7109375" style="7" customWidth="1"/>
    <col min="15825" max="15825" width="7.140625" style="7"/>
    <col min="15826" max="15826" width="7.85546875" style="7" customWidth="1"/>
    <col min="15827" max="15827" width="5.7109375" style="7" customWidth="1"/>
    <col min="15828" max="15828" width="5" style="7" customWidth="1"/>
    <col min="15829" max="15829" width="2.28515625" style="7" customWidth="1"/>
    <col min="15830" max="15831" width="5" style="7" customWidth="1"/>
    <col min="15832" max="16069" width="7.140625" style="7"/>
    <col min="16070" max="16070" width="33.28515625" style="7" customWidth="1"/>
    <col min="16071" max="16071" width="0.85546875" style="7" customWidth="1"/>
    <col min="16072" max="16072" width="12.28515625" style="7" customWidth="1"/>
    <col min="16073" max="16073" width="11.140625" style="7" customWidth="1"/>
    <col min="16074" max="16075" width="7.28515625" style="7" customWidth="1"/>
    <col min="16076" max="16076" width="0.85546875" style="7" customWidth="1"/>
    <col min="16077" max="16078" width="7.28515625" style="7" customWidth="1"/>
    <col min="16079" max="16079" width="18.28515625" style="7" customWidth="1"/>
    <col min="16080" max="16080" width="5.7109375" style="7" customWidth="1"/>
    <col min="16081" max="16081" width="7.140625" style="7"/>
    <col min="16082" max="16082" width="7.85546875" style="7" customWidth="1"/>
    <col min="16083" max="16083" width="5.7109375" style="7" customWidth="1"/>
    <col min="16084" max="16084" width="5" style="7" customWidth="1"/>
    <col min="16085" max="16085" width="2.28515625" style="7" customWidth="1"/>
    <col min="16086" max="16087" width="5" style="7" customWidth="1"/>
    <col min="16088" max="16384" width="7.140625" style="7"/>
  </cols>
  <sheetData>
    <row r="1" spans="1:9" ht="12.75" customHeight="1" x14ac:dyDescent="0.3">
      <c r="A1" s="740" t="s">
        <v>440</v>
      </c>
      <c r="B1" s="740"/>
      <c r="C1" s="740"/>
      <c r="D1" s="740"/>
      <c r="E1" s="740"/>
      <c r="F1" s="740"/>
      <c r="G1" s="740"/>
      <c r="H1" s="740"/>
      <c r="I1" s="740"/>
    </row>
    <row r="2" spans="1:9" ht="12.75" customHeight="1" x14ac:dyDescent="0.3">
      <c r="A2" s="206"/>
      <c r="B2" s="206"/>
      <c r="C2" s="207"/>
      <c r="D2" s="207"/>
      <c r="E2" s="207"/>
      <c r="F2" s="207"/>
      <c r="G2" s="207"/>
      <c r="H2" s="207"/>
      <c r="I2" s="207"/>
    </row>
    <row r="3" spans="1:9" s="235" customFormat="1" ht="37.5" customHeight="1" x14ac:dyDescent="0.15">
      <c r="A3" s="745" t="s">
        <v>280</v>
      </c>
      <c r="B3" s="746"/>
      <c r="C3" s="746" t="s">
        <v>346</v>
      </c>
      <c r="D3" s="746" t="s">
        <v>433</v>
      </c>
      <c r="E3" s="742" t="s">
        <v>345</v>
      </c>
      <c r="F3" s="742"/>
      <c r="G3" s="748"/>
      <c r="H3" s="742" t="s">
        <v>344</v>
      </c>
      <c r="I3" s="742"/>
    </row>
    <row r="4" spans="1:9" s="235" customFormat="1" ht="18" customHeight="1" x14ac:dyDescent="0.15">
      <c r="A4" s="745"/>
      <c r="B4" s="746"/>
      <c r="C4" s="746"/>
      <c r="D4" s="746"/>
      <c r="E4" s="632" t="s">
        <v>343</v>
      </c>
      <c r="F4" s="632" t="s">
        <v>342</v>
      </c>
      <c r="G4" s="749"/>
      <c r="H4" s="632" t="s">
        <v>341</v>
      </c>
      <c r="I4" s="632" t="s">
        <v>340</v>
      </c>
    </row>
    <row r="5" spans="1:9" s="235" customFormat="1" ht="15.95" customHeight="1" x14ac:dyDescent="0.3">
      <c r="A5" s="622" t="s">
        <v>339</v>
      </c>
      <c r="B5" s="633"/>
      <c r="C5" s="634"/>
      <c r="D5" s="634"/>
      <c r="E5" s="560"/>
      <c r="F5" s="560"/>
      <c r="G5" s="560"/>
      <c r="H5" s="560"/>
      <c r="I5" s="633"/>
    </row>
    <row r="6" spans="1:9" s="235" customFormat="1" ht="15.95" customHeight="1" x14ac:dyDescent="0.3">
      <c r="A6" s="747" t="s">
        <v>273</v>
      </c>
      <c r="B6" s="635"/>
      <c r="C6" s="636" t="s">
        <v>338</v>
      </c>
      <c r="D6" s="636" t="s">
        <v>40</v>
      </c>
      <c r="E6" s="637">
        <v>798</v>
      </c>
      <c r="F6" s="638">
        <v>5.2245581205575276</v>
      </c>
      <c r="G6" s="639"/>
      <c r="H6" s="640">
        <v>5318.3801249999997</v>
      </c>
      <c r="I6" s="641">
        <v>9.2653351097624768</v>
      </c>
    </row>
    <row r="7" spans="1:9" s="236" customFormat="1" ht="15.95" customHeight="1" x14ac:dyDescent="0.25">
      <c r="A7" s="747"/>
      <c r="B7" s="642"/>
      <c r="C7" s="643" t="s">
        <v>337</v>
      </c>
      <c r="D7" s="643" t="s">
        <v>40</v>
      </c>
      <c r="E7" s="644">
        <v>210.36</v>
      </c>
      <c r="F7" s="645">
        <v>1.3772406594492248</v>
      </c>
      <c r="G7" s="646"/>
      <c r="H7" s="647">
        <v>1732.0495800000001</v>
      </c>
      <c r="I7" s="648">
        <v>3.0174638533238265</v>
      </c>
    </row>
    <row r="8" spans="1:9" s="235" customFormat="1" ht="15.95" customHeight="1" x14ac:dyDescent="0.3">
      <c r="A8" s="741" t="s">
        <v>304</v>
      </c>
      <c r="B8" s="635"/>
      <c r="C8" s="643" t="s">
        <v>336</v>
      </c>
      <c r="D8" s="643" t="s">
        <v>38</v>
      </c>
      <c r="E8" s="644">
        <v>258.39999999999998</v>
      </c>
      <c r="F8" s="645">
        <v>1.6917616771329134</v>
      </c>
      <c r="G8" s="646"/>
      <c r="H8" s="647">
        <v>1267.653939</v>
      </c>
      <c r="I8" s="648">
        <v>2.2084240449145032</v>
      </c>
    </row>
    <row r="9" spans="1:9" s="235" customFormat="1" ht="15.95" customHeight="1" x14ac:dyDescent="0.15">
      <c r="A9" s="741"/>
      <c r="B9" s="642"/>
      <c r="C9" s="643" t="s">
        <v>335</v>
      </c>
      <c r="D9" s="643" t="s">
        <v>38</v>
      </c>
      <c r="E9" s="644">
        <v>120</v>
      </c>
      <c r="F9" s="645">
        <v>0.78564783767782365</v>
      </c>
      <c r="G9" s="646"/>
      <c r="H9" s="647">
        <v>851.98579399999994</v>
      </c>
      <c r="I9" s="648">
        <v>1.484274103135315</v>
      </c>
    </row>
    <row r="10" spans="1:9" s="235" customFormat="1" ht="32.1" customHeight="1" x14ac:dyDescent="0.15">
      <c r="A10" s="629" t="s">
        <v>366</v>
      </c>
      <c r="B10" s="642"/>
      <c r="C10" s="643" t="s">
        <v>334</v>
      </c>
      <c r="D10" s="643" t="s">
        <v>32</v>
      </c>
      <c r="E10" s="644">
        <v>192.45</v>
      </c>
      <c r="F10" s="645">
        <v>1.2599827196758095</v>
      </c>
      <c r="G10" s="646"/>
      <c r="H10" s="647">
        <v>1244.5650470000003</v>
      </c>
      <c r="I10" s="648">
        <v>2.1682000826054701</v>
      </c>
    </row>
    <row r="11" spans="1:9" s="235" customFormat="1" ht="15.95" customHeight="1" x14ac:dyDescent="0.15">
      <c r="A11" s="626" t="s">
        <v>278</v>
      </c>
      <c r="B11" s="642"/>
      <c r="C11" s="643" t="s">
        <v>333</v>
      </c>
      <c r="D11" s="643" t="s">
        <v>38</v>
      </c>
      <c r="E11" s="644">
        <v>220</v>
      </c>
      <c r="F11" s="645">
        <v>1.4403543690760101</v>
      </c>
      <c r="G11" s="649"/>
      <c r="H11" s="647">
        <v>1134.2347870000001</v>
      </c>
      <c r="I11" s="648">
        <v>1.975989896868281</v>
      </c>
    </row>
    <row r="12" spans="1:9" s="235" customFormat="1" ht="15.95" customHeight="1" x14ac:dyDescent="0.15">
      <c r="A12" s="624" t="s">
        <v>279</v>
      </c>
      <c r="B12" s="642"/>
      <c r="C12" s="643" t="s">
        <v>332</v>
      </c>
      <c r="D12" s="643" t="s">
        <v>34</v>
      </c>
      <c r="E12" s="644">
        <v>142.80000000000001</v>
      </c>
      <c r="F12" s="645">
        <v>0.93492092683661021</v>
      </c>
      <c r="G12" s="649"/>
      <c r="H12" s="647">
        <v>812.80020500000001</v>
      </c>
      <c r="I12" s="648">
        <v>1.4160075247740285</v>
      </c>
    </row>
    <row r="13" spans="1:9" s="235" customFormat="1" ht="15.95" customHeight="1" x14ac:dyDescent="0.15">
      <c r="A13" s="743" t="s">
        <v>331</v>
      </c>
      <c r="B13" s="642"/>
      <c r="C13" s="643" t="s">
        <v>330</v>
      </c>
      <c r="D13" s="643" t="s">
        <v>30</v>
      </c>
      <c r="E13" s="644">
        <v>246.58200000000002</v>
      </c>
      <c r="F13" s="645">
        <v>1.6143884592522759</v>
      </c>
      <c r="G13" s="649"/>
      <c r="H13" s="647">
        <v>1442.5744010000001</v>
      </c>
      <c r="I13" s="648">
        <v>2.5131590694694608</v>
      </c>
    </row>
    <row r="14" spans="1:9" s="235" customFormat="1" ht="15.95" customHeight="1" x14ac:dyDescent="0.15">
      <c r="A14" s="743"/>
      <c r="B14" s="642"/>
      <c r="C14" s="643" t="s">
        <v>329</v>
      </c>
      <c r="D14" s="643" t="s">
        <v>39</v>
      </c>
      <c r="E14" s="644">
        <v>99.728999999999999</v>
      </c>
      <c r="F14" s="645">
        <v>0.65293227669809728</v>
      </c>
      <c r="G14" s="649"/>
      <c r="H14" s="647">
        <v>727.86208699999997</v>
      </c>
      <c r="I14" s="648">
        <v>1.2680338733301977</v>
      </c>
    </row>
    <row r="15" spans="1:9" s="235" customFormat="1" ht="32.1" customHeight="1" x14ac:dyDescent="0.15">
      <c r="A15" s="625" t="s">
        <v>489</v>
      </c>
      <c r="B15" s="642"/>
      <c r="C15" s="643" t="s">
        <v>328</v>
      </c>
      <c r="D15" s="643" t="s">
        <v>29</v>
      </c>
      <c r="E15" s="644">
        <v>178.62000000000003</v>
      </c>
      <c r="F15" s="645">
        <v>1.1694368063834408</v>
      </c>
      <c r="G15" s="649"/>
      <c r="H15" s="647">
        <v>987.721947</v>
      </c>
      <c r="I15" s="648">
        <v>1.7207447792615334</v>
      </c>
    </row>
    <row r="16" spans="1:9" s="235" customFormat="1" ht="15.95" customHeight="1" x14ac:dyDescent="0.15">
      <c r="A16" s="744" t="s">
        <v>327</v>
      </c>
      <c r="B16" s="642"/>
      <c r="C16" s="643" t="s">
        <v>326</v>
      </c>
      <c r="D16" s="643" t="s">
        <v>37</v>
      </c>
      <c r="E16" s="644">
        <v>130.14000000000001</v>
      </c>
      <c r="F16" s="645">
        <v>0.85203507996159988</v>
      </c>
      <c r="G16" s="649"/>
      <c r="H16" s="647">
        <v>820.52105299999994</v>
      </c>
      <c r="I16" s="648">
        <v>1.4294582827812026</v>
      </c>
    </row>
    <row r="17" spans="1:9" s="235" customFormat="1" ht="15.95" customHeight="1" x14ac:dyDescent="0.15">
      <c r="A17" s="744"/>
      <c r="B17" s="642"/>
      <c r="C17" s="643" t="s">
        <v>325</v>
      </c>
      <c r="D17" s="643" t="s">
        <v>30</v>
      </c>
      <c r="E17" s="644">
        <v>115</v>
      </c>
      <c r="F17" s="645">
        <v>0.75291251110791435</v>
      </c>
      <c r="G17" s="649"/>
      <c r="H17" s="647">
        <v>542.90556400000003</v>
      </c>
      <c r="I17" s="648">
        <v>0.9458146776250973</v>
      </c>
    </row>
    <row r="18" spans="1:9" s="235" customFormat="1" ht="15.95" customHeight="1" x14ac:dyDescent="0.15">
      <c r="A18" s="625" t="s">
        <v>269</v>
      </c>
      <c r="B18" s="642"/>
      <c r="C18" s="643" t="s">
        <v>324</v>
      </c>
      <c r="D18" s="643" t="s">
        <v>41</v>
      </c>
      <c r="E18" s="644">
        <v>114</v>
      </c>
      <c r="F18" s="645">
        <v>0.74636544579393249</v>
      </c>
      <c r="G18" s="649"/>
      <c r="H18" s="647">
        <v>626.96360400000003</v>
      </c>
      <c r="I18" s="648">
        <v>1.0922551145560357</v>
      </c>
    </row>
    <row r="19" spans="1:9" s="235" customFormat="1" ht="15.95" customHeight="1" x14ac:dyDescent="0.15">
      <c r="A19" s="741" t="s">
        <v>323</v>
      </c>
      <c r="B19" s="642"/>
      <c r="C19" s="643" t="s">
        <v>322</v>
      </c>
      <c r="D19" s="643" t="s">
        <v>38</v>
      </c>
      <c r="E19" s="644">
        <v>171.68</v>
      </c>
      <c r="F19" s="645">
        <v>1.1240001731044063</v>
      </c>
      <c r="G19" s="649"/>
      <c r="H19" s="647">
        <v>844.470372</v>
      </c>
      <c r="I19" s="648">
        <v>1.4711812249121212</v>
      </c>
    </row>
    <row r="20" spans="1:9" s="235" customFormat="1" ht="15.95" customHeight="1" x14ac:dyDescent="0.15">
      <c r="A20" s="741"/>
      <c r="B20" s="642"/>
      <c r="C20" s="643" t="s">
        <v>321</v>
      </c>
      <c r="D20" s="643" t="s">
        <v>34</v>
      </c>
      <c r="E20" s="644">
        <v>113.68600000000001</v>
      </c>
      <c r="F20" s="645">
        <v>0.7443096672853422</v>
      </c>
      <c r="G20" s="649"/>
      <c r="H20" s="647">
        <v>760.82802800000002</v>
      </c>
      <c r="I20" s="648">
        <v>1.3254649864501269</v>
      </c>
    </row>
    <row r="21" spans="1:9" s="235" customFormat="1" ht="15.95" customHeight="1" x14ac:dyDescent="0.15">
      <c r="A21" s="625" t="s">
        <v>320</v>
      </c>
      <c r="B21" s="642"/>
      <c r="C21" s="643" t="s">
        <v>319</v>
      </c>
      <c r="D21" s="643" t="s">
        <v>32</v>
      </c>
      <c r="E21" s="644">
        <v>100</v>
      </c>
      <c r="F21" s="645">
        <v>0.65470653139818635</v>
      </c>
      <c r="G21" s="649"/>
      <c r="H21" s="647">
        <v>647.88753000000008</v>
      </c>
      <c r="I21" s="648">
        <v>1.1287074142498024</v>
      </c>
    </row>
    <row r="22" spans="1:9" s="235" customFormat="1" ht="15.95" customHeight="1" x14ac:dyDescent="0.15">
      <c r="A22" s="625" t="s">
        <v>318</v>
      </c>
      <c r="B22" s="642"/>
      <c r="C22" s="643" t="s">
        <v>317</v>
      </c>
      <c r="D22" s="643" t="s">
        <v>40</v>
      </c>
      <c r="E22" s="644">
        <v>524.6</v>
      </c>
      <c r="F22" s="645">
        <v>3.4345904637148856</v>
      </c>
      <c r="G22" s="649"/>
      <c r="H22" s="647">
        <v>3138.3640979999996</v>
      </c>
      <c r="I22" s="648">
        <v>5.467453318677074</v>
      </c>
    </row>
    <row r="23" spans="1:9" s="235" customFormat="1" ht="15.95" customHeight="1" x14ac:dyDescent="0.15">
      <c r="A23" s="625" t="s">
        <v>316</v>
      </c>
      <c r="B23" s="642"/>
      <c r="C23" s="643" t="s">
        <v>315</v>
      </c>
      <c r="D23" s="643" t="s">
        <v>42</v>
      </c>
      <c r="E23" s="644">
        <v>456</v>
      </c>
      <c r="F23" s="645">
        <v>2.98546178317573</v>
      </c>
      <c r="G23" s="649"/>
      <c r="H23" s="647">
        <v>2103.2827290000005</v>
      </c>
      <c r="I23" s="648">
        <v>3.6642020421134793</v>
      </c>
    </row>
    <row r="24" spans="1:9" s="237" customFormat="1" ht="15.95" customHeight="1" x14ac:dyDescent="0.25">
      <c r="A24" s="625" t="s">
        <v>314</v>
      </c>
      <c r="B24" s="642"/>
      <c r="C24" s="643" t="s">
        <v>313</v>
      </c>
      <c r="D24" s="643" t="s">
        <v>38</v>
      </c>
      <c r="E24" s="644">
        <v>96.759999999999991</v>
      </c>
      <c r="F24" s="645">
        <v>0.63349403978088514</v>
      </c>
      <c r="G24" s="649"/>
      <c r="H24" s="647">
        <v>424.54535800000002</v>
      </c>
      <c r="I24" s="648">
        <v>0.73961524349748886</v>
      </c>
    </row>
    <row r="25" spans="1:9" s="235" customFormat="1" ht="3" customHeight="1" x14ac:dyDescent="0.3">
      <c r="A25" s="623"/>
      <c r="B25" s="7"/>
      <c r="C25" s="7"/>
      <c r="D25" s="7"/>
      <c r="E25" s="7"/>
      <c r="F25" s="7"/>
      <c r="G25" s="639"/>
      <c r="H25" s="650"/>
      <c r="I25" s="641"/>
    </row>
    <row r="26" spans="1:9" s="235" customFormat="1" ht="15.95" customHeight="1" x14ac:dyDescent="0.3">
      <c r="A26" s="622" t="s">
        <v>312</v>
      </c>
      <c r="B26" s="633"/>
      <c r="C26" s="634"/>
      <c r="D26" s="634"/>
      <c r="E26" s="560"/>
      <c r="F26" s="560"/>
      <c r="G26" s="560"/>
      <c r="H26" s="560"/>
      <c r="I26" s="633"/>
    </row>
    <row r="27" spans="1:9" s="237" customFormat="1" ht="15.95" customHeight="1" x14ac:dyDescent="0.25">
      <c r="A27" s="627" t="s">
        <v>311</v>
      </c>
      <c r="B27" s="651"/>
      <c r="C27" s="652"/>
      <c r="D27" s="652"/>
      <c r="E27" s="653"/>
      <c r="F27" s="654"/>
      <c r="G27" s="655"/>
      <c r="H27" s="656"/>
      <c r="I27" s="657"/>
    </row>
    <row r="28" spans="1:9" s="235" customFormat="1" ht="15.95" customHeight="1" x14ac:dyDescent="0.3">
      <c r="A28" s="623" t="s">
        <v>265</v>
      </c>
      <c r="B28" s="635"/>
      <c r="C28" s="636" t="s">
        <v>310</v>
      </c>
      <c r="D28" s="636" t="s">
        <v>38</v>
      </c>
      <c r="E28" s="658">
        <v>979</v>
      </c>
      <c r="F28" s="638">
        <v>6.4095769423882443</v>
      </c>
      <c r="G28" s="659"/>
      <c r="H28" s="640">
        <v>5627.6807469999994</v>
      </c>
      <c r="I28" s="641">
        <v>9.8041784878461318</v>
      </c>
    </row>
    <row r="29" spans="1:9" s="235" customFormat="1" ht="32.1" customHeight="1" x14ac:dyDescent="0.15">
      <c r="A29" s="625" t="s">
        <v>327</v>
      </c>
      <c r="B29" s="642"/>
      <c r="C29" s="643" t="s">
        <v>309</v>
      </c>
      <c r="D29" s="643" t="s">
        <v>38</v>
      </c>
      <c r="E29" s="660">
        <v>962.68999999999994</v>
      </c>
      <c r="F29" s="645">
        <v>6.3027943071172006</v>
      </c>
      <c r="G29" s="646"/>
      <c r="H29" s="647">
        <v>5200.5433570000005</v>
      </c>
      <c r="I29" s="648">
        <v>9.0600475751917262</v>
      </c>
    </row>
    <row r="30" spans="1:9" s="237" customFormat="1" ht="15.95" customHeight="1" x14ac:dyDescent="0.25">
      <c r="A30" s="628" t="s">
        <v>267</v>
      </c>
      <c r="B30" s="661"/>
      <c r="C30" s="662" t="s">
        <v>308</v>
      </c>
      <c r="D30" s="662" t="s">
        <v>38</v>
      </c>
      <c r="E30" s="663">
        <v>578.79999999999995</v>
      </c>
      <c r="F30" s="664">
        <v>3.789441403732702</v>
      </c>
      <c r="G30" s="665"/>
      <c r="H30" s="666">
        <v>3425.777415</v>
      </c>
      <c r="I30" s="657">
        <v>5.9681660609828713</v>
      </c>
    </row>
    <row r="31" spans="1:9" s="235" customFormat="1" ht="15.95" customHeight="1" x14ac:dyDescent="0.15">
      <c r="A31" s="625" t="s">
        <v>304</v>
      </c>
      <c r="B31" s="642"/>
      <c r="C31" s="643" t="s">
        <v>307</v>
      </c>
      <c r="D31" s="643" t="s">
        <v>38</v>
      </c>
      <c r="E31" s="660">
        <v>524</v>
      </c>
      <c r="F31" s="645">
        <v>3.4306622245264964</v>
      </c>
      <c r="G31" s="646"/>
      <c r="H31" s="647">
        <v>2979.739654</v>
      </c>
      <c r="I31" s="648">
        <v>5.1911081542253799</v>
      </c>
    </row>
    <row r="32" spans="1:9" s="235" customFormat="1" ht="15.95" customHeight="1" x14ac:dyDescent="0.15">
      <c r="A32" s="624" t="s">
        <v>303</v>
      </c>
      <c r="B32" s="642"/>
      <c r="C32" s="667" t="s">
        <v>302</v>
      </c>
      <c r="D32" s="643" t="s">
        <v>38</v>
      </c>
      <c r="E32" s="660">
        <v>300</v>
      </c>
      <c r="F32" s="645">
        <v>1.9641195941945591</v>
      </c>
      <c r="G32" s="646"/>
      <c r="H32" s="668">
        <v>969.23419899999999</v>
      </c>
      <c r="I32" s="648">
        <v>1.6885366300471445</v>
      </c>
    </row>
    <row r="33" spans="1:9" s="235" customFormat="1" ht="32.1" customHeight="1" x14ac:dyDescent="0.15">
      <c r="A33" s="625" t="s">
        <v>272</v>
      </c>
      <c r="B33" s="642"/>
      <c r="C33" s="643" t="s">
        <v>306</v>
      </c>
      <c r="D33" s="643" t="s">
        <v>29</v>
      </c>
      <c r="E33" s="660">
        <v>30.810000000000002</v>
      </c>
      <c r="F33" s="645">
        <v>0.20171508232378121</v>
      </c>
      <c r="G33" s="646"/>
      <c r="H33" s="668">
        <v>0.173428</v>
      </c>
      <c r="I33" s="648">
        <v>3.0213495456304695E-4</v>
      </c>
    </row>
    <row r="34" spans="1:9" s="235" customFormat="1" ht="15.95" customHeight="1" x14ac:dyDescent="0.3">
      <c r="A34" s="627" t="s">
        <v>305</v>
      </c>
      <c r="B34" s="635"/>
      <c r="C34" s="636"/>
      <c r="D34" s="636"/>
      <c r="E34" s="637"/>
      <c r="F34" s="638"/>
      <c r="G34" s="659"/>
      <c r="H34" s="650"/>
      <c r="I34" s="641"/>
    </row>
    <row r="35" spans="1:9" s="236" customFormat="1" ht="15.95" customHeight="1" x14ac:dyDescent="0.25">
      <c r="A35" s="625" t="s">
        <v>304</v>
      </c>
      <c r="B35" s="642"/>
      <c r="C35" s="643" t="s">
        <v>367</v>
      </c>
      <c r="D35" s="643" t="s">
        <v>38</v>
      </c>
      <c r="E35" s="669">
        <v>446.7</v>
      </c>
      <c r="F35" s="645">
        <v>2.9245740757556984</v>
      </c>
      <c r="G35" s="670"/>
      <c r="H35" s="647">
        <v>477.29289199999999</v>
      </c>
      <c r="I35" s="648">
        <v>0.83150855823560932</v>
      </c>
    </row>
    <row r="36" spans="1:9" s="236" customFormat="1" ht="15.95" customHeight="1" x14ac:dyDescent="0.25">
      <c r="A36" s="624" t="s">
        <v>260</v>
      </c>
      <c r="B36" s="642"/>
      <c r="C36" s="671" t="s">
        <v>301</v>
      </c>
      <c r="D36" s="643" t="s">
        <v>286</v>
      </c>
      <c r="E36" s="670">
        <v>202.64</v>
      </c>
      <c r="F36" s="645">
        <v>1.3266973152252848</v>
      </c>
      <c r="G36" s="670"/>
      <c r="H36" s="647">
        <v>218.93568499999998</v>
      </c>
      <c r="I36" s="648">
        <v>0.38141547639195833</v>
      </c>
    </row>
    <row r="37" spans="1:9" s="236" customFormat="1" ht="15.95" customHeight="1" x14ac:dyDescent="0.25">
      <c r="A37" s="624" t="s">
        <v>265</v>
      </c>
      <c r="B37" s="672"/>
      <c r="C37" s="643" t="s">
        <v>300</v>
      </c>
      <c r="D37" s="643" t="s">
        <v>38</v>
      </c>
      <c r="E37" s="669">
        <v>192.5</v>
      </c>
      <c r="F37" s="645">
        <v>1.2603100729415087</v>
      </c>
      <c r="G37" s="670"/>
      <c r="H37" s="647">
        <v>472.89972399999994</v>
      </c>
      <c r="I37" s="648">
        <v>0.82385506736869141</v>
      </c>
    </row>
    <row r="38" spans="1:9" s="236" customFormat="1" ht="15.95" customHeight="1" x14ac:dyDescent="0.25">
      <c r="A38" s="625" t="s">
        <v>299</v>
      </c>
      <c r="B38" s="642"/>
      <c r="C38" s="643" t="s">
        <v>298</v>
      </c>
      <c r="D38" s="643" t="s">
        <v>283</v>
      </c>
      <c r="E38" s="669">
        <v>181.3</v>
      </c>
      <c r="F38" s="645">
        <v>1.1869829414249118</v>
      </c>
      <c r="G38" s="670"/>
      <c r="H38" s="647">
        <v>2.0803450000000003</v>
      </c>
      <c r="I38" s="648">
        <v>3.6242414261276261E-3</v>
      </c>
    </row>
    <row r="39" spans="1:9" s="236" customFormat="1" ht="32.1" customHeight="1" x14ac:dyDescent="0.25">
      <c r="A39" s="625" t="s">
        <v>327</v>
      </c>
      <c r="B39" s="672"/>
      <c r="C39" s="643" t="s">
        <v>297</v>
      </c>
      <c r="D39" s="643" t="s">
        <v>35</v>
      </c>
      <c r="E39" s="669">
        <v>135</v>
      </c>
      <c r="F39" s="645">
        <v>0.88385381738755164</v>
      </c>
      <c r="G39" s="670"/>
      <c r="H39" s="647">
        <v>28.354863000000002</v>
      </c>
      <c r="I39" s="648">
        <v>4.9397993658154511E-2</v>
      </c>
    </row>
    <row r="40" spans="1:9" s="236" customFormat="1" ht="32.1" customHeight="1" x14ac:dyDescent="0.25">
      <c r="A40" s="625" t="s">
        <v>296</v>
      </c>
      <c r="B40" s="672"/>
      <c r="C40" s="643" t="s">
        <v>295</v>
      </c>
      <c r="D40" s="643" t="s">
        <v>48</v>
      </c>
      <c r="E40" s="669">
        <v>101.3</v>
      </c>
      <c r="F40" s="645">
        <v>0.66321771630636284</v>
      </c>
      <c r="G40" s="670"/>
      <c r="H40" s="647">
        <v>638.49898699999994</v>
      </c>
      <c r="I40" s="648">
        <v>1.1123513067428354</v>
      </c>
    </row>
    <row r="41" spans="1:9" s="235" customFormat="1" ht="15.95" customHeight="1" x14ac:dyDescent="0.3">
      <c r="A41" s="627" t="s">
        <v>292</v>
      </c>
      <c r="B41" s="635"/>
      <c r="C41" s="636"/>
      <c r="D41" s="636"/>
      <c r="E41" s="637"/>
      <c r="F41" s="638"/>
      <c r="G41" s="659"/>
      <c r="H41" s="650"/>
      <c r="I41" s="641"/>
    </row>
    <row r="42" spans="1:9" s="236" customFormat="1" ht="32.1" customHeight="1" x14ac:dyDescent="0.25">
      <c r="A42" s="625" t="s">
        <v>291</v>
      </c>
      <c r="B42" s="642"/>
      <c r="C42" s="643" t="s">
        <v>290</v>
      </c>
      <c r="D42" s="643" t="s">
        <v>48</v>
      </c>
      <c r="E42" s="644">
        <v>177.65</v>
      </c>
      <c r="F42" s="645">
        <v>1.1630861530288781</v>
      </c>
      <c r="G42" s="649"/>
      <c r="H42" s="647">
        <v>76.875990000000002</v>
      </c>
      <c r="I42" s="648">
        <v>0.13392833767119064</v>
      </c>
    </row>
    <row r="43" spans="1:9" s="236" customFormat="1" ht="15.95" customHeight="1" x14ac:dyDescent="0.25">
      <c r="A43" s="625" t="s">
        <v>434</v>
      </c>
      <c r="B43" s="642"/>
      <c r="C43" s="643" t="s">
        <v>289</v>
      </c>
      <c r="D43" s="643" t="s">
        <v>35</v>
      </c>
      <c r="E43" s="644">
        <v>568.65000000000009</v>
      </c>
      <c r="F43" s="645">
        <v>3.7229886907957872</v>
      </c>
      <c r="G43" s="649"/>
      <c r="H43" s="647">
        <v>2.9478369999999998</v>
      </c>
      <c r="I43" s="648">
        <v>5.1355294303934108E-3</v>
      </c>
    </row>
    <row r="44" spans="1:9" s="236" customFormat="1" ht="15.95" customHeight="1" x14ac:dyDescent="0.25">
      <c r="A44" s="625" t="s">
        <v>487</v>
      </c>
      <c r="B44" s="642"/>
      <c r="C44" s="643" t="s">
        <v>435</v>
      </c>
      <c r="D44" s="643" t="s">
        <v>35</v>
      </c>
      <c r="E44" s="644">
        <v>719.01</v>
      </c>
      <c r="F44" s="645">
        <v>4.7074054314060998</v>
      </c>
      <c r="G44" s="649"/>
      <c r="H44" s="647">
        <v>6.410666</v>
      </c>
      <c r="I44" s="648">
        <v>1.1168244347100063E-2</v>
      </c>
    </row>
    <row r="45" spans="1:9" s="236" customFormat="1" ht="15.95" customHeight="1" x14ac:dyDescent="0.25">
      <c r="A45" s="741" t="s">
        <v>288</v>
      </c>
      <c r="B45" s="642"/>
      <c r="C45" s="643" t="s">
        <v>287</v>
      </c>
      <c r="D45" s="643" t="s">
        <v>286</v>
      </c>
      <c r="E45" s="644">
        <v>45.63</v>
      </c>
      <c r="F45" s="645">
        <v>0.29874259027699246</v>
      </c>
      <c r="G45" s="649"/>
      <c r="H45" s="647">
        <v>1.4287500000000002</v>
      </c>
      <c r="I45" s="648">
        <v>2.4890750993608493E-3</v>
      </c>
    </row>
    <row r="46" spans="1:9" s="236" customFormat="1" ht="15.95" customHeight="1" x14ac:dyDescent="0.25">
      <c r="A46" s="741"/>
      <c r="B46" s="642"/>
      <c r="C46" s="643" t="s">
        <v>285</v>
      </c>
      <c r="D46" s="643" t="s">
        <v>46</v>
      </c>
      <c r="E46" s="644">
        <v>20.079999999999998</v>
      </c>
      <c r="F46" s="645">
        <v>0.13146507150475581</v>
      </c>
      <c r="G46" s="649"/>
      <c r="H46" s="647">
        <v>0.72926500000000005</v>
      </c>
      <c r="I46" s="648">
        <v>1.270477936892661E-3</v>
      </c>
    </row>
    <row r="47" spans="1:9" s="236" customFormat="1" ht="15.95" customHeight="1" x14ac:dyDescent="0.25">
      <c r="A47" s="625" t="s">
        <v>368</v>
      </c>
      <c r="B47" s="642"/>
      <c r="C47" s="643" t="s">
        <v>284</v>
      </c>
      <c r="D47" s="643" t="s">
        <v>283</v>
      </c>
      <c r="E47" s="644">
        <v>235.63</v>
      </c>
      <c r="F47" s="645">
        <v>1.5426849999335466</v>
      </c>
      <c r="G47" s="649"/>
      <c r="H47" s="647">
        <v>1.1642249999999998</v>
      </c>
      <c r="I47" s="648">
        <v>2.0282368906760343E-3</v>
      </c>
    </row>
    <row r="48" spans="1:9" s="236" customFormat="1" ht="15.95" customHeight="1" x14ac:dyDescent="0.25">
      <c r="A48" s="625" t="s">
        <v>282</v>
      </c>
      <c r="B48" s="642"/>
      <c r="C48" s="667" t="s">
        <v>488</v>
      </c>
      <c r="D48" s="643" t="s">
        <v>29</v>
      </c>
      <c r="E48" s="644">
        <v>616</v>
      </c>
      <c r="F48" s="645">
        <v>4.0329922334128279</v>
      </c>
      <c r="G48" s="649"/>
      <c r="H48" s="647">
        <v>3.3403990000000001</v>
      </c>
      <c r="I48" s="648">
        <v>5.8194253528118141E-3</v>
      </c>
    </row>
    <row r="49" spans="1:9" s="236" customFormat="1" ht="15.95" customHeight="1" x14ac:dyDescent="0.25">
      <c r="A49" s="625" t="s">
        <v>369</v>
      </c>
      <c r="B49" s="642"/>
      <c r="C49" s="643" t="s">
        <v>294</v>
      </c>
      <c r="D49" s="643" t="s">
        <v>293</v>
      </c>
      <c r="E49" s="644">
        <v>81.199999999999989</v>
      </c>
      <c r="F49" s="645">
        <v>0.53162170349532722</v>
      </c>
      <c r="G49" s="649"/>
      <c r="H49" s="647">
        <v>358.03586499999994</v>
      </c>
      <c r="I49" s="648">
        <v>0.6237467410321067</v>
      </c>
    </row>
    <row r="50" spans="1:9" s="235" customFormat="1" ht="3" customHeight="1" x14ac:dyDescent="0.15">
      <c r="A50" s="674"/>
      <c r="B50" s="675"/>
      <c r="C50" s="675"/>
      <c r="D50" s="675"/>
      <c r="E50" s="675"/>
      <c r="F50" s="675"/>
      <c r="G50" s="675"/>
      <c r="H50" s="675"/>
      <c r="I50" s="675"/>
    </row>
    <row r="51" spans="1:9" s="630" customFormat="1" ht="12" customHeight="1" x14ac:dyDescent="0.25">
      <c r="A51" s="673" t="s">
        <v>490</v>
      </c>
      <c r="I51" s="631"/>
    </row>
    <row r="52" spans="1:9" s="630" customFormat="1" ht="12" customHeight="1" x14ac:dyDescent="0.25">
      <c r="A52" s="630" t="s">
        <v>436</v>
      </c>
      <c r="I52" s="631"/>
    </row>
    <row r="53" spans="1:9" s="630" customFormat="1" ht="12" customHeight="1" x14ac:dyDescent="0.25">
      <c r="A53" s="630" t="s">
        <v>437</v>
      </c>
      <c r="I53" s="631"/>
    </row>
    <row r="54" spans="1:9" s="630" customFormat="1" ht="12" customHeight="1" x14ac:dyDescent="0.25">
      <c r="A54" s="630" t="s">
        <v>438</v>
      </c>
      <c r="I54" s="631"/>
    </row>
    <row r="55" spans="1:9" s="208" customFormat="1" ht="12" customHeight="1" x14ac:dyDescent="0.25">
      <c r="A55" s="154" t="s">
        <v>219</v>
      </c>
    </row>
    <row r="56" spans="1:9" s="235" customFormat="1" ht="9" x14ac:dyDescent="0.15">
      <c r="I56" s="238"/>
    </row>
    <row r="57" spans="1:9" s="235" customFormat="1" ht="12" customHeight="1" x14ac:dyDescent="0.15">
      <c r="A57" s="239" t="s">
        <v>439</v>
      </c>
      <c r="B57" s="240"/>
      <c r="I57" s="241"/>
    </row>
    <row r="58" spans="1:9" s="235" customFormat="1" ht="14.1" customHeight="1" x14ac:dyDescent="0.15">
      <c r="A58" s="242"/>
      <c r="I58" s="241"/>
    </row>
    <row r="59" spans="1:9" s="235" customFormat="1" ht="14.1" customHeight="1" x14ac:dyDescent="0.15">
      <c r="E59" s="243"/>
      <c r="F59" s="243"/>
      <c r="G59" s="243"/>
      <c r="H59" s="243"/>
      <c r="I59" s="241"/>
    </row>
    <row r="60" spans="1:9" s="235" customFormat="1" ht="14.1" customHeight="1" x14ac:dyDescent="0.15">
      <c r="C60" s="244"/>
      <c r="D60" s="244"/>
      <c r="E60" s="245"/>
      <c r="F60" s="245"/>
      <c r="G60" s="246"/>
      <c r="H60" s="245"/>
      <c r="I60" s="241"/>
    </row>
    <row r="61" spans="1:9" s="235" customFormat="1" ht="14.1" customHeight="1" x14ac:dyDescent="0.15">
      <c r="E61" s="243"/>
      <c r="F61" s="243"/>
      <c r="G61" s="243"/>
      <c r="H61" s="243"/>
      <c r="I61" s="241"/>
    </row>
    <row r="62" spans="1:9" s="235" customFormat="1" ht="14.1" customHeight="1" x14ac:dyDescent="0.15">
      <c r="E62" s="243"/>
      <c r="F62" s="243"/>
      <c r="G62" s="243"/>
      <c r="H62" s="243"/>
      <c r="I62" s="241"/>
    </row>
    <row r="63" spans="1:9" s="235" customFormat="1" ht="14.1" customHeight="1" x14ac:dyDescent="0.15">
      <c r="I63" s="241"/>
    </row>
    <row r="64" spans="1:9" s="235" customFormat="1" ht="14.1" customHeight="1" x14ac:dyDescent="0.15">
      <c r="I64" s="241"/>
    </row>
    <row r="65" spans="9:9" s="235" customFormat="1" ht="14.1" customHeight="1" x14ac:dyDescent="0.15">
      <c r="I65" s="241"/>
    </row>
    <row r="66" spans="9:9" s="235" customFormat="1" ht="14.1" customHeight="1" x14ac:dyDescent="0.15">
      <c r="I66" s="241"/>
    </row>
    <row r="67" spans="9:9" s="235" customFormat="1" ht="14.1" customHeight="1" x14ac:dyDescent="0.15">
      <c r="I67" s="241"/>
    </row>
    <row r="68" spans="9:9" s="235" customFormat="1" ht="9" x14ac:dyDescent="0.15">
      <c r="I68" s="241"/>
    </row>
    <row r="69" spans="9:9" s="235" customFormat="1" ht="9" x14ac:dyDescent="0.15">
      <c r="I69" s="241"/>
    </row>
    <row r="70" spans="9:9" s="235" customFormat="1" ht="9" x14ac:dyDescent="0.15">
      <c r="I70" s="241"/>
    </row>
    <row r="71" spans="9:9" s="235" customFormat="1" ht="9" x14ac:dyDescent="0.15">
      <c r="I71" s="241"/>
    </row>
    <row r="72" spans="9:9" s="235" customFormat="1" ht="9" x14ac:dyDescent="0.15">
      <c r="I72" s="241"/>
    </row>
    <row r="73" spans="9:9" s="235" customFormat="1" ht="9" x14ac:dyDescent="0.15">
      <c r="I73" s="241"/>
    </row>
    <row r="74" spans="9:9" s="235" customFormat="1" ht="9" x14ac:dyDescent="0.15">
      <c r="I74" s="241"/>
    </row>
  </sheetData>
  <mergeCells count="14">
    <mergeCell ref="A1:I1"/>
    <mergeCell ref="A45:A46"/>
    <mergeCell ref="H3:I3"/>
    <mergeCell ref="A8:A9"/>
    <mergeCell ref="A13:A14"/>
    <mergeCell ref="A16:A17"/>
    <mergeCell ref="A19:A20"/>
    <mergeCell ref="A3:A4"/>
    <mergeCell ref="B3:B4"/>
    <mergeCell ref="C3:C4"/>
    <mergeCell ref="D3:D4"/>
    <mergeCell ref="E3:F3"/>
    <mergeCell ref="A6:A7"/>
    <mergeCell ref="G3:G4"/>
  </mergeCells>
  <hyperlinks>
    <hyperlink ref="A13" r:id="rId1" display="https://www.universidadperu.com/empresas/duke-energy-egenor-s-en-c-por-a.php"/>
  </hyperlinks>
  <printOptions horizontalCentered="1"/>
  <pageMargins left="0.51181102362204722" right="0.31496062992125984" top="0.98425196850393704" bottom="0.39370078740157483" header="0.31496062992125984" footer="0.31496062992125984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25</vt:i4>
      </vt:variant>
    </vt:vector>
  </HeadingPairs>
  <TitlesOfParts>
    <vt:vector size="50" baseType="lpstr">
      <vt:lpstr>1</vt:lpstr>
      <vt:lpstr>1-2a</vt:lpstr>
      <vt:lpstr>3-4a</vt:lpstr>
      <vt:lpstr>5-6a</vt:lpstr>
      <vt:lpstr>7a</vt:lpstr>
      <vt:lpstr>8a</vt:lpstr>
      <vt:lpstr>9a</vt:lpstr>
      <vt:lpstr>1-2b</vt:lpstr>
      <vt:lpstr>1-2-3b</vt:lpstr>
      <vt:lpstr>4b</vt:lpstr>
      <vt:lpstr>5b</vt:lpstr>
      <vt:lpstr>6b</vt:lpstr>
      <vt:lpstr>7b-8b</vt:lpstr>
      <vt:lpstr>9b</vt:lpstr>
      <vt:lpstr>10b</vt:lpstr>
      <vt:lpstr>11b</vt:lpstr>
      <vt:lpstr>12b</vt:lpstr>
      <vt:lpstr>13b</vt:lpstr>
      <vt:lpstr>14b</vt:lpstr>
      <vt:lpstr>15b</vt:lpstr>
      <vt:lpstr>16b</vt:lpstr>
      <vt:lpstr>17b</vt:lpstr>
      <vt:lpstr>18b</vt:lpstr>
      <vt:lpstr>19b</vt:lpstr>
      <vt:lpstr>20b</vt:lpstr>
      <vt:lpstr>'1'!Área_de_impresión</vt:lpstr>
      <vt:lpstr>'10b'!Área_de_impresión</vt:lpstr>
      <vt:lpstr>'11b'!Área_de_impresión</vt:lpstr>
      <vt:lpstr>'1-2-3b'!Área_de_impresión</vt:lpstr>
      <vt:lpstr>'1-2a'!Área_de_impresión</vt:lpstr>
      <vt:lpstr>'12b'!Área_de_impresión</vt:lpstr>
      <vt:lpstr>'1-2b'!Área_de_impresión</vt:lpstr>
      <vt:lpstr>'13b'!Área_de_impresión</vt:lpstr>
      <vt:lpstr>'14b'!Área_de_impresión</vt:lpstr>
      <vt:lpstr>'15b'!Área_de_impresión</vt:lpstr>
      <vt:lpstr>'16b'!Área_de_impresión</vt:lpstr>
      <vt:lpstr>'17b'!Área_de_impresión</vt:lpstr>
      <vt:lpstr>'18b'!Área_de_impresión</vt:lpstr>
      <vt:lpstr>'19b'!Área_de_impresión</vt:lpstr>
      <vt:lpstr>'20b'!Área_de_impresión</vt:lpstr>
      <vt:lpstr>'3-4a'!Área_de_impresión</vt:lpstr>
      <vt:lpstr>'4b'!Área_de_impresión</vt:lpstr>
      <vt:lpstr>'5-6a'!Área_de_impresión</vt:lpstr>
      <vt:lpstr>'5b'!Área_de_impresión</vt:lpstr>
      <vt:lpstr>'6b'!Área_de_impresión</vt:lpstr>
      <vt:lpstr>'7a'!Área_de_impresión</vt:lpstr>
      <vt:lpstr>'7b-8b'!Área_de_impresión</vt:lpstr>
      <vt:lpstr>'8a'!Área_de_impresión</vt:lpstr>
      <vt:lpstr>'9a'!Área_de_impresión</vt:lpstr>
      <vt:lpstr>'9b'!Área_de_impresión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Quispe</dc:creator>
  <cp:lastModifiedBy>Ana Huauya Tacza</cp:lastModifiedBy>
  <cp:lastPrinted>2022-09-15T04:59:23Z</cp:lastPrinted>
  <dcterms:created xsi:type="dcterms:W3CDTF">2021-02-16T02:11:06Z</dcterms:created>
  <dcterms:modified xsi:type="dcterms:W3CDTF">2022-12-20T17:08:12Z</dcterms:modified>
</cp:coreProperties>
</file>