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illari\CN_BASE2007\Anuario_Ambientales\Anuario_Ambientales_2022\RevisiónDNCN\Componente2\"/>
    </mc:Choice>
  </mc:AlternateContent>
  <bookViews>
    <workbookView xWindow="-120" yWindow="-120" windowWidth="29040" windowHeight="15720" tabRatio="815"/>
  </bookViews>
  <sheets>
    <sheet name="1" sheetId="2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26" r:id="rId15"/>
    <sheet name="1b" sheetId="17" r:id="rId16"/>
    <sheet name="2b" sheetId="34" r:id="rId17"/>
    <sheet name="3b" sheetId="35" r:id="rId18"/>
    <sheet name="4b" sheetId="33" r:id="rId19"/>
    <sheet name="5b" sheetId="32" r:id="rId20"/>
    <sheet name="6b" sheetId="22" r:id="rId21"/>
    <sheet name="7b" sheetId="23" r:id="rId22"/>
    <sheet name="8b" sheetId="24" r:id="rId23"/>
    <sheet name="9b" sheetId="25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a" localSheetId="14">#REF!</definedName>
    <definedName name="\a" localSheetId="15">#REF!</definedName>
    <definedName name="\a" localSheetId="16">#REF!</definedName>
    <definedName name="\a">#REF!</definedName>
    <definedName name="\c">#N/A</definedName>
    <definedName name="\D" localSheetId="0">#REF!</definedName>
    <definedName name="\D" localSheetId="14">#REF!</definedName>
    <definedName name="\D" localSheetId="15">#REF!</definedName>
    <definedName name="\D" localSheetId="16">#REF!</definedName>
    <definedName name="\D">#REF!</definedName>
    <definedName name="\i">#N/A</definedName>
    <definedName name="\K" localSheetId="0">#REF!</definedName>
    <definedName name="\K" localSheetId="14">#REF!</definedName>
    <definedName name="\K" localSheetId="15">#REF!</definedName>
    <definedName name="\K" localSheetId="16">#REF!</definedName>
    <definedName name="\K">#REF!</definedName>
    <definedName name="\m">#N/A</definedName>
    <definedName name="\p" localSheetId="0">#REF!</definedName>
    <definedName name="\p" localSheetId="14">#REF!</definedName>
    <definedName name="\p" localSheetId="15">#REF!</definedName>
    <definedName name="\p" localSheetId="16">#REF!</definedName>
    <definedName name="\p">#REF!</definedName>
    <definedName name="\q">#N/A</definedName>
    <definedName name="\s">#N/A</definedName>
    <definedName name="\t">#N/A</definedName>
    <definedName name="\w">#N/A</definedName>
    <definedName name="\Z" localSheetId="0">[1]Data!#REF!</definedName>
    <definedName name="\Z" localSheetId="14">[1]Data!#REF!</definedName>
    <definedName name="\Z" localSheetId="15">[1]Data!#REF!</definedName>
    <definedName name="\Z" localSheetId="16">[1]Data!#REF!</definedName>
    <definedName name="\Z">[1]Data!#REF!</definedName>
    <definedName name="____________key2" localSheetId="14" hidden="1">#REF!</definedName>
    <definedName name="____________key2" localSheetId="16" hidden="1">#REF!</definedName>
    <definedName name="____________key2" hidden="1">#REF!</definedName>
    <definedName name="___________A2" localSheetId="14">'[2]R. Natural'!#REF!</definedName>
    <definedName name="___________A2" localSheetId="16">'[2]R. Natural'!#REF!</definedName>
    <definedName name="___________A2">'[2]R. Natural'!#REF!</definedName>
    <definedName name="___________bol52" localSheetId="14">[3]PAG_35!#REF!</definedName>
    <definedName name="___________bol52" localSheetId="16">[3]PAG_35!#REF!</definedName>
    <definedName name="___________bol52">[3]PAG_35!#REF!</definedName>
    <definedName name="___________BTP1">[4]BTPMP!$A$2:$M$19922</definedName>
    <definedName name="___________BTP2">[4]BTPMS!$A$2:$N$19683</definedName>
    <definedName name="___________CDB1">[4]CDMP!$B$2:$N$20020</definedName>
    <definedName name="___________CDB2">[4]CDMS!$A$2:$M$20027</definedName>
    <definedName name="___________cdr2" localSheetId="14">[5]Cdr7!#REF!</definedName>
    <definedName name="___________cdr2" localSheetId="16">[5]Cdr7!#REF!</definedName>
    <definedName name="___________cdr2">[5]Cdr7!#REF!</definedName>
    <definedName name="___________Cdr7">'[6]Cdrs 1-2'!$A$1:$S$46</definedName>
    <definedName name="___________Cdr8">'[6]Cdrs 1-2'!$A$69:$S$114</definedName>
    <definedName name="___________Dur1">[4]Dur!$A$2:$I$27</definedName>
    <definedName name="___________G7" localSheetId="14" hidden="1">#REF!</definedName>
    <definedName name="___________G7" localSheetId="16" hidden="1">#REF!</definedName>
    <definedName name="___________G7" hidden="1">#REF!</definedName>
    <definedName name="___________gas001" localSheetId="14">#REF!</definedName>
    <definedName name="___________gas001" localSheetId="16">#REF!</definedName>
    <definedName name="___________gas001">#REF!</definedName>
    <definedName name="___________Gas01" localSheetId="14">#REF!</definedName>
    <definedName name="___________Gas01" localSheetId="16">#REF!</definedName>
    <definedName name="___________Gas01">#REF!</definedName>
    <definedName name="___________gas1" localSheetId="14">#REF!</definedName>
    <definedName name="___________gas1" localSheetId="16">#REF!</definedName>
    <definedName name="___________gas1">#REF!</definedName>
    <definedName name="___________Imp1" localSheetId="14">#REF!</definedName>
    <definedName name="___________Imp1" localSheetId="16">#REF!</definedName>
    <definedName name="___________Imp1">#REF!</definedName>
    <definedName name="___________Imp2" localSheetId="14">#REF!</definedName>
    <definedName name="___________Imp2" localSheetId="16">#REF!</definedName>
    <definedName name="___________Imp2">#REF!</definedName>
    <definedName name="___________key2" localSheetId="14" hidden="1">#REF!</definedName>
    <definedName name="___________key2" localSheetId="16" hidden="1">#REF!</definedName>
    <definedName name="___________key2" hidden="1">#REF!</definedName>
    <definedName name="___________p1" localSheetId="14">#REF!</definedName>
    <definedName name="___________p1" localSheetId="16">#REF!</definedName>
    <definedName name="___________p1">#REF!</definedName>
    <definedName name="___________RM1">[7]PAG19!$B$3:$I$39</definedName>
    <definedName name="___________RM2">[7]PAG19!$J$3:$P$39</definedName>
    <definedName name="__________A2" localSheetId="14">'[2]R. Natural'!#REF!</definedName>
    <definedName name="__________A2" localSheetId="16">'[2]R. Natural'!#REF!</definedName>
    <definedName name="__________A2">'[2]R. Natural'!#REF!</definedName>
    <definedName name="__________bol52" localSheetId="14">[3]PAG_35!#REF!</definedName>
    <definedName name="__________bol52" localSheetId="16">[3]PAG_35!#REF!</definedName>
    <definedName name="__________bol52">[3]PAG_35!#REF!</definedName>
    <definedName name="__________BTP1">[4]BTPMP!$A$2:$M$19922</definedName>
    <definedName name="__________BTP2">[4]BTPMS!$A$2:$N$19683</definedName>
    <definedName name="__________CDB1">[4]CDMP!$B$2:$N$20020</definedName>
    <definedName name="__________CDB2">[4]CDMS!$A$2:$M$20027</definedName>
    <definedName name="__________cdr2" localSheetId="14">[5]Cdr7!#REF!</definedName>
    <definedName name="__________cdr2" localSheetId="16">[5]Cdr7!#REF!</definedName>
    <definedName name="__________cdr2">[5]Cdr7!#REF!</definedName>
    <definedName name="__________Cdr7">'[6]Cdrs 1-2'!$A$1:$S$46</definedName>
    <definedName name="__________Cdr8">'[6]Cdrs 1-2'!$A$69:$S$114</definedName>
    <definedName name="__________Dur1">[4]Dur!$A$2:$I$27</definedName>
    <definedName name="__________G7" localSheetId="14" hidden="1">#REF!</definedName>
    <definedName name="__________G7" localSheetId="16" hidden="1">#REF!</definedName>
    <definedName name="__________G7" hidden="1">#REF!</definedName>
    <definedName name="__________gas001" localSheetId="14">#REF!</definedName>
    <definedName name="__________gas001" localSheetId="16">#REF!</definedName>
    <definedName name="__________gas001">#REF!</definedName>
    <definedName name="__________Gas01" localSheetId="14">#REF!</definedName>
    <definedName name="__________Gas01" localSheetId="16">#REF!</definedName>
    <definedName name="__________Gas01">#REF!</definedName>
    <definedName name="__________gas1" localSheetId="14">#REF!</definedName>
    <definedName name="__________gas1" localSheetId="16">#REF!</definedName>
    <definedName name="__________gas1">#REF!</definedName>
    <definedName name="__________Imp1" localSheetId="14">#REF!</definedName>
    <definedName name="__________Imp1" localSheetId="16">#REF!</definedName>
    <definedName name="__________Imp1">#REF!</definedName>
    <definedName name="__________Imp2" localSheetId="14">#REF!</definedName>
    <definedName name="__________Imp2" localSheetId="16">#REF!</definedName>
    <definedName name="__________Imp2">#REF!</definedName>
    <definedName name="__________key2" localSheetId="14" hidden="1">#REF!</definedName>
    <definedName name="__________key2" localSheetId="16" hidden="1">#REF!</definedName>
    <definedName name="__________key2" hidden="1">#REF!</definedName>
    <definedName name="__________p1" localSheetId="14">#REF!</definedName>
    <definedName name="__________p1" localSheetId="16">#REF!</definedName>
    <definedName name="__________p1">#REF!</definedName>
    <definedName name="__________RM1">[7]PAG19!$B$3:$I$39</definedName>
    <definedName name="__________RM2">[7]PAG19!$J$3:$P$39</definedName>
    <definedName name="_________A2" localSheetId="14">'[2]R. Natural'!#REF!</definedName>
    <definedName name="_________A2" localSheetId="16">'[2]R. Natural'!#REF!</definedName>
    <definedName name="_________A2">'[2]R. Natural'!#REF!</definedName>
    <definedName name="_________bol52" localSheetId="14">[3]PAG_35!#REF!</definedName>
    <definedName name="_________bol52" localSheetId="16">[3]PAG_35!#REF!</definedName>
    <definedName name="_________bol52">[3]PAG_35!#REF!</definedName>
    <definedName name="_________BTP1">[4]BTPMP!$A$2:$M$19922</definedName>
    <definedName name="_________BTP2">[4]BTPMS!$A$2:$N$19683</definedName>
    <definedName name="_________CDB1">[4]CDMP!$B$2:$N$20020</definedName>
    <definedName name="_________CDB2">[4]CDMS!$A$2:$M$20027</definedName>
    <definedName name="_________cdr2" localSheetId="14">[5]Cdr7!#REF!</definedName>
    <definedName name="_________cdr2" localSheetId="16">[5]Cdr7!#REF!</definedName>
    <definedName name="_________cdr2">[5]Cdr7!#REF!</definedName>
    <definedName name="_________Cdr7">'[6]Cdrs 1-2'!$A$1:$S$46</definedName>
    <definedName name="_________Cdr8">'[6]Cdrs 1-2'!$A$69:$S$114</definedName>
    <definedName name="_________Dur1">[4]Dur!$A$2:$I$27</definedName>
    <definedName name="_________G7" localSheetId="14" hidden="1">#REF!</definedName>
    <definedName name="_________G7" localSheetId="16" hidden="1">#REF!</definedName>
    <definedName name="_________G7" hidden="1">#REF!</definedName>
    <definedName name="_________gas001" localSheetId="14">#REF!</definedName>
    <definedName name="_________gas001" localSheetId="16">#REF!</definedName>
    <definedName name="_________gas001">#REF!</definedName>
    <definedName name="_________Gas01" localSheetId="14">#REF!</definedName>
    <definedName name="_________Gas01" localSheetId="16">#REF!</definedName>
    <definedName name="_________Gas01">#REF!</definedName>
    <definedName name="_________gas1" localSheetId="14">#REF!</definedName>
    <definedName name="_________gas1" localSheetId="16">#REF!</definedName>
    <definedName name="_________gas1">#REF!</definedName>
    <definedName name="_________Imp1" localSheetId="14">#REF!</definedName>
    <definedName name="_________Imp1" localSheetId="16">#REF!</definedName>
    <definedName name="_________Imp1">#REF!</definedName>
    <definedName name="_________Imp2" localSheetId="14">#REF!</definedName>
    <definedName name="_________Imp2" localSheetId="16">#REF!</definedName>
    <definedName name="_________Imp2">#REF!</definedName>
    <definedName name="_________key2" localSheetId="14" hidden="1">#REF!</definedName>
    <definedName name="_________key2" localSheetId="16" hidden="1">#REF!</definedName>
    <definedName name="_________key2" hidden="1">#REF!</definedName>
    <definedName name="_________p1" localSheetId="14">#REF!</definedName>
    <definedName name="_________p1" localSheetId="16">#REF!</definedName>
    <definedName name="_________p1">#REF!</definedName>
    <definedName name="_________RM1">[7]PAG19!$B$3:$I$39</definedName>
    <definedName name="_________RM2">[7]PAG19!$J$3:$P$39</definedName>
    <definedName name="________A2" localSheetId="14">'[2]R. Natural'!#REF!</definedName>
    <definedName name="________A2" localSheetId="16">'[2]R. Natural'!#REF!</definedName>
    <definedName name="________A2">'[2]R. Natural'!#REF!</definedName>
    <definedName name="________bol52" localSheetId="14">[3]PAG_35!#REF!</definedName>
    <definedName name="________bol52" localSheetId="16">[3]PAG_35!#REF!</definedName>
    <definedName name="________bol52">[3]PAG_35!#REF!</definedName>
    <definedName name="________BTP1">[4]BTPMP!$A$2:$M$19922</definedName>
    <definedName name="________BTP2">[4]BTPMS!$A$2:$N$19683</definedName>
    <definedName name="________CDB1">[4]CDMP!$B$2:$N$20020</definedName>
    <definedName name="________CDB2">[4]CDMS!$A$2:$M$20027</definedName>
    <definedName name="________cdr2" localSheetId="14">[5]Cdr7!#REF!</definedName>
    <definedName name="________cdr2" localSheetId="16">[5]Cdr7!#REF!</definedName>
    <definedName name="________cdr2">[5]Cdr7!#REF!</definedName>
    <definedName name="________Cdr7">'[6]Cdrs 1-2'!$A$1:$S$46</definedName>
    <definedName name="________Cdr8">'[6]Cdrs 1-2'!$A$69:$S$114</definedName>
    <definedName name="________Dur1">[4]Dur!$A$2:$I$27</definedName>
    <definedName name="________G7" localSheetId="14" hidden="1">#REF!</definedName>
    <definedName name="________G7" localSheetId="16" hidden="1">#REF!</definedName>
    <definedName name="________G7" hidden="1">#REF!</definedName>
    <definedName name="________gas001" localSheetId="14">#REF!</definedName>
    <definedName name="________gas001" localSheetId="16">#REF!</definedName>
    <definedName name="________gas001">#REF!</definedName>
    <definedName name="________Gas01" localSheetId="14">#REF!</definedName>
    <definedName name="________Gas01" localSheetId="16">#REF!</definedName>
    <definedName name="________Gas01">#REF!</definedName>
    <definedName name="________gas1" localSheetId="14">#REF!</definedName>
    <definedName name="________gas1" localSheetId="16">#REF!</definedName>
    <definedName name="________gas1">#REF!</definedName>
    <definedName name="________Imp1" localSheetId="14">#REF!</definedName>
    <definedName name="________Imp1" localSheetId="16">#REF!</definedName>
    <definedName name="________Imp1">#REF!</definedName>
    <definedName name="________Imp2" localSheetId="14">#REF!</definedName>
    <definedName name="________Imp2" localSheetId="16">#REF!</definedName>
    <definedName name="________Imp2">#REF!</definedName>
    <definedName name="________key2" localSheetId="14" hidden="1">#REF!</definedName>
    <definedName name="________key2" localSheetId="16" hidden="1">#REF!</definedName>
    <definedName name="________key2" hidden="1">#REF!</definedName>
    <definedName name="________p1" localSheetId="14">#REF!</definedName>
    <definedName name="________p1" localSheetId="16">#REF!</definedName>
    <definedName name="________p1">#REF!</definedName>
    <definedName name="________RM1">[7]PAG19!$B$3:$I$39</definedName>
    <definedName name="________RM2">[7]PAG19!$J$3:$P$39</definedName>
    <definedName name="_______A2" localSheetId="14">'[2]R. Natural'!#REF!</definedName>
    <definedName name="_______A2" localSheetId="16">'[2]R. Natural'!#REF!</definedName>
    <definedName name="_______A2">'[2]R. Natural'!#REF!</definedName>
    <definedName name="_______bol52" localSheetId="14">[3]PAG_35!#REF!</definedName>
    <definedName name="_______bol52" localSheetId="16">[3]PAG_35!#REF!</definedName>
    <definedName name="_______bol52">[3]PAG_35!#REF!</definedName>
    <definedName name="_______BTP1">[4]BTPMP!$A$2:$M$19922</definedName>
    <definedName name="_______BTP2">[4]BTPMS!$A$2:$N$19683</definedName>
    <definedName name="_______CDB1">[4]CDMP!$B$2:$N$20020</definedName>
    <definedName name="_______CDB2">[4]CDMS!$A$2:$M$20027</definedName>
    <definedName name="_______cdr2" localSheetId="14">[5]Cdr7!#REF!</definedName>
    <definedName name="_______cdr2" localSheetId="16">[5]Cdr7!#REF!</definedName>
    <definedName name="_______cdr2">[5]Cdr7!#REF!</definedName>
    <definedName name="_______Cdr7">'[6]Cdrs 1-2'!$A$1:$S$46</definedName>
    <definedName name="_______Cdr8">'[6]Cdrs 1-2'!$A$69:$S$114</definedName>
    <definedName name="_______Dur1">[4]Dur!$A$2:$I$27</definedName>
    <definedName name="_______G7" localSheetId="14" hidden="1">#REF!</definedName>
    <definedName name="_______G7" localSheetId="16" hidden="1">#REF!</definedName>
    <definedName name="_______G7" hidden="1">#REF!</definedName>
    <definedName name="_______gas001" localSheetId="14">#REF!</definedName>
    <definedName name="_______gas001" localSheetId="16">#REF!</definedName>
    <definedName name="_______gas001">#REF!</definedName>
    <definedName name="_______Gas01" localSheetId="14">#REF!</definedName>
    <definedName name="_______Gas01" localSheetId="16">#REF!</definedName>
    <definedName name="_______Gas01">#REF!</definedName>
    <definedName name="_______gas1" localSheetId="14">#REF!</definedName>
    <definedName name="_______gas1" localSheetId="16">#REF!</definedName>
    <definedName name="_______gas1">#REF!</definedName>
    <definedName name="_______Imp1" localSheetId="14">#REF!</definedName>
    <definedName name="_______Imp1" localSheetId="16">#REF!</definedName>
    <definedName name="_______Imp1">#REF!</definedName>
    <definedName name="_______Imp2" localSheetId="14">#REF!</definedName>
    <definedName name="_______Imp2" localSheetId="16">#REF!</definedName>
    <definedName name="_______Imp2">#REF!</definedName>
    <definedName name="_______key2" localSheetId="0" hidden="1">#REF!</definedName>
    <definedName name="_______key2" localSheetId="14" hidden="1">#REF!</definedName>
    <definedName name="_______key2" localSheetId="15" hidden="1">#REF!</definedName>
    <definedName name="_______key2" localSheetId="16" hidden="1">#REF!</definedName>
    <definedName name="_______key2" hidden="1">#REF!</definedName>
    <definedName name="_______p1" localSheetId="14">#REF!</definedName>
    <definedName name="_______p1" localSheetId="16">#REF!</definedName>
    <definedName name="_______p1">#REF!</definedName>
    <definedName name="_______RM1">[7]PAG19!$B$3:$I$39</definedName>
    <definedName name="_______RM2">[7]PAG19!$J$3:$P$39</definedName>
    <definedName name="______A2" localSheetId="0">'[8]R. Natural'!#REF!</definedName>
    <definedName name="______A2" localSheetId="14">'[8]R. Natural'!#REF!</definedName>
    <definedName name="______A2" localSheetId="15">'[8]R. Natural'!#REF!</definedName>
    <definedName name="______A2" localSheetId="16">'[8]R. Natural'!#REF!</definedName>
    <definedName name="______A2">'[8]R. Natural'!#REF!</definedName>
    <definedName name="______bol52" localSheetId="0">[3]PAG_35!#REF!</definedName>
    <definedName name="______bol52" localSheetId="14">[3]PAG_35!#REF!</definedName>
    <definedName name="______bol52" localSheetId="15">[3]PAG_35!#REF!</definedName>
    <definedName name="______bol52" localSheetId="16">[3]PAG_35!#REF!</definedName>
    <definedName name="______bol52">[3]PAG_35!#REF!</definedName>
    <definedName name="______BTP1">[4]BTPMP!$A$2:$M$19922</definedName>
    <definedName name="______BTP2">[4]BTPMS!$A$2:$N$19683</definedName>
    <definedName name="______CDB1">[4]CDMP!$B$2:$N$20020</definedName>
    <definedName name="______CDB2">[4]CDMS!$A$2:$M$20027</definedName>
    <definedName name="______cdr2" localSheetId="0">[5]Cdr7!#REF!</definedName>
    <definedName name="______cdr2" localSheetId="14">[5]Cdr7!#REF!</definedName>
    <definedName name="______cdr2" localSheetId="15">[5]Cdr7!#REF!</definedName>
    <definedName name="______cdr2" localSheetId="16">[5]Cdr7!#REF!</definedName>
    <definedName name="______cdr2">[5]Cdr7!#REF!</definedName>
    <definedName name="______Cdr7">'[6]Cdrs 1-2'!$A$1:$S$46</definedName>
    <definedName name="______Cdr8">'[6]Cdrs 1-2'!$A$69:$S$114</definedName>
    <definedName name="______Dur1">[4]Dur!$A$2:$I$27</definedName>
    <definedName name="______G7" localSheetId="0" hidden="1">#REF!</definedName>
    <definedName name="______G7" localSheetId="14" hidden="1">#REF!</definedName>
    <definedName name="______G7" localSheetId="15" hidden="1">#REF!</definedName>
    <definedName name="______G7" localSheetId="16" hidden="1">#REF!</definedName>
    <definedName name="______G7" hidden="1">#REF!</definedName>
    <definedName name="______gas001" localSheetId="0">#REF!</definedName>
    <definedName name="______gas001" localSheetId="14">#REF!</definedName>
    <definedName name="______gas001" localSheetId="15">#REF!</definedName>
    <definedName name="______gas001" localSheetId="16">#REF!</definedName>
    <definedName name="______gas001">#REF!</definedName>
    <definedName name="______Gas01" localSheetId="0">#REF!</definedName>
    <definedName name="______Gas01" localSheetId="14">#REF!</definedName>
    <definedName name="______Gas01" localSheetId="15">#REF!</definedName>
    <definedName name="______Gas01" localSheetId="16">#REF!</definedName>
    <definedName name="______Gas01">#REF!</definedName>
    <definedName name="______gas1" localSheetId="14">#REF!</definedName>
    <definedName name="______gas1" localSheetId="15">#REF!</definedName>
    <definedName name="______gas1" localSheetId="16">#REF!</definedName>
    <definedName name="______gas1">#REF!</definedName>
    <definedName name="______Imp1" localSheetId="14">#REF!</definedName>
    <definedName name="______Imp1" localSheetId="15">#REF!</definedName>
    <definedName name="______Imp1" localSheetId="16">#REF!</definedName>
    <definedName name="______Imp1">#REF!</definedName>
    <definedName name="______Imp2" localSheetId="14">#REF!</definedName>
    <definedName name="______Imp2" localSheetId="15">#REF!</definedName>
    <definedName name="______Imp2" localSheetId="16">#REF!</definedName>
    <definedName name="______Imp2">#REF!</definedName>
    <definedName name="______key2" localSheetId="14" hidden="1">#REF!</definedName>
    <definedName name="______key2" localSheetId="15" hidden="1">#REF!</definedName>
    <definedName name="______key2" localSheetId="16" hidden="1">#REF!</definedName>
    <definedName name="______key2" hidden="1">#REF!</definedName>
    <definedName name="______p1" localSheetId="14">#REF!</definedName>
    <definedName name="______p1" localSheetId="15">#REF!</definedName>
    <definedName name="______p1" localSheetId="16">#REF!</definedName>
    <definedName name="______p1">#REF!</definedName>
    <definedName name="______RM1">[7]PAG19!$B$3:$I$39</definedName>
    <definedName name="______RM2">[7]PAG19!$J$3:$P$39</definedName>
    <definedName name="_____A2" localSheetId="0">'[8]R. Natural'!#REF!</definedName>
    <definedName name="_____A2" localSheetId="14">'[9]R. Natural'!#REF!</definedName>
    <definedName name="_____A2" localSheetId="15">'[8]R. Natural'!#REF!</definedName>
    <definedName name="_____A2" localSheetId="16">'[8]R. Natural'!#REF!</definedName>
    <definedName name="_____A2">'[9]R. Natural'!#REF!</definedName>
    <definedName name="_____bol52" localSheetId="0">[3]PAG_35!#REF!</definedName>
    <definedName name="_____bol52" localSheetId="14">[3]PAG_35!#REF!</definedName>
    <definedName name="_____bol52" localSheetId="15">[3]PAG_35!#REF!</definedName>
    <definedName name="_____bol52" localSheetId="16">[3]PAG_35!#REF!</definedName>
    <definedName name="_____bol52">[3]PAG_35!#REF!</definedName>
    <definedName name="_____BTP1">[4]BTPMP!$A$2:$M$19922</definedName>
    <definedName name="_____BTP2">[4]BTPMS!$A$2:$N$19683</definedName>
    <definedName name="_____CDB1">[4]CDMP!$B$2:$N$20020</definedName>
    <definedName name="_____CDB2">[4]CDMS!$A$2:$M$20027</definedName>
    <definedName name="_____cdr2" localSheetId="0">[5]Cdr7!#REF!</definedName>
    <definedName name="_____cdr2" localSheetId="14">[5]Cdr7!#REF!</definedName>
    <definedName name="_____cdr2" localSheetId="15">[5]Cdr7!#REF!</definedName>
    <definedName name="_____cdr2" localSheetId="16">[5]Cdr7!#REF!</definedName>
    <definedName name="_____cdr2">[5]Cdr7!#REF!</definedName>
    <definedName name="_____Cdr7" localSheetId="0">'[6]Cdrs 1-2'!$A$1:$S$46</definedName>
    <definedName name="_____Cdr7" localSheetId="15">'[6]Cdrs 1-2'!$A$1:$S$46</definedName>
    <definedName name="_____Cdr7" localSheetId="16">'[6]Cdrs 1-2'!$A$1:$S$46</definedName>
    <definedName name="_____Cdr7">'[10]Cdrs 1-2'!$A$1:$S$46</definedName>
    <definedName name="_____Cdr8" localSheetId="0">'[6]Cdrs 1-2'!$A$69:$S$114</definedName>
    <definedName name="_____Cdr8" localSheetId="15">'[6]Cdrs 1-2'!$A$69:$S$114</definedName>
    <definedName name="_____Cdr8" localSheetId="16">'[6]Cdrs 1-2'!$A$69:$S$114</definedName>
    <definedName name="_____Cdr8">'[10]Cdrs 1-2'!$A$69:$S$114</definedName>
    <definedName name="_____Dur1">[4]Dur!$A$2:$I$27</definedName>
    <definedName name="_____G7" localSheetId="0" hidden="1">#REF!</definedName>
    <definedName name="_____G7" localSheetId="14" hidden="1">#REF!</definedName>
    <definedName name="_____G7" localSheetId="15" hidden="1">#REF!</definedName>
    <definedName name="_____G7" localSheetId="16" hidden="1">#REF!</definedName>
    <definedName name="_____G7" hidden="1">#REF!</definedName>
    <definedName name="_____gas001" localSheetId="0">#REF!</definedName>
    <definedName name="_____gas001" localSheetId="14">#REF!</definedName>
    <definedName name="_____gas001" localSheetId="15">#REF!</definedName>
    <definedName name="_____gas001" localSheetId="16">#REF!</definedName>
    <definedName name="_____gas001">#REF!</definedName>
    <definedName name="_____Gas01" localSheetId="0">#REF!</definedName>
    <definedName name="_____Gas01" localSheetId="14">#REF!</definedName>
    <definedName name="_____Gas01" localSheetId="15">#REF!</definedName>
    <definedName name="_____Gas01" localSheetId="16">#REF!</definedName>
    <definedName name="_____Gas01">#REF!</definedName>
    <definedName name="_____gas1" localSheetId="14">#REF!</definedName>
    <definedName name="_____gas1" localSheetId="15">#REF!</definedName>
    <definedName name="_____gas1" localSheetId="16">#REF!</definedName>
    <definedName name="_____gas1">#REF!</definedName>
    <definedName name="_____Imp1" localSheetId="14">#REF!</definedName>
    <definedName name="_____Imp1" localSheetId="15">#REF!</definedName>
    <definedName name="_____Imp1" localSheetId="16">#REF!</definedName>
    <definedName name="_____Imp1">#REF!</definedName>
    <definedName name="_____Imp2" localSheetId="14">#REF!</definedName>
    <definedName name="_____Imp2" localSheetId="15">#REF!</definedName>
    <definedName name="_____Imp2" localSheetId="16">#REF!</definedName>
    <definedName name="_____Imp2">#REF!</definedName>
    <definedName name="_____key2" localSheetId="14" hidden="1">#REF!</definedName>
    <definedName name="_____key2" localSheetId="15" hidden="1">#REF!</definedName>
    <definedName name="_____key2" localSheetId="16" hidden="1">#REF!</definedName>
    <definedName name="_____key2" hidden="1">#REF!</definedName>
    <definedName name="_____p1" localSheetId="14">#REF!</definedName>
    <definedName name="_____p1" localSheetId="15">#REF!</definedName>
    <definedName name="_____p1" localSheetId="16">#REF!</definedName>
    <definedName name="_____p1">#REF!</definedName>
    <definedName name="_____RM1">[7]PAG19!$B$3:$I$39</definedName>
    <definedName name="_____RM2">[7]PAG19!$J$3:$P$39</definedName>
    <definedName name="____A2" localSheetId="0">'[8]R. Natural'!#REF!</definedName>
    <definedName name="____A2" localSheetId="14">'[9]R. Natural'!#REF!</definedName>
    <definedName name="____A2" localSheetId="15">'[8]R. Natural'!#REF!</definedName>
    <definedName name="____A2" localSheetId="16">'[8]R. Natural'!#REF!</definedName>
    <definedName name="____A2">'[9]R. Natural'!#REF!</definedName>
    <definedName name="____bol52" localSheetId="0">[3]PAG_35!#REF!</definedName>
    <definedName name="____bol52" localSheetId="14">[3]PAG_35!#REF!</definedName>
    <definedName name="____bol52" localSheetId="15">[3]PAG_35!#REF!</definedName>
    <definedName name="____bol52" localSheetId="16">[3]PAG_35!#REF!</definedName>
    <definedName name="____bol52">[3]PAG_35!#REF!</definedName>
    <definedName name="____BTP1">[4]BTPMP!$A$2:$M$19922</definedName>
    <definedName name="____BTP2">[4]BTPMS!$A$2:$N$19683</definedName>
    <definedName name="____CDB1">[4]CDMP!$B$2:$N$20020</definedName>
    <definedName name="____CDB2">[4]CDMS!$A$2:$M$20027</definedName>
    <definedName name="____cdr2" localSheetId="0">[5]Cdr7!#REF!</definedName>
    <definedName name="____cdr2" localSheetId="14">[5]Cdr7!#REF!</definedName>
    <definedName name="____cdr2" localSheetId="15">[5]Cdr7!#REF!</definedName>
    <definedName name="____cdr2" localSheetId="16">[5]Cdr7!#REF!</definedName>
    <definedName name="____cdr2">[5]Cdr7!#REF!</definedName>
    <definedName name="____Cdr7" localSheetId="0">'[6]Cdrs 1-2'!$A$1:$S$46</definedName>
    <definedName name="____Cdr7" localSheetId="15">'[6]Cdrs 1-2'!$A$1:$S$46</definedName>
    <definedName name="____Cdr7" localSheetId="16">'[6]Cdrs 1-2'!$A$1:$S$46</definedName>
    <definedName name="____Cdr7">'[10]Cdrs 1-2'!$A$1:$S$46</definedName>
    <definedName name="____Cdr8" localSheetId="0">'[6]Cdrs 1-2'!$A$69:$S$114</definedName>
    <definedName name="____Cdr8" localSheetId="15">'[6]Cdrs 1-2'!$A$69:$S$114</definedName>
    <definedName name="____Cdr8" localSheetId="16">'[6]Cdrs 1-2'!$A$69:$S$114</definedName>
    <definedName name="____Cdr8">'[10]Cdrs 1-2'!$A$69:$S$114</definedName>
    <definedName name="____Dur1">[4]Dur!$A$2:$I$27</definedName>
    <definedName name="____G7" localSheetId="0" hidden="1">#REF!</definedName>
    <definedName name="____G7" localSheetId="14" hidden="1">#REF!</definedName>
    <definedName name="____G7" localSheetId="15" hidden="1">#REF!</definedName>
    <definedName name="____G7" localSheetId="16" hidden="1">#REF!</definedName>
    <definedName name="____G7" hidden="1">#REF!</definedName>
    <definedName name="____gas001" localSheetId="0">#REF!</definedName>
    <definedName name="____gas001" localSheetId="14">#REF!</definedName>
    <definedName name="____gas001" localSheetId="15">#REF!</definedName>
    <definedName name="____gas001" localSheetId="16">#REF!</definedName>
    <definedName name="____gas001">#REF!</definedName>
    <definedName name="____Gas01" localSheetId="0">#REF!</definedName>
    <definedName name="____Gas01" localSheetId="14">#REF!</definedName>
    <definedName name="____Gas01" localSheetId="15">#REF!</definedName>
    <definedName name="____Gas01" localSheetId="16">#REF!</definedName>
    <definedName name="____Gas01">#REF!</definedName>
    <definedName name="____gas1" localSheetId="14">#REF!</definedName>
    <definedName name="____gas1" localSheetId="15">#REF!</definedName>
    <definedName name="____gas1" localSheetId="16">#REF!</definedName>
    <definedName name="____gas1">#REF!</definedName>
    <definedName name="____Imp1" localSheetId="14">#REF!</definedName>
    <definedName name="____Imp1" localSheetId="15">#REF!</definedName>
    <definedName name="____Imp1" localSheetId="16">#REF!</definedName>
    <definedName name="____Imp1">#REF!</definedName>
    <definedName name="____Imp2" localSheetId="14">#REF!</definedName>
    <definedName name="____Imp2" localSheetId="15">#REF!</definedName>
    <definedName name="____Imp2" localSheetId="16">#REF!</definedName>
    <definedName name="____Imp2">#REF!</definedName>
    <definedName name="____key2" localSheetId="14" hidden="1">#REF!</definedName>
    <definedName name="____key2" localSheetId="15" hidden="1">#REF!</definedName>
    <definedName name="____key2" localSheetId="16" hidden="1">#REF!</definedName>
    <definedName name="____key2" hidden="1">#REF!</definedName>
    <definedName name="____p1" localSheetId="14">#REF!</definedName>
    <definedName name="____p1" localSheetId="15">#REF!</definedName>
    <definedName name="____p1" localSheetId="16">#REF!</definedName>
    <definedName name="____p1">#REF!</definedName>
    <definedName name="____RM1">[7]PAG19!$B$3:$I$39</definedName>
    <definedName name="____RM2">[7]PAG19!$J$3:$P$39</definedName>
    <definedName name="___A2" localSheetId="0">'[8]R. Natural'!#REF!</definedName>
    <definedName name="___A2" localSheetId="14">'[9]R. Natural'!#REF!</definedName>
    <definedName name="___A2" localSheetId="15">'[8]R. Natural'!#REF!</definedName>
    <definedName name="___A2" localSheetId="16">'[8]R. Natural'!#REF!</definedName>
    <definedName name="___A2">'[9]R. Natural'!#REF!</definedName>
    <definedName name="___bol52" localSheetId="0">[3]PAG_35!#REF!</definedName>
    <definedName name="___bol52" localSheetId="14">[3]PAG_35!#REF!</definedName>
    <definedName name="___bol52" localSheetId="15">[3]PAG_35!#REF!</definedName>
    <definedName name="___bol52" localSheetId="16">[3]PAG_35!#REF!</definedName>
    <definedName name="___bol52">[3]PAG_35!#REF!</definedName>
    <definedName name="___BTP1">[4]BTPMP!$A$2:$M$19922</definedName>
    <definedName name="___BTP2">[4]BTPMS!$A$2:$N$19683</definedName>
    <definedName name="___CDB1">[4]CDMP!$B$2:$N$20020</definedName>
    <definedName name="___CDB2">[4]CDMS!$A$2:$M$20027</definedName>
    <definedName name="___cdr2" localSheetId="0">[5]Cdr7!#REF!</definedName>
    <definedName name="___cdr2" localSheetId="14">[5]Cdr7!#REF!</definedName>
    <definedName name="___cdr2" localSheetId="15">[5]Cdr7!#REF!</definedName>
    <definedName name="___cdr2" localSheetId="16">[5]Cdr7!#REF!</definedName>
    <definedName name="___cdr2">[5]Cdr7!#REF!</definedName>
    <definedName name="___Cdr7" localSheetId="0">'[6]Cdrs 1-2'!$A$1:$S$46</definedName>
    <definedName name="___Cdr7" localSheetId="15">'[6]Cdrs 1-2'!$A$1:$S$46</definedName>
    <definedName name="___Cdr7" localSheetId="16">'[6]Cdrs 1-2'!$A$1:$S$46</definedName>
    <definedName name="___Cdr7">'[10]Cdrs 1-2'!$A$1:$S$46</definedName>
    <definedName name="___Cdr8" localSheetId="0">'[6]Cdrs 1-2'!$A$69:$S$114</definedName>
    <definedName name="___Cdr8" localSheetId="15">'[6]Cdrs 1-2'!$A$69:$S$114</definedName>
    <definedName name="___Cdr8" localSheetId="16">'[6]Cdrs 1-2'!$A$69:$S$114</definedName>
    <definedName name="___Cdr8">'[10]Cdrs 1-2'!$A$69:$S$114</definedName>
    <definedName name="___Dur1">[4]Dur!$A$2:$I$27</definedName>
    <definedName name="___G7" localSheetId="0" hidden="1">#REF!</definedName>
    <definedName name="___G7" localSheetId="14" hidden="1">#REF!</definedName>
    <definedName name="___G7" localSheetId="15" hidden="1">#REF!</definedName>
    <definedName name="___G7" localSheetId="16" hidden="1">#REF!</definedName>
    <definedName name="___G7" hidden="1">#REF!</definedName>
    <definedName name="___gas001" localSheetId="0">#REF!</definedName>
    <definedName name="___gas001" localSheetId="14">#REF!</definedName>
    <definedName name="___gas001" localSheetId="15">#REF!</definedName>
    <definedName name="___gas001" localSheetId="16">#REF!</definedName>
    <definedName name="___gas001">#REF!</definedName>
    <definedName name="___Gas01" localSheetId="0">#REF!</definedName>
    <definedName name="___Gas01" localSheetId="14">#REF!</definedName>
    <definedName name="___Gas01" localSheetId="15">#REF!</definedName>
    <definedName name="___Gas01" localSheetId="16">#REF!</definedName>
    <definedName name="___Gas01">#REF!</definedName>
    <definedName name="___gas1" localSheetId="14">#REF!</definedName>
    <definedName name="___gas1" localSheetId="15">#REF!</definedName>
    <definedName name="___gas1" localSheetId="16">#REF!</definedName>
    <definedName name="___gas1">#REF!</definedName>
    <definedName name="___Imp1" localSheetId="14">#REF!</definedName>
    <definedName name="___Imp1" localSheetId="15">#REF!</definedName>
    <definedName name="___Imp1" localSheetId="16">#REF!</definedName>
    <definedName name="___Imp1">#REF!</definedName>
    <definedName name="___Imp2" localSheetId="14">#REF!</definedName>
    <definedName name="___Imp2" localSheetId="15">#REF!</definedName>
    <definedName name="___Imp2" localSheetId="16">#REF!</definedName>
    <definedName name="___Imp2">#REF!</definedName>
    <definedName name="___key2" localSheetId="14" hidden="1">#REF!</definedName>
    <definedName name="___key2" localSheetId="15" hidden="1">#REF!</definedName>
    <definedName name="___key2" localSheetId="16" hidden="1">#REF!</definedName>
    <definedName name="___key2" hidden="1">#REF!</definedName>
    <definedName name="___p1" localSheetId="14">#REF!</definedName>
    <definedName name="___p1" localSheetId="15">#REF!</definedName>
    <definedName name="___p1" localSheetId="16">#REF!</definedName>
    <definedName name="___p1">#REF!</definedName>
    <definedName name="___RM1">[7]PAG19!$B$3:$I$39</definedName>
    <definedName name="___RM2">[7]PAG19!$J$3:$P$39</definedName>
    <definedName name="__1__123Graph_ACHART_1" hidden="1">[11]Hoja3!$J$368:$J$408</definedName>
    <definedName name="__123Graph_A" localSheetId="0" hidden="1">[12]balance!#REF!</definedName>
    <definedName name="__123Graph_A" localSheetId="14" hidden="1">[12]balance!#REF!</definedName>
    <definedName name="__123Graph_A" localSheetId="15" hidden="1">[12]balance!#REF!</definedName>
    <definedName name="__123Graph_A" localSheetId="16" hidden="1">[12]balance!#REF!</definedName>
    <definedName name="__123Graph_A" hidden="1">[12]balance!#REF!</definedName>
    <definedName name="__123Graph_ACURRENT" localSheetId="0" hidden="1">[12]balance!#REF!</definedName>
    <definedName name="__123Graph_ACURRENT" localSheetId="14" hidden="1">[12]balance!#REF!</definedName>
    <definedName name="__123Graph_ACURRENT" localSheetId="15" hidden="1">[12]balance!#REF!</definedName>
    <definedName name="__123Graph_ACURRENT" localSheetId="16" hidden="1">[12]balance!#REF!</definedName>
    <definedName name="__123Graph_ACURRENT" hidden="1">[12]balance!#REF!</definedName>
    <definedName name="__123Graph_B" localSheetId="0" hidden="1">[12]balance!#REF!</definedName>
    <definedName name="__123Graph_B" localSheetId="14" hidden="1">[12]balance!#REF!</definedName>
    <definedName name="__123Graph_B" localSheetId="15" hidden="1">[12]balance!#REF!</definedName>
    <definedName name="__123Graph_B" localSheetId="16" hidden="1">[12]balance!#REF!</definedName>
    <definedName name="__123Graph_B" hidden="1">[12]balance!#REF!</definedName>
    <definedName name="__123Graph_BCURRENT" localSheetId="0" hidden="1">[12]balance!#REF!</definedName>
    <definedName name="__123Graph_BCURRENT" localSheetId="14" hidden="1">[12]balance!#REF!</definedName>
    <definedName name="__123Graph_BCURRENT" localSheetId="15" hidden="1">[12]balance!#REF!</definedName>
    <definedName name="__123Graph_BCURRENT" localSheetId="16" hidden="1">[12]balance!#REF!</definedName>
    <definedName name="__123Graph_BCURRENT" hidden="1">[12]balance!#REF!</definedName>
    <definedName name="__123Graph_D" localSheetId="0" hidden="1">[12]balance!#REF!</definedName>
    <definedName name="__123Graph_D" localSheetId="14" hidden="1">[12]balance!#REF!</definedName>
    <definedName name="__123Graph_D" localSheetId="15" hidden="1">[12]balance!#REF!</definedName>
    <definedName name="__123Graph_D" localSheetId="16" hidden="1">[12]balance!#REF!</definedName>
    <definedName name="__123Graph_D" hidden="1">[12]balance!#REF!</definedName>
    <definedName name="__123Graph_DCURRENT" localSheetId="14" hidden="1">[12]balance!#REF!</definedName>
    <definedName name="__123Graph_DCURRENT" localSheetId="15" hidden="1">[12]balance!#REF!</definedName>
    <definedName name="__123Graph_DCURRENT" localSheetId="16" hidden="1">[12]balance!#REF!</definedName>
    <definedName name="__123Graph_DCURRENT" hidden="1">[12]balance!#REF!</definedName>
    <definedName name="__123Graph_F" localSheetId="14" hidden="1">[12]balance!#REF!</definedName>
    <definedName name="__123Graph_F" localSheetId="15" hidden="1">[12]balance!#REF!</definedName>
    <definedName name="__123Graph_F" localSheetId="16" hidden="1">[12]balance!#REF!</definedName>
    <definedName name="__123Graph_F" hidden="1">[12]balance!#REF!</definedName>
    <definedName name="__123Graph_FCURRENT" localSheetId="14" hidden="1">[12]balance!#REF!</definedName>
    <definedName name="__123Graph_FCURRENT" localSheetId="15" hidden="1">[12]balance!#REF!</definedName>
    <definedName name="__123Graph_FCURRENT" localSheetId="16" hidden="1">[12]balance!#REF!</definedName>
    <definedName name="__123Graph_FCURRENT" hidden="1">[12]balance!#REF!</definedName>
    <definedName name="__123Graph_X" localSheetId="14" hidden="1">[12]balance!#REF!</definedName>
    <definedName name="__123Graph_X" localSheetId="15" hidden="1">[12]balance!#REF!</definedName>
    <definedName name="__123Graph_X" localSheetId="16" hidden="1">[12]balance!#REF!</definedName>
    <definedName name="__123Graph_X" hidden="1">[12]balance!#REF!</definedName>
    <definedName name="__123Graph_XCURRENT" localSheetId="14" hidden="1">[12]balance!#REF!</definedName>
    <definedName name="__123Graph_XCURRENT" localSheetId="15" hidden="1">[12]balance!#REF!</definedName>
    <definedName name="__123Graph_XCURRENT" localSheetId="16" hidden="1">[12]balance!#REF!</definedName>
    <definedName name="__123Graph_XCURRENT" hidden="1">[12]balance!#REF!</definedName>
    <definedName name="__2_" localSheetId="14">#REF!</definedName>
    <definedName name="__2_" localSheetId="16">#REF!</definedName>
    <definedName name="__2_">#REF!</definedName>
    <definedName name="__2__123Graph_XCHART_1" hidden="1">[11]Hoja3!$A$368:$A$408</definedName>
    <definedName name="__4_0" localSheetId="14">#REF!</definedName>
    <definedName name="__4_0" localSheetId="16">#REF!</definedName>
    <definedName name="__4_0">#REF!</definedName>
    <definedName name="__A2" localSheetId="0">'[8]R. Natural'!#REF!</definedName>
    <definedName name="__A2" localSheetId="14">'[13]R. Natural'!#REF!</definedName>
    <definedName name="__A2" localSheetId="15">'[8]R. Natural'!#REF!</definedName>
    <definedName name="__A2" localSheetId="16">'[8]R. Natural'!#REF!</definedName>
    <definedName name="__A2">'[13]R. Natural'!#REF!</definedName>
    <definedName name="__bol52" localSheetId="0">[3]PAG_35!#REF!</definedName>
    <definedName name="__bol52" localSheetId="14">[3]PAG_35!#REF!</definedName>
    <definedName name="__bol52" localSheetId="15">[3]PAG_35!#REF!</definedName>
    <definedName name="__bol52" localSheetId="16">[3]PAG_35!#REF!</definedName>
    <definedName name="__bol52">[3]PAG_35!#REF!</definedName>
    <definedName name="__BTP1">[4]BTPMP!$A$2:$M$19922</definedName>
    <definedName name="__BTP2">[4]BTPMS!$A$2:$N$19683</definedName>
    <definedName name="__CDB1">[4]CDMP!$B$2:$N$20020</definedName>
    <definedName name="__CDB2">[4]CDMS!$A$2:$M$20027</definedName>
    <definedName name="__cdr2" localSheetId="0">[5]Cdr7!#REF!</definedName>
    <definedName name="__cdr2" localSheetId="14">[5]Cdr7!#REF!</definedName>
    <definedName name="__cdr2" localSheetId="15">[5]Cdr7!#REF!</definedName>
    <definedName name="__cdr2" localSheetId="16">[5]Cdr7!#REF!</definedName>
    <definedName name="__cdr2">[5]Cdr7!#REF!</definedName>
    <definedName name="__Cdr7">'[6]Cdrs 1-2'!$A$1:$S$46</definedName>
    <definedName name="__Cdr8">'[6]Cdrs 1-2'!$A$69:$S$114</definedName>
    <definedName name="__Dur1">[4]Dur!$A$2:$I$27</definedName>
    <definedName name="__G7" localSheetId="0" hidden="1">#REF!</definedName>
    <definedName name="__G7" localSheetId="14" hidden="1">#REF!</definedName>
    <definedName name="__G7" localSheetId="15" hidden="1">#REF!</definedName>
    <definedName name="__G7" localSheetId="16" hidden="1">#REF!</definedName>
    <definedName name="__G7" hidden="1">#REF!</definedName>
    <definedName name="__gas001" localSheetId="0">#REF!</definedName>
    <definedName name="__gas001" localSheetId="14">#REF!</definedName>
    <definedName name="__gas001" localSheetId="15">#REF!</definedName>
    <definedName name="__gas001" localSheetId="16">#REF!</definedName>
    <definedName name="__gas001">#REF!</definedName>
    <definedName name="__Gas01" localSheetId="0">#REF!</definedName>
    <definedName name="__Gas01" localSheetId="14">#REF!</definedName>
    <definedName name="__Gas01" localSheetId="15">#REF!</definedName>
    <definedName name="__Gas01" localSheetId="16">#REF!</definedName>
    <definedName name="__Gas01">#REF!</definedName>
    <definedName name="__gas1" localSheetId="14">#REF!</definedName>
    <definedName name="__gas1" localSheetId="15">#REF!</definedName>
    <definedName name="__gas1" localSheetId="16">#REF!</definedName>
    <definedName name="__gas1">#REF!</definedName>
    <definedName name="__Imp1" localSheetId="14">#REF!</definedName>
    <definedName name="__Imp1" localSheetId="15">#REF!</definedName>
    <definedName name="__Imp1" localSheetId="16">#REF!</definedName>
    <definedName name="__Imp1">#REF!</definedName>
    <definedName name="__Imp2" localSheetId="14">#REF!</definedName>
    <definedName name="__Imp2" localSheetId="15">#REF!</definedName>
    <definedName name="__Imp2" localSheetId="16">#REF!</definedName>
    <definedName name="__Imp2">#REF!</definedName>
    <definedName name="__key2" localSheetId="14" hidden="1">#REF!</definedName>
    <definedName name="__key2" localSheetId="15" hidden="1">#REF!</definedName>
    <definedName name="__key2" localSheetId="16" hidden="1">#REF!</definedName>
    <definedName name="__key2" hidden="1">#REF!</definedName>
    <definedName name="__p1" localSheetId="14">#REF!</definedName>
    <definedName name="__p1" localSheetId="15">#REF!</definedName>
    <definedName name="__p1" localSheetId="16">#REF!</definedName>
    <definedName name="__p1">#REF!</definedName>
    <definedName name="__RM1">[7]PAG19!$B$3:$I$39</definedName>
    <definedName name="__RM2">[7]PAG19!$J$3:$P$39</definedName>
    <definedName name="_1" localSheetId="14" hidden="1">#REF!</definedName>
    <definedName name="_1" localSheetId="16" hidden="1">#REF!</definedName>
    <definedName name="_1" hidden="1">#REF!</definedName>
    <definedName name="_1_" localSheetId="14">#REF!</definedName>
    <definedName name="_1_" localSheetId="16">#REF!</definedName>
    <definedName name="_1_">#REF!</definedName>
    <definedName name="_1__123Graph_ACHART_1" hidden="1">[11]Hoja3!$J$368:$J$408</definedName>
    <definedName name="_1__123Graph_AGráfico_1A" hidden="1">[14]HIERRO!$B$47:$D$47</definedName>
    <definedName name="_10_abc" localSheetId="16" hidden="1">[15]HIERRO!#REF!</definedName>
    <definedName name="_10_abc" hidden="1">[15]HIERRO!#REF!</definedName>
    <definedName name="_16_0" localSheetId="0">#REF!</definedName>
    <definedName name="_16_0" localSheetId="14">#REF!</definedName>
    <definedName name="_16_0" localSheetId="15">#REF!</definedName>
    <definedName name="_16_0" localSheetId="16">#REF!</definedName>
    <definedName name="_16_0">#REF!</definedName>
    <definedName name="_2_" localSheetId="0">#REF!</definedName>
    <definedName name="_2_" localSheetId="14">#REF!</definedName>
    <definedName name="_2_" localSheetId="15">#REF!</definedName>
    <definedName name="_2_" localSheetId="16">#REF!</definedName>
    <definedName name="_2_">#REF!</definedName>
    <definedName name="_2__123Graph_ACHART_1" hidden="1">[11]Hoja3!$J$368:$J$408</definedName>
    <definedName name="_2__123Graph_BCHART_1" hidden="1">[15]EST_PB!$B$18:$D$18</definedName>
    <definedName name="_2__123Graph_XCHART_1" hidden="1">[11]Hoja3!$A$368:$A$408</definedName>
    <definedName name="_2_0" localSheetId="14">#REF!</definedName>
    <definedName name="_2_0" localSheetId="16">#REF!</definedName>
    <definedName name="_2_0">#REF!</definedName>
    <definedName name="_27_0" localSheetId="14">#REF!</definedName>
    <definedName name="_27_0" localSheetId="16">#REF!</definedName>
    <definedName name="_27_0">#REF!</definedName>
    <definedName name="_28_0" localSheetId="14">#REF!</definedName>
    <definedName name="_28_0" localSheetId="16">#REF!</definedName>
    <definedName name="_28_0">#REF!</definedName>
    <definedName name="_29_0" localSheetId="14">#REF!</definedName>
    <definedName name="_29_0" localSheetId="16">#REF!</definedName>
    <definedName name="_29_0">#REF!</definedName>
    <definedName name="_3__123Graph_ACHART_1" hidden="1">[11]Hoja3!$J$368:$J$408</definedName>
    <definedName name="_3__123Graph_BGráfico_1A" hidden="1">[14]HIERRO!$B$49:$D$49</definedName>
    <definedName name="_3__123Graph_XCHART_1" hidden="1">[11]Hoja3!$A$368:$A$408</definedName>
    <definedName name="_3_0" localSheetId="14">#REF!</definedName>
    <definedName name="_3_0" localSheetId="16">#REF!</definedName>
    <definedName name="_3_0">#REF!</definedName>
    <definedName name="_30_0" localSheetId="14">#REF!</definedName>
    <definedName name="_30_0" localSheetId="16">#REF!</definedName>
    <definedName name="_30_0">#REF!</definedName>
    <definedName name="_31_0" localSheetId="14">#REF!</definedName>
    <definedName name="_31_0" localSheetId="16">#REF!</definedName>
    <definedName name="_31_0">#REF!</definedName>
    <definedName name="_4__123Graph_CCHART_1" hidden="1">[15]EST_PB!$B$19:$D$19</definedName>
    <definedName name="_4__123Graph_XCHART_1" hidden="1">[11]Hoja3!$A$368:$A$408</definedName>
    <definedName name="_4_0" localSheetId="14">#REF!</definedName>
    <definedName name="_4_0" localSheetId="16">#REF!</definedName>
    <definedName name="_4_0">#REF!</definedName>
    <definedName name="_5__123Graph_CGráfico_1A" hidden="1">[14]HIERRO!$B$51:$D$51</definedName>
    <definedName name="_5_0" localSheetId="14">#REF!</definedName>
    <definedName name="_5_0" localSheetId="16">#REF!</definedName>
    <definedName name="_5_0">#REF!</definedName>
    <definedName name="_6__123Graph_DGráfico_1A" hidden="1">[14]HIERRO!$B$53:$D$53</definedName>
    <definedName name="_6_0" localSheetId="0">#REF!</definedName>
    <definedName name="_6_0" localSheetId="14">#REF!</definedName>
    <definedName name="_6_0" localSheetId="15">#REF!</definedName>
    <definedName name="_6_0" localSheetId="16">#REF!</definedName>
    <definedName name="_6_0">#REF!</definedName>
    <definedName name="_7.4">#N/A</definedName>
    <definedName name="_7.5" localSheetId="0">#REF!</definedName>
    <definedName name="_7.5" localSheetId="14">#REF!</definedName>
    <definedName name="_7.5" localSheetId="15">#REF!</definedName>
    <definedName name="_7.5" localSheetId="16">#REF!</definedName>
    <definedName name="_7.5">#REF!</definedName>
    <definedName name="_7.6">#N/A</definedName>
    <definedName name="_7.7">#N/A</definedName>
    <definedName name="_7_" localSheetId="0">#REF!</definedName>
    <definedName name="_7_" localSheetId="14">#REF!</definedName>
    <definedName name="_7_" localSheetId="15">#REF!</definedName>
    <definedName name="_7_" localSheetId="16">#REF!</definedName>
    <definedName name="_7_">#REF!</definedName>
    <definedName name="_7__123Graph_EGráfico_1A" hidden="1">[14]HIERRO!$B$53:$D$53</definedName>
    <definedName name="_7_0" localSheetId="14">#REF!</definedName>
    <definedName name="_7_0" localSheetId="16">#REF!</definedName>
    <definedName name="_7_0">#REF!</definedName>
    <definedName name="_8__123Graph_ACHART_1" hidden="1">[11]Hoja3!$J$368:$J$408</definedName>
    <definedName name="_8__123Graph_FGráfico_1A" localSheetId="14" hidden="1">[15]HIERRO!#REF!</definedName>
    <definedName name="_8__123Graph_FGráfico_1A" localSheetId="16" hidden="1">[15]HIERRO!#REF!</definedName>
    <definedName name="_8__123Graph_FGráfico_1A" hidden="1">[15]HIERRO!#REF!</definedName>
    <definedName name="_9__123Graph_XCHART_1" hidden="1">[11]Hoja3!$A$368:$A$408</definedName>
    <definedName name="_9__123Graph_XGráfico_1A" localSheetId="14" hidden="1">[15]HIERRO!#REF!</definedName>
    <definedName name="_9__123Graph_XGráfico_1A" localSheetId="16" hidden="1">[15]HIERRO!#REF!</definedName>
    <definedName name="_9__123Graph_XGráfico_1A" hidden="1">[15]HIERRO!#REF!</definedName>
    <definedName name="_A2" localSheetId="0">'[16]R. Natural'!#REF!</definedName>
    <definedName name="_A2" localSheetId="14">'[13]R. Natural'!#REF!</definedName>
    <definedName name="_A2" localSheetId="15">'[16]R. Natural'!#REF!</definedName>
    <definedName name="_A2" localSheetId="16">'[16]R. Natural'!#REF!</definedName>
    <definedName name="_A2">'[13]R. Natural'!#REF!</definedName>
    <definedName name="_bol52" localSheetId="0">[3]PAG_35!#REF!</definedName>
    <definedName name="_bol52" localSheetId="14">[3]PAG_35!#REF!</definedName>
    <definedName name="_bol52" localSheetId="15">[3]PAG_35!#REF!</definedName>
    <definedName name="_bol52" localSheetId="16">[3]PAG_35!#REF!</definedName>
    <definedName name="_bol52">[3]PAG_35!#REF!</definedName>
    <definedName name="_BTP1">[4]BTPMP!$A$2:$M$19922</definedName>
    <definedName name="_BTP2">[4]BTPMS!$A$2:$N$19683</definedName>
    <definedName name="_CDB1">[4]CDMP!$B$2:$N$20020</definedName>
    <definedName name="_CDB2">[4]CDMS!$A$2:$M$20027</definedName>
    <definedName name="_cdr2" localSheetId="0">[5]Cdr7!#REF!</definedName>
    <definedName name="_cdr2" localSheetId="14">[5]Cdr7!#REF!</definedName>
    <definedName name="_cdr2" localSheetId="15">[5]Cdr7!#REF!</definedName>
    <definedName name="_cdr2" localSheetId="16">[5]Cdr7!#REF!</definedName>
    <definedName name="_cdr2">[5]Cdr7!#REF!</definedName>
    <definedName name="_Cdr7">'[6]Cdrs 1-2'!$A$1:$S$46</definedName>
    <definedName name="_Cdr8">'[6]Cdrs 1-2'!$A$69:$S$114</definedName>
    <definedName name="_Dur1">[4]Dur!$A$2:$I$27</definedName>
    <definedName name="_Fill" localSheetId="0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hidden="1">#REF!</definedName>
    <definedName name="_fill1" localSheetId="0" hidden="1">#REF!</definedName>
    <definedName name="_fill1" localSheetId="14" hidden="1">#REF!</definedName>
    <definedName name="_fill1" localSheetId="15" hidden="1">#REF!</definedName>
    <definedName name="_fill1" localSheetId="16" hidden="1">#REF!</definedName>
    <definedName name="_fill1" hidden="1">#REF!</definedName>
    <definedName name="_G7" localSheetId="0" hidden="1">#REF!</definedName>
    <definedName name="_G7" localSheetId="14" hidden="1">#REF!</definedName>
    <definedName name="_G7" localSheetId="15" hidden="1">#REF!</definedName>
    <definedName name="_G7" localSheetId="16" hidden="1">#REF!</definedName>
    <definedName name="_G7" hidden="1">#REF!</definedName>
    <definedName name="_gas001" localSheetId="14">#REF!</definedName>
    <definedName name="_gas001" localSheetId="15">#REF!</definedName>
    <definedName name="_gas001" localSheetId="16">#REF!</definedName>
    <definedName name="_gas001">#REF!</definedName>
    <definedName name="_Gas01" localSheetId="14">#REF!</definedName>
    <definedName name="_Gas01" localSheetId="15">#REF!</definedName>
    <definedName name="_Gas01" localSheetId="16">#REF!</definedName>
    <definedName name="_Gas01">#REF!</definedName>
    <definedName name="_gas1" localSheetId="14">#REF!</definedName>
    <definedName name="_gas1" localSheetId="15">#REF!</definedName>
    <definedName name="_gas1" localSheetId="16">#REF!</definedName>
    <definedName name="_gas1">#REF!</definedName>
    <definedName name="_Imp1" localSheetId="14">#REF!</definedName>
    <definedName name="_Imp1" localSheetId="15">#REF!</definedName>
    <definedName name="_Imp1" localSheetId="16">#REF!</definedName>
    <definedName name="_Imp1">#REF!</definedName>
    <definedName name="_Imp2" localSheetId="14">#REF!</definedName>
    <definedName name="_Imp2" localSheetId="15">#REF!</definedName>
    <definedName name="_Imp2" localSheetId="16">#REF!</definedName>
    <definedName name="_Imp2">#REF!</definedName>
    <definedName name="_key01" localSheetId="14" hidden="1">#REF!</definedName>
    <definedName name="_key01" localSheetId="15" hidden="1">#REF!</definedName>
    <definedName name="_key01" localSheetId="16" hidden="1">#REF!</definedName>
    <definedName name="_key01" hidden="1">#REF!</definedName>
    <definedName name="_Key1" localSheetId="14" hidden="1">#REF!</definedName>
    <definedName name="_Key1" localSheetId="15" hidden="1">#REF!</definedName>
    <definedName name="_Key1" localSheetId="16" hidden="1">#REF!</definedName>
    <definedName name="_Key1" hidden="1">#REF!</definedName>
    <definedName name="_Key2" hidden="1">[17]plomo!$J$7:$J$17</definedName>
    <definedName name="_key3" localSheetId="0" hidden="1">#REF!</definedName>
    <definedName name="_key3" localSheetId="14" hidden="1">#REF!</definedName>
    <definedName name="_key3" localSheetId="15" hidden="1">#REF!</definedName>
    <definedName name="_key3" localSheetId="16" hidden="1">#REF!</definedName>
    <definedName name="_key3" hidden="1">#REF!</definedName>
    <definedName name="_M">#N/A</definedName>
    <definedName name="_MatInverse_In" hidden="1">[18]Asfalto!$T$7:$U$8</definedName>
    <definedName name="_MatInverse_Out" hidden="1">[18]Asfalto!$T$10:$T$10</definedName>
    <definedName name="_MatMult_A" hidden="1">[18]Asfalto!$T$10:$U$11</definedName>
    <definedName name="_MatMult_AxB" hidden="1">[18]Asfalto!$V$7:$V$7</definedName>
    <definedName name="_MatMult_B" hidden="1">[18]Asfalto!$W$7:$W$8</definedName>
    <definedName name="_Order1" hidden="1">0</definedName>
    <definedName name="_Order2" hidden="1">0</definedName>
    <definedName name="_P" localSheetId="0">#REF!</definedName>
    <definedName name="_P" localSheetId="14">#REF!</definedName>
    <definedName name="_P" localSheetId="15">#REF!</definedName>
    <definedName name="_P" localSheetId="16">#REF!</definedName>
    <definedName name="_P">#REF!</definedName>
    <definedName name="_p1" localSheetId="0">#REF!</definedName>
    <definedName name="_p1" localSheetId="14">#REF!</definedName>
    <definedName name="_p1" localSheetId="15">#REF!</definedName>
    <definedName name="_p1" localSheetId="16">#REF!</definedName>
    <definedName name="_p1">#REF!</definedName>
    <definedName name="_Parse_Out" localSheetId="14" hidden="1">#REF!</definedName>
    <definedName name="_Parse_Out" localSheetId="15" hidden="1">#REF!</definedName>
    <definedName name="_Parse_Out" localSheetId="16" hidden="1">#REF!</definedName>
    <definedName name="_Parse_Out" hidden="1">#REF!</definedName>
    <definedName name="_RM1">[7]PAG19!$B$3:$I$39</definedName>
    <definedName name="_RM2">[7]PAG19!$J$3:$P$39</definedName>
    <definedName name="_S" localSheetId="0">#REF!</definedName>
    <definedName name="_S" localSheetId="14">#REF!</definedName>
    <definedName name="_S" localSheetId="15">#REF!</definedName>
    <definedName name="_S" localSheetId="16">#REF!</definedName>
    <definedName name="_S">#REF!</definedName>
    <definedName name="_Sort" localSheetId="0" hidden="1">#REF!</definedName>
    <definedName name="_Sort" localSheetId="14" hidden="1">#REF!</definedName>
    <definedName name="_Sort" localSheetId="15" hidden="1">#REF!</definedName>
    <definedName name="_Sort" localSheetId="16" hidden="1">#REF!</definedName>
    <definedName name="_Sort" hidden="1">#REF!</definedName>
    <definedName name="_sort01" localSheetId="0" hidden="1">#REF!</definedName>
    <definedName name="_sort01" localSheetId="14" hidden="1">#REF!</definedName>
    <definedName name="_sort01" localSheetId="15" hidden="1">#REF!</definedName>
    <definedName name="_sort01" localSheetId="16" hidden="1">#REF!</definedName>
    <definedName name="_sort01" hidden="1">#REF!</definedName>
    <definedName name="_sort1" localSheetId="14" hidden="1">#REF!</definedName>
    <definedName name="_sort1" localSheetId="15" hidden="1">#REF!</definedName>
    <definedName name="_sort1" localSheetId="16" hidden="1">#REF!</definedName>
    <definedName name="_sort1" hidden="1">#REF!</definedName>
    <definedName name="a" localSheetId="14">#REF!</definedName>
    <definedName name="a" localSheetId="15">#REF!</definedName>
    <definedName name="a" localSheetId="16">#REF!</definedName>
    <definedName name="a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>#REF!</definedName>
    <definedName name="A87_" localSheetId="14">#REF!</definedName>
    <definedName name="A87_" localSheetId="15">#REF!</definedName>
    <definedName name="A87_" localSheetId="16">#REF!</definedName>
    <definedName name="A87_">#REF!</definedName>
    <definedName name="aaaa" localSheetId="14">#REF!</definedName>
    <definedName name="aaaa" localSheetId="15">#REF!</definedName>
    <definedName name="aaaa" localSheetId="16">#REF!</definedName>
    <definedName name="aaaa">#REF!</definedName>
    <definedName name="aaaaa" localSheetId="14" hidden="1">#REF!</definedName>
    <definedName name="aaaaa" localSheetId="16" hidden="1">#REF!</definedName>
    <definedName name="aaaaa" hidden="1">#REF!</definedName>
    <definedName name="ada" localSheetId="14" hidden="1">[12]balance!#REF!</definedName>
    <definedName name="ada" localSheetId="16" hidden="1">[12]balance!#REF!</definedName>
    <definedName name="ada" hidden="1">[12]balance!#REF!</definedName>
    <definedName name="adicional" localSheetId="14">#REF!</definedName>
    <definedName name="adicional" localSheetId="15">#REF!</definedName>
    <definedName name="adicional" localSheetId="16">#REF!</definedName>
    <definedName name="adicional">#REF!</definedName>
    <definedName name="ALIMENTOS" localSheetId="14">#REF!</definedName>
    <definedName name="ALIMENTOS" localSheetId="15">#REF!</definedName>
    <definedName name="ALIMENTOS" localSheetId="16">#REF!</definedName>
    <definedName name="ALIMENTOS">#REF!</definedName>
    <definedName name="anexo" localSheetId="14">[19]PAG_35!#REF!</definedName>
    <definedName name="anexo" localSheetId="15">[19]PAG_35!#REF!</definedName>
    <definedName name="anexo" localSheetId="16">[19]PAG_35!#REF!</definedName>
    <definedName name="anexo">[19]PAG_35!#REF!</definedName>
    <definedName name="anexo_especial" localSheetId="14">[20]PAG_37!#REF!</definedName>
    <definedName name="anexo_especial" localSheetId="15">[20]PAG_37!#REF!</definedName>
    <definedName name="anexo_especial" localSheetId="16">[20]PAG_37!#REF!</definedName>
    <definedName name="anexo_especial">[20]PAG_37!#REF!</definedName>
    <definedName name="anexos" localSheetId="14">[21]PAG_35!#REF!</definedName>
    <definedName name="anexos" localSheetId="15">[21]PAG_35!#REF!</definedName>
    <definedName name="anexos" localSheetId="16">[21]PAG_35!#REF!</definedName>
    <definedName name="anexos">[21]PAG_35!#REF!</definedName>
    <definedName name="_xlnm.Print_Area" localSheetId="0">'1'!$A$1:$O$15</definedName>
    <definedName name="_xlnm.Print_Area" localSheetId="9">'10'!$A$1:$J$16</definedName>
    <definedName name="_xlnm.Print_Area" localSheetId="10">'11'!$A$1:$I$60</definedName>
    <definedName name="_xlnm.Print_Area" localSheetId="11">'12'!$A$1:$I$64</definedName>
    <definedName name="_xlnm.Print_Area" localSheetId="12">'13'!$A$1:$I$60</definedName>
    <definedName name="_xlnm.Print_Area" localSheetId="13">'14'!$B$1:$R$74</definedName>
    <definedName name="_xlnm.Print_Area" localSheetId="14">'15'!$A$1:$N$27</definedName>
    <definedName name="_xlnm.Print_Area" localSheetId="15">'1b'!$A$1:$F$5</definedName>
    <definedName name="_xlnm.Print_Area" localSheetId="1">'2'!$A$1:$K$78</definedName>
    <definedName name="_xlnm.Print_Area" localSheetId="16">'2b'!$A$1:$F$87</definedName>
    <definedName name="_xlnm.Print_Area" localSheetId="2">'3'!$A$1:$I$62</definedName>
    <definedName name="_xlnm.Print_Area" localSheetId="3">'4'!$A$1:$I$60</definedName>
    <definedName name="_xlnm.Print_Area" localSheetId="18">'4b'!$A$1:$I$86</definedName>
    <definedName name="_xlnm.Print_Area" localSheetId="4">'5'!$A$1:$R$45</definedName>
    <definedName name="_xlnm.Print_Area" localSheetId="19">'5b'!$A$1:$J$56</definedName>
    <definedName name="_xlnm.Print_Area" localSheetId="5">'6'!$A$1:$X$43</definedName>
    <definedName name="_xlnm.Print_Area" localSheetId="20">'6b'!$A$1:$J$36</definedName>
    <definedName name="_xlnm.Print_Area" localSheetId="6">'7'!$A$1:$L$40</definedName>
    <definedName name="_xlnm.Print_Area" localSheetId="21">'7b'!$A$1:$I$63</definedName>
    <definedName name="_xlnm.Print_Area" localSheetId="7">'8'!$A$1:$I$65</definedName>
    <definedName name="_xlnm.Print_Area" localSheetId="22">'8b'!$A$1:$Q$79</definedName>
    <definedName name="_xlnm.Print_Area" localSheetId="8">'9'!$A$1:$Q$62</definedName>
    <definedName name="_xlnm.Print_Area" localSheetId="23">'9b'!$A$2:$I$62</definedName>
    <definedName name="area1" localSheetId="0">#REF!</definedName>
    <definedName name="area1" localSheetId="14">#REF!</definedName>
    <definedName name="area1" localSheetId="15">#REF!</definedName>
    <definedName name="area1" localSheetId="16">#REF!</definedName>
    <definedName name="area1">#REF!</definedName>
    <definedName name="area2" localSheetId="0">#REF!</definedName>
    <definedName name="area2" localSheetId="14">#REF!</definedName>
    <definedName name="area2" localSheetId="15">#REF!</definedName>
    <definedName name="area2" localSheetId="16">#REF!</definedName>
    <definedName name="area2">#REF!</definedName>
    <definedName name="area3" localSheetId="0">#REF!</definedName>
    <definedName name="area3" localSheetId="14">#REF!</definedName>
    <definedName name="area3" localSheetId="15">#REF!</definedName>
    <definedName name="area3" localSheetId="16">#REF!</definedName>
    <definedName name="area3">#REF!</definedName>
    <definedName name="area4" localSheetId="14">#REF!</definedName>
    <definedName name="area4" localSheetId="15">#REF!</definedName>
    <definedName name="area4" localSheetId="16">#REF!</definedName>
    <definedName name="area4">#REF!</definedName>
    <definedName name="AreaDeFechasC1">[22]c1!$D$2:$N$2</definedName>
    <definedName name="AreaDeFechasC3">[22]c3!$D$2:$N$2</definedName>
    <definedName name="AreaDeFechasC5">[22]c5!$D$2:$N$2</definedName>
    <definedName name="AreaDeFechasC6">[22]c6!$D$2:$N$2</definedName>
    <definedName name="AreaDeFechasC8" localSheetId="0">#REF!</definedName>
    <definedName name="AreaDeFechasC8" localSheetId="14">#REF!</definedName>
    <definedName name="AreaDeFechasC8" localSheetId="15">#REF!</definedName>
    <definedName name="AreaDeFechasC8" localSheetId="16">#REF!</definedName>
    <definedName name="AreaDeFechasC8">#REF!</definedName>
    <definedName name="AreaDeFechasDeCuadro1">[22]AhoF!$F$4:$P$4</definedName>
    <definedName name="AreaDeFechasDeCuadro3">[22]Bon!$E$6:$O$6</definedName>
    <definedName name="AreaDeFechasDeCuadro5">[22]BVL!$E$5:$N$5</definedName>
    <definedName name="AreaDeFechasDeCuadro6" localSheetId="0">#REF!</definedName>
    <definedName name="AreaDeFechasDeCuadro6" localSheetId="14">#REF!</definedName>
    <definedName name="AreaDeFechasDeCuadro6" localSheetId="15">#REF!</definedName>
    <definedName name="AreaDeFechasDeCuadro6" localSheetId="16">#REF!</definedName>
    <definedName name="AreaDeFechasDeCuadro6">#REF!</definedName>
    <definedName name="AreaDeFechasDeCuadro8">'[22]Anex-SFN'!$J$7:$R$7</definedName>
    <definedName name="as" localSheetId="14">[3]PAG_35!#REF!</definedName>
    <definedName name="as" localSheetId="16">[3]PAG_35!#REF!</definedName>
    <definedName name="as">[3]PAG_35!#REF!</definedName>
    <definedName name="asad" localSheetId="14">#REF!</definedName>
    <definedName name="asad" localSheetId="16">#REF!</definedName>
    <definedName name="asad">#REF!</definedName>
    <definedName name="asdd" localSheetId="14">#REF!,#REF!</definedName>
    <definedName name="asdd" localSheetId="16">#REF!,#REF!</definedName>
    <definedName name="asdd">#REF!,#REF!</definedName>
    <definedName name="asde" localSheetId="14" hidden="1">#REF!</definedName>
    <definedName name="asde" localSheetId="16" hidden="1">#REF!</definedName>
    <definedName name="asde" hidden="1">#REF!</definedName>
    <definedName name="axdas" localSheetId="14">#REF!</definedName>
    <definedName name="axdas" localSheetId="16">#REF!</definedName>
    <definedName name="axdas">#REF!</definedName>
    <definedName name="B" localSheetId="14">'[23]R. Natural'!#REF!</definedName>
    <definedName name="B" localSheetId="16">'[23]R. Natural'!#REF!</definedName>
    <definedName name="B">'[23]R. Natural'!#REF!</definedName>
    <definedName name="base0" localSheetId="0">[24]Sem!#REF!</definedName>
    <definedName name="base0" localSheetId="14">[24]Sem!#REF!</definedName>
    <definedName name="base0" localSheetId="15">[24]Sem!#REF!</definedName>
    <definedName name="base0" localSheetId="16">[24]Sem!#REF!</definedName>
    <definedName name="base0">[24]Sem!#REF!</definedName>
    <definedName name="_xlnm.Database" localSheetId="0">[25]OPERACIONES!#REF!</definedName>
    <definedName name="_xlnm.Database" localSheetId="14">[26]OPERACIONES!#REF!</definedName>
    <definedName name="_xlnm.Database" localSheetId="15">[25]OPERACIONES!#REF!</definedName>
    <definedName name="_xlnm.Database" localSheetId="16">[25]OPERACIONES!#REF!</definedName>
    <definedName name="_xlnm.Database">[26]OPERACIONES!#REF!</definedName>
    <definedName name="baseFP">[24]BASFinP!$DW$1</definedName>
    <definedName name="baseProm" localSheetId="0">[24]BASPromP!#REF!</definedName>
    <definedName name="baseProm" localSheetId="14">[24]BASPromP!#REF!</definedName>
    <definedName name="baseProm" localSheetId="15">[24]BASPromP!#REF!</definedName>
    <definedName name="baseProm" localSheetId="16">[24]BASPromP!#REF!</definedName>
    <definedName name="baseProm">[24]BASPromP!#REF!</definedName>
    <definedName name="BLPH1" localSheetId="0" hidden="1">#REF!</definedName>
    <definedName name="BLPH1" localSheetId="14" hidden="1">#REF!</definedName>
    <definedName name="BLPH1" localSheetId="15" hidden="1">#REF!</definedName>
    <definedName name="BLPH1" localSheetId="16" hidden="1">#REF!</definedName>
    <definedName name="BLPH1" hidden="1">#REF!</definedName>
    <definedName name="bol03_98" localSheetId="0">[3]PAG_35!#REF!</definedName>
    <definedName name="bol03_98" localSheetId="14">[3]PAG_35!#REF!</definedName>
    <definedName name="bol03_98" localSheetId="15">[3]PAG_35!#REF!</definedName>
    <definedName name="bol03_98" localSheetId="16">[3]PAG_35!#REF!</definedName>
    <definedName name="bol03_98">[3]PAG_35!#REF!</definedName>
    <definedName name="borrar" localSheetId="14">'[2]R. Natural'!#REF!</definedName>
    <definedName name="borrar" localSheetId="16">'[2]R. Natural'!#REF!</definedName>
    <definedName name="borrar">'[2]R. Natural'!#REF!</definedName>
    <definedName name="bos" localSheetId="14">#REF!</definedName>
    <definedName name="bos" localSheetId="16">#REF!</definedName>
    <definedName name="bos">#REF!</definedName>
    <definedName name="CABEZA1">[27]IECM4303!$A$4</definedName>
    <definedName name="capitulo" localSheetId="14" hidden="1">#REF!</definedName>
    <definedName name="capitulo" localSheetId="16" hidden="1">#REF!</definedName>
    <definedName name="capitulo" hidden="1">#REF!</definedName>
    <definedName name="cara">[24]Grafico!$A$3</definedName>
    <definedName name="cartera" hidden="1">255</definedName>
    <definedName name="caudal" localSheetId="14">[28]PAG_33!#REF!</definedName>
    <definedName name="caudal" localSheetId="15">[28]PAG_33!#REF!</definedName>
    <definedName name="caudal" localSheetId="16">[28]PAG_33!#REF!</definedName>
    <definedName name="caudal">[28]PAG_33!#REF!</definedName>
    <definedName name="caudal1" localSheetId="0">#REF!</definedName>
    <definedName name="caudal1" localSheetId="14">#REF!</definedName>
    <definedName name="caudal1" localSheetId="15">#REF!</definedName>
    <definedName name="caudal1" localSheetId="16">#REF!</definedName>
    <definedName name="caudal1">#REF!</definedName>
    <definedName name="cdr">[29]cd1!$A$1:$Q$68</definedName>
    <definedName name="CODIGO">#N/A</definedName>
    <definedName name="copia" localSheetId="14" hidden="1">[12]balance!#REF!</definedName>
    <definedName name="copia" localSheetId="16" hidden="1">[12]balance!#REF!</definedName>
    <definedName name="copia" hidden="1">[12]balance!#REF!</definedName>
    <definedName name="copia7" localSheetId="14" hidden="1">[12]balance!#REF!</definedName>
    <definedName name="copia7" localSheetId="16" hidden="1">[12]balance!#REF!</definedName>
    <definedName name="copia7" hidden="1">[12]balance!#REF!</definedName>
    <definedName name="Criteria" localSheetId="0">#REF!</definedName>
    <definedName name="Criteria" localSheetId="14">#REF!</definedName>
    <definedName name="Criteria" localSheetId="15">#REF!</definedName>
    <definedName name="Criteria" localSheetId="16">#REF!</definedName>
    <definedName name="Criteria">#REF!</definedName>
    <definedName name="_xlnm.Criteria" localSheetId="0">#REF!</definedName>
    <definedName name="_xlnm.Criteria" localSheetId="14">#REF!</definedName>
    <definedName name="_xlnm.Criteria" localSheetId="15">#REF!</definedName>
    <definedName name="_xlnm.Criteria" localSheetId="16">#REF!</definedName>
    <definedName name="_xlnm.Criteria">#REF!</definedName>
    <definedName name="CSP" localSheetId="0">#REF!</definedName>
    <definedName name="CSP" localSheetId="14">#REF!</definedName>
    <definedName name="CSP" localSheetId="15">#REF!</definedName>
    <definedName name="CSP" localSheetId="16">#REF!</definedName>
    <definedName name="CSP">#REF!</definedName>
    <definedName name="cua" localSheetId="0">[21]PAG_35!#REF!</definedName>
    <definedName name="cua" localSheetId="14">[21]PAG_35!#REF!</definedName>
    <definedName name="cua" localSheetId="15">[21]PAG_35!#REF!</definedName>
    <definedName name="cua" localSheetId="16">[21]PAG_35!#REF!</definedName>
    <definedName name="cua">[21]PAG_35!#REF!</definedName>
    <definedName name="cuadro" localSheetId="0">[30]PAG_37!#REF!</definedName>
    <definedName name="cuadro" localSheetId="14">[30]PAG_37!#REF!</definedName>
    <definedName name="cuadro" localSheetId="15">[30]PAG_37!#REF!</definedName>
    <definedName name="cuadro" localSheetId="16">[30]PAG_37!#REF!</definedName>
    <definedName name="cuadro">[30]PAG_37!#REF!</definedName>
    <definedName name="cuadro_mes" localSheetId="0">#REF!</definedName>
    <definedName name="cuadro_mes" localSheetId="14">#REF!</definedName>
    <definedName name="cuadro_mes" localSheetId="15">#REF!</definedName>
    <definedName name="cuadro_mes" localSheetId="16">#REF!</definedName>
    <definedName name="cuadro_mes">#REF!</definedName>
    <definedName name="Cuadro_N__001" localSheetId="0">#REF!</definedName>
    <definedName name="Cuadro_N__001" localSheetId="14">#REF!</definedName>
    <definedName name="Cuadro_N__001" localSheetId="15">#REF!</definedName>
    <definedName name="Cuadro_N__001" localSheetId="16">#REF!</definedName>
    <definedName name="Cuadro_N__001">#REF!</definedName>
    <definedName name="cuadro_N__002" localSheetId="0">#REF!</definedName>
    <definedName name="cuadro_N__002" localSheetId="14">#REF!</definedName>
    <definedName name="cuadro_N__002" localSheetId="15">#REF!</definedName>
    <definedName name="cuadro_N__002" localSheetId="16">#REF!</definedName>
    <definedName name="cuadro_N__002">#REF!</definedName>
    <definedName name="Cuadro_N__003" localSheetId="14">#REF!</definedName>
    <definedName name="Cuadro_N__003" localSheetId="15">#REF!</definedName>
    <definedName name="Cuadro_N__003" localSheetId="16">#REF!</definedName>
    <definedName name="Cuadro_N__003">#REF!</definedName>
    <definedName name="cuadro_n__004" localSheetId="14">#REF!</definedName>
    <definedName name="cuadro_n__004" localSheetId="15">#REF!</definedName>
    <definedName name="cuadro_n__004" localSheetId="16">#REF!</definedName>
    <definedName name="cuadro_n__004">#REF!</definedName>
    <definedName name="Cuadro_N__01" localSheetId="14">#REF!</definedName>
    <definedName name="Cuadro_N__01" localSheetId="15">#REF!</definedName>
    <definedName name="Cuadro_N__01" localSheetId="16">#REF!</definedName>
    <definedName name="Cuadro_N__01">#REF!</definedName>
    <definedName name="Cuadro_N__03" localSheetId="14">#REF!</definedName>
    <definedName name="Cuadro_N__03" localSheetId="15">#REF!</definedName>
    <definedName name="Cuadro_N__03" localSheetId="16">#REF!</definedName>
    <definedName name="Cuadro_N__03">#REF!</definedName>
    <definedName name="Cuadro_N__04" localSheetId="14">#REF!</definedName>
    <definedName name="Cuadro_N__04" localSheetId="15">#REF!</definedName>
    <definedName name="Cuadro_N__04" localSheetId="16">#REF!</definedName>
    <definedName name="Cuadro_N__04">#REF!</definedName>
    <definedName name="cuadro_N__05" localSheetId="14">#REF!</definedName>
    <definedName name="cuadro_N__05" localSheetId="15">#REF!</definedName>
    <definedName name="cuadro_N__05" localSheetId="16">#REF!</definedName>
    <definedName name="cuadro_N__05">#REF!</definedName>
    <definedName name="Cuadro_N__06" localSheetId="14">#REF!</definedName>
    <definedName name="Cuadro_N__06" localSheetId="15">#REF!</definedName>
    <definedName name="Cuadro_N__06" localSheetId="16">#REF!</definedName>
    <definedName name="Cuadro_N__06">#REF!</definedName>
    <definedName name="Cuadro_N__1" localSheetId="14">[5]Cdr7!#REF!</definedName>
    <definedName name="Cuadro_N__1" localSheetId="15">[5]Cdr7!#REF!</definedName>
    <definedName name="Cuadro_N__1" localSheetId="16">[5]Cdr7!#REF!</definedName>
    <definedName name="Cuadro_N__1">[5]Cdr7!#REF!</definedName>
    <definedName name="Cuadro_N__10" localSheetId="14">[5]Cdr7!#REF!</definedName>
    <definedName name="Cuadro_N__10" localSheetId="15">[5]Cdr7!#REF!</definedName>
    <definedName name="Cuadro_N__10" localSheetId="16">[5]Cdr7!#REF!</definedName>
    <definedName name="Cuadro_N__10">[5]Cdr7!#REF!</definedName>
    <definedName name="Cuadro_N__11" localSheetId="0">#REF!</definedName>
    <definedName name="Cuadro_N__11" localSheetId="14">#REF!</definedName>
    <definedName name="Cuadro_N__11" localSheetId="15">#REF!</definedName>
    <definedName name="Cuadro_N__11" localSheetId="16">#REF!</definedName>
    <definedName name="Cuadro_N__11">#REF!</definedName>
    <definedName name="Cuadro_N__12" localSheetId="14">[5]Cdr7!#REF!</definedName>
    <definedName name="Cuadro_N__12" localSheetId="15">[5]Cdr7!#REF!</definedName>
    <definedName name="Cuadro_N__12" localSheetId="16">[5]Cdr7!#REF!</definedName>
    <definedName name="Cuadro_N__12">[5]Cdr7!#REF!</definedName>
    <definedName name="Cuadro_N__13" localSheetId="14">[5]Cdr7!#REF!</definedName>
    <definedName name="Cuadro_N__13" localSheetId="15">[5]Cdr7!#REF!</definedName>
    <definedName name="Cuadro_N__13" localSheetId="16">[5]Cdr7!#REF!</definedName>
    <definedName name="Cuadro_N__13">[5]Cdr7!#REF!</definedName>
    <definedName name="Cuadro_N__14" localSheetId="0">#REF!</definedName>
    <definedName name="Cuadro_N__14" localSheetId="14">#REF!</definedName>
    <definedName name="Cuadro_N__14" localSheetId="15">#REF!</definedName>
    <definedName name="Cuadro_N__14" localSheetId="16">#REF!</definedName>
    <definedName name="Cuadro_N__14">#REF!</definedName>
    <definedName name="Cuadro_N__19" localSheetId="0">#REF!</definedName>
    <definedName name="Cuadro_N__19" localSheetId="14">#REF!</definedName>
    <definedName name="Cuadro_N__19" localSheetId="15">#REF!</definedName>
    <definedName name="Cuadro_N__19" localSheetId="16">#REF!</definedName>
    <definedName name="Cuadro_N__19">#REF!</definedName>
    <definedName name="Cuadro_N__2" localSheetId="0">#REF!</definedName>
    <definedName name="Cuadro_N__2" localSheetId="14">#REF!</definedName>
    <definedName name="Cuadro_N__2" localSheetId="15">#REF!</definedName>
    <definedName name="Cuadro_N__2" localSheetId="16">#REF!</definedName>
    <definedName name="Cuadro_N__2">#REF!</definedName>
    <definedName name="Cuadro_N__20" localSheetId="0">[5]Cdr7!#REF!</definedName>
    <definedName name="Cuadro_N__20" localSheetId="14">[5]Cdr7!#REF!</definedName>
    <definedName name="Cuadro_N__20" localSheetId="15">[5]Cdr7!#REF!</definedName>
    <definedName name="Cuadro_N__20" localSheetId="16">[5]Cdr7!#REF!</definedName>
    <definedName name="Cuadro_N__20">[5]Cdr7!#REF!</definedName>
    <definedName name="Cuadro_N__21" localSheetId="0">[5]Cdr7!#REF!</definedName>
    <definedName name="Cuadro_N__21" localSheetId="14">[5]Cdr7!#REF!</definedName>
    <definedName name="Cuadro_N__21" localSheetId="15">[5]Cdr7!#REF!</definedName>
    <definedName name="Cuadro_N__21" localSheetId="16">[5]Cdr7!#REF!</definedName>
    <definedName name="Cuadro_N__21">[5]Cdr7!#REF!</definedName>
    <definedName name="Cuadro_N__22" localSheetId="0">[5]Cdr7!#REF!</definedName>
    <definedName name="Cuadro_N__22" localSheetId="14">[5]Cdr7!#REF!</definedName>
    <definedName name="Cuadro_N__22" localSheetId="15">[5]Cdr7!#REF!</definedName>
    <definedName name="Cuadro_N__22" localSheetId="16">[5]Cdr7!#REF!</definedName>
    <definedName name="Cuadro_N__22">[5]Cdr7!#REF!</definedName>
    <definedName name="Cuadro_N__23" localSheetId="0">[5]Cdr7!#REF!</definedName>
    <definedName name="Cuadro_N__23" localSheetId="14">[5]Cdr7!#REF!</definedName>
    <definedName name="Cuadro_N__23" localSheetId="15">[5]Cdr7!#REF!</definedName>
    <definedName name="Cuadro_N__23" localSheetId="16">[5]Cdr7!#REF!</definedName>
    <definedName name="Cuadro_N__23">[5]Cdr7!#REF!</definedName>
    <definedName name="Cuadro_N__24" localSheetId="0">#REF!</definedName>
    <definedName name="Cuadro_N__24" localSheetId="14">#REF!</definedName>
    <definedName name="Cuadro_N__24" localSheetId="15">#REF!</definedName>
    <definedName name="Cuadro_N__24" localSheetId="16">#REF!</definedName>
    <definedName name="Cuadro_N__24">#REF!</definedName>
    <definedName name="Cuadro_N__25" localSheetId="0">#REF!</definedName>
    <definedName name="Cuadro_N__25" localSheetId="14">#REF!</definedName>
    <definedName name="Cuadro_N__25" localSheetId="15">#REF!</definedName>
    <definedName name="Cuadro_N__25" localSheetId="16">#REF!</definedName>
    <definedName name="Cuadro_N__25">#REF!</definedName>
    <definedName name="Cuadro_N__26" localSheetId="0">#REF!</definedName>
    <definedName name="Cuadro_N__26" localSheetId="14">#REF!</definedName>
    <definedName name="Cuadro_N__26" localSheetId="15">#REF!</definedName>
    <definedName name="Cuadro_N__26" localSheetId="16">#REF!</definedName>
    <definedName name="Cuadro_N__26">#REF!</definedName>
    <definedName name="Cuadro_N__3" localSheetId="14">#REF!</definedName>
    <definedName name="Cuadro_N__3" localSheetId="15">#REF!</definedName>
    <definedName name="Cuadro_N__3" localSheetId="16">#REF!</definedName>
    <definedName name="Cuadro_N__3">#REF!</definedName>
    <definedName name="Cuadro_N__30" localSheetId="14">#REF!</definedName>
    <definedName name="Cuadro_N__30" localSheetId="15">#REF!</definedName>
    <definedName name="Cuadro_N__30" localSheetId="16">#REF!</definedName>
    <definedName name="Cuadro_N__30">#REF!</definedName>
    <definedName name="Cuadro_N__31" localSheetId="14">#REF!</definedName>
    <definedName name="Cuadro_N__31" localSheetId="15">#REF!</definedName>
    <definedName name="Cuadro_N__31" localSheetId="16">#REF!</definedName>
    <definedName name="Cuadro_N__31">#REF!</definedName>
    <definedName name="Cuadro_N__32" localSheetId="14">#REF!</definedName>
    <definedName name="Cuadro_N__32" localSheetId="15">#REF!</definedName>
    <definedName name="Cuadro_N__32" localSheetId="16">#REF!</definedName>
    <definedName name="Cuadro_N__32">#REF!</definedName>
    <definedName name="Cuadro_N__4" localSheetId="14">#REF!</definedName>
    <definedName name="Cuadro_N__4" localSheetId="15">#REF!</definedName>
    <definedName name="Cuadro_N__4" localSheetId="16">#REF!</definedName>
    <definedName name="Cuadro_N__4">#REF!</definedName>
    <definedName name="Cuadro_N__5" localSheetId="14">#REF!</definedName>
    <definedName name="Cuadro_N__5" localSheetId="15">#REF!</definedName>
    <definedName name="Cuadro_N__5" localSheetId="16">#REF!</definedName>
    <definedName name="Cuadro_N__5">#REF!</definedName>
    <definedName name="cuadro_N__6" localSheetId="14">#REF!</definedName>
    <definedName name="cuadro_N__6" localSheetId="15">#REF!</definedName>
    <definedName name="cuadro_N__6" localSheetId="16">#REF!</definedName>
    <definedName name="cuadro_N__6">#REF!</definedName>
    <definedName name="Cuadro_N__8" localSheetId="14">[5]Cdr7!#REF!</definedName>
    <definedName name="Cuadro_N__8" localSheetId="15">[5]Cdr7!#REF!</definedName>
    <definedName name="Cuadro_N__8" localSheetId="16">[5]Cdr7!#REF!</definedName>
    <definedName name="Cuadro_N__8">[5]Cdr7!#REF!</definedName>
    <definedName name="Cuadro_N__9" localSheetId="14">[5]Cdr7!#REF!</definedName>
    <definedName name="Cuadro_N__9" localSheetId="15">[5]Cdr7!#REF!</definedName>
    <definedName name="Cuadro_N__9" localSheetId="16">[5]Cdr7!#REF!</definedName>
    <definedName name="Cuadro_N__9">[5]Cdr7!#REF!</definedName>
    <definedName name="Cuadro_N_1" localSheetId="0">#REF!</definedName>
    <definedName name="Cuadro_N_1" localSheetId="14">#REF!</definedName>
    <definedName name="Cuadro_N_1" localSheetId="15">#REF!</definedName>
    <definedName name="Cuadro_N_1" localSheetId="16">#REF!</definedName>
    <definedName name="Cuadro_N_1">#REF!</definedName>
    <definedName name="cuadro1" localSheetId="0">#REF!</definedName>
    <definedName name="cuadro1" localSheetId="14">#REF!</definedName>
    <definedName name="cuadro1" localSheetId="15">#REF!</definedName>
    <definedName name="cuadro1" localSheetId="16">#REF!</definedName>
    <definedName name="cuadro1">#REF!</definedName>
    <definedName name="cuadro2" localSheetId="0">#REF!</definedName>
    <definedName name="cuadro2" localSheetId="14">#REF!</definedName>
    <definedName name="cuadro2" localSheetId="15">#REF!</definedName>
    <definedName name="cuadro2" localSheetId="16">#REF!</definedName>
    <definedName name="cuadro2">#REF!</definedName>
    <definedName name="cuadros">'[6]Cdrs 1-2'!$A$69:$S$114</definedName>
    <definedName name="d" localSheetId="14">[5]Cdr7!#REF!</definedName>
    <definedName name="d" localSheetId="16">[5]Cdr7!#REF!</definedName>
    <definedName name="d">[5]Cdr7!#REF!</definedName>
    <definedName name="daklsñjfkjasñ" localSheetId="0">[21]PAG_35!#REF!</definedName>
    <definedName name="daklsñjfkjasñ" localSheetId="14">[21]PAG_35!#REF!</definedName>
    <definedName name="daklsñjfkjasñ" localSheetId="15">[21]PAG_35!#REF!</definedName>
    <definedName name="daklsñjfkjasñ" localSheetId="16">[21]PAG_35!#REF!</definedName>
    <definedName name="daklsñjfkjasñ">[21]PAG_35!#REF!</definedName>
    <definedName name="DAT">[31]DATOS!$A$1:$B$1393</definedName>
    <definedName name="DATA_V9" localSheetId="0">#REF!</definedName>
    <definedName name="DATA_V9" localSheetId="14">#REF!</definedName>
    <definedName name="DATA_V9" localSheetId="15">#REF!</definedName>
    <definedName name="DATA_V9" localSheetId="16">#REF!</definedName>
    <definedName name="DATA_V9">#REF!</definedName>
    <definedName name="Database" localSheetId="0">[32]OPERACIONES!#REF!</definedName>
    <definedName name="Database" localSheetId="14">[26]OPERACIONES!#REF!</definedName>
    <definedName name="Database" localSheetId="15">[32]OPERACIONES!#REF!</definedName>
    <definedName name="Database" localSheetId="16">[32]OPERACIONES!#REF!</definedName>
    <definedName name="Database">[26]OPERACIONES!#REF!</definedName>
    <definedName name="datos">[33]DATOS!$A$1:$B$1393</definedName>
    <definedName name="Datos_para_ApéndiceC1">[22]c1!$B$1:$N$164</definedName>
    <definedName name="DATOS1">[34]DATOS!$A$1:$B$1393</definedName>
    <definedName name="DatosBase">[35]DatosBase!$A$1:$IV$20</definedName>
    <definedName name="deer" localSheetId="0">#REF!</definedName>
    <definedName name="deer" localSheetId="14">#REF!</definedName>
    <definedName name="deer" localSheetId="15">#REF!</definedName>
    <definedName name="deer" localSheetId="16">#REF!</definedName>
    <definedName name="deer">#REF!</definedName>
    <definedName name="dfasñljskña" localSheetId="14">[21]PAG_35!#REF!</definedName>
    <definedName name="dfasñljskña" localSheetId="15">[21]PAG_35!#REF!</definedName>
    <definedName name="dfasñljskña" localSheetId="16">[21]PAG_35!#REF!</definedName>
    <definedName name="dfasñljskña">[21]PAG_35!#REF!</definedName>
    <definedName name="dfsfd" localSheetId="0">#REF!</definedName>
    <definedName name="dfsfd" localSheetId="14">#REF!</definedName>
    <definedName name="dfsfd" localSheetId="15">#REF!</definedName>
    <definedName name="dfsfd" localSheetId="16">#REF!</definedName>
    <definedName name="dfsfd">#REF!</definedName>
    <definedName name="DíasHábiles">[4]Util!$A$2:$B$134</definedName>
    <definedName name="dklñfjadskfjañdf" localSheetId="0">[36]PAG_33!#REF!</definedName>
    <definedName name="dklñfjadskfjañdf" localSheetId="14">[36]PAG_33!#REF!</definedName>
    <definedName name="dklñfjadskfjañdf" localSheetId="15">[36]PAG_33!#REF!</definedName>
    <definedName name="dklñfjadskfjañdf" localSheetId="16">[36]PAG_33!#REF!</definedName>
    <definedName name="dklñfjadskfjañdf">[36]PAG_33!#REF!</definedName>
    <definedName name="dos" localSheetId="0">[21]PAG_35!#REF!</definedName>
    <definedName name="dos" localSheetId="14">[21]PAG_35!#REF!</definedName>
    <definedName name="dos" localSheetId="15">[21]PAG_35!#REF!</definedName>
    <definedName name="dos" localSheetId="16">[21]PAG_35!#REF!</definedName>
    <definedName name="dos">[21]PAG_35!#REF!</definedName>
    <definedName name="DurA">[4]Dur!$A$30:$I$55</definedName>
    <definedName name="EMBI">[37]CotizInternac!$A$1:$H$134</definedName>
    <definedName name="Ends">[37]CotizInternac!$A$154:$H$169</definedName>
    <definedName name="fadsfkañlj" localSheetId="0">#REF!,#REF!</definedName>
    <definedName name="fadsfkañlj" localSheetId="14">#REF!,#REF!</definedName>
    <definedName name="fadsfkañlj" localSheetId="15">#REF!,#REF!</definedName>
    <definedName name="fadsfkañlj" localSheetId="16">#REF!,#REF!</definedName>
    <definedName name="fadsfkañlj">#REF!,#REF!</definedName>
    <definedName name="fajkdlñfjafklñdfjak" localSheetId="0">[38]PAG_34!#REF!</definedName>
    <definedName name="fajkdlñfjafklñdfjak" localSheetId="14">[38]PAG_34!#REF!</definedName>
    <definedName name="fajkdlñfjafklñdfjak" localSheetId="15">[38]PAG_34!#REF!</definedName>
    <definedName name="fajkdlñfjafklñdfjak" localSheetId="16">[38]PAG_34!#REF!</definedName>
    <definedName name="fajkdlñfjafklñdfjak">[38]PAG_34!#REF!</definedName>
    <definedName name="FechasDeCuadroAnexo">[22]Fechas!$B$75:$B$86</definedName>
    <definedName name="FechasDeCuadroDeAFP">[22]Fechas!$B$51:$B$73</definedName>
    <definedName name="FechasDeCuadroDeAhorro">[22]Fechas!$B$3:$B$25</definedName>
    <definedName name="FechasDeCuadroDeBonos">[22]Fechas!$B$27:$B$49</definedName>
    <definedName name="FechasPanelDeCuadroAnexo">[22]Fechas!$A$74:$F$86</definedName>
    <definedName name="FechasPanelDeCuadroDeAFP">[22]Fechas!$A$50:$F$73</definedName>
    <definedName name="FechasPanelDeCuadroDeAhorro">[22]Fechas!$A$2:$F$25</definedName>
    <definedName name="FechasPanelDeCuadroDeBolsa">[22]Fechas!$A$26:$F$49</definedName>
    <definedName name="FechasPanelDeCuadroDeBonos">[22]Fechas!$A$26:$F$49</definedName>
    <definedName name="FechasPanelDeCuadroExtra">[22]Fechas!$A$87:$F$89</definedName>
    <definedName name="FechasPanelDeTodosLosCuadros">[22]Fechas!$A$50:$F$79</definedName>
    <definedName name="FemaleDa" localSheetId="0">#REF!</definedName>
    <definedName name="FemaleDa" localSheetId="14">#REF!</definedName>
    <definedName name="FemaleDa" localSheetId="15">#REF!</definedName>
    <definedName name="FemaleDa" localSheetId="16">#REF!</definedName>
    <definedName name="FemaleDa">#REF!</definedName>
    <definedName name="fgsg" localSheetId="0">[21]PAG_35!#REF!</definedName>
    <definedName name="fgsg" localSheetId="14">[21]PAG_35!#REF!</definedName>
    <definedName name="fgsg" localSheetId="15">[21]PAG_35!#REF!</definedName>
    <definedName name="fgsg" localSheetId="16">[21]PAG_35!#REF!</definedName>
    <definedName name="fgsg">[21]PAG_35!#REF!</definedName>
    <definedName name="FIN">#N/A</definedName>
    <definedName name="FLUJO" localSheetId="0">'[39]FLUJO-TURISTICO'!#REF!</definedName>
    <definedName name="FLUJO" localSheetId="14">'[39]FLUJO-TURISTICO'!#REF!</definedName>
    <definedName name="FLUJO" localSheetId="15">'[39]FLUJO-TURISTICO'!#REF!</definedName>
    <definedName name="FLUJO" localSheetId="16">'[39]FLUJO-TURISTICO'!#REF!</definedName>
    <definedName name="FLUJO">'[39]FLUJO-TURISTICO'!#REF!</definedName>
    <definedName name="FRE" localSheetId="0">#REF!</definedName>
    <definedName name="FRE" localSheetId="14">#REF!</definedName>
    <definedName name="FRE" localSheetId="15">#REF!</definedName>
    <definedName name="FRE" localSheetId="16">#REF!</definedName>
    <definedName name="FRE">#REF!</definedName>
    <definedName name="fsdafasfsadfasd" localSheetId="14" hidden="1">#REF!</definedName>
    <definedName name="fsdafasfsadfasd" localSheetId="16" hidden="1">#REF!</definedName>
    <definedName name="fsdafasfsadfasd" hidden="1">#REF!</definedName>
    <definedName name="fsdf" localSheetId="14" hidden="1">#REF!</definedName>
    <definedName name="fsdf" localSheetId="16" hidden="1">#REF!</definedName>
    <definedName name="fsdf" hidden="1">#REF!</definedName>
    <definedName name="FUENTE">#N/A</definedName>
    <definedName name="GAS" localSheetId="0">#REF!</definedName>
    <definedName name="GAS" localSheetId="14">#REF!</definedName>
    <definedName name="GAS" localSheetId="15">#REF!</definedName>
    <definedName name="GAS" localSheetId="16">#REF!</definedName>
    <definedName name="GAS">#REF!</definedName>
    <definedName name="gdgdg" localSheetId="0" hidden="1">#REF!</definedName>
    <definedName name="gdgdg" localSheetId="14" hidden="1">#REF!</definedName>
    <definedName name="gdgdg" localSheetId="15" hidden="1">#REF!</definedName>
    <definedName name="gdgdg" localSheetId="16" hidden="1">#REF!</definedName>
    <definedName name="gdgdg" hidden="1">#REF!</definedName>
    <definedName name="gfsg" localSheetId="0">[28]PAG_33!#REF!</definedName>
    <definedName name="gfsg" localSheetId="14">[28]PAG_33!#REF!</definedName>
    <definedName name="gfsg" localSheetId="15">[28]PAG_33!#REF!</definedName>
    <definedName name="gfsg" localSheetId="16">[28]PAG_33!#REF!</definedName>
    <definedName name="gfsg">[28]PAG_33!#REF!</definedName>
    <definedName name="graf" localSheetId="0" hidden="1">#REF!</definedName>
    <definedName name="graf" localSheetId="14" hidden="1">#REF!</definedName>
    <definedName name="graf" localSheetId="15" hidden="1">#REF!</definedName>
    <definedName name="graf" localSheetId="16" hidden="1">#REF!</definedName>
    <definedName name="graf" hidden="1">#REF!</definedName>
    <definedName name="Graf_Options" localSheetId="0">[4]Curva!#REF!</definedName>
    <definedName name="Graf_Options" localSheetId="14">[4]Curva!#REF!</definedName>
    <definedName name="Graf_Options" localSheetId="15">[4]Curva!#REF!</definedName>
    <definedName name="Graf_Options" localSheetId="16">[4]Curva!#REF!</definedName>
    <definedName name="Graf_Options">[4]Curva!#REF!</definedName>
    <definedName name="Grafico22n" localSheetId="0" hidden="1">#REF!</definedName>
    <definedName name="Grafico22n" localSheetId="14" hidden="1">#REF!</definedName>
    <definedName name="Grafico22n" localSheetId="15" hidden="1">#REF!</definedName>
    <definedName name="Grafico22n" localSheetId="16" hidden="1">#REF!</definedName>
    <definedName name="Grafico22n" hidden="1">#REF!</definedName>
    <definedName name="Graficos">'[40]Diario Actual'!$T$246</definedName>
    <definedName name="GRTES" localSheetId="0">#REF!</definedName>
    <definedName name="GRTES" localSheetId="14">#REF!</definedName>
    <definedName name="GRTES" localSheetId="15">#REF!</definedName>
    <definedName name="GRTES" localSheetId="16">#REF!</definedName>
    <definedName name="GRTES">#REF!</definedName>
    <definedName name="gsfdgs" localSheetId="0">#REF!,#REF!,#REF!,#REF!,#REF!</definedName>
    <definedName name="gsfdgs" localSheetId="14">#REF!,#REF!,#REF!,#REF!,#REF!</definedName>
    <definedName name="gsfdgs" localSheetId="15">#REF!,#REF!,#REF!,#REF!,#REF!</definedName>
    <definedName name="gsfdgs" localSheetId="16">#REF!,#REF!,#REF!,#REF!,#REF!</definedName>
    <definedName name="gsfdgs">#REF!,#REF!,#REF!,#REF!,#REF!</definedName>
    <definedName name="HAR" localSheetId="0">#REF!</definedName>
    <definedName name="HAR" localSheetId="14">#REF!</definedName>
    <definedName name="HAR" localSheetId="15">#REF!</definedName>
    <definedName name="HAR" localSheetId="16">#REF!</definedName>
    <definedName name="HAR">#REF!</definedName>
    <definedName name="hfghfh" localSheetId="0">#REF!</definedName>
    <definedName name="hfghfh" localSheetId="14">#REF!</definedName>
    <definedName name="hfghfh" localSheetId="15">#REF!</definedName>
    <definedName name="hfghfh" localSheetId="16">#REF!</definedName>
    <definedName name="hfghfh">#REF!</definedName>
    <definedName name="hhh" localSheetId="0">[41]PAG_33!#REF!</definedName>
    <definedName name="hhh" localSheetId="14">[41]PAG_33!#REF!</definedName>
    <definedName name="hhh" localSheetId="15">[41]PAG_33!#REF!</definedName>
    <definedName name="hhh" localSheetId="16">[41]PAG_33!#REF!</definedName>
    <definedName name="hhh">[41]PAG_33!#REF!</definedName>
    <definedName name="HO" localSheetId="0">#REF!</definedName>
    <definedName name="HO" localSheetId="14">#REF!</definedName>
    <definedName name="HO" localSheetId="15">#REF!</definedName>
    <definedName name="HO" localSheetId="16">#REF!</definedName>
    <definedName name="HO">#REF!</definedName>
    <definedName name="HO_2" localSheetId="0">[42]PAG14!#REF!</definedName>
    <definedName name="HO_2" localSheetId="14">[42]PAG14!#REF!</definedName>
    <definedName name="HO_2" localSheetId="15">[42]PAG14!#REF!</definedName>
    <definedName name="HO_2" localSheetId="16">[42]PAG14!#REF!</definedName>
    <definedName name="HO_2">[42]PAG14!#REF!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 localSheetId="0">[3]PAG_35!#REF!</definedName>
    <definedName name="II" localSheetId="14">[3]PAG_35!#REF!</definedName>
    <definedName name="II" localSheetId="15">[3]PAG_35!#REF!</definedName>
    <definedName name="II" localSheetId="16">[3]PAG_35!#REF!</definedName>
    <definedName name="II">[3]PAG_35!#REF!</definedName>
    <definedName name="Imp" localSheetId="0">#REF!</definedName>
    <definedName name="Imp" localSheetId="14">#REF!</definedName>
    <definedName name="Imp" localSheetId="15">#REF!</definedName>
    <definedName name="Imp" localSheetId="16">#REF!</definedName>
    <definedName name="Imp">#REF!</definedName>
    <definedName name="IMPR" localSheetId="0">#REF!,#REF!,#REF!</definedName>
    <definedName name="IMPR" localSheetId="14">#REF!,#REF!,#REF!</definedName>
    <definedName name="IMPR" localSheetId="15">#REF!,#REF!,#REF!</definedName>
    <definedName name="IMPR" localSheetId="16">#REF!,#REF!,#REF!</definedName>
    <definedName name="IMPR">#REF!,#REF!,#REF!</definedName>
    <definedName name="IMPRESION" localSheetId="0">#REF!,#REF!</definedName>
    <definedName name="IMPRESION" localSheetId="14">#REF!,#REF!</definedName>
    <definedName name="IMPRESION" localSheetId="15">#REF!,#REF!</definedName>
    <definedName name="IMPRESION" localSheetId="16">#REF!,#REF!</definedName>
    <definedName name="IMPRESION">#REF!,#REF!</definedName>
    <definedName name="Imprimir_área_IM" localSheetId="0">#REF!</definedName>
    <definedName name="Imprimir_área_IM" localSheetId="14">#REF!</definedName>
    <definedName name="Imprimir_área_IM" localSheetId="15">#REF!</definedName>
    <definedName name="Imprimir_área_IM" localSheetId="16">#REF!</definedName>
    <definedName name="Imprimir_área_IM">#REF!</definedName>
    <definedName name="IN" localSheetId="0">#REF!</definedName>
    <definedName name="IN" localSheetId="14">#REF!</definedName>
    <definedName name="IN" localSheetId="15">#REF!</definedName>
    <definedName name="IN" localSheetId="16">#REF!</definedName>
    <definedName name="IN">#REF!</definedName>
    <definedName name="IN_2" localSheetId="0">[42]PAG14!#REF!</definedName>
    <definedName name="IN_2" localSheetId="14">[42]PAG14!#REF!</definedName>
    <definedName name="IN_2" localSheetId="15">[42]PAG14!#REF!</definedName>
    <definedName name="IN_2" localSheetId="16">[42]PAG14!#REF!</definedName>
    <definedName name="IN_2">[42]PAG14!#REF!</definedName>
    <definedName name="INDICE">#N/A</definedName>
    <definedName name="INDICEALFABETICO" localSheetId="0">#REF!</definedName>
    <definedName name="INDICEALFABETICO" localSheetId="14">#REF!</definedName>
    <definedName name="INDICEALFABETICO" localSheetId="15">#REF!</definedName>
    <definedName name="INDICEALFABETICO" localSheetId="16">#REF!</definedName>
    <definedName name="INDICEALFABETICO">#REF!</definedName>
    <definedName name="inicio">[24]Grafico!$A$3</definedName>
    <definedName name="inicio1">[24]Grafico!$A$60</definedName>
    <definedName name="Input_File" localSheetId="0">#REF!</definedName>
    <definedName name="Input_File" localSheetId="14">#REF!</definedName>
    <definedName name="Input_File" localSheetId="15">#REF!</definedName>
    <definedName name="Input_File" localSheetId="16">#REF!</definedName>
    <definedName name="Input_File">#REF!</definedName>
    <definedName name="Inputs_C1">[22]c1!$A$1:$O$164</definedName>
    <definedName name="Inputs_C1F">[22]c1!$A$4:$O$164</definedName>
    <definedName name="Inputs_C3">[22]c3!$B$1:$O$55</definedName>
    <definedName name="Inputs_C3F">[22]c3!$B$4:$O$55</definedName>
    <definedName name="Inputs_C5">[22]c5!$A$1:$N$31</definedName>
    <definedName name="Inputs_C5F">[22]c5!$A$3:$N$31</definedName>
    <definedName name="Inputs_C6">[22]c6!$B$1:$O$33</definedName>
    <definedName name="Inputs_C6F">[22]c6!$B$4:$O$33</definedName>
    <definedName name="Inputs_C8" localSheetId="0">#REF!</definedName>
    <definedName name="Inputs_C8" localSheetId="14">#REF!</definedName>
    <definedName name="Inputs_C8" localSheetId="15">#REF!</definedName>
    <definedName name="Inputs_C8" localSheetId="16">#REF!</definedName>
    <definedName name="Inputs_C8">#REF!</definedName>
    <definedName name="Inputs_C8F" localSheetId="0">#REF!</definedName>
    <definedName name="Inputs_C8F" localSheetId="14">#REF!</definedName>
    <definedName name="Inputs_C8F" localSheetId="15">#REF!</definedName>
    <definedName name="Inputs_C8F" localSheetId="16">#REF!</definedName>
    <definedName name="Inputs_C8F">#REF!</definedName>
    <definedName name="INTERVALS">[4]Pre!$Q$3:$S$30</definedName>
    <definedName name="INTERVALS_OLD">[4]Pre!$Q$35:$S$62</definedName>
    <definedName name="INVALIDEZ" localSheetId="0">#REF!</definedName>
    <definedName name="INVALIDEZ" localSheetId="14">#REF!</definedName>
    <definedName name="INVALIDEZ" localSheetId="15">#REF!</definedName>
    <definedName name="INVALIDEZ" localSheetId="16">#REF!</definedName>
    <definedName name="INVALIDEZ">#REF!</definedName>
    <definedName name="INVERSION" localSheetId="0">#REF!</definedName>
    <definedName name="INVERSION" localSheetId="14">#REF!</definedName>
    <definedName name="INVERSION" localSheetId="15">#REF!</definedName>
    <definedName name="INVERSION" localSheetId="16">#REF!</definedName>
    <definedName name="INVERSION">#REF!</definedName>
    <definedName name="inversion001" localSheetId="0">#REF!</definedName>
    <definedName name="inversion001" localSheetId="14">#REF!</definedName>
    <definedName name="inversion001" localSheetId="15">#REF!</definedName>
    <definedName name="inversion001" localSheetId="16">#REF!</definedName>
    <definedName name="inversion001">#REF!</definedName>
    <definedName name="inversion01" localSheetId="14">#REF!</definedName>
    <definedName name="inversion01" localSheetId="15">#REF!</definedName>
    <definedName name="inversion01" localSheetId="16">#REF!</definedName>
    <definedName name="inversion01">#REF!</definedName>
    <definedName name="inversiones" localSheetId="14">#REF!</definedName>
    <definedName name="inversiones" localSheetId="15">#REF!</definedName>
    <definedName name="inversiones" localSheetId="16">#REF!</definedName>
    <definedName name="inversiones">#REF!</definedName>
    <definedName name="IPCs_2002_3">[43]Precios!$A$337:$U$339</definedName>
    <definedName name="IPCs_2002_3a">[43]Precios!$A$373:$U$383</definedName>
    <definedName name="IPE_03_04">[43]IPE!$A$280:$M$353</definedName>
    <definedName name="j" localSheetId="14" hidden="1">#REF!</definedName>
    <definedName name="j" localSheetId="16" hidden="1">#REF!</definedName>
    <definedName name="j" hidden="1">#REF!</definedName>
    <definedName name="jenny">'[6]Cdrs 1-2'!$A$69:$S$114</definedName>
    <definedName name="JET">#N/A</definedName>
    <definedName name="jhgfjh" localSheetId="0">#REF!,#REF!,#REF!</definedName>
    <definedName name="jhgfjh" localSheetId="14">#REF!,#REF!,#REF!</definedName>
    <definedName name="jhgfjh" localSheetId="15">#REF!,#REF!,#REF!</definedName>
    <definedName name="jhgfjh" localSheetId="16">#REF!,#REF!,#REF!</definedName>
    <definedName name="jhgfjh">#REF!,#REF!,#REF!</definedName>
    <definedName name="jhjbj" localSheetId="0">#REF!</definedName>
    <definedName name="jhjbj" localSheetId="14">#REF!</definedName>
    <definedName name="jhjbj" localSheetId="15">#REF!</definedName>
    <definedName name="jhjbj" localSheetId="16">#REF!</definedName>
    <definedName name="jhjbj">#REF!</definedName>
    <definedName name="jojolete" localSheetId="14" hidden="1">[12]balance!#REF!</definedName>
    <definedName name="jojolete" localSheetId="16" hidden="1">[12]balance!#REF!</definedName>
    <definedName name="jojolete" hidden="1">[12]balance!#REF!</definedName>
    <definedName name="kghiog" localSheetId="0">#REF!,#REF!</definedName>
    <definedName name="kghiog" localSheetId="14">#REF!,#REF!</definedName>
    <definedName name="kghiog" localSheetId="15">#REF!,#REF!</definedName>
    <definedName name="kghiog" localSheetId="16">#REF!,#REF!</definedName>
    <definedName name="kghiog">#REF!,#REF!</definedName>
    <definedName name="leña" localSheetId="14">#REF!</definedName>
    <definedName name="leña" localSheetId="16">#REF!</definedName>
    <definedName name="leña">#REF!</definedName>
    <definedName name="Libor">[44]Resumen!$K$3:$R$26</definedName>
    <definedName name="LTP">[4]LTP!$A$2:$L$1000</definedName>
    <definedName name="MACRO">#N/A</definedName>
    <definedName name="MaleData" localSheetId="0">#REF!</definedName>
    <definedName name="MaleData" localSheetId="14">#REF!</definedName>
    <definedName name="MaleData" localSheetId="15">#REF!</definedName>
    <definedName name="MaleData" localSheetId="16">#REF!</definedName>
    <definedName name="MaleData">#REF!</definedName>
    <definedName name="Maximum" localSheetId="0">#REF!</definedName>
    <definedName name="Maximum" localSheetId="14">#REF!</definedName>
    <definedName name="Maximum" localSheetId="15">#REF!</definedName>
    <definedName name="Maximum" localSheetId="16">#REF!</definedName>
    <definedName name="Maximum">#REF!</definedName>
    <definedName name="Maximum_used" localSheetId="0">#REF!</definedName>
    <definedName name="Maximum_used" localSheetId="14">#REF!</definedName>
    <definedName name="Maximum_used" localSheetId="15">#REF!</definedName>
    <definedName name="Maximum_used" localSheetId="16">#REF!</definedName>
    <definedName name="Maximum_used">#REF!</definedName>
    <definedName name="MENU">[45]Menu!$A$3:$K$12</definedName>
    <definedName name="Meses">[4]Pre!$A$68:$C$79</definedName>
    <definedName name="Meses1">'[45]Curva (2)'!$A$45:$B$56</definedName>
    <definedName name="mio" localSheetId="0">[46]OPERACIONES!#REF!</definedName>
    <definedName name="mio" localSheetId="14">[47]OPERACIONES!#REF!</definedName>
    <definedName name="mio" localSheetId="15">[46]OPERACIONES!#REF!</definedName>
    <definedName name="mio" localSheetId="16">[46]OPERACIONES!#REF!</definedName>
    <definedName name="mio">[47]OPERACIONES!#REF!</definedName>
    <definedName name="miuo" localSheetId="0">#REF!</definedName>
    <definedName name="miuo" localSheetId="14">#REF!</definedName>
    <definedName name="miuo" localSheetId="15">#REF!</definedName>
    <definedName name="miuo" localSheetId="16">#REF!</definedName>
    <definedName name="miuo">#REF!</definedName>
    <definedName name="NOM" localSheetId="0">#REF!</definedName>
    <definedName name="NOM" localSheetId="14">#REF!</definedName>
    <definedName name="NOM" localSheetId="15">#REF!</definedName>
    <definedName name="NOM" localSheetId="16">#REF!</definedName>
    <definedName name="NOM">#REF!</definedName>
    <definedName name="NombresDeSeriesC1">[22]c1!$O$9:$O$164</definedName>
    <definedName name="NombresDeSeriesC3">[22]c3!$O$10:$O$41</definedName>
    <definedName name="NombresDeSeriesC5" localSheetId="0">[22]c5!J22:J1048562</definedName>
    <definedName name="NombresDeSeriesC5" localSheetId="15">[22]c5!J22:J1048562</definedName>
    <definedName name="NombresDeSeriesC5" localSheetId="16">[22]c5!J22:J1048562</definedName>
    <definedName name="NombresDeSeriesC5">[22]c5!J1048562:J22</definedName>
    <definedName name="NombresDeSeriesC6">[22]c6!$O$10:$O$31</definedName>
    <definedName name="NOTA">#N/A</definedName>
    <definedName name="NUEVA">[45]CD!$M$11</definedName>
    <definedName name="NUMERO">#N/A</definedName>
    <definedName name="NumeroDeFechasDeCuadroDeAFP">[22]Fechas!$A$51:$A$73</definedName>
    <definedName name="NumeroDeFechasDeCuadroDeAhorro">[22]Fechas!$A$3:$A$25</definedName>
    <definedName name="NumeroDeFechasDeCuadroDeAnexo">[22]Fechas!$A$75:$A$86</definedName>
    <definedName name="NumeroDeFechasDeCuadroDeBonos">[22]Fechas!$A$27:$A$49</definedName>
    <definedName name="NV" localSheetId="0">#REF!</definedName>
    <definedName name="NV" localSheetId="14">#REF!</definedName>
    <definedName name="NV" localSheetId="15">#REF!</definedName>
    <definedName name="NV" localSheetId="16">#REF!</definedName>
    <definedName name="NV">#REF!</definedName>
    <definedName name="NV_2" localSheetId="0">[42]PAG14!#REF!</definedName>
    <definedName name="NV_2" localSheetId="14">[42]PAG14!#REF!</definedName>
    <definedName name="NV_2" localSheetId="15">[42]PAG14!#REF!</definedName>
    <definedName name="NV_2" localSheetId="16">[42]PAG14!#REF!</definedName>
    <definedName name="NV_2">[42]PAG14!#REF!</definedName>
    <definedName name="ñññ" localSheetId="16">#REF!</definedName>
    <definedName name="ñññ">#REF!</definedName>
    <definedName name="OCT" localSheetId="0">#REF!</definedName>
    <definedName name="OCT" localSheetId="14">#REF!</definedName>
    <definedName name="OCT" localSheetId="15">#REF!</definedName>
    <definedName name="OCT" localSheetId="16">#REF!</definedName>
    <definedName name="OCT">#REF!</definedName>
    <definedName name="Ordenrent" localSheetId="0">'[48]Sol traspaso'!#REF!</definedName>
    <definedName name="Ordenrent" localSheetId="14">'[48]Sol traspaso'!#REF!</definedName>
    <definedName name="Ordenrent" localSheetId="15">'[48]Sol traspaso'!#REF!</definedName>
    <definedName name="Ordenrent" localSheetId="16">'[48]Sol traspaso'!#REF!</definedName>
    <definedName name="Ordenrent">'[48]Sol traspaso'!#REF!</definedName>
    <definedName name="p" localSheetId="0">#REF!</definedName>
    <definedName name="p" localSheetId="14">#REF!</definedName>
    <definedName name="p" localSheetId="15">#REF!</definedName>
    <definedName name="p" localSheetId="16">#REF!</definedName>
    <definedName name="p">#REF!</definedName>
    <definedName name="pa" localSheetId="14">#REF!</definedName>
    <definedName name="pa" localSheetId="16">#REF!</definedName>
    <definedName name="pa">#REF!</definedName>
    <definedName name="PanelDeOpciones">[22]Menu!$B$6:$J$15</definedName>
    <definedName name="PanelDeOpcionesParaMenú">[22]Menu!$B$22:$J$26</definedName>
    <definedName name="PanelDeOpcionesSinTítulos">[22]Menu!$B$7:$J$15</definedName>
    <definedName name="PBI">[44]Resumen!$A$3:$I$27</definedName>
    <definedName name="pegado" localSheetId="0" hidden="1">#REF!</definedName>
    <definedName name="pegado" localSheetId="14" hidden="1">#REF!</definedName>
    <definedName name="pegado" localSheetId="15" hidden="1">#REF!</definedName>
    <definedName name="pegado" localSheetId="16" hidden="1">#REF!</definedName>
    <definedName name="pegado" hidden="1">#REF!</definedName>
    <definedName name="pgraficos" hidden="1">[11]Hoja3!$A$368:$A$408</definedName>
    <definedName name="PLANTILLA" localSheetId="14">#REF!</definedName>
    <definedName name="PLANTILLA" localSheetId="16">#REF!</definedName>
    <definedName name="PLANTILLA">#REF!</definedName>
    <definedName name="POBLA">[49]IECE4001!$G$3:$G$30</definedName>
    <definedName name="pobr1" localSheetId="0">#REF!</definedName>
    <definedName name="pobr1" localSheetId="14">#REF!</definedName>
    <definedName name="pobr1" localSheetId="15">#REF!</definedName>
    <definedName name="pobr1" localSheetId="16">#REF!</definedName>
    <definedName name="pobr1">#REF!</definedName>
    <definedName name="porcentajes" localSheetId="0">#REF!</definedName>
    <definedName name="porcentajes" localSheetId="14">#REF!</definedName>
    <definedName name="porcentajes" localSheetId="15">#REF!</definedName>
    <definedName name="porcentajes" localSheetId="16">#REF!</definedName>
    <definedName name="porcentajes">#REF!</definedName>
    <definedName name="PR" localSheetId="0">#REF!</definedName>
    <definedName name="PR" localSheetId="14">#REF!</definedName>
    <definedName name="PR" localSheetId="15">#REF!</definedName>
    <definedName name="PR" localSheetId="16">#REF!</definedName>
    <definedName name="PR">#REF!</definedName>
    <definedName name="PR_2" localSheetId="0">[42]PAG14!#REF!</definedName>
    <definedName name="PR_2" localSheetId="14">[42]PAG14!#REF!</definedName>
    <definedName name="PR_2" localSheetId="15">[42]PAG14!#REF!</definedName>
    <definedName name="PR_2" localSheetId="16">[42]PAG14!#REF!</definedName>
    <definedName name="PR_2">[42]PAG14!#REF!</definedName>
    <definedName name="preci" localSheetId="0">[50]PAG_33!#REF!</definedName>
    <definedName name="preci" localSheetId="14">[50]PAG_33!#REF!</definedName>
    <definedName name="preci" localSheetId="15">[50]PAG_33!#REF!</definedName>
    <definedName name="preci" localSheetId="16">[50]PAG_33!#REF!</definedName>
    <definedName name="preci">[50]PAG_33!#REF!</definedName>
    <definedName name="precipitacion" localSheetId="0">[30]PAG_37!#REF!</definedName>
    <definedName name="precipitacion" localSheetId="14">[30]PAG_37!#REF!</definedName>
    <definedName name="precipitacion" localSheetId="15">[30]PAG_37!#REF!</definedName>
    <definedName name="precipitacion" localSheetId="16">[30]PAG_37!#REF!</definedName>
    <definedName name="precipitacion">[30]PAG_37!#REF!</definedName>
    <definedName name="PreCuadro">[4]Pre!$A$2:$J$32</definedName>
    <definedName name="PreCuadroA">[4]Pre!$A$34:$J$64</definedName>
    <definedName name="PREPARA">#N/A</definedName>
    <definedName name="presenta" localSheetId="0">[1]Data!#REF!</definedName>
    <definedName name="presenta" localSheetId="14">[1]Data!#REF!</definedName>
    <definedName name="presenta" localSheetId="15">[1]Data!#REF!</definedName>
    <definedName name="presenta" localSheetId="16">[1]Data!#REF!</definedName>
    <definedName name="presenta">[1]Data!#REF!</definedName>
    <definedName name="Print_Area_MI" localSheetId="0">'[51]Uso mayor2'!#REF!</definedName>
    <definedName name="Print_Area_MI" localSheetId="14">'[52]Uso mayor2'!#REF!</definedName>
    <definedName name="Print_Area_MI" localSheetId="15">'[51]Uso mayor2'!#REF!</definedName>
    <definedName name="Print_Area_MI" localSheetId="16">'[51]Uso mayor2'!#REF!</definedName>
    <definedName name="Print_Area_MI">'[52]Uso mayor2'!#REF!</definedName>
    <definedName name="Proms">[37]CotizInternac!$A$137:$H$152</definedName>
    <definedName name="Pyramid_Filename" localSheetId="0">#REF!</definedName>
    <definedName name="Pyramid_Filename" localSheetId="14">#REF!</definedName>
    <definedName name="Pyramid_Filename" localSheetId="15">#REF!</definedName>
    <definedName name="Pyramid_Filename" localSheetId="16">#REF!</definedName>
    <definedName name="Pyramid_Filename">#REF!</definedName>
    <definedName name="Pyramid_Title" localSheetId="0">#REF!</definedName>
    <definedName name="Pyramid_Title" localSheetId="14">#REF!</definedName>
    <definedName name="Pyramid_Title" localSheetId="15">#REF!</definedName>
    <definedName name="Pyramid_Title" localSheetId="16">#REF!</definedName>
    <definedName name="Pyramid_Title">#REF!</definedName>
    <definedName name="PZs" localSheetId="0">#REF!</definedName>
    <definedName name="PZs" localSheetId="14">#REF!</definedName>
    <definedName name="PZs" localSheetId="15">#REF!</definedName>
    <definedName name="PZs" localSheetId="16">#REF!</definedName>
    <definedName name="PZs">#REF!</definedName>
    <definedName name="Rango_Maestro">[22]Inputs!$C$2:$M$48</definedName>
    <definedName name="rango0">[24]Banda!$B$626:$Q$648</definedName>
    <definedName name="rango1">[24]Banda!$D$631:$F$639</definedName>
    <definedName name="REAL" localSheetId="0">#REF!</definedName>
    <definedName name="REAL" localSheetId="14">#REF!</definedName>
    <definedName name="REAL" localSheetId="15">#REF!</definedName>
    <definedName name="REAL" localSheetId="16">#REF!</definedName>
    <definedName name="REAL">#REF!</definedName>
    <definedName name="RedsBTPLTP">[4]SOB!$B$8:$B$33</definedName>
    <definedName name="RedsCDBCRP">[4]CDMP!$H$3:$H$1801</definedName>
    <definedName name="rentames" localSheetId="0">'[48]Sol traspaso'!#REF!</definedName>
    <definedName name="rentames" localSheetId="14">'[48]Sol traspaso'!#REF!</definedName>
    <definedName name="rentames" localSheetId="15">'[48]Sol traspaso'!#REF!</definedName>
    <definedName name="rentames" localSheetId="16">'[48]Sol traspaso'!#REF!</definedName>
    <definedName name="rentames">'[48]Sol traspaso'!#REF!</definedName>
    <definedName name="ResEMBIe">[4]EXT!$S$312:$AA$327</definedName>
    <definedName name="ResEMBIf">[4]EXT!$S$330:$AA$345</definedName>
    <definedName name="ResEMBIp">[4]EXT!$S$293:$AA$309</definedName>
    <definedName name="rfd" localSheetId="0">[21]PAG_35!#REF!</definedName>
    <definedName name="rfd" localSheetId="14">[21]PAG_35!#REF!</definedName>
    <definedName name="rfd" localSheetId="15">[21]PAG_35!#REF!</definedName>
    <definedName name="rfd" localSheetId="16">[21]PAG_35!#REF!</definedName>
    <definedName name="rfd">[21]PAG_35!#REF!</definedName>
    <definedName name="RO" localSheetId="0">#REF!</definedName>
    <definedName name="RO" localSheetId="14">#REF!</definedName>
    <definedName name="RO" localSheetId="15">#REF!</definedName>
    <definedName name="RO" localSheetId="16">#REF!</definedName>
    <definedName name="RO">#REF!</definedName>
    <definedName name="RO_2" localSheetId="0">[42]PAG14!#REF!</definedName>
    <definedName name="RO_2" localSheetId="14">[42]PAG14!#REF!</definedName>
    <definedName name="RO_2" localSheetId="15">[42]PAG14!#REF!</definedName>
    <definedName name="RO_2" localSheetId="16">[42]PAG14!#REF!</definedName>
    <definedName name="RO_2">[42]PAG14!#REF!</definedName>
    <definedName name="rr" localSheetId="14">#REF!</definedName>
    <definedName name="rr" localSheetId="16">#REF!</definedName>
    <definedName name="rr">#REF!</definedName>
    <definedName name="S" localSheetId="0">#REF!</definedName>
    <definedName name="S" localSheetId="14">#REF!</definedName>
    <definedName name="S" localSheetId="15">#REF!</definedName>
    <definedName name="S" localSheetId="16">#REF!</definedName>
    <definedName name="S">#REF!</definedName>
    <definedName name="S17b" localSheetId="16">[1]Data!#REF!</definedName>
    <definedName name="S17b">[1]Data!#REF!</definedName>
    <definedName name="sad" localSheetId="0">[21]PAG_35!#REF!</definedName>
    <definedName name="sad" localSheetId="14">[21]PAG_35!#REF!</definedName>
    <definedName name="sad" localSheetId="15">[21]PAG_35!#REF!</definedName>
    <definedName name="sad" localSheetId="16">[21]PAG_35!#REF!</definedName>
    <definedName name="sad">[21]PAG_35!#REF!</definedName>
    <definedName name="sadadad" localSheetId="14" hidden="1">[12]balance!#REF!</definedName>
    <definedName name="sadadad" localSheetId="16" hidden="1">[12]balance!#REF!</definedName>
    <definedName name="sadadad" hidden="1">[12]balance!#REF!</definedName>
    <definedName name="sadgfdfs" localSheetId="0">#REF!,#REF!</definedName>
    <definedName name="sadgfdfs" localSheetId="14">#REF!,#REF!</definedName>
    <definedName name="sadgfdfs" localSheetId="15">#REF!,#REF!</definedName>
    <definedName name="sadgfdfs" localSheetId="16">#REF!,#REF!</definedName>
    <definedName name="sadgfdfs">#REF!,#REF!</definedName>
    <definedName name="sdd" localSheetId="0">#REF!,#REF!,#REF!,#REF!,#REF!</definedName>
    <definedName name="sdd" localSheetId="14">#REF!,#REF!,#REF!,#REF!,#REF!</definedName>
    <definedName name="sdd" localSheetId="15">#REF!,#REF!,#REF!,#REF!,#REF!</definedName>
    <definedName name="sdd" localSheetId="16">#REF!,#REF!,#REF!,#REF!,#REF!</definedName>
    <definedName name="sdd">#REF!,#REF!,#REF!,#REF!,#REF!</definedName>
    <definedName name="sdsadfd" localSheetId="0">#REF!,#REF!,#REF!</definedName>
    <definedName name="sdsadfd" localSheetId="14">#REF!,#REF!,#REF!</definedName>
    <definedName name="sdsadfd" localSheetId="15">#REF!,#REF!,#REF!</definedName>
    <definedName name="sdsadfd" localSheetId="16">#REF!,#REF!,#REF!</definedName>
    <definedName name="sdsadfd">#REF!,#REF!,#REF!</definedName>
    <definedName name="sgfsg" localSheetId="0">#REF!</definedName>
    <definedName name="sgfsg" localSheetId="14">#REF!</definedName>
    <definedName name="sgfsg" localSheetId="15">#REF!</definedName>
    <definedName name="sgfsg" localSheetId="16">#REF!</definedName>
    <definedName name="sgfsg">#REF!</definedName>
    <definedName name="SOBREVIVENCIA" localSheetId="0">#REF!</definedName>
    <definedName name="SOBREVIVENCIA" localSheetId="14">#REF!</definedName>
    <definedName name="SOBREVIVENCIA" localSheetId="15">#REF!</definedName>
    <definedName name="SOBREVIVENCIA" localSheetId="16">#REF!</definedName>
    <definedName name="SOBREVIVENCIA">#REF!</definedName>
    <definedName name="sss" localSheetId="0">#REF!,#REF!</definedName>
    <definedName name="sss" localSheetId="14">#REF!,#REF!</definedName>
    <definedName name="sss" localSheetId="15">#REF!,#REF!</definedName>
    <definedName name="sss" localSheetId="16">#REF!,#REF!</definedName>
    <definedName name="sss">#REF!,#REF!</definedName>
    <definedName name="Stop_at_age" localSheetId="0">#REF!</definedName>
    <definedName name="Stop_at_age" localSheetId="14">#REF!</definedName>
    <definedName name="Stop_at_age" localSheetId="15">#REF!</definedName>
    <definedName name="Stop_at_age" localSheetId="16">#REF!</definedName>
    <definedName name="Stop_at_age">#REF!</definedName>
    <definedName name="svs" localSheetId="0">[53]PAG42!#REF!</definedName>
    <definedName name="svs" localSheetId="14">[53]PAG42!#REF!</definedName>
    <definedName name="svs" localSheetId="15">[53]PAG42!#REF!</definedName>
    <definedName name="svs" localSheetId="16">[53]PAG42!#REF!</definedName>
    <definedName name="svs">[53]PAG42!#REF!</definedName>
    <definedName name="Tab_Títulos">[22]Titles!$A$5:$E$19</definedName>
    <definedName name="tabla" localSheetId="0">[54]Hoja3!$A$1:$I$65536</definedName>
    <definedName name="tabla" localSheetId="14">#REF!</definedName>
    <definedName name="tabla" localSheetId="15">[54]Hoja3!$A$1:$I$65536</definedName>
    <definedName name="tabla" localSheetId="16">[54]Hoja3!$A$1:$I$65536</definedName>
    <definedName name="tabla">#REF!</definedName>
    <definedName name="Tabla_de_Meses">[22]Inputs!$E$52:$H$63</definedName>
    <definedName name="TablaMeses">[55]Meses!$A$1:$C$14</definedName>
    <definedName name="TC">[44]Resumen!$AH$3:$AN$18</definedName>
    <definedName name="TC_2002_3">[43]Monedas!$A$268:$U$291</definedName>
    <definedName name="TC_2002_3a">[43]Monedas!$A$356:$U$379</definedName>
    <definedName name="TCR">[44]Resumen!$U$3:$AF$18</definedName>
    <definedName name="Test" localSheetId="0">#REF!</definedName>
    <definedName name="Test" localSheetId="14">#REF!</definedName>
    <definedName name="Test" localSheetId="15">#REF!</definedName>
    <definedName name="Test" localSheetId="16">#REF!</definedName>
    <definedName name="Test">#REF!</definedName>
    <definedName name="TITL" localSheetId="0">#REF!</definedName>
    <definedName name="TITL" localSheetId="14">#REF!</definedName>
    <definedName name="TITL" localSheetId="15">#REF!</definedName>
    <definedName name="TITL" localSheetId="16">#REF!</definedName>
    <definedName name="TITL">#REF!</definedName>
    <definedName name="treint" localSheetId="0">[46]OPERACIONES!#REF!</definedName>
    <definedName name="treint" localSheetId="14">[47]OPERACIONES!#REF!</definedName>
    <definedName name="treint" localSheetId="15">[46]OPERACIONES!#REF!</definedName>
    <definedName name="treint" localSheetId="16">[46]OPERACIONES!#REF!</definedName>
    <definedName name="treint">[47]OPERACIONES!#REF!</definedName>
    <definedName name="TUTOR" localSheetId="0">#REF!</definedName>
    <definedName name="TUTOR" localSheetId="14">#REF!</definedName>
    <definedName name="TUTOR" localSheetId="15">#REF!</definedName>
    <definedName name="TUTOR" localSheetId="16">#REF!</definedName>
    <definedName name="TUTOR">#REF!</definedName>
    <definedName name="UN" localSheetId="0">#REF!</definedName>
    <definedName name="UN" localSheetId="14">#REF!</definedName>
    <definedName name="UN" localSheetId="15">#REF!</definedName>
    <definedName name="UN" localSheetId="16">#REF!</definedName>
    <definedName name="UN">#REF!</definedName>
    <definedName name="UN_2" localSheetId="0">[42]PAG14!#REF!</definedName>
    <definedName name="UN_2" localSheetId="14">[42]PAG14!#REF!</definedName>
    <definedName name="UN_2" localSheetId="15">[42]PAG14!#REF!</definedName>
    <definedName name="UN_2" localSheetId="16">[42]PAG14!#REF!</definedName>
    <definedName name="UN_2">[42]PAG14!#REF!</definedName>
    <definedName name="uno" localSheetId="0">#REF!</definedName>
    <definedName name="uno" localSheetId="14">#REF!</definedName>
    <definedName name="uno" localSheetId="15">#REF!</definedName>
    <definedName name="uno" localSheetId="16">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 localSheetId="14">#REF!</definedName>
    <definedName name="wwwww" localSheetId="16">#REF!</definedName>
    <definedName name="wwwww">#REF!</definedName>
    <definedName name="x" localSheetId="0">#REF!</definedName>
    <definedName name="x" localSheetId="14">#REF!</definedName>
    <definedName name="x" localSheetId="15">#REF!</definedName>
    <definedName name="x" localSheetId="16">#REF!</definedName>
    <definedName name="x">#REF!</definedName>
    <definedName name="xCol">[56]Dat!$E$1</definedName>
    <definedName name="xCurrent">[56]Dat!$C$1</definedName>
    <definedName name="xRuta">[22]Menu!$C$17:$C$17</definedName>
    <definedName name="xRuta2">[22]Menu!$C$19</definedName>
    <definedName name="xx">[37]CotizInternac!$A$1:$H$134</definedName>
    <definedName name="xxAMano">[22]c1!$N$164</definedName>
    <definedName name="xxDate" localSheetId="0">#REF!</definedName>
    <definedName name="xxDate" localSheetId="14">#REF!</definedName>
    <definedName name="xxDate" localSheetId="15">#REF!</definedName>
    <definedName name="xxDate" localSheetId="16">#REF!</definedName>
    <definedName name="xxDate">#REF!</definedName>
    <definedName name="xxDEF">[22]Titles!$A$27</definedName>
    <definedName name="xxDesF" localSheetId="0">#REF!</definedName>
    <definedName name="xxDesF" localSheetId="14">#REF!</definedName>
    <definedName name="xxDesF" localSheetId="15">#REF!</definedName>
    <definedName name="xxDesF" localSheetId="16">#REF!</definedName>
    <definedName name="xxDesF">#REF!</definedName>
    <definedName name="xxEditarCifrasEnCuadros">[22]Inputs!$D$45</definedName>
    <definedName name="xxEscalaMínima">[57]SERIES!$V$1</definedName>
    <definedName name="xxFechaFin">[58]Tabla!$AP$3</definedName>
    <definedName name="xxFechaInicio">[58]Tabla!$AP$2</definedName>
    <definedName name="xxFinalFechasC1">[22]c1!$N$3</definedName>
    <definedName name="xxFinalFechasC3">[22]c3!$N$3</definedName>
    <definedName name="xxFinalFechasC5">[22]c5!$N$3</definedName>
    <definedName name="xxFinalFechasC6">[22]c6!$N$3</definedName>
    <definedName name="xxFinalFechasC8" localSheetId="0">#REF!</definedName>
    <definedName name="xxFinalFechasC8" localSheetId="14">#REF!</definedName>
    <definedName name="xxFinalFechasC8" localSheetId="15">#REF!</definedName>
    <definedName name="xxFinalFechasC8" localSheetId="16">#REF!</definedName>
    <definedName name="xxFinalFechasC8">#REF!</definedName>
    <definedName name="xxFinalSeriesC1">[22]c1!$B$164</definedName>
    <definedName name="xxFinalSeriesC3">[22]c3!$B$54</definedName>
    <definedName name="xxFinalSeriesC5">[22]c5!$B$31</definedName>
    <definedName name="xxFinalSeriesC6">[22]c6!$B$32</definedName>
    <definedName name="xxFinalSeriesC8" localSheetId="0">#REF!</definedName>
    <definedName name="xxFinalSeriesC8" localSheetId="14">#REF!</definedName>
    <definedName name="xxFinalSeriesC8" localSheetId="15">#REF!</definedName>
    <definedName name="xxFinalSeriesC8" localSheetId="16">#REF!</definedName>
    <definedName name="xxFinalSeriesC8">#REF!</definedName>
    <definedName name="xxIdiomaEspañol">[22]Titles!$A$22</definedName>
    <definedName name="xxIdiomaInglés">[22]Titles!$A$23</definedName>
    <definedName name="xxInicioFechasC1">[22]c1!$D$3</definedName>
    <definedName name="xxInicioFechasC3">[22]c3!$D$3</definedName>
    <definedName name="xxInicioFechasC5">[22]c5!$D$3</definedName>
    <definedName name="xxInicioFechasC6">[22]c6!$D$3</definedName>
    <definedName name="xxInicioFechasC8" localSheetId="0">#REF!</definedName>
    <definedName name="xxInicioFechasC8" localSheetId="14">#REF!</definedName>
    <definedName name="xxInicioFechasC8" localSheetId="15">#REF!</definedName>
    <definedName name="xxInicioFechasC8" localSheetId="16">#REF!</definedName>
    <definedName name="xxInicioFechasC8">#REF!</definedName>
    <definedName name="xxInicioSeriesC1">[22]c1!$B$10</definedName>
    <definedName name="xxInicioSeriesC3">[22]c3!$B$10</definedName>
    <definedName name="xxInicioSeriesC5">[22]c5!$B$10</definedName>
    <definedName name="xxInicioSeriesC6">[22]c6!$B$10</definedName>
    <definedName name="xxInicioSeriesC8" localSheetId="0">#REF!</definedName>
    <definedName name="xxInicioSeriesC8" localSheetId="14">#REF!</definedName>
    <definedName name="xxInicioSeriesC8" localSheetId="15">#REF!</definedName>
    <definedName name="xxInicioSeriesC8" localSheetId="16">#REF!</definedName>
    <definedName name="xxInicioSeriesC8">#REF!</definedName>
    <definedName name="xxInterpol" localSheetId="0">#REF!</definedName>
    <definedName name="xxInterpol" localSheetId="14">#REF!</definedName>
    <definedName name="xxInterpol" localSheetId="15">#REF!</definedName>
    <definedName name="xxInterpol" localSheetId="16">#REF!</definedName>
    <definedName name="xxInterpol">#REF!</definedName>
    <definedName name="xxLanguage">[22]Titles!$A$3</definedName>
    <definedName name="xxLapso" localSheetId="0">#REF!</definedName>
    <definedName name="xxLapso" localSheetId="14">#REF!</definedName>
    <definedName name="xxLapso" localSheetId="15">#REF!</definedName>
    <definedName name="xxLapso" localSheetId="16">#REF!</definedName>
    <definedName name="xxLapso">#REF!</definedName>
    <definedName name="xxLastDate" localSheetId="0">#REF!</definedName>
    <definedName name="xxLastDate" localSheetId="14">#REF!</definedName>
    <definedName name="xxLastDate" localSheetId="15">#REF!</definedName>
    <definedName name="xxLastDate" localSheetId="16">#REF!</definedName>
    <definedName name="xxLastDate">#REF!</definedName>
    <definedName name="xxMercado" localSheetId="0">#REF!</definedName>
    <definedName name="xxMercado" localSheetId="14">#REF!</definedName>
    <definedName name="xxMercado" localSheetId="15">#REF!</definedName>
    <definedName name="xxMercado" localSheetId="16">#REF!</definedName>
    <definedName name="xxMercado">#REF!</definedName>
    <definedName name="xxNumeroDeFechasC1">[22]c1!$N$1</definedName>
    <definedName name="xxNumeroDeFechasC3">[22]c3!$N$1</definedName>
    <definedName name="xxNumeroDeFechasC5">[22]c5!$N$1</definedName>
    <definedName name="xxNumeroDeFechasC6">[22]c6!$N$1</definedName>
    <definedName name="xxNumeroDeFechasC8" localSheetId="0">#REF!</definedName>
    <definedName name="xxNumeroDeFechasC8" localSheetId="14">#REF!</definedName>
    <definedName name="xxNumeroDeFechasC8" localSheetId="15">#REF!</definedName>
    <definedName name="xxNumeroDeFechasC8" localSheetId="16">#REF!</definedName>
    <definedName name="xxNumeroDeFechasC8">#REF!</definedName>
    <definedName name="xxOpcionesFAME">[22]Inputs!$A$2</definedName>
    <definedName name="xxPorcentaje">[57]SERIES!$U$1</definedName>
    <definedName name="xxPromD">[4]SerM!$V$1</definedName>
    <definedName name="xxReal">[22]Titles!$A$32</definedName>
    <definedName name="xxSecundary" localSheetId="0">#REF!</definedName>
    <definedName name="xxSecundary" localSheetId="14">#REF!</definedName>
    <definedName name="xxSecundary" localSheetId="15">#REF!</definedName>
    <definedName name="xxSecundary" localSheetId="16">#REF!</definedName>
    <definedName name="xxSecundary">#REF!</definedName>
    <definedName name="xxSelectBTP1">[4]BTPMS!$O$1</definedName>
    <definedName name="xxSelectCDB1">[4]CDMS!$N$1</definedName>
    <definedName name="xxSufijoEspañol">[22]Titles!$C$22</definedName>
    <definedName name="xxSufijoInglés">[22]Titles!$C$23</definedName>
    <definedName name="xxTC">[37]Empresas!$H$1</definedName>
    <definedName name="xxTolerance" localSheetId="0">#REF!</definedName>
    <definedName name="xxTolerance" localSheetId="14">#REF!</definedName>
    <definedName name="xxTolerance" localSheetId="15">#REF!</definedName>
    <definedName name="xxTolerance" localSheetId="16">#REF!</definedName>
    <definedName name="xxTolerance">#REF!</definedName>
    <definedName name="xxUltimaFechaCuadroDeAFP">[22]Menu!$K$12</definedName>
    <definedName name="xxUltimaFechaCuadroDeAhorro">[22]Menu!$K$7</definedName>
    <definedName name="xxUltimaFechaCuadroDeBolsa">[22]Menu!$K$9</definedName>
    <definedName name="xxUltimaFechaCuadroDeBonos">[22]Menu!$K$9</definedName>
    <definedName name="xxUltimaFechaCuadroDeTasas">[22]Menu!$K$11</definedName>
    <definedName name="xxUltimaFechaDeCuadroAnexo">[22]Menu!$K$14</definedName>
    <definedName name="xxx" localSheetId="0" hidden="1">#REF!</definedName>
    <definedName name="xxx" localSheetId="14" hidden="1">#REF!</definedName>
    <definedName name="xxx" localSheetId="15" hidden="1">#REF!</definedName>
    <definedName name="xxx" localSheetId="16" hidden="1">#REF!</definedName>
    <definedName name="xxx" hidden="1">#REF!</definedName>
    <definedName name="xxxx" localSheetId="0" hidden="1">#REF!</definedName>
    <definedName name="xxxx" localSheetId="14" hidden="1">#REF!</definedName>
    <definedName name="xxxx" localSheetId="15" hidden="1">#REF!</definedName>
    <definedName name="xxxx" localSheetId="16" hidden="1">#REF!</definedName>
    <definedName name="xxxx" hidden="1">#REF!</definedName>
    <definedName name="xxxxxxx" localSheetId="0">#REF!</definedName>
    <definedName name="xxxxxxx" localSheetId="14">#REF!</definedName>
    <definedName name="xxxxxxx" localSheetId="15">#REF!</definedName>
    <definedName name="xxxxxxx" localSheetId="16">#REF!</definedName>
    <definedName name="xxxxxxx">#REF!</definedName>
    <definedName name="xxxxxxxxxxx" localSheetId="14">#REF!</definedName>
    <definedName name="xxxxxxxxxxx" localSheetId="15">#REF!</definedName>
    <definedName name="xxxxxxxxxxx" localSheetId="16">#REF!</definedName>
    <definedName name="xxxxxxxxxxx">#REF!</definedName>
    <definedName name="xxxxxxxxxxxxxx" localSheetId="14">#REF!</definedName>
    <definedName name="xxxxxxxxxxxxxx" localSheetId="15">#REF!</definedName>
    <definedName name="xxxxxxxxxxxxxx" localSheetId="16">#REF!</definedName>
    <definedName name="xxxxxxxxxxxxxx">#REF!</definedName>
    <definedName name="xxxxxxxxxxxxxxxx" localSheetId="14">#REF!</definedName>
    <definedName name="xxxxxxxxxxxxxxxx" localSheetId="15">#REF!</definedName>
    <definedName name="xxxxxxxxxxxxxxxx" localSheetId="16">#REF!</definedName>
    <definedName name="xxxxxxxxxxxxxxxx">#REF!</definedName>
    <definedName name="YieldsDAY">[4]EXT!$A$1:$P$290</definedName>
    <definedName name="YieldsFIN">[4]SerX!$A$18:$Q$31</definedName>
    <definedName name="YieldsPRM">[4]SerX!$A$2:$Q$15</definedName>
    <definedName name="zssdd" localSheetId="0">#REF!</definedName>
    <definedName name="zssdd" localSheetId="14">#REF!</definedName>
    <definedName name="zssdd" localSheetId="15">#REF!</definedName>
    <definedName name="zssdd" localSheetId="16">#REF!</definedName>
    <definedName name="zssdd">#REF!</definedName>
    <definedName name="zzzz" localSheetId="0">[59]PAG_33!#REF!</definedName>
    <definedName name="zzzz" localSheetId="14">[59]PAG_33!#REF!</definedName>
    <definedName name="zzzz" localSheetId="15">[59]PAG_33!#REF!</definedName>
    <definedName name="zzzz" localSheetId="16">[59]PAG_33!#REF!</definedName>
    <definedName name="zzzz">[59]PAG_33!#REF!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12" l="1"/>
  <c r="G8" i="12"/>
  <c r="G9" i="12"/>
  <c r="G10" i="12"/>
  <c r="G11" i="12"/>
  <c r="G12" i="12"/>
  <c r="G13" i="12"/>
  <c r="G14" i="12"/>
  <c r="G15" i="12"/>
  <c r="G6" i="12"/>
  <c r="J28" i="32" l="1"/>
  <c r="I28" i="32"/>
  <c r="H28" i="32"/>
  <c r="G28" i="32"/>
  <c r="F28" i="32"/>
  <c r="E28" i="32"/>
  <c r="D28" i="32"/>
  <c r="C28" i="32"/>
  <c r="B28" i="32"/>
  <c r="J7" i="32"/>
  <c r="I7" i="32"/>
  <c r="H7" i="32"/>
  <c r="G7" i="32"/>
  <c r="F7" i="32"/>
  <c r="E7" i="32"/>
  <c r="D7" i="32"/>
  <c r="C7" i="32"/>
  <c r="B7" i="32"/>
  <c r="G6" i="32" l="1"/>
  <c r="C6" i="32"/>
  <c r="F6" i="32"/>
  <c r="H6" i="32"/>
  <c r="D6" i="32"/>
  <c r="E6" i="32"/>
  <c r="B6" i="32"/>
  <c r="J6" i="32"/>
  <c r="I6" i="32"/>
  <c r="E32" i="22"/>
  <c r="B32" i="22" s="1"/>
  <c r="Q68" i="24"/>
  <c r="Q51" i="24"/>
  <c r="Q38" i="24"/>
  <c r="Q30" i="24"/>
  <c r="Q20" i="24"/>
  <c r="Q12" i="24"/>
  <c r="R32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L12" i="2"/>
  <c r="G12" i="2"/>
  <c r="L11" i="2"/>
  <c r="G11" i="2"/>
  <c r="L10" i="2"/>
  <c r="G10" i="2"/>
  <c r="O9" i="2"/>
  <c r="N9" i="2"/>
  <c r="L9" i="2" s="1"/>
  <c r="M9" i="2"/>
  <c r="J9" i="2"/>
  <c r="I9" i="2"/>
  <c r="H9" i="2"/>
  <c r="Q10" i="24" l="1"/>
  <c r="Q8" i="24" s="1"/>
  <c r="R6" i="7"/>
  <c r="G9" i="2"/>
  <c r="Q6" i="24"/>
</calcChain>
</file>

<file path=xl/sharedStrings.xml><?xml version="1.0" encoding="utf-8"?>
<sst xmlns="http://schemas.openxmlformats.org/spreadsheetml/2006/main" count="3214" uniqueCount="453">
  <si>
    <t>2.5.1 RECURSOS HÍDRICOS</t>
  </si>
  <si>
    <t xml:space="preserve">      (Hectómetro cúbico)</t>
  </si>
  <si>
    <t>Vertiente</t>
  </si>
  <si>
    <t>Total</t>
  </si>
  <si>
    <t>%</t>
  </si>
  <si>
    <t>Superficial</t>
  </si>
  <si>
    <t>Subterránea</t>
  </si>
  <si>
    <t>546 730</t>
  </si>
  <si>
    <t>Pacífico</t>
  </si>
  <si>
    <t>3 124</t>
  </si>
  <si>
    <t>Atlántico</t>
  </si>
  <si>
    <t>542 992</t>
  </si>
  <si>
    <t>Titicaca</t>
  </si>
  <si>
    <t>Fuente: Autoridad Nacional del Agua (ANA) - Política y Estrategia Nacional de Recursos Hídricos del Perú.</t>
  </si>
  <si>
    <t xml:space="preserve"> </t>
  </si>
  <si>
    <t>Vertiente /
Administración Local de Agua</t>
  </si>
  <si>
    <t>Poblacional</t>
  </si>
  <si>
    <t>Agrario</t>
  </si>
  <si>
    <t>Minero</t>
  </si>
  <si>
    <t>Industrial</t>
  </si>
  <si>
    <t>Acuícola</t>
  </si>
  <si>
    <t>Energético</t>
  </si>
  <si>
    <t>Recreativo</t>
  </si>
  <si>
    <t>Turístico</t>
  </si>
  <si>
    <t>Otros 
Usos</t>
  </si>
  <si>
    <t>Caplina-Locumba</t>
  </si>
  <si>
    <t>-</t>
  </si>
  <si>
    <t>Moquegua</t>
  </si>
  <si>
    <t>Tambo-Alto-Tambo</t>
  </si>
  <si>
    <t>Chili</t>
  </si>
  <si>
    <t>Colca-Siguas-Chivay</t>
  </si>
  <si>
    <t>Camaná-Majes</t>
  </si>
  <si>
    <t>Ocoña-Pausa</t>
  </si>
  <si>
    <t>Chaparra-Acarí</t>
  </si>
  <si>
    <t>Grande</t>
  </si>
  <si>
    <t>Ica</t>
  </si>
  <si>
    <t>Río Seco</t>
  </si>
  <si>
    <t>Pisco</t>
  </si>
  <si>
    <t>San Juan</t>
  </si>
  <si>
    <t>Mala-Omas-Cañete</t>
  </si>
  <si>
    <t>Chillón-Rímac-Lurín</t>
  </si>
  <si>
    <t>Chancay-Huaral</t>
  </si>
  <si>
    <t>Huaura</t>
  </si>
  <si>
    <t>Barranca</t>
  </si>
  <si>
    <t>Casma Huarmey</t>
  </si>
  <si>
    <t>Huaraz</t>
  </si>
  <si>
    <t>Santa-Lacramarca- Nepeña</t>
  </si>
  <si>
    <t>Moche-Virú-Chao</t>
  </si>
  <si>
    <t>Chicama</t>
  </si>
  <si>
    <t>Jequetepeque</t>
  </si>
  <si>
    <t>Zaña</t>
  </si>
  <si>
    <t>Chancay-Lambayeque</t>
  </si>
  <si>
    <t>Motupe-Olmos-La Leche</t>
  </si>
  <si>
    <t>Medio y Bajo Piura</t>
  </si>
  <si>
    <t xml:space="preserve">Alto Piura </t>
  </si>
  <si>
    <t>San Lorenzo</t>
  </si>
  <si>
    <t>Chira</t>
  </si>
  <si>
    <t>Tumbes</t>
  </si>
  <si>
    <t>Continúa…</t>
  </si>
  <si>
    <t>Conclusión.</t>
  </si>
  <si>
    <t>Chinchipe-Chamaya</t>
  </si>
  <si>
    <t>Bagua-Santiago</t>
  </si>
  <si>
    <t>Chotano-Llaucano</t>
  </si>
  <si>
    <t>Cajamarca</t>
  </si>
  <si>
    <t>Crisnejas</t>
  </si>
  <si>
    <t>Huamachuco</t>
  </si>
  <si>
    <t>Huari</t>
  </si>
  <si>
    <t>Iquitos</t>
  </si>
  <si>
    <t>Alto Mayo</t>
  </si>
  <si>
    <t>Tarapoto</t>
  </si>
  <si>
    <t>Huallaga Central</t>
  </si>
  <si>
    <t>Tingo María</t>
  </si>
  <si>
    <t>Alto Huallaga</t>
  </si>
  <si>
    <t>Atalaya</t>
  </si>
  <si>
    <t>Perené</t>
  </si>
  <si>
    <t>Tarma</t>
  </si>
  <si>
    <t>Pasco</t>
  </si>
  <si>
    <t>Mantaro</t>
  </si>
  <si>
    <t>Medio Apurímac-Pachachaca</t>
  </si>
  <si>
    <t>Alto Apurímac-Velille</t>
  </si>
  <si>
    <t>La Convención</t>
  </si>
  <si>
    <t>Cusco</t>
  </si>
  <si>
    <t>Tahuamanu-Madre de Dios</t>
  </si>
  <si>
    <t>Tambopata-Inambari</t>
  </si>
  <si>
    <t>Ramis</t>
  </si>
  <si>
    <t>Huancané</t>
  </si>
  <si>
    <t>Juliaca</t>
  </si>
  <si>
    <t>Ilave</t>
  </si>
  <si>
    <t>Fuente: Autoridad Nacional del Agua (ANA).</t>
  </si>
  <si>
    <t>Pucallpa</t>
  </si>
  <si>
    <t>(Miles de metros cúbicos)</t>
  </si>
  <si>
    <t>Empresa</t>
  </si>
  <si>
    <t>Departamento</t>
  </si>
  <si>
    <t>Empresa (Más de 1 millón de conexiones potables 
administradas)</t>
  </si>
  <si>
    <t>SEDAPAL S.A.</t>
  </si>
  <si>
    <t>Lima y Callao</t>
  </si>
  <si>
    <t>EPS Grandes (Más de 40 mil hasta 250 mil
conexiones de agua potable administradas)</t>
  </si>
  <si>
    <t>EMAPA SAN MARTÍN S.A.</t>
  </si>
  <si>
    <t>San Martín</t>
  </si>
  <si>
    <t>EMSAPUNO S.A.</t>
  </si>
  <si>
    <t>Puno</t>
  </si>
  <si>
    <t xml:space="preserve">AGUA TUMBES </t>
  </si>
  <si>
    <t>EPS GRAU S.A.</t>
  </si>
  <si>
    <t>Piura</t>
  </si>
  <si>
    <t>SEDACUSCO S.A.</t>
  </si>
  <si>
    <t>EPS SEDALORETO S.A.</t>
  </si>
  <si>
    <t>Loreto</t>
  </si>
  <si>
    <t>EPS TACNA S.A.</t>
  </si>
  <si>
    <t>Tacna</t>
  </si>
  <si>
    <t>SEDA AYACUCHO S.A.</t>
  </si>
  <si>
    <t>Ayacucho</t>
  </si>
  <si>
    <t>EPSEL S.A.</t>
  </si>
  <si>
    <t>Lambayeque</t>
  </si>
  <si>
    <t>SEDACHIMBOTE S.A.</t>
  </si>
  <si>
    <t>Áncash</t>
  </si>
  <si>
    <t>SEDA HUÁNUCO S.A.</t>
  </si>
  <si>
    <t>Huánuco</t>
  </si>
  <si>
    <t>SEDAJULIACA S.A.</t>
  </si>
  <si>
    <t>SEDACAJ S.A.</t>
  </si>
  <si>
    <t>SEDALIB S.A.</t>
  </si>
  <si>
    <t>La Libertad</t>
  </si>
  <si>
    <t>SEDAM HUANCAYO S.A.</t>
  </si>
  <si>
    <t>Junín</t>
  </si>
  <si>
    <t>SEDAPAR S.A.</t>
  </si>
  <si>
    <t>Arequipa</t>
  </si>
  <si>
    <t>EPS SEMAPACH S.A</t>
  </si>
  <si>
    <t>Empresas Medianas (Más de 15 mil hasta 40 mil 
conexiones de agua potable administradas)</t>
  </si>
  <si>
    <t>EMAPA CAÑETE S.A</t>
  </si>
  <si>
    <t>Lima</t>
  </si>
  <si>
    <t>EPS AGUAS DE LIMA NORTE S.A.</t>
  </si>
  <si>
    <t>EMAPA HUARAL S.A</t>
  </si>
  <si>
    <t>EPS MOYOBAMBA S.A.</t>
  </si>
  <si>
    <t>EMAPISCO S.A.</t>
  </si>
  <si>
    <t>…</t>
  </si>
  <si>
    <t>EMAPACOP S.A.</t>
  </si>
  <si>
    <t>Ucayalí</t>
  </si>
  <si>
    <t>EMAPAT S.A.</t>
  </si>
  <si>
    <t>Madre de Dios</t>
  </si>
  <si>
    <t>EMPSSAPAL S.A.</t>
  </si>
  <si>
    <t>EMUSAP ABANCAY S.A.C.</t>
  </si>
  <si>
    <t>Apurímac</t>
  </si>
  <si>
    <t>EPS CHAVIN S.A.</t>
  </si>
  <si>
    <t>EPS ILO S.A.</t>
  </si>
  <si>
    <t>EPS MUNICIPAL MANTARO S.A.</t>
  </si>
  <si>
    <t>EPS MARAÑON S.A.</t>
  </si>
  <si>
    <t>EPS MOQUEGUA S.A.</t>
  </si>
  <si>
    <t>EPS SELVA CENTRAL S.A.</t>
  </si>
  <si>
    <t>Junín - Pasco</t>
  </si>
  <si>
    <t>EPS BARRANCA S.A.</t>
  </si>
  <si>
    <t>EPS Pequeñas (Hasta 15 mil conexiones de agua 
potable administradas)</t>
  </si>
  <si>
    <t>EMAPA HUANCAVELICA S.A.</t>
  </si>
  <si>
    <t>Huancavelica</t>
  </si>
  <si>
    <t>EMAPA PASCO S.A.</t>
  </si>
  <si>
    <t>EMAPA - Y S.R.L.</t>
  </si>
  <si>
    <t>EMAPAB S.A.</t>
  </si>
  <si>
    <t>Amazonas</t>
  </si>
  <si>
    <t>EMAPAVIGS S.A.</t>
  </si>
  <si>
    <t>EMAQ S.R.L.</t>
  </si>
  <si>
    <t>EMSAPA CALCA S.A.</t>
  </si>
  <si>
    <t>EMSAPA YAULI - LA OROYA S.R.L.</t>
  </si>
  <si>
    <t>EMUSAP S.A.</t>
  </si>
  <si>
    <t>EPS AGUAS DEL ALTIPLANO S.R.L.</t>
  </si>
  <si>
    <t>EMSAP CHANKA S.A.</t>
  </si>
  <si>
    <t>Apurímac - Ayacucho</t>
  </si>
  <si>
    <t>EPS NOR PUNO S.A.</t>
  </si>
  <si>
    <t>EPS SIERRA CENTRAL S.R.L.</t>
  </si>
  <si>
    <t>EPSSMU S.A.</t>
  </si>
  <si>
    <t>EPS RIOJA S.A.</t>
  </si>
  <si>
    <t>Fuente: Superintendencia Nacional de Servicios de Saneamiento (SUNASS).</t>
  </si>
  <si>
    <t>(Litros/habitante/día)</t>
  </si>
  <si>
    <t>EMAPICA S.A.</t>
  </si>
  <si>
    <t>Ucayali</t>
  </si>
  <si>
    <t xml:space="preserve">   (Metros cúbicos)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</si>
  <si>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</si>
  <si>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</si>
  <si>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</si>
  <si>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</si>
  <si>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</si>
  <si>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</si>
  <si>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</si>
  <si>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</si>
  <si>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</si>
  <si>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</si>
  <si>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</si>
  <si>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</si>
  <si>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</si>
  <si>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Fuente superficial</t>
  </si>
  <si>
    <t>Fuente subterránea</t>
  </si>
  <si>
    <t>Fuente: Servicio de Agua Potable y Alcantarillado de Lima (SEDAPAL) - Gerencia de Producción.</t>
  </si>
  <si>
    <t>Año</t>
  </si>
  <si>
    <t xml:space="preserve">Total </t>
  </si>
  <si>
    <t>Planta La Atarjea</t>
  </si>
  <si>
    <t>Galerías de infiltración</t>
  </si>
  <si>
    <t>Pozos SEDAPAL (Extracción de agua subterránea)</t>
  </si>
  <si>
    <t>Planta N1</t>
  </si>
  <si>
    <t>Planta N2</t>
  </si>
  <si>
    <t xml:space="preserve"> -</t>
  </si>
  <si>
    <t>683 246</t>
  </si>
  <si>
    <t>254 800</t>
  </si>
  <si>
    <t>283 064</t>
  </si>
  <si>
    <t>29 580</t>
  </si>
  <si>
    <t>115 802</t>
  </si>
  <si>
    <r>
      <t>Nota:</t>
    </r>
    <r>
      <rPr>
        <sz val="8"/>
        <rFont val="Arial Narrow"/>
        <family val="2"/>
      </rPr>
      <t xml:space="preserve"> El reporte no incluye la producción del pozo No. 707 del C.S. Ate Vitarte, que abastece a la Planta de La Atarjea.   </t>
    </r>
  </si>
  <si>
    <r>
      <rPr>
        <vertAlign val="superscript"/>
        <sz val="8"/>
        <rFont val="Arial Narrow"/>
        <family val="2"/>
      </rPr>
      <t>1/</t>
    </r>
    <r>
      <rPr>
        <sz val="8"/>
        <rFont val="Arial Narrow"/>
        <family val="2"/>
      </rPr>
      <t xml:space="preserve"> La producción de la Planta Chillón (m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/s) se obtiene tomando como base el periodo de producción en meses de avenida, en ese sentido los totales en metros cúbicos por segundo varían.</t>
    </r>
  </si>
  <si>
    <r>
      <rPr>
        <vertAlign val="superscript"/>
        <sz val="8"/>
        <rFont val="Arial Narrow"/>
        <family val="2"/>
      </rPr>
      <t>2/</t>
    </r>
    <r>
      <rPr>
        <sz val="8"/>
        <rFont val="Arial Narrow"/>
        <family val="2"/>
      </rPr>
      <t xml:space="preserve"> En agosto de 2014, entra en operación la Planta Huachipa con capacidad nominal de producción de 5 m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/s.</t>
    </r>
  </si>
  <si>
    <r>
      <t>m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2"/>
      </rPr>
      <t>: Metros cúbicos.</t>
    </r>
  </si>
  <si>
    <t>s: Segundos.</t>
  </si>
  <si>
    <t>Fuente: Servicio de Agua Potable y Alcantarillado de Lima (SEDAPAL) - Gerencia de Producción y Distribución Primaria.</t>
  </si>
  <si>
    <t>Producción
total</t>
  </si>
  <si>
    <t>Centro de Servicio</t>
  </si>
  <si>
    <t>Norte</t>
  </si>
  <si>
    <t>Centro</t>
  </si>
  <si>
    <t>Sur</t>
  </si>
  <si>
    <t>Comas</t>
  </si>
  <si>
    <t>Callao</t>
  </si>
  <si>
    <t>Ate Vitarte</t>
  </si>
  <si>
    <t>Breña</t>
  </si>
  <si>
    <t>San Juan de Lurigancho</t>
  </si>
  <si>
    <t>Surquillo</t>
  </si>
  <si>
    <t>Villa El Salvador</t>
  </si>
  <si>
    <t xml:space="preserve"> (Soles por metro cúbico)</t>
  </si>
  <si>
    <t>Leyenda:</t>
  </si>
  <si>
    <t>S = SEDAPAL (más de 1 millón de conexiones de agua potable administradas)</t>
  </si>
  <si>
    <t>G = EPS grandes (Más de 40 000 hasta 250 000 conexiones de agua potable administradas)</t>
  </si>
  <si>
    <t>M = EPS medianas (Más de 15 000 hasta 40 000 conexiones de agua potable administradas)</t>
  </si>
  <si>
    <t>P = EPS pequeñas (Hasta 15 000 conexiones de agua potable administradas)</t>
  </si>
  <si>
    <t>Tamaño</t>
  </si>
  <si>
    <t>G</t>
  </si>
  <si>
    <t>M</t>
  </si>
  <si>
    <t>P</t>
  </si>
  <si>
    <t>Fuente: Servicio de Agua Potable y Alcantarillado de Lima (SEDAPAL) - Gerencia de Desarrollo e Investigación.</t>
  </si>
  <si>
    <t>(Porcentaje)</t>
  </si>
  <si>
    <t>AGUA TUMBES</t>
  </si>
  <si>
    <t>(Número de conexiones)</t>
  </si>
  <si>
    <t>S = SEDAPAL (más de 1 millón de conexiones de agua potable administradas).</t>
  </si>
  <si>
    <t>G = EPS grandes (Más de 40 000 hasta 250 000 conexiones de agua potable administradas).</t>
  </si>
  <si>
    <t>M = EPS medianas (Más de 15 000 hasta 40 000 conexiones de agua potable administradas).</t>
  </si>
  <si>
    <t>P = EPS pequeñas (Hasta 15 000 conexiones de agua potable administradas).</t>
  </si>
  <si>
    <t>...</t>
  </si>
  <si>
    <t xml:space="preserve">     (Número de conexiones)</t>
  </si>
  <si>
    <t>Equipo comercial/Distrito</t>
  </si>
  <si>
    <t>Uso de aguas subterráneas</t>
  </si>
  <si>
    <t>Red</t>
  </si>
  <si>
    <t>Grandes Clientes</t>
  </si>
  <si>
    <t>Equipo Comercial Comas</t>
  </si>
  <si>
    <t>Carabayllo</t>
  </si>
  <si>
    <t>Puente Piedra</t>
  </si>
  <si>
    <t>Rímac</t>
  </si>
  <si>
    <t>Independencia</t>
  </si>
  <si>
    <t>San Martín de Porres</t>
  </si>
  <si>
    <t>Los Olivos</t>
  </si>
  <si>
    <t>Equipo Comercial Callao</t>
  </si>
  <si>
    <t>Ancón</t>
  </si>
  <si>
    <t>Santa Rosa</t>
  </si>
  <si>
    <t>Bellavista</t>
  </si>
  <si>
    <t>Carmen de La Legua</t>
  </si>
  <si>
    <t>La Perla</t>
  </si>
  <si>
    <t>La Punta</t>
  </si>
  <si>
    <t>Ventanilla</t>
  </si>
  <si>
    <t>Mi Perú</t>
  </si>
  <si>
    <t>Equipo Comercial Breña</t>
  </si>
  <si>
    <t>El Cercado</t>
  </si>
  <si>
    <t>Jesús María</t>
  </si>
  <si>
    <t>La Victoria</t>
  </si>
  <si>
    <t>Magdalena</t>
  </si>
  <si>
    <t>Pueblo Libre</t>
  </si>
  <si>
    <t>San Miguel</t>
  </si>
  <si>
    <t>Equipo Comercial Ate-Vitarte</t>
  </si>
  <si>
    <t>Chaclacayo</t>
  </si>
  <si>
    <t>El Agustino</t>
  </si>
  <si>
    <t>La Molina</t>
  </si>
  <si>
    <t>Lurigancho</t>
  </si>
  <si>
    <t>San Luis</t>
  </si>
  <si>
    <t>Cieneguilla</t>
  </si>
  <si>
    <t>Santa Anita</t>
  </si>
  <si>
    <t>San Antonio de Huarochirí</t>
  </si>
  <si>
    <t>Equipo Comercial S.J. de Lurigancho</t>
  </si>
  <si>
    <t>Equipo Comercial Villa  El Salvador</t>
  </si>
  <si>
    <t>Lurín</t>
  </si>
  <si>
    <t>Pachacámac</t>
  </si>
  <si>
    <t>Pucusana</t>
  </si>
  <si>
    <t xml:space="preserve">Punta Negra </t>
  </si>
  <si>
    <t xml:space="preserve">Punta Hermosa </t>
  </si>
  <si>
    <t xml:space="preserve">San Bartolo </t>
  </si>
  <si>
    <t>San Juan de Miraflores</t>
  </si>
  <si>
    <t>Villa María del Triunfo</t>
  </si>
  <si>
    <t>Equipo Comercial Surquillo</t>
  </si>
  <si>
    <t>Barranco</t>
  </si>
  <si>
    <t>Chorrillos</t>
  </si>
  <si>
    <t>Lince</t>
  </si>
  <si>
    <t>Miraflores</t>
  </si>
  <si>
    <t>San Isidro</t>
  </si>
  <si>
    <t>Santiago de Surco</t>
  </si>
  <si>
    <t>San Borja</t>
  </si>
  <si>
    <t>Surco Viejo</t>
  </si>
  <si>
    <t>Fuente: Servicio de Agua Potable y Alcantarillado de Lima (SEDAPAL) - Gerencia Comercial.</t>
  </si>
  <si>
    <t>2.5.2 USOS DEL AGUA</t>
  </si>
  <si>
    <t xml:space="preserve">   (Hectómetro cúbico)</t>
  </si>
  <si>
    <t>Vertiente / Administración 
Local</t>
  </si>
  <si>
    <t>Santiago de Chuco</t>
  </si>
  <si>
    <t>Alto Piura - Huancabamba</t>
  </si>
  <si>
    <t>Utcubamba</t>
  </si>
  <si>
    <t>Las Yangas-Suite</t>
  </si>
  <si>
    <t>Pomabamba</t>
  </si>
  <si>
    <t>Alto Marañón</t>
  </si>
  <si>
    <t>Alto Amazonas</t>
  </si>
  <si>
    <t>Bajo Apurímac-Pampas</t>
  </si>
  <si>
    <t>Sicuani</t>
  </si>
  <si>
    <t>Las Yangas Suite</t>
  </si>
  <si>
    <t>Medicinal</t>
  </si>
  <si>
    <t>Transporte</t>
  </si>
  <si>
    <t>Caplina - Locumba</t>
  </si>
  <si>
    <t>Tambo-Alto Tambo</t>
  </si>
  <si>
    <t>Santa-Lacramarca-Nepeña</t>
  </si>
  <si>
    <t xml:space="preserve">  (Metros cúbicos)</t>
  </si>
  <si>
    <t>Vertiente / Administración 
local</t>
  </si>
  <si>
    <t>2015</t>
  </si>
  <si>
    <t>2016</t>
  </si>
  <si>
    <t>2017</t>
  </si>
  <si>
    <t>2018</t>
  </si>
  <si>
    <t>2019</t>
  </si>
  <si>
    <t>Medio - Bajo Piura</t>
  </si>
  <si>
    <t xml:space="preserve">   (Miles de metros cúbicos)</t>
  </si>
  <si>
    <t xml:space="preserve">Año </t>
  </si>
  <si>
    <t>Doméstico</t>
  </si>
  <si>
    <t>Comercial</t>
  </si>
  <si>
    <t>Estatal</t>
  </si>
  <si>
    <t>1/  Incluye el consumo de surtidores a partir de noviembre de 1994.</t>
  </si>
  <si>
    <t>2/ Corresponde a la clasificación de usuarios domésticos, sobre la base de Planos Estratificados de Lima Metropolitana, aprobada con Resolución de Consejo Directivo Nº 021-2017-SUNASS-CD del 21-07-2017, implementado en el año 2018.</t>
  </si>
  <si>
    <t>Fuente: Servicio de Agua Potable y Alcantarillado de Lima (SEDAPAL).</t>
  </si>
  <si>
    <t>Centro de servicio / Distrito</t>
  </si>
  <si>
    <t>Total  (Total Red + Surtidores  + Servicio de monitoreo y gestión del uso de aguas subterráneas)</t>
  </si>
  <si>
    <t>Servicio de monitoreo y gestión del uso de aguas subterráneas</t>
  </si>
  <si>
    <t xml:space="preserve">Total Red + Surtidores </t>
  </si>
  <si>
    <t>Surtidores</t>
  </si>
  <si>
    <t>Total Red</t>
  </si>
  <si>
    <t>Centro de servicios Comas</t>
  </si>
  <si>
    <t>Centro de servicios Callao</t>
  </si>
  <si>
    <t>Centro de servicios Breña</t>
  </si>
  <si>
    <t>Centro de servicios Ate Vitarte</t>
  </si>
  <si>
    <t>Centro de servicios San Juan de Lurigancho</t>
  </si>
  <si>
    <t>Centro de servicios de Villa El Salvador</t>
  </si>
  <si>
    <t>Punta Negra</t>
  </si>
  <si>
    <t>Punta Hermosa</t>
  </si>
  <si>
    <t>San Bartolo</t>
  </si>
  <si>
    <t>Villa Salvador</t>
  </si>
  <si>
    <t>Centro de servicios de Surquillo</t>
  </si>
  <si>
    <t xml:space="preserve">Surco Viejo </t>
  </si>
  <si>
    <t xml:space="preserve">  (Miles de soles)</t>
  </si>
  <si>
    <t xml:space="preserve">    (Soles por metro cúbico)</t>
  </si>
  <si>
    <t>Clase / Categoría</t>
  </si>
  <si>
    <t xml:space="preserve">Rangos de consumo  </t>
  </si>
  <si>
    <t>Agua Potable</t>
  </si>
  <si>
    <t>Residencial</t>
  </si>
  <si>
    <t>Social</t>
  </si>
  <si>
    <t>0 a más</t>
  </si>
  <si>
    <t>Doméstico Subsidiado</t>
  </si>
  <si>
    <t>0 a 10</t>
  </si>
  <si>
    <t>10 a 20</t>
  </si>
  <si>
    <t>20 a 50</t>
  </si>
  <si>
    <t>50 a más</t>
  </si>
  <si>
    <t>Doméstico No Subsidiado</t>
  </si>
  <si>
    <t>0 a 20</t>
  </si>
  <si>
    <t>No Residencial</t>
  </si>
  <si>
    <t>0 a 1000</t>
  </si>
  <si>
    <t>1000 a más</t>
  </si>
  <si>
    <t>Tarifas 2020</t>
  </si>
  <si>
    <t>(Hectómetros cúbicos)</t>
  </si>
  <si>
    <t>EPS Grandes (Más de 40 mil hasta 1 millón
conexiones de agua potable administradas)</t>
  </si>
  <si>
    <t>EPS EMAPICA S.A.</t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</si>
  <si>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Los totales y subtotales pueden diferir por efecto de redondeo.</t>
    </r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</si>
  <si>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Los totales pueden diferir por efecto de redondeo.</t>
    </r>
  </si>
  <si>
    <r>
      <rPr>
        <b/>
        <sz val="8"/>
        <rFont val="Arial Narrow"/>
        <family val="2"/>
      </rPr>
      <t xml:space="preserve">Nota: </t>
    </r>
    <r>
      <rPr>
        <sz val="8"/>
        <rFont val="Arial Narrow"/>
        <family val="2"/>
      </rPr>
      <t>El agua no facturada se calcula solo para las EPS cuyas condiciones técnicas del servicio lo permiten. Los totales pueden diferir por efecto de redondeo.</t>
    </r>
  </si>
  <si>
    <r>
      <t xml:space="preserve">1/ </t>
    </r>
    <r>
      <rPr>
        <sz val="8"/>
        <rFont val="Arial Narrow"/>
        <family val="2"/>
      </rPr>
      <t>Publicado en el Peruano el 6 de octubre del 2019. Se aplicó a partir del primer ciclo de facturación posterior al 12.09.2019 (Oficio N° 025-2019-SUNASS-GG).</t>
    </r>
  </si>
  <si>
    <r>
      <rPr>
        <vertAlign val="superscript"/>
        <sz val="8"/>
        <rFont val="Arial Narrow"/>
        <family val="2"/>
      </rPr>
      <t xml:space="preserve">2/ </t>
    </r>
    <r>
      <rPr>
        <sz val="8"/>
        <rFont val="Arial Narrow"/>
        <family val="2"/>
      </rPr>
      <t>Incluye los servicios de recolección y tratamiento de aguas residuales.</t>
    </r>
  </si>
  <si>
    <r>
      <t xml:space="preserve">Nota: </t>
    </r>
    <r>
      <rPr>
        <sz val="8"/>
        <rFont val="Arial Narrow"/>
        <family val="2"/>
      </rPr>
      <t>La información está referida al volumen facturado y no incluye fuente propia.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</si>
  <si>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Se refiere a importe facturado por las empresas de servicios de saneamiento. Los totales pueden diferir por efecto de redondeo.</t>
    </r>
  </si>
  <si>
    <t>3. PRODUCCIÓN DE AGUA POTABLE, SEGÚN TAMAÑO DE LA EMPRESA PRESTADORA DE SERVICIOS DE SANEAMIENTO, 2015-2021</t>
  </si>
  <si>
    <t>2021 P/</t>
  </si>
  <si>
    <t>4. PRODUCCIÓN PER CÁPITA DE AGUA POTABLE, SEGÚN TAMAÑO DE LA  EMPRESA PRESTADORA 
DE SERVICIOS DE SANEAMIENTO, 2015-2021</t>
  </si>
  <si>
    <t>5.   PRODUCCIÓN MENSUAL DE AGUA POTABLE EN LIMA METROPOLITANA, SEGÚN FUENTE DE ABASTECIMIENTO, 2015-2021</t>
  </si>
  <si>
    <t>6.  PRODUCCIÓN DE AGUA POTABLE EN LIMA METROPOLITANA POR FUENTE DE ABASTECIMIENTO, 2006-2021</t>
  </si>
  <si>
    <t>7.   PRODUCCIÓN DE AGUAS SUBTERRÁNEAS EN LIMA METROPOLITANA POR CENTRO DE SERVICIO, 2006-2021</t>
  </si>
  <si>
    <t>8.  FACTURACIÓN MEDIA DEL AGUA POTABLE Y ALCANTARILLADO, SEGÚN TAMAÑO DE LA EMPRESA 
PRESTADORA DE SERVICIO DE SANEAMIENTO, 2015-2021</t>
  </si>
  <si>
    <t>9.  VOLUMEN DE AGUA POTABLE NO FACTURADA POR PÉRDIDA EN REDES DE DISTRIBUCIÓN, SEGÚN EMPRESA 
PRESTADORA DE SERVICIO DE SANEAMIENTO, 2015-2021</t>
  </si>
  <si>
    <t>11. COBERTURA DE AGUA POTABLE, SEGÚN TAMAÑO DE LA EMPRESA PRESTADORA 
DE SERVICIO DE SANEAMIENTO, 2015-2021</t>
  </si>
  <si>
    <t>12.  CONEXIONES  TOTALES DE AGUA POTABLE, SEGÚN TAMAÑO DE LA EMPRESA PRESTADORA 
DE SERVICIO DE SANEAMIENTO, 2015-2021</t>
  </si>
  <si>
    <t>13.  CONEXIONES DE AGUA POTABLE  CON MEDIDOR LEÍDO, SEGÚN TAMAÑO DE LA EMPRESA PRESTADORA DE SERVICIO DE SANEAMIENTO, 2015-2021</t>
  </si>
  <si>
    <t>14. CONEXIONES DE AGUA POTABLE FACTURADAS EN LIMA METROPOLITANA,
 SEGÚN EQUIPO COMERCIAL Y DISTRITO, 2015-2021</t>
  </si>
  <si>
    <t>15.   TARIFAS DE AGUA POTABLE Y ALCANTARILLADO, SEGÚN CLASE Y CATEGORÍA, 2019-2021</t>
  </si>
  <si>
    <t>Tarifas 2021</t>
  </si>
  <si>
    <t>2020</t>
  </si>
  <si>
    <t>7.  CONSUMO FACTURADO DE AGUA POTABLE, SEGÚN TAMAÑO DE LA EMPRESA 
PRESTADORA DE SERVICIO DE SANEAMIENTO, 2015-2021</t>
  </si>
  <si>
    <t>8. CONSUMO TOTAL DE AGUA POTABLE EN LIMA METROPOLITANA, SEGÚN CENTRO DE SERVICIO Y 
DISTRITO, 2015-2021</t>
  </si>
  <si>
    <t>9.  VENTA DE AGUA POTABLE, SEGÚN TAMAÑO DE LA EMPRESA PRESTADORA 
DE SERVICIO DE SANEAMIENTO, 2015-2021</t>
  </si>
  <si>
    <t>2021</t>
  </si>
  <si>
    <r>
      <t xml:space="preserve">Nota: </t>
    </r>
    <r>
      <rPr>
        <sz val="8"/>
        <rFont val="Arial Narrow"/>
        <family val="2"/>
      </rPr>
      <t>Se denomina conexiones con medidor leído aquellas que han sido facturadas por la diferencia de lecturas del medidor.</t>
    </r>
  </si>
  <si>
    <t>2 482 351</t>
  </si>
  <si>
    <t>1 935 621</t>
  </si>
  <si>
    <t>37 260</t>
  </si>
  <si>
    <t>2 438 218</t>
  </si>
  <si>
    <t>1 895 226</t>
  </si>
  <si>
    <t>6 873</t>
  </si>
  <si>
    <t>Santa Maria del Mar</t>
  </si>
  <si>
    <t>Puentre Piedra</t>
  </si>
  <si>
    <t>San Matín de Porres</t>
  </si>
  <si>
    <t>Carmen de Legua</t>
  </si>
  <si>
    <t>Equipo Comercial  Callao</t>
  </si>
  <si>
    <t>San Antonio de Huarochiri</t>
  </si>
  <si>
    <t>Equipo Comercial Ate Vitarte</t>
  </si>
  <si>
    <t>Equipo Comercial San Juan de Lurigancho</t>
  </si>
  <si>
    <t>Pachacamác</t>
  </si>
  <si>
    <t>Villa María</t>
  </si>
  <si>
    <t>Santa Maria Mar</t>
  </si>
  <si>
    <t>Equipo Comercial Villa El Salvador</t>
  </si>
  <si>
    <t>Grande Clientes</t>
  </si>
  <si>
    <t>Fuente Propia</t>
  </si>
  <si>
    <t>Red de Alcantarillado</t>
  </si>
  <si>
    <t>2014</t>
  </si>
  <si>
    <t>Caplina Locumba</t>
  </si>
  <si>
    <t>Utcucamba</t>
  </si>
  <si>
    <t>Otros usos</t>
  </si>
  <si>
    <t>Chaparra-Acari</t>
  </si>
  <si>
    <t>Alto Piura-Huancabamba</t>
  </si>
  <si>
    <t>2. VOLUMEN DE AGUA SUBTERRÁNEA POR USO, SEGÚN VERTIENTE Y ADMINISTRACIÓN LOCAL, 2021</t>
  </si>
  <si>
    <t>Red primaria</t>
  </si>
  <si>
    <t>Red secundaria</t>
  </si>
  <si>
    <t>Red de agua potable</t>
  </si>
  <si>
    <t>10. RED DE AGUA POTABLE Y ALCANTARILLADO EN LIMA METROPOLITANA, 2012-2021</t>
  </si>
  <si>
    <r>
      <rPr>
        <vertAlign val="superscript"/>
        <sz val="8"/>
        <rFont val="Arial Narrow"/>
        <family val="2"/>
      </rPr>
      <t xml:space="preserve">3/ </t>
    </r>
    <r>
      <rPr>
        <sz val="8"/>
        <rFont val="Arial Narrow"/>
        <family val="2"/>
      </rPr>
      <t>Inició operaciones en diciembre 2020.</t>
    </r>
  </si>
  <si>
    <t>2.  VOLUMEN DE AGUA SUPERFICIAL POR USO CONSUNTIVO, SEGÚN VERTIENTE Y ADMINISTRACIÓN LOCAL DEL AGUA, 2021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</si>
  <si>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totales pueden diferir por efecto de redondeo.</t>
    </r>
  </si>
  <si>
    <t>1.  VOLUMEN DE AGUA SUPERFICIAL POR USO CONSUNTIVO, SEGÚN VERTIENTE Y ADMINISTRACIÓN LOCAL DEL AGUA, 2020</t>
  </si>
  <si>
    <t>3. VOLUMEN DE AGUA SUPERFICIAL, POR USO NO CONSUNTIVO, SEGÚN VERTIENTE Y ADMINISTRACIÓN LOCAL DEL AGUA, 2020</t>
  </si>
  <si>
    <t>4. VOLUMEN DE AGUA SUPERFICIAL, POR USO NO CONSUNTIVO, SEGÚN VERTIENTE Y ADMINISTRACIÓN LOCAL DEL AGUA, 2021</t>
  </si>
  <si>
    <t>5. VOLUMEN DE AGUA UTILIZADA PARA GENERAR ENERGÍA ELÉCTRICA, SEGÚN VERTIENTE Y ADMINISTRACIÓN LOCAL DE AGUA, 2015-2021</t>
  </si>
  <si>
    <t>6. CONSUMO DE AGUA POTABLE EN LIMA METROPOLITANA POR SECTORES, 2006-2021</t>
  </si>
  <si>
    <r>
      <t>Nota:</t>
    </r>
    <r>
      <rPr>
        <sz val="8"/>
        <rFont val="Arial Narrow"/>
        <family val="2"/>
      </rPr>
      <t xml:space="preserve"> Las aguas continentales en Perú se distribuyen en tres vertientes o cuencas hidrográficas. </t>
    </r>
  </si>
  <si>
    <r>
      <t>Hm</t>
    </r>
    <r>
      <rPr>
        <vertAlign val="superscript"/>
        <sz val="8"/>
        <rFont val="Arial Narrow"/>
        <family val="2"/>
      </rPr>
      <t xml:space="preserve">3 </t>
    </r>
    <r>
      <rPr>
        <sz val="8"/>
        <rFont val="Arial Narrow"/>
        <family val="2"/>
      </rPr>
      <t>= 1 millón de metros cúbicos.</t>
    </r>
  </si>
  <si>
    <r>
      <t xml:space="preserve">Planta Chillón </t>
    </r>
    <r>
      <rPr>
        <b/>
        <vertAlign val="superscript"/>
        <sz val="11"/>
        <rFont val="Arial Narrow"/>
        <family val="2"/>
      </rPr>
      <t>1/</t>
    </r>
  </si>
  <si>
    <r>
      <t xml:space="preserve">Planta 
Huachipa </t>
    </r>
    <r>
      <rPr>
        <b/>
        <vertAlign val="superscript"/>
        <sz val="11"/>
        <rFont val="Arial Narrow"/>
        <family val="2"/>
      </rPr>
      <t>2/</t>
    </r>
  </si>
  <si>
    <r>
      <t xml:space="preserve">Planta Provisur </t>
    </r>
    <r>
      <rPr>
        <b/>
        <vertAlign val="superscript"/>
        <sz val="11"/>
        <rFont val="Arial Narrow"/>
        <family val="2"/>
      </rPr>
      <t>3/</t>
    </r>
  </si>
  <si>
    <r>
      <t>(Miles m</t>
    </r>
    <r>
      <rPr>
        <b/>
        <vertAlign val="superscript"/>
        <sz val="11"/>
        <rFont val="Arial Narrow"/>
        <family val="2"/>
      </rPr>
      <t>3</t>
    </r>
    <r>
      <rPr>
        <b/>
        <sz val="11"/>
        <rFont val="Arial Narrow"/>
        <family val="2"/>
      </rPr>
      <t>)</t>
    </r>
  </si>
  <si>
    <r>
      <t>(m</t>
    </r>
    <r>
      <rPr>
        <b/>
        <vertAlign val="superscript"/>
        <sz val="11"/>
        <rFont val="Arial Narrow"/>
        <family val="2"/>
      </rPr>
      <t>3</t>
    </r>
    <r>
      <rPr>
        <b/>
        <sz val="11"/>
        <rFont val="Arial Narrow"/>
        <family val="2"/>
      </rPr>
      <t>/s)</t>
    </r>
  </si>
  <si>
    <r>
      <t xml:space="preserve">Tarifas 2018 </t>
    </r>
    <r>
      <rPr>
        <b/>
        <vertAlign val="superscript"/>
        <sz val="11"/>
        <color theme="0" tint="-0.499984740745262"/>
        <rFont val="Arial Narrow"/>
        <family val="2"/>
      </rPr>
      <t>1/</t>
    </r>
  </si>
  <si>
    <r>
      <t xml:space="preserve">Tarifas 2019 </t>
    </r>
    <r>
      <rPr>
        <b/>
        <vertAlign val="superscript"/>
        <sz val="11"/>
        <rFont val="Arial Narrow"/>
        <family val="2"/>
      </rPr>
      <t>1/</t>
    </r>
  </si>
  <si>
    <r>
      <t>m</t>
    </r>
    <r>
      <rPr>
        <b/>
        <vertAlign val="superscript"/>
        <sz val="11"/>
        <rFont val="Arial Narrow"/>
        <family val="2"/>
      </rPr>
      <t>3</t>
    </r>
    <r>
      <rPr>
        <b/>
        <sz val="11"/>
        <rFont val="Arial Narrow"/>
        <family val="2"/>
      </rPr>
      <t>/mes</t>
    </r>
  </si>
  <si>
    <r>
      <t>Alcantarillado</t>
    </r>
    <r>
      <rPr>
        <b/>
        <vertAlign val="superscript"/>
        <sz val="11"/>
        <color theme="0" tint="-0.499984740745262"/>
        <rFont val="Arial Narrow"/>
        <family val="2"/>
      </rPr>
      <t xml:space="preserve"> 3/</t>
    </r>
  </si>
  <si>
    <r>
      <t>Alcantarillado</t>
    </r>
    <r>
      <rPr>
        <b/>
        <vertAlign val="superscript"/>
        <sz val="11"/>
        <rFont val="Arial Narrow"/>
        <family val="2"/>
      </rPr>
      <t xml:space="preserve"> 2/</t>
    </r>
  </si>
  <si>
    <r>
      <t xml:space="preserve">Doméstico subsidiado </t>
    </r>
    <r>
      <rPr>
        <b/>
        <vertAlign val="superscript"/>
        <sz val="11"/>
        <rFont val="Arial Narrow"/>
        <family val="2"/>
      </rPr>
      <t>2/</t>
    </r>
  </si>
  <si>
    <r>
      <t>Doméstico no 
subsidiado</t>
    </r>
    <r>
      <rPr>
        <b/>
        <vertAlign val="superscript"/>
        <sz val="11"/>
        <rFont val="Arial Narrow"/>
        <family val="2"/>
      </rPr>
      <t xml:space="preserve"> 2/</t>
    </r>
  </si>
  <si>
    <r>
      <t xml:space="preserve">Social </t>
    </r>
    <r>
      <rPr>
        <b/>
        <vertAlign val="superscript"/>
        <sz val="11"/>
        <rFont val="Arial Narrow"/>
        <family val="2"/>
      </rPr>
      <t>1/</t>
    </r>
  </si>
  <si>
    <t>1. DISPONIBILIDAD HÍDRICA A NIVEL NACIONAL, SEGÚN VERTIENTE, 2012, 2014 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</si>
</sst>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###\ ###\ ###"/>
    <numFmt numFmtId="165" formatCode="#\ ###\ ###"/>
    <numFmt numFmtId="166" formatCode="#\ ###0.0"/>
    <numFmt numFmtId="167" formatCode="#,##0.000"/>
    <numFmt numFmtId="168" formatCode="_ * #,##0.00_ ;_ * \-#,##0.00_ ;_ * &quot;-&quot;??_ ;_ @_ "/>
    <numFmt numFmtId="169" formatCode="#\ ##0"/>
    <numFmt numFmtId="170" formatCode="#,##0.00000"/>
    <numFmt numFmtId="171" formatCode="\ #\ ###\ ###\ ###"/>
    <numFmt numFmtId="172" formatCode="0.0"/>
    <numFmt numFmtId="173" formatCode="0.000"/>
    <numFmt numFmtId="174" formatCode="0.0_)"/>
    <numFmt numFmtId="175" formatCode="#,##0.0000"/>
    <numFmt numFmtId="176" formatCode="_ * #,##0_ ;_ * \-#,##0_ ;_ * &quot;-&quot;??_ ;_ @_ "/>
    <numFmt numFmtId="177" formatCode="#\ ##0\ 000.00"/>
    <numFmt numFmtId="178" formatCode="\ #\ ###\ ###\ ###\ ###"/>
    <numFmt numFmtId="179" formatCode="0.0000"/>
    <numFmt numFmtId="180" formatCode="_(* #,##0_);_(* \(#,##0\);_(* &quot;-&quot;_);_(@_)"/>
    <numFmt numFmtId="181" formatCode="_ * #,##0_ ;_ * \-#,##0_ ;_ * &quot;-&quot;_ ;_ @_ "/>
    <numFmt numFmtId="182" formatCode="###.00\ ###\ ###"/>
    <numFmt numFmtId="183" formatCode="#,##0.0_ ;\-#,##0.0\ "/>
    <numFmt numFmtId="184" formatCode="#,##0;[Red]#,##0"/>
    <numFmt numFmtId="185" formatCode="0.00_)"/>
  </numFmts>
  <fonts count="57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3B4A1E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7"/>
      <name val="Times New Roman"/>
      <family val="1"/>
    </font>
    <font>
      <sz val="8"/>
      <name val="Arial"/>
      <family val="2"/>
    </font>
    <font>
      <sz val="8"/>
      <color theme="0"/>
      <name val="Arial Narrow"/>
      <family val="2"/>
    </font>
    <font>
      <sz val="10"/>
      <name val="Courier New"/>
      <family val="3"/>
    </font>
    <font>
      <vertAlign val="superscript"/>
      <sz val="8"/>
      <name val="Arial Narrow"/>
      <family val="2"/>
    </font>
    <font>
      <sz val="6"/>
      <name val="Helv"/>
    </font>
    <font>
      <sz val="12"/>
      <name val="Arial"/>
      <family val="2"/>
    </font>
    <font>
      <sz val="11"/>
      <color theme="1"/>
      <name val="Arial Narrow"/>
      <family val="2"/>
    </font>
    <font>
      <sz val="8"/>
      <color indexed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1"/>
      <color indexed="22"/>
      <name val="Arial Narrow"/>
      <family val="2"/>
    </font>
    <font>
      <sz val="11"/>
      <color indexed="10"/>
      <name val="Arial Narrow"/>
      <family val="2"/>
    </font>
    <font>
      <sz val="11"/>
      <color theme="0"/>
      <name val="Arial Narrow"/>
      <family val="2"/>
    </font>
    <font>
      <b/>
      <sz val="11"/>
      <color theme="9" tint="-0.499984740745262"/>
      <name val="Arial Narrow"/>
      <family val="2"/>
    </font>
    <font>
      <sz val="11"/>
      <color theme="9" tint="-0.499984740745262"/>
      <name val="Arial Narrow"/>
      <family val="2"/>
    </font>
    <font>
      <sz val="8"/>
      <color indexed="22"/>
      <name val="Arial Narrow"/>
      <family val="2"/>
    </font>
    <font>
      <b/>
      <sz val="9"/>
      <color rgb="FF3B4A1E"/>
      <name val="Arial Narrow"/>
      <family val="2"/>
    </font>
    <font>
      <sz val="8"/>
      <color rgb="FF3B4A1E"/>
      <name val="Arial Narrow"/>
      <family val="2"/>
    </font>
    <font>
      <sz val="8"/>
      <color theme="9" tint="-0.499984740745262"/>
      <name val="Arial Narrow"/>
      <family val="2"/>
    </font>
    <font>
      <b/>
      <sz val="9"/>
      <color theme="9" tint="-0.499984740745262"/>
      <name val="Arial Narrow"/>
      <family val="2"/>
    </font>
    <font>
      <sz val="9"/>
      <color theme="1"/>
      <name val="Arial Narrow"/>
      <family val="2"/>
    </font>
    <font>
      <b/>
      <sz val="10"/>
      <color rgb="FF3B4A1E"/>
      <name val="Arial Narrow"/>
      <family val="2"/>
    </font>
    <font>
      <sz val="10"/>
      <color rgb="FF3B4A1E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sz val="10"/>
      <color theme="1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sz val="7"/>
      <color theme="1"/>
      <name val="Arial Narrow"/>
      <family val="2"/>
    </font>
    <font>
      <sz val="11"/>
      <color rgb="FFFF0000"/>
      <name val="Arial Narrow"/>
      <family val="2"/>
    </font>
    <font>
      <b/>
      <sz val="8"/>
      <color theme="0" tint="-0.499984740745262"/>
      <name val="Arial Narrow"/>
      <family val="2"/>
    </font>
    <font>
      <sz val="8"/>
      <color theme="0" tint="-0.499984740745262"/>
      <name val="Arial Narrow"/>
      <family val="2"/>
    </font>
    <font>
      <sz val="11"/>
      <color theme="0" tint="-0.499984740745262"/>
      <name val="Arial Narrow"/>
      <family val="2"/>
    </font>
    <font>
      <b/>
      <sz val="7"/>
      <color theme="1"/>
      <name val="Arial Narrow"/>
      <family val="2"/>
    </font>
    <font>
      <sz val="8"/>
      <color theme="6" tint="-0.499984740745262"/>
      <name val="Arial Narrow"/>
      <family val="2"/>
    </font>
    <font>
      <sz val="11"/>
      <name val="Arial"/>
      <family val="2"/>
    </font>
    <font>
      <sz val="11"/>
      <color theme="3"/>
      <name val="Arial Narrow"/>
      <family val="2"/>
    </font>
    <font>
      <b/>
      <vertAlign val="superscript"/>
      <sz val="11"/>
      <name val="Arial Narrow"/>
      <family val="2"/>
    </font>
    <font>
      <b/>
      <sz val="11"/>
      <color theme="0" tint="-0.499984740745262"/>
      <name val="Arial Narrow"/>
      <family val="2"/>
    </font>
    <font>
      <b/>
      <vertAlign val="superscript"/>
      <sz val="11"/>
      <color theme="0" tint="-0.499984740745262"/>
      <name val="Arial Narrow"/>
      <family val="2"/>
    </font>
    <font>
      <sz val="8"/>
      <color theme="1"/>
      <name val="Calibri"/>
      <family val="2"/>
      <scheme val="minor"/>
    </font>
    <font>
      <b/>
      <sz val="11"/>
      <color rgb="FFFF0000"/>
      <name val="Arial Narrow"/>
      <family val="2"/>
    </font>
    <font>
      <b/>
      <sz val="11"/>
      <color indexed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ck">
        <color rgb="FF3B4A1E"/>
      </right>
      <top/>
      <bottom/>
      <diagonal/>
    </border>
    <border>
      <left/>
      <right style="thick">
        <color theme="9" tint="-0.499984740745262"/>
      </right>
      <top/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/>
      <right style="thick">
        <color rgb="FF3B4A1E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rgb="FF3B4A1E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 style="thin">
        <color rgb="FF3B4A1E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3B4A1E"/>
      </right>
      <top style="thin">
        <color theme="9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 style="thick">
        <color rgb="FF3B4A1E"/>
      </left>
      <right/>
      <top/>
      <bottom style="thin">
        <color theme="9" tint="-0.499984740745262"/>
      </bottom>
      <diagonal/>
    </border>
    <border>
      <left style="thick">
        <color rgb="FF3B4A1E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/>
      <top/>
      <bottom style="thin">
        <color theme="9" tint="-0.499984740745262"/>
      </bottom>
      <diagonal/>
    </border>
  </borders>
  <cellStyleXfs count="35">
    <xf numFmtId="0" fontId="0" fillId="0" borderId="0"/>
    <xf numFmtId="0" fontId="3" fillId="0" borderId="0"/>
    <xf numFmtId="0" fontId="5" fillId="0" borderId="0"/>
    <xf numFmtId="0" fontId="7" fillId="0" borderId="0"/>
    <xf numFmtId="0" fontId="3" fillId="0" borderId="0"/>
    <xf numFmtId="0" fontId="2" fillId="0" borderId="0"/>
    <xf numFmtId="0" fontId="5" fillId="0" borderId="0"/>
    <xf numFmtId="0" fontId="10" fillId="0" borderId="0"/>
    <xf numFmtId="0" fontId="10" fillId="0" borderId="0"/>
    <xf numFmtId="0" fontId="3" fillId="0" borderId="0"/>
    <xf numFmtId="0" fontId="11" fillId="0" borderId="0">
      <alignment vertical="center"/>
    </xf>
    <xf numFmtId="168" fontId="2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13" fillId="0" borderId="0"/>
    <xf numFmtId="174" fontId="15" fillId="0" borderId="0"/>
    <xf numFmtId="168" fontId="5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</cellStyleXfs>
  <cellXfs count="70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13" applyFont="1" applyAlignment="1">
      <alignment horizontal="left" vertical="center"/>
    </xf>
    <xf numFmtId="0" fontId="5" fillId="0" borderId="0" xfId="13" applyFont="1" applyAlignment="1">
      <alignment vertical="center"/>
    </xf>
    <xf numFmtId="0" fontId="6" fillId="0" borderId="0" xfId="13" applyFont="1" applyAlignment="1">
      <alignment horizontal="right" vertical="center"/>
    </xf>
    <xf numFmtId="0" fontId="5" fillId="0" borderId="0" xfId="13" applyFont="1" applyAlignment="1">
      <alignment horizontal="right" vertical="center"/>
    </xf>
    <xf numFmtId="0" fontId="5" fillId="0" borderId="0" xfId="10" applyFont="1">
      <alignment vertical="center"/>
    </xf>
    <xf numFmtId="4" fontId="5" fillId="0" borderId="0" xfId="10" applyNumberFormat="1" applyFont="1">
      <alignment vertical="center"/>
    </xf>
    <xf numFmtId="2" fontId="5" fillId="0" borderId="0" xfId="10" applyNumberFormat="1" applyFont="1" applyAlignment="1">
      <alignment horizontal="right" vertical="center"/>
    </xf>
    <xf numFmtId="0" fontId="5" fillId="0" borderId="0" xfId="10" applyFont="1" applyAlignment="1">
      <alignment horizontal="left" vertical="center"/>
    </xf>
    <xf numFmtId="172" fontId="5" fillId="0" borderId="0" xfId="10" applyNumberFormat="1" applyFont="1" applyAlignment="1">
      <alignment horizontal="right" vertical="center"/>
    </xf>
    <xf numFmtId="172" fontId="5" fillId="0" borderId="0" xfId="10" applyNumberFormat="1" applyFont="1" applyAlignment="1">
      <alignment horizontal="left" vertical="center"/>
    </xf>
    <xf numFmtId="0" fontId="6" fillId="0" borderId="0" xfId="13" applyFont="1" applyAlignment="1">
      <alignment horizontal="left" vertical="center"/>
    </xf>
    <xf numFmtId="3" fontId="5" fillId="0" borderId="0" xfId="10" applyNumberFormat="1" applyFont="1" applyAlignment="1">
      <alignment horizontal="center" vertical="center"/>
    </xf>
    <xf numFmtId="0" fontId="9" fillId="0" borderId="0" xfId="0" applyFont="1" applyAlignment="1">
      <alignment horizontal="right"/>
    </xf>
    <xf numFmtId="0" fontId="6" fillId="0" borderId="0" xfId="18" applyFont="1" applyAlignment="1">
      <alignment vertical="center"/>
    </xf>
    <xf numFmtId="0" fontId="9" fillId="0" borderId="0" xfId="0" applyFont="1"/>
    <xf numFmtId="49" fontId="6" fillId="0" borderId="0" xfId="18" applyNumberFormat="1" applyFont="1" applyAlignment="1">
      <alignment horizontal="left"/>
    </xf>
    <xf numFmtId="0" fontId="5" fillId="0" borderId="0" xfId="19" applyFont="1" applyAlignment="1">
      <alignment vertical="center"/>
    </xf>
    <xf numFmtId="0" fontId="17" fillId="0" borderId="0" xfId="0" applyFont="1"/>
    <xf numFmtId="0" fontId="17" fillId="3" borderId="0" xfId="0" applyFont="1" applyFill="1"/>
    <xf numFmtId="0" fontId="5" fillId="3" borderId="0" xfId="4" applyFont="1" applyFill="1" applyAlignment="1">
      <alignment horizontal="right"/>
    </xf>
    <xf numFmtId="0" fontId="5" fillId="0" borderId="0" xfId="22" applyFont="1"/>
    <xf numFmtId="0" fontId="5" fillId="0" borderId="0" xfId="23" applyFont="1" applyAlignment="1">
      <alignment vertical="center"/>
    </xf>
    <xf numFmtId="3" fontId="5" fillId="0" borderId="0" xfId="23" applyNumberFormat="1" applyFont="1" applyAlignment="1">
      <alignment horizontal="right" vertical="center"/>
    </xf>
    <xf numFmtId="179" fontId="6" fillId="0" borderId="0" xfId="23" quotePrefix="1" applyNumberFormat="1" applyFont="1" applyAlignment="1">
      <alignment horizontal="right" vertical="center"/>
    </xf>
    <xf numFmtId="182" fontId="6" fillId="0" borderId="0" xfId="23" quotePrefix="1" applyNumberFormat="1" applyFont="1" applyAlignment="1">
      <alignment horizontal="right" vertical="center"/>
    </xf>
    <xf numFmtId="179" fontId="5" fillId="0" borderId="0" xfId="23" applyNumberFormat="1" applyFont="1" applyAlignment="1">
      <alignment horizontal="right" vertical="center"/>
    </xf>
    <xf numFmtId="0" fontId="5" fillId="0" borderId="0" xfId="23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18" applyFont="1" applyAlignment="1">
      <alignment vertical="center"/>
    </xf>
    <xf numFmtId="0" fontId="5" fillId="0" borderId="0" xfId="18" applyFont="1"/>
    <xf numFmtId="0" fontId="5" fillId="0" borderId="0" xfId="18" applyFont="1" applyAlignment="1">
      <alignment horizontal="right" vertical="center"/>
    </xf>
    <xf numFmtId="10" fontId="5" fillId="0" borderId="0" xfId="10" applyNumberFormat="1" applyFont="1" applyAlignment="1">
      <alignment horizontal="right" vertical="center"/>
    </xf>
    <xf numFmtId="0" fontId="6" fillId="0" borderId="0" xfId="18" applyFont="1" applyAlignment="1">
      <alignment horizontal="left" vertical="top"/>
    </xf>
    <xf numFmtId="0" fontId="5" fillId="0" borderId="0" xfId="10" applyFont="1" applyAlignment="1">
      <alignment horizontal="center" vertical="center"/>
    </xf>
    <xf numFmtId="0" fontId="5" fillId="0" borderId="0" xfId="25"/>
    <xf numFmtId="0" fontId="5" fillId="0" borderId="0" xfId="25" applyAlignment="1">
      <alignment horizontal="right"/>
    </xf>
    <xf numFmtId="0" fontId="20" fillId="3" borderId="0" xfId="0" applyFont="1" applyFill="1"/>
    <xf numFmtId="0" fontId="17" fillId="0" borderId="0" xfId="0" applyFont="1" applyAlignment="1">
      <alignment horizontal="right"/>
    </xf>
    <xf numFmtId="0" fontId="5" fillId="0" borderId="0" xfId="2"/>
    <xf numFmtId="0" fontId="5" fillId="0" borderId="0" xfId="15" applyFont="1"/>
    <xf numFmtId="0" fontId="20" fillId="0" borderId="0" xfId="0" applyFont="1"/>
    <xf numFmtId="10" fontId="20" fillId="0" borderId="0" xfId="10" applyNumberFormat="1" applyFont="1">
      <alignment vertical="center"/>
    </xf>
    <xf numFmtId="3" fontId="19" fillId="0" borderId="0" xfId="2" applyNumberFormat="1" applyFont="1" applyAlignment="1">
      <alignment horizontal="center"/>
    </xf>
    <xf numFmtId="0" fontId="20" fillId="0" borderId="0" xfId="10" applyFont="1">
      <alignment vertical="center"/>
    </xf>
    <xf numFmtId="0" fontId="19" fillId="0" borderId="0" xfId="10" applyFont="1">
      <alignment vertical="center"/>
    </xf>
    <xf numFmtId="0" fontId="20" fillId="3" borderId="0" xfId="10" applyFont="1" applyFill="1">
      <alignment vertical="center"/>
    </xf>
    <xf numFmtId="10" fontId="20" fillId="0" borderId="0" xfId="10" applyNumberFormat="1" applyFont="1" applyAlignment="1">
      <alignment horizontal="right" vertical="center"/>
    </xf>
    <xf numFmtId="0" fontId="20" fillId="0" borderId="0" xfId="23" applyFont="1" applyAlignment="1">
      <alignment vertical="center"/>
    </xf>
    <xf numFmtId="0" fontId="20" fillId="0" borderId="0" xfId="2" applyFont="1" applyAlignment="1">
      <alignment vertical="center"/>
    </xf>
    <xf numFmtId="0" fontId="19" fillId="0" borderId="0" xfId="23" applyFont="1" applyAlignment="1">
      <alignment horizontal="right" vertical="center"/>
    </xf>
    <xf numFmtId="0" fontId="19" fillId="3" borderId="0" xfId="23" applyFont="1" applyFill="1" applyAlignment="1">
      <alignment horizontal="right" vertical="center"/>
    </xf>
    <xf numFmtId="178" fontId="19" fillId="0" borderId="0" xfId="23" applyNumberFormat="1" applyFont="1" applyAlignment="1">
      <alignment vertical="center"/>
    </xf>
    <xf numFmtId="0" fontId="19" fillId="0" borderId="0" xfId="23" applyFont="1" applyAlignment="1">
      <alignment vertical="center"/>
    </xf>
    <xf numFmtId="1" fontId="22" fillId="0" borderId="0" xfId="23" applyNumberFormat="1" applyFont="1" applyAlignment="1">
      <alignment horizontal="right" vertical="center"/>
    </xf>
    <xf numFmtId="0" fontId="17" fillId="3" borderId="0" xfId="3" applyFont="1" applyFill="1"/>
    <xf numFmtId="179" fontId="20" fillId="0" borderId="0" xfId="23" applyNumberFormat="1" applyFont="1" applyAlignment="1">
      <alignment vertical="center"/>
    </xf>
    <xf numFmtId="179" fontId="20" fillId="0" borderId="0" xfId="23" applyNumberFormat="1" applyFont="1" applyAlignment="1">
      <alignment horizontal="right" vertical="center"/>
    </xf>
    <xf numFmtId="0" fontId="20" fillId="0" borderId="0" xfId="23" applyFont="1" applyAlignment="1">
      <alignment horizontal="right" vertical="center"/>
    </xf>
    <xf numFmtId="2" fontId="20" fillId="0" borderId="0" xfId="23" applyNumberFormat="1" applyFont="1" applyAlignment="1">
      <alignment horizontal="right" vertical="center"/>
    </xf>
    <xf numFmtId="0" fontId="20" fillId="0" borderId="0" xfId="25" applyFont="1"/>
    <xf numFmtId="0" fontId="20" fillId="0" borderId="0" xfId="25" applyFont="1" applyAlignment="1">
      <alignment horizontal="right"/>
    </xf>
    <xf numFmtId="0" fontId="20" fillId="0" borderId="0" xfId="22" applyFont="1" applyAlignment="1">
      <alignment vertical="center"/>
    </xf>
    <xf numFmtId="3" fontId="19" fillId="0" borderId="0" xfId="22" applyNumberFormat="1" applyFont="1" applyAlignment="1">
      <alignment horizontal="center" vertical="center" wrapText="1"/>
    </xf>
    <xf numFmtId="0" fontId="20" fillId="0" borderId="0" xfId="24" applyFont="1" applyAlignment="1">
      <alignment vertical="center"/>
    </xf>
    <xf numFmtId="0" fontId="20" fillId="0" borderId="0" xfId="10" applyFont="1" applyAlignment="1">
      <alignment horizontal="left" vertical="center"/>
    </xf>
    <xf numFmtId="0" fontId="19" fillId="0" borderId="0" xfId="10" applyFont="1" applyAlignment="1">
      <alignment horizontal="right" vertical="center" wrapText="1"/>
    </xf>
    <xf numFmtId="2" fontId="20" fillId="0" borderId="0" xfId="10" applyNumberFormat="1" applyFont="1" applyAlignment="1">
      <alignment horizontal="right" vertical="center"/>
    </xf>
    <xf numFmtId="0" fontId="21" fillId="3" borderId="0" xfId="0" applyFont="1" applyFill="1"/>
    <xf numFmtId="0" fontId="20" fillId="0" borderId="0" xfId="0" applyFont="1" applyAlignment="1">
      <alignment horizontal="right"/>
    </xf>
    <xf numFmtId="0" fontId="20" fillId="0" borderId="0" xfId="2" applyFont="1"/>
    <xf numFmtId="0" fontId="20" fillId="0" borderId="0" xfId="19" applyFont="1" applyAlignment="1">
      <alignment vertical="center"/>
    </xf>
    <xf numFmtId="3" fontId="20" fillId="0" borderId="0" xfId="19" applyNumberFormat="1" applyFont="1" applyAlignment="1">
      <alignment vertical="center"/>
    </xf>
    <xf numFmtId="0" fontId="19" fillId="0" borderId="0" xfId="19" applyFont="1" applyAlignment="1">
      <alignment vertical="center"/>
    </xf>
    <xf numFmtId="0" fontId="19" fillId="3" borderId="0" xfId="19" applyFont="1" applyFill="1" applyAlignment="1">
      <alignment vertical="center"/>
    </xf>
    <xf numFmtId="0" fontId="20" fillId="0" borderId="0" xfId="2" applyFont="1" applyAlignment="1">
      <alignment horizontal="left" vertical="center" wrapText="1"/>
    </xf>
    <xf numFmtId="3" fontId="17" fillId="0" borderId="0" xfId="17" applyNumberFormat="1" applyFont="1" applyFill="1" applyBorder="1" applyAlignment="1">
      <alignment horizontal="right"/>
    </xf>
    <xf numFmtId="0" fontId="20" fillId="0" borderId="0" xfId="0" applyFont="1" applyAlignment="1">
      <alignment horizontal="left" indent="1"/>
    </xf>
    <xf numFmtId="49" fontId="20" fillId="0" borderId="0" xfId="26" applyNumberFormat="1" applyFont="1" applyAlignment="1">
      <alignment horizontal="center"/>
    </xf>
    <xf numFmtId="0" fontId="20" fillId="0" borderId="0" xfId="9" applyFont="1" applyProtection="1">
      <protection locked="0"/>
    </xf>
    <xf numFmtId="0" fontId="20" fillId="0" borderId="0" xfId="0" applyFont="1" applyAlignment="1">
      <alignment horizontal="left"/>
    </xf>
    <xf numFmtId="10" fontId="19" fillId="0" borderId="0" xfId="10" applyNumberFormat="1" applyFont="1">
      <alignment vertical="center"/>
    </xf>
    <xf numFmtId="0" fontId="20" fillId="0" borderId="0" xfId="10" applyFont="1" applyAlignment="1">
      <alignment horizontal="right" vertical="center"/>
    </xf>
    <xf numFmtId="0" fontId="20" fillId="0" borderId="0" xfId="10" applyFont="1" applyAlignment="1">
      <alignment horizontal="center" vertical="center"/>
    </xf>
    <xf numFmtId="2" fontId="20" fillId="0" borderId="0" xfId="10" applyNumberFormat="1" applyFont="1" applyAlignment="1">
      <alignment horizontal="center" vertical="center"/>
    </xf>
    <xf numFmtId="3" fontId="19" fillId="0" borderId="0" xfId="10" applyNumberFormat="1" applyFont="1" applyAlignment="1">
      <alignment horizontal="center" vertical="center"/>
    </xf>
    <xf numFmtId="167" fontId="20" fillId="0" borderId="0" xfId="10" applyNumberFormat="1" applyFont="1">
      <alignment vertical="center"/>
    </xf>
    <xf numFmtId="0" fontId="19" fillId="0" borderId="0" xfId="13" applyFont="1" applyAlignment="1">
      <alignment horizontal="left" vertical="center"/>
    </xf>
    <xf numFmtId="172" fontId="20" fillId="0" borderId="0" xfId="10" applyNumberFormat="1" applyFont="1" applyAlignment="1">
      <alignment horizontal="right" vertical="center"/>
    </xf>
    <xf numFmtId="172" fontId="20" fillId="0" borderId="0" xfId="10" applyNumberFormat="1" applyFont="1" applyAlignment="1">
      <alignment horizontal="center" vertical="center"/>
    </xf>
    <xf numFmtId="173" fontId="20" fillId="0" borderId="0" xfId="10" applyNumberFormat="1" applyFont="1" applyAlignment="1">
      <alignment horizontal="center" vertical="center"/>
    </xf>
    <xf numFmtId="0" fontId="19" fillId="0" borderId="0" xfId="13" applyFont="1" applyAlignment="1">
      <alignment horizontal="right" vertical="center"/>
    </xf>
    <xf numFmtId="0" fontId="19" fillId="0" borderId="0" xfId="13" applyFont="1" applyAlignment="1">
      <alignment vertical="center"/>
    </xf>
    <xf numFmtId="0" fontId="19" fillId="0" borderId="0" xfId="13" applyFont="1" applyAlignment="1">
      <alignment horizontal="center" vertical="center"/>
    </xf>
    <xf numFmtId="2" fontId="19" fillId="0" borderId="0" xfId="13" applyNumberFormat="1" applyFont="1" applyAlignment="1">
      <alignment horizontal="center" vertical="center"/>
    </xf>
    <xf numFmtId="2" fontId="20" fillId="0" borderId="0" xfId="13" applyNumberFormat="1" applyFont="1" applyAlignment="1">
      <alignment horizontal="center" vertical="center"/>
    </xf>
    <xf numFmtId="0" fontId="20" fillId="0" borderId="0" xfId="13" applyFont="1" applyAlignment="1">
      <alignment vertical="center"/>
    </xf>
    <xf numFmtId="10" fontId="23" fillId="0" borderId="0" xfId="10" applyNumberFormat="1" applyFont="1" applyAlignment="1">
      <alignment horizontal="right" vertical="center"/>
    </xf>
    <xf numFmtId="3" fontId="20" fillId="0" borderId="0" xfId="10" applyNumberFormat="1" applyFont="1" applyAlignment="1">
      <alignment horizontal="center" vertical="center"/>
    </xf>
    <xf numFmtId="175" fontId="20" fillId="0" borderId="0" xfId="10" applyNumberFormat="1" applyFont="1" applyAlignment="1">
      <alignment horizontal="center" vertical="center"/>
    </xf>
    <xf numFmtId="4" fontId="20" fillId="0" borderId="0" xfId="10" applyNumberFormat="1" applyFont="1">
      <alignment vertical="center"/>
    </xf>
    <xf numFmtId="3" fontId="20" fillId="0" borderId="0" xfId="10" applyNumberFormat="1" applyFont="1">
      <alignment vertical="center"/>
    </xf>
    <xf numFmtId="172" fontId="20" fillId="0" borderId="0" xfId="10" applyNumberFormat="1" applyFont="1">
      <alignment vertical="center"/>
    </xf>
    <xf numFmtId="10" fontId="20" fillId="0" borderId="0" xfId="10" applyNumberFormat="1" applyFont="1" applyAlignment="1">
      <alignment horizontal="left" vertical="center"/>
    </xf>
    <xf numFmtId="0" fontId="20" fillId="0" borderId="0" xfId="14" applyFont="1" applyAlignment="1">
      <alignment vertical="center"/>
    </xf>
    <xf numFmtId="0" fontId="20" fillId="0" borderId="0" xfId="14" applyFont="1" applyAlignment="1">
      <alignment horizontal="right" vertical="center"/>
    </xf>
    <xf numFmtId="0" fontId="19" fillId="3" borderId="0" xfId="10" applyFont="1" applyFill="1" applyAlignment="1">
      <alignment horizontal="center" vertical="center" wrapText="1"/>
    </xf>
    <xf numFmtId="0" fontId="24" fillId="0" borderId="0" xfId="0" applyFont="1"/>
    <xf numFmtId="169" fontId="24" fillId="0" borderId="0" xfId="0" applyNumberFormat="1" applyFont="1"/>
    <xf numFmtId="0" fontId="20" fillId="3" borderId="0" xfId="11" applyNumberFormat="1" applyFont="1" applyFill="1"/>
    <xf numFmtId="1" fontId="20" fillId="3" borderId="0" xfId="11" applyNumberFormat="1" applyFont="1" applyFill="1"/>
    <xf numFmtId="1" fontId="20" fillId="0" borderId="0" xfId="0" applyNumberFormat="1" applyFont="1" applyAlignment="1">
      <alignment horizontal="right"/>
    </xf>
    <xf numFmtId="169" fontId="24" fillId="0" borderId="0" xfId="0" applyNumberFormat="1" applyFont="1" applyAlignment="1">
      <alignment horizontal="right"/>
    </xf>
    <xf numFmtId="1" fontId="19" fillId="0" borderId="0" xfId="0" applyNumberFormat="1" applyFont="1"/>
    <xf numFmtId="0" fontId="19" fillId="0" borderId="0" xfId="0" applyFont="1"/>
    <xf numFmtId="1" fontId="20" fillId="0" borderId="0" xfId="8" applyNumberFormat="1" applyFont="1"/>
    <xf numFmtId="169" fontId="20" fillId="0" borderId="0" xfId="0" applyNumberFormat="1" applyFont="1" applyAlignment="1">
      <alignment horizontal="right"/>
    </xf>
    <xf numFmtId="1" fontId="20" fillId="0" borderId="0" xfId="0" applyNumberFormat="1" applyFont="1"/>
    <xf numFmtId="0" fontId="20" fillId="0" borderId="0" xfId="7" applyFont="1"/>
    <xf numFmtId="0" fontId="20" fillId="3" borderId="0" xfId="7" applyFont="1" applyFill="1"/>
    <xf numFmtId="0" fontId="20" fillId="0" borderId="0" xfId="7" applyFont="1" applyAlignment="1">
      <alignment vertical="center"/>
    </xf>
    <xf numFmtId="0" fontId="24" fillId="0" borderId="0" xfId="7" applyFont="1"/>
    <xf numFmtId="0" fontId="17" fillId="3" borderId="0" xfId="7" applyFont="1" applyFill="1"/>
    <xf numFmtId="0" fontId="24" fillId="3" borderId="0" xfId="7" applyFont="1" applyFill="1"/>
    <xf numFmtId="0" fontId="20" fillId="3" borderId="0" xfId="3" applyFont="1" applyFill="1"/>
    <xf numFmtId="0" fontId="5" fillId="0" borderId="0" xfId="0" applyFont="1" applyAlignment="1">
      <alignment horizontal="left" vertical="center"/>
    </xf>
    <xf numFmtId="0" fontId="21" fillId="3" borderId="0" xfId="3" applyFont="1" applyFill="1"/>
    <xf numFmtId="167" fontId="5" fillId="3" borderId="0" xfId="2" applyNumberFormat="1" applyFill="1" applyAlignment="1">
      <alignment horizontal="left" vertical="center" indent="1"/>
    </xf>
    <xf numFmtId="4" fontId="6" fillId="3" borderId="0" xfId="5" applyNumberFormat="1" applyFont="1" applyFill="1" applyAlignment="1">
      <alignment horizontal="right"/>
    </xf>
    <xf numFmtId="2" fontId="5" fillId="3" borderId="0" xfId="5" applyNumberFormat="1" applyFont="1" applyFill="1" applyAlignment="1">
      <alignment horizontal="right"/>
    </xf>
    <xf numFmtId="4" fontId="5" fillId="3" borderId="0" xfId="5" applyNumberFormat="1" applyFont="1" applyFill="1" applyAlignment="1">
      <alignment horizontal="right"/>
    </xf>
    <xf numFmtId="4" fontId="6" fillId="3" borderId="0" xfId="4" applyNumberFormat="1" applyFont="1" applyFill="1" applyAlignment="1">
      <alignment horizontal="right" wrapText="1"/>
    </xf>
    <xf numFmtId="4" fontId="6" fillId="3" borderId="0" xfId="5" applyNumberFormat="1" applyFont="1" applyFill="1" applyAlignment="1">
      <alignment horizontal="right" vertical="center"/>
    </xf>
    <xf numFmtId="2" fontId="5" fillId="3" borderId="0" xfId="5" applyNumberFormat="1" applyFont="1" applyFill="1" applyAlignment="1">
      <alignment horizontal="right" vertical="center"/>
    </xf>
    <xf numFmtId="4" fontId="5" fillId="3" borderId="0" xfId="5" applyNumberFormat="1" applyFont="1" applyFill="1" applyAlignment="1">
      <alignment horizontal="right" vertical="center"/>
    </xf>
    <xf numFmtId="4" fontId="6" fillId="3" borderId="0" xfId="4" applyNumberFormat="1" applyFont="1" applyFill="1" applyAlignment="1">
      <alignment horizontal="right" vertical="center" wrapText="1"/>
    </xf>
    <xf numFmtId="0" fontId="8" fillId="3" borderId="0" xfId="5" applyFont="1" applyFill="1"/>
    <xf numFmtId="0" fontId="6" fillId="0" borderId="0" xfId="0" applyFont="1" applyAlignment="1">
      <alignment vertical="center"/>
    </xf>
    <xf numFmtId="0" fontId="5" fillId="0" borderId="0" xfId="7" applyFont="1" applyAlignment="1">
      <alignment horizontal="left" vertical="center"/>
    </xf>
    <xf numFmtId="0" fontId="12" fillId="0" borderId="0" xfId="7" applyFont="1" applyAlignment="1">
      <alignment horizontal="left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6" fillId="0" borderId="0" xfId="13" applyFont="1" applyAlignment="1">
      <alignment horizontal="left" vertical="top"/>
    </xf>
    <xf numFmtId="172" fontId="6" fillId="0" borderId="0" xfId="10" applyNumberFormat="1" applyFont="1" applyAlignment="1">
      <alignment horizontal="right" vertical="center"/>
    </xf>
    <xf numFmtId="0" fontId="6" fillId="0" borderId="0" xfId="18" applyFont="1" applyAlignment="1">
      <alignment horizontal="left" vertical="center"/>
    </xf>
    <xf numFmtId="0" fontId="5" fillId="0" borderId="0" xfId="18" applyFont="1" applyAlignment="1">
      <alignment horizontal="left" vertical="center"/>
    </xf>
    <xf numFmtId="0" fontId="18" fillId="0" borderId="0" xfId="18" applyFont="1" applyAlignment="1">
      <alignment horizontal="left" vertical="center"/>
    </xf>
    <xf numFmtId="10" fontId="5" fillId="0" borderId="0" xfId="10" applyNumberFormat="1" applyFont="1" applyAlignment="1">
      <alignment horizontal="left" vertical="center"/>
    </xf>
    <xf numFmtId="10" fontId="18" fillId="0" borderId="0" xfId="10" applyNumberFormat="1" applyFont="1" applyAlignment="1">
      <alignment horizontal="left" vertical="center"/>
    </xf>
    <xf numFmtId="172" fontId="6" fillId="0" borderId="0" xfId="10" applyNumberFormat="1" applyFont="1" applyAlignment="1">
      <alignment horizontal="center" vertical="center"/>
    </xf>
    <xf numFmtId="2" fontId="6" fillId="0" borderId="0" xfId="10" applyNumberFormat="1" applyFont="1" applyAlignment="1">
      <alignment horizontal="center" vertical="center"/>
    </xf>
    <xf numFmtId="0" fontId="12" fillId="3" borderId="0" xfId="0" applyFont="1" applyFill="1" applyAlignment="1">
      <alignment vertical="center"/>
    </xf>
    <xf numFmtId="49" fontId="6" fillId="0" borderId="0" xfId="18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20" applyFont="1" applyAlignment="1">
      <alignment horizontal="left" vertical="center"/>
    </xf>
    <xf numFmtId="0" fontId="5" fillId="0" borderId="0" xfId="2" applyAlignment="1">
      <alignment vertical="center"/>
    </xf>
    <xf numFmtId="4" fontId="5" fillId="3" borderId="0" xfId="4" applyNumberFormat="1" applyFont="1" applyFill="1" applyAlignment="1">
      <alignment horizontal="right" vertical="center" wrapText="1"/>
    </xf>
    <xf numFmtId="3" fontId="6" fillId="3" borderId="0" xfId="4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/>
    </xf>
    <xf numFmtId="0" fontId="5" fillId="3" borderId="0" xfId="0" applyFont="1" applyFill="1"/>
    <xf numFmtId="3" fontId="5" fillId="3" borderId="0" xfId="21" applyNumberFormat="1" applyFont="1" applyFill="1" applyAlignment="1">
      <alignment horizontal="right"/>
    </xf>
    <xf numFmtId="3" fontId="5" fillId="3" borderId="0" xfId="4" applyNumberFormat="1" applyFont="1" applyFill="1" applyAlignment="1">
      <alignment horizontal="right"/>
    </xf>
    <xf numFmtId="0" fontId="6" fillId="3" borderId="0" xfId="2" applyFont="1" applyFill="1" applyAlignment="1">
      <alignment vertical="center"/>
    </xf>
    <xf numFmtId="0" fontId="5" fillId="3" borderId="0" xfId="0" applyFont="1" applyFill="1" applyAlignment="1">
      <alignment horizontal="right"/>
    </xf>
    <xf numFmtId="0" fontId="25" fillId="3" borderId="0" xfId="19" applyFont="1" applyFill="1" applyAlignment="1">
      <alignment horizontal="left" vertical="center"/>
    </xf>
    <xf numFmtId="0" fontId="5" fillId="3" borderId="0" xfId="5" applyFont="1" applyFill="1" applyAlignment="1">
      <alignment horizontal="right"/>
    </xf>
    <xf numFmtId="0" fontId="6" fillId="0" borderId="0" xfId="22" applyFont="1" applyAlignment="1">
      <alignment horizontal="left"/>
    </xf>
    <xf numFmtId="0" fontId="5" fillId="0" borderId="0" xfId="24" applyFont="1"/>
    <xf numFmtId="3" fontId="5" fillId="0" borderId="0" xfId="24" applyNumberFormat="1" applyFont="1"/>
    <xf numFmtId="0" fontId="6" fillId="0" borderId="0" xfId="22" applyFont="1"/>
    <xf numFmtId="1" fontId="27" fillId="0" borderId="0" xfId="23" applyNumberFormat="1" applyFont="1" applyAlignment="1">
      <alignment horizontal="right" vertical="center"/>
    </xf>
    <xf numFmtId="0" fontId="6" fillId="0" borderId="0" xfId="23" quotePrefix="1" applyFont="1" applyAlignment="1">
      <alignment horizontal="right" vertical="center"/>
    </xf>
    <xf numFmtId="179" fontId="5" fillId="0" borderId="0" xfId="23" applyNumberFormat="1" applyFont="1" applyAlignment="1">
      <alignment vertical="center"/>
    </xf>
    <xf numFmtId="0" fontId="25" fillId="0" borderId="0" xfId="19" applyFont="1"/>
    <xf numFmtId="0" fontId="19" fillId="0" borderId="0" xfId="0" applyFont="1" applyAlignment="1">
      <alignment horizontal="right" vertical="center"/>
    </xf>
    <xf numFmtId="0" fontId="5" fillId="3" borderId="0" xfId="3" applyFont="1" applyFill="1"/>
    <xf numFmtId="0" fontId="5" fillId="3" borderId="0" xfId="3" applyFont="1" applyFill="1" applyAlignment="1">
      <alignment horizontal="center"/>
    </xf>
    <xf numFmtId="0" fontId="5" fillId="0" borderId="0" xfId="0" applyFont="1" applyAlignment="1">
      <alignment horizontal="left"/>
    </xf>
    <xf numFmtId="164" fontId="6" fillId="0" borderId="0" xfId="7" applyNumberFormat="1" applyFont="1"/>
    <xf numFmtId="164" fontId="6" fillId="0" borderId="0" xfId="8" applyNumberFormat="1" applyFont="1" applyAlignment="1">
      <alignment horizontal="right"/>
    </xf>
    <xf numFmtId="170" fontId="5" fillId="0" borderId="0" xfId="13" applyNumberFormat="1" applyFont="1" applyAlignment="1">
      <alignment horizontal="right" vertical="center"/>
    </xf>
    <xf numFmtId="10" fontId="5" fillId="0" borderId="0" xfId="10" applyNumberFormat="1" applyFont="1">
      <alignment vertical="center"/>
    </xf>
    <xf numFmtId="0" fontId="5" fillId="0" borderId="0" xfId="10" applyFont="1" applyAlignment="1">
      <alignment horizontal="right" vertical="center"/>
    </xf>
    <xf numFmtId="3" fontId="5" fillId="3" borderId="0" xfId="10" applyNumberFormat="1" applyFont="1" applyFill="1" applyAlignment="1">
      <alignment horizontal="right" vertical="center"/>
    </xf>
    <xf numFmtId="0" fontId="5" fillId="0" borderId="0" xfId="10" applyFont="1" applyAlignment="1">
      <alignment horizontal="left" vertical="center" indent="4"/>
    </xf>
    <xf numFmtId="171" fontId="6" fillId="0" borderId="0" xfId="10" applyNumberFormat="1" applyFont="1" applyAlignment="1">
      <alignment horizontal="right" vertical="center" wrapText="1"/>
    </xf>
    <xf numFmtId="170" fontId="6" fillId="0" borderId="0" xfId="10" applyNumberFormat="1" applyFont="1" applyAlignment="1">
      <alignment horizontal="right" vertical="center" wrapText="1"/>
    </xf>
    <xf numFmtId="0" fontId="6" fillId="0" borderId="0" xfId="0" applyFont="1"/>
    <xf numFmtId="1" fontId="5" fillId="0" borderId="0" xfId="0" applyNumberFormat="1" applyFont="1"/>
    <xf numFmtId="3" fontId="6" fillId="0" borderId="0" xfId="2" applyNumberFormat="1" applyFont="1"/>
    <xf numFmtId="0" fontId="6" fillId="0" borderId="0" xfId="22" applyFont="1" applyAlignment="1">
      <alignment horizontal="right" vertical="center" wrapText="1"/>
    </xf>
    <xf numFmtId="0" fontId="30" fillId="0" borderId="0" xfId="0" applyFont="1" applyAlignment="1">
      <alignment horizontal="right"/>
    </xf>
    <xf numFmtId="0" fontId="30" fillId="0" borderId="0" xfId="0" applyFont="1"/>
    <xf numFmtId="0" fontId="5" fillId="3" borderId="0" xfId="4" applyFont="1" applyFill="1"/>
    <xf numFmtId="175" fontId="5" fillId="3" borderId="0" xfId="4" applyNumberFormat="1" applyFont="1" applyFill="1" applyAlignment="1">
      <alignment horizontal="right"/>
    </xf>
    <xf numFmtId="167" fontId="6" fillId="0" borderId="0" xfId="10" applyNumberFormat="1" applyFont="1" applyAlignment="1">
      <alignment horizontal="right" vertical="center" wrapText="1"/>
    </xf>
    <xf numFmtId="0" fontId="5" fillId="0" borderId="0" xfId="20" applyFont="1" applyAlignment="1">
      <alignment horizontal="left" vertical="center" indent="3"/>
    </xf>
    <xf numFmtId="0" fontId="6" fillId="0" borderId="0" xfId="22" applyFont="1" applyAlignment="1">
      <alignment horizontal="left" vertical="center"/>
    </xf>
    <xf numFmtId="0" fontId="6" fillId="0" borderId="0" xfId="23" quotePrefix="1" applyFont="1" applyAlignment="1">
      <alignment horizontal="centerContinuous" vertical="center"/>
    </xf>
    <xf numFmtId="0" fontId="6" fillId="0" borderId="2" xfId="23" applyFont="1" applyBorder="1" applyAlignment="1">
      <alignment horizontal="center" vertical="center"/>
    </xf>
    <xf numFmtId="173" fontId="6" fillId="0" borderId="0" xfId="10" applyNumberFormat="1" applyFont="1" applyAlignment="1">
      <alignment horizontal="right" vertical="center" wrapText="1"/>
    </xf>
    <xf numFmtId="0" fontId="9" fillId="0" borderId="0" xfId="25" applyFont="1"/>
    <xf numFmtId="164" fontId="20" fillId="0" borderId="0" xfId="7" applyNumberFormat="1" applyFont="1"/>
    <xf numFmtId="171" fontId="19" fillId="0" borderId="0" xfId="10" applyNumberFormat="1" applyFont="1">
      <alignment vertical="center"/>
    </xf>
    <xf numFmtId="0" fontId="3" fillId="0" borderId="0" xfId="33" applyFont="1"/>
    <xf numFmtId="0" fontId="3" fillId="3" borderId="0" xfId="33" applyFont="1" applyFill="1"/>
    <xf numFmtId="173" fontId="3" fillId="0" borderId="0" xfId="33" applyNumberFormat="1" applyFont="1"/>
    <xf numFmtId="0" fontId="35" fillId="0" borderId="0" xfId="1" applyFont="1" applyAlignment="1">
      <alignment horizontal="left" vertical="center" indent="4"/>
    </xf>
    <xf numFmtId="0" fontId="35" fillId="0" borderId="0" xfId="2" applyFont="1"/>
    <xf numFmtId="1" fontId="37" fillId="0" borderId="0" xfId="33" applyNumberFormat="1" applyFont="1"/>
    <xf numFmtId="0" fontId="17" fillId="0" borderId="0" xfId="9" applyFont="1"/>
    <xf numFmtId="167" fontId="19" fillId="3" borderId="0" xfId="23" applyNumberFormat="1" applyFont="1" applyFill="1" applyAlignment="1">
      <alignment horizontal="right" vertical="center"/>
    </xf>
    <xf numFmtId="3" fontId="20" fillId="0" borderId="0" xfId="23" applyNumberFormat="1" applyFont="1" applyAlignment="1">
      <alignment vertical="center"/>
    </xf>
    <xf numFmtId="3" fontId="19" fillId="0" borderId="0" xfId="23" applyNumberFormat="1" applyFont="1" applyAlignment="1">
      <alignment vertical="center"/>
    </xf>
    <xf numFmtId="0" fontId="6" fillId="0" borderId="0" xfId="9" applyFont="1" applyAlignment="1">
      <alignment horizontal="right" vertical="center"/>
    </xf>
    <xf numFmtId="0" fontId="1" fillId="3" borderId="0" xfId="3" applyFont="1" applyFill="1"/>
    <xf numFmtId="0" fontId="5" fillId="3" borderId="0" xfId="10" applyFont="1" applyFill="1">
      <alignment vertical="center"/>
    </xf>
    <xf numFmtId="0" fontId="3" fillId="3" borderId="0" xfId="4" applyFill="1"/>
    <xf numFmtId="3" fontId="40" fillId="5" borderId="0" xfId="10" applyNumberFormat="1" applyFont="1" applyFill="1">
      <alignment vertical="center"/>
    </xf>
    <xf numFmtId="0" fontId="2" fillId="3" borderId="0" xfId="5" applyFill="1"/>
    <xf numFmtId="0" fontId="18" fillId="3" borderId="0" xfId="5" applyFont="1" applyFill="1"/>
    <xf numFmtId="0" fontId="36" fillId="0" borderId="0" xfId="10" applyFont="1">
      <alignment vertical="center"/>
    </xf>
    <xf numFmtId="3" fontId="35" fillId="3" borderId="0" xfId="4" applyNumberFormat="1" applyFont="1" applyFill="1" applyAlignment="1">
      <alignment horizontal="right" vertical="center" wrapText="1"/>
    </xf>
    <xf numFmtId="0" fontId="26" fillId="3" borderId="0" xfId="3" applyFont="1" applyFill="1"/>
    <xf numFmtId="0" fontId="20" fillId="3" borderId="0" xfId="3" applyFont="1" applyFill="1" applyAlignment="1">
      <alignment horizontal="center"/>
    </xf>
    <xf numFmtId="3" fontId="1" fillId="3" borderId="0" xfId="5" applyNumberFormat="1" applyFont="1" applyFill="1"/>
    <xf numFmtId="3" fontId="5" fillId="0" borderId="0" xfId="0" applyNumberFormat="1" applyFont="1" applyAlignment="1">
      <alignment vertical="center"/>
    </xf>
    <xf numFmtId="0" fontId="38" fillId="0" borderId="0" xfId="2" applyFont="1"/>
    <xf numFmtId="0" fontId="5" fillId="0" borderId="0" xfId="2" applyAlignment="1">
      <alignment horizontal="left" indent="2"/>
    </xf>
    <xf numFmtId="3" fontId="5" fillId="0" borderId="0" xfId="2" applyNumberFormat="1"/>
    <xf numFmtId="3" fontId="8" fillId="0" borderId="0" xfId="0" applyNumberFormat="1" applyFont="1" applyAlignment="1">
      <alignment horizontal="right" vertical="center"/>
    </xf>
    <xf numFmtId="0" fontId="39" fillId="0" borderId="13" xfId="2" applyFont="1" applyBorder="1" applyAlignment="1">
      <alignment vertical="center" wrapText="1"/>
    </xf>
    <xf numFmtId="0" fontId="39" fillId="0" borderId="13" xfId="2" applyFont="1" applyBorder="1"/>
    <xf numFmtId="0" fontId="39" fillId="4" borderId="13" xfId="2" applyFont="1" applyFill="1" applyBorder="1"/>
    <xf numFmtId="0" fontId="38" fillId="0" borderId="12" xfId="2" applyFont="1" applyBorder="1"/>
    <xf numFmtId="0" fontId="20" fillId="0" borderId="0" xfId="19" applyFont="1" applyAlignment="1">
      <alignment horizontal="right" vertical="center"/>
    </xf>
    <xf numFmtId="0" fontId="1" fillId="3" borderId="0" xfId="0" applyFont="1" applyFill="1"/>
    <xf numFmtId="0" fontId="6" fillId="3" borderId="0" xfId="4" applyFont="1" applyFill="1" applyAlignment="1">
      <alignment horizontal="center" vertical="center" wrapText="1"/>
    </xf>
    <xf numFmtId="4" fontId="6" fillId="3" borderId="0" xfId="4" applyNumberFormat="1" applyFont="1" applyFill="1" applyAlignment="1">
      <alignment horizontal="right" vertical="center"/>
    </xf>
    <xf numFmtId="185" fontId="5" fillId="0" borderId="0" xfId="15" applyNumberFormat="1" applyFont="1"/>
    <xf numFmtId="0" fontId="40" fillId="0" borderId="0" xfId="26" applyFont="1" applyProtection="1">
      <protection locked="0"/>
    </xf>
    <xf numFmtId="0" fontId="41" fillId="0" borderId="0" xfId="0" applyFont="1" applyAlignment="1">
      <alignment horizontal="right"/>
    </xf>
    <xf numFmtId="0" fontId="41" fillId="0" borderId="0" xfId="0" applyFont="1"/>
    <xf numFmtId="0" fontId="43" fillId="0" borderId="0" xfId="0" applyFont="1"/>
    <xf numFmtId="0" fontId="41" fillId="0" borderId="0" xfId="26" applyFont="1" applyProtection="1">
      <protection locked="0"/>
    </xf>
    <xf numFmtId="0" fontId="41" fillId="0" borderId="0" xfId="26" applyFont="1" applyAlignment="1" applyProtection="1">
      <alignment vertical="center"/>
      <protection locked="0"/>
    </xf>
    <xf numFmtId="0" fontId="41" fillId="0" borderId="0" xfId="0" applyFont="1" applyAlignment="1">
      <alignment horizontal="right" vertical="center"/>
    </xf>
    <xf numFmtId="0" fontId="41" fillId="0" borderId="0" xfId="0" applyFont="1" applyAlignment="1">
      <alignment vertical="center"/>
    </xf>
    <xf numFmtId="0" fontId="44" fillId="0" borderId="0" xfId="22" applyFont="1" applyAlignment="1">
      <alignment horizontal="right" vertical="center" wrapText="1"/>
    </xf>
    <xf numFmtId="0" fontId="46" fillId="0" borderId="0" xfId="0" applyFont="1"/>
    <xf numFmtId="0" fontId="47" fillId="3" borderId="0" xfId="0" applyFont="1" applyFill="1"/>
    <xf numFmtId="0" fontId="42" fillId="3" borderId="0" xfId="0" applyFont="1" applyFill="1"/>
    <xf numFmtId="167" fontId="36" fillId="3" borderId="0" xfId="2" applyNumberFormat="1" applyFont="1" applyFill="1" applyAlignment="1">
      <alignment horizontal="left" vertical="center" indent="1"/>
    </xf>
    <xf numFmtId="4" fontId="35" fillId="3" borderId="0" xfId="4" applyNumberFormat="1" applyFont="1" applyFill="1" applyAlignment="1">
      <alignment horizontal="right" vertical="center" wrapText="1"/>
    </xf>
    <xf numFmtId="4" fontId="36" fillId="3" borderId="0" xfId="4" applyNumberFormat="1" applyFont="1" applyFill="1" applyAlignment="1">
      <alignment horizontal="right" vertical="center" wrapText="1"/>
    </xf>
    <xf numFmtId="0" fontId="0" fillId="3" borderId="0" xfId="0" applyFill="1"/>
    <xf numFmtId="0" fontId="36" fillId="3" borderId="0" xfId="0" applyFont="1" applyFill="1"/>
    <xf numFmtId="0" fontId="5" fillId="0" borderId="0" xfId="34" applyFont="1" applyAlignment="1">
      <alignment vertical="center"/>
    </xf>
    <xf numFmtId="0" fontId="1" fillId="3" borderId="0" xfId="3" applyFont="1" applyFill="1" applyAlignment="1">
      <alignment vertical="center"/>
    </xf>
    <xf numFmtId="49" fontId="19" fillId="3" borderId="1" xfId="1" applyNumberFormat="1" applyFont="1" applyFill="1" applyBorder="1" applyAlignment="1">
      <alignment horizontal="center" vertical="center" wrapText="1"/>
    </xf>
    <xf numFmtId="4" fontId="19" fillId="2" borderId="1" xfId="2" applyNumberFormat="1" applyFont="1" applyFill="1" applyBorder="1" applyAlignment="1">
      <alignment horizontal="left" vertical="center"/>
    </xf>
    <xf numFmtId="4" fontId="20" fillId="0" borderId="1" xfId="2" applyNumberFormat="1" applyFont="1" applyBorder="1" applyAlignment="1">
      <alignment horizontal="left" vertical="center" indent="1"/>
    </xf>
    <xf numFmtId="0" fontId="11" fillId="0" borderId="0" xfId="33" applyFont="1"/>
    <xf numFmtId="0" fontId="5" fillId="0" borderId="0" xfId="1" applyFont="1" applyAlignment="1">
      <alignment horizontal="left" vertical="center"/>
    </xf>
    <xf numFmtId="164" fontId="35" fillId="0" borderId="0" xfId="1" applyNumberFormat="1" applyFont="1" applyAlignment="1">
      <alignment horizontal="center" vertical="center"/>
    </xf>
    <xf numFmtId="49" fontId="19" fillId="2" borderId="9" xfId="1" applyNumberFormat="1" applyFont="1" applyFill="1" applyBorder="1" applyAlignment="1">
      <alignment horizontal="center" vertical="center" wrapText="1"/>
    </xf>
    <xf numFmtId="49" fontId="19" fillId="2" borderId="4" xfId="1" applyNumberFormat="1" applyFont="1" applyFill="1" applyBorder="1" applyAlignment="1">
      <alignment horizontal="center" vertical="center" wrapText="1"/>
    </xf>
    <xf numFmtId="0" fontId="19" fillId="2" borderId="16" xfId="2" applyFont="1" applyFill="1" applyBorder="1" applyAlignment="1">
      <alignment horizontal="right" vertical="center"/>
    </xf>
    <xf numFmtId="0" fontId="19" fillId="2" borderId="4" xfId="2" applyFont="1" applyFill="1" applyBorder="1" applyAlignment="1">
      <alignment horizontal="right" vertical="center"/>
    </xf>
    <xf numFmtId="0" fontId="19" fillId="3" borderId="0" xfId="2" applyFont="1" applyFill="1" applyAlignment="1">
      <alignment horizontal="right" vertical="center"/>
    </xf>
    <xf numFmtId="0" fontId="49" fillId="3" borderId="0" xfId="33" applyFont="1" applyFill="1"/>
    <xf numFmtId="165" fontId="19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 vertical="center"/>
    </xf>
    <xf numFmtId="184" fontId="19" fillId="2" borderId="0" xfId="2" applyNumberFormat="1" applyFont="1" applyFill="1" applyAlignment="1">
      <alignment horizontal="right" vertical="center"/>
    </xf>
    <xf numFmtId="165" fontId="20" fillId="0" borderId="0" xfId="2" applyNumberFormat="1" applyFont="1" applyAlignment="1">
      <alignment horizontal="right" vertical="center"/>
    </xf>
    <xf numFmtId="166" fontId="20" fillId="0" borderId="0" xfId="2" applyNumberFormat="1" applyFont="1" applyAlignment="1">
      <alignment horizontal="right" vertical="center"/>
    </xf>
    <xf numFmtId="0" fontId="49" fillId="0" borderId="0" xfId="33" applyFont="1"/>
    <xf numFmtId="184" fontId="20" fillId="0" borderId="0" xfId="2" applyNumberFormat="1" applyFont="1" applyAlignment="1">
      <alignment horizontal="right" vertical="center"/>
    </xf>
    <xf numFmtId="4" fontId="20" fillId="0" borderId="8" xfId="2" applyNumberFormat="1" applyFont="1" applyBorder="1" applyAlignment="1">
      <alignment horizontal="left" vertical="center" indent="1"/>
    </xf>
    <xf numFmtId="165" fontId="20" fillId="0" borderId="4" xfId="2" applyNumberFormat="1" applyFont="1" applyBorder="1" applyAlignment="1">
      <alignment horizontal="right" vertical="center"/>
    </xf>
    <xf numFmtId="166" fontId="20" fillId="0" borderId="4" xfId="2" applyNumberFormat="1" applyFont="1" applyBorder="1" applyAlignment="1">
      <alignment horizontal="right" vertical="center"/>
    </xf>
    <xf numFmtId="0" fontId="49" fillId="0" borderId="4" xfId="33" applyFont="1" applyBorder="1"/>
    <xf numFmtId="184" fontId="20" fillId="0" borderId="4" xfId="2" applyNumberFormat="1" applyFont="1" applyBorder="1" applyAlignment="1">
      <alignment horizontal="right" vertical="center"/>
    </xf>
    <xf numFmtId="0" fontId="19" fillId="2" borderId="5" xfId="4" applyFont="1" applyFill="1" applyBorder="1" applyAlignment="1">
      <alignment horizontal="center" vertical="center" wrapText="1"/>
    </xf>
    <xf numFmtId="3" fontId="19" fillId="2" borderId="3" xfId="4" applyNumberFormat="1" applyFont="1" applyFill="1" applyBorder="1" applyAlignment="1">
      <alignment horizontal="right" vertical="center" wrapText="1"/>
    </xf>
    <xf numFmtId="0" fontId="19" fillId="3" borderId="2" xfId="4" applyFont="1" applyFill="1" applyBorder="1" applyAlignment="1">
      <alignment horizontal="center" vertical="center" wrapText="1"/>
    </xf>
    <xf numFmtId="3" fontId="19" fillId="3" borderId="0" xfId="4" applyNumberFormat="1" applyFont="1" applyFill="1" applyAlignment="1">
      <alignment horizontal="right" vertical="center" wrapText="1"/>
    </xf>
    <xf numFmtId="0" fontId="19" fillId="2" borderId="2" xfId="4" applyFont="1" applyFill="1" applyBorder="1" applyAlignment="1">
      <alignment horizontal="left" wrapText="1"/>
    </xf>
    <xf numFmtId="167" fontId="19" fillId="3" borderId="2" xfId="4" applyNumberFormat="1" applyFont="1" applyFill="1" applyBorder="1" applyAlignment="1">
      <alignment vertical="center"/>
    </xf>
    <xf numFmtId="4" fontId="19" fillId="3" borderId="0" xfId="5" applyNumberFormat="1" applyFont="1" applyFill="1" applyAlignment="1">
      <alignment horizontal="right"/>
    </xf>
    <xf numFmtId="167" fontId="20" fillId="3" borderId="2" xfId="2" applyNumberFormat="1" applyFont="1" applyFill="1" applyBorder="1" applyAlignment="1">
      <alignment horizontal="left" vertical="center" indent="1"/>
    </xf>
    <xf numFmtId="4" fontId="20" fillId="3" borderId="0" xfId="5" applyNumberFormat="1" applyFont="1" applyFill="1" applyAlignment="1">
      <alignment horizontal="right"/>
    </xf>
    <xf numFmtId="4" fontId="17" fillId="3" borderId="0" xfId="5" applyNumberFormat="1" applyFont="1" applyFill="1" applyAlignment="1">
      <alignment horizontal="right"/>
    </xf>
    <xf numFmtId="167" fontId="20" fillId="3" borderId="2" xfId="5" applyNumberFormat="1" applyFont="1" applyFill="1" applyBorder="1" applyAlignment="1">
      <alignment horizontal="left" vertical="center" indent="1"/>
    </xf>
    <xf numFmtId="167" fontId="20" fillId="3" borderId="6" xfId="2" applyNumberFormat="1" applyFont="1" applyFill="1" applyBorder="1" applyAlignment="1">
      <alignment horizontal="left" vertical="center" indent="1"/>
    </xf>
    <xf numFmtId="4" fontId="19" fillId="3" borderId="4" xfId="5" applyNumberFormat="1" applyFont="1" applyFill="1" applyBorder="1" applyAlignment="1">
      <alignment horizontal="right"/>
    </xf>
    <xf numFmtId="2" fontId="20" fillId="3" borderId="4" xfId="5" applyNumberFormat="1" applyFont="1" applyFill="1" applyBorder="1" applyAlignment="1">
      <alignment horizontal="right"/>
    </xf>
    <xf numFmtId="4" fontId="20" fillId="3" borderId="4" xfId="5" applyNumberFormat="1" applyFont="1" applyFill="1" applyBorder="1" applyAlignment="1">
      <alignment horizontal="right"/>
    </xf>
    <xf numFmtId="4" fontId="17" fillId="3" borderId="4" xfId="5" applyNumberFormat="1" applyFont="1" applyFill="1" applyBorder="1" applyAlignment="1">
      <alignment horizontal="right"/>
    </xf>
    <xf numFmtId="4" fontId="19" fillId="2" borderId="0" xfId="4" applyNumberFormat="1" applyFont="1" applyFill="1" applyAlignment="1">
      <alignment horizontal="right" wrapText="1"/>
    </xf>
    <xf numFmtId="2" fontId="20" fillId="3" borderId="0" xfId="5" applyNumberFormat="1" applyFont="1" applyFill="1" applyAlignment="1">
      <alignment horizontal="right"/>
    </xf>
    <xf numFmtId="167" fontId="5" fillId="3" borderId="0" xfId="2" applyNumberFormat="1" applyFill="1" applyAlignment="1">
      <alignment horizontal="right" vertical="center"/>
    </xf>
    <xf numFmtId="0" fontId="5" fillId="3" borderId="0" xfId="3" applyFont="1" applyFill="1" applyAlignment="1">
      <alignment horizontal="right" vertical="center"/>
    </xf>
    <xf numFmtId="167" fontId="19" fillId="3" borderId="2" xfId="2" applyNumberFormat="1" applyFont="1" applyFill="1" applyBorder="1" applyAlignment="1">
      <alignment vertical="center"/>
    </xf>
    <xf numFmtId="2" fontId="19" fillId="3" borderId="0" xfId="5" applyNumberFormat="1" applyFont="1" applyFill="1" applyAlignment="1">
      <alignment horizontal="right"/>
    </xf>
    <xf numFmtId="4" fontId="21" fillId="3" borderId="0" xfId="5" applyNumberFormat="1" applyFont="1" applyFill="1" applyAlignment="1">
      <alignment horizontal="right"/>
    </xf>
    <xf numFmtId="49" fontId="19" fillId="2" borderId="3" xfId="9" applyNumberFormat="1" applyFont="1" applyFill="1" applyBorder="1" applyAlignment="1">
      <alignment horizontal="center" vertical="center" wrapText="1"/>
    </xf>
    <xf numFmtId="49" fontId="19" fillId="2" borderId="5" xfId="9" applyNumberFormat="1" applyFont="1" applyFill="1" applyBorder="1" applyAlignment="1">
      <alignment horizontal="center" vertical="center" wrapText="1"/>
    </xf>
    <xf numFmtId="0" fontId="19" fillId="2" borderId="3" xfId="10" applyFont="1" applyFill="1" applyBorder="1" applyAlignment="1">
      <alignment horizontal="right" vertical="center" wrapText="1"/>
    </xf>
    <xf numFmtId="0" fontId="21" fillId="2" borderId="3" xfId="10" applyFont="1" applyFill="1" applyBorder="1" applyAlignment="1">
      <alignment horizontal="right" vertical="center" wrapText="1"/>
    </xf>
    <xf numFmtId="49" fontId="19" fillId="3" borderId="0" xfId="9" applyNumberFormat="1" applyFont="1" applyFill="1" applyAlignment="1">
      <alignment horizontal="center" vertical="center" wrapText="1"/>
    </xf>
    <xf numFmtId="49" fontId="19" fillId="3" borderId="2" xfId="9" applyNumberFormat="1" applyFont="1" applyFill="1" applyBorder="1" applyAlignment="1">
      <alignment horizontal="center" vertical="center" wrapText="1"/>
    </xf>
    <xf numFmtId="0" fontId="19" fillId="3" borderId="0" xfId="10" applyFont="1" applyFill="1" applyAlignment="1">
      <alignment horizontal="right" vertical="center" wrapText="1"/>
    </xf>
    <xf numFmtId="0" fontId="21" fillId="3" borderId="0" xfId="10" applyFont="1" applyFill="1" applyAlignment="1">
      <alignment horizontal="right" vertical="center" wrapText="1"/>
    </xf>
    <xf numFmtId="0" fontId="19" fillId="2" borderId="0" xfId="0" applyFont="1" applyFill="1" applyAlignment="1">
      <alignment horizontal="left"/>
    </xf>
    <xf numFmtId="0" fontId="19" fillId="2" borderId="2" xfId="0" applyFont="1" applyFill="1" applyBorder="1" applyAlignment="1">
      <alignment horizontal="left"/>
    </xf>
    <xf numFmtId="164" fontId="19" fillId="2" borderId="0" xfId="8" applyNumberFormat="1" applyFont="1" applyFill="1" applyAlignment="1">
      <alignment horizontal="right"/>
    </xf>
    <xf numFmtId="164" fontId="19" fillId="2" borderId="0" xfId="8" applyNumberFormat="1" applyFont="1" applyFill="1" applyAlignment="1">
      <alignment horizontal="right" vertical="center"/>
    </xf>
    <xf numFmtId="2" fontId="20" fillId="0" borderId="0" xfId="7" applyNumberFormat="1" applyFont="1"/>
    <xf numFmtId="165" fontId="20" fillId="0" borderId="0" xfId="0" applyNumberFormat="1" applyFont="1" applyAlignment="1">
      <alignment horizontal="left" indent="1"/>
    </xf>
    <xf numFmtId="165" fontId="20" fillId="0" borderId="2" xfId="0" applyNumberFormat="1" applyFont="1" applyBorder="1" applyAlignment="1">
      <alignment horizontal="left"/>
    </xf>
    <xf numFmtId="0" fontId="20" fillId="3" borderId="0" xfId="0" applyFont="1" applyFill="1" applyAlignment="1">
      <alignment horizontal="left" indent="1"/>
    </xf>
    <xf numFmtId="3" fontId="20" fillId="0" borderId="2" xfId="0" applyNumberFormat="1" applyFont="1" applyBorder="1"/>
    <xf numFmtId="0" fontId="20" fillId="0" borderId="2" xfId="0" applyFont="1" applyBorder="1"/>
    <xf numFmtId="1" fontId="20" fillId="0" borderId="2" xfId="0" applyNumberFormat="1" applyFont="1" applyBorder="1"/>
    <xf numFmtId="164" fontId="20" fillId="0" borderId="0" xfId="11" applyNumberFormat="1" applyFont="1" applyBorder="1" applyAlignment="1">
      <alignment horizontal="right"/>
    </xf>
    <xf numFmtId="164" fontId="20" fillId="0" borderId="2" xfId="8" applyNumberFormat="1" applyFont="1" applyBorder="1"/>
    <xf numFmtId="0" fontId="20" fillId="3" borderId="4" xfId="0" applyFont="1" applyFill="1" applyBorder="1" applyAlignment="1">
      <alignment horizontal="left" indent="1"/>
    </xf>
    <xf numFmtId="3" fontId="20" fillId="0" borderId="6" xfId="0" applyNumberFormat="1" applyFont="1" applyBorder="1"/>
    <xf numFmtId="164" fontId="20" fillId="0" borderId="4" xfId="7" applyNumberFormat="1" applyFont="1" applyBorder="1"/>
    <xf numFmtId="0" fontId="1" fillId="3" borderId="0" xfId="3" applyFont="1" applyFill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2" xfId="0" applyFont="1" applyBorder="1" applyAlignment="1">
      <alignment horizontal="left"/>
    </xf>
    <xf numFmtId="3" fontId="20" fillId="0" borderId="0" xfId="11" applyNumberFormat="1" applyFont="1" applyBorder="1" applyAlignment="1">
      <alignment horizontal="right" vertical="center"/>
    </xf>
    <xf numFmtId="3" fontId="20" fillId="0" borderId="0" xfId="11" quotePrefix="1" applyNumberFormat="1" applyFont="1" applyFill="1" applyBorder="1" applyAlignment="1">
      <alignment horizontal="right" vertical="center"/>
    </xf>
    <xf numFmtId="0" fontId="20" fillId="0" borderId="6" xfId="0" applyFont="1" applyBorder="1"/>
    <xf numFmtId="3" fontId="20" fillId="0" borderId="4" xfId="11" applyNumberFormat="1" applyFont="1" applyBorder="1" applyAlignment="1">
      <alignment horizontal="right" vertical="center"/>
    </xf>
    <xf numFmtId="3" fontId="20" fillId="0" borderId="4" xfId="11" quotePrefix="1" applyNumberFormat="1" applyFont="1" applyFill="1" applyBorder="1" applyAlignment="1">
      <alignment horizontal="right" vertical="center"/>
    </xf>
    <xf numFmtId="1" fontId="20" fillId="0" borderId="4" xfId="0" applyNumberFormat="1" applyFont="1" applyBorder="1" applyAlignment="1">
      <alignment horizontal="right" vertical="center"/>
    </xf>
    <xf numFmtId="1" fontId="20" fillId="0" borderId="0" xfId="0" applyNumberFormat="1" applyFont="1" applyAlignment="1">
      <alignment horizontal="right" vertical="center"/>
    </xf>
    <xf numFmtId="3" fontId="50" fillId="0" borderId="0" xfId="0" applyNumberFormat="1" applyFont="1" applyAlignment="1">
      <alignment horizontal="right"/>
    </xf>
    <xf numFmtId="3" fontId="20" fillId="0" borderId="0" xfId="12" applyNumberFormat="1" applyFont="1" applyAlignment="1">
      <alignment horizontal="right" vertical="center"/>
    </xf>
    <xf numFmtId="3" fontId="20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horizontal="right"/>
    </xf>
    <xf numFmtId="0" fontId="19" fillId="2" borderId="5" xfId="13" applyFont="1" applyFill="1" applyBorder="1" applyAlignment="1">
      <alignment horizontal="center" vertical="center" wrapText="1"/>
    </xf>
    <xf numFmtId="0" fontId="19" fillId="2" borderId="3" xfId="13" applyFont="1" applyFill="1" applyBorder="1" applyAlignment="1">
      <alignment horizontal="right" vertical="center" wrapText="1"/>
    </xf>
    <xf numFmtId="0" fontId="19" fillId="2" borderId="3" xfId="13" applyFont="1" applyFill="1" applyBorder="1" applyAlignment="1">
      <alignment horizontal="right" vertical="center"/>
    </xf>
    <xf numFmtId="0" fontId="19" fillId="0" borderId="2" xfId="13" applyFont="1" applyBorder="1" applyAlignment="1">
      <alignment horizontal="center" vertical="center" wrapText="1"/>
    </xf>
    <xf numFmtId="0" fontId="19" fillId="0" borderId="0" xfId="13" applyFont="1" applyAlignment="1">
      <alignment horizontal="right" vertical="center" wrapText="1"/>
    </xf>
    <xf numFmtId="0" fontId="19" fillId="2" borderId="2" xfId="13" applyFont="1" applyFill="1" applyBorder="1" applyAlignment="1">
      <alignment vertical="center"/>
    </xf>
    <xf numFmtId="3" fontId="19" fillId="2" borderId="0" xfId="2" applyNumberFormat="1" applyFont="1" applyFill="1" applyAlignment="1">
      <alignment horizontal="right" vertical="center" wrapText="1"/>
    </xf>
    <xf numFmtId="3" fontId="19" fillId="2" borderId="0" xfId="13" applyNumberFormat="1" applyFont="1" applyFill="1" applyAlignment="1">
      <alignment horizontal="right" vertical="center"/>
    </xf>
    <xf numFmtId="3" fontId="19" fillId="2" borderId="0" xfId="13" applyNumberFormat="1" applyFont="1" applyFill="1" applyAlignment="1">
      <alignment vertical="center"/>
    </xf>
    <xf numFmtId="0" fontId="20" fillId="0" borderId="2" xfId="13" applyFont="1" applyBorder="1" applyAlignment="1">
      <alignment horizontal="left" vertical="center" indent="1"/>
    </xf>
    <xf numFmtId="3" fontId="20" fillId="0" borderId="0" xfId="13" applyNumberFormat="1" applyFont="1" applyAlignment="1">
      <alignment horizontal="right"/>
    </xf>
    <xf numFmtId="3" fontId="20" fillId="0" borderId="0" xfId="13" applyNumberFormat="1" applyFont="1" applyAlignment="1">
      <alignment horizontal="right" vertical="center"/>
    </xf>
    <xf numFmtId="3" fontId="20" fillId="3" borderId="0" xfId="13" applyNumberFormat="1" applyFont="1" applyFill="1" applyAlignment="1">
      <alignment horizontal="right" vertical="center"/>
    </xf>
    <xf numFmtId="0" fontId="19" fillId="0" borderId="2" xfId="13" applyFont="1" applyBorder="1" applyAlignment="1">
      <alignment vertical="center"/>
    </xf>
    <xf numFmtId="3" fontId="19" fillId="0" borderId="0" xfId="13" applyNumberFormat="1" applyFont="1" applyAlignment="1">
      <alignment horizontal="right" vertical="center" wrapText="1"/>
    </xf>
    <xf numFmtId="3" fontId="19" fillId="0" borderId="0" xfId="13" applyNumberFormat="1" applyFont="1" applyAlignment="1">
      <alignment horizontal="right" vertical="center"/>
    </xf>
    <xf numFmtId="3" fontId="19" fillId="0" borderId="0" xfId="13" applyNumberFormat="1" applyFont="1" applyAlignment="1">
      <alignment vertical="center"/>
    </xf>
    <xf numFmtId="3" fontId="19" fillId="3" borderId="0" xfId="13" applyNumberFormat="1" applyFont="1" applyFill="1" applyAlignment="1">
      <alignment vertical="center"/>
    </xf>
    <xf numFmtId="3" fontId="20" fillId="0" borderId="0" xfId="13" applyNumberFormat="1" applyFont="1" applyAlignment="1">
      <alignment vertical="center"/>
    </xf>
    <xf numFmtId="0" fontId="19" fillId="0" borderId="2" xfId="2" applyFont="1" applyBorder="1" applyAlignment="1">
      <alignment vertical="center"/>
    </xf>
    <xf numFmtId="3" fontId="19" fillId="0" borderId="0" xfId="2" applyNumberFormat="1" applyFont="1" applyAlignment="1">
      <alignment horizontal="right" vertical="center" wrapText="1"/>
    </xf>
    <xf numFmtId="3" fontId="19" fillId="3" borderId="0" xfId="13" applyNumberFormat="1" applyFont="1" applyFill="1" applyAlignment="1">
      <alignment horizontal="right" vertical="center"/>
    </xf>
    <xf numFmtId="0" fontId="20" fillId="0" borderId="6" xfId="13" applyFont="1" applyBorder="1" applyAlignment="1">
      <alignment horizontal="left" vertical="center" indent="1"/>
    </xf>
    <xf numFmtId="3" fontId="20" fillId="0" borderId="4" xfId="13" applyNumberFormat="1" applyFont="1" applyBorder="1" applyAlignment="1">
      <alignment horizontal="right"/>
    </xf>
    <xf numFmtId="3" fontId="20" fillId="0" borderId="4" xfId="13" applyNumberFormat="1" applyFont="1" applyBorder="1" applyAlignment="1">
      <alignment horizontal="right" vertical="center"/>
    </xf>
    <xf numFmtId="3" fontId="20" fillId="0" borderId="4" xfId="13" applyNumberFormat="1" applyFont="1" applyBorder="1" applyAlignment="1">
      <alignment vertical="center"/>
    </xf>
    <xf numFmtId="0" fontId="19" fillId="2" borderId="9" xfId="10" applyFont="1" applyFill="1" applyBorder="1" applyAlignment="1">
      <alignment horizontal="right" vertical="center" wrapText="1"/>
    </xf>
    <xf numFmtId="10" fontId="19" fillId="2" borderId="9" xfId="10" applyNumberFormat="1" applyFont="1" applyFill="1" applyBorder="1">
      <alignment vertical="center"/>
    </xf>
    <xf numFmtId="0" fontId="19" fillId="2" borderId="9" xfId="10" applyFont="1" applyFill="1" applyBorder="1" applyAlignment="1">
      <alignment horizontal="center" vertical="center"/>
    </xf>
    <xf numFmtId="0" fontId="19" fillId="2" borderId="4" xfId="10" applyFont="1" applyFill="1" applyBorder="1" applyAlignment="1">
      <alignment horizontal="right" vertical="center" wrapText="1"/>
    </xf>
    <xf numFmtId="10" fontId="19" fillId="2" borderId="4" xfId="10" applyNumberFormat="1" applyFont="1" applyFill="1" applyBorder="1" applyAlignment="1">
      <alignment horizontal="right" vertical="center"/>
    </xf>
    <xf numFmtId="0" fontId="19" fillId="2" borderId="4" xfId="10" applyFont="1" applyFill="1" applyBorder="1" applyAlignment="1">
      <alignment horizontal="right" vertical="center"/>
    </xf>
    <xf numFmtId="0" fontId="19" fillId="0" borderId="2" xfId="10" applyFont="1" applyBorder="1" applyAlignment="1">
      <alignment horizontal="center" vertical="center"/>
    </xf>
    <xf numFmtId="10" fontId="19" fillId="0" borderId="0" xfId="10" applyNumberFormat="1" applyFont="1" applyAlignment="1">
      <alignment horizontal="right" vertical="center"/>
    </xf>
    <xf numFmtId="0" fontId="19" fillId="0" borderId="0" xfId="10" applyFont="1" applyAlignment="1">
      <alignment horizontal="right" vertical="center"/>
    </xf>
    <xf numFmtId="0" fontId="20" fillId="0" borderId="2" xfId="10" applyFont="1" applyBorder="1" applyAlignment="1">
      <alignment horizontal="center" vertical="center"/>
    </xf>
    <xf numFmtId="171" fontId="20" fillId="0" borderId="0" xfId="10" applyNumberFormat="1" applyFont="1" applyAlignment="1">
      <alignment horizontal="right" vertical="center"/>
    </xf>
    <xf numFmtId="4" fontId="20" fillId="0" borderId="0" xfId="10" applyNumberFormat="1" applyFont="1" applyAlignment="1">
      <alignment horizontal="right" vertical="center"/>
    </xf>
    <xf numFmtId="167" fontId="20" fillId="0" borderId="0" xfId="10" applyNumberFormat="1" applyFont="1" applyAlignment="1">
      <alignment horizontal="right" vertical="center"/>
    </xf>
    <xf numFmtId="3" fontId="20" fillId="0" borderId="0" xfId="10" applyNumberFormat="1" applyFont="1" applyAlignment="1">
      <alignment horizontal="right" vertical="center"/>
    </xf>
    <xf numFmtId="171" fontId="20" fillId="3" borderId="0" xfId="10" applyNumberFormat="1" applyFont="1" applyFill="1" applyAlignment="1">
      <alignment horizontal="right" vertical="center"/>
    </xf>
    <xf numFmtId="1" fontId="20" fillId="0" borderId="0" xfId="10" applyNumberFormat="1" applyFont="1" applyAlignment="1">
      <alignment horizontal="right" vertical="center"/>
    </xf>
    <xf numFmtId="3" fontId="20" fillId="3" borderId="0" xfId="10" applyNumberFormat="1" applyFont="1" applyFill="1" applyAlignment="1">
      <alignment horizontal="right" vertical="center"/>
    </xf>
    <xf numFmtId="4" fontId="20" fillId="3" borderId="0" xfId="10" applyNumberFormat="1" applyFont="1" applyFill="1" applyAlignment="1">
      <alignment horizontal="right" vertical="center"/>
    </xf>
    <xf numFmtId="2" fontId="20" fillId="3" borderId="0" xfId="10" applyNumberFormat="1" applyFont="1" applyFill="1" applyAlignment="1">
      <alignment horizontal="right" vertical="center"/>
    </xf>
    <xf numFmtId="167" fontId="20" fillId="3" borderId="0" xfId="10" applyNumberFormat="1" applyFont="1" applyFill="1" applyAlignment="1">
      <alignment horizontal="right" vertical="center"/>
    </xf>
    <xf numFmtId="0" fontId="20" fillId="3" borderId="0" xfId="10" applyFont="1" applyFill="1" applyAlignment="1">
      <alignment horizontal="right" vertical="center"/>
    </xf>
    <xf numFmtId="0" fontId="19" fillId="2" borderId="0" xfId="10" applyFont="1" applyFill="1" applyAlignment="1">
      <alignment horizontal="right" vertical="center" wrapText="1"/>
    </xf>
    <xf numFmtId="10" fontId="19" fillId="2" borderId="0" xfId="10" applyNumberFormat="1" applyFont="1" applyFill="1">
      <alignment vertical="center"/>
    </xf>
    <xf numFmtId="0" fontId="19" fillId="2" borderId="0" xfId="10" applyFont="1" applyFill="1" applyAlignment="1">
      <alignment horizontal="center" vertical="center"/>
    </xf>
    <xf numFmtId="0" fontId="19" fillId="2" borderId="3" xfId="10" applyFont="1" applyFill="1" applyBorder="1" applyAlignment="1">
      <alignment horizontal="center" vertical="center" wrapText="1"/>
    </xf>
    <xf numFmtId="0" fontId="20" fillId="0" borderId="6" xfId="10" applyFont="1" applyBorder="1" applyAlignment="1">
      <alignment horizontal="center" vertical="center"/>
    </xf>
    <xf numFmtId="3" fontId="20" fillId="3" borderId="4" xfId="10" applyNumberFormat="1" applyFont="1" applyFill="1" applyBorder="1" applyAlignment="1">
      <alignment horizontal="right" vertical="center"/>
    </xf>
    <xf numFmtId="4" fontId="20" fillId="3" borderId="4" xfId="10" applyNumberFormat="1" applyFont="1" applyFill="1" applyBorder="1" applyAlignment="1">
      <alignment horizontal="right" vertical="center"/>
    </xf>
    <xf numFmtId="2" fontId="20" fillId="3" borderId="4" xfId="10" applyNumberFormat="1" applyFont="1" applyFill="1" applyBorder="1" applyAlignment="1">
      <alignment horizontal="right" vertical="center"/>
    </xf>
    <xf numFmtId="167" fontId="20" fillId="3" borderId="4" xfId="10" applyNumberFormat="1" applyFont="1" applyFill="1" applyBorder="1" applyAlignment="1">
      <alignment horizontal="right" vertical="center"/>
    </xf>
    <xf numFmtId="171" fontId="20" fillId="3" borderId="4" xfId="10" applyNumberFormat="1" applyFont="1" applyFill="1" applyBorder="1" applyAlignment="1">
      <alignment horizontal="right" vertical="center"/>
    </xf>
    <xf numFmtId="0" fontId="20" fillId="3" borderId="4" xfId="10" applyFont="1" applyFill="1" applyBorder="1" applyAlignment="1">
      <alignment horizontal="right" vertical="center"/>
    </xf>
    <xf numFmtId="0" fontId="25" fillId="0" borderId="0" xfId="10" applyFont="1">
      <alignment vertical="center"/>
    </xf>
    <xf numFmtId="0" fontId="26" fillId="0" borderId="0" xfId="10" applyFont="1">
      <alignment vertical="center"/>
    </xf>
    <xf numFmtId="0" fontId="19" fillId="2" borderId="9" xfId="10" applyFont="1" applyFill="1" applyBorder="1" applyAlignment="1">
      <alignment vertical="center" wrapText="1"/>
    </xf>
    <xf numFmtId="0" fontId="19" fillId="2" borderId="3" xfId="10" applyFont="1" applyFill="1" applyBorder="1" applyAlignment="1">
      <alignment vertical="center" wrapText="1"/>
    </xf>
    <xf numFmtId="0" fontId="20" fillId="0" borderId="2" xfId="2" applyFont="1" applyBorder="1" applyAlignment="1">
      <alignment horizontal="center" vertical="center" wrapText="1"/>
    </xf>
    <xf numFmtId="0" fontId="19" fillId="2" borderId="0" xfId="10" applyFont="1" applyFill="1" applyAlignment="1">
      <alignment horizontal="center" vertical="center" wrapText="1"/>
    </xf>
    <xf numFmtId="174" fontId="20" fillId="0" borderId="0" xfId="16" applyFont="1"/>
    <xf numFmtId="3" fontId="20" fillId="0" borderId="18" xfId="10" applyNumberFormat="1" applyFont="1" applyBorder="1" applyAlignment="1">
      <alignment horizontal="right" vertical="center"/>
    </xf>
    <xf numFmtId="3" fontId="20" fillId="0" borderId="4" xfId="10" applyNumberFormat="1" applyFont="1" applyBorder="1" applyAlignment="1">
      <alignment horizontal="right" vertical="center"/>
    </xf>
    <xf numFmtId="49" fontId="19" fillId="2" borderId="3" xfId="26" applyNumberFormat="1" applyFont="1" applyFill="1" applyBorder="1" applyAlignment="1">
      <alignment horizontal="center" vertical="center" wrapText="1"/>
    </xf>
    <xf numFmtId="49" fontId="19" fillId="2" borderId="5" xfId="26" applyNumberFormat="1" applyFont="1" applyFill="1" applyBorder="1" applyAlignment="1">
      <alignment horizontal="center" vertical="center" wrapText="1"/>
    </xf>
    <xf numFmtId="49" fontId="19" fillId="0" borderId="2" xfId="26" applyNumberFormat="1" applyFont="1" applyBorder="1" applyAlignment="1">
      <alignment horizontal="center" vertical="center" wrapText="1"/>
    </xf>
    <xf numFmtId="168" fontId="17" fillId="0" borderId="0" xfId="17" applyFont="1" applyBorder="1" applyAlignment="1">
      <alignment horizontal="right"/>
    </xf>
    <xf numFmtId="168" fontId="17" fillId="0" borderId="0" xfId="17" applyFont="1" applyFill="1" applyBorder="1" applyAlignment="1">
      <alignment horizontal="right"/>
    </xf>
    <xf numFmtId="168" fontId="17" fillId="0" borderId="4" xfId="17" applyFont="1" applyBorder="1" applyAlignment="1">
      <alignment horizontal="right"/>
    </xf>
    <xf numFmtId="49" fontId="19" fillId="0" borderId="0" xfId="26" applyNumberFormat="1" applyFont="1" applyAlignment="1">
      <alignment horizontal="center" vertical="center" wrapText="1"/>
    </xf>
    <xf numFmtId="183" fontId="20" fillId="0" borderId="0" xfId="17" applyNumberFormat="1" applyFont="1" applyBorder="1" applyAlignment="1">
      <alignment horizontal="right"/>
    </xf>
    <xf numFmtId="0" fontId="19" fillId="2" borderId="3" xfId="2" applyFont="1" applyFill="1" applyBorder="1" applyAlignment="1">
      <alignment horizontal="right" vertical="center" wrapText="1"/>
    </xf>
    <xf numFmtId="0" fontId="19" fillId="0" borderId="0" xfId="10" applyFont="1" applyAlignment="1">
      <alignment horizontal="center" vertical="center"/>
    </xf>
    <xf numFmtId="0" fontId="19" fillId="0" borderId="0" xfId="2" applyFont="1" applyAlignment="1">
      <alignment horizontal="right" vertical="center" wrapText="1"/>
    </xf>
    <xf numFmtId="0" fontId="19" fillId="2" borderId="0" xfId="10" applyFont="1" applyFill="1">
      <alignment vertical="center"/>
    </xf>
    <xf numFmtId="171" fontId="19" fillId="2" borderId="0" xfId="10" applyNumberFormat="1" applyFont="1" applyFill="1" applyAlignment="1">
      <alignment horizontal="right" vertical="center" wrapText="1"/>
    </xf>
    <xf numFmtId="171" fontId="20" fillId="0" borderId="0" xfId="2" applyNumberFormat="1" applyFont="1" applyAlignment="1">
      <alignment horizontal="right" vertical="center"/>
    </xf>
    <xf numFmtId="171" fontId="20" fillId="0" borderId="0" xfId="10" applyNumberFormat="1" applyFont="1">
      <alignment vertical="center"/>
    </xf>
    <xf numFmtId="171" fontId="20" fillId="3" borderId="0" xfId="10" applyNumberFormat="1" applyFont="1" applyFill="1" applyAlignment="1">
      <alignment horizontal="right" vertical="center" wrapText="1"/>
    </xf>
    <xf numFmtId="49" fontId="20" fillId="0" borderId="4" xfId="26" applyNumberFormat="1" applyFont="1" applyBorder="1" applyAlignment="1">
      <alignment horizontal="center"/>
    </xf>
    <xf numFmtId="171" fontId="20" fillId="0" borderId="4" xfId="10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10" applyNumberFormat="1" applyFont="1" applyBorder="1">
      <alignment vertical="center"/>
    </xf>
    <xf numFmtId="171" fontId="20" fillId="3" borderId="4" xfId="10" applyNumberFormat="1" applyFont="1" applyFill="1" applyBorder="1" applyAlignment="1">
      <alignment horizontal="right" vertical="center" wrapText="1"/>
    </xf>
    <xf numFmtId="0" fontId="19" fillId="2" borderId="2" xfId="10" applyFont="1" applyFill="1" applyBorder="1">
      <alignment vertical="center"/>
    </xf>
    <xf numFmtId="2" fontId="5" fillId="0" borderId="0" xfId="10" applyNumberFormat="1" applyFont="1" applyAlignment="1">
      <alignment horizontal="center" vertical="center"/>
    </xf>
    <xf numFmtId="0" fontId="20" fillId="0" borderId="4" xfId="10" applyFont="1" applyBorder="1">
      <alignment vertical="center"/>
    </xf>
    <xf numFmtId="0" fontId="20" fillId="0" borderId="4" xfId="10" applyFont="1" applyBorder="1" applyAlignment="1">
      <alignment horizontal="right" vertical="center"/>
    </xf>
    <xf numFmtId="0" fontId="20" fillId="0" borderId="2" xfId="0" applyFont="1" applyBorder="1" applyAlignment="1">
      <alignment horizontal="left"/>
    </xf>
    <xf numFmtId="172" fontId="20" fillId="0" borderId="0" xfId="11" applyNumberFormat="1" applyFont="1" applyBorder="1" applyAlignment="1"/>
    <xf numFmtId="172" fontId="20" fillId="0" borderId="0" xfId="0" applyNumberFormat="1" applyFont="1"/>
    <xf numFmtId="172" fontId="20" fillId="0" borderId="0" xfId="0" applyNumberFormat="1" applyFont="1" applyAlignment="1">
      <alignment horizontal="right" vertical="center"/>
    </xf>
    <xf numFmtId="172" fontId="20" fillId="0" borderId="4" xfId="11" applyNumberFormat="1" applyFont="1" applyBorder="1" applyAlignment="1"/>
    <xf numFmtId="172" fontId="20" fillId="0" borderId="4" xfId="11" applyNumberFormat="1" applyFont="1" applyBorder="1" applyAlignment="1">
      <alignment horizontal="right"/>
    </xf>
    <xf numFmtId="176" fontId="19" fillId="2" borderId="3" xfId="10" applyNumberFormat="1" applyFont="1" applyFill="1" applyBorder="1" applyAlignment="1">
      <alignment horizontal="right" vertical="center" wrapText="1"/>
    </xf>
    <xf numFmtId="176" fontId="19" fillId="0" borderId="0" xfId="10" applyNumberFormat="1" applyFont="1" applyAlignment="1">
      <alignment horizontal="right" vertical="center" wrapText="1"/>
    </xf>
    <xf numFmtId="176" fontId="17" fillId="0" borderId="0" xfId="17" applyNumberFormat="1" applyFont="1" applyFill="1" applyBorder="1" applyAlignment="1">
      <alignment horizontal="right"/>
    </xf>
    <xf numFmtId="176" fontId="20" fillId="0" borderId="0" xfId="17" applyNumberFormat="1" applyFont="1" applyFill="1" applyBorder="1" applyAlignment="1">
      <alignment horizontal="right"/>
    </xf>
    <xf numFmtId="176" fontId="20" fillId="0" borderId="0" xfId="17" quotePrefix="1" applyNumberFormat="1" applyFont="1" applyFill="1" applyBorder="1" applyAlignment="1">
      <alignment horizontal="right"/>
    </xf>
    <xf numFmtId="176" fontId="17" fillId="0" borderId="4" xfId="17" applyNumberFormat="1" applyFont="1" applyFill="1" applyBorder="1" applyAlignment="1">
      <alignment horizontal="right"/>
    </xf>
    <xf numFmtId="1" fontId="19" fillId="2" borderId="3" xfId="10" applyNumberFormat="1" applyFont="1" applyFill="1" applyBorder="1" applyAlignment="1">
      <alignment horizontal="right" vertical="center" wrapText="1"/>
    </xf>
    <xf numFmtId="1" fontId="21" fillId="2" borderId="3" xfId="10" applyNumberFormat="1" applyFont="1" applyFill="1" applyBorder="1" applyAlignment="1">
      <alignment horizontal="right" vertical="center" wrapText="1"/>
    </xf>
    <xf numFmtId="3" fontId="17" fillId="0" borderId="0" xfId="0" applyNumberFormat="1" applyFont="1" applyAlignment="1">
      <alignment horizontal="right"/>
    </xf>
    <xf numFmtId="3" fontId="17" fillId="0" borderId="4" xfId="17" applyNumberFormat="1" applyFont="1" applyFill="1" applyBorder="1" applyAlignment="1">
      <alignment horizontal="right"/>
    </xf>
    <xf numFmtId="0" fontId="26" fillId="0" borderId="0" xfId="0" applyFont="1"/>
    <xf numFmtId="0" fontId="19" fillId="2" borderId="7" xfId="2" applyFont="1" applyFill="1" applyBorder="1" applyAlignment="1">
      <alignment horizontal="center" vertical="center" wrapText="1"/>
    </xf>
    <xf numFmtId="0" fontId="19" fillId="3" borderId="14" xfId="2" applyFont="1" applyFill="1" applyBorder="1" applyAlignment="1">
      <alignment horizontal="center" vertical="center" wrapText="1"/>
    </xf>
    <xf numFmtId="0" fontId="19" fillId="3" borderId="9" xfId="2" applyFont="1" applyFill="1" applyBorder="1" applyAlignment="1">
      <alignment horizontal="right" vertical="center" wrapText="1"/>
    </xf>
    <xf numFmtId="0" fontId="19" fillId="2" borderId="1" xfId="2" applyFont="1" applyFill="1" applyBorder="1"/>
    <xf numFmtId="3" fontId="19" fillId="2" borderId="0" xfId="2" applyNumberFormat="1" applyFont="1" applyFill="1"/>
    <xf numFmtId="0" fontId="19" fillId="0" borderId="1" xfId="2" applyFont="1" applyBorder="1"/>
    <xf numFmtId="3" fontId="19" fillId="0" borderId="0" xfId="2" applyNumberFormat="1" applyFont="1"/>
    <xf numFmtId="0" fontId="19" fillId="0" borderId="1" xfId="2" applyFont="1" applyBorder="1" applyAlignment="1">
      <alignment horizontal="left" indent="1"/>
    </xf>
    <xf numFmtId="3" fontId="19" fillId="0" borderId="0" xfId="0" applyNumberFormat="1" applyFont="1" applyAlignment="1">
      <alignment vertical="center"/>
    </xf>
    <xf numFmtId="0" fontId="20" fillId="0" borderId="1" xfId="2" applyFont="1" applyBorder="1" applyAlignment="1">
      <alignment horizontal="left" indent="2"/>
    </xf>
    <xf numFmtId="3" fontId="20" fillId="0" borderId="0" xfId="2" applyNumberFormat="1" applyFont="1"/>
    <xf numFmtId="3" fontId="20" fillId="0" borderId="0" xfId="0" applyNumberFormat="1" applyFont="1" applyAlignment="1">
      <alignment vertical="center"/>
    </xf>
    <xf numFmtId="3" fontId="20" fillId="0" borderId="0" xfId="2" applyNumberFormat="1" applyFont="1" applyAlignment="1">
      <alignment horizontal="right"/>
    </xf>
    <xf numFmtId="0" fontId="20" fillId="0" borderId="8" xfId="2" applyFont="1" applyBorder="1" applyAlignment="1">
      <alignment horizontal="left" indent="2"/>
    </xf>
    <xf numFmtId="3" fontId="20" fillId="0" borderId="4" xfId="2" applyNumberFormat="1" applyFont="1" applyBorder="1"/>
    <xf numFmtId="3" fontId="20" fillId="0" borderId="4" xfId="0" applyNumberFormat="1" applyFont="1" applyBorder="1" applyAlignment="1">
      <alignment vertical="center"/>
    </xf>
    <xf numFmtId="0" fontId="26" fillId="0" borderId="0" xfId="19" applyFont="1" applyAlignment="1">
      <alignment vertical="center"/>
    </xf>
    <xf numFmtId="0" fontId="19" fillId="2" borderId="9" xfId="0" applyFont="1" applyFill="1" applyBorder="1" applyAlignment="1">
      <alignment horizontal="right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right" vertical="center"/>
    </xf>
    <xf numFmtId="0" fontId="52" fillId="2" borderId="10" xfId="0" applyFont="1" applyFill="1" applyBorder="1" applyAlignment="1">
      <alignment horizontal="right" vertical="center"/>
    </xf>
    <xf numFmtId="0" fontId="19" fillId="2" borderId="4" xfId="0" applyFont="1" applyFill="1" applyBorder="1" applyAlignment="1">
      <alignment horizontal="right" vertical="center"/>
    </xf>
    <xf numFmtId="3" fontId="19" fillId="0" borderId="2" xfId="22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52" fillId="0" borderId="0" xfId="0" applyFont="1" applyAlignment="1">
      <alignment horizontal="right" vertical="center"/>
    </xf>
    <xf numFmtId="0" fontId="19" fillId="0" borderId="2" xfId="22" applyFont="1" applyBorder="1" applyAlignment="1">
      <alignment vertical="center" wrapText="1"/>
    </xf>
    <xf numFmtId="2" fontId="20" fillId="0" borderId="0" xfId="2" applyNumberFormat="1" applyFont="1" applyAlignment="1">
      <alignment horizontal="right" vertical="center"/>
    </xf>
    <xf numFmtId="2" fontId="20" fillId="0" borderId="0" xfId="2" applyNumberFormat="1" applyFont="1" applyAlignment="1">
      <alignment horizontal="center" vertical="center"/>
    </xf>
    <xf numFmtId="173" fontId="20" fillId="0" borderId="0" xfId="2" applyNumberFormat="1" applyFont="1" applyAlignment="1">
      <alignment vertical="center"/>
    </xf>
    <xf numFmtId="173" fontId="46" fillId="0" borderId="0" xfId="2" applyNumberFormat="1" applyFont="1" applyAlignment="1">
      <alignment vertical="center"/>
    </xf>
    <xf numFmtId="0" fontId="20" fillId="0" borderId="2" xfId="22" applyFont="1" applyBorder="1" applyAlignment="1">
      <alignment horizontal="left" vertical="center" wrapText="1" indent="1"/>
    </xf>
    <xf numFmtId="167" fontId="20" fillId="0" borderId="0" xfId="2" applyNumberFormat="1" applyFont="1" applyAlignment="1">
      <alignment horizontal="right"/>
    </xf>
    <xf numFmtId="167" fontId="46" fillId="0" borderId="0" xfId="2" applyNumberFormat="1" applyFont="1" applyAlignment="1">
      <alignment horizontal="right"/>
    </xf>
    <xf numFmtId="0" fontId="20" fillId="0" borderId="0" xfId="9" applyFont="1"/>
    <xf numFmtId="0" fontId="19" fillId="0" borderId="2" xfId="22" applyFont="1" applyBorder="1" applyAlignment="1">
      <alignment horizontal="left" vertical="center" wrapText="1" indent="1"/>
    </xf>
    <xf numFmtId="173" fontId="20" fillId="0" borderId="0" xfId="2" applyNumberFormat="1" applyFont="1" applyAlignment="1">
      <alignment horizontal="right" vertical="center"/>
    </xf>
    <xf numFmtId="2" fontId="20" fillId="0" borderId="0" xfId="2" applyNumberFormat="1" applyFont="1" applyAlignment="1">
      <alignment horizontal="right"/>
    </xf>
    <xf numFmtId="0" fontId="20" fillId="0" borderId="2" xfId="2" applyFont="1" applyBorder="1" applyAlignment="1">
      <alignment horizontal="left" vertical="center" indent="1"/>
    </xf>
    <xf numFmtId="0" fontId="20" fillId="0" borderId="0" xfId="9" applyFont="1" applyAlignment="1">
      <alignment horizontal="right"/>
    </xf>
    <xf numFmtId="0" fontId="20" fillId="0" borderId="6" xfId="2" applyFont="1" applyBorder="1" applyAlignment="1">
      <alignment horizontal="left" vertical="center" indent="1"/>
    </xf>
    <xf numFmtId="2" fontId="20" fillId="0" borderId="4" xfId="2" applyNumberFormat="1" applyFont="1" applyBorder="1" applyAlignment="1">
      <alignment horizontal="right"/>
    </xf>
    <xf numFmtId="167" fontId="20" fillId="0" borderId="4" xfId="2" applyNumberFormat="1" applyFont="1" applyBorder="1" applyAlignment="1">
      <alignment horizontal="right"/>
    </xf>
    <xf numFmtId="167" fontId="46" fillId="0" borderId="4" xfId="2" applyNumberFormat="1" applyFont="1" applyBorder="1" applyAlignment="1">
      <alignment horizontal="right"/>
    </xf>
    <xf numFmtId="0" fontId="20" fillId="0" borderId="4" xfId="0" applyFont="1" applyBorder="1"/>
    <xf numFmtId="0" fontId="20" fillId="0" borderId="4" xfId="9" applyFont="1" applyBorder="1"/>
    <xf numFmtId="0" fontId="5" fillId="0" borderId="0" xfId="2" applyAlignment="1">
      <alignment horizontal="right" vertical="center"/>
    </xf>
    <xf numFmtId="0" fontId="45" fillId="0" borderId="0" xfId="2" applyFont="1" applyAlignment="1">
      <alignment vertical="center"/>
    </xf>
    <xf numFmtId="0" fontId="5" fillId="0" borderId="0" xfId="0" applyFont="1" applyAlignment="1">
      <alignment horizontal="right" vertical="center"/>
    </xf>
    <xf numFmtId="0" fontId="45" fillId="0" borderId="0" xfId="0" applyFont="1" applyAlignment="1">
      <alignment vertical="center"/>
    </xf>
    <xf numFmtId="3" fontId="19" fillId="3" borderId="1" xfId="4" applyNumberFormat="1" applyFont="1" applyFill="1" applyBorder="1" applyAlignment="1">
      <alignment horizontal="left" vertical="center" wrapText="1"/>
    </xf>
    <xf numFmtId="0" fontId="19" fillId="3" borderId="0" xfId="3" applyFont="1" applyFill="1" applyAlignment="1">
      <alignment horizontal="right" vertical="center"/>
    </xf>
    <xf numFmtId="3" fontId="19" fillId="2" borderId="1" xfId="4" applyNumberFormat="1" applyFont="1" applyFill="1" applyBorder="1" applyAlignment="1">
      <alignment horizontal="left" vertical="center" wrapText="1"/>
    </xf>
    <xf numFmtId="3" fontId="19" fillId="2" borderId="0" xfId="3" applyNumberFormat="1" applyFont="1" applyFill="1" applyAlignment="1">
      <alignment horizontal="right"/>
    </xf>
    <xf numFmtId="0" fontId="19" fillId="3" borderId="1" xfId="2" applyFont="1" applyFill="1" applyBorder="1" applyAlignment="1">
      <alignment vertical="center"/>
    </xf>
    <xf numFmtId="3" fontId="19" fillId="3" borderId="0" xfId="3" applyNumberFormat="1" applyFont="1" applyFill="1" applyAlignment="1">
      <alignment horizontal="right"/>
    </xf>
    <xf numFmtId="167" fontId="20" fillId="3" borderId="1" xfId="2" applyNumberFormat="1" applyFont="1" applyFill="1" applyBorder="1" applyAlignment="1">
      <alignment horizontal="left" vertical="center" indent="1"/>
    </xf>
    <xf numFmtId="3" fontId="20" fillId="3" borderId="0" xfId="3" applyNumberFormat="1" applyFont="1" applyFill="1" applyAlignment="1">
      <alignment horizontal="right"/>
    </xf>
    <xf numFmtId="167" fontId="20" fillId="3" borderId="1" xfId="5" applyNumberFormat="1" applyFont="1" applyFill="1" applyBorder="1" applyAlignment="1">
      <alignment horizontal="left" vertical="center" indent="1"/>
    </xf>
    <xf numFmtId="0" fontId="19" fillId="3" borderId="1" xfId="4" applyFont="1" applyFill="1" applyBorder="1" applyAlignment="1">
      <alignment vertical="center"/>
    </xf>
    <xf numFmtId="0" fontId="26" fillId="3" borderId="0" xfId="0" applyFont="1" applyFill="1"/>
    <xf numFmtId="0" fontId="19" fillId="2" borderId="7" xfId="4" applyFont="1" applyFill="1" applyBorder="1" applyAlignment="1">
      <alignment horizontal="center" vertical="center" wrapText="1"/>
    </xf>
    <xf numFmtId="0" fontId="19" fillId="2" borderId="3" xfId="3" applyFont="1" applyFill="1" applyBorder="1" applyAlignment="1">
      <alignment horizontal="right" vertical="center"/>
    </xf>
    <xf numFmtId="167" fontId="20" fillId="3" borderId="8" xfId="2" applyNumberFormat="1" applyFont="1" applyFill="1" applyBorder="1" applyAlignment="1">
      <alignment horizontal="left" vertical="center" indent="1"/>
    </xf>
    <xf numFmtId="3" fontId="20" fillId="3" borderId="4" xfId="3" applyNumberFormat="1" applyFont="1" applyFill="1" applyBorder="1" applyAlignment="1">
      <alignment horizontal="right"/>
    </xf>
    <xf numFmtId="3" fontId="20" fillId="3" borderId="15" xfId="3" applyNumberFormat="1" applyFont="1" applyFill="1" applyBorder="1" applyAlignment="1">
      <alignment horizontal="right"/>
    </xf>
    <xf numFmtId="3" fontId="19" fillId="3" borderId="2" xfId="4" applyNumberFormat="1" applyFont="1" applyFill="1" applyBorder="1" applyAlignment="1">
      <alignment horizontal="left" vertical="center" wrapText="1"/>
    </xf>
    <xf numFmtId="3" fontId="19" fillId="2" borderId="2" xfId="4" applyNumberFormat="1" applyFont="1" applyFill="1" applyBorder="1" applyAlignment="1">
      <alignment horizontal="left" vertical="center" wrapText="1"/>
    </xf>
    <xf numFmtId="0" fontId="19" fillId="3" borderId="2" xfId="2" applyFont="1" applyFill="1" applyBorder="1" applyAlignment="1">
      <alignment vertical="center"/>
    </xf>
    <xf numFmtId="0" fontId="19" fillId="3" borderId="2" xfId="4" applyFont="1" applyFill="1" applyBorder="1" applyAlignment="1">
      <alignment vertical="center"/>
    </xf>
    <xf numFmtId="49" fontId="20" fillId="3" borderId="0" xfId="4" applyNumberFormat="1" applyFont="1" applyFill="1" applyAlignment="1">
      <alignment horizontal="right" vertical="center" wrapText="1"/>
    </xf>
    <xf numFmtId="177" fontId="20" fillId="3" borderId="0" xfId="21" applyNumberFormat="1" applyFont="1" applyFill="1" applyAlignment="1">
      <alignment horizontal="right"/>
    </xf>
    <xf numFmtId="0" fontId="20" fillId="3" borderId="0" xfId="5" applyFont="1" applyFill="1" applyAlignment="1">
      <alignment horizontal="right"/>
    </xf>
    <xf numFmtId="0" fontId="49" fillId="3" borderId="0" xfId="4" applyFont="1" applyFill="1"/>
    <xf numFmtId="3" fontId="19" fillId="2" borderId="0" xfId="4" applyNumberFormat="1" applyFont="1" applyFill="1" applyAlignment="1">
      <alignment horizontal="right" vertical="center" wrapText="1"/>
    </xf>
    <xf numFmtId="0" fontId="20" fillId="3" borderId="1" xfId="2" applyFont="1" applyFill="1" applyBorder="1" applyAlignment="1">
      <alignment horizontal="left" vertical="center" indent="1"/>
    </xf>
    <xf numFmtId="3" fontId="20" fillId="3" borderId="0" xfId="4" applyNumberFormat="1" applyFont="1" applyFill="1" applyAlignment="1">
      <alignment horizontal="right" vertical="center" wrapText="1"/>
    </xf>
    <xf numFmtId="3" fontId="17" fillId="3" borderId="0" xfId="5" applyNumberFormat="1" applyFont="1" applyFill="1" applyAlignment="1">
      <alignment horizontal="right"/>
    </xf>
    <xf numFmtId="3" fontId="21" fillId="3" borderId="0" xfId="5" applyNumberFormat="1" applyFont="1" applyFill="1" applyAlignment="1">
      <alignment horizontal="right"/>
    </xf>
    <xf numFmtId="0" fontId="19" fillId="2" borderId="3" xfId="5" applyFont="1" applyFill="1" applyBorder="1" applyAlignment="1">
      <alignment horizontal="right" vertical="center" wrapText="1"/>
    </xf>
    <xf numFmtId="0" fontId="20" fillId="3" borderId="8" xfId="2" applyFont="1" applyFill="1" applyBorder="1" applyAlignment="1">
      <alignment horizontal="left" vertical="center" indent="1"/>
    </xf>
    <xf numFmtId="3" fontId="20" fillId="3" borderId="4" xfId="4" applyNumberFormat="1" applyFont="1" applyFill="1" applyBorder="1" applyAlignment="1">
      <alignment horizontal="right" vertical="center" wrapText="1"/>
    </xf>
    <xf numFmtId="3" fontId="17" fillId="3" borderId="4" xfId="5" applyNumberFormat="1" applyFont="1" applyFill="1" applyBorder="1" applyAlignment="1">
      <alignment horizontal="right"/>
    </xf>
    <xf numFmtId="0" fontId="20" fillId="3" borderId="2" xfId="4" applyFont="1" applyFill="1" applyBorder="1" applyAlignment="1">
      <alignment horizontal="center" vertical="center" wrapText="1"/>
    </xf>
    <xf numFmtId="0" fontId="19" fillId="2" borderId="2" xfId="4" applyFont="1" applyFill="1" applyBorder="1" applyAlignment="1">
      <alignment horizontal="left" vertical="center"/>
    </xf>
    <xf numFmtId="0" fontId="20" fillId="3" borderId="2" xfId="2" applyFont="1" applyFill="1" applyBorder="1" applyAlignment="1">
      <alignment horizontal="left" vertical="center" indent="1"/>
    </xf>
    <xf numFmtId="0" fontId="20" fillId="3" borderId="6" xfId="2" applyFont="1" applyFill="1" applyBorder="1" applyAlignment="1">
      <alignment horizontal="left" vertical="center" indent="1"/>
    </xf>
    <xf numFmtId="0" fontId="54" fillId="3" borderId="0" xfId="0" applyFont="1" applyFill="1"/>
    <xf numFmtId="167" fontId="6" fillId="3" borderId="0" xfId="2" applyNumberFormat="1" applyFont="1" applyFill="1"/>
    <xf numFmtId="0" fontId="5" fillId="3" borderId="0" xfId="5" applyFont="1" applyFill="1"/>
    <xf numFmtId="0" fontId="5" fillId="3" borderId="0" xfId="5" applyFont="1" applyFill="1" applyAlignment="1">
      <alignment horizontal="center"/>
    </xf>
    <xf numFmtId="0" fontId="11" fillId="3" borderId="0" xfId="4" applyFont="1" applyFill="1"/>
    <xf numFmtId="0" fontId="19" fillId="0" borderId="1" xfId="4" applyFont="1" applyBorder="1" applyAlignment="1">
      <alignment horizontal="center" vertical="center" wrapText="1"/>
    </xf>
    <xf numFmtId="0" fontId="19" fillId="3" borderId="1" xfId="4" applyFont="1" applyFill="1" applyBorder="1" applyAlignment="1">
      <alignment horizontal="left" vertical="center" wrapText="1"/>
    </xf>
    <xf numFmtId="0" fontId="20" fillId="3" borderId="1" xfId="5" applyFont="1" applyFill="1" applyBorder="1" applyAlignment="1">
      <alignment horizontal="left" vertical="center" indent="1"/>
    </xf>
    <xf numFmtId="0" fontId="6" fillId="0" borderId="0" xfId="2" applyFont="1"/>
    <xf numFmtId="10" fontId="41" fillId="0" borderId="0" xfId="10" applyNumberFormat="1" applyFont="1" applyAlignment="1">
      <alignment horizontal="right" vertical="center"/>
    </xf>
    <xf numFmtId="0" fontId="55" fillId="2" borderId="3" xfId="10" applyFont="1" applyFill="1" applyBorder="1" applyAlignment="1">
      <alignment horizontal="right" vertical="center" wrapText="1"/>
    </xf>
    <xf numFmtId="49" fontId="55" fillId="2" borderId="3" xfId="4" applyNumberFormat="1" applyFont="1" applyFill="1" applyBorder="1" applyAlignment="1">
      <alignment horizontal="right" vertical="center" wrapText="1"/>
    </xf>
    <xf numFmtId="49" fontId="19" fillId="2" borderId="3" xfId="4" applyNumberFormat="1" applyFont="1" applyFill="1" applyBorder="1" applyAlignment="1">
      <alignment horizontal="right" vertical="center" wrapText="1"/>
    </xf>
    <xf numFmtId="0" fontId="55" fillId="0" borderId="0" xfId="10" applyFont="1" applyAlignment="1">
      <alignment horizontal="right" vertical="center" wrapText="1"/>
    </xf>
    <xf numFmtId="49" fontId="55" fillId="0" borderId="0" xfId="4" applyNumberFormat="1" applyFont="1" applyAlignment="1">
      <alignment horizontal="right" vertical="center" wrapText="1"/>
    </xf>
    <xf numFmtId="49" fontId="19" fillId="3" borderId="0" xfId="4" applyNumberFormat="1" applyFont="1" applyFill="1" applyAlignment="1">
      <alignment horizontal="right" vertical="center" wrapText="1"/>
    </xf>
    <xf numFmtId="3" fontId="55" fillId="3" borderId="0" xfId="10" applyNumberFormat="1" applyFont="1" applyFill="1" applyAlignment="1">
      <alignment horizontal="right" vertical="center"/>
    </xf>
    <xf numFmtId="3" fontId="19" fillId="3" borderId="0" xfId="10" applyNumberFormat="1" applyFont="1" applyFill="1" applyAlignment="1">
      <alignment horizontal="right" vertical="center"/>
    </xf>
    <xf numFmtId="3" fontId="43" fillId="5" borderId="0" xfId="10" applyNumberFormat="1" applyFont="1" applyFill="1" applyAlignment="1">
      <alignment horizontal="right" vertical="center"/>
    </xf>
    <xf numFmtId="3" fontId="55" fillId="3" borderId="0" xfId="10" applyNumberFormat="1" applyFont="1" applyFill="1">
      <alignment vertical="center"/>
    </xf>
    <xf numFmtId="3" fontId="55" fillId="5" borderId="0" xfId="10" applyNumberFormat="1" applyFont="1" applyFill="1">
      <alignment vertical="center"/>
    </xf>
    <xf numFmtId="3" fontId="55" fillId="5" borderId="0" xfId="10" applyNumberFormat="1" applyFont="1" applyFill="1" applyAlignment="1">
      <alignment horizontal="center" vertical="center"/>
    </xf>
    <xf numFmtId="3" fontId="19" fillId="5" borderId="0" xfId="10" applyNumberFormat="1" applyFont="1" applyFill="1" applyAlignment="1">
      <alignment horizontal="right" vertical="center"/>
    </xf>
    <xf numFmtId="3" fontId="55" fillId="5" borderId="16" xfId="10" applyNumberFormat="1" applyFont="1" applyFill="1" applyBorder="1">
      <alignment vertical="center"/>
    </xf>
    <xf numFmtId="3" fontId="55" fillId="5" borderId="4" xfId="10" applyNumberFormat="1" applyFont="1" applyFill="1" applyBorder="1">
      <alignment vertical="center"/>
    </xf>
    <xf numFmtId="0" fontId="19" fillId="2" borderId="9" xfId="22" applyFont="1" applyFill="1" applyBorder="1" applyAlignment="1">
      <alignment horizontal="right" vertical="center" wrapText="1"/>
    </xf>
    <xf numFmtId="0" fontId="19" fillId="2" borderId="4" xfId="22" applyFont="1" applyFill="1" applyBorder="1" applyAlignment="1">
      <alignment horizontal="right" vertical="center" wrapText="1"/>
    </xf>
    <xf numFmtId="0" fontId="19" fillId="0" borderId="0" xfId="22" applyFont="1" applyAlignment="1">
      <alignment horizontal="right" vertical="center" wrapText="1"/>
    </xf>
    <xf numFmtId="0" fontId="20" fillId="0" borderId="2" xfId="22" applyFont="1" applyBorder="1" applyAlignment="1">
      <alignment horizontal="right" vertical="center" indent="3"/>
    </xf>
    <xf numFmtId="3" fontId="20" fillId="0" borderId="0" xfId="22" applyNumberFormat="1" applyFont="1" applyAlignment="1">
      <alignment horizontal="right" vertical="center"/>
    </xf>
    <xf numFmtId="0" fontId="20" fillId="0" borderId="2" xfId="22" applyFont="1" applyBorder="1" applyAlignment="1">
      <alignment horizontal="center" vertical="center"/>
    </xf>
    <xf numFmtId="3" fontId="20" fillId="3" borderId="0" xfId="22" applyNumberFormat="1" applyFont="1" applyFill="1" applyAlignment="1">
      <alignment horizontal="right" vertical="center"/>
    </xf>
    <xf numFmtId="0" fontId="26" fillId="0" borderId="0" xfId="22" applyFont="1" applyAlignment="1">
      <alignment vertical="center"/>
    </xf>
    <xf numFmtId="0" fontId="20" fillId="0" borderId="6" xfId="22" applyFont="1" applyBorder="1" applyAlignment="1">
      <alignment horizontal="center" vertical="center"/>
    </xf>
    <xf numFmtId="3" fontId="20" fillId="0" borderId="4" xfId="22" applyNumberFormat="1" applyFont="1" applyBorder="1" applyAlignment="1">
      <alignment horizontal="right" vertical="center"/>
    </xf>
    <xf numFmtId="165" fontId="20" fillId="0" borderId="2" xfId="25" applyNumberFormat="1" applyFont="1" applyBorder="1"/>
    <xf numFmtId="176" fontId="17" fillId="0" borderId="0" xfId="17" applyNumberFormat="1" applyFont="1" applyBorder="1" applyAlignment="1">
      <alignment horizontal="right"/>
    </xf>
    <xf numFmtId="176" fontId="17" fillId="0" borderId="0" xfId="17" applyNumberFormat="1" applyFont="1" applyBorder="1" applyAlignment="1">
      <alignment horizontal="center"/>
    </xf>
    <xf numFmtId="0" fontId="20" fillId="0" borderId="2" xfId="25" applyFont="1" applyBorder="1"/>
    <xf numFmtId="1" fontId="20" fillId="0" borderId="2" xfId="25" applyNumberFormat="1" applyFont="1" applyBorder="1"/>
    <xf numFmtId="3" fontId="20" fillId="0" borderId="2" xfId="25" applyNumberFormat="1" applyFont="1" applyBorder="1"/>
    <xf numFmtId="176" fontId="20" fillId="3" borderId="0" xfId="17" quotePrefix="1" applyNumberFormat="1" applyFont="1" applyFill="1" applyBorder="1" applyAlignment="1">
      <alignment horizontal="right"/>
    </xf>
    <xf numFmtId="176" fontId="17" fillId="0" borderId="4" xfId="17" applyNumberFormat="1" applyFont="1" applyBorder="1" applyAlignment="1">
      <alignment horizontal="right"/>
    </xf>
    <xf numFmtId="176" fontId="17" fillId="0" borderId="4" xfId="17" applyNumberFormat="1" applyFont="1" applyBorder="1" applyAlignment="1">
      <alignment horizontal="center"/>
    </xf>
    <xf numFmtId="0" fontId="19" fillId="2" borderId="5" xfId="23" applyFont="1" applyFill="1" applyBorder="1" applyAlignment="1">
      <alignment horizontal="center" vertical="center"/>
    </xf>
    <xf numFmtId="0" fontId="19" fillId="2" borderId="3" xfId="23" applyFont="1" applyFill="1" applyBorder="1" applyAlignment="1">
      <alignment horizontal="right" vertical="center" wrapText="1"/>
    </xf>
    <xf numFmtId="1" fontId="19" fillId="2" borderId="3" xfId="23" applyNumberFormat="1" applyFont="1" applyFill="1" applyBorder="1" applyAlignment="1">
      <alignment horizontal="right" vertical="center" wrapText="1"/>
    </xf>
    <xf numFmtId="0" fontId="19" fillId="0" borderId="2" xfId="23" applyFont="1" applyBorder="1" applyAlignment="1">
      <alignment horizontal="center" vertical="center"/>
    </xf>
    <xf numFmtId="0" fontId="19" fillId="0" borderId="0" xfId="23" applyFont="1" applyAlignment="1">
      <alignment horizontal="right" vertical="center" wrapText="1"/>
    </xf>
    <xf numFmtId="1" fontId="19" fillId="0" borderId="0" xfId="23" applyNumberFormat="1" applyFont="1" applyAlignment="1">
      <alignment horizontal="right" vertical="center" wrapText="1"/>
    </xf>
    <xf numFmtId="0" fontId="19" fillId="2" borderId="2" xfId="23" applyFont="1" applyFill="1" applyBorder="1" applyAlignment="1">
      <alignment horizontal="left" vertical="center" wrapText="1"/>
    </xf>
    <xf numFmtId="178" fontId="19" fillId="2" borderId="0" xfId="23" applyNumberFormat="1" applyFont="1" applyFill="1" applyAlignment="1">
      <alignment vertical="center"/>
    </xf>
    <xf numFmtId="178" fontId="19" fillId="2" borderId="0" xfId="23" applyNumberFormat="1" applyFont="1" applyFill="1" applyAlignment="1">
      <alignment horizontal="right" vertical="center"/>
    </xf>
    <xf numFmtId="0" fontId="19" fillId="0" borderId="2" xfId="2" applyFont="1" applyBorder="1" applyAlignment="1">
      <alignment horizontal="left" vertical="center" wrapText="1"/>
    </xf>
    <xf numFmtId="180" fontId="19" fillId="0" borderId="0" xfId="2" applyNumberFormat="1" applyFont="1" applyAlignment="1">
      <alignment horizontal="right" vertical="center"/>
    </xf>
    <xf numFmtId="3" fontId="19" fillId="0" borderId="0" xfId="23" applyNumberFormat="1" applyFont="1" applyAlignment="1">
      <alignment horizontal="right" vertical="center"/>
    </xf>
    <xf numFmtId="3" fontId="56" fillId="0" borderId="0" xfId="23" applyNumberFormat="1" applyFont="1" applyAlignment="1">
      <alignment horizontal="right" vertical="center"/>
    </xf>
    <xf numFmtId="178" fontId="19" fillId="0" borderId="0" xfId="23" applyNumberFormat="1" applyFont="1" applyAlignment="1">
      <alignment horizontal="right" vertical="center"/>
    </xf>
    <xf numFmtId="181" fontId="19" fillId="3" borderId="0" xfId="2" applyNumberFormat="1" applyFont="1" applyFill="1" applyAlignment="1">
      <alignment horizontal="right" vertical="center" wrapText="1"/>
    </xf>
    <xf numFmtId="178" fontId="19" fillId="3" borderId="0" xfId="23" applyNumberFormat="1" applyFont="1" applyFill="1" applyAlignment="1">
      <alignment vertical="center"/>
    </xf>
    <xf numFmtId="0" fontId="19" fillId="3" borderId="2" xfId="2" applyFont="1" applyFill="1" applyBorder="1" applyAlignment="1">
      <alignment horizontal="left" vertical="center"/>
    </xf>
    <xf numFmtId="0" fontId="19" fillId="3" borderId="2" xfId="2" applyFont="1" applyFill="1" applyBorder="1" applyAlignment="1">
      <alignment horizontal="left" vertical="center" wrapText="1"/>
    </xf>
    <xf numFmtId="178" fontId="19" fillId="3" borderId="0" xfId="23" applyNumberFormat="1" applyFont="1" applyFill="1" applyAlignment="1">
      <alignment horizontal="right" vertical="center"/>
    </xf>
    <xf numFmtId="0" fontId="19" fillId="3" borderId="2" xfId="2" applyFont="1" applyFill="1" applyBorder="1" applyAlignment="1">
      <alignment horizontal="left" vertical="center" indent="1"/>
    </xf>
    <xf numFmtId="0" fontId="19" fillId="0" borderId="2" xfId="23" applyFont="1" applyBorder="1" applyAlignment="1">
      <alignment horizontal="left" vertical="center" indent="1"/>
    </xf>
    <xf numFmtId="0" fontId="20" fillId="0" borderId="2" xfId="23" applyFont="1" applyBorder="1" applyAlignment="1">
      <alignment horizontal="left" vertical="center" indent="2"/>
    </xf>
    <xf numFmtId="178" fontId="20" fillId="0" borderId="0" xfId="23" applyNumberFormat="1" applyFont="1" applyAlignment="1">
      <alignment vertical="center"/>
    </xf>
    <xf numFmtId="178" fontId="20" fillId="0" borderId="0" xfId="23" applyNumberFormat="1" applyFont="1" applyAlignment="1">
      <alignment horizontal="right" vertical="center"/>
    </xf>
    <xf numFmtId="3" fontId="20" fillId="3" borderId="0" xfId="2" applyNumberFormat="1" applyFont="1" applyFill="1" applyAlignment="1">
      <alignment horizontal="right" vertical="center" wrapText="1"/>
    </xf>
    <xf numFmtId="3" fontId="19" fillId="3" borderId="0" xfId="2" applyNumberFormat="1" applyFont="1" applyFill="1" applyAlignment="1">
      <alignment horizontal="right" vertical="center" wrapText="1"/>
    </xf>
    <xf numFmtId="0" fontId="19" fillId="0" borderId="2" xfId="23" applyFont="1" applyBorder="1" applyAlignment="1">
      <alignment horizontal="left" vertical="center" wrapText="1" indent="1"/>
    </xf>
    <xf numFmtId="0" fontId="20" fillId="0" borderId="6" xfId="23" applyFont="1" applyBorder="1" applyAlignment="1">
      <alignment horizontal="left" vertical="center" indent="2"/>
    </xf>
    <xf numFmtId="178" fontId="20" fillId="0" borderId="4" xfId="23" applyNumberFormat="1" applyFont="1" applyBorder="1" applyAlignment="1">
      <alignment vertical="center"/>
    </xf>
    <xf numFmtId="178" fontId="20" fillId="0" borderId="4" xfId="23" applyNumberFormat="1" applyFont="1" applyBorder="1" applyAlignment="1">
      <alignment horizontal="right" vertical="center"/>
    </xf>
    <xf numFmtId="3" fontId="20" fillId="3" borderId="4" xfId="2" applyNumberFormat="1" applyFont="1" applyFill="1" applyBorder="1" applyAlignment="1">
      <alignment horizontal="right" vertical="center" wrapText="1"/>
    </xf>
    <xf numFmtId="3" fontId="20" fillId="0" borderId="4" xfId="23" applyNumberFormat="1" applyFont="1" applyBorder="1" applyAlignment="1">
      <alignment vertical="center"/>
    </xf>
    <xf numFmtId="3" fontId="20" fillId="0" borderId="4" xfId="23" applyNumberFormat="1" applyFont="1" applyBorder="1" applyAlignment="1">
      <alignment horizontal="right" vertical="center"/>
    </xf>
    <xf numFmtId="0" fontId="6" fillId="0" borderId="0" xfId="23" applyFont="1" applyAlignment="1">
      <alignment horizontal="right" vertical="center" wrapText="1"/>
    </xf>
    <xf numFmtId="1" fontId="6" fillId="0" borderId="0" xfId="23" applyNumberFormat="1" applyFont="1" applyAlignment="1">
      <alignment horizontal="right" vertical="center" wrapText="1"/>
    </xf>
    <xf numFmtId="3" fontId="20" fillId="0" borderId="0" xfId="23" applyNumberFormat="1" applyFont="1" applyAlignment="1">
      <alignment horizontal="right" vertical="center"/>
    </xf>
    <xf numFmtId="49" fontId="19" fillId="3" borderId="2" xfId="26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171" fontId="19" fillId="0" borderId="0" xfId="10" applyNumberFormat="1" applyFont="1" applyAlignment="1">
      <alignment horizontal="right" vertical="center" wrapText="1"/>
    </xf>
    <xf numFmtId="49" fontId="6" fillId="0" borderId="0" xfId="2" applyNumberFormat="1" applyFont="1" applyAlignment="1">
      <alignment horizontal="justify" vertical="center" wrapText="1"/>
    </xf>
    <xf numFmtId="0" fontId="6" fillId="0" borderId="0" xfId="2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33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19" fillId="2" borderId="17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49" fontId="19" fillId="2" borderId="14" xfId="1" applyNumberFormat="1" applyFont="1" applyFill="1" applyBorder="1" applyAlignment="1">
      <alignment horizontal="center" vertical="center" wrapText="1"/>
    </xf>
    <xf numFmtId="49" fontId="19" fillId="2" borderId="8" xfId="1" applyNumberFormat="1" applyFont="1" applyFill="1" applyBorder="1" applyAlignment="1">
      <alignment horizontal="center" vertical="center" wrapText="1"/>
    </xf>
    <xf numFmtId="0" fontId="31" fillId="3" borderId="0" xfId="1" applyFont="1" applyFill="1" applyAlignment="1">
      <alignment horizontal="center" vertical="center" wrapText="1"/>
    </xf>
    <xf numFmtId="0" fontId="30" fillId="3" borderId="0" xfId="3" applyFont="1" applyFill="1" applyAlignment="1">
      <alignment horizontal="center"/>
    </xf>
    <xf numFmtId="49" fontId="19" fillId="0" borderId="0" xfId="0" applyNumberFormat="1" applyFont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0" xfId="6" applyFont="1" applyAlignment="1">
      <alignment horizontal="center" vertical="center"/>
    </xf>
    <xf numFmtId="49" fontId="19" fillId="0" borderId="0" xfId="0" applyNumberFormat="1" applyFont="1" applyAlignment="1">
      <alignment vertical="center" wrapText="1"/>
    </xf>
    <xf numFmtId="49" fontId="19" fillId="0" borderId="2" xfId="0" applyNumberFormat="1" applyFont="1" applyBorder="1" applyAlignment="1">
      <alignment vertical="center" wrapText="1"/>
    </xf>
    <xf numFmtId="0" fontId="31" fillId="0" borderId="0" xfId="6" applyFont="1" applyAlignment="1">
      <alignment horizontal="center" vertical="center" wrapText="1"/>
    </xf>
    <xf numFmtId="0" fontId="30" fillId="0" borderId="0" xfId="6" applyFont="1" applyAlignment="1">
      <alignment horizontal="center" vertical="center"/>
    </xf>
    <xf numFmtId="0" fontId="30" fillId="0" borderId="0" xfId="13" applyFont="1" applyAlignment="1">
      <alignment horizontal="center" vertical="center"/>
    </xf>
    <xf numFmtId="0" fontId="5" fillId="0" borderId="0" xfId="13" applyFont="1" applyAlignment="1">
      <alignment horizontal="justify" vertical="justify" wrapText="1"/>
    </xf>
    <xf numFmtId="0" fontId="9" fillId="0" borderId="0" xfId="0" applyFont="1" applyAlignment="1">
      <alignment horizontal="justify" vertical="justify" wrapText="1"/>
    </xf>
    <xf numFmtId="0" fontId="19" fillId="2" borderId="3" xfId="10" applyFont="1" applyFill="1" applyBorder="1" applyAlignment="1">
      <alignment horizontal="center" vertical="center" wrapText="1"/>
    </xf>
    <xf numFmtId="0" fontId="6" fillId="0" borderId="0" xfId="13" applyFont="1" applyAlignment="1">
      <alignment horizontal="justify" wrapText="1"/>
    </xf>
    <xf numFmtId="0" fontId="9" fillId="0" borderId="0" xfId="2" applyFont="1" applyAlignment="1">
      <alignment horizontal="justify" wrapText="1"/>
    </xf>
    <xf numFmtId="0" fontId="31" fillId="0" borderId="0" xfId="2" applyFont="1" applyAlignment="1">
      <alignment horizontal="center" vertical="center" wrapText="1"/>
    </xf>
    <xf numFmtId="0" fontId="30" fillId="0" borderId="0" xfId="10" applyFont="1" applyAlignment="1">
      <alignment horizontal="center" vertical="center"/>
    </xf>
    <xf numFmtId="0" fontId="19" fillId="2" borderId="11" xfId="10" applyFont="1" applyFill="1" applyBorder="1" applyAlignment="1">
      <alignment horizontal="center" vertical="center"/>
    </xf>
    <xf numFmtId="0" fontId="19" fillId="2" borderId="2" xfId="10" applyFont="1" applyFill="1" applyBorder="1" applyAlignment="1">
      <alignment horizontal="center" vertical="center"/>
    </xf>
    <xf numFmtId="0" fontId="19" fillId="2" borderId="6" xfId="10" applyFont="1" applyFill="1" applyBorder="1" applyAlignment="1">
      <alignment horizontal="center" vertical="center"/>
    </xf>
    <xf numFmtId="0" fontId="19" fillId="2" borderId="9" xfId="10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center" vertical="center" wrapText="1"/>
    </xf>
    <xf numFmtId="0" fontId="19" fillId="2" borderId="3" xfId="10" applyFont="1" applyFill="1" applyBorder="1" applyAlignment="1">
      <alignment horizontal="center" vertical="center"/>
    </xf>
    <xf numFmtId="0" fontId="19" fillId="2" borderId="9" xfId="10" applyFont="1" applyFill="1" applyBorder="1" applyAlignment="1">
      <alignment horizontal="center" vertical="center"/>
    </xf>
    <xf numFmtId="0" fontId="19" fillId="2" borderId="4" xfId="10" applyFont="1" applyFill="1" applyBorder="1" applyAlignment="1">
      <alignment horizontal="center" vertical="center"/>
    </xf>
    <xf numFmtId="0" fontId="19" fillId="2" borderId="9" xfId="10" applyFont="1" applyFill="1" applyBorder="1" applyAlignment="1">
      <alignment horizontal="right" vertical="center" wrapText="1"/>
    </xf>
    <xf numFmtId="0" fontId="20" fillId="2" borderId="4" xfId="2" applyFont="1" applyFill="1" applyBorder="1" applyAlignment="1">
      <alignment horizontal="right" vertical="center" wrapText="1"/>
    </xf>
    <xf numFmtId="0" fontId="20" fillId="0" borderId="0" xfId="10" applyFont="1" applyAlignment="1">
      <alignment horizontal="center" vertical="center"/>
    </xf>
    <xf numFmtId="0" fontId="19" fillId="2" borderId="4" xfId="10" applyFont="1" applyFill="1" applyBorder="1" applyAlignment="1">
      <alignment horizontal="center" vertical="center" wrapText="1"/>
    </xf>
    <xf numFmtId="49" fontId="6" fillId="0" borderId="0" xfId="13" applyNumberFormat="1" applyFont="1" applyAlignment="1">
      <alignment horizontal="justify" vertical="center" wrapText="1"/>
    </xf>
    <xf numFmtId="0" fontId="5" fillId="0" borderId="0" xfId="2" applyAlignment="1">
      <alignment horizontal="justify" vertical="center" wrapText="1"/>
    </xf>
    <xf numFmtId="0" fontId="19" fillId="2" borderId="11" xfId="10" applyFont="1" applyFill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center" vertical="center" wrapText="1"/>
    </xf>
    <xf numFmtId="0" fontId="20" fillId="2" borderId="6" xfId="2" applyFont="1" applyFill="1" applyBorder="1" applyAlignment="1">
      <alignment horizontal="center" vertical="center" wrapText="1"/>
    </xf>
    <xf numFmtId="0" fontId="19" fillId="2" borderId="0" xfId="10" applyFont="1" applyFill="1" applyAlignment="1">
      <alignment horizontal="right" vertical="center" wrapText="1"/>
    </xf>
    <xf numFmtId="0" fontId="19" fillId="2" borderId="4" xfId="10" applyFont="1" applyFill="1" applyBorder="1" applyAlignment="1">
      <alignment horizontal="right" vertical="center" wrapText="1"/>
    </xf>
    <xf numFmtId="0" fontId="28" fillId="0" borderId="0" xfId="2" applyFont="1" applyAlignment="1">
      <alignment horizontal="center" vertical="center" wrapText="1"/>
    </xf>
    <xf numFmtId="0" fontId="19" fillId="2" borderId="5" xfId="2" applyFont="1" applyFill="1" applyBorder="1" applyAlignment="1">
      <alignment horizontal="center" vertical="center" wrapText="1"/>
    </xf>
    <xf numFmtId="0" fontId="19" fillId="2" borderId="3" xfId="10" applyFont="1" applyFill="1" applyBorder="1" applyAlignment="1">
      <alignment horizontal="right" vertical="center" wrapText="1"/>
    </xf>
    <xf numFmtId="2" fontId="19" fillId="2" borderId="3" xfId="10" applyNumberFormat="1" applyFont="1" applyFill="1" applyBorder="1" applyAlignment="1">
      <alignment horizontal="right" vertical="center" wrapText="1"/>
    </xf>
    <xf numFmtId="2" fontId="19" fillId="2" borderId="9" xfId="10" applyNumberFormat="1" applyFont="1" applyFill="1" applyBorder="1" applyAlignment="1">
      <alignment horizontal="center" vertical="center" wrapText="1"/>
    </xf>
    <xf numFmtId="2" fontId="19" fillId="2" borderId="4" xfId="10" applyNumberFormat="1" applyFont="1" applyFill="1" applyBorder="1" applyAlignment="1">
      <alignment horizontal="center" vertical="center" wrapText="1"/>
    </xf>
    <xf numFmtId="49" fontId="6" fillId="0" borderId="0" xfId="26" applyNumberFormat="1" applyFont="1" applyAlignment="1" applyProtection="1">
      <alignment horizontal="justify" wrapText="1"/>
      <protection locked="0"/>
    </xf>
    <xf numFmtId="0" fontId="9" fillId="0" borderId="2" xfId="0" applyFont="1" applyBorder="1" applyAlignment="1">
      <alignment horizontal="justify" wrapText="1"/>
    </xf>
    <xf numFmtId="0" fontId="9" fillId="0" borderId="0" xfId="0" applyFont="1" applyAlignment="1">
      <alignment horizontal="justify" wrapText="1"/>
    </xf>
    <xf numFmtId="49" fontId="28" fillId="0" borderId="0" xfId="19" applyNumberFormat="1" applyFont="1" applyAlignment="1">
      <alignment horizontal="center" vertical="center" wrapText="1"/>
    </xf>
    <xf numFmtId="0" fontId="29" fillId="0" borderId="0" xfId="19" applyFont="1" applyAlignment="1">
      <alignment horizontal="center" vertical="center"/>
    </xf>
    <xf numFmtId="49" fontId="31" fillId="0" borderId="0" xfId="19" applyNumberFormat="1" applyFont="1" applyAlignment="1">
      <alignment horizontal="center" vertical="center" wrapText="1"/>
    </xf>
    <xf numFmtId="0" fontId="30" fillId="0" borderId="0" xfId="19" applyFont="1" applyAlignment="1">
      <alignment horizontal="center" vertical="center"/>
    </xf>
    <xf numFmtId="0" fontId="14" fillId="0" borderId="0" xfId="2" applyFont="1" applyAlignment="1">
      <alignment horizontal="left" vertical="center" wrapText="1"/>
    </xf>
    <xf numFmtId="0" fontId="28" fillId="0" borderId="0" xfId="19" applyFont="1" applyAlignment="1">
      <alignment horizontal="center" vertical="center" wrapText="1"/>
    </xf>
    <xf numFmtId="0" fontId="29" fillId="0" borderId="0" xfId="2" applyFont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3" fontId="19" fillId="2" borderId="11" xfId="22" applyNumberFormat="1" applyFont="1" applyFill="1" applyBorder="1" applyAlignment="1">
      <alignment horizontal="center" vertical="center" wrapText="1"/>
    </xf>
    <xf numFmtId="3" fontId="19" fillId="2" borderId="6" xfId="22" applyNumberFormat="1" applyFont="1" applyFill="1" applyBorder="1" applyAlignment="1">
      <alignment horizontal="center" vertical="center" wrapText="1"/>
    </xf>
    <xf numFmtId="0" fontId="52" fillId="2" borderId="9" xfId="0" applyFont="1" applyFill="1" applyBorder="1" applyAlignment="1">
      <alignment horizontal="center" vertical="center"/>
    </xf>
    <xf numFmtId="0" fontId="48" fillId="3" borderId="0" xfId="4" applyFont="1" applyFill="1" applyAlignment="1">
      <alignment horizontal="center" vertical="center"/>
    </xf>
    <xf numFmtId="0" fontId="31" fillId="3" borderId="0" xfId="19" applyFont="1" applyFill="1" applyAlignment="1">
      <alignment horizontal="center"/>
    </xf>
    <xf numFmtId="0" fontId="30" fillId="3" borderId="0" xfId="4" applyFont="1" applyFill="1" applyAlignment="1">
      <alignment horizontal="center" vertical="center"/>
    </xf>
    <xf numFmtId="0" fontId="31" fillId="3" borderId="0" xfId="19" applyFont="1" applyFill="1" applyAlignment="1">
      <alignment horizontal="center" vertical="center" wrapText="1"/>
    </xf>
    <xf numFmtId="0" fontId="31" fillId="0" borderId="0" xfId="10" applyFont="1" applyAlignment="1">
      <alignment horizontal="center" vertical="center" wrapText="1"/>
    </xf>
    <xf numFmtId="0" fontId="5" fillId="0" borderId="0" xfId="22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19" fillId="2" borderId="9" xfId="22" applyFont="1" applyFill="1" applyBorder="1" applyAlignment="1">
      <alignment horizontal="right" vertical="center" wrapText="1"/>
    </xf>
    <xf numFmtId="0" fontId="19" fillId="2" borderId="4" xfId="22" applyFont="1" applyFill="1" applyBorder="1" applyAlignment="1">
      <alignment horizontal="right" vertical="center" wrapText="1"/>
    </xf>
    <xf numFmtId="0" fontId="19" fillId="2" borderId="3" xfId="22" applyFont="1" applyFill="1" applyBorder="1" applyAlignment="1">
      <alignment horizontal="center" vertical="center" wrapText="1"/>
    </xf>
    <xf numFmtId="0" fontId="28" fillId="0" borderId="0" xfId="10" applyFont="1" applyAlignment="1">
      <alignment horizontal="center" vertical="center" wrapText="1"/>
    </xf>
    <xf numFmtId="0" fontId="29" fillId="0" borderId="0" xfId="10" applyFont="1" applyAlignment="1">
      <alignment horizontal="center" vertical="center" wrapText="1"/>
    </xf>
    <xf numFmtId="0" fontId="29" fillId="0" borderId="0" xfId="20" applyFont="1" applyAlignment="1">
      <alignment horizontal="center" vertical="center"/>
    </xf>
    <xf numFmtId="0" fontId="28" fillId="0" borderId="0" xfId="6" applyFont="1" applyAlignment="1">
      <alignment horizontal="center" vertical="center"/>
    </xf>
  </cellXfs>
  <cellStyles count="35">
    <cellStyle name="Cancel 2" xfId="27"/>
    <cellStyle name="Cancel 2 2" xfId="2"/>
    <cellStyle name="Estilo 1" xfId="31"/>
    <cellStyle name="Millares 11" xfId="17"/>
    <cellStyle name="Millares 15" xfId="11"/>
    <cellStyle name="Millares 2 8" xfId="29"/>
    <cellStyle name="Millares 3 2 2" xfId="28"/>
    <cellStyle name="Normal" xfId="0" builtinId="0"/>
    <cellStyle name="Normal 12" xfId="25"/>
    <cellStyle name="Normal 2 15" xfId="12"/>
    <cellStyle name="Normal 2 2" xfId="21"/>
    <cellStyle name="Normal 2 40" xfId="3"/>
    <cellStyle name="Normal 24" xfId="33"/>
    <cellStyle name="Normal 27 3" xfId="30"/>
    <cellStyle name="Normal 3" xfId="9"/>
    <cellStyle name="Normal 3 2" xfId="26"/>
    <cellStyle name="Normal 4" xfId="32"/>
    <cellStyle name="Normal 49 2" xfId="5"/>
    <cellStyle name="Normal_05 Volumen mensual de produccion de agua potable" xfId="13"/>
    <cellStyle name="Normal_05 Volumen mensual de produccion de agua potable_DATA PARA ANUARIO DE ESTADISTICAS AMBIENTALES DEL INEI" xfId="18"/>
    <cellStyle name="Normal_06 Consumo total de agua" xfId="20"/>
    <cellStyle name="Normal_08 Cobertura de agua potable según EPS 1996-2001" xfId="10"/>
    <cellStyle name="Normal_3ainic" xfId="22"/>
    <cellStyle name="Normal_Cap III-anexo-junio-2005-OK" xfId="24"/>
    <cellStyle name="Normal_Cap2_MedioAmbiente-def" xfId="14"/>
    <cellStyle name="Normal_cap-4-VIV-2006_ultimo" xfId="19"/>
    <cellStyle name="Normal_CAP-MEDIOAMB-ANT" xfId="1"/>
    <cellStyle name="Normal_DATA PARA ANUARIO DE ESTADISTICAS AMBIENTALES DEL INEI" xfId="6"/>
    <cellStyle name="Normal_Datos para INEI-SEDAPAL" xfId="23"/>
    <cellStyle name="Normal_elimn 3" xfId="34"/>
    <cellStyle name="Normal_IEC14014" xfId="7"/>
    <cellStyle name="Normal_IEC14016" xfId="15"/>
    <cellStyle name="Normal_IEC14017" xfId="16"/>
    <cellStyle name="Normal_IEC14025" xfId="8"/>
    <cellStyle name="Normal_RECURSOS HIDRICOS" xfId="4"/>
  </cellStyles>
  <dxfs count="38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colors>
    <mruColors>
      <color rgb="FF59FC3E"/>
      <color rgb="FF17E9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74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6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5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49.xml"/><Relationship Id="rId78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57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5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5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42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37.xml"/><Relationship Id="rId82" Type="http://schemas.openxmlformats.org/officeDocument/2006/relationships/externalLink" Target="externalLinks/externalLink5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yectos.inei.gob.pe/MIRI/CENSOS/Preliminar_Censo%202007/Libr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2%20AAAAAA%20AASUYANA-7.9.2017\2-7.9.17\1-aaPara%20Trasladar\3\MIRI\CENSOS\Preliminar_Censo%202007\Libro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NotaTribactual\NotaTrib\Notaexcel\Vinculada\2002\0902\VIN_NV_INGCORR02propinici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MIRI\CENSOS\Preliminar_Censo%202007\Libro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MIRI\CENSOS\Preliminar_Censo%202007\Libro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amos\AppData\Local\Temp\1-aaPara%20Trasladar\3\MIRI\CENSOS\Preliminar_Censo%202007\Lib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EB37C4\Piramide%20Pob%20%20Censal%20(2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DOCUME~1\edavila\CONFIG~1\Temp\Piramide%20Pob%20%20Censal%20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2%20AAAAAA%20AASUYANA-7.9.2017\2-7.9.17\1-aaPara%20Trasladar\3\DOCUME~1\edavila\CONFIG~1\Temp\Piramide%20Pob%20%20Censal%20(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Mis%20documentos\MISDOC\BASE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A1333F\Piramide%20Pob%20%20Censal%20(2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bar%20Cd\CUADROS\RECIBIDODE\INEI-2003-FORMATOS%20INREN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bezas\Otros\Poblacion%20&amp;%20Region%20natural\generar%20ubigeo%20dpto%20prov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  <cell r="P4">
            <v>0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>
            <v>0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>
            <v>0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>
            <v>0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2007ubig"/>
      <sheetName val="cruce"/>
    </sheetNames>
    <sheetDataSet>
      <sheetData sheetId="0"/>
      <sheetData sheetId="1"/>
      <sheetData sheetId="2">
        <row r="1">
          <cell r="B1" t="str">
            <v>ccdd</v>
          </cell>
          <cell r="C1" t="str">
            <v>ccpp</v>
          </cell>
          <cell r="D1" t="str">
            <v>ccdi</v>
          </cell>
          <cell r="E1" t="str">
            <v>DPTO_Nombre</v>
          </cell>
          <cell r="F1" t="str">
            <v>PROV_Nombre</v>
          </cell>
          <cell r="G1" t="str">
            <v>DIST_Nombre</v>
          </cell>
          <cell r="H1" t="str">
            <v>IdMuniciMetSca</v>
          </cell>
          <cell r="I1" t="str">
            <v>CatMuni</v>
          </cell>
        </row>
        <row r="2">
          <cell r="A2" t="str">
            <v>AMAZONASCHACHAPOYASCHACHAPOYAS</v>
          </cell>
          <cell r="B2" t="str">
            <v>01</v>
          </cell>
          <cell r="C2" t="str">
            <v>01</v>
          </cell>
          <cell r="D2" t="str">
            <v>01</v>
          </cell>
          <cell r="E2" t="str">
            <v>AMAZONAS</v>
          </cell>
          <cell r="F2" t="str">
            <v>CHACHAPOYAS</v>
          </cell>
          <cell r="G2" t="str">
            <v>CHACHAPOYAS</v>
          </cell>
          <cell r="H2" t="str">
            <v>010001</v>
          </cell>
          <cell r="I2" t="str">
            <v>1</v>
          </cell>
        </row>
        <row r="3">
          <cell r="A3" t="str">
            <v>AMAZONASCHACHAPOYASASUNCION</v>
          </cell>
          <cell r="B3" t="str">
            <v>01</v>
          </cell>
          <cell r="C3" t="str">
            <v>01</v>
          </cell>
          <cell r="D3" t="str">
            <v>02</v>
          </cell>
          <cell r="E3" t="str">
            <v>AMAZONAS</v>
          </cell>
          <cell r="F3" t="str">
            <v>CHACHAPOYAS</v>
          </cell>
          <cell r="G3" t="str">
            <v>ASUNCION</v>
          </cell>
          <cell r="H3" t="str">
            <v>010002</v>
          </cell>
          <cell r="I3" t="str">
            <v>2</v>
          </cell>
        </row>
        <row r="4">
          <cell r="A4" t="str">
            <v>AMAZONASCHACHAPOYASBALSAS</v>
          </cell>
          <cell r="B4" t="str">
            <v>01</v>
          </cell>
          <cell r="C4" t="str">
            <v>01</v>
          </cell>
          <cell r="D4" t="str">
            <v>03</v>
          </cell>
          <cell r="E4" t="str">
            <v>AMAZONAS</v>
          </cell>
          <cell r="F4" t="str">
            <v>CHACHAPOYAS</v>
          </cell>
          <cell r="G4" t="str">
            <v>BALSAS</v>
          </cell>
          <cell r="H4" t="str">
            <v>010016</v>
          </cell>
          <cell r="I4" t="str">
            <v>2</v>
          </cell>
        </row>
        <row r="5">
          <cell r="A5" t="str">
            <v>AMAZONASCHACHAPOYASCHETO</v>
          </cell>
          <cell r="B5" t="str">
            <v>01</v>
          </cell>
          <cell r="C5" t="str">
            <v>01</v>
          </cell>
          <cell r="D5" t="str">
            <v>04</v>
          </cell>
          <cell r="E5" t="str">
            <v>AMAZONAS</v>
          </cell>
          <cell r="F5" t="str">
            <v>CHACHAPOYAS</v>
          </cell>
          <cell r="G5" t="str">
            <v>CHETO</v>
          </cell>
          <cell r="H5" t="str">
            <v>010003</v>
          </cell>
          <cell r="I5" t="str">
            <v>2</v>
          </cell>
        </row>
        <row r="6">
          <cell r="A6" t="str">
            <v>AMAZONASCHACHAPOYASCHILIQUIN</v>
          </cell>
          <cell r="B6" t="str">
            <v>01</v>
          </cell>
          <cell r="C6" t="str">
            <v>01</v>
          </cell>
          <cell r="D6" t="str">
            <v>05</v>
          </cell>
          <cell r="E6" t="str">
            <v>AMAZONAS</v>
          </cell>
          <cell r="F6" t="str">
            <v>CHACHAPOYAS</v>
          </cell>
          <cell r="G6" t="str">
            <v>CHILIQUIN</v>
          </cell>
          <cell r="H6" t="str">
            <v>010004</v>
          </cell>
          <cell r="I6" t="str">
            <v>2</v>
          </cell>
        </row>
        <row r="7">
          <cell r="A7" t="str">
            <v>AMAZONASCHACHAPOYASCHUQUIBAMBA</v>
          </cell>
          <cell r="B7" t="str">
            <v>01</v>
          </cell>
          <cell r="C7" t="str">
            <v>01</v>
          </cell>
          <cell r="D7" t="str">
            <v>06</v>
          </cell>
          <cell r="E7" t="str">
            <v>AMAZONAS</v>
          </cell>
          <cell r="F7" t="str">
            <v>CHACHAPOYAS</v>
          </cell>
          <cell r="G7" t="str">
            <v>CHUQUIBAMBA</v>
          </cell>
          <cell r="H7" t="str">
            <v>010017</v>
          </cell>
          <cell r="I7" t="str">
            <v>2</v>
          </cell>
        </row>
        <row r="8">
          <cell r="A8" t="str">
            <v>AMAZONASCHACHAPOYASGRANADA</v>
          </cell>
          <cell r="B8" t="str">
            <v>01</v>
          </cell>
          <cell r="C8" t="str">
            <v>01</v>
          </cell>
          <cell r="D8" t="str">
            <v>07</v>
          </cell>
          <cell r="E8" t="str">
            <v>AMAZONAS</v>
          </cell>
          <cell r="F8" t="str">
            <v>CHACHAPOYAS</v>
          </cell>
          <cell r="G8" t="str">
            <v>GRANADA</v>
          </cell>
          <cell r="H8" t="str">
            <v>010005</v>
          </cell>
          <cell r="I8" t="str">
            <v>2</v>
          </cell>
        </row>
        <row r="9">
          <cell r="A9" t="str">
            <v>AMAZONASCHACHAPOYASHUANCAS</v>
          </cell>
          <cell r="B9" t="str">
            <v>01</v>
          </cell>
          <cell r="C9" t="str">
            <v>01</v>
          </cell>
          <cell r="D9" t="str">
            <v>08</v>
          </cell>
          <cell r="E9" t="str">
            <v>AMAZONAS</v>
          </cell>
          <cell r="F9" t="str">
            <v>CHACHAPOYAS</v>
          </cell>
          <cell r="G9" t="str">
            <v>HUANCAS</v>
          </cell>
          <cell r="H9" t="str">
            <v>012364</v>
          </cell>
          <cell r="I9" t="str">
            <v>2</v>
          </cell>
        </row>
        <row r="10">
          <cell r="A10" t="str">
            <v>AMAZONASCHACHAPOYASLA JALCA</v>
          </cell>
          <cell r="B10" t="str">
            <v>01</v>
          </cell>
          <cell r="C10" t="str">
            <v>01</v>
          </cell>
          <cell r="D10" t="str">
            <v>09</v>
          </cell>
          <cell r="E10" t="str">
            <v>AMAZONAS</v>
          </cell>
          <cell r="F10" t="str">
            <v>CHACHAPOYAS</v>
          </cell>
          <cell r="G10" t="str">
            <v>LA JALCA</v>
          </cell>
          <cell r="H10" t="str">
            <v>010018</v>
          </cell>
          <cell r="I10" t="str">
            <v>2</v>
          </cell>
        </row>
        <row r="11">
          <cell r="A11" t="str">
            <v>AMAZONASCHACHAPOYASLEIMEBAMBA</v>
          </cell>
          <cell r="B11" t="str">
            <v>01</v>
          </cell>
          <cell r="C11" t="str">
            <v>01</v>
          </cell>
          <cell r="D11" t="str">
            <v>10</v>
          </cell>
          <cell r="E11" t="str">
            <v>AMAZONAS</v>
          </cell>
          <cell r="F11" t="str">
            <v>CHACHAPOYAS</v>
          </cell>
          <cell r="G11" t="str">
            <v>LEIMEBAMBA</v>
          </cell>
          <cell r="H11" t="str">
            <v>010019</v>
          </cell>
          <cell r="I11" t="str">
            <v>2</v>
          </cell>
        </row>
        <row r="12">
          <cell r="A12" t="str">
            <v>AMAZONASCHACHAPOYASLEVANTO</v>
          </cell>
          <cell r="B12" t="str">
            <v>01</v>
          </cell>
          <cell r="C12" t="str">
            <v>01</v>
          </cell>
          <cell r="D12" t="str">
            <v>11</v>
          </cell>
          <cell r="E12" t="str">
            <v>AMAZONAS</v>
          </cell>
          <cell r="F12" t="str">
            <v>CHACHAPOYAS</v>
          </cell>
          <cell r="G12" t="str">
            <v>LEVANTO</v>
          </cell>
          <cell r="H12" t="str">
            <v>010007</v>
          </cell>
          <cell r="I12" t="str">
            <v>2</v>
          </cell>
        </row>
        <row r="13">
          <cell r="A13" t="str">
            <v>AMAZONASCHACHAPOYASMAGDALENA</v>
          </cell>
          <cell r="B13" t="str">
            <v>01</v>
          </cell>
          <cell r="C13" t="str">
            <v>01</v>
          </cell>
          <cell r="D13" t="str">
            <v>12</v>
          </cell>
          <cell r="E13" t="str">
            <v>AMAZONAS</v>
          </cell>
          <cell r="F13" t="str">
            <v>CHACHAPOYAS</v>
          </cell>
          <cell r="G13" t="str">
            <v>MAGDALENA</v>
          </cell>
          <cell r="H13" t="str">
            <v>010058</v>
          </cell>
          <cell r="I13" t="str">
            <v>2</v>
          </cell>
        </row>
        <row r="14">
          <cell r="A14" t="str">
            <v>AMAZONASCHACHAPOYASMARISCAL CASTILLA</v>
          </cell>
          <cell r="B14" t="str">
            <v>01</v>
          </cell>
          <cell r="C14" t="str">
            <v>01</v>
          </cell>
          <cell r="D14" t="str">
            <v>13</v>
          </cell>
          <cell r="E14" t="str">
            <v>AMAZONAS</v>
          </cell>
          <cell r="F14" t="str">
            <v>CHACHAPOYAS</v>
          </cell>
          <cell r="G14" t="str">
            <v>MARISCAL CASTILLA</v>
          </cell>
          <cell r="H14" t="str">
            <v>010020</v>
          </cell>
          <cell r="I14" t="str">
            <v>2</v>
          </cell>
        </row>
        <row r="15">
          <cell r="A15" t="str">
            <v>AMAZONASCHACHAPOYASMOLINOPAMPA</v>
          </cell>
          <cell r="B15" t="str">
            <v>01</v>
          </cell>
          <cell r="C15" t="str">
            <v>01</v>
          </cell>
          <cell r="D15" t="str">
            <v>14</v>
          </cell>
          <cell r="E15" t="str">
            <v>AMAZONAS</v>
          </cell>
          <cell r="F15" t="str">
            <v>CHACHAPOYAS</v>
          </cell>
          <cell r="G15" t="str">
            <v>MOLINOPAMPA</v>
          </cell>
          <cell r="H15" t="str">
            <v>010008</v>
          </cell>
          <cell r="I15" t="str">
            <v>2</v>
          </cell>
        </row>
        <row r="16">
          <cell r="A16" t="str">
            <v>AMAZONASCHACHAPOYASMONTEVIDEO</v>
          </cell>
          <cell r="B16" t="str">
            <v>01</v>
          </cell>
          <cell r="C16" t="str">
            <v>01</v>
          </cell>
          <cell r="D16" t="str">
            <v>15</v>
          </cell>
          <cell r="E16" t="str">
            <v>AMAZONAS</v>
          </cell>
          <cell r="F16" t="str">
            <v>CHACHAPOYAS</v>
          </cell>
          <cell r="G16" t="str">
            <v>MONTEVIDEO</v>
          </cell>
          <cell r="H16" t="str">
            <v>010021</v>
          </cell>
          <cell r="I16" t="str">
            <v>2</v>
          </cell>
        </row>
        <row r="17">
          <cell r="A17" t="str">
            <v>AMAZONASCHACHAPOYASOLLEROS</v>
          </cell>
          <cell r="B17" t="str">
            <v>01</v>
          </cell>
          <cell r="C17" t="str">
            <v>01</v>
          </cell>
          <cell r="D17" t="str">
            <v>16</v>
          </cell>
          <cell r="E17" t="str">
            <v>AMAZONAS</v>
          </cell>
          <cell r="F17" t="str">
            <v>CHACHAPOYAS</v>
          </cell>
          <cell r="G17" t="str">
            <v>OLLEROS</v>
          </cell>
          <cell r="H17" t="str">
            <v>010009</v>
          </cell>
          <cell r="I17" t="str">
            <v>2</v>
          </cell>
        </row>
        <row r="18">
          <cell r="A18" t="str">
            <v>AMAZONASCHACHAPOYASQUINJALCA</v>
          </cell>
          <cell r="B18" t="str">
            <v>01</v>
          </cell>
          <cell r="C18" t="str">
            <v>01</v>
          </cell>
          <cell r="D18" t="str">
            <v>17</v>
          </cell>
          <cell r="E18" t="str">
            <v>AMAZONAS</v>
          </cell>
          <cell r="F18" t="str">
            <v>CHACHAPOYAS</v>
          </cell>
          <cell r="G18" t="str">
            <v>QUINJALCA</v>
          </cell>
          <cell r="H18" t="str">
            <v>012368</v>
          </cell>
          <cell r="I18" t="str">
            <v>2</v>
          </cell>
        </row>
        <row r="19">
          <cell r="A19" t="str">
            <v>AMAZONASCHACHAPOYASSAN FRANCISCO DE DAGUAS</v>
          </cell>
          <cell r="B19" t="str">
            <v>01</v>
          </cell>
          <cell r="C19" t="str">
            <v>01</v>
          </cell>
          <cell r="D19" t="str">
            <v>18</v>
          </cell>
          <cell r="E19" t="str">
            <v>AMAZONAS</v>
          </cell>
          <cell r="F19" t="str">
            <v>CHACHAPOYAS</v>
          </cell>
          <cell r="G19" t="str">
            <v>SAN FRANCISCO DE DAGUAS</v>
          </cell>
          <cell r="H19" t="str">
            <v>010011</v>
          </cell>
          <cell r="I19" t="str">
            <v>2</v>
          </cell>
        </row>
        <row r="20">
          <cell r="A20" t="str">
            <v>AMAZONASCHACHAPOYASSAN ISIDRO DE MAINO</v>
          </cell>
          <cell r="B20" t="str">
            <v>01</v>
          </cell>
          <cell r="C20" t="str">
            <v>01</v>
          </cell>
          <cell r="D20" t="str">
            <v>19</v>
          </cell>
          <cell r="E20" t="str">
            <v>AMAZONAS</v>
          </cell>
          <cell r="F20" t="str">
            <v>CHACHAPOYAS</v>
          </cell>
          <cell r="G20" t="str">
            <v>SAN ISIDRO DE MAINO</v>
          </cell>
          <cell r="H20" t="str">
            <v>010059</v>
          </cell>
          <cell r="I20" t="str">
            <v>2</v>
          </cell>
        </row>
        <row r="21">
          <cell r="A21" t="str">
            <v>AMAZONASCHACHAPOYASSOLOCO</v>
          </cell>
          <cell r="B21" t="str">
            <v>01</v>
          </cell>
          <cell r="C21" t="str">
            <v>01</v>
          </cell>
          <cell r="D21" t="str">
            <v>20</v>
          </cell>
          <cell r="E21" t="str">
            <v>AMAZONAS</v>
          </cell>
          <cell r="F21" t="str">
            <v>CHACHAPOYAS</v>
          </cell>
          <cell r="G21" t="str">
            <v>SOLOCO</v>
          </cell>
          <cell r="H21" t="str">
            <v>010012</v>
          </cell>
          <cell r="I21" t="str">
            <v>2</v>
          </cell>
        </row>
        <row r="22">
          <cell r="A22" t="str">
            <v>AMAZONASCHACHAPOYASSONCHE</v>
          </cell>
          <cell r="B22" t="str">
            <v>01</v>
          </cell>
          <cell r="C22" t="str">
            <v>01</v>
          </cell>
          <cell r="D22" t="str">
            <v>21</v>
          </cell>
          <cell r="E22" t="str">
            <v>AMAZONAS</v>
          </cell>
          <cell r="F22" t="str">
            <v>CHACHAPOYAS</v>
          </cell>
          <cell r="G22" t="str">
            <v>SONCHE</v>
          </cell>
          <cell r="H22" t="str">
            <v>010013</v>
          </cell>
          <cell r="I22" t="str">
            <v>2</v>
          </cell>
        </row>
        <row r="23">
          <cell r="A23" t="str">
            <v>AMAZONASBAGUALA PECA</v>
          </cell>
          <cell r="B23" t="str">
            <v>01</v>
          </cell>
          <cell r="C23" t="str">
            <v>02</v>
          </cell>
          <cell r="D23" t="str">
            <v>01</v>
          </cell>
          <cell r="E23" t="str">
            <v>AMAZONAS</v>
          </cell>
          <cell r="F23" t="str">
            <v>BAGUA</v>
          </cell>
          <cell r="G23" t="str">
            <v>LA PECA</v>
          </cell>
          <cell r="H23" t="str">
            <v>010025</v>
          </cell>
          <cell r="I23" t="str">
            <v>2</v>
          </cell>
        </row>
        <row r="24">
          <cell r="A24" t="str">
            <v>AMAZONASBAGUAARAMANGO</v>
          </cell>
          <cell r="B24" t="str">
            <v>01</v>
          </cell>
          <cell r="C24" t="str">
            <v>02</v>
          </cell>
          <cell r="D24" t="str">
            <v>02</v>
          </cell>
          <cell r="E24" t="str">
            <v>AMAZONAS</v>
          </cell>
          <cell r="F24" t="str">
            <v>BAGUA</v>
          </cell>
          <cell r="G24" t="str">
            <v>ARAMANGO</v>
          </cell>
          <cell r="H24" t="str">
            <v>010026</v>
          </cell>
          <cell r="I24" t="str">
            <v>2</v>
          </cell>
        </row>
        <row r="25">
          <cell r="A25" t="str">
            <v>AMAZONASBAGUACOPALLIN</v>
          </cell>
          <cell r="B25" t="str">
            <v>01</v>
          </cell>
          <cell r="C25" t="str">
            <v>02</v>
          </cell>
          <cell r="D25" t="str">
            <v>03</v>
          </cell>
          <cell r="E25" t="str">
            <v>AMAZONAS</v>
          </cell>
          <cell r="F25" t="str">
            <v>BAGUA</v>
          </cell>
          <cell r="G25" t="str">
            <v>COPALLIN</v>
          </cell>
          <cell r="H25" t="str">
            <v>010027</v>
          </cell>
          <cell r="I25" t="str">
            <v>2</v>
          </cell>
        </row>
        <row r="26">
          <cell r="A26" t="str">
            <v>AMAZONASBAGUAEL PARCO</v>
          </cell>
          <cell r="B26" t="str">
            <v>01</v>
          </cell>
          <cell r="C26" t="str">
            <v>02</v>
          </cell>
          <cell r="D26" t="str">
            <v>04</v>
          </cell>
          <cell r="E26" t="str">
            <v>AMAZONAS</v>
          </cell>
          <cell r="F26" t="str">
            <v>BAGUA</v>
          </cell>
          <cell r="G26" t="str">
            <v>EL PARCO</v>
          </cell>
          <cell r="H26" t="str">
            <v>010028</v>
          </cell>
          <cell r="I26" t="str">
            <v>2</v>
          </cell>
        </row>
        <row r="27">
          <cell r="A27" t="str">
            <v>AMAZONASBAGUAIMAZA</v>
          </cell>
          <cell r="B27" t="str">
            <v>01</v>
          </cell>
          <cell r="C27" t="str">
            <v>02</v>
          </cell>
          <cell r="D27" t="str">
            <v>05</v>
          </cell>
          <cell r="E27" t="str">
            <v>AMAZONAS</v>
          </cell>
          <cell r="F27" t="str">
            <v>BAGUA</v>
          </cell>
          <cell r="G27" t="str">
            <v>IMAZA</v>
          </cell>
          <cell r="H27" t="str">
            <v>010029</v>
          </cell>
          <cell r="I27" t="str">
            <v>2</v>
          </cell>
        </row>
        <row r="28">
          <cell r="A28" t="str">
            <v>AMAZONASBONGARAJUMBILLA</v>
          </cell>
          <cell r="B28" t="str">
            <v>01</v>
          </cell>
          <cell r="C28" t="str">
            <v>03</v>
          </cell>
          <cell r="D28" t="str">
            <v>01</v>
          </cell>
          <cell r="E28" t="str">
            <v>AMAZONAS</v>
          </cell>
          <cell r="F28" t="str">
            <v>BONGARA</v>
          </cell>
          <cell r="G28" t="str">
            <v>JUMBILLA</v>
          </cell>
          <cell r="H28" t="str">
            <v>010030</v>
          </cell>
          <cell r="I28" t="str">
            <v>1</v>
          </cell>
        </row>
        <row r="29">
          <cell r="A29" t="str">
            <v>AMAZONASBONGARACHISQUILLA</v>
          </cell>
          <cell r="B29" t="str">
            <v>01</v>
          </cell>
          <cell r="C29" t="str">
            <v>03</v>
          </cell>
          <cell r="D29" t="str">
            <v>02</v>
          </cell>
          <cell r="E29" t="str">
            <v>AMAZONAS</v>
          </cell>
          <cell r="F29" t="str">
            <v>BONGARA</v>
          </cell>
          <cell r="G29" t="str">
            <v>CHISQUILLA</v>
          </cell>
          <cell r="H29" t="str">
            <v>012371</v>
          </cell>
          <cell r="I29" t="str">
            <v>2</v>
          </cell>
        </row>
        <row r="30">
          <cell r="A30" t="str">
            <v>AMAZONASBONGARACHURUJA</v>
          </cell>
          <cell r="B30" t="str">
            <v>01</v>
          </cell>
          <cell r="C30" t="str">
            <v>03</v>
          </cell>
          <cell r="D30" t="str">
            <v>03</v>
          </cell>
          <cell r="E30" t="str">
            <v>AMAZONAS</v>
          </cell>
          <cell r="F30" t="str">
            <v>BONGARA</v>
          </cell>
          <cell r="G30" t="str">
            <v>CHURUJA</v>
          </cell>
          <cell r="H30" t="str">
            <v>010014</v>
          </cell>
          <cell r="I30" t="str">
            <v>2</v>
          </cell>
        </row>
        <row r="31">
          <cell r="A31" t="str">
            <v>AMAZONASBONGARACOROSHA</v>
          </cell>
          <cell r="B31" t="str">
            <v>01</v>
          </cell>
          <cell r="C31" t="str">
            <v>03</v>
          </cell>
          <cell r="D31" t="str">
            <v>04</v>
          </cell>
          <cell r="E31" t="str">
            <v>AMAZONAS</v>
          </cell>
          <cell r="F31" t="str">
            <v>BONGARA</v>
          </cell>
          <cell r="G31" t="str">
            <v>COROSHA</v>
          </cell>
          <cell r="H31" t="str">
            <v>010032</v>
          </cell>
          <cell r="I31" t="str">
            <v>2</v>
          </cell>
        </row>
        <row r="32">
          <cell r="A32" t="str">
            <v>AMAZONASBONGARACUISPES</v>
          </cell>
          <cell r="B32" t="str">
            <v>01</v>
          </cell>
          <cell r="C32" t="str">
            <v>03</v>
          </cell>
          <cell r="D32" t="str">
            <v>05</v>
          </cell>
          <cell r="E32" t="str">
            <v>AMAZONAS</v>
          </cell>
          <cell r="F32" t="str">
            <v>BONGARA</v>
          </cell>
          <cell r="G32" t="str">
            <v>CUISPES</v>
          </cell>
          <cell r="H32" t="str">
            <v>010033</v>
          </cell>
          <cell r="I32" t="str">
            <v>2</v>
          </cell>
        </row>
        <row r="33">
          <cell r="A33" t="str">
            <v>AMAZONASBONGARAFLORIDA</v>
          </cell>
          <cell r="B33" t="str">
            <v>01</v>
          </cell>
          <cell r="C33" t="str">
            <v>03</v>
          </cell>
          <cell r="D33" t="str">
            <v>06</v>
          </cell>
          <cell r="E33" t="str">
            <v>AMAZONAS</v>
          </cell>
          <cell r="F33" t="str">
            <v>BONGARA</v>
          </cell>
          <cell r="G33" t="str">
            <v>FLORIDA</v>
          </cell>
          <cell r="H33" t="str">
            <v>010034</v>
          </cell>
          <cell r="I33" t="str">
            <v>2</v>
          </cell>
        </row>
        <row r="34">
          <cell r="A34" t="str">
            <v>AMAZONASBONGARAJAZAN</v>
          </cell>
          <cell r="B34" t="str">
            <v>01</v>
          </cell>
          <cell r="C34" t="str">
            <v>03</v>
          </cell>
          <cell r="D34" t="str">
            <v>07</v>
          </cell>
          <cell r="E34" t="str">
            <v>AMAZONAS</v>
          </cell>
          <cell r="F34" t="str">
            <v>BONGARA</v>
          </cell>
          <cell r="G34" t="str">
            <v>JAZAN</v>
          </cell>
          <cell r="H34" t="str">
            <v>010035</v>
          </cell>
          <cell r="I34" t="str">
            <v>2</v>
          </cell>
        </row>
        <row r="35">
          <cell r="A35" t="str">
            <v>AMAZONASBONGARARECTA</v>
          </cell>
          <cell r="B35" t="str">
            <v>01</v>
          </cell>
          <cell r="C35" t="str">
            <v>03</v>
          </cell>
          <cell r="D35" t="str">
            <v>08</v>
          </cell>
          <cell r="E35" t="str">
            <v>AMAZONAS</v>
          </cell>
          <cell r="F35" t="str">
            <v>BONGARA</v>
          </cell>
          <cell r="G35" t="str">
            <v>RECTA</v>
          </cell>
          <cell r="H35" t="str">
            <v>010036</v>
          </cell>
          <cell r="I35" t="str">
            <v>2</v>
          </cell>
        </row>
        <row r="36">
          <cell r="A36" t="str">
            <v>AMAZONASBONGARASAN CARLOS</v>
          </cell>
          <cell r="B36" t="str">
            <v>01</v>
          </cell>
          <cell r="C36" t="str">
            <v>03</v>
          </cell>
          <cell r="D36" t="str">
            <v>09</v>
          </cell>
          <cell r="E36" t="str">
            <v>AMAZONAS</v>
          </cell>
          <cell r="F36" t="str">
            <v>BONGARA</v>
          </cell>
          <cell r="G36" t="str">
            <v>SAN CARLOS</v>
          </cell>
          <cell r="H36" t="str">
            <v>010037</v>
          </cell>
          <cell r="I36" t="str">
            <v>2</v>
          </cell>
        </row>
        <row r="37">
          <cell r="A37" t="str">
            <v>AMAZONASBONGARASHIPASBAMBA</v>
          </cell>
          <cell r="B37" t="str">
            <v>01</v>
          </cell>
          <cell r="C37" t="str">
            <v>03</v>
          </cell>
          <cell r="D37" t="str">
            <v>10</v>
          </cell>
          <cell r="E37" t="str">
            <v>AMAZONAS</v>
          </cell>
          <cell r="F37" t="str">
            <v>BONGARA</v>
          </cell>
          <cell r="G37" t="str">
            <v>SHIPASBAMBA</v>
          </cell>
          <cell r="H37" t="str">
            <v>013251</v>
          </cell>
          <cell r="I37" t="str">
            <v>2</v>
          </cell>
        </row>
        <row r="38">
          <cell r="A38" t="str">
            <v>AMAZONASBONGARAVALERA</v>
          </cell>
          <cell r="B38" t="str">
            <v>01</v>
          </cell>
          <cell r="C38" t="str">
            <v>03</v>
          </cell>
          <cell r="D38" t="str">
            <v>11</v>
          </cell>
          <cell r="E38" t="str">
            <v>AMAZONAS</v>
          </cell>
          <cell r="F38" t="str">
            <v>BONGARA</v>
          </cell>
          <cell r="G38" t="str">
            <v>VALERA</v>
          </cell>
          <cell r="H38" t="str">
            <v>010015</v>
          </cell>
          <cell r="I38" t="str">
            <v>2</v>
          </cell>
        </row>
        <row r="39">
          <cell r="A39" t="str">
            <v>AMAZONASBONGARAYAMBRASBAMBA</v>
          </cell>
          <cell r="B39" t="str">
            <v>01</v>
          </cell>
          <cell r="C39" t="str">
            <v>03</v>
          </cell>
          <cell r="D39" t="str">
            <v>12</v>
          </cell>
          <cell r="E39" t="str">
            <v>AMAZONAS</v>
          </cell>
          <cell r="F39" t="str">
            <v>BONGARA</v>
          </cell>
          <cell r="G39" t="str">
            <v>YAMBRASBAMBA</v>
          </cell>
          <cell r="H39" t="str">
            <v>010039</v>
          </cell>
          <cell r="I39" t="str">
            <v>2</v>
          </cell>
        </row>
        <row r="40">
          <cell r="A40" t="str">
            <v>AMAZONASCONDORCANQUINIEVA</v>
          </cell>
          <cell r="B40" t="str">
            <v>01</v>
          </cell>
          <cell r="C40" t="str">
            <v>04</v>
          </cell>
          <cell r="D40" t="str">
            <v>01</v>
          </cell>
          <cell r="E40" t="str">
            <v>AMAZONAS</v>
          </cell>
          <cell r="F40" t="str">
            <v>CONDORCANQUI</v>
          </cell>
          <cell r="G40" t="str">
            <v>NIEVA</v>
          </cell>
          <cell r="H40" t="str">
            <v>010041</v>
          </cell>
          <cell r="I40" t="str">
            <v>1</v>
          </cell>
        </row>
        <row r="41">
          <cell r="A41" t="str">
            <v>AMAZONASCONDORCANQUIEL CENEPA</v>
          </cell>
          <cell r="B41" t="str">
            <v>01</v>
          </cell>
          <cell r="C41" t="str">
            <v>04</v>
          </cell>
          <cell r="D41" t="str">
            <v>02</v>
          </cell>
          <cell r="E41" t="str">
            <v>AMAZONAS</v>
          </cell>
          <cell r="F41" t="str">
            <v>CONDORCANQUI</v>
          </cell>
          <cell r="G41" t="str">
            <v>EL CENEPA</v>
          </cell>
          <cell r="H41" t="str">
            <v>010042</v>
          </cell>
          <cell r="I41" t="str">
            <v>2</v>
          </cell>
        </row>
        <row r="42">
          <cell r="A42" t="str">
            <v>AMAZONASCONDORCANQUIRIO SANTIAGO</v>
          </cell>
          <cell r="B42" t="str">
            <v>01</v>
          </cell>
          <cell r="C42" t="str">
            <v>04</v>
          </cell>
          <cell r="D42" t="str">
            <v>03</v>
          </cell>
          <cell r="E42" t="str">
            <v>AMAZONAS</v>
          </cell>
          <cell r="F42" t="str">
            <v>CONDORCANQUI</v>
          </cell>
          <cell r="G42" t="str">
            <v>RIO SANTIAGO</v>
          </cell>
          <cell r="H42" t="str">
            <v>012991</v>
          </cell>
          <cell r="I42" t="str">
            <v>2</v>
          </cell>
        </row>
        <row r="43">
          <cell r="A43" t="str">
            <v>AMAZONASLUYALAMUD</v>
          </cell>
          <cell r="B43" t="str">
            <v>01</v>
          </cell>
          <cell r="C43" t="str">
            <v>05</v>
          </cell>
          <cell r="D43" t="str">
            <v>01</v>
          </cell>
          <cell r="E43" t="str">
            <v>AMAZONAS</v>
          </cell>
          <cell r="F43" t="str">
            <v>LUYA</v>
          </cell>
          <cell r="G43" t="str">
            <v>LAMUD</v>
          </cell>
          <cell r="H43" t="str">
            <v>010044</v>
          </cell>
          <cell r="I43" t="str">
            <v>1</v>
          </cell>
        </row>
        <row r="44">
          <cell r="A44" t="str">
            <v>AMAZONASLUYACAMPORREDONDO</v>
          </cell>
          <cell r="B44" t="str">
            <v>01</v>
          </cell>
          <cell r="C44" t="str">
            <v>05</v>
          </cell>
          <cell r="D44" t="str">
            <v>02</v>
          </cell>
          <cell r="E44" t="str">
            <v>AMAZONAS</v>
          </cell>
          <cell r="F44" t="str">
            <v>LUYA</v>
          </cell>
          <cell r="G44" t="str">
            <v>CAMPORREDONDO</v>
          </cell>
          <cell r="H44" t="str">
            <v>010045</v>
          </cell>
          <cell r="I44" t="str">
            <v>2</v>
          </cell>
        </row>
        <row r="45">
          <cell r="A45" t="str">
            <v>AMAZONASLUYACOCABAMBA</v>
          </cell>
          <cell r="B45" t="str">
            <v>01</v>
          </cell>
          <cell r="C45" t="str">
            <v>05</v>
          </cell>
          <cell r="D45" t="str">
            <v>03</v>
          </cell>
          <cell r="E45" t="str">
            <v>AMAZONAS</v>
          </cell>
          <cell r="F45" t="str">
            <v>LUYA</v>
          </cell>
          <cell r="G45" t="str">
            <v>COCABAMBA</v>
          </cell>
          <cell r="H45" t="str">
            <v>010060</v>
          </cell>
          <cell r="I45" t="str">
            <v>2</v>
          </cell>
        </row>
        <row r="46">
          <cell r="A46" t="str">
            <v>AMAZONASLUYACOLCAMAR</v>
          </cell>
          <cell r="B46" t="str">
            <v>01</v>
          </cell>
          <cell r="C46" t="str">
            <v>05</v>
          </cell>
          <cell r="D46" t="str">
            <v>04</v>
          </cell>
          <cell r="E46" t="str">
            <v>AMAZONAS</v>
          </cell>
          <cell r="F46" t="str">
            <v>LUYA</v>
          </cell>
          <cell r="G46" t="str">
            <v>COLCAMAR</v>
          </cell>
          <cell r="H46" t="str">
            <v>010061</v>
          </cell>
          <cell r="I46" t="str">
            <v>2</v>
          </cell>
        </row>
        <row r="47">
          <cell r="A47" t="str">
            <v>AMAZONASLUYACONILA</v>
          </cell>
          <cell r="B47" t="str">
            <v>01</v>
          </cell>
          <cell r="C47" t="str">
            <v>05</v>
          </cell>
          <cell r="D47" t="str">
            <v>05</v>
          </cell>
          <cell r="E47" t="str">
            <v>AMAZONAS</v>
          </cell>
          <cell r="F47" t="str">
            <v>LUYA</v>
          </cell>
          <cell r="G47" t="str">
            <v>CONILA</v>
          </cell>
          <cell r="H47" t="str">
            <v>010046</v>
          </cell>
          <cell r="I47" t="str">
            <v>2</v>
          </cell>
        </row>
        <row r="48">
          <cell r="A48" t="str">
            <v>AMAZONASLUYAINGUILPATA</v>
          </cell>
          <cell r="B48" t="str">
            <v>01</v>
          </cell>
          <cell r="C48" t="str">
            <v>05</v>
          </cell>
          <cell r="D48" t="str">
            <v>06</v>
          </cell>
          <cell r="E48" t="str">
            <v>AMAZONAS</v>
          </cell>
          <cell r="F48" t="str">
            <v>LUYA</v>
          </cell>
          <cell r="G48" t="str">
            <v>INGUILPATA</v>
          </cell>
          <cell r="H48" t="str">
            <v>010047</v>
          </cell>
          <cell r="I48" t="str">
            <v>2</v>
          </cell>
        </row>
        <row r="49">
          <cell r="A49" t="str">
            <v>AMAZONASLUYALONGUITA</v>
          </cell>
          <cell r="B49" t="str">
            <v>01</v>
          </cell>
          <cell r="C49" t="str">
            <v>05</v>
          </cell>
          <cell r="D49" t="str">
            <v>07</v>
          </cell>
          <cell r="E49" t="str">
            <v>AMAZONAS</v>
          </cell>
          <cell r="F49" t="str">
            <v>LUYA</v>
          </cell>
          <cell r="G49" t="str">
            <v>LONGUITA</v>
          </cell>
          <cell r="H49" t="str">
            <v>010062</v>
          </cell>
          <cell r="I49" t="str">
            <v>2</v>
          </cell>
        </row>
        <row r="50">
          <cell r="A50" t="str">
            <v>AMAZONASLUYALONYA CHICO</v>
          </cell>
          <cell r="B50" t="str">
            <v>01</v>
          </cell>
          <cell r="C50" t="str">
            <v>05</v>
          </cell>
          <cell r="D50" t="str">
            <v>08</v>
          </cell>
          <cell r="E50" t="str">
            <v>AMAZONAS</v>
          </cell>
          <cell r="F50" t="str">
            <v>LUYA</v>
          </cell>
          <cell r="G50" t="str">
            <v>LONYA CHICO</v>
          </cell>
          <cell r="H50" t="str">
            <v>010048</v>
          </cell>
          <cell r="I50" t="str">
            <v>2</v>
          </cell>
        </row>
        <row r="51">
          <cell r="A51" t="str">
            <v>AMAZONASLUYALUYA</v>
          </cell>
          <cell r="B51" t="str">
            <v>01</v>
          </cell>
          <cell r="C51" t="str">
            <v>05</v>
          </cell>
          <cell r="D51" t="str">
            <v>09</v>
          </cell>
          <cell r="E51" t="str">
            <v>AMAZONAS</v>
          </cell>
          <cell r="F51" t="str">
            <v>LUYA</v>
          </cell>
          <cell r="G51" t="str">
            <v>LUYA</v>
          </cell>
          <cell r="H51" t="str">
            <v>010049</v>
          </cell>
          <cell r="I51" t="str">
            <v>2</v>
          </cell>
        </row>
        <row r="52">
          <cell r="A52" t="str">
            <v>AMAZONASLUYALUYA VIEJO</v>
          </cell>
          <cell r="B52" t="str">
            <v>01</v>
          </cell>
          <cell r="C52" t="str">
            <v>05</v>
          </cell>
          <cell r="D52" t="str">
            <v>10</v>
          </cell>
          <cell r="E52" t="str">
            <v>AMAZONAS</v>
          </cell>
          <cell r="F52" t="str">
            <v>LUYA</v>
          </cell>
          <cell r="G52" t="str">
            <v>LUYA VIEJO</v>
          </cell>
          <cell r="H52" t="str">
            <v>010050</v>
          </cell>
          <cell r="I52" t="str">
            <v>2</v>
          </cell>
        </row>
        <row r="53">
          <cell r="A53" t="str">
            <v>AMAZONASLUYAMARIA</v>
          </cell>
          <cell r="B53" t="str">
            <v>01</v>
          </cell>
          <cell r="C53" t="str">
            <v>05</v>
          </cell>
          <cell r="D53" t="str">
            <v>11</v>
          </cell>
          <cell r="E53" t="str">
            <v>AMAZONAS</v>
          </cell>
          <cell r="F53" t="str">
            <v>LUYA</v>
          </cell>
          <cell r="G53" t="str">
            <v>MARIA</v>
          </cell>
          <cell r="H53" t="str">
            <v>010063</v>
          </cell>
          <cell r="I53" t="str">
            <v>2</v>
          </cell>
        </row>
        <row r="54">
          <cell r="A54" t="str">
            <v>AMAZONASLUYAOCALLI</v>
          </cell>
          <cell r="B54" t="str">
            <v>01</v>
          </cell>
          <cell r="C54" t="str">
            <v>05</v>
          </cell>
          <cell r="D54" t="str">
            <v>12</v>
          </cell>
          <cell r="E54" t="str">
            <v>AMAZONAS</v>
          </cell>
          <cell r="F54" t="str">
            <v>LUYA</v>
          </cell>
          <cell r="G54" t="str">
            <v>OCALLI</v>
          </cell>
          <cell r="H54" t="str">
            <v>010051</v>
          </cell>
          <cell r="I54" t="str">
            <v>2</v>
          </cell>
        </row>
        <row r="55">
          <cell r="A55" t="str">
            <v>AMAZONASLUYAOCUMAL</v>
          </cell>
          <cell r="B55" t="str">
            <v>01</v>
          </cell>
          <cell r="C55" t="str">
            <v>05</v>
          </cell>
          <cell r="D55" t="str">
            <v>13</v>
          </cell>
          <cell r="E55" t="str">
            <v>AMAZONAS</v>
          </cell>
          <cell r="F55" t="str">
            <v>LUYA</v>
          </cell>
          <cell r="G55" t="str">
            <v>OCUMAL</v>
          </cell>
          <cell r="H55" t="str">
            <v>010052</v>
          </cell>
          <cell r="I55" t="str">
            <v>2</v>
          </cell>
        </row>
        <row r="56">
          <cell r="A56" t="str">
            <v>AMAZONASLUYAPISUQUIA</v>
          </cell>
          <cell r="B56" t="str">
            <v>01</v>
          </cell>
          <cell r="C56" t="str">
            <v>05</v>
          </cell>
          <cell r="D56" t="str">
            <v>14</v>
          </cell>
          <cell r="E56" t="str">
            <v>AMAZONAS</v>
          </cell>
          <cell r="F56" t="str">
            <v>LUYA</v>
          </cell>
          <cell r="G56" t="str">
            <v>PISUQUIA</v>
          </cell>
          <cell r="H56" t="str">
            <v>010064</v>
          </cell>
          <cell r="I56" t="str">
            <v>2</v>
          </cell>
        </row>
        <row r="57">
          <cell r="A57" t="str">
            <v>AMAZONASLUYAPROVIDENCIA</v>
          </cell>
          <cell r="B57" t="str">
            <v>01</v>
          </cell>
          <cell r="C57" t="str">
            <v>05</v>
          </cell>
          <cell r="D57" t="str">
            <v>15</v>
          </cell>
          <cell r="E57" t="str">
            <v>AMAZONAS</v>
          </cell>
          <cell r="F57" t="str">
            <v>LUYA</v>
          </cell>
          <cell r="G57" t="str">
            <v>PROVIDENCIA</v>
          </cell>
          <cell r="H57" t="str">
            <v>010053</v>
          </cell>
          <cell r="I57" t="str">
            <v>2</v>
          </cell>
        </row>
        <row r="58">
          <cell r="A58" t="str">
            <v>AMAZONASLUYASAN CRISTOBAL</v>
          </cell>
          <cell r="B58" t="str">
            <v>01</v>
          </cell>
          <cell r="C58" t="str">
            <v>05</v>
          </cell>
          <cell r="D58" t="str">
            <v>16</v>
          </cell>
          <cell r="E58" t="str">
            <v>AMAZONAS</v>
          </cell>
          <cell r="F58" t="str">
            <v>LUYA</v>
          </cell>
          <cell r="G58" t="str">
            <v>SAN CRISTOBAL</v>
          </cell>
          <cell r="H58" t="str">
            <v>010054</v>
          </cell>
          <cell r="I58" t="str">
            <v>2</v>
          </cell>
        </row>
        <row r="59">
          <cell r="A59" t="str">
            <v>AMAZONASLUYASAN FRANCISCO DEL YESO</v>
          </cell>
          <cell r="B59" t="str">
            <v>01</v>
          </cell>
          <cell r="C59" t="str">
            <v>05</v>
          </cell>
          <cell r="D59" t="str">
            <v>17</v>
          </cell>
          <cell r="E59" t="str">
            <v>AMAZONAS</v>
          </cell>
          <cell r="F59" t="str">
            <v>LUYA</v>
          </cell>
          <cell r="G59" t="str">
            <v>SAN FRANCISCO DEL YESO</v>
          </cell>
          <cell r="H59" t="str">
            <v>010022</v>
          </cell>
          <cell r="I59" t="str">
            <v>2</v>
          </cell>
        </row>
        <row r="60">
          <cell r="A60" t="str">
            <v>AMAZONASLUYASAN JERONIMO</v>
          </cell>
          <cell r="B60" t="str">
            <v>01</v>
          </cell>
          <cell r="C60" t="str">
            <v>05</v>
          </cell>
          <cell r="D60" t="str">
            <v>18</v>
          </cell>
          <cell r="E60" t="str">
            <v>AMAZONAS</v>
          </cell>
          <cell r="F60" t="str">
            <v>LUYA</v>
          </cell>
          <cell r="G60" t="str">
            <v>SAN JERONIMO</v>
          </cell>
          <cell r="H60" t="str">
            <v>010055</v>
          </cell>
          <cell r="I60" t="str">
            <v>2</v>
          </cell>
        </row>
        <row r="61">
          <cell r="A61" t="str">
            <v>AMAZONASLUYASAN JUAN DE LOPECANCHA</v>
          </cell>
          <cell r="B61" t="str">
            <v>01</v>
          </cell>
          <cell r="C61" t="str">
            <v>05</v>
          </cell>
          <cell r="D61" t="str">
            <v>19</v>
          </cell>
          <cell r="E61" t="str">
            <v>AMAZONAS</v>
          </cell>
          <cell r="F61" t="str">
            <v>LUYA</v>
          </cell>
          <cell r="G61" t="str">
            <v>SAN JUAN DE LOPECANCHA</v>
          </cell>
          <cell r="H61" t="str">
            <v>010065</v>
          </cell>
          <cell r="I61" t="str">
            <v>2</v>
          </cell>
        </row>
        <row r="62">
          <cell r="A62" t="str">
            <v>AMAZONASLUYASANTA CATALINA</v>
          </cell>
          <cell r="B62" t="str">
            <v>01</v>
          </cell>
          <cell r="C62" t="str">
            <v>05</v>
          </cell>
          <cell r="D62" t="str">
            <v>20</v>
          </cell>
          <cell r="E62" t="str">
            <v>AMAZONAS</v>
          </cell>
          <cell r="F62" t="str">
            <v>LUYA</v>
          </cell>
          <cell r="G62" t="str">
            <v>SANTA CATALINA</v>
          </cell>
          <cell r="H62" t="str">
            <v>010056</v>
          </cell>
          <cell r="I62" t="str">
            <v>2</v>
          </cell>
        </row>
        <row r="63">
          <cell r="A63" t="str">
            <v>AMAZONASLUYASANTO TOMAS</v>
          </cell>
          <cell r="B63" t="str">
            <v>01</v>
          </cell>
          <cell r="C63" t="str">
            <v>05</v>
          </cell>
          <cell r="D63" t="str">
            <v>21</v>
          </cell>
          <cell r="E63" t="str">
            <v>AMAZONAS</v>
          </cell>
          <cell r="F63" t="str">
            <v>LUYA</v>
          </cell>
          <cell r="G63" t="str">
            <v>SANTO TOMAS</v>
          </cell>
          <cell r="H63" t="str">
            <v>010023</v>
          </cell>
          <cell r="I63" t="str">
            <v>2</v>
          </cell>
        </row>
        <row r="64">
          <cell r="A64" t="str">
            <v>AMAZONASLUYATINGO</v>
          </cell>
          <cell r="B64" t="str">
            <v>01</v>
          </cell>
          <cell r="C64" t="str">
            <v>05</v>
          </cell>
          <cell r="D64" t="str">
            <v>22</v>
          </cell>
          <cell r="E64" t="str">
            <v>AMAZONAS</v>
          </cell>
          <cell r="F64" t="str">
            <v>LUYA</v>
          </cell>
          <cell r="G64" t="str">
            <v>TINGO</v>
          </cell>
          <cell r="H64" t="str">
            <v>010066</v>
          </cell>
          <cell r="I64" t="str">
            <v>2</v>
          </cell>
        </row>
        <row r="65">
          <cell r="A65" t="str">
            <v>AMAZONASLUYATRITA</v>
          </cell>
          <cell r="B65" t="str">
            <v>01</v>
          </cell>
          <cell r="C65" t="str">
            <v>05</v>
          </cell>
          <cell r="D65" t="str">
            <v>23</v>
          </cell>
          <cell r="E65" t="str">
            <v>AMAZONAS</v>
          </cell>
          <cell r="F65" t="str">
            <v>LUYA</v>
          </cell>
          <cell r="G65" t="str">
            <v>TRITA</v>
          </cell>
          <cell r="H65" t="str">
            <v>010057</v>
          </cell>
          <cell r="I65" t="str">
            <v>2</v>
          </cell>
        </row>
        <row r="66">
          <cell r="A66" t="str">
            <v>AMAZONASRODRIGUEZ DE MENDOZASAN NICOLAS</v>
          </cell>
          <cell r="B66" t="str">
            <v>01</v>
          </cell>
          <cell r="C66" t="str">
            <v>06</v>
          </cell>
          <cell r="D66" t="str">
            <v>01</v>
          </cell>
          <cell r="E66" t="str">
            <v>AMAZONAS</v>
          </cell>
          <cell r="F66" t="str">
            <v>RODRIGUEZ DE MENDOZA</v>
          </cell>
          <cell r="G66" t="str">
            <v>SAN NICOLAS</v>
          </cell>
          <cell r="H66" t="str">
            <v>010067</v>
          </cell>
          <cell r="I66" t="str">
            <v>1</v>
          </cell>
        </row>
        <row r="67">
          <cell r="A67" t="str">
            <v>AMAZONASRODRIGUEZ DE MENDOZACHIRIMOTO</v>
          </cell>
          <cell r="B67" t="str">
            <v>01</v>
          </cell>
          <cell r="C67" t="str">
            <v>06</v>
          </cell>
          <cell r="D67" t="str">
            <v>02</v>
          </cell>
          <cell r="E67" t="str">
            <v>AMAZONAS</v>
          </cell>
          <cell r="F67" t="str">
            <v>RODRIGUEZ DE MENDOZA</v>
          </cell>
          <cell r="G67" t="str">
            <v>CHIRIMOTO</v>
          </cell>
          <cell r="H67" t="str">
            <v>010068</v>
          </cell>
          <cell r="I67" t="str">
            <v>2</v>
          </cell>
        </row>
        <row r="68">
          <cell r="A68" t="str">
            <v>AMAZONASRODRIGUEZ DE MENDOZACOCHAMAL</v>
          </cell>
          <cell r="B68" t="str">
            <v>01</v>
          </cell>
          <cell r="C68" t="str">
            <v>06</v>
          </cell>
          <cell r="D68" t="str">
            <v>03</v>
          </cell>
          <cell r="E68" t="str">
            <v>AMAZONAS</v>
          </cell>
          <cell r="F68" t="str">
            <v>RODRIGUEZ DE MENDOZA</v>
          </cell>
          <cell r="G68" t="str">
            <v>COCHAMAL</v>
          </cell>
          <cell r="H68" t="str">
            <v>010069</v>
          </cell>
          <cell r="I68" t="str">
            <v>2</v>
          </cell>
        </row>
        <row r="69">
          <cell r="A69" t="str">
            <v>AMAZONASRODRIGUEZ DE MENDOZAHUAMBO</v>
          </cell>
          <cell r="B69" t="str">
            <v>01</v>
          </cell>
          <cell r="C69" t="str">
            <v>06</v>
          </cell>
          <cell r="D69" t="str">
            <v>04</v>
          </cell>
          <cell r="E69" t="str">
            <v>AMAZONAS</v>
          </cell>
          <cell r="F69" t="str">
            <v>RODRIGUEZ DE MENDOZA</v>
          </cell>
          <cell r="G69" t="str">
            <v>HUAMBO</v>
          </cell>
          <cell r="H69" t="str">
            <v>010070</v>
          </cell>
          <cell r="I69" t="str">
            <v>2</v>
          </cell>
        </row>
        <row r="70">
          <cell r="A70" t="str">
            <v>AMAZONASRODRIGUEZ DE MENDOZALIMABAMBA</v>
          </cell>
          <cell r="B70" t="str">
            <v>01</v>
          </cell>
          <cell r="C70" t="str">
            <v>06</v>
          </cell>
          <cell r="D70" t="str">
            <v>05</v>
          </cell>
          <cell r="E70" t="str">
            <v>AMAZONAS</v>
          </cell>
          <cell r="F70" t="str">
            <v>RODRIGUEZ DE MENDOZA</v>
          </cell>
          <cell r="G70" t="str">
            <v>LIMABAMBA</v>
          </cell>
          <cell r="H70" t="str">
            <v>010071</v>
          </cell>
          <cell r="I70" t="str">
            <v>2</v>
          </cell>
        </row>
        <row r="71">
          <cell r="A71" t="str">
            <v>AMAZONASRODRIGUEZ DE MENDOZALONGAR</v>
          </cell>
          <cell r="B71" t="str">
            <v>01</v>
          </cell>
          <cell r="C71" t="str">
            <v>06</v>
          </cell>
          <cell r="D71" t="str">
            <v>06</v>
          </cell>
          <cell r="E71" t="str">
            <v>AMAZONAS</v>
          </cell>
          <cell r="F71" t="str">
            <v>RODRIGUEZ DE MENDOZA</v>
          </cell>
          <cell r="G71" t="str">
            <v>LONGAR</v>
          </cell>
          <cell r="H71" t="str">
            <v>010072</v>
          </cell>
          <cell r="I71" t="str">
            <v>2</v>
          </cell>
        </row>
        <row r="72">
          <cell r="A72" t="str">
            <v>AMAZONASRODRIGUEZ DE MENDOZAMARISCAL BENAVIDES</v>
          </cell>
          <cell r="B72" t="str">
            <v>01</v>
          </cell>
          <cell r="C72" t="str">
            <v>06</v>
          </cell>
          <cell r="D72" t="str">
            <v>07</v>
          </cell>
          <cell r="E72" t="str">
            <v>AMAZONAS</v>
          </cell>
          <cell r="F72" t="str">
            <v>RODRIGUEZ DE MENDOZA</v>
          </cell>
          <cell r="G72" t="str">
            <v>MARISCAL BENAVIDES</v>
          </cell>
          <cell r="H72" t="str">
            <v>010073</v>
          </cell>
          <cell r="I72" t="str">
            <v>2</v>
          </cell>
        </row>
        <row r="73">
          <cell r="A73" t="str">
            <v>AMAZONASRODRIGUEZ DE MENDOZAMILPUC</v>
          </cell>
          <cell r="B73" t="str">
            <v>01</v>
          </cell>
          <cell r="C73" t="str">
            <v>06</v>
          </cell>
          <cell r="D73" t="str">
            <v>08</v>
          </cell>
          <cell r="E73" t="str">
            <v>AMAZONAS</v>
          </cell>
          <cell r="F73" t="str">
            <v>RODRIGUEZ DE MENDOZA</v>
          </cell>
          <cell r="G73" t="str">
            <v>MILPUC</v>
          </cell>
          <cell r="H73" t="str">
            <v>010074</v>
          </cell>
          <cell r="I73" t="str">
            <v>2</v>
          </cell>
        </row>
        <row r="74">
          <cell r="A74" t="str">
            <v>AMAZONASRODRIGUEZ DE MENDOZAOMIA</v>
          </cell>
          <cell r="B74" t="str">
            <v>01</v>
          </cell>
          <cell r="C74" t="str">
            <v>06</v>
          </cell>
          <cell r="D74" t="str">
            <v>09</v>
          </cell>
          <cell r="E74" t="str">
            <v>AMAZONAS</v>
          </cell>
          <cell r="F74" t="str">
            <v>RODRIGUEZ DE MENDOZA</v>
          </cell>
          <cell r="G74" t="str">
            <v>OMIA</v>
          </cell>
          <cell r="H74" t="str">
            <v>010075</v>
          </cell>
          <cell r="I74" t="str">
            <v>2</v>
          </cell>
        </row>
        <row r="75">
          <cell r="A75" t="str">
            <v>AMAZONASRODRIGUEZ DE MENDOZASANTA ROSA</v>
          </cell>
          <cell r="B75" t="str">
            <v>01</v>
          </cell>
          <cell r="C75" t="str">
            <v>06</v>
          </cell>
          <cell r="D75" t="str">
            <v>10</v>
          </cell>
          <cell r="E75" t="str">
            <v>AMAZONAS</v>
          </cell>
          <cell r="F75" t="str">
            <v>RODRIGUEZ DE MENDOZA</v>
          </cell>
          <cell r="G75" t="str">
            <v>SANTA ROSA</v>
          </cell>
          <cell r="H75" t="str">
            <v>010076</v>
          </cell>
          <cell r="I75" t="str">
            <v>2</v>
          </cell>
        </row>
        <row r="76">
          <cell r="A76" t="str">
            <v>AMAZONASRODRIGUEZ DE MENDOZATOTORA</v>
          </cell>
          <cell r="B76" t="str">
            <v>01</v>
          </cell>
          <cell r="C76" t="str">
            <v>06</v>
          </cell>
          <cell r="D76" t="str">
            <v>11</v>
          </cell>
          <cell r="E76" t="str">
            <v>AMAZONAS</v>
          </cell>
          <cell r="F76" t="str">
            <v>RODRIGUEZ DE MENDOZA</v>
          </cell>
          <cell r="G76" t="str">
            <v>TOTORA</v>
          </cell>
          <cell r="H76" t="str">
            <v>010077</v>
          </cell>
          <cell r="I76" t="str">
            <v>2</v>
          </cell>
        </row>
        <row r="77">
          <cell r="A77" t="str">
            <v>AMAZONASRODRIGUEZ DE MENDOZAVISTA ALEGRE</v>
          </cell>
          <cell r="B77" t="str">
            <v>01</v>
          </cell>
          <cell r="C77" t="str">
            <v>06</v>
          </cell>
          <cell r="D77" t="str">
            <v>12</v>
          </cell>
          <cell r="E77" t="str">
            <v>AMAZONAS</v>
          </cell>
          <cell r="F77" t="str">
            <v>RODRIGUEZ DE MENDOZA</v>
          </cell>
          <cell r="G77" t="str">
            <v>VISTA ALEGRE</v>
          </cell>
          <cell r="H77" t="str">
            <v>010040</v>
          </cell>
          <cell r="I77" t="str">
            <v>2</v>
          </cell>
        </row>
        <row r="78">
          <cell r="A78" t="str">
            <v>AMAZONASUTCUBAMBABAGUA GRANDE</v>
          </cell>
          <cell r="B78" t="str">
            <v>01</v>
          </cell>
          <cell r="C78" t="str">
            <v>07</v>
          </cell>
          <cell r="D78" t="str">
            <v>01</v>
          </cell>
          <cell r="E78" t="str">
            <v>AMAZONAS</v>
          </cell>
          <cell r="F78" t="str">
            <v>UTCUBAMBA</v>
          </cell>
          <cell r="G78" t="str">
            <v>BAGUA GRANDE</v>
          </cell>
          <cell r="H78" t="str">
            <v>010078</v>
          </cell>
          <cell r="I78" t="str">
            <v>1</v>
          </cell>
        </row>
        <row r="79">
          <cell r="A79" t="str">
            <v>AMAZONASUTCUBAMBACAJARURO</v>
          </cell>
          <cell r="B79" t="str">
            <v>01</v>
          </cell>
          <cell r="C79" t="str">
            <v>07</v>
          </cell>
          <cell r="D79" t="str">
            <v>02</v>
          </cell>
          <cell r="E79" t="str">
            <v>AMAZONAS</v>
          </cell>
          <cell r="F79" t="str">
            <v>UTCUBAMBA</v>
          </cell>
          <cell r="G79" t="str">
            <v>CAJARURO</v>
          </cell>
          <cell r="H79" t="str">
            <v>013253</v>
          </cell>
          <cell r="I79" t="str">
            <v>2</v>
          </cell>
        </row>
        <row r="80">
          <cell r="A80" t="str">
            <v>AMAZONASUTCUBAMBACUMBA</v>
          </cell>
          <cell r="B80" t="str">
            <v>01</v>
          </cell>
          <cell r="C80" t="str">
            <v>07</v>
          </cell>
          <cell r="D80" t="str">
            <v>03</v>
          </cell>
          <cell r="E80" t="str">
            <v>AMAZONAS</v>
          </cell>
          <cell r="F80" t="str">
            <v>UTCUBAMBA</v>
          </cell>
          <cell r="G80" t="str">
            <v>CUMBA</v>
          </cell>
          <cell r="H80" t="str">
            <v>010080</v>
          </cell>
          <cell r="I80" t="str">
            <v>2</v>
          </cell>
        </row>
        <row r="81">
          <cell r="A81" t="str">
            <v>AMAZONASUTCUBAMBAEL MILAGRO</v>
          </cell>
          <cell r="B81" t="str">
            <v>01</v>
          </cell>
          <cell r="C81" t="str">
            <v>07</v>
          </cell>
          <cell r="D81" t="str">
            <v>04</v>
          </cell>
          <cell r="E81" t="str">
            <v>AMAZONAS</v>
          </cell>
          <cell r="F81" t="str">
            <v>UTCUBAMBA</v>
          </cell>
          <cell r="G81" t="str">
            <v>EL MILAGRO</v>
          </cell>
          <cell r="H81" t="str">
            <v>012849</v>
          </cell>
          <cell r="I81" t="str">
            <v>2</v>
          </cell>
        </row>
        <row r="82">
          <cell r="A82" t="str">
            <v>AMAZONASUTCUBAMBAJAMALCA</v>
          </cell>
          <cell r="B82" t="str">
            <v>01</v>
          </cell>
          <cell r="C82" t="str">
            <v>07</v>
          </cell>
          <cell r="D82" t="str">
            <v>05</v>
          </cell>
          <cell r="E82" t="str">
            <v>AMAZONAS</v>
          </cell>
          <cell r="F82" t="str">
            <v>UTCUBAMBA</v>
          </cell>
          <cell r="G82" t="str">
            <v>JAMALCA</v>
          </cell>
          <cell r="H82" t="str">
            <v>010082</v>
          </cell>
          <cell r="I82" t="str">
            <v>2</v>
          </cell>
        </row>
        <row r="83">
          <cell r="A83" t="str">
            <v>AMAZONASUTCUBAMBALONYA GRANDE</v>
          </cell>
          <cell r="B83" t="str">
            <v>01</v>
          </cell>
          <cell r="C83" t="str">
            <v>07</v>
          </cell>
          <cell r="D83" t="str">
            <v>06</v>
          </cell>
          <cell r="E83" t="str">
            <v>AMAZONAS</v>
          </cell>
          <cell r="F83" t="str">
            <v>UTCUBAMBA</v>
          </cell>
          <cell r="G83" t="str">
            <v>LONYA GRANDE</v>
          </cell>
          <cell r="H83" t="str">
            <v>010083</v>
          </cell>
          <cell r="I83" t="str">
            <v>2</v>
          </cell>
        </row>
        <row r="84">
          <cell r="A84" t="str">
            <v>AMAZONASUTCUBAMBAYAMON</v>
          </cell>
          <cell r="B84" t="str">
            <v>01</v>
          </cell>
          <cell r="C84" t="str">
            <v>07</v>
          </cell>
          <cell r="D84" t="str">
            <v>07</v>
          </cell>
          <cell r="E84" t="str">
            <v>AMAZONAS</v>
          </cell>
          <cell r="F84" t="str">
            <v>UTCUBAMBA</v>
          </cell>
          <cell r="G84" t="str">
            <v>YAMON</v>
          </cell>
          <cell r="H84" t="str">
            <v>012810</v>
          </cell>
          <cell r="I84" t="str">
            <v>2</v>
          </cell>
        </row>
        <row r="85">
          <cell r="A85" t="str">
            <v>ANCASHHUARAZHUARAZ</v>
          </cell>
          <cell r="B85" t="str">
            <v>02</v>
          </cell>
          <cell r="C85" t="str">
            <v>01</v>
          </cell>
          <cell r="D85" t="str">
            <v>01</v>
          </cell>
          <cell r="E85" t="str">
            <v>ANCASH</v>
          </cell>
          <cell r="F85" t="str">
            <v>HUARAZ</v>
          </cell>
          <cell r="G85" t="str">
            <v>HUARAZ</v>
          </cell>
          <cell r="H85" t="str">
            <v>010085</v>
          </cell>
          <cell r="I85" t="str">
            <v>1</v>
          </cell>
        </row>
        <row r="86">
          <cell r="A86" t="str">
            <v>ANCASHHUARAZCOCHABAMBA</v>
          </cell>
          <cell r="B86" t="str">
            <v>02</v>
          </cell>
          <cell r="C86" t="str">
            <v>01</v>
          </cell>
          <cell r="D86" t="str">
            <v>02</v>
          </cell>
          <cell r="E86" t="str">
            <v>ANCASH</v>
          </cell>
          <cell r="F86" t="str">
            <v>HUARAZ</v>
          </cell>
          <cell r="G86" t="str">
            <v>COCHABAMBA</v>
          </cell>
          <cell r="H86" t="str">
            <v>012415</v>
          </cell>
          <cell r="I86" t="str">
            <v>2</v>
          </cell>
        </row>
        <row r="87">
          <cell r="A87" t="str">
            <v>ANCASHHUARAZCOLCABAMBA</v>
          </cell>
          <cell r="B87" t="str">
            <v>02</v>
          </cell>
          <cell r="C87" t="str">
            <v>01</v>
          </cell>
          <cell r="D87" t="str">
            <v>03</v>
          </cell>
          <cell r="E87" t="str">
            <v>ANCASH</v>
          </cell>
          <cell r="F87" t="str">
            <v>HUARAZ</v>
          </cell>
          <cell r="G87" t="str">
            <v>COLCABAMBA</v>
          </cell>
          <cell r="H87" t="str">
            <v>010088</v>
          </cell>
          <cell r="I87" t="str">
            <v>2</v>
          </cell>
        </row>
        <row r="88">
          <cell r="A88" t="str">
            <v>ANCASHHUARAZHUANCHAY</v>
          </cell>
          <cell r="B88" t="str">
            <v>02</v>
          </cell>
          <cell r="C88" t="str">
            <v>01</v>
          </cell>
          <cell r="D88" t="str">
            <v>04</v>
          </cell>
          <cell r="E88" t="str">
            <v>ANCASH</v>
          </cell>
          <cell r="F88" t="str">
            <v>HUARAZ</v>
          </cell>
          <cell r="G88" t="str">
            <v>HUANCHAY</v>
          </cell>
          <cell r="H88" t="str">
            <v>010234</v>
          </cell>
          <cell r="I88" t="str">
            <v>2</v>
          </cell>
        </row>
        <row r="89">
          <cell r="A89" t="str">
            <v>ANCASHHUARAZINDEPENDENCIA</v>
          </cell>
          <cell r="B89" t="str">
            <v>02</v>
          </cell>
          <cell r="C89" t="str">
            <v>01</v>
          </cell>
          <cell r="D89" t="str">
            <v>05</v>
          </cell>
          <cell r="E89" t="str">
            <v>ANCASH</v>
          </cell>
          <cell r="F89" t="str">
            <v>HUARAZ</v>
          </cell>
          <cell r="G89" t="str">
            <v>INDEPENDENCIA</v>
          </cell>
          <cell r="H89" t="str">
            <v>010086</v>
          </cell>
          <cell r="I89" t="str">
            <v>2</v>
          </cell>
        </row>
        <row r="90">
          <cell r="A90" t="str">
            <v>ANCASHHUARAZJANGAS</v>
          </cell>
          <cell r="B90" t="str">
            <v>02</v>
          </cell>
          <cell r="C90" t="str">
            <v>01</v>
          </cell>
          <cell r="D90" t="str">
            <v>06</v>
          </cell>
          <cell r="E90" t="str">
            <v>ANCASH</v>
          </cell>
          <cell r="F90" t="str">
            <v>HUARAZ</v>
          </cell>
          <cell r="G90" t="str">
            <v>JANGAS</v>
          </cell>
          <cell r="H90" t="str">
            <v>010089</v>
          </cell>
          <cell r="I90" t="str">
            <v>2</v>
          </cell>
        </row>
        <row r="91">
          <cell r="A91" t="str">
            <v>ANCASHHUARAZLA LIBERTAD</v>
          </cell>
          <cell r="B91" t="str">
            <v>02</v>
          </cell>
          <cell r="C91" t="str">
            <v>01</v>
          </cell>
          <cell r="D91" t="str">
            <v>07</v>
          </cell>
          <cell r="E91" t="str">
            <v>ANCASH</v>
          </cell>
          <cell r="F91" t="str">
            <v>HUARAZ</v>
          </cell>
          <cell r="G91" t="str">
            <v>LA LIBERTAD</v>
          </cell>
          <cell r="H91" t="str">
            <v>010090</v>
          </cell>
          <cell r="I91" t="str">
            <v>2</v>
          </cell>
        </row>
        <row r="92">
          <cell r="A92" t="str">
            <v>ANCASHHUARAZOLLEROS</v>
          </cell>
          <cell r="B92" t="str">
            <v>02</v>
          </cell>
          <cell r="C92" t="str">
            <v>01</v>
          </cell>
          <cell r="D92" t="str">
            <v>08</v>
          </cell>
          <cell r="E92" t="str">
            <v>ANCASH</v>
          </cell>
          <cell r="F92" t="str">
            <v>HUARAZ</v>
          </cell>
          <cell r="G92" t="str">
            <v>OLLEROS</v>
          </cell>
          <cell r="H92" t="str">
            <v>010091</v>
          </cell>
          <cell r="I92" t="str">
            <v>2</v>
          </cell>
        </row>
        <row r="93">
          <cell r="A93" t="str">
            <v>ANCASHHUARAZPAMPAS</v>
          </cell>
          <cell r="B93" t="str">
            <v>02</v>
          </cell>
          <cell r="C93" t="str">
            <v>01</v>
          </cell>
          <cell r="D93" t="str">
            <v>09</v>
          </cell>
          <cell r="E93" t="str">
            <v>ANCASH</v>
          </cell>
          <cell r="F93" t="str">
            <v>HUARAZ</v>
          </cell>
          <cell r="G93" t="str">
            <v>PAMPAS</v>
          </cell>
          <cell r="H93" t="str">
            <v>010092</v>
          </cell>
          <cell r="I93" t="str">
            <v>2</v>
          </cell>
        </row>
        <row r="94">
          <cell r="A94" t="str">
            <v>ANCASHHUARAZPARIACOTO</v>
          </cell>
          <cell r="B94" t="str">
            <v>02</v>
          </cell>
          <cell r="C94" t="str">
            <v>01</v>
          </cell>
          <cell r="D94" t="str">
            <v>10</v>
          </cell>
          <cell r="E94" t="str">
            <v>ANCASH</v>
          </cell>
          <cell r="F94" t="str">
            <v>HUARAZ</v>
          </cell>
          <cell r="G94" t="str">
            <v>PARIACOTO</v>
          </cell>
          <cell r="H94" t="str">
            <v>010093</v>
          </cell>
          <cell r="I94" t="str">
            <v>2</v>
          </cell>
        </row>
        <row r="95">
          <cell r="A95" t="str">
            <v>ANCASHHUARAZPIRA</v>
          </cell>
          <cell r="B95" t="str">
            <v>02</v>
          </cell>
          <cell r="C95" t="str">
            <v>01</v>
          </cell>
          <cell r="D95" t="str">
            <v>11</v>
          </cell>
          <cell r="E95" t="str">
            <v>ANCASH</v>
          </cell>
          <cell r="F95" t="str">
            <v>HUARAZ</v>
          </cell>
          <cell r="G95" t="str">
            <v>PIRA</v>
          </cell>
          <cell r="H95" t="str">
            <v>012416</v>
          </cell>
          <cell r="I95" t="str">
            <v>2</v>
          </cell>
        </row>
        <row r="96">
          <cell r="A96" t="str">
            <v>ANCASHHUARAZTARICA</v>
          </cell>
          <cell r="B96" t="str">
            <v>02</v>
          </cell>
          <cell r="C96" t="str">
            <v>01</v>
          </cell>
          <cell r="D96" t="str">
            <v>12</v>
          </cell>
          <cell r="E96" t="str">
            <v>ANCASH</v>
          </cell>
          <cell r="F96" t="str">
            <v>HUARAZ</v>
          </cell>
          <cell r="G96" t="str">
            <v>TARICA</v>
          </cell>
          <cell r="H96" t="str">
            <v>010095</v>
          </cell>
          <cell r="I96" t="str">
            <v>2</v>
          </cell>
        </row>
        <row r="97">
          <cell r="A97" t="str">
            <v>ANCASHAIJAAIJA</v>
          </cell>
          <cell r="B97" t="str">
            <v>02</v>
          </cell>
          <cell r="C97" t="str">
            <v>02</v>
          </cell>
          <cell r="D97" t="str">
            <v>01</v>
          </cell>
          <cell r="E97" t="str">
            <v>ANCASH</v>
          </cell>
          <cell r="F97" t="str">
            <v>AIJA</v>
          </cell>
          <cell r="G97" t="str">
            <v>AIJA</v>
          </cell>
          <cell r="H97" t="str">
            <v>010096</v>
          </cell>
          <cell r="I97" t="str">
            <v>1</v>
          </cell>
        </row>
        <row r="98">
          <cell r="A98" t="str">
            <v>ANCASHAIJACORIS</v>
          </cell>
          <cell r="B98" t="str">
            <v>02</v>
          </cell>
          <cell r="C98" t="str">
            <v>02</v>
          </cell>
          <cell r="D98" t="str">
            <v>02</v>
          </cell>
          <cell r="E98" t="str">
            <v>ANCASH</v>
          </cell>
          <cell r="F98" t="str">
            <v>AIJA</v>
          </cell>
          <cell r="G98" t="str">
            <v>CORIS</v>
          </cell>
          <cell r="H98" t="str">
            <v>010097</v>
          </cell>
          <cell r="I98" t="str">
            <v>2</v>
          </cell>
        </row>
        <row r="99">
          <cell r="A99" t="str">
            <v>ANCASHAIJAHUACLLAN</v>
          </cell>
          <cell r="B99" t="str">
            <v>02</v>
          </cell>
          <cell r="C99" t="str">
            <v>02</v>
          </cell>
          <cell r="D99" t="str">
            <v>03</v>
          </cell>
          <cell r="E99" t="str">
            <v>ANCASH</v>
          </cell>
          <cell r="F99" t="str">
            <v>AIJA</v>
          </cell>
          <cell r="G99" t="str">
            <v>HUACLLAN</v>
          </cell>
          <cell r="H99" t="str">
            <v>010098</v>
          </cell>
          <cell r="I99" t="str">
            <v>2</v>
          </cell>
        </row>
        <row r="100">
          <cell r="A100" t="str">
            <v>ANCASHAIJALA MERCED</v>
          </cell>
          <cell r="B100" t="str">
            <v>02</v>
          </cell>
          <cell r="C100" t="str">
            <v>02</v>
          </cell>
          <cell r="D100" t="str">
            <v>04</v>
          </cell>
          <cell r="E100" t="str">
            <v>ANCASH</v>
          </cell>
          <cell r="F100" t="str">
            <v>AIJA</v>
          </cell>
          <cell r="G100" t="str">
            <v>LA MERCED</v>
          </cell>
          <cell r="H100" t="str">
            <v>010099</v>
          </cell>
          <cell r="I100" t="str">
            <v>2</v>
          </cell>
        </row>
        <row r="101">
          <cell r="A101" t="str">
            <v>ANCASHAIJASUCCHA</v>
          </cell>
          <cell r="B101" t="str">
            <v>02</v>
          </cell>
          <cell r="C101" t="str">
            <v>02</v>
          </cell>
          <cell r="D101" t="str">
            <v>05</v>
          </cell>
          <cell r="E101" t="str">
            <v>ANCASH</v>
          </cell>
          <cell r="F101" t="str">
            <v>AIJA</v>
          </cell>
          <cell r="G101" t="str">
            <v>SUCCHA</v>
          </cell>
          <cell r="H101" t="str">
            <v>010100</v>
          </cell>
          <cell r="I101" t="str">
            <v>2</v>
          </cell>
        </row>
        <row r="102">
          <cell r="A102" t="str">
            <v>ANCASHANTONIO RAYMONDILLAMELLIN</v>
          </cell>
          <cell r="B102" t="str">
            <v>02</v>
          </cell>
          <cell r="C102" t="str">
            <v>03</v>
          </cell>
          <cell r="D102" t="str">
            <v>01</v>
          </cell>
          <cell r="E102" t="str">
            <v>ANCASH</v>
          </cell>
          <cell r="F102" t="str">
            <v>ANTONIO RAYMONDI</v>
          </cell>
          <cell r="G102" t="str">
            <v>LLAMELLIN</v>
          </cell>
          <cell r="H102" t="str">
            <v>010180</v>
          </cell>
          <cell r="I102" t="str">
            <v>1</v>
          </cell>
        </row>
        <row r="103">
          <cell r="A103" t="str">
            <v>ANCASHANTONIO RAYMONDIACZO</v>
          </cell>
          <cell r="B103" t="str">
            <v>02</v>
          </cell>
          <cell r="C103" t="str">
            <v>03</v>
          </cell>
          <cell r="D103" t="str">
            <v>02</v>
          </cell>
          <cell r="E103" t="str">
            <v>ANCASH</v>
          </cell>
          <cell r="F103" t="str">
            <v>ANTONIO RAYMONDI</v>
          </cell>
          <cell r="G103" t="str">
            <v>ACZO</v>
          </cell>
          <cell r="H103" t="str">
            <v>010181</v>
          </cell>
          <cell r="I103" t="str">
            <v>2</v>
          </cell>
        </row>
        <row r="104">
          <cell r="A104" t="str">
            <v>ANCASHANTONIO RAYMONDICHACCHO</v>
          </cell>
          <cell r="B104" t="str">
            <v>02</v>
          </cell>
          <cell r="C104" t="str">
            <v>03</v>
          </cell>
          <cell r="D104" t="str">
            <v>03</v>
          </cell>
          <cell r="E104" t="str">
            <v>ANCASH</v>
          </cell>
          <cell r="F104" t="str">
            <v>ANTONIO RAYMONDI</v>
          </cell>
          <cell r="G104" t="str">
            <v>CHACCHO</v>
          </cell>
          <cell r="H104" t="str">
            <v>012425</v>
          </cell>
          <cell r="I104" t="str">
            <v>2</v>
          </cell>
        </row>
        <row r="105">
          <cell r="A105" t="str">
            <v>ANCASHANTONIO RAYMONDICHINGAS</v>
          </cell>
          <cell r="B105" t="str">
            <v>02</v>
          </cell>
          <cell r="C105" t="str">
            <v>03</v>
          </cell>
          <cell r="D105" t="str">
            <v>04</v>
          </cell>
          <cell r="E105" t="str">
            <v>ANCASH</v>
          </cell>
          <cell r="F105" t="str">
            <v>ANTONIO RAYMONDI</v>
          </cell>
          <cell r="G105" t="str">
            <v>CHINGAS</v>
          </cell>
          <cell r="H105" t="str">
            <v>010183</v>
          </cell>
          <cell r="I105" t="str">
            <v>2</v>
          </cell>
        </row>
        <row r="106">
          <cell r="A106" t="str">
            <v>ANCASHANTONIO RAYMONDIMIRGAS</v>
          </cell>
          <cell r="B106" t="str">
            <v>02</v>
          </cell>
          <cell r="C106" t="str">
            <v>03</v>
          </cell>
          <cell r="D106" t="str">
            <v>05</v>
          </cell>
          <cell r="E106" t="str">
            <v>ANCASH</v>
          </cell>
          <cell r="F106" t="str">
            <v>ANTONIO RAYMONDI</v>
          </cell>
          <cell r="G106" t="str">
            <v>MIRGAS</v>
          </cell>
          <cell r="H106" t="str">
            <v>010184</v>
          </cell>
          <cell r="I106" t="str">
            <v>2</v>
          </cell>
        </row>
        <row r="107">
          <cell r="A107" t="str">
            <v>ANCASHANTONIO RAYMONDISAN JUAN DE RONTOY</v>
          </cell>
          <cell r="B107" t="str">
            <v>02</v>
          </cell>
          <cell r="C107" t="str">
            <v>03</v>
          </cell>
          <cell r="D107" t="str">
            <v>06</v>
          </cell>
          <cell r="E107" t="str">
            <v>ANCASH</v>
          </cell>
          <cell r="F107" t="str">
            <v>ANTONIO RAYMONDI</v>
          </cell>
          <cell r="G107" t="str">
            <v>SAN JUAN DE RONTOY</v>
          </cell>
          <cell r="H107" t="str">
            <v>012424</v>
          </cell>
          <cell r="I107" t="str">
            <v>2</v>
          </cell>
        </row>
        <row r="108">
          <cell r="A108" t="str">
            <v>ANCASHASUNCIONCHACAS</v>
          </cell>
          <cell r="B108" t="str">
            <v>02</v>
          </cell>
          <cell r="C108" t="str">
            <v>04</v>
          </cell>
          <cell r="D108" t="str">
            <v>01</v>
          </cell>
          <cell r="E108" t="str">
            <v>ANCASH</v>
          </cell>
          <cell r="F108" t="str">
            <v>ASUNCION</v>
          </cell>
          <cell r="G108" t="str">
            <v>CHACAS</v>
          </cell>
          <cell r="H108" t="str">
            <v>010186</v>
          </cell>
          <cell r="I108" t="str">
            <v>1</v>
          </cell>
        </row>
        <row r="109">
          <cell r="A109" t="str">
            <v>ANCASHASUNCIONACOCHACA</v>
          </cell>
          <cell r="B109" t="str">
            <v>02</v>
          </cell>
          <cell r="C109" t="str">
            <v>04</v>
          </cell>
          <cell r="D109" t="str">
            <v>02</v>
          </cell>
          <cell r="E109" t="str">
            <v>ANCASH</v>
          </cell>
          <cell r="F109" t="str">
            <v>ASUNCION</v>
          </cell>
          <cell r="G109" t="str">
            <v>ACOCHACA</v>
          </cell>
          <cell r="H109" t="str">
            <v>010187</v>
          </cell>
          <cell r="I109" t="str">
            <v>2</v>
          </cell>
        </row>
        <row r="110">
          <cell r="A110" t="str">
            <v>ANCASHBOLOGNESICHIQUIAN</v>
          </cell>
          <cell r="B110" t="str">
            <v>02</v>
          </cell>
          <cell r="C110" t="str">
            <v>05</v>
          </cell>
          <cell r="D110" t="str">
            <v>01</v>
          </cell>
          <cell r="E110" t="str">
            <v>ANCASH</v>
          </cell>
          <cell r="F110" t="str">
            <v>BOLOGNESI</v>
          </cell>
          <cell r="G110" t="str">
            <v>CHIQUIAN</v>
          </cell>
          <cell r="H110" t="str">
            <v>010101</v>
          </cell>
          <cell r="I110" t="str">
            <v>1</v>
          </cell>
        </row>
        <row r="111">
          <cell r="A111" t="str">
            <v>ANCASHBOLOGNESIABELARDO PARDO LEZAMETA</v>
          </cell>
          <cell r="B111" t="str">
            <v>02</v>
          </cell>
          <cell r="C111" t="str">
            <v>05</v>
          </cell>
          <cell r="D111" t="str">
            <v>02</v>
          </cell>
          <cell r="E111" t="str">
            <v>ANCASH</v>
          </cell>
          <cell r="F111" t="str">
            <v>BOLOGNESI</v>
          </cell>
          <cell r="G111" t="str">
            <v>ABELARDO PARDO LEZAMETA</v>
          </cell>
          <cell r="H111" t="str">
            <v>010102</v>
          </cell>
          <cell r="I111" t="str">
            <v>2</v>
          </cell>
        </row>
        <row r="112">
          <cell r="A112" t="str">
            <v>ANCASHBOLOGNESIANTONIO RAYMONDI</v>
          </cell>
          <cell r="B112" t="str">
            <v>02</v>
          </cell>
          <cell r="C112" t="str">
            <v>05</v>
          </cell>
          <cell r="D112" t="str">
            <v>03</v>
          </cell>
          <cell r="E112" t="str">
            <v>ANCASH</v>
          </cell>
          <cell r="F112" t="str">
            <v>BOLOGNESI</v>
          </cell>
          <cell r="G112" t="str">
            <v>ANTONIO RAYMONDI</v>
          </cell>
          <cell r="H112" t="str">
            <v>010103</v>
          </cell>
          <cell r="I112" t="str">
            <v>2</v>
          </cell>
        </row>
        <row r="113">
          <cell r="A113" t="str">
            <v>ANCASHBOLOGNESIAQUIA</v>
          </cell>
          <cell r="B113" t="str">
            <v>02</v>
          </cell>
          <cell r="C113" t="str">
            <v>05</v>
          </cell>
          <cell r="D113" t="str">
            <v>04</v>
          </cell>
          <cell r="E113" t="str">
            <v>ANCASH</v>
          </cell>
          <cell r="F113" t="str">
            <v>BOLOGNESI</v>
          </cell>
          <cell r="G113" t="str">
            <v>AQUIA</v>
          </cell>
          <cell r="H113" t="str">
            <v>010104</v>
          </cell>
          <cell r="I113" t="str">
            <v>2</v>
          </cell>
        </row>
        <row r="114">
          <cell r="A114" t="str">
            <v>ANCASHBOLOGNESICAJACAY</v>
          </cell>
          <cell r="B114" t="str">
            <v>02</v>
          </cell>
          <cell r="C114" t="str">
            <v>05</v>
          </cell>
          <cell r="D114" t="str">
            <v>05</v>
          </cell>
          <cell r="E114" t="str">
            <v>ANCASH</v>
          </cell>
          <cell r="F114" t="str">
            <v>BOLOGNESI</v>
          </cell>
          <cell r="G114" t="str">
            <v>CAJACAY</v>
          </cell>
          <cell r="H114" t="str">
            <v>010105</v>
          </cell>
          <cell r="I114" t="str">
            <v>2</v>
          </cell>
        </row>
        <row r="115">
          <cell r="A115" t="str">
            <v>ANCASHBOLOGNESICANIS</v>
          </cell>
          <cell r="B115" t="str">
            <v>02</v>
          </cell>
          <cell r="C115" t="str">
            <v>05</v>
          </cell>
          <cell r="D115" t="str">
            <v>06</v>
          </cell>
          <cell r="E115" t="str">
            <v>ANCASH</v>
          </cell>
          <cell r="F115" t="str">
            <v>BOLOGNESI</v>
          </cell>
          <cell r="G115" t="str">
            <v>CANIS</v>
          </cell>
          <cell r="H115" t="str">
            <v>011903</v>
          </cell>
          <cell r="I115" t="str">
            <v>2</v>
          </cell>
        </row>
        <row r="116">
          <cell r="A116" t="str">
            <v>ANCASHBOLOGNESICOLQUIOC</v>
          </cell>
          <cell r="B116" t="str">
            <v>02</v>
          </cell>
          <cell r="C116" t="str">
            <v>05</v>
          </cell>
          <cell r="D116" t="str">
            <v>07</v>
          </cell>
          <cell r="E116" t="str">
            <v>ANCASH</v>
          </cell>
          <cell r="F116" t="str">
            <v>BOLOGNESI</v>
          </cell>
          <cell r="G116" t="str">
            <v>COLQUIOC</v>
          </cell>
          <cell r="H116" t="str">
            <v>012403</v>
          </cell>
          <cell r="I116" t="str">
            <v>2</v>
          </cell>
        </row>
        <row r="117">
          <cell r="A117" t="str">
            <v>ANCASHBOLOGNESIHUALLANCA</v>
          </cell>
          <cell r="B117" t="str">
            <v>02</v>
          </cell>
          <cell r="C117" t="str">
            <v>05</v>
          </cell>
          <cell r="D117" t="str">
            <v>08</v>
          </cell>
          <cell r="E117" t="str">
            <v>ANCASH</v>
          </cell>
          <cell r="F117" t="str">
            <v>BOLOGNESI</v>
          </cell>
          <cell r="G117" t="str">
            <v>HUALLANCA</v>
          </cell>
          <cell r="H117" t="str">
            <v>010108</v>
          </cell>
          <cell r="I117" t="str">
            <v>2</v>
          </cell>
        </row>
        <row r="118">
          <cell r="A118" t="str">
            <v>ANCASHBOLOGNESIHUASTA</v>
          </cell>
          <cell r="B118" t="str">
            <v>02</v>
          </cell>
          <cell r="C118" t="str">
            <v>05</v>
          </cell>
          <cell r="D118" t="str">
            <v>09</v>
          </cell>
          <cell r="E118" t="str">
            <v>ANCASH</v>
          </cell>
          <cell r="F118" t="str">
            <v>BOLOGNESI</v>
          </cell>
          <cell r="G118" t="str">
            <v>HUASTA</v>
          </cell>
          <cell r="H118" t="str">
            <v>010109</v>
          </cell>
          <cell r="I118" t="str">
            <v>2</v>
          </cell>
        </row>
        <row r="119">
          <cell r="A119" t="str">
            <v>ANCASHBOLOGNESIHUAYLLACAYAN</v>
          </cell>
          <cell r="B119" t="str">
            <v>02</v>
          </cell>
          <cell r="C119" t="str">
            <v>05</v>
          </cell>
          <cell r="D119" t="str">
            <v>10</v>
          </cell>
          <cell r="E119" t="str">
            <v>ANCASH</v>
          </cell>
          <cell r="F119" t="str">
            <v>BOLOGNESI</v>
          </cell>
          <cell r="G119" t="str">
            <v>HUAYLLACAYAN</v>
          </cell>
          <cell r="H119" t="str">
            <v>010110</v>
          </cell>
          <cell r="I119" t="str">
            <v>2</v>
          </cell>
        </row>
        <row r="120">
          <cell r="A120" t="str">
            <v>ANCASHBOLOGNESILA PRIMAVERA</v>
          </cell>
          <cell r="B120" t="str">
            <v>02</v>
          </cell>
          <cell r="C120" t="str">
            <v>05</v>
          </cell>
          <cell r="D120" t="str">
            <v>11</v>
          </cell>
          <cell r="E120" t="str">
            <v>ANCASH</v>
          </cell>
          <cell r="F120" t="str">
            <v>BOLOGNESI</v>
          </cell>
          <cell r="G120" t="str">
            <v>LA PRIMAVERA</v>
          </cell>
          <cell r="H120" t="str">
            <v>012404</v>
          </cell>
          <cell r="I120" t="str">
            <v>2</v>
          </cell>
        </row>
        <row r="121">
          <cell r="A121" t="str">
            <v>ANCASHBOLOGNESIMANGAS</v>
          </cell>
          <cell r="B121" t="str">
            <v>02</v>
          </cell>
          <cell r="C121" t="str">
            <v>05</v>
          </cell>
          <cell r="D121" t="str">
            <v>12</v>
          </cell>
          <cell r="E121" t="str">
            <v>ANCASH</v>
          </cell>
          <cell r="F121" t="str">
            <v>BOLOGNESI</v>
          </cell>
          <cell r="G121" t="str">
            <v>MANGAS</v>
          </cell>
          <cell r="H121" t="str">
            <v>010112</v>
          </cell>
          <cell r="I121" t="str">
            <v>2</v>
          </cell>
        </row>
        <row r="122">
          <cell r="A122" t="str">
            <v>ANCASHBOLOGNESIPACLLON</v>
          </cell>
          <cell r="B122" t="str">
            <v>02</v>
          </cell>
          <cell r="C122" t="str">
            <v>05</v>
          </cell>
          <cell r="D122" t="str">
            <v>13</v>
          </cell>
          <cell r="E122" t="str">
            <v>ANCASH</v>
          </cell>
          <cell r="F122" t="str">
            <v>BOLOGNESI</v>
          </cell>
          <cell r="G122" t="str">
            <v>PACLLON</v>
          </cell>
          <cell r="H122" t="str">
            <v>012427</v>
          </cell>
          <cell r="I122" t="str">
            <v>2</v>
          </cell>
        </row>
        <row r="123">
          <cell r="A123" t="str">
            <v>ANCASHBOLOGNESISAN MIGUEL DE CORPANQUI</v>
          </cell>
          <cell r="B123" t="str">
            <v>02</v>
          </cell>
          <cell r="C123" t="str">
            <v>05</v>
          </cell>
          <cell r="D123" t="str">
            <v>14</v>
          </cell>
          <cell r="E123" t="str">
            <v>ANCASH</v>
          </cell>
          <cell r="F123" t="str">
            <v>BOLOGNESI</v>
          </cell>
          <cell r="G123" t="str">
            <v>SAN MIGUEL DE CORPANQUI</v>
          </cell>
          <cell r="H123" t="str">
            <v>010114</v>
          </cell>
          <cell r="I123" t="str">
            <v>2</v>
          </cell>
        </row>
        <row r="124">
          <cell r="A124" t="str">
            <v>ANCASHBOLOGNESITICLLOS</v>
          </cell>
          <cell r="B124" t="str">
            <v>02</v>
          </cell>
          <cell r="C124" t="str">
            <v>05</v>
          </cell>
          <cell r="D124" t="str">
            <v>15</v>
          </cell>
          <cell r="E124" t="str">
            <v>ANCASH</v>
          </cell>
          <cell r="F124" t="str">
            <v>BOLOGNESI</v>
          </cell>
          <cell r="G124" t="str">
            <v>TICLLOS</v>
          </cell>
          <cell r="H124" t="str">
            <v>010115</v>
          </cell>
          <cell r="I124" t="str">
            <v>2</v>
          </cell>
        </row>
        <row r="125">
          <cell r="A125" t="str">
            <v>ANCASHCARHUAZCARHUAZ</v>
          </cell>
          <cell r="B125" t="str">
            <v>02</v>
          </cell>
          <cell r="C125" t="str">
            <v>06</v>
          </cell>
          <cell r="D125" t="str">
            <v>01</v>
          </cell>
          <cell r="E125" t="str">
            <v>ANCASH</v>
          </cell>
          <cell r="F125" t="str">
            <v>CARHUAZ</v>
          </cell>
          <cell r="G125" t="str">
            <v>CARHUAZ</v>
          </cell>
          <cell r="H125" t="str">
            <v>010116</v>
          </cell>
          <cell r="I125" t="str">
            <v>1</v>
          </cell>
        </row>
        <row r="126">
          <cell r="A126" t="str">
            <v>ANCASHCARHUAZACOPAMPA</v>
          </cell>
          <cell r="B126" t="str">
            <v>02</v>
          </cell>
          <cell r="C126" t="str">
            <v>06</v>
          </cell>
          <cell r="D126" t="str">
            <v>02</v>
          </cell>
          <cell r="E126" t="str">
            <v>ANCASH</v>
          </cell>
          <cell r="F126" t="str">
            <v>CARHUAZ</v>
          </cell>
          <cell r="G126" t="str">
            <v>ACOPAMPA</v>
          </cell>
          <cell r="H126" t="str">
            <v>010117</v>
          </cell>
          <cell r="I126" t="str">
            <v>2</v>
          </cell>
        </row>
        <row r="127">
          <cell r="A127" t="str">
            <v>ANCASHCARHUAZAMASHCA</v>
          </cell>
          <cell r="B127" t="str">
            <v>02</v>
          </cell>
          <cell r="C127" t="str">
            <v>06</v>
          </cell>
          <cell r="D127" t="str">
            <v>03</v>
          </cell>
          <cell r="E127" t="str">
            <v>ANCASH</v>
          </cell>
          <cell r="F127" t="str">
            <v>CARHUAZ</v>
          </cell>
          <cell r="G127" t="str">
            <v>AMASHCA</v>
          </cell>
          <cell r="H127" t="str">
            <v>010118</v>
          </cell>
          <cell r="I127" t="str">
            <v>2</v>
          </cell>
        </row>
        <row r="128">
          <cell r="A128" t="str">
            <v>ANCASHCARHUAZANTA</v>
          </cell>
          <cell r="B128" t="str">
            <v>02</v>
          </cell>
          <cell r="C128" t="str">
            <v>06</v>
          </cell>
          <cell r="D128" t="str">
            <v>04</v>
          </cell>
          <cell r="E128" t="str">
            <v>ANCASH</v>
          </cell>
          <cell r="F128" t="str">
            <v>CARHUAZ</v>
          </cell>
          <cell r="G128" t="str">
            <v>ANTA</v>
          </cell>
          <cell r="H128" t="str">
            <v>010119</v>
          </cell>
          <cell r="I128" t="str">
            <v>2</v>
          </cell>
        </row>
        <row r="129">
          <cell r="A129" t="str">
            <v>ANCASHCARHUAZATAQUERO</v>
          </cell>
          <cell r="B129" t="str">
            <v>02</v>
          </cell>
          <cell r="C129" t="str">
            <v>06</v>
          </cell>
          <cell r="D129" t="str">
            <v>05</v>
          </cell>
          <cell r="E129" t="str">
            <v>ANCASH</v>
          </cell>
          <cell r="F129" t="str">
            <v>CARHUAZ</v>
          </cell>
          <cell r="G129" t="str">
            <v>ATAQUERO</v>
          </cell>
          <cell r="H129" t="str">
            <v>010120</v>
          </cell>
          <cell r="I129" t="str">
            <v>2</v>
          </cell>
        </row>
        <row r="130">
          <cell r="A130" t="str">
            <v>ANCASHCARHUAZMARCARA</v>
          </cell>
          <cell r="B130" t="str">
            <v>02</v>
          </cell>
          <cell r="C130" t="str">
            <v>06</v>
          </cell>
          <cell r="D130" t="str">
            <v>06</v>
          </cell>
          <cell r="E130" t="str">
            <v>ANCASH</v>
          </cell>
          <cell r="F130" t="str">
            <v>CARHUAZ</v>
          </cell>
          <cell r="G130" t="str">
            <v>MARCARA</v>
          </cell>
          <cell r="H130" t="str">
            <v>010121</v>
          </cell>
          <cell r="I130" t="str">
            <v>2</v>
          </cell>
        </row>
        <row r="131">
          <cell r="A131" t="str">
            <v>ANCASHCARHUAZPARIAHUANCA</v>
          </cell>
          <cell r="B131" t="str">
            <v>02</v>
          </cell>
          <cell r="C131" t="str">
            <v>06</v>
          </cell>
          <cell r="D131" t="str">
            <v>07</v>
          </cell>
          <cell r="E131" t="str">
            <v>ANCASH</v>
          </cell>
          <cell r="F131" t="str">
            <v>CARHUAZ</v>
          </cell>
          <cell r="G131" t="str">
            <v>PARIAHUANCA</v>
          </cell>
          <cell r="H131" t="str">
            <v>010122</v>
          </cell>
          <cell r="I131" t="str">
            <v>2</v>
          </cell>
        </row>
        <row r="132">
          <cell r="A132" t="str">
            <v>ANCASHCARHUAZSAN MIGUEL DE ACO</v>
          </cell>
          <cell r="B132" t="str">
            <v>02</v>
          </cell>
          <cell r="C132" t="str">
            <v>06</v>
          </cell>
          <cell r="D132" t="str">
            <v>08</v>
          </cell>
          <cell r="E132" t="str">
            <v>ANCASH</v>
          </cell>
          <cell r="F132" t="str">
            <v>CARHUAZ</v>
          </cell>
          <cell r="G132" t="str">
            <v>SAN MIGUEL DE ACO</v>
          </cell>
          <cell r="H132" t="str">
            <v>011867</v>
          </cell>
          <cell r="I132" t="str">
            <v>2</v>
          </cell>
        </row>
        <row r="133">
          <cell r="A133" t="str">
            <v>ANCASHCARHUAZSHILLA</v>
          </cell>
          <cell r="B133" t="str">
            <v>02</v>
          </cell>
          <cell r="C133" t="str">
            <v>06</v>
          </cell>
          <cell r="D133" t="str">
            <v>09</v>
          </cell>
          <cell r="E133" t="str">
            <v>ANCASH</v>
          </cell>
          <cell r="F133" t="str">
            <v>CARHUAZ</v>
          </cell>
          <cell r="G133" t="str">
            <v>SHILLA</v>
          </cell>
          <cell r="H133" t="str">
            <v>011891</v>
          </cell>
          <cell r="I133" t="str">
            <v>2</v>
          </cell>
        </row>
        <row r="134">
          <cell r="A134" t="str">
            <v>ANCASHCARHUAZTINCO</v>
          </cell>
          <cell r="B134" t="str">
            <v>02</v>
          </cell>
          <cell r="C134" t="str">
            <v>06</v>
          </cell>
          <cell r="D134" t="str">
            <v>10</v>
          </cell>
          <cell r="E134" t="str">
            <v>ANCASH</v>
          </cell>
          <cell r="F134" t="str">
            <v>CARHUAZ</v>
          </cell>
          <cell r="G134" t="str">
            <v>TINCO</v>
          </cell>
          <cell r="H134" t="str">
            <v>010125</v>
          </cell>
          <cell r="I134" t="str">
            <v>2</v>
          </cell>
        </row>
        <row r="135">
          <cell r="A135" t="str">
            <v>ANCASHCARHUAZYUNGAR</v>
          </cell>
          <cell r="B135" t="str">
            <v>02</v>
          </cell>
          <cell r="C135" t="str">
            <v>06</v>
          </cell>
          <cell r="D135" t="str">
            <v>11</v>
          </cell>
          <cell r="E135" t="str">
            <v>ANCASH</v>
          </cell>
          <cell r="F135" t="str">
            <v>CARHUAZ</v>
          </cell>
          <cell r="G135" t="str">
            <v>YUNGAR</v>
          </cell>
          <cell r="H135" t="str">
            <v>010126</v>
          </cell>
          <cell r="I135" t="str">
            <v>2</v>
          </cell>
        </row>
        <row r="136">
          <cell r="A136" t="str">
            <v>ANCASHCARLOS F. FITZCARRALDSAN LUIS</v>
          </cell>
          <cell r="B136" t="str">
            <v>02</v>
          </cell>
          <cell r="C136" t="str">
            <v>07</v>
          </cell>
          <cell r="D136" t="str">
            <v>01</v>
          </cell>
          <cell r="E136" t="str">
            <v>ANCASH</v>
          </cell>
          <cell r="F136" t="str">
            <v>CARLOS F. FITZCARRALD</v>
          </cell>
          <cell r="G136" t="str">
            <v>SAN LUIS</v>
          </cell>
          <cell r="H136" t="str">
            <v>010188</v>
          </cell>
          <cell r="I136" t="str">
            <v>1</v>
          </cell>
        </row>
        <row r="137">
          <cell r="A137" t="str">
            <v>ANCASHCARLOS F. FITZCARRALDSAN NICOLAS</v>
          </cell>
          <cell r="B137" t="str">
            <v>02</v>
          </cell>
          <cell r="C137" t="str">
            <v>07</v>
          </cell>
          <cell r="D137" t="str">
            <v>02</v>
          </cell>
          <cell r="E137" t="str">
            <v>ANCASH</v>
          </cell>
          <cell r="F137" t="str">
            <v>CARLOS F. FITZCARRALD</v>
          </cell>
          <cell r="G137" t="str">
            <v>SAN NICOLAS</v>
          </cell>
          <cell r="H137" t="str">
            <v>010189</v>
          </cell>
          <cell r="I137" t="str">
            <v>2</v>
          </cell>
        </row>
        <row r="138">
          <cell r="A138" t="str">
            <v>ANCASHCARLOS F. FITZCARRALDYAUYA</v>
          </cell>
          <cell r="B138" t="str">
            <v>02</v>
          </cell>
          <cell r="C138" t="str">
            <v>07</v>
          </cell>
          <cell r="D138" t="str">
            <v>03</v>
          </cell>
          <cell r="E138" t="str">
            <v>ANCASH</v>
          </cell>
          <cell r="F138" t="str">
            <v>CARLOS F. FITZCARRALD</v>
          </cell>
          <cell r="G138" t="str">
            <v>YAUYA</v>
          </cell>
          <cell r="H138" t="str">
            <v>010190</v>
          </cell>
          <cell r="I138" t="str">
            <v>2</v>
          </cell>
        </row>
        <row r="139">
          <cell r="A139" t="str">
            <v>ANCASHCASMACASMA</v>
          </cell>
          <cell r="B139" t="str">
            <v>02</v>
          </cell>
          <cell r="C139" t="str">
            <v>08</v>
          </cell>
          <cell r="D139" t="str">
            <v>01</v>
          </cell>
          <cell r="E139" t="str">
            <v>ANCASH</v>
          </cell>
          <cell r="F139" t="str">
            <v>CASMA</v>
          </cell>
          <cell r="G139" t="str">
            <v>CASMA</v>
          </cell>
          <cell r="H139" t="str">
            <v>010229</v>
          </cell>
          <cell r="I139" t="str">
            <v>1</v>
          </cell>
        </row>
        <row r="140">
          <cell r="A140" t="str">
            <v>ANCASHCASMABUENA VISTA ALTA</v>
          </cell>
          <cell r="B140" t="str">
            <v>02</v>
          </cell>
          <cell r="C140" t="str">
            <v>08</v>
          </cell>
          <cell r="D140" t="str">
            <v>02</v>
          </cell>
          <cell r="E140" t="str">
            <v>ANCASH</v>
          </cell>
          <cell r="F140" t="str">
            <v>CASMA</v>
          </cell>
          <cell r="G140" t="str">
            <v>BUENA VISTA ALTA</v>
          </cell>
          <cell r="H140" t="str">
            <v>010230</v>
          </cell>
          <cell r="I140" t="str">
            <v>2</v>
          </cell>
        </row>
        <row r="141">
          <cell r="A141" t="str">
            <v>ANCASHCASMACOMANDANTE NOEL</v>
          </cell>
          <cell r="B141" t="str">
            <v>02</v>
          </cell>
          <cell r="C141" t="str">
            <v>08</v>
          </cell>
          <cell r="D141" t="str">
            <v>03</v>
          </cell>
          <cell r="E141" t="str">
            <v>ANCASH</v>
          </cell>
          <cell r="F141" t="str">
            <v>CASMA</v>
          </cell>
          <cell r="G141" t="str">
            <v>COMANDANTE NOEL</v>
          </cell>
          <cell r="H141" t="str">
            <v>012429</v>
          </cell>
          <cell r="I141" t="str">
            <v>2</v>
          </cell>
        </row>
        <row r="142">
          <cell r="A142" t="str">
            <v>ANCASHCASMAYAUTAN</v>
          </cell>
          <cell r="B142" t="str">
            <v>02</v>
          </cell>
          <cell r="C142" t="str">
            <v>08</v>
          </cell>
          <cell r="D142" t="str">
            <v>04</v>
          </cell>
          <cell r="E142" t="str">
            <v>ANCASH</v>
          </cell>
          <cell r="F142" t="str">
            <v>CASMA</v>
          </cell>
          <cell r="G142" t="str">
            <v>YAUTAN</v>
          </cell>
          <cell r="H142" t="str">
            <v>010232</v>
          </cell>
          <cell r="I142" t="str">
            <v>2</v>
          </cell>
        </row>
        <row r="143">
          <cell r="A143" t="str">
            <v>ANCASHCORONGOCORONGO</v>
          </cell>
          <cell r="B143" t="str">
            <v>02</v>
          </cell>
          <cell r="C143" t="str">
            <v>09</v>
          </cell>
          <cell r="D143" t="str">
            <v>01</v>
          </cell>
          <cell r="E143" t="str">
            <v>ANCASH</v>
          </cell>
          <cell r="F143" t="str">
            <v>CORONGO</v>
          </cell>
          <cell r="G143" t="str">
            <v>CORONGO</v>
          </cell>
          <cell r="H143" t="str">
            <v>010195</v>
          </cell>
          <cell r="I143" t="str">
            <v>1</v>
          </cell>
        </row>
        <row r="144">
          <cell r="A144" t="str">
            <v>ANCASHCORONGOACO</v>
          </cell>
          <cell r="B144" t="str">
            <v>02</v>
          </cell>
          <cell r="C144" t="str">
            <v>09</v>
          </cell>
          <cell r="D144" t="str">
            <v>02</v>
          </cell>
          <cell r="E144" t="str">
            <v>ANCASH</v>
          </cell>
          <cell r="F144" t="str">
            <v>CORONGO</v>
          </cell>
          <cell r="G144" t="str">
            <v>ACO</v>
          </cell>
          <cell r="H144" t="str">
            <v>010196</v>
          </cell>
          <cell r="I144" t="str">
            <v>2</v>
          </cell>
        </row>
        <row r="145">
          <cell r="A145" t="str">
            <v>ANCASHCORONGOBAMBAS</v>
          </cell>
          <cell r="B145" t="str">
            <v>02</v>
          </cell>
          <cell r="C145" t="str">
            <v>09</v>
          </cell>
          <cell r="D145" t="str">
            <v>03</v>
          </cell>
          <cell r="E145" t="str">
            <v>ANCASH</v>
          </cell>
          <cell r="F145" t="str">
            <v>CORONGO</v>
          </cell>
          <cell r="G145" t="str">
            <v>BAMBAS</v>
          </cell>
          <cell r="H145" t="str">
            <v>011868</v>
          </cell>
          <cell r="I145" t="str">
            <v>2</v>
          </cell>
        </row>
        <row r="146">
          <cell r="A146" t="str">
            <v>ANCASHCORONGOCUSCA</v>
          </cell>
          <cell r="B146" t="str">
            <v>02</v>
          </cell>
          <cell r="C146" t="str">
            <v>09</v>
          </cell>
          <cell r="D146" t="str">
            <v>04</v>
          </cell>
          <cell r="E146" t="str">
            <v>ANCASH</v>
          </cell>
          <cell r="F146" t="str">
            <v>CORONGO</v>
          </cell>
          <cell r="G146" t="str">
            <v>CUSCA</v>
          </cell>
          <cell r="H146" t="str">
            <v>010198</v>
          </cell>
          <cell r="I146" t="str">
            <v>2</v>
          </cell>
        </row>
        <row r="147">
          <cell r="A147" t="str">
            <v>ANCASHCORONGOLA PAMPA</v>
          </cell>
          <cell r="B147" t="str">
            <v>02</v>
          </cell>
          <cell r="C147" t="str">
            <v>09</v>
          </cell>
          <cell r="D147" t="str">
            <v>05</v>
          </cell>
          <cell r="E147" t="str">
            <v>ANCASH</v>
          </cell>
          <cell r="F147" t="str">
            <v>CORONGO</v>
          </cell>
          <cell r="G147" t="str">
            <v>LA PAMPA</v>
          </cell>
          <cell r="H147" t="str">
            <v>010199</v>
          </cell>
          <cell r="I147" t="str">
            <v>2</v>
          </cell>
        </row>
        <row r="148">
          <cell r="A148" t="str">
            <v>ANCASHCORONGOYANAC</v>
          </cell>
          <cell r="B148" t="str">
            <v>02</v>
          </cell>
          <cell r="C148" t="str">
            <v>09</v>
          </cell>
          <cell r="D148" t="str">
            <v>06</v>
          </cell>
          <cell r="E148" t="str">
            <v>ANCASH</v>
          </cell>
          <cell r="F148" t="str">
            <v>CORONGO</v>
          </cell>
          <cell r="G148" t="str">
            <v>YANAC</v>
          </cell>
          <cell r="H148" t="str">
            <v>010200</v>
          </cell>
          <cell r="I148" t="str">
            <v>2</v>
          </cell>
        </row>
        <row r="149">
          <cell r="A149" t="str">
            <v>ANCASHCORONGOYUPAN</v>
          </cell>
          <cell r="B149" t="str">
            <v>02</v>
          </cell>
          <cell r="C149" t="str">
            <v>09</v>
          </cell>
          <cell r="D149" t="str">
            <v>07</v>
          </cell>
          <cell r="E149" t="str">
            <v>ANCASH</v>
          </cell>
          <cell r="F149" t="str">
            <v>CORONGO</v>
          </cell>
          <cell r="G149" t="str">
            <v>YUPAN</v>
          </cell>
          <cell r="H149" t="str">
            <v>012408</v>
          </cell>
          <cell r="I149" t="str">
            <v>2</v>
          </cell>
        </row>
        <row r="150">
          <cell r="A150" t="str">
            <v>ANCASHHUARIHUARI</v>
          </cell>
          <cell r="B150" t="str">
            <v>02</v>
          </cell>
          <cell r="C150" t="str">
            <v>10</v>
          </cell>
          <cell r="D150" t="str">
            <v>01</v>
          </cell>
          <cell r="E150" t="str">
            <v>ANCASH</v>
          </cell>
          <cell r="F150" t="str">
            <v>HUARI</v>
          </cell>
          <cell r="G150" t="str">
            <v>HUARI</v>
          </cell>
          <cell r="H150" t="str">
            <v>012393</v>
          </cell>
          <cell r="I150" t="str">
            <v>1</v>
          </cell>
        </row>
        <row r="151">
          <cell r="A151" t="str">
            <v>ANCASHHUARIANRA</v>
          </cell>
          <cell r="B151" t="str">
            <v>02</v>
          </cell>
          <cell r="C151" t="str">
            <v>10</v>
          </cell>
          <cell r="D151" t="str">
            <v>02</v>
          </cell>
          <cell r="E151" t="str">
            <v>ANCASH</v>
          </cell>
          <cell r="F151" t="str">
            <v>HUARI</v>
          </cell>
          <cell r="G151" t="str">
            <v>ANRA</v>
          </cell>
          <cell r="H151" t="str">
            <v>010165</v>
          </cell>
          <cell r="I151" t="str">
            <v>2</v>
          </cell>
        </row>
        <row r="152">
          <cell r="A152" t="str">
            <v>ANCASHHUARICAJAY</v>
          </cell>
          <cell r="B152" t="str">
            <v>02</v>
          </cell>
          <cell r="C152" t="str">
            <v>10</v>
          </cell>
          <cell r="D152" t="str">
            <v>03</v>
          </cell>
          <cell r="E152" t="str">
            <v>ANCASH</v>
          </cell>
          <cell r="F152" t="str">
            <v>HUARI</v>
          </cell>
          <cell r="G152" t="str">
            <v>CAJAY</v>
          </cell>
          <cell r="H152" t="str">
            <v>010166</v>
          </cell>
          <cell r="I152" t="str">
            <v>2</v>
          </cell>
        </row>
        <row r="153">
          <cell r="A153" t="str">
            <v>ANCASHHUARICHAVIN DE HUANTAR</v>
          </cell>
          <cell r="B153" t="str">
            <v>02</v>
          </cell>
          <cell r="C153" t="str">
            <v>10</v>
          </cell>
          <cell r="D153" t="str">
            <v>04</v>
          </cell>
          <cell r="E153" t="str">
            <v>ANCASH</v>
          </cell>
          <cell r="F153" t="str">
            <v>HUARI</v>
          </cell>
          <cell r="G153" t="str">
            <v>CHAVIN DE HUANTAR</v>
          </cell>
          <cell r="H153" t="str">
            <v>010167</v>
          </cell>
          <cell r="I153" t="str">
            <v>2</v>
          </cell>
        </row>
        <row r="154">
          <cell r="A154" t="str">
            <v>ANCASHHUARIHUACACHI</v>
          </cell>
          <cell r="B154" t="str">
            <v>02</v>
          </cell>
          <cell r="C154" t="str">
            <v>10</v>
          </cell>
          <cell r="D154" t="str">
            <v>05</v>
          </cell>
          <cell r="E154" t="str">
            <v>ANCASH</v>
          </cell>
          <cell r="F154" t="str">
            <v>HUARI</v>
          </cell>
          <cell r="G154" t="str">
            <v>HUACACHI</v>
          </cell>
          <cell r="H154" t="str">
            <v>011896</v>
          </cell>
          <cell r="I154" t="str">
            <v>2</v>
          </cell>
        </row>
        <row r="155">
          <cell r="A155" t="str">
            <v>ANCASHHUARIHUACCHIS</v>
          </cell>
          <cell r="B155" t="str">
            <v>02</v>
          </cell>
          <cell r="C155" t="str">
            <v>10</v>
          </cell>
          <cell r="D155" t="str">
            <v>06</v>
          </cell>
          <cell r="E155" t="str">
            <v>ANCASH</v>
          </cell>
          <cell r="F155" t="str">
            <v>HUARI</v>
          </cell>
          <cell r="G155" t="str">
            <v>HUACCHIS</v>
          </cell>
          <cell r="H155" t="str">
            <v>011881</v>
          </cell>
          <cell r="I155" t="str">
            <v>2</v>
          </cell>
        </row>
        <row r="156">
          <cell r="A156" t="str">
            <v>ANCASHHUARIHUACHIS</v>
          </cell>
          <cell r="B156" t="str">
            <v>02</v>
          </cell>
          <cell r="C156" t="str">
            <v>10</v>
          </cell>
          <cell r="D156" t="str">
            <v>07</v>
          </cell>
          <cell r="E156" t="str">
            <v>ANCASH</v>
          </cell>
          <cell r="F156" t="str">
            <v>HUARI</v>
          </cell>
          <cell r="G156" t="str">
            <v>HUACHIS</v>
          </cell>
          <cell r="H156" t="str">
            <v>010170</v>
          </cell>
          <cell r="I156" t="str">
            <v>2</v>
          </cell>
        </row>
        <row r="157">
          <cell r="A157" t="str">
            <v>ANCASHHUARIHUANTAR</v>
          </cell>
          <cell r="B157" t="str">
            <v>02</v>
          </cell>
          <cell r="C157" t="str">
            <v>10</v>
          </cell>
          <cell r="D157" t="str">
            <v>08</v>
          </cell>
          <cell r="E157" t="str">
            <v>ANCASH</v>
          </cell>
          <cell r="F157" t="str">
            <v>HUARI</v>
          </cell>
          <cell r="G157" t="str">
            <v>HUANTAR</v>
          </cell>
          <cell r="H157" t="str">
            <v>010171</v>
          </cell>
          <cell r="I157" t="str">
            <v>2</v>
          </cell>
        </row>
        <row r="158">
          <cell r="A158" t="str">
            <v>ANCASHHUARIMASIN</v>
          </cell>
          <cell r="B158" t="str">
            <v>02</v>
          </cell>
          <cell r="C158" t="str">
            <v>10</v>
          </cell>
          <cell r="D158" t="str">
            <v>09</v>
          </cell>
          <cell r="E158" t="str">
            <v>ANCASH</v>
          </cell>
          <cell r="F158" t="str">
            <v>HUARI</v>
          </cell>
          <cell r="G158" t="str">
            <v>MASIN</v>
          </cell>
          <cell r="H158" t="str">
            <v>010172</v>
          </cell>
          <cell r="I158" t="str">
            <v>2</v>
          </cell>
        </row>
        <row r="159">
          <cell r="A159" t="str">
            <v>ANCASHHUARIPAUCAS</v>
          </cell>
          <cell r="B159" t="str">
            <v>02</v>
          </cell>
          <cell r="C159" t="str">
            <v>10</v>
          </cell>
          <cell r="D159" t="str">
            <v>10</v>
          </cell>
          <cell r="E159" t="str">
            <v>ANCASH</v>
          </cell>
          <cell r="F159" t="str">
            <v>HUARI</v>
          </cell>
          <cell r="G159" t="str">
            <v>PAUCAS</v>
          </cell>
          <cell r="H159" t="str">
            <v>010173</v>
          </cell>
          <cell r="I159" t="str">
            <v>2</v>
          </cell>
        </row>
        <row r="160">
          <cell r="A160" t="str">
            <v>ANCASHHUARIPONTO</v>
          </cell>
          <cell r="B160" t="str">
            <v>02</v>
          </cell>
          <cell r="C160" t="str">
            <v>10</v>
          </cell>
          <cell r="D160" t="str">
            <v>11</v>
          </cell>
          <cell r="E160" t="str">
            <v>ANCASH</v>
          </cell>
          <cell r="F160" t="str">
            <v>HUARI</v>
          </cell>
          <cell r="G160" t="str">
            <v>PONTO</v>
          </cell>
          <cell r="H160" t="str">
            <v>010174</v>
          </cell>
          <cell r="I160" t="str">
            <v>2</v>
          </cell>
        </row>
        <row r="161">
          <cell r="A161" t="str">
            <v>ANCASHHUARIRAHUAPAMPA</v>
          </cell>
          <cell r="B161" t="str">
            <v>02</v>
          </cell>
          <cell r="C161" t="str">
            <v>10</v>
          </cell>
          <cell r="D161" t="str">
            <v>12</v>
          </cell>
          <cell r="E161" t="str">
            <v>ANCASH</v>
          </cell>
          <cell r="F161" t="str">
            <v>HUARI</v>
          </cell>
          <cell r="G161" t="str">
            <v>RAHUAPAMPA</v>
          </cell>
          <cell r="H161" t="str">
            <v>010175</v>
          </cell>
          <cell r="I161" t="str">
            <v>2</v>
          </cell>
        </row>
        <row r="162">
          <cell r="A162" t="str">
            <v>ANCASHHUARIRAPAYAN</v>
          </cell>
          <cell r="B162" t="str">
            <v>02</v>
          </cell>
          <cell r="C162" t="str">
            <v>10</v>
          </cell>
          <cell r="D162" t="str">
            <v>13</v>
          </cell>
          <cell r="E162" t="str">
            <v>ANCASH</v>
          </cell>
          <cell r="F162" t="str">
            <v>HUARI</v>
          </cell>
          <cell r="G162" t="str">
            <v>RAPAYAN</v>
          </cell>
          <cell r="H162" t="str">
            <v>010176</v>
          </cell>
          <cell r="I162" t="str">
            <v>2</v>
          </cell>
        </row>
        <row r="163">
          <cell r="A163" t="str">
            <v>ANCASHHUARISAN MARCOS</v>
          </cell>
          <cell r="B163" t="str">
            <v>02</v>
          </cell>
          <cell r="C163" t="str">
            <v>10</v>
          </cell>
          <cell r="D163" t="str">
            <v>14</v>
          </cell>
          <cell r="E163" t="str">
            <v>ANCASH</v>
          </cell>
          <cell r="F163" t="str">
            <v>HUARI</v>
          </cell>
          <cell r="G163" t="str">
            <v>SAN MARCOS</v>
          </cell>
          <cell r="H163" t="str">
            <v>011870</v>
          </cell>
          <cell r="I163" t="str">
            <v>2</v>
          </cell>
        </row>
        <row r="164">
          <cell r="A164" t="str">
            <v>ANCASHHUARISAN PEDRO DE CHANA</v>
          </cell>
          <cell r="B164" t="str">
            <v>02</v>
          </cell>
          <cell r="C164" t="str">
            <v>10</v>
          </cell>
          <cell r="D164" t="str">
            <v>15</v>
          </cell>
          <cell r="E164" t="str">
            <v>ANCASH</v>
          </cell>
          <cell r="F164" t="str">
            <v>HUARI</v>
          </cell>
          <cell r="G164" t="str">
            <v>SAN PEDRO DE CHANA</v>
          </cell>
          <cell r="H164" t="str">
            <v>010178</v>
          </cell>
          <cell r="I164" t="str">
            <v>2</v>
          </cell>
        </row>
        <row r="165">
          <cell r="A165" t="str">
            <v>ANCASHHUARIUCO</v>
          </cell>
          <cell r="B165" t="str">
            <v>02</v>
          </cell>
          <cell r="C165" t="str">
            <v>10</v>
          </cell>
          <cell r="D165" t="str">
            <v>16</v>
          </cell>
          <cell r="E165" t="str">
            <v>ANCASH</v>
          </cell>
          <cell r="F165" t="str">
            <v>HUARI</v>
          </cell>
          <cell r="G165" t="str">
            <v>UCO</v>
          </cell>
          <cell r="H165" t="str">
            <v>010179</v>
          </cell>
          <cell r="I165" t="str">
            <v>2</v>
          </cell>
        </row>
        <row r="166">
          <cell r="A166" t="str">
            <v>ANCASHHUARMEYHUARMEY</v>
          </cell>
          <cell r="B166" t="str">
            <v>02</v>
          </cell>
          <cell r="C166" t="str">
            <v>11</v>
          </cell>
          <cell r="D166" t="str">
            <v>01</v>
          </cell>
          <cell r="E166" t="str">
            <v>ANCASH</v>
          </cell>
          <cell r="F166" t="str">
            <v>HUARMEY</v>
          </cell>
          <cell r="G166" t="str">
            <v>HUARMEY</v>
          </cell>
          <cell r="H166" t="str">
            <v>011860</v>
          </cell>
          <cell r="I166" t="str">
            <v>1</v>
          </cell>
        </row>
        <row r="167">
          <cell r="A167" t="str">
            <v>ANCASHHUARMEYCOCHAPETI</v>
          </cell>
          <cell r="B167" t="str">
            <v>02</v>
          </cell>
          <cell r="C167" t="str">
            <v>11</v>
          </cell>
          <cell r="D167" t="str">
            <v>02</v>
          </cell>
          <cell r="E167" t="str">
            <v>ANCASH</v>
          </cell>
          <cell r="F167" t="str">
            <v>HUARMEY</v>
          </cell>
          <cell r="G167" t="str">
            <v>COCHAPETI</v>
          </cell>
          <cell r="H167" t="str">
            <v>010236</v>
          </cell>
          <cell r="I167" t="str">
            <v>2</v>
          </cell>
        </row>
        <row r="168">
          <cell r="A168" t="str">
            <v>ANCASHHUARMEYCULEBRAS</v>
          </cell>
          <cell r="B168" t="str">
            <v>02</v>
          </cell>
          <cell r="C168" t="str">
            <v>11</v>
          </cell>
          <cell r="D168" t="str">
            <v>03</v>
          </cell>
          <cell r="E168" t="str">
            <v>ANCASH</v>
          </cell>
          <cell r="F168" t="str">
            <v>HUARMEY</v>
          </cell>
          <cell r="G168" t="str">
            <v>CULEBRAS</v>
          </cell>
          <cell r="H168" t="str">
            <v>010237</v>
          </cell>
          <cell r="I168" t="str">
            <v>2</v>
          </cell>
        </row>
        <row r="169">
          <cell r="A169" t="str">
            <v>ANCASHHUARMEYHUAYAN</v>
          </cell>
          <cell r="B169" t="str">
            <v>02</v>
          </cell>
          <cell r="C169" t="str">
            <v>11</v>
          </cell>
          <cell r="D169" t="str">
            <v>04</v>
          </cell>
          <cell r="E169" t="str">
            <v>ANCASH</v>
          </cell>
          <cell r="F169" t="str">
            <v>HUARMEY</v>
          </cell>
          <cell r="G169" t="str">
            <v>HUAYAN</v>
          </cell>
          <cell r="H169" t="str">
            <v>010238</v>
          </cell>
          <cell r="I169" t="str">
            <v>2</v>
          </cell>
        </row>
        <row r="170">
          <cell r="A170" t="str">
            <v>ANCASHHUARMEYMALVAS</v>
          </cell>
          <cell r="B170" t="str">
            <v>02</v>
          </cell>
          <cell r="C170" t="str">
            <v>11</v>
          </cell>
          <cell r="D170" t="str">
            <v>05</v>
          </cell>
          <cell r="E170" t="str">
            <v>ANCASH</v>
          </cell>
          <cell r="F170" t="str">
            <v>HUARMEY</v>
          </cell>
          <cell r="G170" t="str">
            <v>MALVAS</v>
          </cell>
          <cell r="H170" t="str">
            <v>010239</v>
          </cell>
          <cell r="I170" t="str">
            <v>2</v>
          </cell>
        </row>
        <row r="171">
          <cell r="A171" t="str">
            <v>ANCASHHUAYLASCARAZ</v>
          </cell>
          <cell r="B171" t="str">
            <v>02</v>
          </cell>
          <cell r="C171" t="str">
            <v>12</v>
          </cell>
          <cell r="D171" t="str">
            <v>01</v>
          </cell>
          <cell r="E171" t="str">
            <v>ANCASH</v>
          </cell>
          <cell r="F171" t="str">
            <v>HUAYLAS</v>
          </cell>
          <cell r="G171" t="str">
            <v>CARAZ</v>
          </cell>
          <cell r="H171" t="str">
            <v>010127</v>
          </cell>
          <cell r="I171" t="str">
            <v>1</v>
          </cell>
        </row>
        <row r="172">
          <cell r="A172" t="str">
            <v>ANCASHHUAYLASHUALLANCA</v>
          </cell>
          <cell r="B172" t="str">
            <v>02</v>
          </cell>
          <cell r="C172" t="str">
            <v>12</v>
          </cell>
          <cell r="D172" t="str">
            <v>02</v>
          </cell>
          <cell r="E172" t="str">
            <v>ANCASH</v>
          </cell>
          <cell r="F172" t="str">
            <v>HUAYLAS</v>
          </cell>
          <cell r="G172" t="str">
            <v>HUALLANCA</v>
          </cell>
          <cell r="H172" t="str">
            <v>012394</v>
          </cell>
          <cell r="I172" t="str">
            <v>2</v>
          </cell>
        </row>
        <row r="173">
          <cell r="A173" t="str">
            <v>ANCASHHUAYLASHUATA</v>
          </cell>
          <cell r="B173" t="str">
            <v>02</v>
          </cell>
          <cell r="C173" t="str">
            <v>12</v>
          </cell>
          <cell r="D173" t="str">
            <v>03</v>
          </cell>
          <cell r="E173" t="str">
            <v>ANCASH</v>
          </cell>
          <cell r="F173" t="str">
            <v>HUAYLAS</v>
          </cell>
          <cell r="G173" t="str">
            <v>HUATA</v>
          </cell>
          <cell r="H173" t="str">
            <v>010129</v>
          </cell>
          <cell r="I173" t="str">
            <v>2</v>
          </cell>
        </row>
        <row r="174">
          <cell r="A174" t="str">
            <v>ANCASHHUAYLASHUAYLAS</v>
          </cell>
          <cell r="B174" t="str">
            <v>02</v>
          </cell>
          <cell r="C174" t="str">
            <v>12</v>
          </cell>
          <cell r="D174" t="str">
            <v>04</v>
          </cell>
          <cell r="E174" t="str">
            <v>ANCASH</v>
          </cell>
          <cell r="F174" t="str">
            <v>HUAYLAS</v>
          </cell>
          <cell r="G174" t="str">
            <v>HUAYLAS</v>
          </cell>
          <cell r="H174" t="str">
            <v>012412</v>
          </cell>
          <cell r="I174" t="str">
            <v>2</v>
          </cell>
        </row>
        <row r="175">
          <cell r="A175" t="str">
            <v>ANCASHHUAYLASMATO</v>
          </cell>
          <cell r="B175" t="str">
            <v>02</v>
          </cell>
          <cell r="C175" t="str">
            <v>12</v>
          </cell>
          <cell r="D175" t="str">
            <v>05</v>
          </cell>
          <cell r="E175" t="str">
            <v>ANCASH</v>
          </cell>
          <cell r="F175" t="str">
            <v>HUAYLAS</v>
          </cell>
          <cell r="G175" t="str">
            <v>MATO</v>
          </cell>
          <cell r="H175" t="str">
            <v>010131</v>
          </cell>
          <cell r="I175" t="str">
            <v>2</v>
          </cell>
        </row>
        <row r="176">
          <cell r="A176" t="str">
            <v>ANCASHHUAYLASPAMPAROMAS</v>
          </cell>
          <cell r="B176" t="str">
            <v>02</v>
          </cell>
          <cell r="C176" t="str">
            <v>12</v>
          </cell>
          <cell r="D176" t="str">
            <v>06</v>
          </cell>
          <cell r="E176" t="str">
            <v>ANCASH</v>
          </cell>
          <cell r="F176" t="str">
            <v>HUAYLAS</v>
          </cell>
          <cell r="G176" t="str">
            <v>PAMPAROMAS</v>
          </cell>
          <cell r="H176" t="str">
            <v>010132</v>
          </cell>
          <cell r="I176" t="str">
            <v>2</v>
          </cell>
        </row>
        <row r="177">
          <cell r="A177" t="str">
            <v>ANCASHHUAYLASPUEBLO LIBRE</v>
          </cell>
          <cell r="B177" t="str">
            <v>02</v>
          </cell>
          <cell r="C177" t="str">
            <v>12</v>
          </cell>
          <cell r="D177" t="str">
            <v>07</v>
          </cell>
          <cell r="E177" t="str">
            <v>ANCASH</v>
          </cell>
          <cell r="F177" t="str">
            <v>HUAYLAS</v>
          </cell>
          <cell r="G177" t="str">
            <v>PUEBLO LIBRE</v>
          </cell>
          <cell r="H177" t="str">
            <v>010133</v>
          </cell>
          <cell r="I177" t="str">
            <v>2</v>
          </cell>
        </row>
        <row r="178">
          <cell r="A178" t="str">
            <v>ANCASHHUAYLASSANTA CRUZ</v>
          </cell>
          <cell r="B178" t="str">
            <v>02</v>
          </cell>
          <cell r="C178" t="str">
            <v>12</v>
          </cell>
          <cell r="D178" t="str">
            <v>08</v>
          </cell>
          <cell r="E178" t="str">
            <v>ANCASH</v>
          </cell>
          <cell r="F178" t="str">
            <v>HUAYLAS</v>
          </cell>
          <cell r="G178" t="str">
            <v>SANTA CRUZ</v>
          </cell>
          <cell r="H178" t="str">
            <v>010134</v>
          </cell>
          <cell r="I178" t="str">
            <v>2</v>
          </cell>
        </row>
        <row r="179">
          <cell r="A179" t="str">
            <v>ANCASHHUAYLASSANTO TORIBIO</v>
          </cell>
          <cell r="B179" t="str">
            <v>02</v>
          </cell>
          <cell r="C179" t="str">
            <v>12</v>
          </cell>
          <cell r="D179" t="str">
            <v>09</v>
          </cell>
          <cell r="E179" t="str">
            <v>ANCASH</v>
          </cell>
          <cell r="F179" t="str">
            <v>HUAYLAS</v>
          </cell>
          <cell r="G179" t="str">
            <v>SANTO TORIBIO</v>
          </cell>
          <cell r="H179" t="str">
            <v>010135</v>
          </cell>
          <cell r="I179" t="str">
            <v>2</v>
          </cell>
        </row>
        <row r="180">
          <cell r="A180" t="str">
            <v>ANCASHHUAYLASYURACMARCA</v>
          </cell>
          <cell r="B180" t="str">
            <v>02</v>
          </cell>
          <cell r="C180" t="str">
            <v>12</v>
          </cell>
          <cell r="D180" t="str">
            <v>10</v>
          </cell>
          <cell r="E180" t="str">
            <v>ANCASH</v>
          </cell>
          <cell r="F180" t="str">
            <v>HUAYLAS</v>
          </cell>
          <cell r="G180" t="str">
            <v>YURACMARCA</v>
          </cell>
          <cell r="H180" t="str">
            <v>010136</v>
          </cell>
          <cell r="I180" t="str">
            <v>2</v>
          </cell>
        </row>
        <row r="181">
          <cell r="A181" t="str">
            <v>ANCASHMARISCAL LUZURIAGAPISCOBAMBA</v>
          </cell>
          <cell r="B181" t="str">
            <v>02</v>
          </cell>
          <cell r="C181" t="str">
            <v>13</v>
          </cell>
          <cell r="D181" t="str">
            <v>01</v>
          </cell>
          <cell r="E181" t="str">
            <v>ANCASH</v>
          </cell>
          <cell r="F181" t="str">
            <v>MARISCAL LUZURIAGA</v>
          </cell>
          <cell r="G181" t="str">
            <v>PISCOBAMBA</v>
          </cell>
          <cell r="H181" t="str">
            <v>010202</v>
          </cell>
          <cell r="I181" t="str">
            <v>1</v>
          </cell>
        </row>
        <row r="182">
          <cell r="A182" t="str">
            <v>ANCASHMARISCAL LUZURIAGACASCA</v>
          </cell>
          <cell r="B182" t="str">
            <v>02</v>
          </cell>
          <cell r="C182" t="str">
            <v>13</v>
          </cell>
          <cell r="D182" t="str">
            <v>02</v>
          </cell>
          <cell r="E182" t="str">
            <v>ANCASH</v>
          </cell>
          <cell r="F182" t="str">
            <v>MARISCAL LUZURIAGA</v>
          </cell>
          <cell r="G182" t="str">
            <v>CASCA</v>
          </cell>
          <cell r="H182" t="str">
            <v>010203</v>
          </cell>
          <cell r="I182" t="str">
            <v>2</v>
          </cell>
        </row>
        <row r="183">
          <cell r="A183" t="str">
            <v>ANCASHMARISCAL LUZURIAGAELEAZAR GUZMAN BARRON</v>
          </cell>
          <cell r="B183" t="str">
            <v>02</v>
          </cell>
          <cell r="C183" t="str">
            <v>13</v>
          </cell>
          <cell r="D183" t="str">
            <v>03</v>
          </cell>
          <cell r="E183" t="str">
            <v>ANCASH</v>
          </cell>
          <cell r="F183" t="str">
            <v>MARISCAL LUZURIAGA</v>
          </cell>
          <cell r="G183" t="str">
            <v>ELEAZAR GUZMAN BARRON</v>
          </cell>
          <cell r="H183" t="str">
            <v>011880</v>
          </cell>
          <cell r="I183" t="str">
            <v>2</v>
          </cell>
        </row>
        <row r="184">
          <cell r="A184" t="str">
            <v>ANCASHMARISCAL LUZURIAGAFIDEL OLIVAS ESCUDERO</v>
          </cell>
          <cell r="B184" t="str">
            <v>02</v>
          </cell>
          <cell r="C184" t="str">
            <v>13</v>
          </cell>
          <cell r="D184" t="str">
            <v>04</v>
          </cell>
          <cell r="E184" t="str">
            <v>ANCASH</v>
          </cell>
          <cell r="F184" t="str">
            <v>MARISCAL LUZURIAGA</v>
          </cell>
          <cell r="G184" t="str">
            <v>FIDEL OLIVAS ESCUDERO</v>
          </cell>
          <cell r="H184" t="str">
            <v>017986</v>
          </cell>
          <cell r="I184" t="str">
            <v>2</v>
          </cell>
        </row>
        <row r="185">
          <cell r="A185" t="str">
            <v>ANCASHMARISCAL LUZURIAGALLAMA</v>
          </cell>
          <cell r="B185" t="str">
            <v>02</v>
          </cell>
          <cell r="C185" t="str">
            <v>13</v>
          </cell>
          <cell r="D185" t="str">
            <v>05</v>
          </cell>
          <cell r="E185" t="str">
            <v>ANCASH</v>
          </cell>
          <cell r="F185" t="str">
            <v>MARISCAL LUZURIAGA</v>
          </cell>
          <cell r="G185" t="str">
            <v>LLAMA</v>
          </cell>
          <cell r="H185" t="str">
            <v>010206</v>
          </cell>
          <cell r="I185" t="str">
            <v>2</v>
          </cell>
        </row>
        <row r="186">
          <cell r="A186" t="str">
            <v>ANCASHMARISCAL LUZURIAGALLUMPA</v>
          </cell>
          <cell r="B186" t="str">
            <v>02</v>
          </cell>
          <cell r="C186" t="str">
            <v>13</v>
          </cell>
          <cell r="D186" t="str">
            <v>06</v>
          </cell>
          <cell r="E186" t="str">
            <v>ANCASH</v>
          </cell>
          <cell r="F186" t="str">
            <v>MARISCAL LUZURIAGA</v>
          </cell>
          <cell r="G186" t="str">
            <v>LLUMPA</v>
          </cell>
          <cell r="H186" t="str">
            <v>012999</v>
          </cell>
          <cell r="I186" t="str">
            <v>2</v>
          </cell>
        </row>
        <row r="187">
          <cell r="A187" t="str">
            <v>ANCASHMARISCAL LUZURIAGALUCMA</v>
          </cell>
          <cell r="B187" t="str">
            <v>02</v>
          </cell>
          <cell r="C187" t="str">
            <v>13</v>
          </cell>
          <cell r="D187" t="str">
            <v>07</v>
          </cell>
          <cell r="E187" t="str">
            <v>ANCASH</v>
          </cell>
          <cell r="F187" t="str">
            <v>MARISCAL LUZURIAGA</v>
          </cell>
          <cell r="G187" t="str">
            <v>LUCMA</v>
          </cell>
          <cell r="H187" t="str">
            <v>010208</v>
          </cell>
          <cell r="I187" t="str">
            <v>2</v>
          </cell>
        </row>
        <row r="188">
          <cell r="A188" t="str">
            <v>ANCASHMARISCAL LUZURIAGAMUSGA</v>
          </cell>
          <cell r="B188" t="str">
            <v>02</v>
          </cell>
          <cell r="C188" t="str">
            <v>13</v>
          </cell>
          <cell r="D188" t="str">
            <v>08</v>
          </cell>
          <cell r="E188" t="str">
            <v>ANCASH</v>
          </cell>
          <cell r="F188" t="str">
            <v>MARISCAL LUZURIAGA</v>
          </cell>
          <cell r="G188" t="str">
            <v>MUSGA</v>
          </cell>
          <cell r="H188" t="str">
            <v>010209</v>
          </cell>
          <cell r="I188" t="str">
            <v>2</v>
          </cell>
        </row>
        <row r="189">
          <cell r="A189" t="str">
            <v>ANCASHOCROSOCROS</v>
          </cell>
          <cell r="B189" t="str">
            <v>02</v>
          </cell>
          <cell r="C189" t="str">
            <v>14</v>
          </cell>
          <cell r="D189" t="str">
            <v>01</v>
          </cell>
          <cell r="E189" t="str">
            <v>ANCASH</v>
          </cell>
          <cell r="F189" t="str">
            <v>OCROS</v>
          </cell>
          <cell r="G189" t="str">
            <v>OCROS</v>
          </cell>
          <cell r="H189" t="str">
            <v>010147</v>
          </cell>
          <cell r="I189" t="str">
            <v>1</v>
          </cell>
        </row>
        <row r="190">
          <cell r="A190" t="str">
            <v>ANCASHOCROSACAS</v>
          </cell>
          <cell r="B190" t="str">
            <v>02</v>
          </cell>
          <cell r="C190" t="str">
            <v>14</v>
          </cell>
          <cell r="D190" t="str">
            <v>02</v>
          </cell>
          <cell r="E190" t="str">
            <v>ANCASH</v>
          </cell>
          <cell r="F190" t="str">
            <v>OCROS</v>
          </cell>
          <cell r="G190" t="str">
            <v>ACAS</v>
          </cell>
          <cell r="H190" t="str">
            <v>010148</v>
          </cell>
          <cell r="I190" t="str">
            <v>2</v>
          </cell>
        </row>
        <row r="191">
          <cell r="A191" t="str">
            <v>ANCASHOCROSCAJAMARQUILLA</v>
          </cell>
          <cell r="B191" t="str">
            <v>02</v>
          </cell>
          <cell r="C191" t="str">
            <v>14</v>
          </cell>
          <cell r="D191" t="str">
            <v>03</v>
          </cell>
          <cell r="E191" t="str">
            <v>ANCASH</v>
          </cell>
          <cell r="F191" t="str">
            <v>OCROS</v>
          </cell>
          <cell r="G191" t="str">
            <v>CAJAMARQUILLA</v>
          </cell>
          <cell r="H191" t="str">
            <v>010149</v>
          </cell>
          <cell r="I191" t="str">
            <v>2</v>
          </cell>
        </row>
        <row r="192">
          <cell r="A192" t="str">
            <v>ANCASHOCROSCARHUAPAMPA</v>
          </cell>
          <cell r="B192" t="str">
            <v>02</v>
          </cell>
          <cell r="C192" t="str">
            <v>14</v>
          </cell>
          <cell r="D192" t="str">
            <v>04</v>
          </cell>
          <cell r="E192" t="str">
            <v>ANCASH</v>
          </cell>
          <cell r="F192" t="str">
            <v>OCROS</v>
          </cell>
          <cell r="G192" t="str">
            <v>CARHUAPAMPA</v>
          </cell>
          <cell r="H192" t="str">
            <v>010150</v>
          </cell>
          <cell r="I192" t="str">
            <v>2</v>
          </cell>
        </row>
        <row r="193">
          <cell r="A193" t="str">
            <v>ANCASHOCROSCOCHAS</v>
          </cell>
          <cell r="B193" t="str">
            <v>02</v>
          </cell>
          <cell r="C193" t="str">
            <v>14</v>
          </cell>
          <cell r="D193" t="str">
            <v>05</v>
          </cell>
          <cell r="E193" t="str">
            <v>ANCASH</v>
          </cell>
          <cell r="F193" t="str">
            <v>OCROS</v>
          </cell>
          <cell r="G193" t="str">
            <v>COCHAS</v>
          </cell>
          <cell r="H193" t="str">
            <v>010151</v>
          </cell>
          <cell r="I193" t="str">
            <v>2</v>
          </cell>
        </row>
        <row r="194">
          <cell r="A194" t="str">
            <v>ANCASHOCROSCONGAS</v>
          </cell>
          <cell r="B194" t="str">
            <v>02</v>
          </cell>
          <cell r="C194" t="str">
            <v>14</v>
          </cell>
          <cell r="D194" t="str">
            <v>06</v>
          </cell>
          <cell r="E194" t="str">
            <v>ANCASH</v>
          </cell>
          <cell r="F194" t="str">
            <v>OCROS</v>
          </cell>
          <cell r="G194" t="str">
            <v>CONGAS</v>
          </cell>
          <cell r="H194" t="str">
            <v>011879</v>
          </cell>
          <cell r="I194" t="str">
            <v>2</v>
          </cell>
        </row>
        <row r="195">
          <cell r="A195" t="str">
            <v>ANCASHOCROSLLIPA</v>
          </cell>
          <cell r="B195" t="str">
            <v>02</v>
          </cell>
          <cell r="C195" t="str">
            <v>14</v>
          </cell>
          <cell r="D195" t="str">
            <v>07</v>
          </cell>
          <cell r="E195" t="str">
            <v>ANCASH</v>
          </cell>
          <cell r="F195" t="str">
            <v>OCROS</v>
          </cell>
          <cell r="G195" t="str">
            <v>LLIPA</v>
          </cell>
          <cell r="H195" t="str">
            <v>010153</v>
          </cell>
          <cell r="I195" t="str">
            <v>2</v>
          </cell>
        </row>
        <row r="196">
          <cell r="A196" t="str">
            <v>ANCASHOCROSSAN CRISTOBAL DE RAJAN</v>
          </cell>
          <cell r="B196" t="str">
            <v>02</v>
          </cell>
          <cell r="C196" t="str">
            <v>14</v>
          </cell>
          <cell r="D196" t="str">
            <v>08</v>
          </cell>
          <cell r="E196" t="str">
            <v>ANCASH</v>
          </cell>
          <cell r="F196" t="str">
            <v>OCROS</v>
          </cell>
          <cell r="G196" t="str">
            <v>SAN CRISTOBAL DE RAJAN</v>
          </cell>
          <cell r="H196" t="str">
            <v>010154</v>
          </cell>
          <cell r="I196" t="str">
            <v>2</v>
          </cell>
        </row>
        <row r="197">
          <cell r="A197" t="str">
            <v>ANCASHOCROSSAN PEDRO</v>
          </cell>
          <cell r="B197" t="str">
            <v>02</v>
          </cell>
          <cell r="C197" t="str">
            <v>14</v>
          </cell>
          <cell r="D197" t="str">
            <v>09</v>
          </cell>
          <cell r="E197" t="str">
            <v>ANCASH</v>
          </cell>
          <cell r="F197" t="str">
            <v>OCROS</v>
          </cell>
          <cell r="G197" t="str">
            <v>SAN PEDRO</v>
          </cell>
          <cell r="H197" t="str">
            <v>011877</v>
          </cell>
          <cell r="I197" t="str">
            <v>2</v>
          </cell>
        </row>
        <row r="198">
          <cell r="A198" t="str">
            <v>ANCASHOCROSSANTIAGO DE CHILCAS</v>
          </cell>
          <cell r="B198" t="str">
            <v>02</v>
          </cell>
          <cell r="C198" t="str">
            <v>14</v>
          </cell>
          <cell r="D198" t="str">
            <v>10</v>
          </cell>
          <cell r="E198" t="str">
            <v>ANCASH</v>
          </cell>
          <cell r="F198" t="str">
            <v>OCROS</v>
          </cell>
          <cell r="G198" t="str">
            <v>SANTIAGO DE CHILCAS</v>
          </cell>
          <cell r="H198" t="str">
            <v>011907</v>
          </cell>
          <cell r="I198" t="str">
            <v>2</v>
          </cell>
        </row>
        <row r="199">
          <cell r="A199" t="str">
            <v>ANCASHPALLASCACABANA</v>
          </cell>
          <cell r="B199" t="str">
            <v>02</v>
          </cell>
          <cell r="C199" t="str">
            <v>15</v>
          </cell>
          <cell r="D199" t="str">
            <v>01</v>
          </cell>
          <cell r="E199" t="str">
            <v>ANCASH</v>
          </cell>
          <cell r="F199" t="str">
            <v>PALLASCA</v>
          </cell>
          <cell r="G199" t="str">
            <v>CABANA</v>
          </cell>
          <cell r="H199" t="str">
            <v>012428</v>
          </cell>
          <cell r="I199" t="str">
            <v>1</v>
          </cell>
        </row>
        <row r="200">
          <cell r="A200" t="str">
            <v>ANCASHPALLASCABOLOGNESI</v>
          </cell>
          <cell r="B200" t="str">
            <v>02</v>
          </cell>
          <cell r="C200" t="str">
            <v>15</v>
          </cell>
          <cell r="D200" t="str">
            <v>02</v>
          </cell>
          <cell r="E200" t="str">
            <v>ANCASH</v>
          </cell>
          <cell r="F200" t="str">
            <v>PALLASCA</v>
          </cell>
          <cell r="G200" t="str">
            <v>BOLOGNESI</v>
          </cell>
          <cell r="H200" t="str">
            <v>010241</v>
          </cell>
          <cell r="I200" t="str">
            <v>2</v>
          </cell>
        </row>
        <row r="201">
          <cell r="A201" t="str">
            <v>ANCASHPALLASCACONCHUCOS</v>
          </cell>
          <cell r="B201" t="str">
            <v>02</v>
          </cell>
          <cell r="C201" t="str">
            <v>15</v>
          </cell>
          <cell r="D201" t="str">
            <v>03</v>
          </cell>
          <cell r="E201" t="str">
            <v>ANCASH</v>
          </cell>
          <cell r="F201" t="str">
            <v>PALLASCA</v>
          </cell>
          <cell r="G201" t="str">
            <v>CONCHUCOS</v>
          </cell>
          <cell r="H201" t="str">
            <v>010242</v>
          </cell>
          <cell r="I201" t="str">
            <v>2</v>
          </cell>
        </row>
        <row r="202">
          <cell r="A202" t="str">
            <v>ANCASHPALLASCAHUACASCHUQUE</v>
          </cell>
          <cell r="B202" t="str">
            <v>02</v>
          </cell>
          <cell r="C202" t="str">
            <v>15</v>
          </cell>
          <cell r="D202" t="str">
            <v>04</v>
          </cell>
          <cell r="E202" t="str">
            <v>ANCASH</v>
          </cell>
          <cell r="F202" t="str">
            <v>PALLASCA</v>
          </cell>
          <cell r="G202" t="str">
            <v>HUACASCHUQUE</v>
          </cell>
          <cell r="H202" t="str">
            <v>010243</v>
          </cell>
          <cell r="I202" t="str">
            <v>2</v>
          </cell>
        </row>
        <row r="203">
          <cell r="A203" t="str">
            <v>ANCASHPALLASCAHUANDOVAL</v>
          </cell>
          <cell r="B203" t="str">
            <v>02</v>
          </cell>
          <cell r="C203" t="str">
            <v>15</v>
          </cell>
          <cell r="D203" t="str">
            <v>05</v>
          </cell>
          <cell r="E203" t="str">
            <v>ANCASH</v>
          </cell>
          <cell r="F203" t="str">
            <v>PALLASCA</v>
          </cell>
          <cell r="G203" t="str">
            <v>HUANDOVAL</v>
          </cell>
          <cell r="H203" t="str">
            <v>010244</v>
          </cell>
          <cell r="I203" t="str">
            <v>2</v>
          </cell>
        </row>
        <row r="204">
          <cell r="A204" t="str">
            <v>ANCASHPALLASCALACABAMBA</v>
          </cell>
          <cell r="B204" t="str">
            <v>02</v>
          </cell>
          <cell r="C204" t="str">
            <v>15</v>
          </cell>
          <cell r="D204" t="str">
            <v>06</v>
          </cell>
          <cell r="E204" t="str">
            <v>ANCASH</v>
          </cell>
          <cell r="F204" t="str">
            <v>PALLASCA</v>
          </cell>
          <cell r="G204" t="str">
            <v>LACABAMBA</v>
          </cell>
          <cell r="H204" t="str">
            <v>010245</v>
          </cell>
          <cell r="I204" t="str">
            <v>2</v>
          </cell>
        </row>
        <row r="205">
          <cell r="A205" t="str">
            <v>ANCASHPALLASCALLAPO</v>
          </cell>
          <cell r="B205" t="str">
            <v>02</v>
          </cell>
          <cell r="C205" t="str">
            <v>15</v>
          </cell>
          <cell r="D205" t="str">
            <v>07</v>
          </cell>
          <cell r="E205" t="str">
            <v>ANCASH</v>
          </cell>
          <cell r="F205" t="str">
            <v>PALLASCA</v>
          </cell>
          <cell r="G205" t="str">
            <v>LLAPO</v>
          </cell>
          <cell r="H205" t="str">
            <v>010246</v>
          </cell>
          <cell r="I205" t="str">
            <v>2</v>
          </cell>
        </row>
        <row r="206">
          <cell r="A206" t="str">
            <v>ANCASHPALLASCAPALLASCA</v>
          </cell>
          <cell r="B206" t="str">
            <v>02</v>
          </cell>
          <cell r="C206" t="str">
            <v>15</v>
          </cell>
          <cell r="D206" t="str">
            <v>08</v>
          </cell>
          <cell r="E206" t="str">
            <v>ANCASH</v>
          </cell>
          <cell r="F206" t="str">
            <v>PALLASCA</v>
          </cell>
          <cell r="G206" t="str">
            <v>PALLASCA</v>
          </cell>
          <cell r="H206" t="str">
            <v>010247</v>
          </cell>
          <cell r="I206" t="str">
            <v>2</v>
          </cell>
        </row>
        <row r="207">
          <cell r="A207" t="str">
            <v>ANCASHPALLASCAPAMPAS</v>
          </cell>
          <cell r="B207" t="str">
            <v>02</v>
          </cell>
          <cell r="C207" t="str">
            <v>15</v>
          </cell>
          <cell r="D207" t="str">
            <v>09</v>
          </cell>
          <cell r="E207" t="str">
            <v>ANCASH</v>
          </cell>
          <cell r="F207" t="str">
            <v>PALLASCA</v>
          </cell>
          <cell r="G207" t="str">
            <v>PAMPAS</v>
          </cell>
          <cell r="H207" t="str">
            <v>012987</v>
          </cell>
          <cell r="I207" t="str">
            <v>2</v>
          </cell>
        </row>
        <row r="208">
          <cell r="A208" t="str">
            <v>ANCASHPALLASCASANTA ROSA</v>
          </cell>
          <cell r="B208" t="str">
            <v>02</v>
          </cell>
          <cell r="C208" t="str">
            <v>15</v>
          </cell>
          <cell r="D208" t="str">
            <v>10</v>
          </cell>
          <cell r="E208" t="str">
            <v>ANCASH</v>
          </cell>
          <cell r="F208" t="str">
            <v>PALLASCA</v>
          </cell>
          <cell r="G208" t="str">
            <v>SANTA ROSA</v>
          </cell>
          <cell r="H208" t="str">
            <v>010249</v>
          </cell>
          <cell r="I208" t="str">
            <v>2</v>
          </cell>
        </row>
        <row r="209">
          <cell r="A209" t="str">
            <v>ANCASHPALLASCATAUCA</v>
          </cell>
          <cell r="B209" t="str">
            <v>02</v>
          </cell>
          <cell r="C209" t="str">
            <v>15</v>
          </cell>
          <cell r="D209" t="str">
            <v>11</v>
          </cell>
          <cell r="E209" t="str">
            <v>ANCASH</v>
          </cell>
          <cell r="F209" t="str">
            <v>PALLASCA</v>
          </cell>
          <cell r="G209" t="str">
            <v>TAUCA</v>
          </cell>
          <cell r="H209" t="str">
            <v>010250</v>
          </cell>
          <cell r="I209" t="str">
            <v>2</v>
          </cell>
        </row>
        <row r="210">
          <cell r="A210" t="str">
            <v>ANCASHPOMABAMBAPOMABAMBA</v>
          </cell>
          <cell r="B210" t="str">
            <v>02</v>
          </cell>
          <cell r="C210" t="str">
            <v>16</v>
          </cell>
          <cell r="D210" t="str">
            <v>01</v>
          </cell>
          <cell r="E210" t="str">
            <v>ANCASH</v>
          </cell>
          <cell r="F210" t="str">
            <v>POMABAMBA</v>
          </cell>
          <cell r="G210" t="str">
            <v>POMABAMBA</v>
          </cell>
          <cell r="H210" t="str">
            <v>010191</v>
          </cell>
          <cell r="I210" t="str">
            <v>1</v>
          </cell>
        </row>
        <row r="211">
          <cell r="A211" t="str">
            <v>ANCASHPOMABAMBAHUAYLLAN</v>
          </cell>
          <cell r="B211" t="str">
            <v>02</v>
          </cell>
          <cell r="C211" t="str">
            <v>16</v>
          </cell>
          <cell r="D211" t="str">
            <v>02</v>
          </cell>
          <cell r="E211" t="str">
            <v>ANCASH</v>
          </cell>
          <cell r="F211" t="str">
            <v>POMABAMBA</v>
          </cell>
          <cell r="G211" t="str">
            <v>HUAYLLAN</v>
          </cell>
          <cell r="H211" t="str">
            <v>010192</v>
          </cell>
          <cell r="I211" t="str">
            <v>2</v>
          </cell>
        </row>
        <row r="212">
          <cell r="A212" t="str">
            <v>ANCASHPOMABAMBAPAROBAMBA</v>
          </cell>
          <cell r="B212" t="str">
            <v>02</v>
          </cell>
          <cell r="C212" t="str">
            <v>16</v>
          </cell>
          <cell r="D212" t="str">
            <v>03</v>
          </cell>
          <cell r="E212" t="str">
            <v>ANCASH</v>
          </cell>
          <cell r="F212" t="str">
            <v>POMABAMBA</v>
          </cell>
          <cell r="G212" t="str">
            <v>PAROBAMBA</v>
          </cell>
          <cell r="H212" t="str">
            <v>010193</v>
          </cell>
          <cell r="I212" t="str">
            <v>2</v>
          </cell>
        </row>
        <row r="213">
          <cell r="A213" t="str">
            <v>ANCASHPOMABAMBAQUINUABAMBA</v>
          </cell>
          <cell r="B213" t="str">
            <v>02</v>
          </cell>
          <cell r="C213" t="str">
            <v>16</v>
          </cell>
          <cell r="D213" t="str">
            <v>04</v>
          </cell>
          <cell r="E213" t="str">
            <v>ANCASH</v>
          </cell>
          <cell r="F213" t="str">
            <v>POMABAMBA</v>
          </cell>
          <cell r="G213" t="str">
            <v>QUINUABAMBA</v>
          </cell>
          <cell r="H213" t="str">
            <v>012397</v>
          </cell>
          <cell r="I213" t="str">
            <v>2</v>
          </cell>
        </row>
        <row r="214">
          <cell r="A214" t="str">
            <v>ANCASHRECUAYRECUAY</v>
          </cell>
          <cell r="B214" t="str">
            <v>02</v>
          </cell>
          <cell r="C214" t="str">
            <v>17</v>
          </cell>
          <cell r="D214" t="str">
            <v>01</v>
          </cell>
          <cell r="E214" t="str">
            <v>ANCASH</v>
          </cell>
          <cell r="F214" t="str">
            <v>RECUAY</v>
          </cell>
          <cell r="G214" t="str">
            <v>RECUAY</v>
          </cell>
          <cell r="H214" t="str">
            <v>011899</v>
          </cell>
          <cell r="I214" t="str">
            <v>1</v>
          </cell>
        </row>
        <row r="215">
          <cell r="A215" t="str">
            <v>ANCASHRECUAYCATAC</v>
          </cell>
          <cell r="B215" t="str">
            <v>02</v>
          </cell>
          <cell r="C215" t="str">
            <v>17</v>
          </cell>
          <cell r="D215" t="str">
            <v>02</v>
          </cell>
          <cell r="E215" t="str">
            <v>ANCASH</v>
          </cell>
          <cell r="F215" t="str">
            <v>RECUAY</v>
          </cell>
          <cell r="G215" t="str">
            <v>CATAC</v>
          </cell>
          <cell r="H215" t="str">
            <v>011900</v>
          </cell>
          <cell r="I215" t="str">
            <v>2</v>
          </cell>
        </row>
        <row r="216">
          <cell r="A216" t="str">
            <v>ANCASHRECUAYCOTAPARACO</v>
          </cell>
          <cell r="B216" t="str">
            <v>02</v>
          </cell>
          <cell r="C216" t="str">
            <v>17</v>
          </cell>
          <cell r="D216" t="str">
            <v>03</v>
          </cell>
          <cell r="E216" t="str">
            <v>ANCASH</v>
          </cell>
          <cell r="F216" t="str">
            <v>RECUAY</v>
          </cell>
          <cell r="G216" t="str">
            <v>COTAPARACO</v>
          </cell>
          <cell r="H216" t="str">
            <v>010139</v>
          </cell>
          <cell r="I216" t="str">
            <v>2</v>
          </cell>
        </row>
        <row r="217">
          <cell r="A217" t="str">
            <v>ANCASHRECUAYHUAYLLAPAMPA</v>
          </cell>
          <cell r="B217" t="str">
            <v>02</v>
          </cell>
          <cell r="C217" t="str">
            <v>17</v>
          </cell>
          <cell r="D217" t="str">
            <v>04</v>
          </cell>
          <cell r="E217" t="str">
            <v>ANCASH</v>
          </cell>
          <cell r="F217" t="str">
            <v>RECUAY</v>
          </cell>
          <cell r="G217" t="str">
            <v>HUAYLLAPAMPA</v>
          </cell>
          <cell r="H217" t="str">
            <v>010140</v>
          </cell>
          <cell r="I217" t="str">
            <v>2</v>
          </cell>
        </row>
        <row r="218">
          <cell r="A218" t="str">
            <v>ANCASHRECUAYLLACLLIN</v>
          </cell>
          <cell r="B218" t="str">
            <v>02</v>
          </cell>
          <cell r="C218" t="str">
            <v>17</v>
          </cell>
          <cell r="D218" t="str">
            <v>05</v>
          </cell>
          <cell r="E218" t="str">
            <v>ANCASH</v>
          </cell>
          <cell r="F218" t="str">
            <v>RECUAY</v>
          </cell>
          <cell r="G218" t="str">
            <v>LLACLLIN</v>
          </cell>
          <cell r="H218" t="str">
            <v>010141</v>
          </cell>
          <cell r="I218" t="str">
            <v>2</v>
          </cell>
        </row>
        <row r="219">
          <cell r="A219" t="str">
            <v>ANCASHRECUAYMARCA</v>
          </cell>
          <cell r="B219" t="str">
            <v>02</v>
          </cell>
          <cell r="C219" t="str">
            <v>17</v>
          </cell>
          <cell r="D219" t="str">
            <v>06</v>
          </cell>
          <cell r="E219" t="str">
            <v>ANCASH</v>
          </cell>
          <cell r="F219" t="str">
            <v>RECUAY</v>
          </cell>
          <cell r="G219" t="str">
            <v>MARCA</v>
          </cell>
          <cell r="H219" t="str">
            <v>011893</v>
          </cell>
          <cell r="I219" t="str">
            <v>2</v>
          </cell>
        </row>
        <row r="220">
          <cell r="A220" t="str">
            <v>ANCASHRECUAYPAMPAS CHICO</v>
          </cell>
          <cell r="B220" t="str">
            <v>02</v>
          </cell>
          <cell r="C220" t="str">
            <v>17</v>
          </cell>
          <cell r="D220" t="str">
            <v>07</v>
          </cell>
          <cell r="E220" t="str">
            <v>ANCASH</v>
          </cell>
          <cell r="F220" t="str">
            <v>RECUAY</v>
          </cell>
          <cell r="G220" t="str">
            <v>PAMPAS CHICO</v>
          </cell>
          <cell r="H220" t="str">
            <v>010143</v>
          </cell>
          <cell r="I220" t="str">
            <v>2</v>
          </cell>
        </row>
        <row r="221">
          <cell r="A221" t="str">
            <v>ANCASHRECUAYPARARIN</v>
          </cell>
          <cell r="B221" t="str">
            <v>02</v>
          </cell>
          <cell r="C221" t="str">
            <v>17</v>
          </cell>
          <cell r="D221" t="str">
            <v>08</v>
          </cell>
          <cell r="E221" t="str">
            <v>ANCASH</v>
          </cell>
          <cell r="F221" t="str">
            <v>RECUAY</v>
          </cell>
          <cell r="G221" t="str">
            <v>PARARIN</v>
          </cell>
          <cell r="H221" t="str">
            <v>011876</v>
          </cell>
          <cell r="I221" t="str">
            <v>2</v>
          </cell>
        </row>
        <row r="222">
          <cell r="A222" t="str">
            <v>ANCASHRECUAYTAPACOCHA</v>
          </cell>
          <cell r="B222" t="str">
            <v>02</v>
          </cell>
          <cell r="C222" t="str">
            <v>17</v>
          </cell>
          <cell r="D222" t="str">
            <v>09</v>
          </cell>
          <cell r="E222" t="str">
            <v>ANCASH</v>
          </cell>
          <cell r="F222" t="str">
            <v>RECUAY</v>
          </cell>
          <cell r="G222" t="str">
            <v>TAPACOCHA</v>
          </cell>
          <cell r="H222" t="str">
            <v>010145</v>
          </cell>
          <cell r="I222" t="str">
            <v>2</v>
          </cell>
        </row>
        <row r="223">
          <cell r="A223" t="str">
            <v>ANCASHRECUAYTICAPAMPA</v>
          </cell>
          <cell r="B223" t="str">
            <v>02</v>
          </cell>
          <cell r="C223" t="str">
            <v>17</v>
          </cell>
          <cell r="D223" t="str">
            <v>10</v>
          </cell>
          <cell r="E223" t="str">
            <v>ANCASH</v>
          </cell>
          <cell r="F223" t="str">
            <v>RECUAY</v>
          </cell>
          <cell r="G223" t="str">
            <v>TICAPAMPA</v>
          </cell>
          <cell r="H223" t="str">
            <v>010146</v>
          </cell>
          <cell r="I223" t="str">
            <v>2</v>
          </cell>
        </row>
        <row r="224">
          <cell r="A224" t="str">
            <v>ANCASHSANTACHIMBOTE</v>
          </cell>
          <cell r="B224" t="str">
            <v>02</v>
          </cell>
          <cell r="C224" t="str">
            <v>18</v>
          </cell>
          <cell r="D224" t="str">
            <v>01</v>
          </cell>
          <cell r="E224" t="str">
            <v>ANCASH</v>
          </cell>
          <cell r="F224" t="str">
            <v>SANTA</v>
          </cell>
          <cell r="G224" t="str">
            <v>CHIMBOTE</v>
          </cell>
          <cell r="H224" t="str">
            <v>010220</v>
          </cell>
          <cell r="I224" t="str">
            <v>1</v>
          </cell>
        </row>
        <row r="225">
          <cell r="A225" t="str">
            <v>ANCASHSANTACACERES DEL PERU</v>
          </cell>
          <cell r="B225" t="str">
            <v>02</v>
          </cell>
          <cell r="C225" t="str">
            <v>18</v>
          </cell>
          <cell r="D225" t="str">
            <v>02</v>
          </cell>
          <cell r="E225" t="str">
            <v>ANCASH</v>
          </cell>
          <cell r="F225" t="str">
            <v>SANTA</v>
          </cell>
          <cell r="G225" t="str">
            <v>CACERES DEL PERU</v>
          </cell>
          <cell r="H225" t="str">
            <v>010223</v>
          </cell>
          <cell r="I225" t="str">
            <v>2</v>
          </cell>
        </row>
        <row r="226">
          <cell r="A226" t="str">
            <v>ANCASHSANTACOISHCO</v>
          </cell>
          <cell r="B226" t="str">
            <v>02</v>
          </cell>
          <cell r="C226" t="str">
            <v>18</v>
          </cell>
          <cell r="D226" t="str">
            <v>03</v>
          </cell>
          <cell r="E226" t="str">
            <v>ANCASH</v>
          </cell>
          <cell r="F226" t="str">
            <v>SANTA</v>
          </cell>
          <cell r="G226" t="str">
            <v>COISHCO</v>
          </cell>
          <cell r="H226" t="str">
            <v>010221</v>
          </cell>
          <cell r="I226" t="str">
            <v>2</v>
          </cell>
        </row>
        <row r="227">
          <cell r="A227" t="str">
            <v>ANCASHSANTAMACATE</v>
          </cell>
          <cell r="B227" t="str">
            <v>02</v>
          </cell>
          <cell r="C227" t="str">
            <v>18</v>
          </cell>
          <cell r="D227" t="str">
            <v>04</v>
          </cell>
          <cell r="E227" t="str">
            <v>ANCASH</v>
          </cell>
          <cell r="F227" t="str">
            <v>SANTA</v>
          </cell>
          <cell r="G227" t="str">
            <v>MACATE</v>
          </cell>
          <cell r="H227" t="str">
            <v>010224</v>
          </cell>
          <cell r="I227" t="str">
            <v>2</v>
          </cell>
        </row>
        <row r="228">
          <cell r="A228" t="str">
            <v>ANCASHSANTAMORO</v>
          </cell>
          <cell r="B228" t="str">
            <v>02</v>
          </cell>
          <cell r="C228" t="str">
            <v>18</v>
          </cell>
          <cell r="D228" t="str">
            <v>05</v>
          </cell>
          <cell r="E228" t="str">
            <v>ANCASH</v>
          </cell>
          <cell r="F228" t="str">
            <v>SANTA</v>
          </cell>
          <cell r="G228" t="str">
            <v>MORO</v>
          </cell>
          <cell r="H228" t="str">
            <v>010225</v>
          </cell>
          <cell r="I228" t="str">
            <v>2</v>
          </cell>
        </row>
        <row r="229">
          <cell r="A229" t="str">
            <v>ANCASHSANTANEPEÑA</v>
          </cell>
          <cell r="B229" t="str">
            <v>02</v>
          </cell>
          <cell r="C229" t="str">
            <v>18</v>
          </cell>
          <cell r="D229" t="str">
            <v>06</v>
          </cell>
          <cell r="E229" t="str">
            <v>ANCASH</v>
          </cell>
          <cell r="F229" t="str">
            <v>SANTA</v>
          </cell>
          <cell r="G229" t="str">
            <v>NEPEÑA</v>
          </cell>
          <cell r="H229" t="str">
            <v>010226</v>
          </cell>
          <cell r="I229" t="str">
            <v>2</v>
          </cell>
        </row>
        <row r="230">
          <cell r="A230" t="str">
            <v>ANCASHSANTASAMANCO</v>
          </cell>
          <cell r="B230" t="str">
            <v>02</v>
          </cell>
          <cell r="C230" t="str">
            <v>18</v>
          </cell>
          <cell r="D230" t="str">
            <v>07</v>
          </cell>
          <cell r="E230" t="str">
            <v>ANCASH</v>
          </cell>
          <cell r="F230" t="str">
            <v>SANTA</v>
          </cell>
          <cell r="G230" t="str">
            <v>SAMANCO</v>
          </cell>
          <cell r="H230" t="str">
            <v>010227</v>
          </cell>
          <cell r="I230" t="str">
            <v>2</v>
          </cell>
        </row>
        <row r="231">
          <cell r="A231" t="str">
            <v>ANCASHSANTASANTA</v>
          </cell>
          <cell r="B231" t="str">
            <v>02</v>
          </cell>
          <cell r="C231" t="str">
            <v>18</v>
          </cell>
          <cell r="D231" t="str">
            <v>08</v>
          </cell>
          <cell r="E231" t="str">
            <v>ANCASH</v>
          </cell>
          <cell r="F231" t="str">
            <v>SANTA</v>
          </cell>
          <cell r="G231" t="str">
            <v>SANTA</v>
          </cell>
          <cell r="H231" t="str">
            <v>010228</v>
          </cell>
          <cell r="I231" t="str">
            <v>2</v>
          </cell>
        </row>
        <row r="232">
          <cell r="A232" t="str">
            <v>ANCASHSANTANUEVO CHIMBOTE</v>
          </cell>
          <cell r="B232" t="str">
            <v>02</v>
          </cell>
          <cell r="C232" t="str">
            <v>18</v>
          </cell>
          <cell r="D232" t="str">
            <v>09</v>
          </cell>
          <cell r="E232" t="str">
            <v>ANCASH</v>
          </cell>
          <cell r="F232" t="str">
            <v>SANTA</v>
          </cell>
          <cell r="G232" t="str">
            <v>NUEVO CHIMBOTE</v>
          </cell>
          <cell r="H232" t="str">
            <v>011858</v>
          </cell>
          <cell r="I232" t="str">
            <v>2</v>
          </cell>
        </row>
        <row r="233">
          <cell r="A233" t="str">
            <v>ANCASHSIHUASSIHUAS</v>
          </cell>
          <cell r="B233" t="str">
            <v>02</v>
          </cell>
          <cell r="C233" t="str">
            <v>19</v>
          </cell>
          <cell r="D233" t="str">
            <v>01</v>
          </cell>
          <cell r="E233" t="str">
            <v>ANCASH</v>
          </cell>
          <cell r="F233" t="str">
            <v>SIHUAS</v>
          </cell>
          <cell r="G233" t="str">
            <v>SIHUAS</v>
          </cell>
          <cell r="H233" t="str">
            <v>010210</v>
          </cell>
          <cell r="I233" t="str">
            <v>1</v>
          </cell>
        </row>
        <row r="234">
          <cell r="A234" t="str">
            <v>ANCASHSIHUASACOBAMBA</v>
          </cell>
          <cell r="B234" t="str">
            <v>02</v>
          </cell>
          <cell r="C234" t="str">
            <v>19</v>
          </cell>
          <cell r="D234" t="str">
            <v>02</v>
          </cell>
          <cell r="E234" t="str">
            <v>ANCASH</v>
          </cell>
          <cell r="F234" t="str">
            <v>SIHUAS</v>
          </cell>
          <cell r="G234" t="str">
            <v>ACOBAMBA</v>
          </cell>
          <cell r="H234" t="str">
            <v>011895</v>
          </cell>
          <cell r="I234" t="str">
            <v>2</v>
          </cell>
        </row>
        <row r="235">
          <cell r="A235" t="str">
            <v>ANCASHSIHUASALFONSO UGARTE</v>
          </cell>
          <cell r="B235" t="str">
            <v>02</v>
          </cell>
          <cell r="C235" t="str">
            <v>19</v>
          </cell>
          <cell r="D235" t="str">
            <v>03</v>
          </cell>
          <cell r="E235" t="str">
            <v>ANCASH</v>
          </cell>
          <cell r="F235" t="str">
            <v>SIHUAS</v>
          </cell>
          <cell r="G235" t="str">
            <v>ALFONSO UGARTE</v>
          </cell>
          <cell r="H235" t="str">
            <v>010212</v>
          </cell>
          <cell r="I235" t="str">
            <v>2</v>
          </cell>
        </row>
        <row r="236">
          <cell r="A236" t="str">
            <v>ANCASHSIHUASCASHAPAMPA</v>
          </cell>
          <cell r="B236" t="str">
            <v>02</v>
          </cell>
          <cell r="C236" t="str">
            <v>19</v>
          </cell>
          <cell r="D236" t="str">
            <v>04</v>
          </cell>
          <cell r="E236" t="str">
            <v>ANCASH</v>
          </cell>
          <cell r="F236" t="str">
            <v>SIHUAS</v>
          </cell>
          <cell r="G236" t="str">
            <v>CASHAPAMPA</v>
          </cell>
          <cell r="H236" t="str">
            <v>010213</v>
          </cell>
          <cell r="I236" t="str">
            <v>2</v>
          </cell>
        </row>
        <row r="237">
          <cell r="A237" t="str">
            <v>ANCASHSIHUASCHINGALPO</v>
          </cell>
          <cell r="B237" t="str">
            <v>02</v>
          </cell>
          <cell r="C237" t="str">
            <v>19</v>
          </cell>
          <cell r="D237" t="str">
            <v>05</v>
          </cell>
          <cell r="E237" t="str">
            <v>ANCASH</v>
          </cell>
          <cell r="F237" t="str">
            <v>SIHUAS</v>
          </cell>
          <cell r="G237" t="str">
            <v>CHINGALPO</v>
          </cell>
          <cell r="H237" t="str">
            <v>010214</v>
          </cell>
          <cell r="I237" t="str">
            <v>2</v>
          </cell>
        </row>
        <row r="238">
          <cell r="A238" t="str">
            <v>ANCASHSIHUASHUAYLLABAMBA</v>
          </cell>
          <cell r="B238" t="str">
            <v>02</v>
          </cell>
          <cell r="C238" t="str">
            <v>19</v>
          </cell>
          <cell r="D238" t="str">
            <v>06</v>
          </cell>
          <cell r="E238" t="str">
            <v>ANCASH</v>
          </cell>
          <cell r="F238" t="str">
            <v>SIHUAS</v>
          </cell>
          <cell r="G238" t="str">
            <v>HUAYLLABAMBA</v>
          </cell>
          <cell r="H238" t="str">
            <v>011897</v>
          </cell>
          <cell r="I238" t="str">
            <v>2</v>
          </cell>
        </row>
        <row r="239">
          <cell r="A239" t="str">
            <v>ANCASHSIHUASQUICHES</v>
          </cell>
          <cell r="B239" t="str">
            <v>02</v>
          </cell>
          <cell r="C239" t="str">
            <v>19</v>
          </cell>
          <cell r="D239" t="str">
            <v>07</v>
          </cell>
          <cell r="E239" t="str">
            <v>ANCASH</v>
          </cell>
          <cell r="F239" t="str">
            <v>SIHUAS</v>
          </cell>
          <cell r="G239" t="str">
            <v>QUICHES</v>
          </cell>
          <cell r="H239" t="str">
            <v>010216</v>
          </cell>
          <cell r="I239" t="str">
            <v>2</v>
          </cell>
        </row>
        <row r="240">
          <cell r="A240" t="str">
            <v>ANCASHSIHUASRAGASH</v>
          </cell>
          <cell r="B240" t="str">
            <v>02</v>
          </cell>
          <cell r="C240" t="str">
            <v>19</v>
          </cell>
          <cell r="D240" t="str">
            <v>08</v>
          </cell>
          <cell r="E240" t="str">
            <v>ANCASH</v>
          </cell>
          <cell r="F240" t="str">
            <v>SIHUAS</v>
          </cell>
          <cell r="G240" t="str">
            <v>RAGASH</v>
          </cell>
          <cell r="H240" t="str">
            <v>010217</v>
          </cell>
          <cell r="I240" t="str">
            <v>2</v>
          </cell>
        </row>
        <row r="241">
          <cell r="A241" t="str">
            <v>ANCASHSIHUASSAN JUAN</v>
          </cell>
          <cell r="B241" t="str">
            <v>02</v>
          </cell>
          <cell r="C241" t="str">
            <v>19</v>
          </cell>
          <cell r="D241" t="str">
            <v>09</v>
          </cell>
          <cell r="E241" t="str">
            <v>ANCASH</v>
          </cell>
          <cell r="F241" t="str">
            <v>SIHUAS</v>
          </cell>
          <cell r="G241" t="str">
            <v>SAN JUAN</v>
          </cell>
          <cell r="H241" t="str">
            <v>010218</v>
          </cell>
          <cell r="I241" t="str">
            <v>2</v>
          </cell>
        </row>
        <row r="242">
          <cell r="A242" t="str">
            <v>ANCASHSIHUASSICSIBAMBA</v>
          </cell>
          <cell r="B242" t="str">
            <v>02</v>
          </cell>
          <cell r="C242" t="str">
            <v>19</v>
          </cell>
          <cell r="D242" t="str">
            <v>10</v>
          </cell>
          <cell r="E242" t="str">
            <v>ANCASH</v>
          </cell>
          <cell r="F242" t="str">
            <v>SIHUAS</v>
          </cell>
          <cell r="G242" t="str">
            <v>SICSIBAMBA</v>
          </cell>
          <cell r="H242" t="str">
            <v>011901</v>
          </cell>
          <cell r="I242" t="str">
            <v>2</v>
          </cell>
        </row>
        <row r="243">
          <cell r="A243" t="str">
            <v>ANCASHYUNGAYYUNGAY</v>
          </cell>
          <cell r="B243" t="str">
            <v>02</v>
          </cell>
          <cell r="C243" t="str">
            <v>20</v>
          </cell>
          <cell r="D243" t="str">
            <v>01</v>
          </cell>
          <cell r="E243" t="str">
            <v>ANCASH</v>
          </cell>
          <cell r="F243" t="str">
            <v>YUNGAY</v>
          </cell>
          <cell r="G243" t="str">
            <v>YUNGAY</v>
          </cell>
          <cell r="H243" t="str">
            <v>010157</v>
          </cell>
          <cell r="I243" t="str">
            <v>1</v>
          </cell>
        </row>
        <row r="244">
          <cell r="A244" t="str">
            <v>ANCASHYUNGAYCASCAPARA</v>
          </cell>
          <cell r="B244" t="str">
            <v>02</v>
          </cell>
          <cell r="C244" t="str">
            <v>20</v>
          </cell>
          <cell r="D244" t="str">
            <v>02</v>
          </cell>
          <cell r="E244" t="str">
            <v>ANCASH</v>
          </cell>
          <cell r="F244" t="str">
            <v>YUNGAY</v>
          </cell>
          <cell r="G244" t="str">
            <v>CASCAPARA</v>
          </cell>
          <cell r="H244" t="str">
            <v>010158</v>
          </cell>
          <cell r="I244" t="str">
            <v>2</v>
          </cell>
        </row>
        <row r="245">
          <cell r="A245" t="str">
            <v>ANCASHYUNGAYMANCOS</v>
          </cell>
          <cell r="B245" t="str">
            <v>02</v>
          </cell>
          <cell r="C245" t="str">
            <v>20</v>
          </cell>
          <cell r="D245" t="str">
            <v>03</v>
          </cell>
          <cell r="E245" t="str">
            <v>ANCASH</v>
          </cell>
          <cell r="F245" t="str">
            <v>YUNGAY</v>
          </cell>
          <cell r="G245" t="str">
            <v>MANCOS</v>
          </cell>
          <cell r="H245" t="str">
            <v>010159</v>
          </cell>
          <cell r="I245" t="str">
            <v>2</v>
          </cell>
        </row>
        <row r="246">
          <cell r="A246" t="str">
            <v>ANCASHYUNGAYMATACOTO</v>
          </cell>
          <cell r="B246" t="str">
            <v>02</v>
          </cell>
          <cell r="C246" t="str">
            <v>20</v>
          </cell>
          <cell r="D246" t="str">
            <v>04</v>
          </cell>
          <cell r="E246" t="str">
            <v>ANCASH</v>
          </cell>
          <cell r="F246" t="str">
            <v>YUNGAY</v>
          </cell>
          <cell r="G246" t="str">
            <v>MATACOTO</v>
          </cell>
          <cell r="H246" t="str">
            <v>010160</v>
          </cell>
          <cell r="I246" t="str">
            <v>2</v>
          </cell>
        </row>
        <row r="247">
          <cell r="A247" t="str">
            <v>ANCASHYUNGAYQUILLO</v>
          </cell>
          <cell r="B247" t="str">
            <v>02</v>
          </cell>
          <cell r="C247" t="str">
            <v>20</v>
          </cell>
          <cell r="D247" t="str">
            <v>05</v>
          </cell>
          <cell r="E247" t="str">
            <v>ANCASH</v>
          </cell>
          <cell r="F247" t="str">
            <v>YUNGAY</v>
          </cell>
          <cell r="G247" t="str">
            <v>QUILLO</v>
          </cell>
          <cell r="H247" t="str">
            <v>011864</v>
          </cell>
          <cell r="I247" t="str">
            <v>2</v>
          </cell>
        </row>
        <row r="248">
          <cell r="A248" t="str">
            <v>ANCASHYUNGAYRANRAHIRCA</v>
          </cell>
          <cell r="B248" t="str">
            <v>02</v>
          </cell>
          <cell r="C248" t="str">
            <v>20</v>
          </cell>
          <cell r="D248" t="str">
            <v>06</v>
          </cell>
          <cell r="E248" t="str">
            <v>ANCASH</v>
          </cell>
          <cell r="F248" t="str">
            <v>YUNGAY</v>
          </cell>
          <cell r="G248" t="str">
            <v>RANRAHIRCA</v>
          </cell>
          <cell r="H248" t="str">
            <v>010161</v>
          </cell>
          <cell r="I248" t="str">
            <v>2</v>
          </cell>
        </row>
        <row r="249">
          <cell r="A249" t="str">
            <v>ANCASHYUNGAYSHUPLUY</v>
          </cell>
          <cell r="B249" t="str">
            <v>02</v>
          </cell>
          <cell r="C249" t="str">
            <v>20</v>
          </cell>
          <cell r="D249" t="str">
            <v>07</v>
          </cell>
          <cell r="E249" t="str">
            <v>ANCASH</v>
          </cell>
          <cell r="F249" t="str">
            <v>YUNGAY</v>
          </cell>
          <cell r="G249" t="str">
            <v>SHUPLUY</v>
          </cell>
          <cell r="H249" t="str">
            <v>010162</v>
          </cell>
          <cell r="I249" t="str">
            <v>2</v>
          </cell>
        </row>
        <row r="250">
          <cell r="A250" t="str">
            <v>ANCASHYUNGAYYANAMA</v>
          </cell>
          <cell r="B250" t="str">
            <v>02</v>
          </cell>
          <cell r="C250" t="str">
            <v>20</v>
          </cell>
          <cell r="D250" t="str">
            <v>08</v>
          </cell>
          <cell r="E250" t="str">
            <v>ANCASH</v>
          </cell>
          <cell r="F250" t="str">
            <v>YUNGAY</v>
          </cell>
          <cell r="G250" t="str">
            <v>YANAMA</v>
          </cell>
          <cell r="H250" t="str">
            <v>010163</v>
          </cell>
          <cell r="I250" t="str">
            <v>2</v>
          </cell>
        </row>
        <row r="251">
          <cell r="A251" t="str">
            <v>APURIMACABANCAYABANCAY</v>
          </cell>
          <cell r="B251" t="str">
            <v>03</v>
          </cell>
          <cell r="C251" t="str">
            <v>01</v>
          </cell>
          <cell r="D251" t="str">
            <v>01</v>
          </cell>
          <cell r="E251" t="str">
            <v>APURIMAC</v>
          </cell>
          <cell r="F251" t="str">
            <v>ABANCAY</v>
          </cell>
          <cell r="G251" t="str">
            <v>ABANCAY</v>
          </cell>
          <cell r="H251" t="str">
            <v>010251</v>
          </cell>
          <cell r="I251" t="str">
            <v>1</v>
          </cell>
        </row>
        <row r="252">
          <cell r="A252" t="str">
            <v>APURIMACABANCAYCHACOCHE</v>
          </cell>
          <cell r="B252" t="str">
            <v>03</v>
          </cell>
          <cell r="C252" t="str">
            <v>01</v>
          </cell>
          <cell r="D252" t="str">
            <v>02</v>
          </cell>
          <cell r="E252" t="str">
            <v>APURIMAC</v>
          </cell>
          <cell r="F252" t="str">
            <v>ABANCAY</v>
          </cell>
          <cell r="G252" t="str">
            <v>CHACOCHE</v>
          </cell>
          <cell r="H252" t="str">
            <v>010252</v>
          </cell>
          <cell r="I252" t="str">
            <v>2</v>
          </cell>
        </row>
        <row r="253">
          <cell r="A253" t="str">
            <v>APURIMACABANCAYCIRCA</v>
          </cell>
          <cell r="B253" t="str">
            <v>03</v>
          </cell>
          <cell r="C253" t="str">
            <v>01</v>
          </cell>
          <cell r="D253" t="str">
            <v>03</v>
          </cell>
          <cell r="E253" t="str">
            <v>APURIMAC</v>
          </cell>
          <cell r="F253" t="str">
            <v>ABANCAY</v>
          </cell>
          <cell r="G253" t="str">
            <v>CIRCA</v>
          </cell>
          <cell r="H253" t="str">
            <v>011909</v>
          </cell>
          <cell r="I253" t="str">
            <v>2</v>
          </cell>
        </row>
        <row r="254">
          <cell r="A254" t="str">
            <v>APURIMACABANCAYCURAHUASI</v>
          </cell>
          <cell r="B254" t="str">
            <v>03</v>
          </cell>
          <cell r="C254" t="str">
            <v>01</v>
          </cell>
          <cell r="D254" t="str">
            <v>04</v>
          </cell>
          <cell r="E254" t="str">
            <v>APURIMAC</v>
          </cell>
          <cell r="F254" t="str">
            <v>ABANCAY</v>
          </cell>
          <cell r="G254" t="str">
            <v>CURAHUASI</v>
          </cell>
          <cell r="H254" t="str">
            <v>010254</v>
          </cell>
          <cell r="I254" t="str">
            <v>2</v>
          </cell>
        </row>
        <row r="255">
          <cell r="A255" t="str">
            <v>APURIMACABANCAYHUANIPACA</v>
          </cell>
          <cell r="B255" t="str">
            <v>03</v>
          </cell>
          <cell r="C255" t="str">
            <v>01</v>
          </cell>
          <cell r="D255" t="str">
            <v>05</v>
          </cell>
          <cell r="E255" t="str">
            <v>APURIMAC</v>
          </cell>
          <cell r="F255" t="str">
            <v>ABANCAY</v>
          </cell>
          <cell r="G255" t="str">
            <v>HUANIPACA</v>
          </cell>
          <cell r="H255" t="str">
            <v>011913</v>
          </cell>
          <cell r="I255" t="str">
            <v>2</v>
          </cell>
        </row>
        <row r="256">
          <cell r="A256" t="str">
            <v>APURIMACABANCAYLAMBRAMA</v>
          </cell>
          <cell r="B256" t="str">
            <v>03</v>
          </cell>
          <cell r="C256" t="str">
            <v>01</v>
          </cell>
          <cell r="D256" t="str">
            <v>06</v>
          </cell>
          <cell r="E256" t="str">
            <v>APURIMAC</v>
          </cell>
          <cell r="F256" t="str">
            <v>ABANCAY</v>
          </cell>
          <cell r="G256" t="str">
            <v>LAMBRAMA</v>
          </cell>
          <cell r="H256" t="str">
            <v>010256</v>
          </cell>
          <cell r="I256" t="str">
            <v>2</v>
          </cell>
        </row>
        <row r="257">
          <cell r="A257" t="str">
            <v>APURIMACABANCAYPICHIRHUA</v>
          </cell>
          <cell r="B257" t="str">
            <v>03</v>
          </cell>
          <cell r="C257" t="str">
            <v>01</v>
          </cell>
          <cell r="D257" t="str">
            <v>07</v>
          </cell>
          <cell r="E257" t="str">
            <v>APURIMAC</v>
          </cell>
          <cell r="F257" t="str">
            <v>ABANCAY</v>
          </cell>
          <cell r="G257" t="str">
            <v>PICHIRHUA</v>
          </cell>
          <cell r="H257" t="str">
            <v>010257</v>
          </cell>
          <cell r="I257" t="str">
            <v>2</v>
          </cell>
        </row>
        <row r="258">
          <cell r="A258" t="str">
            <v>APURIMACABANCAYSAN PEDRO DE CACHORA</v>
          </cell>
          <cell r="B258" t="str">
            <v>03</v>
          </cell>
          <cell r="C258" t="str">
            <v>01</v>
          </cell>
          <cell r="D258" t="str">
            <v>08</v>
          </cell>
          <cell r="E258" t="str">
            <v>APURIMAC</v>
          </cell>
          <cell r="F258" t="str">
            <v>ABANCAY</v>
          </cell>
          <cell r="G258" t="str">
            <v>SAN PEDRO DE CACHORA</v>
          </cell>
          <cell r="H258" t="str">
            <v>010258</v>
          </cell>
          <cell r="I258" t="str">
            <v>2</v>
          </cell>
        </row>
        <row r="259">
          <cell r="A259" t="str">
            <v>APURIMACABANCAYTAMBURCO</v>
          </cell>
          <cell r="B259" t="str">
            <v>03</v>
          </cell>
          <cell r="C259" t="str">
            <v>01</v>
          </cell>
          <cell r="D259" t="str">
            <v>09</v>
          </cell>
          <cell r="E259" t="str">
            <v>APURIMAC</v>
          </cell>
          <cell r="F259" t="str">
            <v>ABANCAY</v>
          </cell>
          <cell r="G259" t="str">
            <v>TAMBURCO</v>
          </cell>
          <cell r="H259" t="str">
            <v>010259</v>
          </cell>
          <cell r="I259" t="str">
            <v>2</v>
          </cell>
        </row>
        <row r="260">
          <cell r="A260" t="str">
            <v>APURIMACANDAHUAYLASANDAHUAYLAS</v>
          </cell>
          <cell r="B260" t="str">
            <v>03</v>
          </cell>
          <cell r="C260" t="str">
            <v>02</v>
          </cell>
          <cell r="D260" t="str">
            <v>01</v>
          </cell>
          <cell r="E260" t="str">
            <v>APURIMAC</v>
          </cell>
          <cell r="F260" t="str">
            <v>ANDAHUAYLAS</v>
          </cell>
          <cell r="G260" t="str">
            <v>ANDAHUAYLAS</v>
          </cell>
          <cell r="H260" t="str">
            <v>010271</v>
          </cell>
          <cell r="I260" t="str">
            <v>1</v>
          </cell>
        </row>
        <row r="261">
          <cell r="A261" t="str">
            <v>APURIMACANDAHUAYLASANDARAPA</v>
          </cell>
          <cell r="B261" t="str">
            <v>03</v>
          </cell>
          <cell r="C261" t="str">
            <v>02</v>
          </cell>
          <cell r="D261" t="str">
            <v>02</v>
          </cell>
          <cell r="E261" t="str">
            <v>APURIMAC</v>
          </cell>
          <cell r="F261" t="str">
            <v>ANDAHUAYLAS</v>
          </cell>
          <cell r="G261" t="str">
            <v>ANDARAPA</v>
          </cell>
          <cell r="H261" t="str">
            <v>010279</v>
          </cell>
          <cell r="I261" t="str">
            <v>2</v>
          </cell>
        </row>
        <row r="262">
          <cell r="A262" t="str">
            <v>APURIMACANDAHUAYLASCHIARA</v>
          </cell>
          <cell r="B262" t="str">
            <v>03</v>
          </cell>
          <cell r="C262" t="str">
            <v>02</v>
          </cell>
          <cell r="D262" t="str">
            <v>03</v>
          </cell>
          <cell r="E262" t="str">
            <v>APURIMAC</v>
          </cell>
          <cell r="F262" t="str">
            <v>ANDAHUAYLAS</v>
          </cell>
          <cell r="G262" t="str">
            <v>CHIARA</v>
          </cell>
          <cell r="H262" t="str">
            <v>010272</v>
          </cell>
          <cell r="I262" t="str">
            <v>2</v>
          </cell>
        </row>
        <row r="263">
          <cell r="A263" t="str">
            <v>APURIMACANDAHUAYLASHUANCARAMA</v>
          </cell>
          <cell r="B263" t="str">
            <v>03</v>
          </cell>
          <cell r="C263" t="str">
            <v>02</v>
          </cell>
          <cell r="D263" t="str">
            <v>04</v>
          </cell>
          <cell r="E263" t="str">
            <v>APURIMAC</v>
          </cell>
          <cell r="F263" t="str">
            <v>ANDAHUAYLAS</v>
          </cell>
          <cell r="G263" t="str">
            <v>HUANCARAMA</v>
          </cell>
          <cell r="H263" t="str">
            <v>010280</v>
          </cell>
          <cell r="I263" t="str">
            <v>2</v>
          </cell>
        </row>
        <row r="264">
          <cell r="A264" t="str">
            <v>APURIMACANDAHUAYLASHUANCARAY</v>
          </cell>
          <cell r="B264" t="str">
            <v>03</v>
          </cell>
          <cell r="C264" t="str">
            <v>02</v>
          </cell>
          <cell r="D264" t="str">
            <v>05</v>
          </cell>
          <cell r="E264" t="str">
            <v>APURIMAC</v>
          </cell>
          <cell r="F264" t="str">
            <v>ANDAHUAYLAS</v>
          </cell>
          <cell r="G264" t="str">
            <v>HUANCARAY</v>
          </cell>
          <cell r="H264" t="str">
            <v>010273</v>
          </cell>
          <cell r="I264" t="str">
            <v>2</v>
          </cell>
        </row>
        <row r="265">
          <cell r="A265" t="str">
            <v>APURIMACANDAHUAYLASHUAYANA</v>
          </cell>
          <cell r="B265" t="str">
            <v>03</v>
          </cell>
          <cell r="C265" t="str">
            <v>02</v>
          </cell>
          <cell r="D265" t="str">
            <v>06</v>
          </cell>
          <cell r="E265" t="str">
            <v>APURIMAC</v>
          </cell>
          <cell r="F265" t="str">
            <v>ANDAHUAYLAS</v>
          </cell>
          <cell r="G265" t="str">
            <v>HUAYANA</v>
          </cell>
          <cell r="H265" t="str">
            <v>010285</v>
          </cell>
          <cell r="I265" t="str">
            <v>2</v>
          </cell>
        </row>
        <row r="266">
          <cell r="A266" t="str">
            <v>APURIMACANDAHUAYLASKISHUARA</v>
          </cell>
          <cell r="B266" t="str">
            <v>03</v>
          </cell>
          <cell r="C266" t="str">
            <v>02</v>
          </cell>
          <cell r="D266" t="str">
            <v>07</v>
          </cell>
          <cell r="E266" t="str">
            <v>APURIMAC</v>
          </cell>
          <cell r="F266" t="str">
            <v>ANDAHUAYLAS</v>
          </cell>
          <cell r="G266" t="str">
            <v>KISHUARA</v>
          </cell>
          <cell r="H266" t="str">
            <v>010281</v>
          </cell>
          <cell r="I266" t="str">
            <v>2</v>
          </cell>
        </row>
        <row r="267">
          <cell r="A267" t="str">
            <v>APURIMACANDAHUAYLASPACOBAMBA</v>
          </cell>
          <cell r="B267" t="str">
            <v>03</v>
          </cell>
          <cell r="C267" t="str">
            <v>02</v>
          </cell>
          <cell r="D267" t="str">
            <v>08</v>
          </cell>
          <cell r="E267" t="str">
            <v>APURIMAC</v>
          </cell>
          <cell r="F267" t="str">
            <v>ANDAHUAYLAS</v>
          </cell>
          <cell r="G267" t="str">
            <v>PACOBAMBA</v>
          </cell>
          <cell r="H267" t="str">
            <v>010282</v>
          </cell>
          <cell r="I267" t="str">
            <v>2</v>
          </cell>
        </row>
        <row r="268">
          <cell r="A268" t="str">
            <v>APURIMACANDAHUAYLASPACUCHA</v>
          </cell>
          <cell r="B268" t="str">
            <v>03</v>
          </cell>
          <cell r="C268" t="str">
            <v>02</v>
          </cell>
          <cell r="D268" t="str">
            <v>09</v>
          </cell>
          <cell r="E268" t="str">
            <v>APURIMAC</v>
          </cell>
          <cell r="F268" t="str">
            <v>ANDAHUAYLAS</v>
          </cell>
          <cell r="G268" t="str">
            <v>PACUCHA</v>
          </cell>
          <cell r="H268" t="str">
            <v>010283</v>
          </cell>
          <cell r="I268" t="str">
            <v>2</v>
          </cell>
        </row>
        <row r="269">
          <cell r="A269" t="str">
            <v>APURIMACANDAHUAYLASPAMPACHIRI</v>
          </cell>
          <cell r="B269" t="str">
            <v>03</v>
          </cell>
          <cell r="C269" t="str">
            <v>02</v>
          </cell>
          <cell r="D269" t="str">
            <v>10</v>
          </cell>
          <cell r="E269" t="str">
            <v>APURIMAC</v>
          </cell>
          <cell r="F269" t="str">
            <v>ANDAHUAYLAS</v>
          </cell>
          <cell r="G269" t="str">
            <v>PAMPACHIRI</v>
          </cell>
          <cell r="H269" t="str">
            <v>010286</v>
          </cell>
          <cell r="I269" t="str">
            <v>2</v>
          </cell>
        </row>
        <row r="270">
          <cell r="A270" t="str">
            <v>APURIMACANDAHUAYLASPOMACOCHA</v>
          </cell>
          <cell r="B270" t="str">
            <v>03</v>
          </cell>
          <cell r="C270" t="str">
            <v>02</v>
          </cell>
          <cell r="D270" t="str">
            <v>11</v>
          </cell>
          <cell r="E270" t="str">
            <v>APURIMAC</v>
          </cell>
          <cell r="F270" t="str">
            <v>ANDAHUAYLAS</v>
          </cell>
          <cell r="G270" t="str">
            <v>POMACOCHA</v>
          </cell>
          <cell r="H270" t="str">
            <v>010287</v>
          </cell>
          <cell r="I270" t="str">
            <v>2</v>
          </cell>
        </row>
        <row r="271">
          <cell r="A271" t="str">
            <v>APURIMACANDAHUAYLASSAN ANTONIO DE CACHI</v>
          </cell>
          <cell r="B271" t="str">
            <v>03</v>
          </cell>
          <cell r="C271" t="str">
            <v>02</v>
          </cell>
          <cell r="D271" t="str">
            <v>12</v>
          </cell>
          <cell r="E271" t="str">
            <v>APURIMAC</v>
          </cell>
          <cell r="F271" t="str">
            <v>ANDAHUAYLAS</v>
          </cell>
          <cell r="G271" t="str">
            <v>SAN ANTONIO DE CACHI</v>
          </cell>
          <cell r="H271" t="str">
            <v>010274</v>
          </cell>
          <cell r="I271" t="str">
            <v>2</v>
          </cell>
        </row>
        <row r="272">
          <cell r="A272" t="str">
            <v>APURIMACANDAHUAYLASSAN JERONIMO</v>
          </cell>
          <cell r="B272" t="str">
            <v>03</v>
          </cell>
          <cell r="C272" t="str">
            <v>02</v>
          </cell>
          <cell r="D272" t="str">
            <v>13</v>
          </cell>
          <cell r="E272" t="str">
            <v>APURIMAC</v>
          </cell>
          <cell r="F272" t="str">
            <v>ANDAHUAYLAS</v>
          </cell>
          <cell r="G272" t="str">
            <v>SAN JERONIMO</v>
          </cell>
          <cell r="H272" t="str">
            <v>010275</v>
          </cell>
          <cell r="I272" t="str">
            <v>2</v>
          </cell>
        </row>
        <row r="273">
          <cell r="A273" t="str">
            <v>APURIMACANDAHUAYLASSAN MIGUEL DE CHACCRAMPA</v>
          </cell>
          <cell r="B273" t="str">
            <v>03</v>
          </cell>
          <cell r="C273" t="str">
            <v>02</v>
          </cell>
          <cell r="D273" t="str">
            <v>14</v>
          </cell>
          <cell r="E273" t="str">
            <v>APURIMAC</v>
          </cell>
          <cell r="F273" t="str">
            <v>ANDAHUAYLAS</v>
          </cell>
          <cell r="G273" t="str">
            <v>SAN MIGUEL DE CHACCRAMPA</v>
          </cell>
          <cell r="H273" t="str">
            <v>010288</v>
          </cell>
          <cell r="I273" t="str">
            <v>2</v>
          </cell>
        </row>
        <row r="274">
          <cell r="A274" t="str">
            <v>APURIMACANDAHUAYLASSANTA MARIA DE CHICMO</v>
          </cell>
          <cell r="B274" t="str">
            <v>03</v>
          </cell>
          <cell r="C274" t="str">
            <v>02</v>
          </cell>
          <cell r="D274" t="str">
            <v>15</v>
          </cell>
          <cell r="E274" t="str">
            <v>APURIMAC</v>
          </cell>
          <cell r="F274" t="str">
            <v>ANDAHUAYLAS</v>
          </cell>
          <cell r="G274" t="str">
            <v>SANTA MARIA DE CHICMO</v>
          </cell>
          <cell r="H274" t="str">
            <v>010276</v>
          </cell>
          <cell r="I274" t="str">
            <v>2</v>
          </cell>
        </row>
        <row r="275">
          <cell r="A275" t="str">
            <v>APURIMACANDAHUAYLASTALAVERA</v>
          </cell>
          <cell r="B275" t="str">
            <v>03</v>
          </cell>
          <cell r="C275" t="str">
            <v>02</v>
          </cell>
          <cell r="D275" t="str">
            <v>16</v>
          </cell>
          <cell r="E275" t="str">
            <v>APURIMAC</v>
          </cell>
          <cell r="F275" t="str">
            <v>ANDAHUAYLAS</v>
          </cell>
          <cell r="G275" t="str">
            <v>TALAVERA</v>
          </cell>
          <cell r="H275" t="str">
            <v>010277</v>
          </cell>
          <cell r="I275" t="str">
            <v>2</v>
          </cell>
        </row>
        <row r="276">
          <cell r="A276" t="str">
            <v>APURIMACANDAHUAYLASTUMAY HUARACA</v>
          </cell>
          <cell r="B276" t="str">
            <v>03</v>
          </cell>
          <cell r="C276" t="str">
            <v>02</v>
          </cell>
          <cell r="D276" t="str">
            <v>17</v>
          </cell>
          <cell r="E276" t="str">
            <v>APURIMAC</v>
          </cell>
          <cell r="F276" t="str">
            <v>ANDAHUAYLAS</v>
          </cell>
          <cell r="G276" t="str">
            <v>TUMAY HUARACA</v>
          </cell>
          <cell r="H276" t="str">
            <v>010289</v>
          </cell>
          <cell r="I276" t="str">
            <v>2</v>
          </cell>
        </row>
        <row r="277">
          <cell r="A277" t="str">
            <v>APURIMACANDAHUAYLASTURPO</v>
          </cell>
          <cell r="B277" t="str">
            <v>03</v>
          </cell>
          <cell r="C277" t="str">
            <v>02</v>
          </cell>
          <cell r="D277" t="str">
            <v>18</v>
          </cell>
          <cell r="E277" t="str">
            <v>APURIMAC</v>
          </cell>
          <cell r="F277" t="str">
            <v>ANDAHUAYLAS</v>
          </cell>
          <cell r="G277" t="str">
            <v>TURPO</v>
          </cell>
          <cell r="H277" t="str">
            <v>010278</v>
          </cell>
          <cell r="I277" t="str">
            <v>2</v>
          </cell>
        </row>
        <row r="278">
          <cell r="A278" t="str">
            <v>APURIMACANDAHUAYLASKAQUIABAMBA</v>
          </cell>
          <cell r="B278" t="str">
            <v>03</v>
          </cell>
          <cell r="C278" t="str">
            <v>02</v>
          </cell>
          <cell r="D278" t="str">
            <v>19</v>
          </cell>
          <cell r="E278" t="str">
            <v>APURIMAC</v>
          </cell>
          <cell r="F278" t="str">
            <v>ANDAHUAYLAS</v>
          </cell>
          <cell r="G278" t="str">
            <v>KAQUIABAMBA</v>
          </cell>
          <cell r="H278" t="str">
            <v>011931</v>
          </cell>
          <cell r="I278" t="str">
            <v>2</v>
          </cell>
        </row>
        <row r="279">
          <cell r="A279" t="str">
            <v>APURIMACANTABAMBAANTABAMBA</v>
          </cell>
          <cell r="B279" t="str">
            <v>03</v>
          </cell>
          <cell r="C279" t="str">
            <v>03</v>
          </cell>
          <cell r="D279" t="str">
            <v>01</v>
          </cell>
          <cell r="E279" t="str">
            <v>APURIMAC</v>
          </cell>
          <cell r="F279" t="str">
            <v>ANTABAMBA</v>
          </cell>
          <cell r="G279" t="str">
            <v>ANTABAMBA</v>
          </cell>
          <cell r="H279" t="str">
            <v>010290</v>
          </cell>
          <cell r="I279" t="str">
            <v>1</v>
          </cell>
        </row>
        <row r="280">
          <cell r="A280" t="str">
            <v>APURIMACANTABAMBAEL ORO</v>
          </cell>
          <cell r="B280" t="str">
            <v>03</v>
          </cell>
          <cell r="C280" t="str">
            <v>03</v>
          </cell>
          <cell r="D280" t="str">
            <v>02</v>
          </cell>
          <cell r="E280" t="str">
            <v>APURIMAC</v>
          </cell>
          <cell r="F280" t="str">
            <v>ANTABAMBA</v>
          </cell>
          <cell r="G280" t="str">
            <v>EL ORO</v>
          </cell>
          <cell r="H280" t="str">
            <v>010265</v>
          </cell>
          <cell r="I280" t="str">
            <v>2</v>
          </cell>
        </row>
        <row r="281">
          <cell r="A281" t="str">
            <v>APURIMACANTABAMBAHUAQUIRCA</v>
          </cell>
          <cell r="B281" t="str">
            <v>03</v>
          </cell>
          <cell r="C281" t="str">
            <v>03</v>
          </cell>
          <cell r="D281" t="str">
            <v>03</v>
          </cell>
          <cell r="E281" t="str">
            <v>APURIMAC</v>
          </cell>
          <cell r="F281" t="str">
            <v>ANTABAMBA</v>
          </cell>
          <cell r="G281" t="str">
            <v>HUAQUIRCA</v>
          </cell>
          <cell r="H281" t="str">
            <v>010291</v>
          </cell>
          <cell r="I281" t="str">
            <v>2</v>
          </cell>
        </row>
        <row r="282">
          <cell r="A282" t="str">
            <v>APURIMACANTABAMBAJUAN ESPINOZA MEDRANO</v>
          </cell>
          <cell r="B282" t="str">
            <v>03</v>
          </cell>
          <cell r="C282" t="str">
            <v>03</v>
          </cell>
          <cell r="D282" t="str">
            <v>04</v>
          </cell>
          <cell r="E282" t="str">
            <v>APURIMAC</v>
          </cell>
          <cell r="F282" t="str">
            <v>ANTABAMBA</v>
          </cell>
          <cell r="G282" t="str">
            <v>JUAN ESPINOZA MEDRANO</v>
          </cell>
          <cell r="H282" t="str">
            <v>010292</v>
          </cell>
          <cell r="I282" t="str">
            <v>2</v>
          </cell>
        </row>
        <row r="283">
          <cell r="A283" t="str">
            <v>APURIMACANTABAMBAOROPESA</v>
          </cell>
          <cell r="B283" t="str">
            <v>03</v>
          </cell>
          <cell r="C283" t="str">
            <v>03</v>
          </cell>
          <cell r="D283" t="str">
            <v>05</v>
          </cell>
          <cell r="E283" t="str">
            <v>APURIMAC</v>
          </cell>
          <cell r="F283" t="str">
            <v>ANTABAMBA</v>
          </cell>
          <cell r="G283" t="str">
            <v>OROPESA</v>
          </cell>
          <cell r="H283" t="str">
            <v>010323</v>
          </cell>
          <cell r="I283" t="str">
            <v>2</v>
          </cell>
        </row>
        <row r="284">
          <cell r="A284" t="str">
            <v>APURIMACANTABAMBAPACHACONAS</v>
          </cell>
          <cell r="B284" t="str">
            <v>03</v>
          </cell>
          <cell r="C284" t="str">
            <v>03</v>
          </cell>
          <cell r="D284" t="str">
            <v>06</v>
          </cell>
          <cell r="E284" t="str">
            <v>APURIMAC</v>
          </cell>
          <cell r="F284" t="str">
            <v>ANTABAMBA</v>
          </cell>
          <cell r="G284" t="str">
            <v>PACHACONAS</v>
          </cell>
          <cell r="H284" t="str">
            <v>010266</v>
          </cell>
          <cell r="I284" t="str">
            <v>2</v>
          </cell>
        </row>
        <row r="285">
          <cell r="A285" t="str">
            <v>APURIMACANTABAMBASABAINO</v>
          </cell>
          <cell r="B285" t="str">
            <v>03</v>
          </cell>
          <cell r="C285" t="str">
            <v>03</v>
          </cell>
          <cell r="D285" t="str">
            <v>07</v>
          </cell>
          <cell r="E285" t="str">
            <v>APURIMAC</v>
          </cell>
          <cell r="F285" t="str">
            <v>ANTABAMBA</v>
          </cell>
          <cell r="G285" t="str">
            <v>SABAINO</v>
          </cell>
          <cell r="H285" t="str">
            <v>010293</v>
          </cell>
          <cell r="I285" t="str">
            <v>2</v>
          </cell>
        </row>
        <row r="286">
          <cell r="A286" t="str">
            <v>APURIMACAYMARAESCHALHUANCA</v>
          </cell>
          <cell r="B286" t="str">
            <v>03</v>
          </cell>
          <cell r="C286" t="str">
            <v>04</v>
          </cell>
          <cell r="D286" t="str">
            <v>01</v>
          </cell>
          <cell r="E286" t="str">
            <v>APURIMAC</v>
          </cell>
          <cell r="F286" t="str">
            <v>AYMARAES</v>
          </cell>
          <cell r="G286" t="str">
            <v>CHALHUANCA</v>
          </cell>
          <cell r="H286" t="str">
            <v>010294</v>
          </cell>
          <cell r="I286" t="str">
            <v>1</v>
          </cell>
        </row>
        <row r="287">
          <cell r="A287" t="str">
            <v>APURIMACAYMARAESCAPAYA</v>
          </cell>
          <cell r="B287" t="str">
            <v>03</v>
          </cell>
          <cell r="C287" t="str">
            <v>04</v>
          </cell>
          <cell r="D287" t="str">
            <v>02</v>
          </cell>
          <cell r="E287" t="str">
            <v>APURIMAC</v>
          </cell>
          <cell r="F287" t="str">
            <v>AYMARAES</v>
          </cell>
          <cell r="G287" t="str">
            <v>CAPAYA</v>
          </cell>
          <cell r="H287" t="str">
            <v>010295</v>
          </cell>
          <cell r="I287" t="str">
            <v>2</v>
          </cell>
        </row>
        <row r="288">
          <cell r="A288" t="str">
            <v>APURIMACAYMARAESCARAYBAMBA</v>
          </cell>
          <cell r="B288" t="str">
            <v>03</v>
          </cell>
          <cell r="C288" t="str">
            <v>04</v>
          </cell>
          <cell r="D288" t="str">
            <v>03</v>
          </cell>
          <cell r="E288" t="str">
            <v>APURIMAC</v>
          </cell>
          <cell r="F288" t="str">
            <v>AYMARAES</v>
          </cell>
          <cell r="G288" t="str">
            <v>CARAYBAMBA</v>
          </cell>
          <cell r="H288" t="str">
            <v>010296</v>
          </cell>
          <cell r="I288" t="str">
            <v>2</v>
          </cell>
        </row>
        <row r="289">
          <cell r="A289" t="str">
            <v>APURIMACAYMARAESCHAPIMARCA</v>
          </cell>
          <cell r="B289" t="str">
            <v>03</v>
          </cell>
          <cell r="C289" t="str">
            <v>04</v>
          </cell>
          <cell r="D289" t="str">
            <v>04</v>
          </cell>
          <cell r="E289" t="str">
            <v>APURIMAC</v>
          </cell>
          <cell r="F289" t="str">
            <v>AYMARAES</v>
          </cell>
          <cell r="G289" t="str">
            <v>CHAPIMARCA</v>
          </cell>
          <cell r="H289" t="str">
            <v>011917</v>
          </cell>
          <cell r="I289" t="str">
            <v>2</v>
          </cell>
        </row>
        <row r="290">
          <cell r="A290" t="str">
            <v>APURIMACAYMARAESCOLCABAMBA</v>
          </cell>
          <cell r="B290" t="str">
            <v>03</v>
          </cell>
          <cell r="C290" t="str">
            <v>04</v>
          </cell>
          <cell r="D290" t="str">
            <v>05</v>
          </cell>
          <cell r="E290" t="str">
            <v>APURIMAC</v>
          </cell>
          <cell r="F290" t="str">
            <v>AYMARAES</v>
          </cell>
          <cell r="G290" t="str">
            <v>COLCABAMBA</v>
          </cell>
          <cell r="H290" t="str">
            <v>010261</v>
          </cell>
          <cell r="I290" t="str">
            <v>2</v>
          </cell>
        </row>
        <row r="291">
          <cell r="A291" t="str">
            <v>APURIMACAYMARAESCOTARUSE</v>
          </cell>
          <cell r="B291" t="str">
            <v>03</v>
          </cell>
          <cell r="C291" t="str">
            <v>04</v>
          </cell>
          <cell r="D291" t="str">
            <v>06</v>
          </cell>
          <cell r="E291" t="str">
            <v>APURIMAC</v>
          </cell>
          <cell r="F291" t="str">
            <v>AYMARAES</v>
          </cell>
          <cell r="G291" t="str">
            <v>COTARUSE</v>
          </cell>
          <cell r="H291" t="str">
            <v>010297</v>
          </cell>
          <cell r="I291" t="str">
            <v>2</v>
          </cell>
        </row>
        <row r="292">
          <cell r="A292" t="str">
            <v>APURIMACAYMARAESHUAYLLO</v>
          </cell>
          <cell r="B292" t="str">
            <v>03</v>
          </cell>
          <cell r="C292" t="str">
            <v>04</v>
          </cell>
          <cell r="D292" t="str">
            <v>07</v>
          </cell>
          <cell r="E292" t="str">
            <v>APURIMAC</v>
          </cell>
          <cell r="F292" t="str">
            <v>AYMARAES</v>
          </cell>
          <cell r="G292" t="str">
            <v>HUAYLLO</v>
          </cell>
          <cell r="H292" t="str">
            <v>011911</v>
          </cell>
          <cell r="I292" t="str">
            <v>2</v>
          </cell>
        </row>
        <row r="293">
          <cell r="A293" t="str">
            <v>APURIMACAYMARAESJUSTO APU SAHUARAURA</v>
          </cell>
          <cell r="B293" t="str">
            <v>03</v>
          </cell>
          <cell r="C293" t="str">
            <v>04</v>
          </cell>
          <cell r="D293" t="str">
            <v>08</v>
          </cell>
          <cell r="E293" t="str">
            <v>APURIMAC</v>
          </cell>
          <cell r="F293" t="str">
            <v>AYMARAES</v>
          </cell>
          <cell r="G293" t="str">
            <v>JUSTO APU SAHUARAURA</v>
          </cell>
          <cell r="H293" t="str">
            <v>010267</v>
          </cell>
          <cell r="I293" t="str">
            <v>2</v>
          </cell>
        </row>
        <row r="294">
          <cell r="A294" t="str">
            <v>APURIMACAYMARAESLUCRE</v>
          </cell>
          <cell r="B294" t="str">
            <v>03</v>
          </cell>
          <cell r="C294" t="str">
            <v>04</v>
          </cell>
          <cell r="D294" t="str">
            <v>09</v>
          </cell>
          <cell r="E294" t="str">
            <v>APURIMAC</v>
          </cell>
          <cell r="F294" t="str">
            <v>AYMARAES</v>
          </cell>
          <cell r="G294" t="str">
            <v>LUCRE</v>
          </cell>
          <cell r="H294" t="str">
            <v>010262</v>
          </cell>
          <cell r="I294" t="str">
            <v>2</v>
          </cell>
        </row>
        <row r="295">
          <cell r="A295" t="str">
            <v>APURIMACAYMARAESPOCOHUANCA</v>
          </cell>
          <cell r="B295" t="str">
            <v>03</v>
          </cell>
          <cell r="C295" t="str">
            <v>04</v>
          </cell>
          <cell r="D295" t="str">
            <v>10</v>
          </cell>
          <cell r="E295" t="str">
            <v>APURIMAC</v>
          </cell>
          <cell r="F295" t="str">
            <v>AYMARAES</v>
          </cell>
          <cell r="G295" t="str">
            <v>POCOHUANCA</v>
          </cell>
          <cell r="H295" t="str">
            <v>010268</v>
          </cell>
          <cell r="I295" t="str">
            <v>2</v>
          </cell>
        </row>
        <row r="296">
          <cell r="A296" t="str">
            <v>APURIMACAYMARAESSAN JUAN DE CHACÑA</v>
          </cell>
          <cell r="B296" t="str">
            <v>03</v>
          </cell>
          <cell r="C296" t="str">
            <v>04</v>
          </cell>
          <cell r="D296" t="str">
            <v>11</v>
          </cell>
          <cell r="E296" t="str">
            <v>APURIMAC</v>
          </cell>
          <cell r="F296" t="str">
            <v>AYMARAES</v>
          </cell>
          <cell r="G296" t="str">
            <v>SAN JUAN DE CHACÑA</v>
          </cell>
          <cell r="H296" t="str">
            <v>010263</v>
          </cell>
          <cell r="I296" t="str">
            <v>2</v>
          </cell>
        </row>
        <row r="297">
          <cell r="A297" t="str">
            <v>APURIMACAYMARAESSAÑAYCA</v>
          </cell>
          <cell r="B297" t="str">
            <v>03</v>
          </cell>
          <cell r="C297" t="str">
            <v>04</v>
          </cell>
          <cell r="D297" t="str">
            <v>12</v>
          </cell>
          <cell r="E297" t="str">
            <v>APURIMAC</v>
          </cell>
          <cell r="F297" t="str">
            <v>AYMARAES</v>
          </cell>
          <cell r="G297" t="str">
            <v>SAÑAYCA</v>
          </cell>
          <cell r="H297" t="str">
            <v>010299</v>
          </cell>
          <cell r="I297" t="str">
            <v>2</v>
          </cell>
        </row>
        <row r="298">
          <cell r="A298" t="str">
            <v>APURIMACAYMARAESSORAYA</v>
          </cell>
          <cell r="B298" t="str">
            <v>03</v>
          </cell>
          <cell r="C298" t="str">
            <v>04</v>
          </cell>
          <cell r="D298" t="str">
            <v>13</v>
          </cell>
          <cell r="E298" t="str">
            <v>APURIMAC</v>
          </cell>
          <cell r="F298" t="str">
            <v>AYMARAES</v>
          </cell>
          <cell r="G298" t="str">
            <v>SORAYA</v>
          </cell>
          <cell r="H298" t="str">
            <v>010300</v>
          </cell>
          <cell r="I298" t="str">
            <v>2</v>
          </cell>
        </row>
        <row r="299">
          <cell r="A299" t="str">
            <v>APURIMACAYMARAESTAPAIRIHUA</v>
          </cell>
          <cell r="B299" t="str">
            <v>03</v>
          </cell>
          <cell r="C299" t="str">
            <v>04</v>
          </cell>
          <cell r="D299" t="str">
            <v>14</v>
          </cell>
          <cell r="E299" t="str">
            <v>APURIMAC</v>
          </cell>
          <cell r="F299" t="str">
            <v>AYMARAES</v>
          </cell>
          <cell r="G299" t="str">
            <v>TAPAIRIHUA</v>
          </cell>
          <cell r="H299" t="str">
            <v>010269</v>
          </cell>
          <cell r="I299" t="str">
            <v>2</v>
          </cell>
        </row>
        <row r="300">
          <cell r="A300" t="str">
            <v>APURIMACAYMARAESTINTAY</v>
          </cell>
          <cell r="B300" t="str">
            <v>03</v>
          </cell>
          <cell r="C300" t="str">
            <v>04</v>
          </cell>
          <cell r="D300" t="str">
            <v>15</v>
          </cell>
          <cell r="E300" t="str">
            <v>APURIMAC</v>
          </cell>
          <cell r="F300" t="str">
            <v>AYMARAES</v>
          </cell>
          <cell r="G300" t="str">
            <v>TINTAY</v>
          </cell>
          <cell r="H300" t="str">
            <v>010264</v>
          </cell>
          <cell r="I300" t="str">
            <v>2</v>
          </cell>
        </row>
        <row r="301">
          <cell r="A301" t="str">
            <v>APURIMACAYMARAESTORAYA</v>
          </cell>
          <cell r="B301" t="str">
            <v>03</v>
          </cell>
          <cell r="C301" t="str">
            <v>04</v>
          </cell>
          <cell r="D301" t="str">
            <v>16</v>
          </cell>
          <cell r="E301" t="str">
            <v>APURIMAC</v>
          </cell>
          <cell r="F301" t="str">
            <v>AYMARAES</v>
          </cell>
          <cell r="G301" t="str">
            <v>TORAYA</v>
          </cell>
          <cell r="H301" t="str">
            <v>010301</v>
          </cell>
          <cell r="I301" t="str">
            <v>2</v>
          </cell>
        </row>
        <row r="302">
          <cell r="A302" t="str">
            <v>APURIMACAYMARAESYANACA</v>
          </cell>
          <cell r="B302" t="str">
            <v>03</v>
          </cell>
          <cell r="C302" t="str">
            <v>04</v>
          </cell>
          <cell r="D302" t="str">
            <v>17</v>
          </cell>
          <cell r="E302" t="str">
            <v>APURIMAC</v>
          </cell>
          <cell r="F302" t="str">
            <v>AYMARAES</v>
          </cell>
          <cell r="G302" t="str">
            <v>YANACA</v>
          </cell>
          <cell r="H302" t="str">
            <v>010270</v>
          </cell>
          <cell r="I302" t="str">
            <v>2</v>
          </cell>
        </row>
        <row r="303">
          <cell r="A303" t="str">
            <v>APURIMACCOTABAMBASTAMBOBAMBA</v>
          </cell>
          <cell r="B303" t="str">
            <v>03</v>
          </cell>
          <cell r="C303" t="str">
            <v>05</v>
          </cell>
          <cell r="D303" t="str">
            <v>01</v>
          </cell>
          <cell r="E303" t="str">
            <v>APURIMAC</v>
          </cell>
          <cell r="F303" t="str">
            <v>COTABAMBAS</v>
          </cell>
          <cell r="G303" t="str">
            <v>TAMBOBAMBA</v>
          </cell>
          <cell r="H303" t="str">
            <v>010302</v>
          </cell>
          <cell r="I303" t="str">
            <v>1</v>
          </cell>
        </row>
        <row r="304">
          <cell r="A304" t="str">
            <v>APURIMACCOTABAMBASCOTABAMBAS</v>
          </cell>
          <cell r="B304" t="str">
            <v>03</v>
          </cell>
          <cell r="C304" t="str">
            <v>05</v>
          </cell>
          <cell r="D304" t="str">
            <v>02</v>
          </cell>
          <cell r="E304" t="str">
            <v>APURIMAC</v>
          </cell>
          <cell r="F304" t="str">
            <v>COTABAMBAS</v>
          </cell>
          <cell r="G304" t="str">
            <v>COTABAMBAS</v>
          </cell>
          <cell r="H304" t="str">
            <v>010303</v>
          </cell>
          <cell r="I304" t="str">
            <v>2</v>
          </cell>
        </row>
        <row r="305">
          <cell r="A305" t="str">
            <v>APURIMACCOTABAMBASCOYLLURQUI</v>
          </cell>
          <cell r="B305" t="str">
            <v>03</v>
          </cell>
          <cell r="C305" t="str">
            <v>05</v>
          </cell>
          <cell r="D305" t="str">
            <v>03</v>
          </cell>
          <cell r="E305" t="str">
            <v>APURIMAC</v>
          </cell>
          <cell r="F305" t="str">
            <v>COTABAMBAS</v>
          </cell>
          <cell r="G305" t="str">
            <v>COYLLURQUI</v>
          </cell>
          <cell r="H305" t="str">
            <v>010304</v>
          </cell>
          <cell r="I305" t="str">
            <v>2</v>
          </cell>
        </row>
        <row r="306">
          <cell r="A306" t="str">
            <v>APURIMACCOTABAMBASHAQUIRA</v>
          </cell>
          <cell r="B306" t="str">
            <v>03</v>
          </cell>
          <cell r="C306" t="str">
            <v>05</v>
          </cell>
          <cell r="D306" t="str">
            <v>04</v>
          </cell>
          <cell r="E306" t="str">
            <v>APURIMAC</v>
          </cell>
          <cell r="F306" t="str">
            <v>COTABAMBAS</v>
          </cell>
          <cell r="G306" t="str">
            <v>HAQUIRA</v>
          </cell>
          <cell r="H306" t="str">
            <v>011919</v>
          </cell>
          <cell r="I306" t="str">
            <v>2</v>
          </cell>
        </row>
        <row r="307">
          <cell r="A307" t="str">
            <v>APURIMACCOTABAMBASMARA</v>
          </cell>
          <cell r="B307" t="str">
            <v>03</v>
          </cell>
          <cell r="C307" t="str">
            <v>05</v>
          </cell>
          <cell r="D307" t="str">
            <v>05</v>
          </cell>
          <cell r="E307" t="str">
            <v>APURIMAC</v>
          </cell>
          <cell r="F307" t="str">
            <v>COTABAMBAS</v>
          </cell>
          <cell r="G307" t="str">
            <v>MARA</v>
          </cell>
          <cell r="H307" t="str">
            <v>010306</v>
          </cell>
          <cell r="I307" t="str">
            <v>2</v>
          </cell>
        </row>
        <row r="308">
          <cell r="A308" t="str">
            <v>APURIMACCOTABAMBASCHALLHUAHUACHO</v>
          </cell>
          <cell r="B308" t="str">
            <v>03</v>
          </cell>
          <cell r="C308" t="str">
            <v>05</v>
          </cell>
          <cell r="D308" t="str">
            <v>06</v>
          </cell>
          <cell r="E308" t="str">
            <v>APURIMAC</v>
          </cell>
          <cell r="F308" t="str">
            <v>COTABAMBAS</v>
          </cell>
          <cell r="G308" t="str">
            <v>CHALLHUAHUACHO</v>
          </cell>
          <cell r="H308" t="str">
            <v>010307</v>
          </cell>
          <cell r="I308" t="str">
            <v>2</v>
          </cell>
        </row>
        <row r="309">
          <cell r="A309" t="str">
            <v>APURIMACCHINCHEROSCHINCHEROS</v>
          </cell>
          <cell r="B309" t="str">
            <v>03</v>
          </cell>
          <cell r="C309" t="str">
            <v>06</v>
          </cell>
          <cell r="D309" t="str">
            <v>01</v>
          </cell>
          <cell r="E309" t="str">
            <v>APURIMAC</v>
          </cell>
          <cell r="F309" t="str">
            <v>CHINCHEROS</v>
          </cell>
          <cell r="G309" t="str">
            <v>CHINCHEROS</v>
          </cell>
          <cell r="H309" t="str">
            <v>010308</v>
          </cell>
          <cell r="I309" t="str">
            <v>1</v>
          </cell>
        </row>
        <row r="310">
          <cell r="A310" t="str">
            <v>APURIMACCHINCHEROSANCO-HUALLO</v>
          </cell>
          <cell r="B310" t="str">
            <v>03</v>
          </cell>
          <cell r="C310" t="str">
            <v>06</v>
          </cell>
          <cell r="D310" t="str">
            <v>02</v>
          </cell>
          <cell r="E310" t="str">
            <v>APURIMAC</v>
          </cell>
          <cell r="F310" t="str">
            <v>CHINCHEROS</v>
          </cell>
          <cell r="G310" t="str">
            <v>ANCO-HUALLO</v>
          </cell>
          <cell r="H310" t="str">
            <v>010309</v>
          </cell>
          <cell r="I310" t="str">
            <v>2</v>
          </cell>
        </row>
        <row r="311">
          <cell r="A311" t="str">
            <v>APURIMACCHINCHEROSCOCHARCAS</v>
          </cell>
          <cell r="B311" t="str">
            <v>03</v>
          </cell>
          <cell r="C311" t="str">
            <v>06</v>
          </cell>
          <cell r="D311" t="str">
            <v>03</v>
          </cell>
          <cell r="E311" t="str">
            <v>APURIMAC</v>
          </cell>
          <cell r="F311" t="str">
            <v>CHINCHEROS</v>
          </cell>
          <cell r="G311" t="str">
            <v>COCHARCAS</v>
          </cell>
          <cell r="H311" t="str">
            <v>010310</v>
          </cell>
          <cell r="I311" t="str">
            <v>2</v>
          </cell>
        </row>
        <row r="312">
          <cell r="A312" t="str">
            <v>APURIMACCHINCHEROSHUACCANA</v>
          </cell>
          <cell r="B312" t="str">
            <v>03</v>
          </cell>
          <cell r="C312" t="str">
            <v>06</v>
          </cell>
          <cell r="D312" t="str">
            <v>04</v>
          </cell>
          <cell r="E312" t="str">
            <v>APURIMAC</v>
          </cell>
          <cell r="F312" t="str">
            <v>CHINCHEROS</v>
          </cell>
          <cell r="G312" t="str">
            <v>HUACCANA</v>
          </cell>
          <cell r="H312" t="str">
            <v>010311</v>
          </cell>
          <cell r="I312" t="str">
            <v>2</v>
          </cell>
        </row>
        <row r="313">
          <cell r="A313" t="str">
            <v>APURIMACCHINCHEROSOCOBAMBA</v>
          </cell>
          <cell r="B313" t="str">
            <v>03</v>
          </cell>
          <cell r="C313" t="str">
            <v>06</v>
          </cell>
          <cell r="D313" t="str">
            <v>05</v>
          </cell>
          <cell r="E313" t="str">
            <v>APURIMAC</v>
          </cell>
          <cell r="F313" t="str">
            <v>CHINCHEROS</v>
          </cell>
          <cell r="G313" t="str">
            <v>OCOBAMBA</v>
          </cell>
          <cell r="H313" t="str">
            <v>010312</v>
          </cell>
          <cell r="I313" t="str">
            <v>2</v>
          </cell>
        </row>
        <row r="314">
          <cell r="A314" t="str">
            <v>APURIMACCHINCHEROSONGOY</v>
          </cell>
          <cell r="B314" t="str">
            <v>03</v>
          </cell>
          <cell r="C314" t="str">
            <v>06</v>
          </cell>
          <cell r="D314" t="str">
            <v>06</v>
          </cell>
          <cell r="E314" t="str">
            <v>APURIMAC</v>
          </cell>
          <cell r="F314" t="str">
            <v>CHINCHEROS</v>
          </cell>
          <cell r="G314" t="str">
            <v>ONGOY</v>
          </cell>
          <cell r="H314" t="str">
            <v>011927</v>
          </cell>
          <cell r="I314" t="str">
            <v>2</v>
          </cell>
        </row>
        <row r="315">
          <cell r="A315" t="str">
            <v>APURIMACCHINCHEROSURANMARCA</v>
          </cell>
          <cell r="B315" t="str">
            <v>03</v>
          </cell>
          <cell r="C315" t="str">
            <v>06</v>
          </cell>
          <cell r="D315" t="str">
            <v>07</v>
          </cell>
          <cell r="E315" t="str">
            <v>APURIMAC</v>
          </cell>
          <cell r="F315" t="str">
            <v>CHINCHEROS</v>
          </cell>
          <cell r="G315" t="str">
            <v>URANMARCA</v>
          </cell>
          <cell r="H315" t="str">
            <v>010314</v>
          </cell>
          <cell r="I315" t="str">
            <v>2</v>
          </cell>
        </row>
        <row r="316">
          <cell r="A316" t="str">
            <v>APURIMACCHINCHEROSRANRACANCHA</v>
          </cell>
          <cell r="B316" t="str">
            <v>03</v>
          </cell>
          <cell r="C316" t="str">
            <v>06</v>
          </cell>
          <cell r="D316" t="str">
            <v>08</v>
          </cell>
          <cell r="E316" t="str">
            <v>APURIMAC</v>
          </cell>
          <cell r="F316" t="str">
            <v>CHINCHEROS</v>
          </cell>
          <cell r="G316" t="str">
            <v>RANRACANCHA</v>
          </cell>
          <cell r="H316" t="str">
            <v>010315</v>
          </cell>
          <cell r="I316" t="str">
            <v>2</v>
          </cell>
        </row>
        <row r="317">
          <cell r="A317" t="str">
            <v>APURIMACGRAUCHUQUIBAMBILLA</v>
          </cell>
          <cell r="B317" t="str">
            <v>03</v>
          </cell>
          <cell r="C317" t="str">
            <v>07</v>
          </cell>
          <cell r="D317" t="str">
            <v>01</v>
          </cell>
          <cell r="E317" t="str">
            <v>APURIMAC</v>
          </cell>
          <cell r="F317" t="str">
            <v>GRAU</v>
          </cell>
          <cell r="G317" t="str">
            <v>CHUQUIBAMBILLA</v>
          </cell>
          <cell r="H317" t="str">
            <v>010316</v>
          </cell>
          <cell r="I317" t="str">
            <v>1</v>
          </cell>
        </row>
        <row r="318">
          <cell r="A318" t="str">
            <v>APURIMACGRAUCURPAHUASI</v>
          </cell>
          <cell r="B318" t="str">
            <v>03</v>
          </cell>
          <cell r="C318" t="str">
            <v>07</v>
          </cell>
          <cell r="D318" t="str">
            <v>02</v>
          </cell>
          <cell r="E318" t="str">
            <v>APURIMAC</v>
          </cell>
          <cell r="F318" t="str">
            <v>GRAU</v>
          </cell>
          <cell r="G318" t="str">
            <v>CURPAHUASI</v>
          </cell>
          <cell r="H318" t="str">
            <v>012438</v>
          </cell>
          <cell r="I318" t="str">
            <v>2</v>
          </cell>
        </row>
        <row r="319">
          <cell r="A319" t="str">
            <v>APURIMACGRAUGAMARRA</v>
          </cell>
          <cell r="B319" t="str">
            <v>03</v>
          </cell>
          <cell r="C319" t="str">
            <v>07</v>
          </cell>
          <cell r="D319" t="str">
            <v>03</v>
          </cell>
          <cell r="E319" t="str">
            <v>APURIMAC</v>
          </cell>
          <cell r="F319" t="str">
            <v>GRAU</v>
          </cell>
          <cell r="G319" t="str">
            <v>GAMARRA</v>
          </cell>
          <cell r="H319" t="str">
            <v>010318</v>
          </cell>
          <cell r="I319" t="str">
            <v>2</v>
          </cell>
        </row>
        <row r="320">
          <cell r="A320" t="str">
            <v>APURIMACGRAUHUAYLLATI</v>
          </cell>
          <cell r="B320" t="str">
            <v>03</v>
          </cell>
          <cell r="C320" t="str">
            <v>07</v>
          </cell>
          <cell r="D320" t="str">
            <v>04</v>
          </cell>
          <cell r="E320" t="str">
            <v>APURIMAC</v>
          </cell>
          <cell r="F320" t="str">
            <v>GRAU</v>
          </cell>
          <cell r="G320" t="str">
            <v>HUAYLLATI</v>
          </cell>
          <cell r="H320" t="str">
            <v>011920</v>
          </cell>
          <cell r="I320" t="str">
            <v>2</v>
          </cell>
        </row>
        <row r="321">
          <cell r="A321" t="str">
            <v>APURIMACGRAUMAMARA</v>
          </cell>
          <cell r="B321" t="str">
            <v>03</v>
          </cell>
          <cell r="C321" t="str">
            <v>07</v>
          </cell>
          <cell r="D321" t="str">
            <v>05</v>
          </cell>
          <cell r="E321" t="str">
            <v>APURIMAC</v>
          </cell>
          <cell r="F321" t="str">
            <v>GRAU</v>
          </cell>
          <cell r="G321" t="str">
            <v>MAMARA</v>
          </cell>
          <cell r="H321" t="str">
            <v>010325</v>
          </cell>
          <cell r="I321" t="str">
            <v>2</v>
          </cell>
        </row>
        <row r="322">
          <cell r="A322" t="str">
            <v>APURIMACGRAUMICAELA BASTIDAS</v>
          </cell>
          <cell r="B322" t="str">
            <v>03</v>
          </cell>
          <cell r="C322" t="str">
            <v>07</v>
          </cell>
          <cell r="D322" t="str">
            <v>06</v>
          </cell>
          <cell r="E322" t="str">
            <v>APURIMAC</v>
          </cell>
          <cell r="F322" t="str">
            <v>GRAU</v>
          </cell>
          <cell r="G322" t="str">
            <v>MICAELA BASTIDAS</v>
          </cell>
          <cell r="H322" t="str">
            <v>010326</v>
          </cell>
          <cell r="I322" t="str">
            <v>2</v>
          </cell>
        </row>
        <row r="323">
          <cell r="A323" t="str">
            <v>APURIMACGRAUPATAYPAMPA</v>
          </cell>
          <cell r="B323" t="str">
            <v>03</v>
          </cell>
          <cell r="C323" t="str">
            <v>07</v>
          </cell>
          <cell r="D323" t="str">
            <v>07</v>
          </cell>
          <cell r="E323" t="str">
            <v>APURIMAC</v>
          </cell>
          <cell r="F323" t="str">
            <v>GRAU</v>
          </cell>
          <cell r="G323" t="str">
            <v>PATAYPAMPA</v>
          </cell>
          <cell r="H323" t="str">
            <v>012445</v>
          </cell>
          <cell r="I323" t="str">
            <v>2</v>
          </cell>
        </row>
        <row r="324">
          <cell r="A324" t="str">
            <v>APURIMACGRAUPROGRESO</v>
          </cell>
          <cell r="B324" t="str">
            <v>03</v>
          </cell>
          <cell r="C324" t="str">
            <v>07</v>
          </cell>
          <cell r="D324" t="str">
            <v>08</v>
          </cell>
          <cell r="E324" t="str">
            <v>APURIMAC</v>
          </cell>
          <cell r="F324" t="str">
            <v>GRAU</v>
          </cell>
          <cell r="G324" t="str">
            <v>PROGRESO</v>
          </cell>
          <cell r="H324" t="str">
            <v>010327</v>
          </cell>
          <cell r="I324" t="str">
            <v>2</v>
          </cell>
        </row>
        <row r="325">
          <cell r="A325" t="str">
            <v>APURIMACGRAUSAN ANTONIO</v>
          </cell>
          <cell r="B325" t="str">
            <v>03</v>
          </cell>
          <cell r="C325" t="str">
            <v>07</v>
          </cell>
          <cell r="D325" t="str">
            <v>09</v>
          </cell>
          <cell r="E325" t="str">
            <v>APURIMAC</v>
          </cell>
          <cell r="F325" t="str">
            <v>GRAU</v>
          </cell>
          <cell r="G325" t="str">
            <v>SAN ANTONIO</v>
          </cell>
          <cell r="H325" t="str">
            <v>010328</v>
          </cell>
          <cell r="I325" t="str">
            <v>2</v>
          </cell>
        </row>
        <row r="326">
          <cell r="A326" t="str">
            <v>APURIMACGRAUSANTA ROSA</v>
          </cell>
          <cell r="B326" t="str">
            <v>03</v>
          </cell>
          <cell r="C326" t="str">
            <v>07</v>
          </cell>
          <cell r="D326" t="str">
            <v>10</v>
          </cell>
          <cell r="E326" t="str">
            <v>APURIMAC</v>
          </cell>
          <cell r="F326" t="str">
            <v>GRAU</v>
          </cell>
          <cell r="G326" t="str">
            <v>SANTA ROSA</v>
          </cell>
          <cell r="H326" t="str">
            <v>010320</v>
          </cell>
          <cell r="I326" t="str">
            <v>2</v>
          </cell>
        </row>
        <row r="327">
          <cell r="A327" t="str">
            <v>APURIMACGRAUTURPAY</v>
          </cell>
          <cell r="B327" t="str">
            <v>03</v>
          </cell>
          <cell r="C327" t="str">
            <v>07</v>
          </cell>
          <cell r="D327" t="str">
            <v>11</v>
          </cell>
          <cell r="E327" t="str">
            <v>APURIMAC</v>
          </cell>
          <cell r="F327" t="str">
            <v>GRAU</v>
          </cell>
          <cell r="G327" t="str">
            <v>TURPAY</v>
          </cell>
          <cell r="H327" t="str">
            <v>010321</v>
          </cell>
          <cell r="I327" t="str">
            <v>2</v>
          </cell>
        </row>
        <row r="328">
          <cell r="A328" t="str">
            <v>APURIMACGRAUVILCABAMBA</v>
          </cell>
          <cell r="B328" t="str">
            <v>03</v>
          </cell>
          <cell r="C328" t="str">
            <v>07</v>
          </cell>
          <cell r="D328" t="str">
            <v>12</v>
          </cell>
          <cell r="E328" t="str">
            <v>APURIMAC</v>
          </cell>
          <cell r="F328" t="str">
            <v>GRAU</v>
          </cell>
          <cell r="G328" t="str">
            <v>VILCABAMBA</v>
          </cell>
          <cell r="H328" t="str">
            <v>010329</v>
          </cell>
          <cell r="I328" t="str">
            <v>2</v>
          </cell>
        </row>
        <row r="329">
          <cell r="A329" t="str">
            <v>APURIMACGRAUVIRUNDO</v>
          </cell>
          <cell r="B329" t="str">
            <v>03</v>
          </cell>
          <cell r="C329" t="str">
            <v>07</v>
          </cell>
          <cell r="D329" t="str">
            <v>13</v>
          </cell>
          <cell r="E329" t="str">
            <v>APURIMAC</v>
          </cell>
          <cell r="F329" t="str">
            <v>GRAU</v>
          </cell>
          <cell r="G329" t="str">
            <v>VIRUNDO</v>
          </cell>
          <cell r="H329" t="str">
            <v>010322</v>
          </cell>
          <cell r="I329" t="str">
            <v>2</v>
          </cell>
        </row>
        <row r="330">
          <cell r="A330" t="str">
            <v>APURIMACGRAUCURASCO</v>
          </cell>
          <cell r="B330" t="str">
            <v>03</v>
          </cell>
          <cell r="C330" t="str">
            <v>07</v>
          </cell>
          <cell r="D330" t="str">
            <v>14</v>
          </cell>
          <cell r="E330" t="str">
            <v>APURIMAC</v>
          </cell>
          <cell r="F330" t="str">
            <v>GRAU</v>
          </cell>
          <cell r="G330" t="str">
            <v>CURASCO</v>
          </cell>
          <cell r="H330" t="str">
            <v>010330</v>
          </cell>
          <cell r="I330" t="str">
            <v>2</v>
          </cell>
        </row>
        <row r="331">
          <cell r="A331" t="str">
            <v>AREQUIPAAREQUIPAAREQUIPA</v>
          </cell>
          <cell r="B331" t="str">
            <v>04</v>
          </cell>
          <cell r="C331" t="str">
            <v>01</v>
          </cell>
          <cell r="D331" t="str">
            <v>01</v>
          </cell>
          <cell r="E331" t="str">
            <v>AREQUIPA</v>
          </cell>
          <cell r="F331" t="str">
            <v>AREQUIPA</v>
          </cell>
          <cell r="G331" t="str">
            <v>AREQUIPA</v>
          </cell>
          <cell r="H331" t="str">
            <v>010331</v>
          </cell>
          <cell r="I331" t="str">
            <v>1</v>
          </cell>
        </row>
        <row r="332">
          <cell r="A332" t="str">
            <v>AREQUIPAAREQUIPAALTO SELVA ALEGRE</v>
          </cell>
          <cell r="B332" t="str">
            <v>04</v>
          </cell>
          <cell r="C332" t="str">
            <v>01</v>
          </cell>
          <cell r="D332" t="str">
            <v>02</v>
          </cell>
          <cell r="E332" t="str">
            <v>AREQUIPA</v>
          </cell>
          <cell r="F332" t="str">
            <v>AREQUIPA</v>
          </cell>
          <cell r="G332" t="str">
            <v>ALTO SELVA ALEGRE</v>
          </cell>
          <cell r="H332" t="str">
            <v>010343</v>
          </cell>
          <cell r="I332" t="str">
            <v>2</v>
          </cell>
        </row>
        <row r="333">
          <cell r="A333" t="str">
            <v>AREQUIPAAREQUIPACAYMA</v>
          </cell>
          <cell r="B333" t="str">
            <v>04</v>
          </cell>
          <cell r="C333" t="str">
            <v>01</v>
          </cell>
          <cell r="D333" t="str">
            <v>03</v>
          </cell>
          <cell r="E333" t="str">
            <v>AREQUIPA</v>
          </cell>
          <cell r="F333" t="str">
            <v>AREQUIPA</v>
          </cell>
          <cell r="G333" t="str">
            <v>CAYMA</v>
          </cell>
          <cell r="H333" t="str">
            <v>010332</v>
          </cell>
          <cell r="I333" t="str">
            <v>2</v>
          </cell>
        </row>
        <row r="334">
          <cell r="A334" t="str">
            <v>AREQUIPAAREQUIPACERRO COLORADO</v>
          </cell>
          <cell r="B334" t="str">
            <v>04</v>
          </cell>
          <cell r="C334" t="str">
            <v>01</v>
          </cell>
          <cell r="D334" t="str">
            <v>04</v>
          </cell>
          <cell r="E334" t="str">
            <v>AREQUIPA</v>
          </cell>
          <cell r="F334" t="str">
            <v>AREQUIPA</v>
          </cell>
          <cell r="G334" t="str">
            <v>CERRO COLORADO</v>
          </cell>
          <cell r="H334" t="str">
            <v>010334</v>
          </cell>
          <cell r="I334" t="str">
            <v>2</v>
          </cell>
        </row>
        <row r="335">
          <cell r="A335" t="str">
            <v>AREQUIPAAREQUIPACHARACATO</v>
          </cell>
          <cell r="B335" t="str">
            <v>04</v>
          </cell>
          <cell r="C335" t="str">
            <v>01</v>
          </cell>
          <cell r="D335" t="str">
            <v>05</v>
          </cell>
          <cell r="E335" t="str">
            <v>AREQUIPA</v>
          </cell>
          <cell r="F335" t="str">
            <v>AREQUIPA</v>
          </cell>
          <cell r="G335" t="str">
            <v>CHARACATO</v>
          </cell>
          <cell r="H335" t="str">
            <v>010346</v>
          </cell>
          <cell r="I335" t="str">
            <v>2</v>
          </cell>
        </row>
        <row r="336">
          <cell r="A336" t="str">
            <v>AREQUIPAAREQUIPACHIGUATA</v>
          </cell>
          <cell r="B336" t="str">
            <v>04</v>
          </cell>
          <cell r="C336" t="str">
            <v>01</v>
          </cell>
          <cell r="D336" t="str">
            <v>06</v>
          </cell>
          <cell r="E336" t="str">
            <v>AREQUIPA</v>
          </cell>
          <cell r="F336" t="str">
            <v>AREQUIPA</v>
          </cell>
          <cell r="G336" t="str">
            <v>CHIGUATA</v>
          </cell>
          <cell r="H336" t="str">
            <v>010347</v>
          </cell>
          <cell r="I336" t="str">
            <v>2</v>
          </cell>
        </row>
        <row r="337">
          <cell r="A337" t="str">
            <v>AREQUIPAAREQUIPAJACOBO HUNTER</v>
          </cell>
          <cell r="B337" t="str">
            <v>04</v>
          </cell>
          <cell r="C337" t="str">
            <v>01</v>
          </cell>
          <cell r="D337" t="str">
            <v>07</v>
          </cell>
          <cell r="E337" t="str">
            <v>AREQUIPA</v>
          </cell>
          <cell r="F337" t="str">
            <v>AREQUIPA</v>
          </cell>
          <cell r="G337" t="str">
            <v>JACOBO HUNTER</v>
          </cell>
          <cell r="H337" t="str">
            <v>010339</v>
          </cell>
          <cell r="I337" t="str">
            <v>2</v>
          </cell>
        </row>
        <row r="338">
          <cell r="A338" t="str">
            <v>AREQUIPAAREQUIPALA JOYA</v>
          </cell>
          <cell r="B338" t="str">
            <v>04</v>
          </cell>
          <cell r="C338" t="str">
            <v>01</v>
          </cell>
          <cell r="D338" t="str">
            <v>08</v>
          </cell>
          <cell r="E338" t="str">
            <v>AREQUIPA</v>
          </cell>
          <cell r="F338" t="str">
            <v>AREQUIPA</v>
          </cell>
          <cell r="G338" t="str">
            <v>LA JOYA</v>
          </cell>
          <cell r="H338" t="str">
            <v>010355</v>
          </cell>
          <cell r="I338" t="str">
            <v>2</v>
          </cell>
        </row>
        <row r="339">
          <cell r="A339" t="str">
            <v>AREQUIPAAREQUIPAMARIANO MELGAR</v>
          </cell>
          <cell r="B339" t="str">
            <v>04</v>
          </cell>
          <cell r="C339" t="str">
            <v>01</v>
          </cell>
          <cell r="D339" t="str">
            <v>09</v>
          </cell>
          <cell r="E339" t="str">
            <v>AREQUIPA</v>
          </cell>
          <cell r="F339" t="str">
            <v>AREQUIPA</v>
          </cell>
          <cell r="G339" t="str">
            <v>MARIANO MELGAR</v>
          </cell>
          <cell r="H339" t="str">
            <v>010344</v>
          </cell>
          <cell r="I339" t="str">
            <v>2</v>
          </cell>
        </row>
        <row r="340">
          <cell r="A340" t="str">
            <v>AREQUIPAAREQUIPAMIRAFLORES</v>
          </cell>
          <cell r="B340" t="str">
            <v>04</v>
          </cell>
          <cell r="C340" t="str">
            <v>01</v>
          </cell>
          <cell r="D340" t="str">
            <v>10</v>
          </cell>
          <cell r="E340" t="str">
            <v>AREQUIPA</v>
          </cell>
          <cell r="F340" t="str">
            <v>AREQUIPA</v>
          </cell>
          <cell r="G340" t="str">
            <v>MIRAFLORES</v>
          </cell>
          <cell r="H340" t="str">
            <v>010345</v>
          </cell>
          <cell r="I340" t="str">
            <v>2</v>
          </cell>
        </row>
        <row r="341">
          <cell r="A341" t="str">
            <v>AREQUIPAAREQUIPAMOLLEBAYA</v>
          </cell>
          <cell r="B341" t="str">
            <v>04</v>
          </cell>
          <cell r="C341" t="str">
            <v>01</v>
          </cell>
          <cell r="D341" t="str">
            <v>11</v>
          </cell>
          <cell r="E341" t="str">
            <v>AREQUIPA</v>
          </cell>
          <cell r="F341" t="str">
            <v>AREQUIPA</v>
          </cell>
          <cell r="G341" t="str">
            <v>MOLLEBAYA</v>
          </cell>
          <cell r="H341" t="str">
            <v>010348</v>
          </cell>
          <cell r="I341" t="str">
            <v>2</v>
          </cell>
        </row>
        <row r="342">
          <cell r="A342" t="str">
            <v>AREQUIPAAREQUIPAPAUCARPATA</v>
          </cell>
          <cell r="B342" t="str">
            <v>04</v>
          </cell>
          <cell r="C342" t="str">
            <v>01</v>
          </cell>
          <cell r="D342" t="str">
            <v>12</v>
          </cell>
          <cell r="E342" t="str">
            <v>AREQUIPA</v>
          </cell>
          <cell r="F342" t="str">
            <v>AREQUIPA</v>
          </cell>
          <cell r="G342" t="str">
            <v>PAUCARPATA</v>
          </cell>
          <cell r="H342" t="str">
            <v>010340</v>
          </cell>
          <cell r="I342" t="str">
            <v>2</v>
          </cell>
        </row>
        <row r="343">
          <cell r="A343" t="str">
            <v>AREQUIPAAREQUIPAPOCSI</v>
          </cell>
          <cell r="B343" t="str">
            <v>04</v>
          </cell>
          <cell r="C343" t="str">
            <v>01</v>
          </cell>
          <cell r="D343" t="str">
            <v>13</v>
          </cell>
          <cell r="E343" t="str">
            <v>AREQUIPA</v>
          </cell>
          <cell r="F343" t="str">
            <v>AREQUIPA</v>
          </cell>
          <cell r="G343" t="str">
            <v>POCSI</v>
          </cell>
          <cell r="H343" t="str">
            <v>010349</v>
          </cell>
          <cell r="I343" t="str">
            <v>2</v>
          </cell>
        </row>
        <row r="344">
          <cell r="A344" t="str">
            <v>AREQUIPAAREQUIPAPOLOBAYA</v>
          </cell>
          <cell r="B344" t="str">
            <v>04</v>
          </cell>
          <cell r="C344" t="str">
            <v>01</v>
          </cell>
          <cell r="D344" t="str">
            <v>14</v>
          </cell>
          <cell r="E344" t="str">
            <v>AREQUIPA</v>
          </cell>
          <cell r="F344" t="str">
            <v>AREQUIPA</v>
          </cell>
          <cell r="G344" t="str">
            <v>POLOBAYA</v>
          </cell>
          <cell r="H344" t="str">
            <v>010350</v>
          </cell>
          <cell r="I344" t="str">
            <v>2</v>
          </cell>
        </row>
        <row r="345">
          <cell r="A345" t="str">
            <v>AREQUIPAAREQUIPAQUEQUEÑA</v>
          </cell>
          <cell r="B345" t="str">
            <v>04</v>
          </cell>
          <cell r="C345" t="str">
            <v>01</v>
          </cell>
          <cell r="D345" t="str">
            <v>15</v>
          </cell>
          <cell r="E345" t="str">
            <v>AREQUIPA</v>
          </cell>
          <cell r="F345" t="str">
            <v>AREQUIPA</v>
          </cell>
          <cell r="G345" t="str">
            <v>QUEQUEÑA</v>
          </cell>
          <cell r="H345" t="str">
            <v>010351</v>
          </cell>
          <cell r="I345" t="str">
            <v>2</v>
          </cell>
        </row>
        <row r="346">
          <cell r="A346" t="str">
            <v>AREQUIPAAREQUIPASABANDIA</v>
          </cell>
          <cell r="B346" t="str">
            <v>04</v>
          </cell>
          <cell r="C346" t="str">
            <v>01</v>
          </cell>
          <cell r="D346" t="str">
            <v>16</v>
          </cell>
          <cell r="E346" t="str">
            <v>AREQUIPA</v>
          </cell>
          <cell r="F346" t="str">
            <v>AREQUIPA</v>
          </cell>
          <cell r="G346" t="str">
            <v>SABANDIA</v>
          </cell>
          <cell r="H346" t="str">
            <v>010352</v>
          </cell>
          <cell r="I346" t="str">
            <v>2</v>
          </cell>
        </row>
        <row r="347">
          <cell r="A347" t="str">
            <v>AREQUIPAAREQUIPASACHACA</v>
          </cell>
          <cell r="B347" t="str">
            <v>04</v>
          </cell>
          <cell r="C347" t="str">
            <v>01</v>
          </cell>
          <cell r="D347" t="str">
            <v>17</v>
          </cell>
          <cell r="E347" t="str">
            <v>AREQUIPA</v>
          </cell>
          <cell r="F347" t="str">
            <v>AREQUIPA</v>
          </cell>
          <cell r="G347" t="str">
            <v>SACHACA</v>
          </cell>
          <cell r="H347" t="str">
            <v>010336</v>
          </cell>
          <cell r="I347" t="str">
            <v>2</v>
          </cell>
        </row>
        <row r="348">
          <cell r="A348" t="str">
            <v>AREQUIPAAREQUIPASAN JUAN DE SIGUAS</v>
          </cell>
          <cell r="B348" t="str">
            <v>04</v>
          </cell>
          <cell r="C348" t="str">
            <v>01</v>
          </cell>
          <cell r="D348" t="str">
            <v>18</v>
          </cell>
          <cell r="E348" t="str">
            <v>AREQUIPA</v>
          </cell>
          <cell r="F348" t="str">
            <v>AREQUIPA</v>
          </cell>
          <cell r="G348" t="str">
            <v>SAN JUAN DE SIGUAS</v>
          </cell>
          <cell r="H348" t="str">
            <v>010418</v>
          </cell>
          <cell r="I348" t="str">
            <v>2</v>
          </cell>
        </row>
        <row r="349">
          <cell r="A349" t="str">
            <v>AREQUIPAAREQUIPASAN JUAN DE TARUCANI</v>
          </cell>
          <cell r="B349" t="str">
            <v>04</v>
          </cell>
          <cell r="C349" t="str">
            <v>01</v>
          </cell>
          <cell r="D349" t="str">
            <v>19</v>
          </cell>
          <cell r="E349" t="str">
            <v>AREQUIPA</v>
          </cell>
          <cell r="F349" t="str">
            <v>AREQUIPA</v>
          </cell>
          <cell r="G349" t="str">
            <v>SAN JUAN DE TARUCANI</v>
          </cell>
          <cell r="H349" t="str">
            <v>010353</v>
          </cell>
          <cell r="I349" t="str">
            <v>2</v>
          </cell>
        </row>
        <row r="350">
          <cell r="A350" t="str">
            <v>AREQUIPAAREQUIPASANTA ISABEL DE SIGUAS</v>
          </cell>
          <cell r="B350" t="str">
            <v>04</v>
          </cell>
          <cell r="C350" t="str">
            <v>01</v>
          </cell>
          <cell r="D350" t="str">
            <v>20</v>
          </cell>
          <cell r="E350" t="str">
            <v>AREQUIPA</v>
          </cell>
          <cell r="F350" t="str">
            <v>AREQUIPA</v>
          </cell>
          <cell r="G350" t="str">
            <v>SANTA ISABEL DE SIGUAS</v>
          </cell>
          <cell r="H350" t="str">
            <v>010357</v>
          </cell>
          <cell r="I350" t="str">
            <v>2</v>
          </cell>
        </row>
        <row r="351">
          <cell r="A351" t="str">
            <v>AREQUIPAAREQUIPASANTA RITA DE SIGUAS</v>
          </cell>
          <cell r="B351" t="str">
            <v>04</v>
          </cell>
          <cell r="C351" t="str">
            <v>01</v>
          </cell>
          <cell r="D351" t="str">
            <v>21</v>
          </cell>
          <cell r="E351" t="str">
            <v>AREQUIPA</v>
          </cell>
          <cell r="F351" t="str">
            <v>AREQUIPA</v>
          </cell>
          <cell r="G351" t="str">
            <v>SANTA RITA DE SIGUAS</v>
          </cell>
          <cell r="H351" t="str">
            <v>010358</v>
          </cell>
          <cell r="I351" t="str">
            <v>2</v>
          </cell>
        </row>
        <row r="352">
          <cell r="A352" t="str">
            <v>AREQUIPAAREQUIPASOCABAYA</v>
          </cell>
          <cell r="B352" t="str">
            <v>04</v>
          </cell>
          <cell r="C352" t="str">
            <v>01</v>
          </cell>
          <cell r="D352" t="str">
            <v>22</v>
          </cell>
          <cell r="E352" t="str">
            <v>AREQUIPA</v>
          </cell>
          <cell r="F352" t="str">
            <v>AREQUIPA</v>
          </cell>
          <cell r="G352" t="str">
            <v>SOCABAYA</v>
          </cell>
          <cell r="H352" t="str">
            <v>010341</v>
          </cell>
          <cell r="I352" t="str">
            <v>2</v>
          </cell>
        </row>
        <row r="353">
          <cell r="A353" t="str">
            <v>AREQUIPAAREQUIPATIABAYA</v>
          </cell>
          <cell r="B353" t="str">
            <v>04</v>
          </cell>
          <cell r="C353" t="str">
            <v>01</v>
          </cell>
          <cell r="D353" t="str">
            <v>23</v>
          </cell>
          <cell r="E353" t="str">
            <v>AREQUIPA</v>
          </cell>
          <cell r="F353" t="str">
            <v>AREQUIPA</v>
          </cell>
          <cell r="G353" t="str">
            <v>TIABAYA</v>
          </cell>
          <cell r="H353" t="str">
            <v>010337</v>
          </cell>
          <cell r="I353" t="str">
            <v>2</v>
          </cell>
        </row>
        <row r="354">
          <cell r="A354" t="str">
            <v>AREQUIPAAREQUIPAUCHUMAYO</v>
          </cell>
          <cell r="B354" t="str">
            <v>04</v>
          </cell>
          <cell r="C354" t="str">
            <v>01</v>
          </cell>
          <cell r="D354" t="str">
            <v>24</v>
          </cell>
          <cell r="E354" t="str">
            <v>AREQUIPA</v>
          </cell>
          <cell r="F354" t="str">
            <v>AREQUIPA</v>
          </cell>
          <cell r="G354" t="str">
            <v>UCHUMAYO</v>
          </cell>
          <cell r="H354" t="str">
            <v>010338</v>
          </cell>
          <cell r="I354" t="str">
            <v>2</v>
          </cell>
        </row>
        <row r="355">
          <cell r="A355" t="str">
            <v>AREQUIPAAREQUIPAVITOR</v>
          </cell>
          <cell r="B355" t="str">
            <v>04</v>
          </cell>
          <cell r="C355" t="str">
            <v>01</v>
          </cell>
          <cell r="D355" t="str">
            <v>25</v>
          </cell>
          <cell r="E355" t="str">
            <v>AREQUIPA</v>
          </cell>
          <cell r="F355" t="str">
            <v>AREQUIPA</v>
          </cell>
          <cell r="G355" t="str">
            <v>VITOR</v>
          </cell>
          <cell r="H355" t="str">
            <v>010359</v>
          </cell>
          <cell r="I355" t="str">
            <v>2</v>
          </cell>
        </row>
        <row r="356">
          <cell r="A356" t="str">
            <v>AREQUIPAAREQUIPAYANAHUARA</v>
          </cell>
          <cell r="B356" t="str">
            <v>04</v>
          </cell>
          <cell r="C356" t="str">
            <v>01</v>
          </cell>
          <cell r="D356" t="str">
            <v>26</v>
          </cell>
          <cell r="E356" t="str">
            <v>AREQUIPA</v>
          </cell>
          <cell r="F356" t="str">
            <v>AREQUIPA</v>
          </cell>
          <cell r="G356" t="str">
            <v>YANAHUARA</v>
          </cell>
          <cell r="H356" t="str">
            <v>010333</v>
          </cell>
          <cell r="I356" t="str">
            <v>2</v>
          </cell>
        </row>
        <row r="357">
          <cell r="A357" t="str">
            <v>AREQUIPAAREQUIPAYARABAMBA</v>
          </cell>
          <cell r="B357" t="str">
            <v>04</v>
          </cell>
          <cell r="C357" t="str">
            <v>01</v>
          </cell>
          <cell r="D357" t="str">
            <v>27</v>
          </cell>
          <cell r="E357" t="str">
            <v>AREQUIPA</v>
          </cell>
          <cell r="F357" t="str">
            <v>AREQUIPA</v>
          </cell>
          <cell r="G357" t="str">
            <v>YARABAMBA</v>
          </cell>
          <cell r="H357" t="str">
            <v>010354</v>
          </cell>
          <cell r="I357" t="str">
            <v>2</v>
          </cell>
        </row>
        <row r="358">
          <cell r="A358" t="str">
            <v>AREQUIPAAREQUIPAYURA</v>
          </cell>
          <cell r="B358" t="str">
            <v>04</v>
          </cell>
          <cell r="C358" t="str">
            <v>01</v>
          </cell>
          <cell r="D358" t="str">
            <v>28</v>
          </cell>
          <cell r="E358" t="str">
            <v>AREQUIPA</v>
          </cell>
          <cell r="F358" t="str">
            <v>AREQUIPA</v>
          </cell>
          <cell r="G358" t="str">
            <v>YURA</v>
          </cell>
          <cell r="H358" t="str">
            <v>010335</v>
          </cell>
          <cell r="I358" t="str">
            <v>2</v>
          </cell>
        </row>
        <row r="359">
          <cell r="A359" t="str">
            <v>AREQUIPAAREQUIPAJOSE LUIS BUSTAMANTE Y RIVERO</v>
          </cell>
          <cell r="B359" t="str">
            <v>04</v>
          </cell>
          <cell r="C359" t="str">
            <v>01</v>
          </cell>
          <cell r="D359" t="str">
            <v>29</v>
          </cell>
          <cell r="E359" t="str">
            <v>AREQUIPA</v>
          </cell>
          <cell r="F359" t="str">
            <v>AREQUIPA</v>
          </cell>
          <cell r="G359" t="str">
            <v>JOSE LUIS BUSTAMANTE Y RIVERO</v>
          </cell>
          <cell r="H359" t="str">
            <v>010342</v>
          </cell>
          <cell r="I359" t="str">
            <v>2</v>
          </cell>
        </row>
        <row r="360">
          <cell r="A360" t="str">
            <v>AREQUIPACAMANACAMANA</v>
          </cell>
          <cell r="B360" t="str">
            <v>04</v>
          </cell>
          <cell r="C360" t="str">
            <v>02</v>
          </cell>
          <cell r="D360" t="str">
            <v>01</v>
          </cell>
          <cell r="E360" t="str">
            <v>AREQUIPA</v>
          </cell>
          <cell r="F360" t="str">
            <v>CAMANA</v>
          </cell>
          <cell r="G360" t="str">
            <v>CAMANA</v>
          </cell>
          <cell r="H360" t="str">
            <v>010361</v>
          </cell>
          <cell r="I360" t="str">
            <v>1</v>
          </cell>
        </row>
        <row r="361">
          <cell r="A361" t="str">
            <v>AREQUIPACAMANAJOSE MARIA QUIMPER</v>
          </cell>
          <cell r="B361" t="str">
            <v>04</v>
          </cell>
          <cell r="C361" t="str">
            <v>02</v>
          </cell>
          <cell r="D361" t="str">
            <v>02</v>
          </cell>
          <cell r="E361" t="str">
            <v>AREQUIPA</v>
          </cell>
          <cell r="F361" t="str">
            <v>CAMANA</v>
          </cell>
          <cell r="G361" t="str">
            <v>JOSE MARIA QUIMPER</v>
          </cell>
          <cell r="H361" t="str">
            <v>010362</v>
          </cell>
          <cell r="I361" t="str">
            <v>2</v>
          </cell>
        </row>
        <row r="362">
          <cell r="A362" t="str">
            <v>AREQUIPACAMANAMARIANO NICOLAS VALCARCEL</v>
          </cell>
          <cell r="B362" t="str">
            <v>04</v>
          </cell>
          <cell r="C362" t="str">
            <v>02</v>
          </cell>
          <cell r="D362" t="str">
            <v>03</v>
          </cell>
          <cell r="E362" t="str">
            <v>AREQUIPA</v>
          </cell>
          <cell r="F362" t="str">
            <v>CAMANA</v>
          </cell>
          <cell r="G362" t="str">
            <v>MARIANO NICOLAS VALCARCEL</v>
          </cell>
          <cell r="H362" t="str">
            <v>010363</v>
          </cell>
          <cell r="I362" t="str">
            <v>2</v>
          </cell>
        </row>
        <row r="363">
          <cell r="A363" t="str">
            <v>AREQUIPACAMANAMARISCAL CACERES</v>
          </cell>
          <cell r="B363" t="str">
            <v>04</v>
          </cell>
          <cell r="C363" t="str">
            <v>02</v>
          </cell>
          <cell r="D363" t="str">
            <v>04</v>
          </cell>
          <cell r="E363" t="str">
            <v>AREQUIPA</v>
          </cell>
          <cell r="F363" t="str">
            <v>CAMANA</v>
          </cell>
          <cell r="G363" t="str">
            <v>MARISCAL CACERES</v>
          </cell>
          <cell r="H363" t="str">
            <v>010364</v>
          </cell>
          <cell r="I363" t="str">
            <v>2</v>
          </cell>
        </row>
        <row r="364">
          <cell r="A364" t="str">
            <v>AREQUIPACAMANANICOLAS DE PIEROLA</v>
          </cell>
          <cell r="B364" t="str">
            <v>04</v>
          </cell>
          <cell r="C364" t="str">
            <v>02</v>
          </cell>
          <cell r="D364" t="str">
            <v>05</v>
          </cell>
          <cell r="E364" t="str">
            <v>AREQUIPA</v>
          </cell>
          <cell r="F364" t="str">
            <v>CAMANA</v>
          </cell>
          <cell r="G364" t="str">
            <v>NICOLAS DE PIEROLA</v>
          </cell>
          <cell r="H364" t="str">
            <v>010365</v>
          </cell>
          <cell r="I364" t="str">
            <v>2</v>
          </cell>
        </row>
        <row r="365">
          <cell r="A365" t="str">
            <v>AREQUIPACAMANAOCOÑA</v>
          </cell>
          <cell r="B365" t="str">
            <v>04</v>
          </cell>
          <cell r="C365" t="str">
            <v>02</v>
          </cell>
          <cell r="D365" t="str">
            <v>06</v>
          </cell>
          <cell r="E365" t="str">
            <v>AREQUIPA</v>
          </cell>
          <cell r="F365" t="str">
            <v>CAMANA</v>
          </cell>
          <cell r="G365" t="str">
            <v>OCOÑA</v>
          </cell>
          <cell r="H365" t="str">
            <v>010366</v>
          </cell>
          <cell r="I365" t="str">
            <v>2</v>
          </cell>
        </row>
        <row r="366">
          <cell r="A366" t="str">
            <v>AREQUIPACAMANAQUILCA</v>
          </cell>
          <cell r="B366" t="str">
            <v>04</v>
          </cell>
          <cell r="C366" t="str">
            <v>02</v>
          </cell>
          <cell r="D366" t="str">
            <v>07</v>
          </cell>
          <cell r="E366" t="str">
            <v>AREQUIPA</v>
          </cell>
          <cell r="F366" t="str">
            <v>CAMANA</v>
          </cell>
          <cell r="G366" t="str">
            <v>QUILCA</v>
          </cell>
          <cell r="H366" t="str">
            <v>010367</v>
          </cell>
          <cell r="I366" t="str">
            <v>2</v>
          </cell>
        </row>
        <row r="367">
          <cell r="A367" t="str">
            <v>AREQUIPACAMANASAMUEL PASTOR</v>
          </cell>
          <cell r="B367" t="str">
            <v>04</v>
          </cell>
          <cell r="C367" t="str">
            <v>02</v>
          </cell>
          <cell r="D367" t="str">
            <v>08</v>
          </cell>
          <cell r="E367" t="str">
            <v>AREQUIPA</v>
          </cell>
          <cell r="F367" t="str">
            <v>CAMANA</v>
          </cell>
          <cell r="G367" t="str">
            <v>SAMUEL PASTOR</v>
          </cell>
          <cell r="H367" t="str">
            <v>010368</v>
          </cell>
          <cell r="I367" t="str">
            <v>2</v>
          </cell>
        </row>
        <row r="368">
          <cell r="A368" t="str">
            <v>AREQUIPACARAVELICARAVELI</v>
          </cell>
          <cell r="B368" t="str">
            <v>04</v>
          </cell>
          <cell r="C368" t="str">
            <v>03</v>
          </cell>
          <cell r="D368" t="str">
            <v>01</v>
          </cell>
          <cell r="E368" t="str">
            <v>AREQUIPA</v>
          </cell>
          <cell r="F368" t="str">
            <v>CARAVELI</v>
          </cell>
          <cell r="G368" t="str">
            <v>CARAVELI</v>
          </cell>
          <cell r="H368" t="str">
            <v>010369</v>
          </cell>
          <cell r="I368" t="str">
            <v>1</v>
          </cell>
        </row>
        <row r="369">
          <cell r="A369" t="str">
            <v>AREQUIPACARAVELIACARI</v>
          </cell>
          <cell r="B369" t="str">
            <v>04</v>
          </cell>
          <cell r="C369" t="str">
            <v>03</v>
          </cell>
          <cell r="D369" t="str">
            <v>02</v>
          </cell>
          <cell r="E369" t="str">
            <v>AREQUIPA</v>
          </cell>
          <cell r="F369" t="str">
            <v>CARAVELI</v>
          </cell>
          <cell r="G369" t="str">
            <v>ACARI</v>
          </cell>
          <cell r="H369" t="str">
            <v>010370</v>
          </cell>
          <cell r="I369" t="str">
            <v>2</v>
          </cell>
        </row>
        <row r="370">
          <cell r="A370" t="str">
            <v>AREQUIPACARAVELIATICO</v>
          </cell>
          <cell r="B370" t="str">
            <v>04</v>
          </cell>
          <cell r="C370" t="str">
            <v>03</v>
          </cell>
          <cell r="D370" t="str">
            <v>03</v>
          </cell>
          <cell r="E370" t="str">
            <v>AREQUIPA</v>
          </cell>
          <cell r="F370" t="str">
            <v>CARAVELI</v>
          </cell>
          <cell r="G370" t="str">
            <v>ATICO</v>
          </cell>
          <cell r="H370" t="str">
            <v>010371</v>
          </cell>
          <cell r="I370" t="str">
            <v>2</v>
          </cell>
        </row>
        <row r="371">
          <cell r="A371" t="str">
            <v>AREQUIPACARAVELIATIQUIPA</v>
          </cell>
          <cell r="B371" t="str">
            <v>04</v>
          </cell>
          <cell r="C371" t="str">
            <v>03</v>
          </cell>
          <cell r="D371" t="str">
            <v>04</v>
          </cell>
          <cell r="E371" t="str">
            <v>AREQUIPA</v>
          </cell>
          <cell r="F371" t="str">
            <v>CARAVELI</v>
          </cell>
          <cell r="G371" t="str">
            <v>ATIQUIPA</v>
          </cell>
          <cell r="H371" t="str">
            <v>010372</v>
          </cell>
          <cell r="I371" t="str">
            <v>2</v>
          </cell>
        </row>
        <row r="372">
          <cell r="A372" t="str">
            <v>AREQUIPACARAVELIBELLA UNION</v>
          </cell>
          <cell r="B372" t="str">
            <v>04</v>
          </cell>
          <cell r="C372" t="str">
            <v>03</v>
          </cell>
          <cell r="D372" t="str">
            <v>05</v>
          </cell>
          <cell r="E372" t="str">
            <v>AREQUIPA</v>
          </cell>
          <cell r="F372" t="str">
            <v>CARAVELI</v>
          </cell>
          <cell r="G372" t="str">
            <v>BELLA UNION</v>
          </cell>
          <cell r="H372" t="str">
            <v>010373</v>
          </cell>
          <cell r="I372" t="str">
            <v>2</v>
          </cell>
        </row>
        <row r="373">
          <cell r="A373" t="str">
            <v>AREQUIPACARAVELICAHUACHO</v>
          </cell>
          <cell r="B373" t="str">
            <v>04</v>
          </cell>
          <cell r="C373" t="str">
            <v>03</v>
          </cell>
          <cell r="D373" t="str">
            <v>06</v>
          </cell>
          <cell r="E373" t="str">
            <v>AREQUIPA</v>
          </cell>
          <cell r="F373" t="str">
            <v>CARAVELI</v>
          </cell>
          <cell r="G373" t="str">
            <v>CAHUACHO</v>
          </cell>
          <cell r="H373" t="str">
            <v>010374</v>
          </cell>
          <cell r="I373" t="str">
            <v>2</v>
          </cell>
        </row>
        <row r="374">
          <cell r="A374" t="str">
            <v>AREQUIPACARAVELICHALA</v>
          </cell>
          <cell r="B374" t="str">
            <v>04</v>
          </cell>
          <cell r="C374" t="str">
            <v>03</v>
          </cell>
          <cell r="D374" t="str">
            <v>07</v>
          </cell>
          <cell r="E374" t="str">
            <v>AREQUIPA</v>
          </cell>
          <cell r="F374" t="str">
            <v>CARAVELI</v>
          </cell>
          <cell r="G374" t="str">
            <v>CHALA</v>
          </cell>
          <cell r="H374" t="str">
            <v>011951</v>
          </cell>
          <cell r="I374" t="str">
            <v>2</v>
          </cell>
        </row>
        <row r="375">
          <cell r="A375" t="str">
            <v>AREQUIPACARAVELICHAPARRA</v>
          </cell>
          <cell r="B375" t="str">
            <v>04</v>
          </cell>
          <cell r="C375" t="str">
            <v>03</v>
          </cell>
          <cell r="D375" t="str">
            <v>08</v>
          </cell>
          <cell r="E375" t="str">
            <v>AREQUIPA</v>
          </cell>
          <cell r="F375" t="str">
            <v>CARAVELI</v>
          </cell>
          <cell r="G375" t="str">
            <v>CHAPARRA</v>
          </cell>
          <cell r="H375" t="str">
            <v>010376</v>
          </cell>
          <cell r="I375" t="str">
            <v>2</v>
          </cell>
        </row>
        <row r="376">
          <cell r="A376" t="str">
            <v>AREQUIPACARAVELIHUANUHUANU</v>
          </cell>
          <cell r="B376" t="str">
            <v>04</v>
          </cell>
          <cell r="C376" t="str">
            <v>03</v>
          </cell>
          <cell r="D376" t="str">
            <v>09</v>
          </cell>
          <cell r="E376" t="str">
            <v>AREQUIPA</v>
          </cell>
          <cell r="F376" t="str">
            <v>CARAVELI</v>
          </cell>
          <cell r="G376" t="str">
            <v>HUANUHUANU</v>
          </cell>
          <cell r="H376" t="str">
            <v>010377</v>
          </cell>
          <cell r="I376" t="str">
            <v>2</v>
          </cell>
        </row>
        <row r="377">
          <cell r="A377" t="str">
            <v>AREQUIPACARAVELIJAQUI</v>
          </cell>
          <cell r="B377" t="str">
            <v>04</v>
          </cell>
          <cell r="C377" t="str">
            <v>03</v>
          </cell>
          <cell r="D377" t="str">
            <v>10</v>
          </cell>
          <cell r="E377" t="str">
            <v>AREQUIPA</v>
          </cell>
          <cell r="F377" t="str">
            <v>CARAVELI</v>
          </cell>
          <cell r="G377" t="str">
            <v>JAQUI</v>
          </cell>
          <cell r="H377" t="str">
            <v>010378</v>
          </cell>
          <cell r="I377" t="str">
            <v>2</v>
          </cell>
        </row>
        <row r="378">
          <cell r="A378" t="str">
            <v>AREQUIPACARAVELILOMAS</v>
          </cell>
          <cell r="B378" t="str">
            <v>04</v>
          </cell>
          <cell r="C378" t="str">
            <v>03</v>
          </cell>
          <cell r="D378" t="str">
            <v>11</v>
          </cell>
          <cell r="E378" t="str">
            <v>AREQUIPA</v>
          </cell>
          <cell r="F378" t="str">
            <v>CARAVELI</v>
          </cell>
          <cell r="G378" t="str">
            <v>LOMAS</v>
          </cell>
          <cell r="H378" t="str">
            <v>010379</v>
          </cell>
          <cell r="I378" t="str">
            <v>2</v>
          </cell>
        </row>
        <row r="379">
          <cell r="A379" t="str">
            <v>AREQUIPACARAVELIQUICACHA</v>
          </cell>
          <cell r="B379" t="str">
            <v>04</v>
          </cell>
          <cell r="C379" t="str">
            <v>03</v>
          </cell>
          <cell r="D379" t="str">
            <v>12</v>
          </cell>
          <cell r="E379" t="str">
            <v>AREQUIPA</v>
          </cell>
          <cell r="F379" t="str">
            <v>CARAVELI</v>
          </cell>
          <cell r="G379" t="str">
            <v>QUICACHA</v>
          </cell>
          <cell r="H379" t="str">
            <v>010380</v>
          </cell>
          <cell r="I379" t="str">
            <v>2</v>
          </cell>
        </row>
        <row r="380">
          <cell r="A380" t="str">
            <v>AREQUIPACARAVELIYAUCA</v>
          </cell>
          <cell r="B380" t="str">
            <v>04</v>
          </cell>
          <cell r="C380" t="str">
            <v>03</v>
          </cell>
          <cell r="D380" t="str">
            <v>13</v>
          </cell>
          <cell r="E380" t="str">
            <v>AREQUIPA</v>
          </cell>
          <cell r="F380" t="str">
            <v>CARAVELI</v>
          </cell>
          <cell r="G380" t="str">
            <v>YAUCA</v>
          </cell>
          <cell r="H380" t="str">
            <v>010381</v>
          </cell>
          <cell r="I380" t="str">
            <v>2</v>
          </cell>
        </row>
        <row r="381">
          <cell r="A381" t="str">
            <v>AREQUIPACASTILLAAPLAO</v>
          </cell>
          <cell r="B381" t="str">
            <v>04</v>
          </cell>
          <cell r="C381" t="str">
            <v>04</v>
          </cell>
          <cell r="D381" t="str">
            <v>01</v>
          </cell>
          <cell r="E381" t="str">
            <v>AREQUIPA</v>
          </cell>
          <cell r="F381" t="str">
            <v>CASTILLA</v>
          </cell>
          <cell r="G381" t="str">
            <v>APLAO</v>
          </cell>
          <cell r="H381" t="str">
            <v>012461</v>
          </cell>
          <cell r="I381" t="str">
            <v>1</v>
          </cell>
        </row>
        <row r="382">
          <cell r="A382" t="str">
            <v>AREQUIPACASTILLAANDAGUA</v>
          </cell>
          <cell r="B382" t="str">
            <v>04</v>
          </cell>
          <cell r="C382" t="str">
            <v>04</v>
          </cell>
          <cell r="D382" t="str">
            <v>02</v>
          </cell>
          <cell r="E382" t="str">
            <v>AREQUIPA</v>
          </cell>
          <cell r="F382" t="str">
            <v>CASTILLA</v>
          </cell>
          <cell r="G382" t="str">
            <v>ANDAGUA</v>
          </cell>
          <cell r="H382" t="str">
            <v>010383</v>
          </cell>
          <cell r="I382" t="str">
            <v>2</v>
          </cell>
        </row>
        <row r="383">
          <cell r="A383" t="str">
            <v>AREQUIPACASTILLAAYO</v>
          </cell>
          <cell r="B383" t="str">
            <v>04</v>
          </cell>
          <cell r="C383" t="str">
            <v>04</v>
          </cell>
          <cell r="D383" t="str">
            <v>03</v>
          </cell>
          <cell r="E383" t="str">
            <v>AREQUIPA</v>
          </cell>
          <cell r="F383" t="str">
            <v>CASTILLA</v>
          </cell>
          <cell r="G383" t="str">
            <v>AYO</v>
          </cell>
          <cell r="H383" t="str">
            <v>010384</v>
          </cell>
          <cell r="I383" t="str">
            <v>2</v>
          </cell>
        </row>
        <row r="384">
          <cell r="A384" t="str">
            <v>AREQUIPACASTILLACHACHAS</v>
          </cell>
          <cell r="B384" t="str">
            <v>04</v>
          </cell>
          <cell r="C384" t="str">
            <v>04</v>
          </cell>
          <cell r="D384" t="str">
            <v>04</v>
          </cell>
          <cell r="E384" t="str">
            <v>AREQUIPA</v>
          </cell>
          <cell r="F384" t="str">
            <v>CASTILLA</v>
          </cell>
          <cell r="G384" t="str">
            <v>CHACHAS</v>
          </cell>
          <cell r="H384" t="str">
            <v>010385</v>
          </cell>
          <cell r="I384" t="str">
            <v>2</v>
          </cell>
        </row>
        <row r="385">
          <cell r="A385" t="str">
            <v>AREQUIPACASTILLACHILCAYMARCA</v>
          </cell>
          <cell r="B385" t="str">
            <v>04</v>
          </cell>
          <cell r="C385" t="str">
            <v>04</v>
          </cell>
          <cell r="D385" t="str">
            <v>05</v>
          </cell>
          <cell r="E385" t="str">
            <v>AREQUIPA</v>
          </cell>
          <cell r="F385" t="str">
            <v>CASTILLA</v>
          </cell>
          <cell r="G385" t="str">
            <v>CHILCAYMARCA</v>
          </cell>
          <cell r="H385" t="str">
            <v>010386</v>
          </cell>
          <cell r="I385" t="str">
            <v>2</v>
          </cell>
        </row>
        <row r="386">
          <cell r="A386" t="str">
            <v>AREQUIPACASTILLACHOCO</v>
          </cell>
          <cell r="B386" t="str">
            <v>04</v>
          </cell>
          <cell r="C386" t="str">
            <v>04</v>
          </cell>
          <cell r="D386" t="str">
            <v>06</v>
          </cell>
          <cell r="E386" t="str">
            <v>AREQUIPA</v>
          </cell>
          <cell r="F386" t="str">
            <v>CASTILLA</v>
          </cell>
          <cell r="G386" t="str">
            <v>CHOCO</v>
          </cell>
          <cell r="H386" t="str">
            <v>010395</v>
          </cell>
          <cell r="I386" t="str">
            <v>2</v>
          </cell>
        </row>
        <row r="387">
          <cell r="A387" t="str">
            <v>AREQUIPACASTILLAHUANCARQUI</v>
          </cell>
          <cell r="B387" t="str">
            <v>04</v>
          </cell>
          <cell r="C387" t="str">
            <v>04</v>
          </cell>
          <cell r="D387" t="str">
            <v>07</v>
          </cell>
          <cell r="E387" t="str">
            <v>AREQUIPA</v>
          </cell>
          <cell r="F387" t="str">
            <v>CASTILLA</v>
          </cell>
          <cell r="G387" t="str">
            <v>HUANCARQUI</v>
          </cell>
          <cell r="H387" t="str">
            <v>010387</v>
          </cell>
          <cell r="I387" t="str">
            <v>2</v>
          </cell>
        </row>
        <row r="388">
          <cell r="A388" t="str">
            <v>AREQUIPACASTILLAMACHAGUAY</v>
          </cell>
          <cell r="B388" t="str">
            <v>04</v>
          </cell>
          <cell r="C388" t="str">
            <v>04</v>
          </cell>
          <cell r="D388" t="str">
            <v>08</v>
          </cell>
          <cell r="E388" t="str">
            <v>AREQUIPA</v>
          </cell>
          <cell r="F388" t="str">
            <v>CASTILLA</v>
          </cell>
          <cell r="G388" t="str">
            <v>MACHAGUAY</v>
          </cell>
          <cell r="H388" t="str">
            <v>010388</v>
          </cell>
          <cell r="I388" t="str">
            <v>2</v>
          </cell>
        </row>
        <row r="389">
          <cell r="A389" t="str">
            <v>AREQUIPACASTILLAORCOPAMPA</v>
          </cell>
          <cell r="B389" t="str">
            <v>04</v>
          </cell>
          <cell r="C389" t="str">
            <v>04</v>
          </cell>
          <cell r="D389" t="str">
            <v>09</v>
          </cell>
          <cell r="E389" t="str">
            <v>AREQUIPA</v>
          </cell>
          <cell r="F389" t="str">
            <v>CASTILLA</v>
          </cell>
          <cell r="G389" t="str">
            <v>ORCOPAMPA</v>
          </cell>
          <cell r="H389" t="str">
            <v>010389</v>
          </cell>
          <cell r="I389" t="str">
            <v>2</v>
          </cell>
        </row>
        <row r="390">
          <cell r="A390" t="str">
            <v>AREQUIPACASTILLAPAMPACOLCA</v>
          </cell>
          <cell r="B390" t="str">
            <v>04</v>
          </cell>
          <cell r="C390" t="str">
            <v>04</v>
          </cell>
          <cell r="D390" t="str">
            <v>10</v>
          </cell>
          <cell r="E390" t="str">
            <v>AREQUIPA</v>
          </cell>
          <cell r="F390" t="str">
            <v>CASTILLA</v>
          </cell>
          <cell r="G390" t="str">
            <v>PAMPACOLCA</v>
          </cell>
          <cell r="H390" t="str">
            <v>010390</v>
          </cell>
          <cell r="I390" t="str">
            <v>2</v>
          </cell>
        </row>
        <row r="391">
          <cell r="A391" t="str">
            <v>AREQUIPACASTILLATIPAN</v>
          </cell>
          <cell r="B391" t="str">
            <v>04</v>
          </cell>
          <cell r="C391" t="str">
            <v>04</v>
          </cell>
          <cell r="D391" t="str">
            <v>11</v>
          </cell>
          <cell r="E391" t="str">
            <v>AREQUIPA</v>
          </cell>
          <cell r="F391" t="str">
            <v>CASTILLA</v>
          </cell>
          <cell r="G391" t="str">
            <v>TIPAN</v>
          </cell>
          <cell r="H391" t="str">
            <v>010391</v>
          </cell>
          <cell r="I391" t="str">
            <v>2</v>
          </cell>
        </row>
        <row r="392">
          <cell r="A392" t="str">
            <v>AREQUIPACASTILLAUÑON</v>
          </cell>
          <cell r="B392" t="str">
            <v>04</v>
          </cell>
          <cell r="C392" t="str">
            <v>04</v>
          </cell>
          <cell r="D392" t="str">
            <v>12</v>
          </cell>
          <cell r="E392" t="str">
            <v>AREQUIPA</v>
          </cell>
          <cell r="F392" t="str">
            <v>CASTILLA</v>
          </cell>
          <cell r="G392" t="str">
            <v>UÑON</v>
          </cell>
          <cell r="H392" t="str">
            <v>010433</v>
          </cell>
          <cell r="I392" t="str">
            <v>2</v>
          </cell>
        </row>
        <row r="393">
          <cell r="A393" t="str">
            <v>AREQUIPACASTILLAURACA</v>
          </cell>
          <cell r="B393" t="str">
            <v>04</v>
          </cell>
          <cell r="C393" t="str">
            <v>04</v>
          </cell>
          <cell r="D393" t="str">
            <v>13</v>
          </cell>
          <cell r="E393" t="str">
            <v>AREQUIPA</v>
          </cell>
          <cell r="F393" t="str">
            <v>CASTILLA</v>
          </cell>
          <cell r="G393" t="str">
            <v>URACA</v>
          </cell>
          <cell r="H393" t="str">
            <v>010393</v>
          </cell>
          <cell r="I393" t="str">
            <v>2</v>
          </cell>
        </row>
        <row r="394">
          <cell r="A394" t="str">
            <v>AREQUIPACASTILLAVIRACO</v>
          </cell>
          <cell r="B394" t="str">
            <v>04</v>
          </cell>
          <cell r="C394" t="str">
            <v>04</v>
          </cell>
          <cell r="D394" t="str">
            <v>14</v>
          </cell>
          <cell r="E394" t="str">
            <v>AREQUIPA</v>
          </cell>
          <cell r="F394" t="str">
            <v>CASTILLA</v>
          </cell>
          <cell r="G394" t="str">
            <v>VIRACO</v>
          </cell>
          <cell r="H394" t="str">
            <v>010394</v>
          </cell>
          <cell r="I394" t="str">
            <v>2</v>
          </cell>
        </row>
        <row r="395">
          <cell r="A395" t="str">
            <v>AREQUIPACAYLLOMACHIVAY</v>
          </cell>
          <cell r="B395" t="str">
            <v>04</v>
          </cell>
          <cell r="C395" t="str">
            <v>05</v>
          </cell>
          <cell r="D395" t="str">
            <v>01</v>
          </cell>
          <cell r="E395" t="str">
            <v>AREQUIPA</v>
          </cell>
          <cell r="F395" t="str">
            <v>CAYLLOMA</v>
          </cell>
          <cell r="G395" t="str">
            <v>CHIVAY</v>
          </cell>
          <cell r="H395" t="str">
            <v>010396</v>
          </cell>
          <cell r="I395" t="str">
            <v>1</v>
          </cell>
        </row>
        <row r="396">
          <cell r="A396" t="str">
            <v>AREQUIPACAYLLOMAACHOMA</v>
          </cell>
          <cell r="B396" t="str">
            <v>04</v>
          </cell>
          <cell r="C396" t="str">
            <v>05</v>
          </cell>
          <cell r="D396" t="str">
            <v>02</v>
          </cell>
          <cell r="E396" t="str">
            <v>AREQUIPA</v>
          </cell>
          <cell r="F396" t="str">
            <v>CAYLLOMA</v>
          </cell>
          <cell r="G396" t="str">
            <v>ACHOMA</v>
          </cell>
          <cell r="H396" t="str">
            <v>012458</v>
          </cell>
          <cell r="I396" t="str">
            <v>2</v>
          </cell>
        </row>
        <row r="397">
          <cell r="A397" t="str">
            <v>AREQUIPACAYLLOMACABANACONDE</v>
          </cell>
          <cell r="B397" t="str">
            <v>04</v>
          </cell>
          <cell r="C397" t="str">
            <v>05</v>
          </cell>
          <cell r="D397" t="str">
            <v>03</v>
          </cell>
          <cell r="E397" t="str">
            <v>AREQUIPA</v>
          </cell>
          <cell r="F397" t="str">
            <v>CAYLLOMA</v>
          </cell>
          <cell r="G397" t="str">
            <v>CABANACONDE</v>
          </cell>
          <cell r="H397" t="str">
            <v>010398</v>
          </cell>
          <cell r="I397" t="str">
            <v>2</v>
          </cell>
        </row>
        <row r="398">
          <cell r="A398" t="str">
            <v>AREQUIPACAYLLOMACALLALLI</v>
          </cell>
          <cell r="B398" t="str">
            <v>04</v>
          </cell>
          <cell r="C398" t="str">
            <v>05</v>
          </cell>
          <cell r="D398" t="str">
            <v>04</v>
          </cell>
          <cell r="E398" t="str">
            <v>AREQUIPA</v>
          </cell>
          <cell r="F398" t="str">
            <v>CAYLLOMA</v>
          </cell>
          <cell r="G398" t="str">
            <v>CALLALLI</v>
          </cell>
          <cell r="H398" t="str">
            <v>010405</v>
          </cell>
          <cell r="I398" t="str">
            <v>2</v>
          </cell>
        </row>
        <row r="399">
          <cell r="A399" t="str">
            <v>AREQUIPACAYLLOMACAYLLOMA</v>
          </cell>
          <cell r="B399" t="str">
            <v>04</v>
          </cell>
          <cell r="C399" t="str">
            <v>05</v>
          </cell>
          <cell r="D399" t="str">
            <v>05</v>
          </cell>
          <cell r="E399" t="str">
            <v>AREQUIPA</v>
          </cell>
          <cell r="F399" t="str">
            <v>CAYLLOMA</v>
          </cell>
          <cell r="G399" t="str">
            <v>CAYLLOMA</v>
          </cell>
          <cell r="H399" t="str">
            <v>010406</v>
          </cell>
          <cell r="I399" t="str">
            <v>2</v>
          </cell>
        </row>
        <row r="400">
          <cell r="A400" t="str">
            <v>AREQUIPACAYLLOMACOPORAQUE</v>
          </cell>
          <cell r="B400" t="str">
            <v>04</v>
          </cell>
          <cell r="C400" t="str">
            <v>05</v>
          </cell>
          <cell r="D400" t="str">
            <v>06</v>
          </cell>
          <cell r="E400" t="str">
            <v>AREQUIPA</v>
          </cell>
          <cell r="F400" t="str">
            <v>CAYLLOMA</v>
          </cell>
          <cell r="G400" t="str">
            <v>COPORAQUE</v>
          </cell>
          <cell r="H400" t="str">
            <v>011963</v>
          </cell>
          <cell r="I400" t="str">
            <v>2</v>
          </cell>
        </row>
        <row r="401">
          <cell r="A401" t="str">
            <v>AREQUIPACAYLLOMAHUAMBO</v>
          </cell>
          <cell r="B401" t="str">
            <v>04</v>
          </cell>
          <cell r="C401" t="str">
            <v>05</v>
          </cell>
          <cell r="D401" t="str">
            <v>07</v>
          </cell>
          <cell r="E401" t="str">
            <v>AREQUIPA</v>
          </cell>
          <cell r="F401" t="str">
            <v>CAYLLOMA</v>
          </cell>
          <cell r="G401" t="str">
            <v>HUAMBO</v>
          </cell>
          <cell r="H401" t="str">
            <v>010399</v>
          </cell>
          <cell r="I401" t="str">
            <v>2</v>
          </cell>
        </row>
        <row r="402">
          <cell r="A402" t="str">
            <v>AREQUIPACAYLLOMAHUANCA</v>
          </cell>
          <cell r="B402" t="str">
            <v>04</v>
          </cell>
          <cell r="C402" t="str">
            <v>05</v>
          </cell>
          <cell r="D402" t="str">
            <v>08</v>
          </cell>
          <cell r="E402" t="str">
            <v>AREQUIPA</v>
          </cell>
          <cell r="F402" t="str">
            <v>CAYLLOMA</v>
          </cell>
          <cell r="G402" t="str">
            <v>HUANCA</v>
          </cell>
          <cell r="H402" t="str">
            <v>010400</v>
          </cell>
          <cell r="I402" t="str">
            <v>2</v>
          </cell>
        </row>
        <row r="403">
          <cell r="A403" t="str">
            <v>AREQUIPACAYLLOMAICHUPAMPA</v>
          </cell>
          <cell r="B403" t="str">
            <v>04</v>
          </cell>
          <cell r="C403" t="str">
            <v>05</v>
          </cell>
          <cell r="D403" t="str">
            <v>09</v>
          </cell>
          <cell r="E403" t="str">
            <v>AREQUIPA</v>
          </cell>
          <cell r="F403" t="str">
            <v>CAYLLOMA</v>
          </cell>
          <cell r="G403" t="str">
            <v>ICHUPAMPA</v>
          </cell>
          <cell r="H403" t="str">
            <v>010408</v>
          </cell>
          <cell r="I403" t="str">
            <v>2</v>
          </cell>
        </row>
        <row r="404">
          <cell r="A404" t="str">
            <v>AREQUIPACAYLLOMALARI</v>
          </cell>
          <cell r="B404" t="str">
            <v>04</v>
          </cell>
          <cell r="C404" t="str">
            <v>05</v>
          </cell>
          <cell r="D404" t="str">
            <v>10</v>
          </cell>
          <cell r="E404" t="str">
            <v>AREQUIPA</v>
          </cell>
          <cell r="F404" t="str">
            <v>CAYLLOMA</v>
          </cell>
          <cell r="G404" t="str">
            <v>LARI</v>
          </cell>
          <cell r="H404" t="str">
            <v>010409</v>
          </cell>
          <cell r="I404" t="str">
            <v>2</v>
          </cell>
        </row>
        <row r="405">
          <cell r="A405" t="str">
            <v>AREQUIPACAYLLOMALLUTA</v>
          </cell>
          <cell r="B405" t="str">
            <v>04</v>
          </cell>
          <cell r="C405" t="str">
            <v>05</v>
          </cell>
          <cell r="D405" t="str">
            <v>11</v>
          </cell>
          <cell r="E405" t="str">
            <v>AREQUIPA</v>
          </cell>
          <cell r="F405" t="str">
            <v>CAYLLOMA</v>
          </cell>
          <cell r="G405" t="str">
            <v>LLUTA</v>
          </cell>
          <cell r="H405" t="str">
            <v>010401</v>
          </cell>
          <cell r="I405" t="str">
            <v>2</v>
          </cell>
        </row>
        <row r="406">
          <cell r="A406" t="str">
            <v>AREQUIPACAYLLOMAMACA</v>
          </cell>
          <cell r="B406" t="str">
            <v>04</v>
          </cell>
          <cell r="C406" t="str">
            <v>05</v>
          </cell>
          <cell r="D406" t="str">
            <v>12</v>
          </cell>
          <cell r="E406" t="str">
            <v>AREQUIPA</v>
          </cell>
          <cell r="F406" t="str">
            <v>CAYLLOMA</v>
          </cell>
          <cell r="G406" t="str">
            <v>MACA</v>
          </cell>
          <cell r="H406" t="str">
            <v>010402</v>
          </cell>
          <cell r="I406" t="str">
            <v>2</v>
          </cell>
        </row>
        <row r="407">
          <cell r="A407" t="str">
            <v>AREQUIPACAYLLOMAMADRIGAL</v>
          </cell>
          <cell r="B407" t="str">
            <v>04</v>
          </cell>
          <cell r="C407" t="str">
            <v>05</v>
          </cell>
          <cell r="D407" t="str">
            <v>13</v>
          </cell>
          <cell r="E407" t="str">
            <v>AREQUIPA</v>
          </cell>
          <cell r="F407" t="str">
            <v>CAYLLOMA</v>
          </cell>
          <cell r="G407" t="str">
            <v>MADRIGAL</v>
          </cell>
          <cell r="H407" t="str">
            <v>010410</v>
          </cell>
          <cell r="I407" t="str">
            <v>2</v>
          </cell>
        </row>
        <row r="408">
          <cell r="A408" t="str">
            <v>AREQUIPACAYLLOMASAN ANTONIO DE CHUCA</v>
          </cell>
          <cell r="B408" t="str">
            <v>04</v>
          </cell>
          <cell r="C408" t="str">
            <v>05</v>
          </cell>
          <cell r="D408" t="str">
            <v>14</v>
          </cell>
          <cell r="E408" t="str">
            <v>AREQUIPA</v>
          </cell>
          <cell r="F408" t="str">
            <v>CAYLLOMA</v>
          </cell>
          <cell r="G408" t="str">
            <v>SAN ANTONIO DE CHUCA</v>
          </cell>
          <cell r="H408" t="str">
            <v>010411</v>
          </cell>
          <cell r="I408" t="str">
            <v>2</v>
          </cell>
        </row>
        <row r="409">
          <cell r="A409" t="str">
            <v>AREQUIPACAYLLOMASIBAYO</v>
          </cell>
          <cell r="B409" t="str">
            <v>04</v>
          </cell>
          <cell r="C409" t="str">
            <v>05</v>
          </cell>
          <cell r="D409" t="str">
            <v>15</v>
          </cell>
          <cell r="E409" t="str">
            <v>AREQUIPA</v>
          </cell>
          <cell r="F409" t="str">
            <v>CAYLLOMA</v>
          </cell>
          <cell r="G409" t="str">
            <v>SIBAYO</v>
          </cell>
          <cell r="H409" t="str">
            <v>010412</v>
          </cell>
          <cell r="I409" t="str">
            <v>2</v>
          </cell>
        </row>
        <row r="410">
          <cell r="A410" t="str">
            <v>AREQUIPACAYLLOMATAPAY</v>
          </cell>
          <cell r="B410" t="str">
            <v>04</v>
          </cell>
          <cell r="C410" t="str">
            <v>05</v>
          </cell>
          <cell r="D410" t="str">
            <v>16</v>
          </cell>
          <cell r="E410" t="str">
            <v>AREQUIPA</v>
          </cell>
          <cell r="F410" t="str">
            <v>CAYLLOMA</v>
          </cell>
          <cell r="G410" t="str">
            <v>TAPAY</v>
          </cell>
          <cell r="H410" t="str">
            <v>010403</v>
          </cell>
          <cell r="I410" t="str">
            <v>2</v>
          </cell>
        </row>
        <row r="411">
          <cell r="A411" t="str">
            <v>AREQUIPACAYLLOMATISCO</v>
          </cell>
          <cell r="B411" t="str">
            <v>04</v>
          </cell>
          <cell r="C411" t="str">
            <v>05</v>
          </cell>
          <cell r="D411" t="str">
            <v>17</v>
          </cell>
          <cell r="E411" t="str">
            <v>AREQUIPA</v>
          </cell>
          <cell r="F411" t="str">
            <v>CAYLLOMA</v>
          </cell>
          <cell r="G411" t="str">
            <v>TISCO</v>
          </cell>
          <cell r="H411" t="str">
            <v>010413</v>
          </cell>
          <cell r="I411" t="str">
            <v>2</v>
          </cell>
        </row>
        <row r="412">
          <cell r="A412" t="str">
            <v>AREQUIPACAYLLOMATUTI</v>
          </cell>
          <cell r="B412" t="str">
            <v>04</v>
          </cell>
          <cell r="C412" t="str">
            <v>05</v>
          </cell>
          <cell r="D412" t="str">
            <v>18</v>
          </cell>
          <cell r="E412" t="str">
            <v>AREQUIPA</v>
          </cell>
          <cell r="F412" t="str">
            <v>CAYLLOMA</v>
          </cell>
          <cell r="G412" t="str">
            <v>TUTI</v>
          </cell>
          <cell r="H412" t="str">
            <v>010414</v>
          </cell>
          <cell r="I412" t="str">
            <v>2</v>
          </cell>
        </row>
        <row r="413">
          <cell r="A413" t="str">
            <v>AREQUIPACAYLLOMAYANQUE</v>
          </cell>
          <cell r="B413" t="str">
            <v>04</v>
          </cell>
          <cell r="C413" t="str">
            <v>05</v>
          </cell>
          <cell r="D413" t="str">
            <v>19</v>
          </cell>
          <cell r="E413" t="str">
            <v>AREQUIPA</v>
          </cell>
          <cell r="F413" t="str">
            <v>CAYLLOMA</v>
          </cell>
          <cell r="G413" t="str">
            <v>YANQUE</v>
          </cell>
          <cell r="H413" t="str">
            <v>011965</v>
          </cell>
          <cell r="I413" t="str">
            <v>2</v>
          </cell>
        </row>
        <row r="414">
          <cell r="A414" t="str">
            <v>AREQUIPACAYLLOMAMAJES</v>
          </cell>
          <cell r="B414" t="str">
            <v>04</v>
          </cell>
          <cell r="C414" t="str">
            <v>05</v>
          </cell>
          <cell r="D414" t="str">
            <v>20</v>
          </cell>
          <cell r="E414" t="str">
            <v>AREQUIPA</v>
          </cell>
          <cell r="F414" t="str">
            <v>CAYLLOMA</v>
          </cell>
          <cell r="G414" t="str">
            <v>MAJES</v>
          </cell>
          <cell r="H414" t="str">
            <v>010360</v>
          </cell>
          <cell r="I414" t="str">
            <v>2</v>
          </cell>
        </row>
        <row r="415">
          <cell r="A415" t="str">
            <v>AREQUIPACONDESUYOSCHUQUIBAMBA</v>
          </cell>
          <cell r="B415" t="str">
            <v>04</v>
          </cell>
          <cell r="C415" t="str">
            <v>06</v>
          </cell>
          <cell r="D415" t="str">
            <v>01</v>
          </cell>
          <cell r="E415" t="str">
            <v>AREQUIPA</v>
          </cell>
          <cell r="F415" t="str">
            <v>CONDESUYOS</v>
          </cell>
          <cell r="G415" t="str">
            <v>CHUQUIBAMBA</v>
          </cell>
          <cell r="H415" t="str">
            <v>011954</v>
          </cell>
          <cell r="I415" t="str">
            <v>1</v>
          </cell>
        </row>
        <row r="416">
          <cell r="A416" t="str">
            <v>AREQUIPACONDESUYOSANDARAY</v>
          </cell>
          <cell r="B416" t="str">
            <v>04</v>
          </cell>
          <cell r="C416" t="str">
            <v>06</v>
          </cell>
          <cell r="D416" t="str">
            <v>02</v>
          </cell>
          <cell r="E416" t="str">
            <v>AREQUIPA</v>
          </cell>
          <cell r="F416" t="str">
            <v>CONDESUYOS</v>
          </cell>
          <cell r="G416" t="str">
            <v>ANDARAY</v>
          </cell>
          <cell r="H416" t="str">
            <v>010416</v>
          </cell>
          <cell r="I416" t="str">
            <v>2</v>
          </cell>
        </row>
        <row r="417">
          <cell r="A417" t="str">
            <v>AREQUIPACONDESUYOSCAYARANI</v>
          </cell>
          <cell r="B417" t="str">
            <v>04</v>
          </cell>
          <cell r="C417" t="str">
            <v>06</v>
          </cell>
          <cell r="D417" t="str">
            <v>03</v>
          </cell>
          <cell r="E417" t="str">
            <v>AREQUIPA</v>
          </cell>
          <cell r="F417" t="str">
            <v>CONDESUYOS</v>
          </cell>
          <cell r="G417" t="str">
            <v>CAYARANI</v>
          </cell>
          <cell r="H417" t="str">
            <v>010417</v>
          </cell>
          <cell r="I417" t="str">
            <v>2</v>
          </cell>
        </row>
        <row r="418">
          <cell r="A418" t="str">
            <v>AREQUIPACONDESUYOSCHICHAS</v>
          </cell>
          <cell r="B418" t="str">
            <v>04</v>
          </cell>
          <cell r="C418" t="str">
            <v>06</v>
          </cell>
          <cell r="D418" t="str">
            <v>04</v>
          </cell>
          <cell r="E418" t="str">
            <v>AREQUIPA</v>
          </cell>
          <cell r="F418" t="str">
            <v>CONDESUYOS</v>
          </cell>
          <cell r="G418" t="str">
            <v>CHICHAS</v>
          </cell>
          <cell r="H418" t="str">
            <v>010356</v>
          </cell>
          <cell r="I418" t="str">
            <v>2</v>
          </cell>
        </row>
        <row r="419">
          <cell r="A419" t="str">
            <v>AREQUIPACONDESUYOSIRAY</v>
          </cell>
          <cell r="B419" t="str">
            <v>04</v>
          </cell>
          <cell r="C419" t="str">
            <v>06</v>
          </cell>
          <cell r="D419" t="str">
            <v>05</v>
          </cell>
          <cell r="E419" t="str">
            <v>AREQUIPA</v>
          </cell>
          <cell r="F419" t="str">
            <v>CONDESUYOS</v>
          </cell>
          <cell r="G419" t="str">
            <v>IRAY</v>
          </cell>
          <cell r="H419" t="str">
            <v>010419</v>
          </cell>
          <cell r="I419" t="str">
            <v>2</v>
          </cell>
        </row>
        <row r="420">
          <cell r="A420" t="str">
            <v>AREQUIPACONDESUYOSRIO GRANDE</v>
          </cell>
          <cell r="B420" t="str">
            <v>04</v>
          </cell>
          <cell r="C420" t="str">
            <v>06</v>
          </cell>
          <cell r="D420" t="str">
            <v>06</v>
          </cell>
          <cell r="E420" t="str">
            <v>AREQUIPA</v>
          </cell>
          <cell r="F420" t="str">
            <v>CONDESUYOS</v>
          </cell>
          <cell r="G420" t="str">
            <v>RIO GRANDE</v>
          </cell>
          <cell r="H420" t="str">
            <v>010420</v>
          </cell>
          <cell r="I420" t="str">
            <v>2</v>
          </cell>
        </row>
        <row r="421">
          <cell r="A421" t="str">
            <v>AREQUIPACONDESUYOSSALAMANCA</v>
          </cell>
          <cell r="B421" t="str">
            <v>04</v>
          </cell>
          <cell r="C421" t="str">
            <v>06</v>
          </cell>
          <cell r="D421" t="str">
            <v>07</v>
          </cell>
          <cell r="E421" t="str">
            <v>AREQUIPA</v>
          </cell>
          <cell r="F421" t="str">
            <v>CONDESUYOS</v>
          </cell>
          <cell r="G421" t="str">
            <v>SALAMANCA</v>
          </cell>
          <cell r="H421" t="str">
            <v>010421</v>
          </cell>
          <cell r="I421" t="str">
            <v>2</v>
          </cell>
        </row>
        <row r="422">
          <cell r="A422" t="str">
            <v>AREQUIPACONDESUYOSYANAQUIHUA</v>
          </cell>
          <cell r="B422" t="str">
            <v>04</v>
          </cell>
          <cell r="C422" t="str">
            <v>06</v>
          </cell>
          <cell r="D422" t="str">
            <v>08</v>
          </cell>
          <cell r="E422" t="str">
            <v>AREQUIPA</v>
          </cell>
          <cell r="F422" t="str">
            <v>CONDESUYOS</v>
          </cell>
          <cell r="G422" t="str">
            <v>YANAQUIHUA</v>
          </cell>
          <cell r="H422" t="str">
            <v>012459</v>
          </cell>
          <cell r="I422" t="str">
            <v>2</v>
          </cell>
        </row>
        <row r="423">
          <cell r="A423" t="str">
            <v>AREQUIPAISLAYMOLLENDO</v>
          </cell>
          <cell r="B423" t="str">
            <v>04</v>
          </cell>
          <cell r="C423" t="str">
            <v>07</v>
          </cell>
          <cell r="D423" t="str">
            <v>01</v>
          </cell>
          <cell r="E423" t="str">
            <v>AREQUIPA</v>
          </cell>
          <cell r="F423" t="str">
            <v>ISLAY</v>
          </cell>
          <cell r="G423" t="str">
            <v>MOLLENDO</v>
          </cell>
          <cell r="H423" t="str">
            <v>010423</v>
          </cell>
          <cell r="I423" t="str">
            <v>1</v>
          </cell>
        </row>
        <row r="424">
          <cell r="A424" t="str">
            <v>AREQUIPAISLAYCOCACHACRA</v>
          </cell>
          <cell r="B424" t="str">
            <v>04</v>
          </cell>
          <cell r="C424" t="str">
            <v>07</v>
          </cell>
          <cell r="D424" t="str">
            <v>02</v>
          </cell>
          <cell r="E424" t="str">
            <v>AREQUIPA</v>
          </cell>
          <cell r="F424" t="str">
            <v>ISLAY</v>
          </cell>
          <cell r="G424" t="str">
            <v>COCACHACRA</v>
          </cell>
          <cell r="H424" t="str">
            <v>010424</v>
          </cell>
          <cell r="I424" t="str">
            <v>2</v>
          </cell>
        </row>
        <row r="425">
          <cell r="A425" t="str">
            <v>AREQUIPAISLAYDEAN VALDIVIA</v>
          </cell>
          <cell r="B425" t="str">
            <v>04</v>
          </cell>
          <cell r="C425" t="str">
            <v>07</v>
          </cell>
          <cell r="D425" t="str">
            <v>03</v>
          </cell>
          <cell r="E425" t="str">
            <v>AREQUIPA</v>
          </cell>
          <cell r="F425" t="str">
            <v>ISLAY</v>
          </cell>
          <cell r="G425" t="str">
            <v>DEAN VALDIVIA</v>
          </cell>
          <cell r="H425" t="str">
            <v>010425</v>
          </cell>
          <cell r="I425" t="str">
            <v>2</v>
          </cell>
        </row>
        <row r="426">
          <cell r="A426" t="str">
            <v>AREQUIPAISLAYISLAY</v>
          </cell>
          <cell r="B426" t="str">
            <v>04</v>
          </cell>
          <cell r="C426" t="str">
            <v>07</v>
          </cell>
          <cell r="D426" t="str">
            <v>04</v>
          </cell>
          <cell r="E426" t="str">
            <v>AREQUIPA</v>
          </cell>
          <cell r="F426" t="str">
            <v>ISLAY</v>
          </cell>
          <cell r="G426" t="str">
            <v>ISLAY</v>
          </cell>
          <cell r="H426" t="str">
            <v>010426</v>
          </cell>
          <cell r="I426" t="str">
            <v>2</v>
          </cell>
        </row>
        <row r="427">
          <cell r="A427" t="str">
            <v>AREQUIPAISLAYMEJIA</v>
          </cell>
          <cell r="B427" t="str">
            <v>04</v>
          </cell>
          <cell r="C427" t="str">
            <v>07</v>
          </cell>
          <cell r="D427" t="str">
            <v>05</v>
          </cell>
          <cell r="E427" t="str">
            <v>AREQUIPA</v>
          </cell>
          <cell r="F427" t="str">
            <v>ISLAY</v>
          </cell>
          <cell r="G427" t="str">
            <v>MEJIA</v>
          </cell>
          <cell r="H427" t="str">
            <v>013016</v>
          </cell>
          <cell r="I427" t="str">
            <v>2</v>
          </cell>
        </row>
        <row r="428">
          <cell r="A428" t="str">
            <v>AREQUIPAISLAYPUNTA DE BOMBON</v>
          </cell>
          <cell r="B428" t="str">
            <v>04</v>
          </cell>
          <cell r="C428" t="str">
            <v>07</v>
          </cell>
          <cell r="D428" t="str">
            <v>06</v>
          </cell>
          <cell r="E428" t="str">
            <v>AREQUIPA</v>
          </cell>
          <cell r="F428" t="str">
            <v>ISLAY</v>
          </cell>
          <cell r="G428" t="str">
            <v>PUNTA DE BOMBON</v>
          </cell>
          <cell r="H428" t="str">
            <v>010428</v>
          </cell>
          <cell r="I428" t="str">
            <v>2</v>
          </cell>
        </row>
        <row r="429">
          <cell r="A429" t="str">
            <v>AREQUIPALA UNIONCOTAHUASI</v>
          </cell>
          <cell r="B429" t="str">
            <v>04</v>
          </cell>
          <cell r="C429" t="str">
            <v>08</v>
          </cell>
          <cell r="D429" t="str">
            <v>01</v>
          </cell>
          <cell r="E429" t="str">
            <v>AREQUIPA</v>
          </cell>
          <cell r="F429" t="str">
            <v>LA UNION</v>
          </cell>
          <cell r="G429" t="str">
            <v>COTAHUASI</v>
          </cell>
          <cell r="H429" t="str">
            <v>010429</v>
          </cell>
          <cell r="I429" t="str">
            <v>1</v>
          </cell>
        </row>
        <row r="430">
          <cell r="A430" t="str">
            <v>AREQUIPALA UNIONALCA</v>
          </cell>
          <cell r="B430" t="str">
            <v>04</v>
          </cell>
          <cell r="C430" t="str">
            <v>08</v>
          </cell>
          <cell r="D430" t="str">
            <v>02</v>
          </cell>
          <cell r="E430" t="str">
            <v>AREQUIPA</v>
          </cell>
          <cell r="F430" t="str">
            <v>LA UNION</v>
          </cell>
          <cell r="G430" t="str">
            <v>ALCA</v>
          </cell>
          <cell r="H430" t="str">
            <v>010430</v>
          </cell>
          <cell r="I430" t="str">
            <v>2</v>
          </cell>
        </row>
        <row r="431">
          <cell r="A431" t="str">
            <v>AREQUIPALA UNIONCHARCANA</v>
          </cell>
          <cell r="B431" t="str">
            <v>04</v>
          </cell>
          <cell r="C431" t="str">
            <v>08</v>
          </cell>
          <cell r="D431" t="str">
            <v>03</v>
          </cell>
          <cell r="E431" t="str">
            <v>AREQUIPA</v>
          </cell>
          <cell r="F431" t="str">
            <v>LA UNION</v>
          </cell>
          <cell r="G431" t="str">
            <v>CHARCANA</v>
          </cell>
          <cell r="H431" t="str">
            <v>010431</v>
          </cell>
          <cell r="I431" t="str">
            <v>2</v>
          </cell>
        </row>
        <row r="432">
          <cell r="A432" t="str">
            <v>AREQUIPALA UNIONHUAYNACOTAS</v>
          </cell>
          <cell r="B432" t="str">
            <v>04</v>
          </cell>
          <cell r="C432" t="str">
            <v>08</v>
          </cell>
          <cell r="D432" t="str">
            <v>04</v>
          </cell>
          <cell r="E432" t="str">
            <v>AREQUIPA</v>
          </cell>
          <cell r="F432" t="str">
            <v>LA UNION</v>
          </cell>
          <cell r="G432" t="str">
            <v>HUAYNACOTAS</v>
          </cell>
          <cell r="H432" t="str">
            <v>010432</v>
          </cell>
          <cell r="I432" t="str">
            <v>2</v>
          </cell>
        </row>
        <row r="433">
          <cell r="A433" t="str">
            <v>AREQUIPALA UNIONPAMPAMARCA</v>
          </cell>
          <cell r="B433" t="str">
            <v>04</v>
          </cell>
          <cell r="C433" t="str">
            <v>08</v>
          </cell>
          <cell r="D433" t="str">
            <v>05</v>
          </cell>
          <cell r="E433" t="str">
            <v>AREQUIPA</v>
          </cell>
          <cell r="F433" t="str">
            <v>LA UNION</v>
          </cell>
          <cell r="G433" t="str">
            <v>PAMPAMARCA</v>
          </cell>
          <cell r="H433" t="str">
            <v>011962</v>
          </cell>
          <cell r="I433" t="str">
            <v>2</v>
          </cell>
        </row>
        <row r="434">
          <cell r="A434" t="str">
            <v>AREQUIPALA UNIONPUYCA</v>
          </cell>
          <cell r="B434" t="str">
            <v>04</v>
          </cell>
          <cell r="C434" t="str">
            <v>08</v>
          </cell>
          <cell r="D434" t="str">
            <v>06</v>
          </cell>
          <cell r="E434" t="str">
            <v>AREQUIPA</v>
          </cell>
          <cell r="F434" t="str">
            <v>LA UNION</v>
          </cell>
          <cell r="G434" t="str">
            <v>PUYCA</v>
          </cell>
          <cell r="H434" t="str">
            <v>010434</v>
          </cell>
          <cell r="I434" t="str">
            <v>2</v>
          </cell>
        </row>
        <row r="435">
          <cell r="A435" t="str">
            <v>AREQUIPALA UNIONQUECHUALLA</v>
          </cell>
          <cell r="B435" t="str">
            <v>04</v>
          </cell>
          <cell r="C435" t="str">
            <v>08</v>
          </cell>
          <cell r="D435" t="str">
            <v>07</v>
          </cell>
          <cell r="E435" t="str">
            <v>AREQUIPA</v>
          </cell>
          <cell r="F435" t="str">
            <v>LA UNION</v>
          </cell>
          <cell r="G435" t="str">
            <v>QUECHUALLA</v>
          </cell>
          <cell r="H435" t="str">
            <v>012460</v>
          </cell>
          <cell r="I435" t="str">
            <v>2</v>
          </cell>
        </row>
        <row r="436">
          <cell r="A436" t="str">
            <v>AREQUIPALA UNIONSAYLA</v>
          </cell>
          <cell r="B436" t="str">
            <v>04</v>
          </cell>
          <cell r="C436" t="str">
            <v>08</v>
          </cell>
          <cell r="D436" t="str">
            <v>08</v>
          </cell>
          <cell r="E436" t="str">
            <v>AREQUIPA</v>
          </cell>
          <cell r="F436" t="str">
            <v>LA UNION</v>
          </cell>
          <cell r="G436" t="str">
            <v>SAYLA</v>
          </cell>
          <cell r="H436" t="str">
            <v>010436</v>
          </cell>
          <cell r="I436" t="str">
            <v>2</v>
          </cell>
        </row>
        <row r="437">
          <cell r="A437" t="str">
            <v>AREQUIPALA UNIONTAURIA</v>
          </cell>
          <cell r="B437" t="str">
            <v>04</v>
          </cell>
          <cell r="C437" t="str">
            <v>08</v>
          </cell>
          <cell r="D437" t="str">
            <v>09</v>
          </cell>
          <cell r="E437" t="str">
            <v>AREQUIPA</v>
          </cell>
          <cell r="F437" t="str">
            <v>LA UNION</v>
          </cell>
          <cell r="G437" t="str">
            <v>TAURIA</v>
          </cell>
          <cell r="H437" t="str">
            <v>010437</v>
          </cell>
          <cell r="I437" t="str">
            <v>2</v>
          </cell>
        </row>
        <row r="438">
          <cell r="A438" t="str">
            <v>AREQUIPALA UNIONTOMEPAMPA</v>
          </cell>
          <cell r="B438" t="str">
            <v>04</v>
          </cell>
          <cell r="C438" t="str">
            <v>08</v>
          </cell>
          <cell r="D438" t="str">
            <v>10</v>
          </cell>
          <cell r="E438" t="str">
            <v>AREQUIPA</v>
          </cell>
          <cell r="F438" t="str">
            <v>LA UNION</v>
          </cell>
          <cell r="G438" t="str">
            <v>TOMEPAMPA</v>
          </cell>
          <cell r="H438" t="str">
            <v>010438</v>
          </cell>
          <cell r="I438" t="str">
            <v>2</v>
          </cell>
        </row>
        <row r="439">
          <cell r="A439" t="str">
            <v>AREQUIPALA UNIONTORO</v>
          </cell>
          <cell r="B439" t="str">
            <v>04</v>
          </cell>
          <cell r="C439" t="str">
            <v>08</v>
          </cell>
          <cell r="D439" t="str">
            <v>11</v>
          </cell>
          <cell r="E439" t="str">
            <v>AREQUIPA</v>
          </cell>
          <cell r="F439" t="str">
            <v>LA UNION</v>
          </cell>
          <cell r="G439" t="str">
            <v>TORO</v>
          </cell>
          <cell r="H439" t="str">
            <v>010439</v>
          </cell>
          <cell r="I439" t="str">
            <v>2</v>
          </cell>
        </row>
        <row r="440">
          <cell r="A440" t="str">
            <v>AYACUCHOHUAMANGAAYACUCHO</v>
          </cell>
          <cell r="B440" t="str">
            <v>05</v>
          </cell>
          <cell r="C440" t="str">
            <v>01</v>
          </cell>
          <cell r="D440" t="str">
            <v>01</v>
          </cell>
          <cell r="E440" t="str">
            <v>AYACUCHO</v>
          </cell>
          <cell r="F440" t="str">
            <v>HUAMANGA</v>
          </cell>
          <cell r="G440" t="str">
            <v>AYACUCHO</v>
          </cell>
          <cell r="H440" t="str">
            <v>010440</v>
          </cell>
          <cell r="I440" t="str">
            <v>1</v>
          </cell>
        </row>
        <row r="441">
          <cell r="A441" t="str">
            <v>AYACUCHOHUAMANGAACOCRO</v>
          </cell>
          <cell r="B441" t="str">
            <v>05</v>
          </cell>
          <cell r="C441" t="str">
            <v>01</v>
          </cell>
          <cell r="D441" t="str">
            <v>02</v>
          </cell>
          <cell r="E441" t="str">
            <v>AYACUCHO</v>
          </cell>
          <cell r="F441" t="str">
            <v>HUAMANGA</v>
          </cell>
          <cell r="G441" t="str">
            <v>ACOCRO</v>
          </cell>
          <cell r="H441" t="str">
            <v>011972</v>
          </cell>
          <cell r="I441" t="str">
            <v>2</v>
          </cell>
        </row>
        <row r="442">
          <cell r="A442" t="str">
            <v>AYACUCHOHUAMANGAACOS VINCHOS</v>
          </cell>
          <cell r="B442" t="str">
            <v>05</v>
          </cell>
          <cell r="C442" t="str">
            <v>01</v>
          </cell>
          <cell r="D442" t="str">
            <v>03</v>
          </cell>
          <cell r="E442" t="str">
            <v>AYACUCHO</v>
          </cell>
          <cell r="F442" t="str">
            <v>HUAMANGA</v>
          </cell>
          <cell r="G442" t="str">
            <v>ACOS VINCHOS</v>
          </cell>
          <cell r="H442" t="str">
            <v>010445</v>
          </cell>
          <cell r="I442" t="str">
            <v>2</v>
          </cell>
        </row>
        <row r="443">
          <cell r="A443" t="str">
            <v>AYACUCHOHUAMANGACARMEN ALTO</v>
          </cell>
          <cell r="B443" t="str">
            <v>05</v>
          </cell>
          <cell r="C443" t="str">
            <v>01</v>
          </cell>
          <cell r="D443" t="str">
            <v>04</v>
          </cell>
          <cell r="E443" t="str">
            <v>AYACUCHO</v>
          </cell>
          <cell r="F443" t="str">
            <v>HUAMANGA</v>
          </cell>
          <cell r="G443" t="str">
            <v>CARMEN ALTO</v>
          </cell>
          <cell r="H443" t="str">
            <v>012479</v>
          </cell>
          <cell r="I443" t="str">
            <v>2</v>
          </cell>
        </row>
        <row r="444">
          <cell r="A444" t="str">
            <v>AYACUCHOHUAMANGACHIARA</v>
          </cell>
          <cell r="B444" t="str">
            <v>05</v>
          </cell>
          <cell r="C444" t="str">
            <v>01</v>
          </cell>
          <cell r="D444" t="str">
            <v>05</v>
          </cell>
          <cell r="E444" t="str">
            <v>AYACUCHO</v>
          </cell>
          <cell r="F444" t="str">
            <v>HUAMANGA</v>
          </cell>
          <cell r="G444" t="str">
            <v>CHIARA</v>
          </cell>
          <cell r="H444" t="str">
            <v>012993</v>
          </cell>
          <cell r="I444" t="str">
            <v>2</v>
          </cell>
        </row>
        <row r="445">
          <cell r="A445" t="str">
            <v>AYACUCHOHUAMANGAOCROS</v>
          </cell>
          <cell r="B445" t="str">
            <v>05</v>
          </cell>
          <cell r="C445" t="str">
            <v>01</v>
          </cell>
          <cell r="D445" t="str">
            <v>06</v>
          </cell>
          <cell r="E445" t="str">
            <v>AYACUCHO</v>
          </cell>
          <cell r="F445" t="str">
            <v>HUAMANGA</v>
          </cell>
          <cell r="G445" t="str">
            <v>OCROS</v>
          </cell>
          <cell r="H445" t="str">
            <v>010447</v>
          </cell>
          <cell r="I445" t="str">
            <v>2</v>
          </cell>
        </row>
        <row r="446">
          <cell r="A446" t="str">
            <v>AYACUCHOHUAMANGAPACAYCASA</v>
          </cell>
          <cell r="B446" t="str">
            <v>05</v>
          </cell>
          <cell r="C446" t="str">
            <v>01</v>
          </cell>
          <cell r="D446" t="str">
            <v>07</v>
          </cell>
          <cell r="E446" t="str">
            <v>AYACUCHO</v>
          </cell>
          <cell r="F446" t="str">
            <v>HUAMANGA</v>
          </cell>
          <cell r="G446" t="str">
            <v>PACAYCASA</v>
          </cell>
          <cell r="H446" t="str">
            <v>010448</v>
          </cell>
          <cell r="I446" t="str">
            <v>2</v>
          </cell>
        </row>
        <row r="447">
          <cell r="A447" t="str">
            <v>AYACUCHOHUAMANGAQUINUA</v>
          </cell>
          <cell r="B447" t="str">
            <v>05</v>
          </cell>
          <cell r="C447" t="str">
            <v>01</v>
          </cell>
          <cell r="D447" t="str">
            <v>08</v>
          </cell>
          <cell r="E447" t="str">
            <v>AYACUCHO</v>
          </cell>
          <cell r="F447" t="str">
            <v>HUAMANGA</v>
          </cell>
          <cell r="G447" t="str">
            <v>QUINUA</v>
          </cell>
          <cell r="H447" t="str">
            <v>010449</v>
          </cell>
          <cell r="I447" t="str">
            <v>2</v>
          </cell>
        </row>
        <row r="448">
          <cell r="A448" t="str">
            <v>AYACUCHOHUAMANGASAN JOSE DE TICLLAS</v>
          </cell>
          <cell r="B448" t="str">
            <v>05</v>
          </cell>
          <cell r="C448" t="str">
            <v>01</v>
          </cell>
          <cell r="D448" t="str">
            <v>09</v>
          </cell>
          <cell r="E448" t="str">
            <v>AYACUCHO</v>
          </cell>
          <cell r="F448" t="str">
            <v>HUAMANGA</v>
          </cell>
          <cell r="G448" t="str">
            <v>SAN JOSE DE TICLLAS</v>
          </cell>
          <cell r="H448" t="str">
            <v>010450</v>
          </cell>
          <cell r="I448" t="str">
            <v>2</v>
          </cell>
        </row>
        <row r="449">
          <cell r="A449" t="str">
            <v>AYACUCHOHUAMANGASAN JUAN BAUTISTA</v>
          </cell>
          <cell r="B449" t="str">
            <v>05</v>
          </cell>
          <cell r="C449" t="str">
            <v>01</v>
          </cell>
          <cell r="D449" t="str">
            <v>10</v>
          </cell>
          <cell r="E449" t="str">
            <v>AYACUCHO</v>
          </cell>
          <cell r="F449" t="str">
            <v>HUAMANGA</v>
          </cell>
          <cell r="G449" t="str">
            <v>SAN JUAN BAUTISTA</v>
          </cell>
          <cell r="H449" t="str">
            <v>010442</v>
          </cell>
          <cell r="I449" t="str">
            <v>2</v>
          </cell>
        </row>
        <row r="450">
          <cell r="A450" t="str">
            <v>AYACUCHOHUAMANGASANTIAGO DE PISCHA</v>
          </cell>
          <cell r="B450" t="str">
            <v>05</v>
          </cell>
          <cell r="C450" t="str">
            <v>01</v>
          </cell>
          <cell r="D450" t="str">
            <v>11</v>
          </cell>
          <cell r="E450" t="str">
            <v>AYACUCHO</v>
          </cell>
          <cell r="F450" t="str">
            <v>HUAMANGA</v>
          </cell>
          <cell r="G450" t="str">
            <v>SANTIAGO DE PISCHA</v>
          </cell>
          <cell r="H450" t="str">
            <v>010451</v>
          </cell>
          <cell r="I450" t="str">
            <v>2</v>
          </cell>
        </row>
        <row r="451">
          <cell r="A451" t="str">
            <v>AYACUCHOHUAMANGASOCOS</v>
          </cell>
          <cell r="B451" t="str">
            <v>05</v>
          </cell>
          <cell r="C451" t="str">
            <v>01</v>
          </cell>
          <cell r="D451" t="str">
            <v>12</v>
          </cell>
          <cell r="E451" t="str">
            <v>AYACUCHO</v>
          </cell>
          <cell r="F451" t="str">
            <v>HUAMANGA</v>
          </cell>
          <cell r="G451" t="str">
            <v>SOCOS</v>
          </cell>
          <cell r="H451" t="str">
            <v>010452</v>
          </cell>
          <cell r="I451" t="str">
            <v>2</v>
          </cell>
        </row>
        <row r="452">
          <cell r="A452" t="str">
            <v>AYACUCHOHUAMANGATAMBILLO</v>
          </cell>
          <cell r="B452" t="str">
            <v>05</v>
          </cell>
          <cell r="C452" t="str">
            <v>01</v>
          </cell>
          <cell r="D452" t="str">
            <v>13</v>
          </cell>
          <cell r="E452" t="str">
            <v>AYACUCHO</v>
          </cell>
          <cell r="F452" t="str">
            <v>HUAMANGA</v>
          </cell>
          <cell r="G452" t="str">
            <v>TAMBILLO</v>
          </cell>
          <cell r="H452" t="str">
            <v>013023</v>
          </cell>
          <cell r="I452" t="str">
            <v>2</v>
          </cell>
        </row>
        <row r="453">
          <cell r="A453" t="str">
            <v>AYACUCHOHUAMANGAVINCHOS</v>
          </cell>
          <cell r="B453" t="str">
            <v>05</v>
          </cell>
          <cell r="C453" t="str">
            <v>01</v>
          </cell>
          <cell r="D453" t="str">
            <v>14</v>
          </cell>
          <cell r="E453" t="str">
            <v>AYACUCHO</v>
          </cell>
          <cell r="F453" t="str">
            <v>HUAMANGA</v>
          </cell>
          <cell r="G453" t="str">
            <v>VINCHOS</v>
          </cell>
          <cell r="H453" t="str">
            <v>010454</v>
          </cell>
          <cell r="I453" t="str">
            <v>2</v>
          </cell>
        </row>
        <row r="454">
          <cell r="A454" t="str">
            <v>AYACUCHOHUAMANGAJESUS NAZARENO</v>
          </cell>
          <cell r="B454" t="str">
            <v>05</v>
          </cell>
          <cell r="C454" t="str">
            <v>01</v>
          </cell>
          <cell r="D454" t="str">
            <v>15</v>
          </cell>
          <cell r="E454" t="str">
            <v>AYACUCHO</v>
          </cell>
          <cell r="F454" t="str">
            <v>HUAMANGA</v>
          </cell>
          <cell r="G454" t="str">
            <v>JESUS NAZARENO</v>
          </cell>
          <cell r="H454" t="str">
            <v>010443</v>
          </cell>
          <cell r="I454" t="str">
            <v>2</v>
          </cell>
        </row>
        <row r="455">
          <cell r="A455" t="str">
            <v>AYACUCHOCANGALLOCANGALLO</v>
          </cell>
          <cell r="B455" t="str">
            <v>05</v>
          </cell>
          <cell r="C455" t="str">
            <v>02</v>
          </cell>
          <cell r="D455" t="str">
            <v>01</v>
          </cell>
          <cell r="E455" t="str">
            <v>AYACUCHO</v>
          </cell>
          <cell r="F455" t="str">
            <v>CANGALLO</v>
          </cell>
          <cell r="G455" t="str">
            <v>CANGALLO</v>
          </cell>
          <cell r="H455" t="str">
            <v>010455</v>
          </cell>
          <cell r="I455" t="str">
            <v>1</v>
          </cell>
        </row>
        <row r="456">
          <cell r="A456" t="str">
            <v>AYACUCHOCANGALLOCHUSCHI</v>
          </cell>
          <cell r="B456" t="str">
            <v>05</v>
          </cell>
          <cell r="C456" t="str">
            <v>02</v>
          </cell>
          <cell r="D456" t="str">
            <v>02</v>
          </cell>
          <cell r="E456" t="str">
            <v>AYACUCHO</v>
          </cell>
          <cell r="F456" t="str">
            <v>CANGALLO</v>
          </cell>
          <cell r="G456" t="str">
            <v>CHUSCHI</v>
          </cell>
          <cell r="H456" t="str">
            <v>010456</v>
          </cell>
          <cell r="I456" t="str">
            <v>2</v>
          </cell>
        </row>
        <row r="457">
          <cell r="A457" t="str">
            <v>AYACUCHOCANGALLOLOS MOROCHUCOS</v>
          </cell>
          <cell r="B457" t="str">
            <v>05</v>
          </cell>
          <cell r="C457" t="str">
            <v>02</v>
          </cell>
          <cell r="D457" t="str">
            <v>03</v>
          </cell>
          <cell r="E457" t="str">
            <v>AYACUCHO</v>
          </cell>
          <cell r="F457" t="str">
            <v>CANGALLO</v>
          </cell>
          <cell r="G457" t="str">
            <v>LOS MOROCHUCOS</v>
          </cell>
          <cell r="H457" t="str">
            <v>010457</v>
          </cell>
          <cell r="I457" t="str">
            <v>2</v>
          </cell>
        </row>
        <row r="458">
          <cell r="A458" t="str">
            <v>AYACUCHOCANGALLOMARIA PARADO DE BELLIDO</v>
          </cell>
          <cell r="B458" t="str">
            <v>05</v>
          </cell>
          <cell r="C458" t="str">
            <v>02</v>
          </cell>
          <cell r="D458" t="str">
            <v>04</v>
          </cell>
          <cell r="E458" t="str">
            <v>AYACUCHO</v>
          </cell>
          <cell r="F458" t="str">
            <v>CANGALLO</v>
          </cell>
          <cell r="G458" t="str">
            <v>MARIA PARADO DE BELLIDO</v>
          </cell>
          <cell r="H458" t="str">
            <v>010458</v>
          </cell>
          <cell r="I458" t="str">
            <v>2</v>
          </cell>
        </row>
        <row r="459">
          <cell r="A459" t="str">
            <v>AYACUCHOCANGALLOPARAS</v>
          </cell>
          <cell r="B459" t="str">
            <v>05</v>
          </cell>
          <cell r="C459" t="str">
            <v>02</v>
          </cell>
          <cell r="D459" t="str">
            <v>05</v>
          </cell>
          <cell r="E459" t="str">
            <v>AYACUCHO</v>
          </cell>
          <cell r="F459" t="str">
            <v>CANGALLO</v>
          </cell>
          <cell r="G459" t="str">
            <v>PARAS</v>
          </cell>
          <cell r="H459" t="str">
            <v>011970</v>
          </cell>
          <cell r="I459" t="str">
            <v>2</v>
          </cell>
        </row>
        <row r="460">
          <cell r="A460" t="str">
            <v>AYACUCHOCANGALLOTOTOS</v>
          </cell>
          <cell r="B460" t="str">
            <v>05</v>
          </cell>
          <cell r="C460" t="str">
            <v>02</v>
          </cell>
          <cell r="D460" t="str">
            <v>06</v>
          </cell>
          <cell r="E460" t="str">
            <v>AYACUCHO</v>
          </cell>
          <cell r="F460" t="str">
            <v>CANGALLO</v>
          </cell>
          <cell r="G460" t="str">
            <v>TOTOS</v>
          </cell>
          <cell r="H460" t="str">
            <v>010460</v>
          </cell>
          <cell r="I460" t="str">
            <v>2</v>
          </cell>
        </row>
        <row r="461">
          <cell r="A461" t="str">
            <v>AYACUCHOHUANCA SANCOSSANCOS</v>
          </cell>
          <cell r="B461" t="str">
            <v>05</v>
          </cell>
          <cell r="C461" t="str">
            <v>03</v>
          </cell>
          <cell r="D461" t="str">
            <v>01</v>
          </cell>
          <cell r="E461" t="str">
            <v>AYACUCHO</v>
          </cell>
          <cell r="F461" t="str">
            <v>HUANCA SANCOS</v>
          </cell>
          <cell r="G461" t="str">
            <v>SANCOS</v>
          </cell>
          <cell r="H461" t="str">
            <v>010461</v>
          </cell>
          <cell r="I461" t="str">
            <v>1</v>
          </cell>
        </row>
        <row r="462">
          <cell r="A462" t="str">
            <v>AYACUCHOHUANCA SANCOSCARAPO</v>
          </cell>
          <cell r="B462" t="str">
            <v>05</v>
          </cell>
          <cell r="C462" t="str">
            <v>03</v>
          </cell>
          <cell r="D462" t="str">
            <v>02</v>
          </cell>
          <cell r="E462" t="str">
            <v>AYACUCHO</v>
          </cell>
          <cell r="F462" t="str">
            <v>HUANCA SANCOS</v>
          </cell>
          <cell r="G462" t="str">
            <v>CARAPO</v>
          </cell>
          <cell r="H462" t="str">
            <v>010462</v>
          </cell>
          <cell r="I462" t="str">
            <v>2</v>
          </cell>
        </row>
        <row r="463">
          <cell r="A463" t="str">
            <v>AYACUCHOHUANCA SANCOSSACSAMARCA</v>
          </cell>
          <cell r="B463" t="str">
            <v>05</v>
          </cell>
          <cell r="C463" t="str">
            <v>03</v>
          </cell>
          <cell r="D463" t="str">
            <v>03</v>
          </cell>
          <cell r="E463" t="str">
            <v>AYACUCHO</v>
          </cell>
          <cell r="F463" t="str">
            <v>HUANCA SANCOS</v>
          </cell>
          <cell r="G463" t="str">
            <v>SACSAMARCA</v>
          </cell>
          <cell r="H463" t="str">
            <v>010463</v>
          </cell>
          <cell r="I463" t="str">
            <v>2</v>
          </cell>
        </row>
        <row r="464">
          <cell r="A464" t="str">
            <v>AYACUCHOHUANCA SANCOSSANTIAGO DE LUCANAMARCA</v>
          </cell>
          <cell r="B464" t="str">
            <v>05</v>
          </cell>
          <cell r="C464" t="str">
            <v>03</v>
          </cell>
          <cell r="D464" t="str">
            <v>04</v>
          </cell>
          <cell r="E464" t="str">
            <v>AYACUCHO</v>
          </cell>
          <cell r="F464" t="str">
            <v>HUANCA SANCOS</v>
          </cell>
          <cell r="G464" t="str">
            <v>SANTIAGO DE LUCANAMARCA</v>
          </cell>
          <cell r="H464" t="str">
            <v>010464</v>
          </cell>
          <cell r="I464" t="str">
            <v>2</v>
          </cell>
        </row>
        <row r="465">
          <cell r="A465" t="str">
            <v>AYACUCHOHUANTAHUANTA</v>
          </cell>
          <cell r="B465" t="str">
            <v>05</v>
          </cell>
          <cell r="C465" t="str">
            <v>04</v>
          </cell>
          <cell r="D465" t="str">
            <v>01</v>
          </cell>
          <cell r="E465" t="str">
            <v>AYACUCHO</v>
          </cell>
          <cell r="F465" t="str">
            <v>HUANTA</v>
          </cell>
          <cell r="G465" t="str">
            <v>HUANTA</v>
          </cell>
          <cell r="H465" t="str">
            <v>011974</v>
          </cell>
          <cell r="I465" t="str">
            <v>1</v>
          </cell>
        </row>
        <row r="466">
          <cell r="A466" t="str">
            <v>AYACUCHOHUANTAAYAHUANCO</v>
          </cell>
          <cell r="B466" t="str">
            <v>05</v>
          </cell>
          <cell r="C466" t="str">
            <v>04</v>
          </cell>
          <cell r="D466" t="str">
            <v>02</v>
          </cell>
          <cell r="E466" t="str">
            <v>AYACUCHO</v>
          </cell>
          <cell r="F466" t="str">
            <v>HUANTA</v>
          </cell>
          <cell r="G466" t="str">
            <v>AYAHUANCO</v>
          </cell>
          <cell r="H466" t="str">
            <v>010466</v>
          </cell>
          <cell r="I466" t="str">
            <v>2</v>
          </cell>
        </row>
        <row r="467">
          <cell r="A467" t="str">
            <v>AYACUCHOHUANTAHUAMANGUILLA</v>
          </cell>
          <cell r="B467" t="str">
            <v>05</v>
          </cell>
          <cell r="C467" t="str">
            <v>04</v>
          </cell>
          <cell r="D467" t="str">
            <v>03</v>
          </cell>
          <cell r="E467" t="str">
            <v>AYACUCHO</v>
          </cell>
          <cell r="F467" t="str">
            <v>HUANTA</v>
          </cell>
          <cell r="G467" t="str">
            <v>HUAMANGUILLA</v>
          </cell>
          <cell r="H467" t="str">
            <v>010467</v>
          </cell>
          <cell r="I467" t="str">
            <v>2</v>
          </cell>
        </row>
        <row r="468">
          <cell r="A468" t="str">
            <v>AYACUCHOHUANTAIGUAIN</v>
          </cell>
          <cell r="B468" t="str">
            <v>05</v>
          </cell>
          <cell r="C468" t="str">
            <v>04</v>
          </cell>
          <cell r="D468" t="str">
            <v>04</v>
          </cell>
          <cell r="E468" t="str">
            <v>AYACUCHO</v>
          </cell>
          <cell r="F468" t="str">
            <v>HUANTA</v>
          </cell>
          <cell r="G468" t="str">
            <v>IGUAIN</v>
          </cell>
          <cell r="H468" t="str">
            <v>010468</v>
          </cell>
          <cell r="I468" t="str">
            <v>2</v>
          </cell>
        </row>
        <row r="469">
          <cell r="A469" t="str">
            <v>AYACUCHOHUANTALURICOCHA</v>
          </cell>
          <cell r="B469" t="str">
            <v>05</v>
          </cell>
          <cell r="C469" t="str">
            <v>04</v>
          </cell>
          <cell r="D469" t="str">
            <v>05</v>
          </cell>
          <cell r="E469" t="str">
            <v>AYACUCHO</v>
          </cell>
          <cell r="F469" t="str">
            <v>HUANTA</v>
          </cell>
          <cell r="G469" t="str">
            <v>LURICOCHA</v>
          </cell>
          <cell r="H469" t="str">
            <v>010469</v>
          </cell>
          <cell r="I469" t="str">
            <v>2</v>
          </cell>
        </row>
        <row r="470">
          <cell r="A470" t="str">
            <v>AYACUCHOHUANTASANTILLANA</v>
          </cell>
          <cell r="B470" t="str">
            <v>05</v>
          </cell>
          <cell r="C470" t="str">
            <v>04</v>
          </cell>
          <cell r="D470" t="str">
            <v>06</v>
          </cell>
          <cell r="E470" t="str">
            <v>AYACUCHO</v>
          </cell>
          <cell r="F470" t="str">
            <v>HUANTA</v>
          </cell>
          <cell r="G470" t="str">
            <v>SANTILLANA</v>
          </cell>
          <cell r="H470" t="str">
            <v>010470</v>
          </cell>
          <cell r="I470" t="str">
            <v>2</v>
          </cell>
        </row>
        <row r="471">
          <cell r="A471" t="str">
            <v>AYACUCHOHUANTASIVIA</v>
          </cell>
          <cell r="B471" t="str">
            <v>05</v>
          </cell>
          <cell r="C471" t="str">
            <v>04</v>
          </cell>
          <cell r="D471" t="str">
            <v>07</v>
          </cell>
          <cell r="E471" t="str">
            <v>AYACUCHO</v>
          </cell>
          <cell r="F471" t="str">
            <v>HUANTA</v>
          </cell>
          <cell r="G471" t="str">
            <v>SIVIA</v>
          </cell>
          <cell r="H471" t="str">
            <v>010477</v>
          </cell>
          <cell r="I471" t="str">
            <v>2</v>
          </cell>
        </row>
        <row r="472">
          <cell r="A472" t="str">
            <v>AYACUCHOHUANTALLOCHEGUA</v>
          </cell>
          <cell r="B472" t="str">
            <v>05</v>
          </cell>
          <cell r="C472" t="str">
            <v>04</v>
          </cell>
          <cell r="D472" t="str">
            <v>08</v>
          </cell>
          <cell r="E472" t="str">
            <v>AYACUCHO</v>
          </cell>
          <cell r="F472" t="str">
            <v>HUANTA</v>
          </cell>
          <cell r="G472" t="str">
            <v>LLOCHEGUA</v>
          </cell>
          <cell r="H472" t="str">
            <v>012484</v>
          </cell>
          <cell r="I472" t="str">
            <v>2</v>
          </cell>
        </row>
        <row r="473">
          <cell r="A473" t="str">
            <v>AYACUCHOLA MARSAN MIGUEL</v>
          </cell>
          <cell r="B473" t="str">
            <v>05</v>
          </cell>
          <cell r="C473" t="str">
            <v>05</v>
          </cell>
          <cell r="D473" t="str">
            <v>01</v>
          </cell>
          <cell r="E473" t="str">
            <v>AYACUCHO</v>
          </cell>
          <cell r="F473" t="str">
            <v>LA MAR</v>
          </cell>
          <cell r="G473" t="str">
            <v>SAN MIGUEL</v>
          </cell>
          <cell r="H473" t="str">
            <v>010471</v>
          </cell>
          <cell r="I473" t="str">
            <v>1</v>
          </cell>
        </row>
        <row r="474">
          <cell r="A474" t="str">
            <v>AYACUCHOLA MARANCO</v>
          </cell>
          <cell r="B474" t="str">
            <v>05</v>
          </cell>
          <cell r="C474" t="str">
            <v>05</v>
          </cell>
          <cell r="D474" t="str">
            <v>02</v>
          </cell>
          <cell r="E474" t="str">
            <v>AYACUCHO</v>
          </cell>
          <cell r="F474" t="str">
            <v>LA MAR</v>
          </cell>
          <cell r="G474" t="str">
            <v>ANCO</v>
          </cell>
          <cell r="H474" t="str">
            <v>010472</v>
          </cell>
          <cell r="I474" t="str">
            <v>2</v>
          </cell>
        </row>
        <row r="475">
          <cell r="A475" t="str">
            <v>AYACUCHOLA MARAYNA</v>
          </cell>
          <cell r="B475" t="str">
            <v>05</v>
          </cell>
          <cell r="C475" t="str">
            <v>05</v>
          </cell>
          <cell r="D475" t="str">
            <v>03</v>
          </cell>
          <cell r="E475" t="str">
            <v>AYACUCHO</v>
          </cell>
          <cell r="F475" t="str">
            <v>LA MAR</v>
          </cell>
          <cell r="G475" t="str">
            <v>AYNA</v>
          </cell>
          <cell r="H475" t="str">
            <v>010479</v>
          </cell>
          <cell r="I475" t="str">
            <v>2</v>
          </cell>
        </row>
        <row r="476">
          <cell r="A476" t="str">
            <v>AYACUCHOLA MARCHILCAS</v>
          </cell>
          <cell r="B476" t="str">
            <v>05</v>
          </cell>
          <cell r="C476" t="str">
            <v>05</v>
          </cell>
          <cell r="D476" t="str">
            <v>04</v>
          </cell>
          <cell r="E476" t="str">
            <v>AYACUCHO</v>
          </cell>
          <cell r="F476" t="str">
            <v>LA MAR</v>
          </cell>
          <cell r="G476" t="str">
            <v>CHILCAS</v>
          </cell>
          <cell r="H476" t="str">
            <v>010473</v>
          </cell>
          <cell r="I476" t="str">
            <v>2</v>
          </cell>
        </row>
        <row r="477">
          <cell r="A477" t="str">
            <v>AYACUCHOLA MARCHUNGUI</v>
          </cell>
          <cell r="B477" t="str">
            <v>05</v>
          </cell>
          <cell r="C477" t="str">
            <v>05</v>
          </cell>
          <cell r="D477" t="str">
            <v>05</v>
          </cell>
          <cell r="E477" t="str">
            <v>AYACUCHO</v>
          </cell>
          <cell r="F477" t="str">
            <v>LA MAR</v>
          </cell>
          <cell r="G477" t="str">
            <v>CHUNGUI</v>
          </cell>
          <cell r="H477" t="str">
            <v>012506</v>
          </cell>
          <cell r="I477" t="str">
            <v>2</v>
          </cell>
        </row>
        <row r="478">
          <cell r="A478" t="str">
            <v>AYACUCHOLA MARLUIS CARRANZA</v>
          </cell>
          <cell r="B478" t="str">
            <v>05</v>
          </cell>
          <cell r="C478" t="str">
            <v>05</v>
          </cell>
          <cell r="D478" t="str">
            <v>06</v>
          </cell>
          <cell r="E478" t="str">
            <v>AYACUCHO</v>
          </cell>
          <cell r="F478" t="str">
            <v>LA MAR</v>
          </cell>
          <cell r="G478" t="str">
            <v>LUIS CARRANZA</v>
          </cell>
          <cell r="H478" t="str">
            <v>012482</v>
          </cell>
          <cell r="I478" t="str">
            <v>2</v>
          </cell>
        </row>
        <row r="479">
          <cell r="A479" t="str">
            <v>AYACUCHOLA MARSANTA ROSA</v>
          </cell>
          <cell r="B479" t="str">
            <v>05</v>
          </cell>
          <cell r="C479" t="str">
            <v>05</v>
          </cell>
          <cell r="D479" t="str">
            <v>07</v>
          </cell>
          <cell r="E479" t="str">
            <v>AYACUCHO</v>
          </cell>
          <cell r="F479" t="str">
            <v>LA MAR</v>
          </cell>
          <cell r="G479" t="str">
            <v>SANTA ROSA</v>
          </cell>
          <cell r="H479" t="str">
            <v>010480</v>
          </cell>
          <cell r="I479" t="str">
            <v>2</v>
          </cell>
        </row>
        <row r="480">
          <cell r="A480" t="str">
            <v>AYACUCHOLA MARTAMBO</v>
          </cell>
          <cell r="B480" t="str">
            <v>05</v>
          </cell>
          <cell r="C480" t="str">
            <v>05</v>
          </cell>
          <cell r="D480" t="str">
            <v>08</v>
          </cell>
          <cell r="E480" t="str">
            <v>AYACUCHO</v>
          </cell>
          <cell r="F480" t="str">
            <v>LA MAR</v>
          </cell>
          <cell r="G480" t="str">
            <v>TAMBO</v>
          </cell>
          <cell r="H480" t="str">
            <v>012483</v>
          </cell>
          <cell r="I480" t="str">
            <v>2</v>
          </cell>
        </row>
        <row r="481">
          <cell r="A481" t="str">
            <v>AYACUCHOLUCANASPUQUIO</v>
          </cell>
          <cell r="B481" t="str">
            <v>05</v>
          </cell>
          <cell r="C481" t="str">
            <v>06</v>
          </cell>
          <cell r="D481" t="str">
            <v>01</v>
          </cell>
          <cell r="E481" t="str">
            <v>AYACUCHO</v>
          </cell>
          <cell r="F481" t="str">
            <v>LUCANAS</v>
          </cell>
          <cell r="G481" t="str">
            <v>PUQUIO</v>
          </cell>
          <cell r="H481" t="str">
            <v>010512</v>
          </cell>
          <cell r="I481" t="str">
            <v>1</v>
          </cell>
        </row>
        <row r="482">
          <cell r="A482" t="str">
            <v>AYACUCHOLUCANASAUCARA</v>
          </cell>
          <cell r="B482" t="str">
            <v>05</v>
          </cell>
          <cell r="C482" t="str">
            <v>06</v>
          </cell>
          <cell r="D482" t="str">
            <v>02</v>
          </cell>
          <cell r="E482" t="str">
            <v>AYACUCHO</v>
          </cell>
          <cell r="F482" t="str">
            <v>LUCANAS</v>
          </cell>
          <cell r="G482" t="str">
            <v>AUCARA</v>
          </cell>
          <cell r="H482" t="str">
            <v>010519</v>
          </cell>
          <cell r="I482" t="str">
            <v>2</v>
          </cell>
        </row>
        <row r="483">
          <cell r="A483" t="str">
            <v>AYACUCHOLUCANASCABANA</v>
          </cell>
          <cell r="B483" t="str">
            <v>05</v>
          </cell>
          <cell r="C483" t="str">
            <v>06</v>
          </cell>
          <cell r="D483" t="str">
            <v>03</v>
          </cell>
          <cell r="E483" t="str">
            <v>AYACUCHO</v>
          </cell>
          <cell r="F483" t="str">
            <v>LUCANAS</v>
          </cell>
          <cell r="G483" t="str">
            <v>CABANA</v>
          </cell>
          <cell r="H483" t="str">
            <v>010520</v>
          </cell>
          <cell r="I483" t="str">
            <v>2</v>
          </cell>
        </row>
        <row r="484">
          <cell r="A484" t="str">
            <v>AYACUCHOLUCANASCARMEN SALCEDO</v>
          </cell>
          <cell r="B484" t="str">
            <v>05</v>
          </cell>
          <cell r="C484" t="str">
            <v>06</v>
          </cell>
          <cell r="D484" t="str">
            <v>04</v>
          </cell>
          <cell r="E484" t="str">
            <v>AYACUCHO</v>
          </cell>
          <cell r="F484" t="str">
            <v>LUCANAS</v>
          </cell>
          <cell r="G484" t="str">
            <v>CARMEN SALCEDO</v>
          </cell>
          <cell r="H484" t="str">
            <v>010521</v>
          </cell>
          <cell r="I484" t="str">
            <v>2</v>
          </cell>
        </row>
        <row r="485">
          <cell r="A485" t="str">
            <v>AYACUCHOLUCANASCHAVIÑA</v>
          </cell>
          <cell r="B485" t="str">
            <v>05</v>
          </cell>
          <cell r="C485" t="str">
            <v>06</v>
          </cell>
          <cell r="D485" t="str">
            <v>05</v>
          </cell>
          <cell r="E485" t="str">
            <v>AYACUCHO</v>
          </cell>
          <cell r="F485" t="str">
            <v>LUCANAS</v>
          </cell>
          <cell r="G485" t="str">
            <v>CHAVIÑA</v>
          </cell>
          <cell r="H485" t="str">
            <v>010531</v>
          </cell>
          <cell r="I485" t="str">
            <v>2</v>
          </cell>
        </row>
        <row r="486">
          <cell r="A486" t="str">
            <v>AYACUCHOLUCANASCHIPAO</v>
          </cell>
          <cell r="B486" t="str">
            <v>05</v>
          </cell>
          <cell r="C486" t="str">
            <v>06</v>
          </cell>
          <cell r="D486" t="str">
            <v>06</v>
          </cell>
          <cell r="E486" t="str">
            <v>AYACUCHO</v>
          </cell>
          <cell r="F486" t="str">
            <v>LUCANAS</v>
          </cell>
          <cell r="G486" t="str">
            <v>CHIPAO</v>
          </cell>
          <cell r="H486" t="str">
            <v>012492</v>
          </cell>
          <cell r="I486" t="str">
            <v>2</v>
          </cell>
        </row>
        <row r="487">
          <cell r="A487" t="str">
            <v>AYACUCHOLUCANASHUAC-HUAS</v>
          </cell>
          <cell r="B487" t="str">
            <v>05</v>
          </cell>
          <cell r="C487" t="str">
            <v>06</v>
          </cell>
          <cell r="D487" t="str">
            <v>07</v>
          </cell>
          <cell r="E487" t="str">
            <v>AYACUCHO</v>
          </cell>
          <cell r="F487" t="str">
            <v>LUCANAS</v>
          </cell>
          <cell r="G487" t="str">
            <v>HUAC-HUAS</v>
          </cell>
          <cell r="H487" t="str">
            <v>010524</v>
          </cell>
          <cell r="I487" t="str">
            <v>2</v>
          </cell>
        </row>
        <row r="488">
          <cell r="A488" t="str">
            <v>AYACUCHOLUCANASLARAMATE</v>
          </cell>
          <cell r="B488" t="str">
            <v>05</v>
          </cell>
          <cell r="C488" t="str">
            <v>06</v>
          </cell>
          <cell r="D488" t="str">
            <v>08</v>
          </cell>
          <cell r="E488" t="str">
            <v>AYACUCHO</v>
          </cell>
          <cell r="F488" t="str">
            <v>LUCANAS</v>
          </cell>
          <cell r="G488" t="str">
            <v>LARAMATE</v>
          </cell>
          <cell r="H488" t="str">
            <v>010525</v>
          </cell>
          <cell r="I488" t="str">
            <v>2</v>
          </cell>
        </row>
        <row r="489">
          <cell r="A489" t="str">
            <v>AYACUCHOLUCANASLEONCIO PRADO</v>
          </cell>
          <cell r="B489" t="str">
            <v>05</v>
          </cell>
          <cell r="C489" t="str">
            <v>06</v>
          </cell>
          <cell r="D489" t="str">
            <v>09</v>
          </cell>
          <cell r="E489" t="str">
            <v>AYACUCHO</v>
          </cell>
          <cell r="F489" t="str">
            <v>LUCANAS</v>
          </cell>
          <cell r="G489" t="str">
            <v>LEONCIO PRADO</v>
          </cell>
          <cell r="H489" t="str">
            <v>010513</v>
          </cell>
          <cell r="I489" t="str">
            <v>2</v>
          </cell>
        </row>
        <row r="490">
          <cell r="A490" t="str">
            <v>AYACUCHOLUCANASLLAUTA</v>
          </cell>
          <cell r="B490" t="str">
            <v>05</v>
          </cell>
          <cell r="C490" t="str">
            <v>06</v>
          </cell>
          <cell r="D490" t="str">
            <v>10</v>
          </cell>
          <cell r="E490" t="str">
            <v>AYACUCHO</v>
          </cell>
          <cell r="F490" t="str">
            <v>LUCANAS</v>
          </cell>
          <cell r="G490" t="str">
            <v>LLAUTA</v>
          </cell>
          <cell r="H490" t="str">
            <v>010526</v>
          </cell>
          <cell r="I490" t="str">
            <v>2</v>
          </cell>
        </row>
        <row r="491">
          <cell r="A491" t="str">
            <v>AYACUCHOLUCANASLUCANAS</v>
          </cell>
          <cell r="B491" t="str">
            <v>05</v>
          </cell>
          <cell r="C491" t="str">
            <v>06</v>
          </cell>
          <cell r="D491" t="str">
            <v>11</v>
          </cell>
          <cell r="E491" t="str">
            <v>AYACUCHO</v>
          </cell>
          <cell r="F491" t="str">
            <v>LUCANAS</v>
          </cell>
          <cell r="G491" t="str">
            <v>LUCANAS</v>
          </cell>
          <cell r="H491" t="str">
            <v>012493</v>
          </cell>
          <cell r="I491" t="str">
            <v>2</v>
          </cell>
        </row>
        <row r="492">
          <cell r="A492" t="str">
            <v>AYACUCHOLUCANASOCAÑA</v>
          </cell>
          <cell r="B492" t="str">
            <v>05</v>
          </cell>
          <cell r="C492" t="str">
            <v>06</v>
          </cell>
          <cell r="D492" t="str">
            <v>12</v>
          </cell>
          <cell r="E492" t="str">
            <v>AYACUCHO</v>
          </cell>
          <cell r="F492" t="str">
            <v>LUCANAS</v>
          </cell>
          <cell r="G492" t="str">
            <v>OCAÑA</v>
          </cell>
          <cell r="H492" t="str">
            <v>012494</v>
          </cell>
          <cell r="I492" t="str">
            <v>2</v>
          </cell>
        </row>
        <row r="493">
          <cell r="A493" t="str">
            <v>AYACUCHOLUCANASOTOCA</v>
          </cell>
          <cell r="B493" t="str">
            <v>05</v>
          </cell>
          <cell r="C493" t="str">
            <v>06</v>
          </cell>
          <cell r="D493" t="str">
            <v>13</v>
          </cell>
          <cell r="E493" t="str">
            <v>AYACUCHO</v>
          </cell>
          <cell r="F493" t="str">
            <v>LUCANAS</v>
          </cell>
          <cell r="G493" t="str">
            <v>OTOCA</v>
          </cell>
          <cell r="H493" t="str">
            <v>010529</v>
          </cell>
          <cell r="I493" t="str">
            <v>2</v>
          </cell>
        </row>
        <row r="494">
          <cell r="A494" t="str">
            <v>AYACUCHOLUCANASSAISA</v>
          </cell>
          <cell r="B494" t="str">
            <v>05</v>
          </cell>
          <cell r="C494" t="str">
            <v>06</v>
          </cell>
          <cell r="D494" t="str">
            <v>14</v>
          </cell>
          <cell r="E494" t="str">
            <v>AYACUCHO</v>
          </cell>
          <cell r="F494" t="str">
            <v>LUCANAS</v>
          </cell>
          <cell r="G494" t="str">
            <v>SAISA</v>
          </cell>
          <cell r="H494" t="str">
            <v>010514</v>
          </cell>
          <cell r="I494" t="str">
            <v>2</v>
          </cell>
        </row>
        <row r="495">
          <cell r="A495" t="str">
            <v>AYACUCHOLUCANASSAN CRISTOBAL</v>
          </cell>
          <cell r="B495" t="str">
            <v>05</v>
          </cell>
          <cell r="C495" t="str">
            <v>06</v>
          </cell>
          <cell r="D495" t="str">
            <v>15</v>
          </cell>
          <cell r="E495" t="str">
            <v>AYACUCHO</v>
          </cell>
          <cell r="F495" t="str">
            <v>LUCANAS</v>
          </cell>
          <cell r="G495" t="str">
            <v>SAN CRISTOBAL</v>
          </cell>
          <cell r="H495" t="str">
            <v>010515</v>
          </cell>
          <cell r="I495" t="str">
            <v>2</v>
          </cell>
        </row>
        <row r="496">
          <cell r="A496" t="str">
            <v>AYACUCHOLUCANASSAN JUAN</v>
          </cell>
          <cell r="B496" t="str">
            <v>05</v>
          </cell>
          <cell r="C496" t="str">
            <v>06</v>
          </cell>
          <cell r="D496" t="str">
            <v>16</v>
          </cell>
          <cell r="E496" t="str">
            <v>AYACUCHO</v>
          </cell>
          <cell r="F496" t="str">
            <v>LUCANAS</v>
          </cell>
          <cell r="G496" t="str">
            <v>SAN JUAN</v>
          </cell>
          <cell r="H496" t="str">
            <v>010516</v>
          </cell>
          <cell r="I496" t="str">
            <v>2</v>
          </cell>
        </row>
        <row r="497">
          <cell r="A497" t="str">
            <v>AYACUCHOLUCANASSAN PEDRO</v>
          </cell>
          <cell r="B497" t="str">
            <v>05</v>
          </cell>
          <cell r="C497" t="str">
            <v>06</v>
          </cell>
          <cell r="D497" t="str">
            <v>17</v>
          </cell>
          <cell r="E497" t="str">
            <v>AYACUCHO</v>
          </cell>
          <cell r="F497" t="str">
            <v>LUCANAS</v>
          </cell>
          <cell r="G497" t="str">
            <v>SAN PEDRO</v>
          </cell>
          <cell r="H497" t="str">
            <v>010517</v>
          </cell>
          <cell r="I497" t="str">
            <v>2</v>
          </cell>
        </row>
        <row r="498">
          <cell r="A498" t="str">
            <v>AYACUCHOLUCANASSAN PEDRO DE PALCO</v>
          </cell>
          <cell r="B498" t="str">
            <v>05</v>
          </cell>
          <cell r="C498" t="str">
            <v>06</v>
          </cell>
          <cell r="D498" t="str">
            <v>18</v>
          </cell>
          <cell r="E498" t="str">
            <v>AYACUCHO</v>
          </cell>
          <cell r="F498" t="str">
            <v>LUCANAS</v>
          </cell>
          <cell r="G498" t="str">
            <v>SAN PEDRO DE PALCO</v>
          </cell>
          <cell r="H498" t="str">
            <v>012495</v>
          </cell>
          <cell r="I498" t="str">
            <v>2</v>
          </cell>
        </row>
        <row r="499">
          <cell r="A499" t="str">
            <v>AYACUCHOLUCANASSANCOS</v>
          </cell>
          <cell r="B499" t="str">
            <v>05</v>
          </cell>
          <cell r="C499" t="str">
            <v>06</v>
          </cell>
          <cell r="D499" t="str">
            <v>19</v>
          </cell>
          <cell r="E499" t="str">
            <v>AYACUCHO</v>
          </cell>
          <cell r="F499" t="str">
            <v>LUCANAS</v>
          </cell>
          <cell r="G499" t="str">
            <v>SANCOS</v>
          </cell>
          <cell r="H499" t="str">
            <v>010532</v>
          </cell>
          <cell r="I499" t="str">
            <v>2</v>
          </cell>
        </row>
        <row r="500">
          <cell r="A500" t="str">
            <v>AYACUCHOLUCANASSANTA ANA DE HUAYCAHUACHO</v>
          </cell>
          <cell r="B500" t="str">
            <v>05</v>
          </cell>
          <cell r="C500" t="str">
            <v>06</v>
          </cell>
          <cell r="D500" t="str">
            <v>20</v>
          </cell>
          <cell r="E500" t="str">
            <v>AYACUCHO</v>
          </cell>
          <cell r="F500" t="str">
            <v>LUCANAS</v>
          </cell>
          <cell r="G500" t="str">
            <v>SANTA ANA DE HUAYCAHUACHO</v>
          </cell>
          <cell r="H500" t="str">
            <v>010523</v>
          </cell>
          <cell r="I500" t="str">
            <v>2</v>
          </cell>
        </row>
        <row r="501">
          <cell r="A501" t="str">
            <v>AYACUCHOLUCANASSANTA LUCIA</v>
          </cell>
          <cell r="B501" t="str">
            <v>05</v>
          </cell>
          <cell r="C501" t="str">
            <v>06</v>
          </cell>
          <cell r="D501" t="str">
            <v>21</v>
          </cell>
          <cell r="E501" t="str">
            <v>AYACUCHO</v>
          </cell>
          <cell r="F501" t="str">
            <v>LUCANAS</v>
          </cell>
          <cell r="G501" t="str">
            <v>SANTA LUCIA</v>
          </cell>
          <cell r="H501" t="str">
            <v>010518</v>
          </cell>
          <cell r="I501" t="str">
            <v>2</v>
          </cell>
        </row>
        <row r="502">
          <cell r="A502" t="str">
            <v>AYACUCHOPARINACOCHASCORACORA</v>
          </cell>
          <cell r="B502" t="str">
            <v>05</v>
          </cell>
          <cell r="C502" t="str">
            <v>07</v>
          </cell>
          <cell r="D502" t="str">
            <v>01</v>
          </cell>
          <cell r="E502" t="str">
            <v>AYACUCHO</v>
          </cell>
          <cell r="F502" t="str">
            <v>PARINACOCHAS</v>
          </cell>
          <cell r="G502" t="str">
            <v>CORACORA</v>
          </cell>
          <cell r="H502" t="str">
            <v>012496</v>
          </cell>
          <cell r="I502" t="str">
            <v>1</v>
          </cell>
        </row>
        <row r="503">
          <cell r="A503" t="str">
            <v>AYACUCHOPARINACOCHASCHUMPI</v>
          </cell>
          <cell r="B503" t="str">
            <v>05</v>
          </cell>
          <cell r="C503" t="str">
            <v>07</v>
          </cell>
          <cell r="D503" t="str">
            <v>02</v>
          </cell>
          <cell r="E503" t="str">
            <v>AYACUCHO</v>
          </cell>
          <cell r="F503" t="str">
            <v>PARINACOCHAS</v>
          </cell>
          <cell r="G503" t="str">
            <v>CHUMPI</v>
          </cell>
          <cell r="H503" t="str">
            <v>012497</v>
          </cell>
          <cell r="I503" t="str">
            <v>2</v>
          </cell>
        </row>
        <row r="504">
          <cell r="A504" t="str">
            <v>AYACUCHOPARINACOCHASCORONEL CASTAÑEDA</v>
          </cell>
          <cell r="B504" t="str">
            <v>05</v>
          </cell>
          <cell r="C504" t="str">
            <v>07</v>
          </cell>
          <cell r="D504" t="str">
            <v>03</v>
          </cell>
          <cell r="E504" t="str">
            <v>AYACUCHO</v>
          </cell>
          <cell r="F504" t="str">
            <v>PARINACOCHAS</v>
          </cell>
          <cell r="G504" t="str">
            <v>CORONEL CASTAÑEDA</v>
          </cell>
          <cell r="H504" t="str">
            <v>010535</v>
          </cell>
          <cell r="I504" t="str">
            <v>2</v>
          </cell>
        </row>
        <row r="505">
          <cell r="A505" t="str">
            <v>AYACUCHOPARINACOCHASPACAPAUSA</v>
          </cell>
          <cell r="B505" t="str">
            <v>05</v>
          </cell>
          <cell r="C505" t="str">
            <v>07</v>
          </cell>
          <cell r="D505" t="str">
            <v>04</v>
          </cell>
          <cell r="E505" t="str">
            <v>AYACUCHO</v>
          </cell>
          <cell r="F505" t="str">
            <v>PARINACOCHAS</v>
          </cell>
          <cell r="G505" t="str">
            <v>PACAPAUSA</v>
          </cell>
          <cell r="H505" t="str">
            <v>010536</v>
          </cell>
          <cell r="I505" t="str">
            <v>2</v>
          </cell>
        </row>
        <row r="506">
          <cell r="A506" t="str">
            <v>AYACUCHOPARINACOCHASPULLO</v>
          </cell>
          <cell r="B506" t="str">
            <v>05</v>
          </cell>
          <cell r="C506" t="str">
            <v>07</v>
          </cell>
          <cell r="D506" t="str">
            <v>05</v>
          </cell>
          <cell r="E506" t="str">
            <v>AYACUCHO</v>
          </cell>
          <cell r="F506" t="str">
            <v>PARINACOCHAS</v>
          </cell>
          <cell r="G506" t="str">
            <v>PULLO</v>
          </cell>
          <cell r="H506" t="str">
            <v>012498</v>
          </cell>
          <cell r="I506" t="str">
            <v>2</v>
          </cell>
        </row>
        <row r="507">
          <cell r="A507" t="str">
            <v>AYACUCHOPARINACOCHASPUYUSCA</v>
          </cell>
          <cell r="B507" t="str">
            <v>05</v>
          </cell>
          <cell r="C507" t="str">
            <v>07</v>
          </cell>
          <cell r="D507" t="str">
            <v>06</v>
          </cell>
          <cell r="E507" t="str">
            <v>AYACUCHO</v>
          </cell>
          <cell r="F507" t="str">
            <v>PARINACOCHAS</v>
          </cell>
          <cell r="G507" t="str">
            <v>PUYUSCA</v>
          </cell>
          <cell r="H507" t="str">
            <v>010538</v>
          </cell>
          <cell r="I507" t="str">
            <v>2</v>
          </cell>
        </row>
        <row r="508">
          <cell r="A508" t="str">
            <v>AYACUCHOPARINACOCHASSAN FRANCISCO DE RAVACAYCO</v>
          </cell>
          <cell r="B508" t="str">
            <v>05</v>
          </cell>
          <cell r="C508" t="str">
            <v>07</v>
          </cell>
          <cell r="D508" t="str">
            <v>07</v>
          </cell>
          <cell r="E508" t="str">
            <v>AYACUCHO</v>
          </cell>
          <cell r="F508" t="str">
            <v>PARINACOCHAS</v>
          </cell>
          <cell r="G508" t="str">
            <v>SAN FRANCISCO DE RAVACAYCO</v>
          </cell>
          <cell r="H508" t="str">
            <v>010539</v>
          </cell>
          <cell r="I508" t="str">
            <v>2</v>
          </cell>
        </row>
        <row r="509">
          <cell r="A509" t="str">
            <v>AYACUCHOPARINACOCHASUPAHUACHO</v>
          </cell>
          <cell r="B509" t="str">
            <v>05</v>
          </cell>
          <cell r="C509" t="str">
            <v>07</v>
          </cell>
          <cell r="D509" t="str">
            <v>08</v>
          </cell>
          <cell r="E509" t="str">
            <v>AYACUCHO</v>
          </cell>
          <cell r="F509" t="str">
            <v>PARINACOCHAS</v>
          </cell>
          <cell r="G509" t="str">
            <v>UPAHUACHO</v>
          </cell>
          <cell r="H509" t="str">
            <v>010540</v>
          </cell>
          <cell r="I509" t="str">
            <v>2</v>
          </cell>
        </row>
        <row r="510">
          <cell r="A510" t="str">
            <v>AYACUCHOPAUCAR DEL SARA SARAPAUSA</v>
          </cell>
          <cell r="B510" t="str">
            <v>05</v>
          </cell>
          <cell r="C510" t="str">
            <v>08</v>
          </cell>
          <cell r="D510" t="str">
            <v>01</v>
          </cell>
          <cell r="E510" t="str">
            <v>AYACUCHO</v>
          </cell>
          <cell r="F510" t="str">
            <v>PAUCAR DEL SARA SARA</v>
          </cell>
          <cell r="G510" t="str">
            <v>PAUSA</v>
          </cell>
          <cell r="H510" t="str">
            <v>010541</v>
          </cell>
          <cell r="I510" t="str">
            <v>1</v>
          </cell>
        </row>
        <row r="511">
          <cell r="A511" t="str">
            <v>AYACUCHOPAUCAR DEL SARA SARACOLTA</v>
          </cell>
          <cell r="B511" t="str">
            <v>05</v>
          </cell>
          <cell r="C511" t="str">
            <v>08</v>
          </cell>
          <cell r="D511" t="str">
            <v>02</v>
          </cell>
          <cell r="E511" t="str">
            <v>AYACUCHO</v>
          </cell>
          <cell r="F511" t="str">
            <v>PAUCAR DEL SARA SARA</v>
          </cell>
          <cell r="G511" t="str">
            <v>COLTA</v>
          </cell>
          <cell r="H511" t="str">
            <v>010542</v>
          </cell>
          <cell r="I511" t="str">
            <v>2</v>
          </cell>
        </row>
        <row r="512">
          <cell r="A512" t="str">
            <v>AYACUCHOPAUCAR DEL SARA SARACORCULLA</v>
          </cell>
          <cell r="B512" t="str">
            <v>05</v>
          </cell>
          <cell r="C512" t="str">
            <v>08</v>
          </cell>
          <cell r="D512" t="str">
            <v>03</v>
          </cell>
          <cell r="E512" t="str">
            <v>AYACUCHO</v>
          </cell>
          <cell r="F512" t="str">
            <v>PAUCAR DEL SARA SARA</v>
          </cell>
          <cell r="G512" t="str">
            <v>CORCULLA</v>
          </cell>
          <cell r="H512" t="str">
            <v>010543</v>
          </cell>
          <cell r="I512" t="str">
            <v>2</v>
          </cell>
        </row>
        <row r="513">
          <cell r="A513" t="str">
            <v>AYACUCHOPAUCAR DEL SARA SARALAMPA</v>
          </cell>
          <cell r="B513" t="str">
            <v>05</v>
          </cell>
          <cell r="C513" t="str">
            <v>08</v>
          </cell>
          <cell r="D513" t="str">
            <v>04</v>
          </cell>
          <cell r="E513" t="str">
            <v>AYACUCHO</v>
          </cell>
          <cell r="F513" t="str">
            <v>PAUCAR DEL SARA SARA</v>
          </cell>
          <cell r="G513" t="str">
            <v>LAMPA</v>
          </cell>
          <cell r="H513" t="str">
            <v>012501</v>
          </cell>
          <cell r="I513" t="str">
            <v>2</v>
          </cell>
        </row>
        <row r="514">
          <cell r="A514" t="str">
            <v>AYACUCHOPAUCAR DEL SARA SARAMARCABAMBA</v>
          </cell>
          <cell r="B514" t="str">
            <v>05</v>
          </cell>
          <cell r="C514" t="str">
            <v>08</v>
          </cell>
          <cell r="D514" t="str">
            <v>05</v>
          </cell>
          <cell r="E514" t="str">
            <v>AYACUCHO</v>
          </cell>
          <cell r="F514" t="str">
            <v>PAUCAR DEL SARA SARA</v>
          </cell>
          <cell r="G514" t="str">
            <v>MARCABAMBA</v>
          </cell>
          <cell r="H514" t="str">
            <v>010545</v>
          </cell>
          <cell r="I514" t="str">
            <v>2</v>
          </cell>
        </row>
        <row r="515">
          <cell r="A515" t="str">
            <v>AYACUCHOPAUCAR DEL SARA SARAOYOLO</v>
          </cell>
          <cell r="B515" t="str">
            <v>05</v>
          </cell>
          <cell r="C515" t="str">
            <v>08</v>
          </cell>
          <cell r="D515" t="str">
            <v>06</v>
          </cell>
          <cell r="E515" t="str">
            <v>AYACUCHO</v>
          </cell>
          <cell r="F515" t="str">
            <v>PAUCAR DEL SARA SARA</v>
          </cell>
          <cell r="G515" t="str">
            <v>OYOLO</v>
          </cell>
          <cell r="H515" t="str">
            <v>010546</v>
          </cell>
          <cell r="I515" t="str">
            <v>2</v>
          </cell>
        </row>
        <row r="516">
          <cell r="A516" t="str">
            <v>AYACUCHOPAUCAR DEL SARA SARAPARARCA</v>
          </cell>
          <cell r="B516" t="str">
            <v>05</v>
          </cell>
          <cell r="C516" t="str">
            <v>08</v>
          </cell>
          <cell r="D516" t="str">
            <v>07</v>
          </cell>
          <cell r="E516" t="str">
            <v>AYACUCHO</v>
          </cell>
          <cell r="F516" t="str">
            <v>PAUCAR DEL SARA SARA</v>
          </cell>
          <cell r="G516" t="str">
            <v>PARARCA</v>
          </cell>
          <cell r="H516" t="str">
            <v>010547</v>
          </cell>
          <cell r="I516" t="str">
            <v>2</v>
          </cell>
        </row>
        <row r="517">
          <cell r="A517" t="str">
            <v>AYACUCHOPAUCAR DEL SARA SARASAN JAVIER DE ALPABAMBA</v>
          </cell>
          <cell r="B517" t="str">
            <v>05</v>
          </cell>
          <cell r="C517" t="str">
            <v>08</v>
          </cell>
          <cell r="D517" t="str">
            <v>08</v>
          </cell>
          <cell r="E517" t="str">
            <v>AYACUCHO</v>
          </cell>
          <cell r="F517" t="str">
            <v>PAUCAR DEL SARA SARA</v>
          </cell>
          <cell r="G517" t="str">
            <v>SAN JAVIER DE ALPABAMBA</v>
          </cell>
          <cell r="H517" t="str">
            <v>012503</v>
          </cell>
          <cell r="I517" t="str">
            <v>2</v>
          </cell>
        </row>
        <row r="518">
          <cell r="A518" t="str">
            <v>AYACUCHOPAUCAR DEL SARA SARASAN JOSE DE USHUA</v>
          </cell>
          <cell r="B518" t="str">
            <v>05</v>
          </cell>
          <cell r="C518" t="str">
            <v>08</v>
          </cell>
          <cell r="D518" t="str">
            <v>09</v>
          </cell>
          <cell r="E518" t="str">
            <v>AYACUCHO</v>
          </cell>
          <cell r="F518" t="str">
            <v>PAUCAR DEL SARA SARA</v>
          </cell>
          <cell r="G518" t="str">
            <v>SAN JOSE DE USHUA</v>
          </cell>
          <cell r="H518" t="str">
            <v>012504</v>
          </cell>
          <cell r="I518" t="str">
            <v>2</v>
          </cell>
        </row>
        <row r="519">
          <cell r="A519" t="str">
            <v>AYACUCHOPAUCAR DEL SARA SARASARA SARA</v>
          </cell>
          <cell r="B519" t="str">
            <v>05</v>
          </cell>
          <cell r="C519" t="str">
            <v>08</v>
          </cell>
          <cell r="D519" t="str">
            <v>10</v>
          </cell>
          <cell r="E519" t="str">
            <v>AYACUCHO</v>
          </cell>
          <cell r="F519" t="str">
            <v>PAUCAR DEL SARA SARA</v>
          </cell>
          <cell r="G519" t="str">
            <v>SARA SARA</v>
          </cell>
          <cell r="H519" t="str">
            <v>010550</v>
          </cell>
          <cell r="I519" t="str">
            <v>2</v>
          </cell>
        </row>
        <row r="520">
          <cell r="A520" t="str">
            <v>AYACUCHOSUCREQUEROBAMBA</v>
          </cell>
          <cell r="B520" t="str">
            <v>05</v>
          </cell>
          <cell r="C520" t="str">
            <v>09</v>
          </cell>
          <cell r="D520" t="str">
            <v>01</v>
          </cell>
          <cell r="E520" t="str">
            <v>AYACUCHO</v>
          </cell>
          <cell r="F520" t="str">
            <v>SUCRE</v>
          </cell>
          <cell r="G520" t="str">
            <v>QUEROBAMBA</v>
          </cell>
          <cell r="H520" t="str">
            <v>010481</v>
          </cell>
          <cell r="I520" t="str">
            <v>1</v>
          </cell>
        </row>
        <row r="521">
          <cell r="A521" t="str">
            <v>AYACUCHOSUCREBELEN</v>
          </cell>
          <cell r="B521" t="str">
            <v>05</v>
          </cell>
          <cell r="C521" t="str">
            <v>09</v>
          </cell>
          <cell r="D521" t="str">
            <v>02</v>
          </cell>
          <cell r="E521" t="str">
            <v>AYACUCHO</v>
          </cell>
          <cell r="F521" t="str">
            <v>SUCRE</v>
          </cell>
          <cell r="G521" t="str">
            <v>BELEN</v>
          </cell>
          <cell r="H521" t="str">
            <v>010482</v>
          </cell>
          <cell r="I521" t="str">
            <v>2</v>
          </cell>
        </row>
        <row r="522">
          <cell r="A522" t="str">
            <v>AYACUCHOSUCRECHALCOS</v>
          </cell>
          <cell r="B522" t="str">
            <v>05</v>
          </cell>
          <cell r="C522" t="str">
            <v>09</v>
          </cell>
          <cell r="D522" t="str">
            <v>03</v>
          </cell>
          <cell r="E522" t="str">
            <v>AYACUCHO</v>
          </cell>
          <cell r="F522" t="str">
            <v>SUCRE</v>
          </cell>
          <cell r="G522" t="str">
            <v>CHALCOS</v>
          </cell>
          <cell r="H522" t="str">
            <v>010483</v>
          </cell>
          <cell r="I522" t="str">
            <v>2</v>
          </cell>
        </row>
        <row r="523">
          <cell r="A523" t="str">
            <v>AYACUCHOSUCRECHILCAYOC</v>
          </cell>
          <cell r="B523" t="str">
            <v>05</v>
          </cell>
          <cell r="C523" t="str">
            <v>09</v>
          </cell>
          <cell r="D523" t="str">
            <v>04</v>
          </cell>
          <cell r="E523" t="str">
            <v>AYACUCHO</v>
          </cell>
          <cell r="F523" t="str">
            <v>SUCRE</v>
          </cell>
          <cell r="G523" t="str">
            <v>CHILCAYOC</v>
          </cell>
          <cell r="H523" t="str">
            <v>010484</v>
          </cell>
          <cell r="I523" t="str">
            <v>2</v>
          </cell>
        </row>
        <row r="524">
          <cell r="A524" t="str">
            <v>AYACUCHOSUCREHUACAÑA</v>
          </cell>
          <cell r="B524" t="str">
            <v>05</v>
          </cell>
          <cell r="C524" t="str">
            <v>09</v>
          </cell>
          <cell r="D524" t="str">
            <v>05</v>
          </cell>
          <cell r="E524" t="str">
            <v>AYACUCHO</v>
          </cell>
          <cell r="F524" t="str">
            <v>SUCRE</v>
          </cell>
          <cell r="G524" t="str">
            <v>HUACAÑA</v>
          </cell>
          <cell r="H524" t="str">
            <v>010485</v>
          </cell>
          <cell r="I524" t="str">
            <v>2</v>
          </cell>
        </row>
        <row r="525">
          <cell r="A525" t="str">
            <v>AYACUCHOSUCREMORCOLLA</v>
          </cell>
          <cell r="B525" t="str">
            <v>05</v>
          </cell>
          <cell r="C525" t="str">
            <v>09</v>
          </cell>
          <cell r="D525" t="str">
            <v>06</v>
          </cell>
          <cell r="E525" t="str">
            <v>AYACUCHO</v>
          </cell>
          <cell r="F525" t="str">
            <v>SUCRE</v>
          </cell>
          <cell r="G525" t="str">
            <v>MORCOLLA</v>
          </cell>
          <cell r="H525" t="str">
            <v>012499</v>
          </cell>
          <cell r="I525" t="str">
            <v>2</v>
          </cell>
        </row>
        <row r="526">
          <cell r="A526" t="str">
            <v>AYACUCHOSUCREPAICO</v>
          </cell>
          <cell r="B526" t="str">
            <v>05</v>
          </cell>
          <cell r="C526" t="str">
            <v>09</v>
          </cell>
          <cell r="D526" t="str">
            <v>07</v>
          </cell>
          <cell r="E526" t="str">
            <v>AYACUCHO</v>
          </cell>
          <cell r="F526" t="str">
            <v>SUCRE</v>
          </cell>
          <cell r="G526" t="str">
            <v>PAICO</v>
          </cell>
          <cell r="H526" t="str">
            <v>012485</v>
          </cell>
          <cell r="I526" t="str">
            <v>2</v>
          </cell>
        </row>
        <row r="527">
          <cell r="A527" t="str">
            <v>AYACUCHOSUCRESAN PEDRO DE LARCAY</v>
          </cell>
          <cell r="B527" t="str">
            <v>05</v>
          </cell>
          <cell r="C527" t="str">
            <v>09</v>
          </cell>
          <cell r="D527" t="str">
            <v>08</v>
          </cell>
          <cell r="E527" t="str">
            <v>AYACUCHO</v>
          </cell>
          <cell r="F527" t="str">
            <v>SUCRE</v>
          </cell>
          <cell r="G527" t="str">
            <v>SAN PEDRO DE LARCAY</v>
          </cell>
          <cell r="H527" t="str">
            <v>010488</v>
          </cell>
          <cell r="I527" t="str">
            <v>2</v>
          </cell>
        </row>
        <row r="528">
          <cell r="A528" t="str">
            <v>AYACUCHOSUCRESAN SALVADOR DE QUIJE</v>
          </cell>
          <cell r="B528" t="str">
            <v>05</v>
          </cell>
          <cell r="C528" t="str">
            <v>09</v>
          </cell>
          <cell r="D528" t="str">
            <v>09</v>
          </cell>
          <cell r="E528" t="str">
            <v>AYACUCHO</v>
          </cell>
          <cell r="F528" t="str">
            <v>SUCRE</v>
          </cell>
          <cell r="G528" t="str">
            <v>SAN SALVADOR DE QUIJE</v>
          </cell>
          <cell r="H528" t="str">
            <v>010489</v>
          </cell>
          <cell r="I528" t="str">
            <v>2</v>
          </cell>
        </row>
        <row r="529">
          <cell r="A529" t="str">
            <v>AYACUCHOSUCRESANTIAGO DE PAUCARAY</v>
          </cell>
          <cell r="B529" t="str">
            <v>05</v>
          </cell>
          <cell r="C529" t="str">
            <v>09</v>
          </cell>
          <cell r="D529" t="str">
            <v>10</v>
          </cell>
          <cell r="E529" t="str">
            <v>AYACUCHO</v>
          </cell>
          <cell r="F529" t="str">
            <v>SUCRE</v>
          </cell>
          <cell r="G529" t="str">
            <v>SANTIAGO DE PAUCARAY</v>
          </cell>
          <cell r="H529" t="str">
            <v>010490</v>
          </cell>
          <cell r="I529" t="str">
            <v>2</v>
          </cell>
        </row>
        <row r="530">
          <cell r="A530" t="str">
            <v>AYACUCHOSUCRESORAS</v>
          </cell>
          <cell r="B530" t="str">
            <v>05</v>
          </cell>
          <cell r="C530" t="str">
            <v>09</v>
          </cell>
          <cell r="D530" t="str">
            <v>11</v>
          </cell>
          <cell r="E530" t="str">
            <v>AYACUCHO</v>
          </cell>
          <cell r="F530" t="str">
            <v>SUCRE</v>
          </cell>
          <cell r="G530" t="str">
            <v>SORAS</v>
          </cell>
          <cell r="H530" t="str">
            <v>010491</v>
          </cell>
          <cell r="I530" t="str">
            <v>2</v>
          </cell>
        </row>
        <row r="531">
          <cell r="A531" t="str">
            <v>AYACUCHOVICTOR FAJARDOHUANCAPI</v>
          </cell>
          <cell r="B531" t="str">
            <v>05</v>
          </cell>
          <cell r="C531" t="str">
            <v>10</v>
          </cell>
          <cell r="D531" t="str">
            <v>01</v>
          </cell>
          <cell r="E531" t="str">
            <v>AYACUCHO</v>
          </cell>
          <cell r="F531" t="str">
            <v>VICTOR FAJARDO</v>
          </cell>
          <cell r="G531" t="str">
            <v>HUANCAPI</v>
          </cell>
          <cell r="H531" t="str">
            <v>010492</v>
          </cell>
          <cell r="I531" t="str">
            <v>1</v>
          </cell>
        </row>
        <row r="532">
          <cell r="A532" t="str">
            <v>AYACUCHOVICTOR FAJARDOALCAMENCA</v>
          </cell>
          <cell r="B532" t="str">
            <v>05</v>
          </cell>
          <cell r="C532" t="str">
            <v>10</v>
          </cell>
          <cell r="D532" t="str">
            <v>02</v>
          </cell>
          <cell r="E532" t="str">
            <v>AYACUCHO</v>
          </cell>
          <cell r="F532" t="str">
            <v>VICTOR FAJARDO</v>
          </cell>
          <cell r="G532" t="str">
            <v>ALCAMENCA</v>
          </cell>
          <cell r="H532" t="str">
            <v>010493</v>
          </cell>
          <cell r="I532" t="str">
            <v>2</v>
          </cell>
        </row>
        <row r="533">
          <cell r="A533" t="str">
            <v>AYACUCHOVICTOR FAJARDOAPONGO</v>
          </cell>
          <cell r="B533" t="str">
            <v>05</v>
          </cell>
          <cell r="C533" t="str">
            <v>10</v>
          </cell>
          <cell r="D533" t="str">
            <v>03</v>
          </cell>
          <cell r="E533" t="str">
            <v>AYACUCHO</v>
          </cell>
          <cell r="F533" t="str">
            <v>VICTOR FAJARDO</v>
          </cell>
          <cell r="G533" t="str">
            <v>APONGO</v>
          </cell>
          <cell r="H533" t="str">
            <v>010494</v>
          </cell>
          <cell r="I533" t="str">
            <v>2</v>
          </cell>
        </row>
        <row r="534">
          <cell r="A534" t="str">
            <v>AYACUCHOVICTOR FAJARDOASQUIPATA</v>
          </cell>
          <cell r="B534" t="str">
            <v>05</v>
          </cell>
          <cell r="C534" t="str">
            <v>10</v>
          </cell>
          <cell r="D534" t="str">
            <v>04</v>
          </cell>
          <cell r="E534" t="str">
            <v>AYACUCHO</v>
          </cell>
          <cell r="F534" t="str">
            <v>VICTOR FAJARDO</v>
          </cell>
          <cell r="G534" t="str">
            <v>ASQUIPATA</v>
          </cell>
          <cell r="H534" t="str">
            <v>010495</v>
          </cell>
          <cell r="I534" t="str">
            <v>2</v>
          </cell>
        </row>
        <row r="535">
          <cell r="A535" t="str">
            <v>AYACUCHOVICTOR FAJARDOCANARIA</v>
          </cell>
          <cell r="B535" t="str">
            <v>05</v>
          </cell>
          <cell r="C535" t="str">
            <v>10</v>
          </cell>
          <cell r="D535" t="str">
            <v>05</v>
          </cell>
          <cell r="E535" t="str">
            <v>AYACUCHO</v>
          </cell>
          <cell r="F535" t="str">
            <v>VICTOR FAJARDO</v>
          </cell>
          <cell r="G535" t="str">
            <v>CANARIA</v>
          </cell>
          <cell r="H535" t="str">
            <v>010496</v>
          </cell>
          <cell r="I535" t="str">
            <v>2</v>
          </cell>
        </row>
        <row r="536">
          <cell r="A536" t="str">
            <v>AYACUCHOVICTOR FAJARDOCAYARA</v>
          </cell>
          <cell r="B536" t="str">
            <v>05</v>
          </cell>
          <cell r="C536" t="str">
            <v>10</v>
          </cell>
          <cell r="D536" t="str">
            <v>06</v>
          </cell>
          <cell r="E536" t="str">
            <v>AYACUCHO</v>
          </cell>
          <cell r="F536" t="str">
            <v>VICTOR FAJARDO</v>
          </cell>
          <cell r="G536" t="str">
            <v>CAYARA</v>
          </cell>
          <cell r="H536" t="str">
            <v>010497</v>
          </cell>
          <cell r="I536" t="str">
            <v>2</v>
          </cell>
        </row>
        <row r="537">
          <cell r="A537" t="str">
            <v>AYACUCHOVICTOR FAJARDOCOLCA</v>
          </cell>
          <cell r="B537" t="str">
            <v>05</v>
          </cell>
          <cell r="C537" t="str">
            <v>10</v>
          </cell>
          <cell r="D537" t="str">
            <v>07</v>
          </cell>
          <cell r="E537" t="str">
            <v>AYACUCHO</v>
          </cell>
          <cell r="F537" t="str">
            <v>VICTOR FAJARDO</v>
          </cell>
          <cell r="G537" t="str">
            <v>COLCA</v>
          </cell>
          <cell r="H537" t="str">
            <v>011967</v>
          </cell>
          <cell r="I537" t="str">
            <v>2</v>
          </cell>
        </row>
        <row r="538">
          <cell r="A538" t="str">
            <v>AYACUCHOVICTOR FAJARDOHUAMANQUIQUIA</v>
          </cell>
          <cell r="B538" t="str">
            <v>05</v>
          </cell>
          <cell r="C538" t="str">
            <v>10</v>
          </cell>
          <cell r="D538" t="str">
            <v>08</v>
          </cell>
          <cell r="E538" t="str">
            <v>AYACUCHO</v>
          </cell>
          <cell r="F538" t="str">
            <v>VICTOR FAJARDO</v>
          </cell>
          <cell r="G538" t="str">
            <v>HUAMANQUIQUIA</v>
          </cell>
          <cell r="H538" t="str">
            <v>012486</v>
          </cell>
          <cell r="I538" t="str">
            <v>2</v>
          </cell>
        </row>
        <row r="539">
          <cell r="A539" t="str">
            <v>AYACUCHOVICTOR FAJARDOHUANCARAYLLA</v>
          </cell>
          <cell r="B539" t="str">
            <v>05</v>
          </cell>
          <cell r="C539" t="str">
            <v>10</v>
          </cell>
          <cell r="D539" t="str">
            <v>09</v>
          </cell>
          <cell r="E539" t="str">
            <v>AYACUCHO</v>
          </cell>
          <cell r="F539" t="str">
            <v>VICTOR FAJARDO</v>
          </cell>
          <cell r="G539" t="str">
            <v>HUANCARAYLLA</v>
          </cell>
          <cell r="H539" t="str">
            <v>010500</v>
          </cell>
          <cell r="I539" t="str">
            <v>2</v>
          </cell>
        </row>
        <row r="540">
          <cell r="A540" t="str">
            <v>AYACUCHOVICTOR FAJARDOHUAYA</v>
          </cell>
          <cell r="B540" t="str">
            <v>05</v>
          </cell>
          <cell r="C540" t="str">
            <v>10</v>
          </cell>
          <cell r="D540" t="str">
            <v>10</v>
          </cell>
          <cell r="E540" t="str">
            <v>AYACUCHO</v>
          </cell>
          <cell r="F540" t="str">
            <v>VICTOR FAJARDO</v>
          </cell>
          <cell r="G540" t="str">
            <v>HUAYA</v>
          </cell>
          <cell r="H540" t="str">
            <v>010501</v>
          </cell>
          <cell r="I540" t="str">
            <v>2</v>
          </cell>
        </row>
        <row r="541">
          <cell r="A541" t="str">
            <v>AYACUCHOVICTOR FAJARDOSARHUA</v>
          </cell>
          <cell r="B541" t="str">
            <v>05</v>
          </cell>
          <cell r="C541" t="str">
            <v>10</v>
          </cell>
          <cell r="D541" t="str">
            <v>11</v>
          </cell>
          <cell r="E541" t="str">
            <v>AYACUCHO</v>
          </cell>
          <cell r="F541" t="str">
            <v>VICTOR FAJARDO</v>
          </cell>
          <cell r="G541" t="str">
            <v>SARHUA</v>
          </cell>
          <cell r="H541" t="str">
            <v>010502</v>
          </cell>
          <cell r="I541" t="str">
            <v>2</v>
          </cell>
        </row>
        <row r="542">
          <cell r="A542" t="str">
            <v>AYACUCHOVICTOR FAJARDOVILCANCHOS</v>
          </cell>
          <cell r="B542" t="str">
            <v>05</v>
          </cell>
          <cell r="C542" t="str">
            <v>10</v>
          </cell>
          <cell r="D542" t="str">
            <v>12</v>
          </cell>
          <cell r="E542" t="str">
            <v>AYACUCHO</v>
          </cell>
          <cell r="F542" t="str">
            <v>VICTOR FAJARDO</v>
          </cell>
          <cell r="G542" t="str">
            <v>VILCANCHOS</v>
          </cell>
          <cell r="H542" t="str">
            <v>010503</v>
          </cell>
          <cell r="I542" t="str">
            <v>2</v>
          </cell>
        </row>
        <row r="543">
          <cell r="A543" t="str">
            <v>AYACUCHOVILCAS HUAMANVILCAS HUAMAN</v>
          </cell>
          <cell r="B543" t="str">
            <v>05</v>
          </cell>
          <cell r="C543" t="str">
            <v>11</v>
          </cell>
          <cell r="D543" t="str">
            <v>01</v>
          </cell>
          <cell r="E543" t="str">
            <v>AYACUCHO</v>
          </cell>
          <cell r="F543" t="str">
            <v>VILCAS HUAMAN</v>
          </cell>
          <cell r="G543" t="str">
            <v>VILCAS HUAMAN</v>
          </cell>
          <cell r="H543" t="str">
            <v>010504</v>
          </cell>
          <cell r="I543" t="str">
            <v>1</v>
          </cell>
        </row>
        <row r="544">
          <cell r="A544" t="str">
            <v>AYACUCHOVILCAS HUAMANACCOMARCA</v>
          </cell>
          <cell r="B544" t="str">
            <v>05</v>
          </cell>
          <cell r="C544" t="str">
            <v>11</v>
          </cell>
          <cell r="D544" t="str">
            <v>02</v>
          </cell>
          <cell r="E544" t="str">
            <v>AYACUCHO</v>
          </cell>
          <cell r="F544" t="str">
            <v>VILCAS HUAMAN</v>
          </cell>
          <cell r="G544" t="str">
            <v>ACCOMARCA</v>
          </cell>
          <cell r="H544" t="str">
            <v>010505</v>
          </cell>
          <cell r="I544" t="str">
            <v>2</v>
          </cell>
        </row>
        <row r="545">
          <cell r="A545" t="str">
            <v>AYACUCHOVILCAS HUAMANCARHUANCA</v>
          </cell>
          <cell r="B545" t="str">
            <v>05</v>
          </cell>
          <cell r="C545" t="str">
            <v>11</v>
          </cell>
          <cell r="D545" t="str">
            <v>03</v>
          </cell>
          <cell r="E545" t="str">
            <v>AYACUCHO</v>
          </cell>
          <cell r="F545" t="str">
            <v>VILCAS HUAMAN</v>
          </cell>
          <cell r="G545" t="str">
            <v>CARHUANCA</v>
          </cell>
          <cell r="H545" t="str">
            <v>010506</v>
          </cell>
          <cell r="I545" t="str">
            <v>2</v>
          </cell>
        </row>
        <row r="546">
          <cell r="A546" t="str">
            <v>AYACUCHOVILCAS HUAMANCONCEPCION</v>
          </cell>
          <cell r="B546" t="str">
            <v>05</v>
          </cell>
          <cell r="C546" t="str">
            <v>11</v>
          </cell>
          <cell r="D546" t="str">
            <v>04</v>
          </cell>
          <cell r="E546" t="str">
            <v>AYACUCHO</v>
          </cell>
          <cell r="F546" t="str">
            <v>VILCAS HUAMAN</v>
          </cell>
          <cell r="G546" t="str">
            <v>CONCEPCION</v>
          </cell>
          <cell r="H546" t="str">
            <v>010507</v>
          </cell>
          <cell r="I546" t="str">
            <v>2</v>
          </cell>
        </row>
        <row r="547">
          <cell r="A547" t="str">
            <v>AYACUCHOVILCAS HUAMANHUAMBALPA</v>
          </cell>
          <cell r="B547" t="str">
            <v>05</v>
          </cell>
          <cell r="C547" t="str">
            <v>11</v>
          </cell>
          <cell r="D547" t="str">
            <v>05</v>
          </cell>
          <cell r="E547" t="str">
            <v>AYACUCHO</v>
          </cell>
          <cell r="F547" t="str">
            <v>VILCAS HUAMAN</v>
          </cell>
          <cell r="G547" t="str">
            <v>HUAMBALPA</v>
          </cell>
          <cell r="H547" t="str">
            <v>010508</v>
          </cell>
          <cell r="I547" t="str">
            <v>2</v>
          </cell>
        </row>
        <row r="548">
          <cell r="A548" t="str">
            <v>AYACUCHOVILCAS HUAMANINDEPENDENCIA</v>
          </cell>
          <cell r="B548" t="str">
            <v>05</v>
          </cell>
          <cell r="C548" t="str">
            <v>11</v>
          </cell>
          <cell r="D548" t="str">
            <v>06</v>
          </cell>
          <cell r="E548" t="str">
            <v>AYACUCHO</v>
          </cell>
          <cell r="F548" t="str">
            <v>VILCAS HUAMAN</v>
          </cell>
          <cell r="G548" t="str">
            <v>INDEPENDENCIA</v>
          </cell>
          <cell r="H548" t="str">
            <v>011973</v>
          </cell>
          <cell r="I548" t="str">
            <v>2</v>
          </cell>
        </row>
        <row r="549">
          <cell r="A549" t="str">
            <v>AYACUCHOVILCAS HUAMANSAURAMA</v>
          </cell>
          <cell r="B549" t="str">
            <v>05</v>
          </cell>
          <cell r="C549" t="str">
            <v>11</v>
          </cell>
          <cell r="D549" t="str">
            <v>07</v>
          </cell>
          <cell r="E549" t="str">
            <v>AYACUCHO</v>
          </cell>
          <cell r="F549" t="str">
            <v>VILCAS HUAMAN</v>
          </cell>
          <cell r="G549" t="str">
            <v>SAURAMA</v>
          </cell>
          <cell r="H549" t="str">
            <v>010510</v>
          </cell>
          <cell r="I549" t="str">
            <v>2</v>
          </cell>
        </row>
        <row r="550">
          <cell r="A550" t="str">
            <v>AYACUCHOVILCAS HUAMANVISCHONGO</v>
          </cell>
          <cell r="B550" t="str">
            <v>05</v>
          </cell>
          <cell r="C550" t="str">
            <v>11</v>
          </cell>
          <cell r="D550" t="str">
            <v>08</v>
          </cell>
          <cell r="E550" t="str">
            <v>AYACUCHO</v>
          </cell>
          <cell r="F550" t="str">
            <v>VILCAS HUAMAN</v>
          </cell>
          <cell r="G550" t="str">
            <v>VISCHONGO</v>
          </cell>
          <cell r="H550" t="str">
            <v>012491</v>
          </cell>
          <cell r="I550" t="str">
            <v>2</v>
          </cell>
        </row>
        <row r="551">
          <cell r="A551" t="str">
            <v>CAJAMARCACAJAMARCACAJAMARCA</v>
          </cell>
          <cell r="B551" t="str">
            <v>06</v>
          </cell>
          <cell r="C551" t="str">
            <v>01</v>
          </cell>
          <cell r="D551" t="str">
            <v>01</v>
          </cell>
          <cell r="E551" t="str">
            <v>CAJAMARCA</v>
          </cell>
          <cell r="F551" t="str">
            <v>CAJAMARCA</v>
          </cell>
          <cell r="G551" t="str">
            <v>CAJAMARCA</v>
          </cell>
          <cell r="H551" t="str">
            <v>010551</v>
          </cell>
          <cell r="I551" t="str">
            <v>1</v>
          </cell>
        </row>
        <row r="552">
          <cell r="A552" t="str">
            <v>CAJAMARCACAJAMARCAASUNCION</v>
          </cell>
          <cell r="B552" t="str">
            <v>06</v>
          </cell>
          <cell r="C552" t="str">
            <v>01</v>
          </cell>
          <cell r="D552" t="str">
            <v>02</v>
          </cell>
          <cell r="E552" t="str">
            <v>CAJAMARCA</v>
          </cell>
          <cell r="F552" t="str">
            <v>CAJAMARCA</v>
          </cell>
          <cell r="G552" t="str">
            <v>ASUNCION</v>
          </cell>
          <cell r="H552" t="str">
            <v>010557</v>
          </cell>
          <cell r="I552" t="str">
            <v>2</v>
          </cell>
        </row>
        <row r="553">
          <cell r="A553" t="str">
            <v>CAJAMARCACAJAMARCACHETILLA</v>
          </cell>
          <cell r="B553" t="str">
            <v>06</v>
          </cell>
          <cell r="C553" t="str">
            <v>01</v>
          </cell>
          <cell r="D553" t="str">
            <v>03</v>
          </cell>
          <cell r="E553" t="str">
            <v>CAJAMARCA</v>
          </cell>
          <cell r="F553" t="str">
            <v>CAJAMARCA</v>
          </cell>
          <cell r="G553" t="str">
            <v>CHETILLA</v>
          </cell>
          <cell r="H553" t="str">
            <v>010558</v>
          </cell>
          <cell r="I553" t="str">
            <v>2</v>
          </cell>
        </row>
        <row r="554">
          <cell r="A554" t="str">
            <v>CAJAMARCACAJAMARCACOSPAN</v>
          </cell>
          <cell r="B554" t="str">
            <v>06</v>
          </cell>
          <cell r="C554" t="str">
            <v>01</v>
          </cell>
          <cell r="D554" t="str">
            <v>04</v>
          </cell>
          <cell r="E554" t="str">
            <v>CAJAMARCA</v>
          </cell>
          <cell r="F554" t="str">
            <v>CAJAMARCA</v>
          </cell>
          <cell r="G554" t="str">
            <v>COSPAN</v>
          </cell>
          <cell r="H554" t="str">
            <v>010559</v>
          </cell>
          <cell r="I554" t="str">
            <v>2</v>
          </cell>
        </row>
        <row r="555">
          <cell r="A555" t="str">
            <v>CAJAMARCACAJAMARCAENCAÑADA</v>
          </cell>
          <cell r="B555" t="str">
            <v>06</v>
          </cell>
          <cell r="C555" t="str">
            <v>01</v>
          </cell>
          <cell r="D555" t="str">
            <v>05</v>
          </cell>
          <cell r="E555" t="str">
            <v>CAJAMARCA</v>
          </cell>
          <cell r="F555" t="str">
            <v>CAJAMARCA</v>
          </cell>
          <cell r="G555" t="str">
            <v>ENCAÑADA</v>
          </cell>
          <cell r="H555" t="str">
            <v>010552</v>
          </cell>
          <cell r="I555" t="str">
            <v>2</v>
          </cell>
        </row>
        <row r="556">
          <cell r="A556" t="str">
            <v>CAJAMARCACAJAMARCAJESUS</v>
          </cell>
          <cell r="B556" t="str">
            <v>06</v>
          </cell>
          <cell r="C556" t="str">
            <v>01</v>
          </cell>
          <cell r="D556" t="str">
            <v>06</v>
          </cell>
          <cell r="E556" t="str">
            <v>CAJAMARCA</v>
          </cell>
          <cell r="F556" t="str">
            <v>CAJAMARCA</v>
          </cell>
          <cell r="G556" t="str">
            <v>JESUS</v>
          </cell>
          <cell r="H556" t="str">
            <v>010560</v>
          </cell>
          <cell r="I556" t="str">
            <v>2</v>
          </cell>
        </row>
        <row r="557">
          <cell r="A557" t="str">
            <v>CAJAMARCACAJAMARCALLACANORA</v>
          </cell>
          <cell r="B557" t="str">
            <v>06</v>
          </cell>
          <cell r="C557" t="str">
            <v>01</v>
          </cell>
          <cell r="D557" t="str">
            <v>07</v>
          </cell>
          <cell r="E557" t="str">
            <v>CAJAMARCA</v>
          </cell>
          <cell r="F557" t="str">
            <v>CAJAMARCA</v>
          </cell>
          <cell r="G557" t="str">
            <v>LLACANORA</v>
          </cell>
          <cell r="H557" t="str">
            <v>010553</v>
          </cell>
          <cell r="I557" t="str">
            <v>2</v>
          </cell>
        </row>
        <row r="558">
          <cell r="A558" t="str">
            <v>CAJAMARCACAJAMARCALOS BAÑOS DEL INCA</v>
          </cell>
          <cell r="B558" t="str">
            <v>06</v>
          </cell>
          <cell r="C558" t="str">
            <v>01</v>
          </cell>
          <cell r="D558" t="str">
            <v>08</v>
          </cell>
          <cell r="E558" t="str">
            <v>CAJAMARCA</v>
          </cell>
          <cell r="F558" t="str">
            <v>CAJAMARCA</v>
          </cell>
          <cell r="G558" t="str">
            <v>LOS BAÑOS DEL INCA</v>
          </cell>
          <cell r="H558" t="str">
            <v>010554</v>
          </cell>
          <cell r="I558" t="str">
            <v>2</v>
          </cell>
        </row>
        <row r="559">
          <cell r="A559" t="str">
            <v>CAJAMARCACAJAMARCAMAGDALENA</v>
          </cell>
          <cell r="B559" t="str">
            <v>06</v>
          </cell>
          <cell r="C559" t="str">
            <v>01</v>
          </cell>
          <cell r="D559" t="str">
            <v>09</v>
          </cell>
          <cell r="E559" t="str">
            <v>CAJAMARCA</v>
          </cell>
          <cell r="F559" t="str">
            <v>CAJAMARCA</v>
          </cell>
          <cell r="G559" t="str">
            <v>MAGDALENA</v>
          </cell>
          <cell r="H559" t="str">
            <v>010561</v>
          </cell>
          <cell r="I559" t="str">
            <v>2</v>
          </cell>
        </row>
        <row r="560">
          <cell r="A560" t="str">
            <v>CAJAMARCACAJAMARCAMATARA</v>
          </cell>
          <cell r="B560" t="str">
            <v>06</v>
          </cell>
          <cell r="C560" t="str">
            <v>01</v>
          </cell>
          <cell r="D560" t="str">
            <v>10</v>
          </cell>
          <cell r="E560" t="str">
            <v>CAJAMARCA</v>
          </cell>
          <cell r="F560" t="str">
            <v>CAJAMARCA</v>
          </cell>
          <cell r="G560" t="str">
            <v>MATARA</v>
          </cell>
          <cell r="H560" t="str">
            <v>010555</v>
          </cell>
          <cell r="I560" t="str">
            <v>2</v>
          </cell>
        </row>
        <row r="561">
          <cell r="A561" t="str">
            <v>CAJAMARCACAJAMARCANAMORA</v>
          </cell>
          <cell r="B561" t="str">
            <v>06</v>
          </cell>
          <cell r="C561" t="str">
            <v>01</v>
          </cell>
          <cell r="D561" t="str">
            <v>11</v>
          </cell>
          <cell r="E561" t="str">
            <v>CAJAMARCA</v>
          </cell>
          <cell r="F561" t="str">
            <v>CAJAMARCA</v>
          </cell>
          <cell r="G561" t="str">
            <v>NAMORA</v>
          </cell>
          <cell r="H561" t="str">
            <v>012004</v>
          </cell>
          <cell r="I561" t="str">
            <v>2</v>
          </cell>
        </row>
        <row r="562">
          <cell r="A562" t="str">
            <v>CAJAMARCACAJAMARCASAN JUAN</v>
          </cell>
          <cell r="B562" t="str">
            <v>06</v>
          </cell>
          <cell r="C562" t="str">
            <v>01</v>
          </cell>
          <cell r="D562" t="str">
            <v>12</v>
          </cell>
          <cell r="E562" t="str">
            <v>CAJAMARCA</v>
          </cell>
          <cell r="F562" t="str">
            <v>CAJAMARCA</v>
          </cell>
          <cell r="G562" t="str">
            <v>SAN JUAN</v>
          </cell>
          <cell r="H562" t="str">
            <v>010562</v>
          </cell>
          <cell r="I562" t="str">
            <v>2</v>
          </cell>
        </row>
        <row r="563">
          <cell r="A563" t="str">
            <v>CAJAMARCACAJABAMBACAJABAMBA</v>
          </cell>
          <cell r="B563" t="str">
            <v>06</v>
          </cell>
          <cell r="C563" t="str">
            <v>02</v>
          </cell>
          <cell r="D563" t="str">
            <v>01</v>
          </cell>
          <cell r="E563" t="str">
            <v>CAJAMARCA</v>
          </cell>
          <cell r="F563" t="str">
            <v>CAJABAMBA</v>
          </cell>
          <cell r="G563" t="str">
            <v>CAJABAMBA</v>
          </cell>
          <cell r="H563" t="str">
            <v>012024</v>
          </cell>
          <cell r="I563" t="str">
            <v>1</v>
          </cell>
        </row>
        <row r="564">
          <cell r="A564" t="str">
            <v>CAJAMARCACAJABAMBACACHACHI</v>
          </cell>
          <cell r="B564" t="str">
            <v>06</v>
          </cell>
          <cell r="C564" t="str">
            <v>02</v>
          </cell>
          <cell r="D564" t="str">
            <v>02</v>
          </cell>
          <cell r="E564" t="str">
            <v>CAJAMARCA</v>
          </cell>
          <cell r="F564" t="str">
            <v>CAJABAMBA</v>
          </cell>
          <cell r="G564" t="str">
            <v>CACHACHI</v>
          </cell>
          <cell r="H564" t="str">
            <v>010564</v>
          </cell>
          <cell r="I564" t="str">
            <v>2</v>
          </cell>
        </row>
        <row r="565">
          <cell r="A565" t="str">
            <v>CAJAMARCACAJABAMBACONDEBAMBA</v>
          </cell>
          <cell r="B565" t="str">
            <v>06</v>
          </cell>
          <cell r="C565" t="str">
            <v>02</v>
          </cell>
          <cell r="D565" t="str">
            <v>03</v>
          </cell>
          <cell r="E565" t="str">
            <v>CAJAMARCA</v>
          </cell>
          <cell r="F565" t="str">
            <v>CAJABAMBA</v>
          </cell>
          <cell r="G565" t="str">
            <v>CONDEBAMBA</v>
          </cell>
          <cell r="H565" t="str">
            <v>010565</v>
          </cell>
          <cell r="I565" t="str">
            <v>2</v>
          </cell>
        </row>
        <row r="566">
          <cell r="A566" t="str">
            <v>CAJAMARCACAJABAMBASITACOCHA</v>
          </cell>
          <cell r="B566" t="str">
            <v>06</v>
          </cell>
          <cell r="C566" t="str">
            <v>02</v>
          </cell>
          <cell r="D566" t="str">
            <v>04</v>
          </cell>
          <cell r="E566" t="str">
            <v>CAJAMARCA</v>
          </cell>
          <cell r="F566" t="str">
            <v>CAJABAMBA</v>
          </cell>
          <cell r="G566" t="str">
            <v>SITACOCHA</v>
          </cell>
          <cell r="H566" t="str">
            <v>010566</v>
          </cell>
          <cell r="I566" t="str">
            <v>2</v>
          </cell>
        </row>
        <row r="567">
          <cell r="A567" t="str">
            <v>CAJAMARCACELENDINCELENDIN</v>
          </cell>
          <cell r="B567" t="str">
            <v>06</v>
          </cell>
          <cell r="C567" t="str">
            <v>03</v>
          </cell>
          <cell r="D567" t="str">
            <v>01</v>
          </cell>
          <cell r="E567" t="str">
            <v>CAJAMARCA</v>
          </cell>
          <cell r="F567" t="str">
            <v>CELENDIN</v>
          </cell>
          <cell r="G567" t="str">
            <v>CELENDIN</v>
          </cell>
          <cell r="H567" t="str">
            <v>010567</v>
          </cell>
          <cell r="I567" t="str">
            <v>1</v>
          </cell>
        </row>
        <row r="568">
          <cell r="A568" t="str">
            <v>CAJAMARCACELENDINCHUMUCH</v>
          </cell>
          <cell r="B568" t="str">
            <v>06</v>
          </cell>
          <cell r="C568" t="str">
            <v>03</v>
          </cell>
          <cell r="D568" t="str">
            <v>02</v>
          </cell>
          <cell r="E568" t="str">
            <v>CAJAMARCA</v>
          </cell>
          <cell r="F568" t="str">
            <v>CELENDIN</v>
          </cell>
          <cell r="G568" t="str">
            <v>CHUMUCH</v>
          </cell>
          <cell r="H568" t="str">
            <v>010575</v>
          </cell>
          <cell r="I568" t="str">
            <v>2</v>
          </cell>
        </row>
        <row r="569">
          <cell r="A569" t="str">
            <v>CAJAMARCACELENDINCORTEGANA</v>
          </cell>
          <cell r="B569" t="str">
            <v>06</v>
          </cell>
          <cell r="C569" t="str">
            <v>03</v>
          </cell>
          <cell r="D569" t="str">
            <v>03</v>
          </cell>
          <cell r="E569" t="str">
            <v>CAJAMARCA</v>
          </cell>
          <cell r="F569" t="str">
            <v>CELENDIN</v>
          </cell>
          <cell r="G569" t="str">
            <v>CORTEGANA</v>
          </cell>
          <cell r="H569" t="str">
            <v>010576</v>
          </cell>
          <cell r="I569" t="str">
            <v>2</v>
          </cell>
        </row>
        <row r="570">
          <cell r="A570" t="str">
            <v>CAJAMARCACELENDINHUASMIN</v>
          </cell>
          <cell r="B570" t="str">
            <v>06</v>
          </cell>
          <cell r="C570" t="str">
            <v>03</v>
          </cell>
          <cell r="D570" t="str">
            <v>04</v>
          </cell>
          <cell r="E570" t="str">
            <v>CAJAMARCA</v>
          </cell>
          <cell r="F570" t="str">
            <v>CELENDIN</v>
          </cell>
          <cell r="G570" t="str">
            <v>HUASMIN</v>
          </cell>
          <cell r="H570" t="str">
            <v>010568</v>
          </cell>
          <cell r="I570" t="str">
            <v>2</v>
          </cell>
        </row>
        <row r="571">
          <cell r="A571" t="str">
            <v>CAJAMARCACELENDINJORGE CHAVEZ</v>
          </cell>
          <cell r="B571" t="str">
            <v>06</v>
          </cell>
          <cell r="C571" t="str">
            <v>03</v>
          </cell>
          <cell r="D571" t="str">
            <v>05</v>
          </cell>
          <cell r="E571" t="str">
            <v>CAJAMARCA</v>
          </cell>
          <cell r="F571" t="str">
            <v>CELENDIN</v>
          </cell>
          <cell r="G571" t="str">
            <v>JORGE CHAVEZ</v>
          </cell>
          <cell r="H571" t="str">
            <v>010569</v>
          </cell>
          <cell r="I571" t="str">
            <v>2</v>
          </cell>
        </row>
        <row r="572">
          <cell r="A572" t="str">
            <v>CAJAMARCACELENDINJOSE GALVEZ</v>
          </cell>
          <cell r="B572" t="str">
            <v>06</v>
          </cell>
          <cell r="C572" t="str">
            <v>03</v>
          </cell>
          <cell r="D572" t="str">
            <v>06</v>
          </cell>
          <cell r="E572" t="str">
            <v>CAJAMARCA</v>
          </cell>
          <cell r="F572" t="str">
            <v>CELENDIN</v>
          </cell>
          <cell r="G572" t="str">
            <v>JOSE GALVEZ</v>
          </cell>
          <cell r="H572" t="str">
            <v>010570</v>
          </cell>
          <cell r="I572" t="str">
            <v>2</v>
          </cell>
        </row>
        <row r="573">
          <cell r="A573" t="str">
            <v>CAJAMARCACELENDINMIGUEL IGLESIAS</v>
          </cell>
          <cell r="B573" t="str">
            <v>06</v>
          </cell>
          <cell r="C573" t="str">
            <v>03</v>
          </cell>
          <cell r="D573" t="str">
            <v>07</v>
          </cell>
          <cell r="E573" t="str">
            <v>CAJAMARCA</v>
          </cell>
          <cell r="F573" t="str">
            <v>CELENDIN</v>
          </cell>
          <cell r="G573" t="str">
            <v>MIGUEL IGLESIAS</v>
          </cell>
          <cell r="H573" t="str">
            <v>010577</v>
          </cell>
          <cell r="I573" t="str">
            <v>2</v>
          </cell>
        </row>
        <row r="574">
          <cell r="A574" t="str">
            <v>CAJAMARCACELENDINOXAMARCA</v>
          </cell>
          <cell r="B574" t="str">
            <v>06</v>
          </cell>
          <cell r="C574" t="str">
            <v>03</v>
          </cell>
          <cell r="D574" t="str">
            <v>08</v>
          </cell>
          <cell r="E574" t="str">
            <v>CAJAMARCA</v>
          </cell>
          <cell r="F574" t="str">
            <v>CELENDIN</v>
          </cell>
          <cell r="G574" t="str">
            <v>OXAMARCA</v>
          </cell>
          <cell r="H574" t="str">
            <v>010571</v>
          </cell>
          <cell r="I574" t="str">
            <v>2</v>
          </cell>
        </row>
        <row r="575">
          <cell r="A575" t="str">
            <v>CAJAMARCACELENDINSOROCHUCO</v>
          </cell>
          <cell r="B575" t="str">
            <v>06</v>
          </cell>
          <cell r="C575" t="str">
            <v>03</v>
          </cell>
          <cell r="D575" t="str">
            <v>09</v>
          </cell>
          <cell r="E575" t="str">
            <v>CAJAMARCA</v>
          </cell>
          <cell r="F575" t="str">
            <v>CELENDIN</v>
          </cell>
          <cell r="G575" t="str">
            <v>SOROCHUCO</v>
          </cell>
          <cell r="H575" t="str">
            <v>010572</v>
          </cell>
          <cell r="I575" t="str">
            <v>2</v>
          </cell>
        </row>
        <row r="576">
          <cell r="A576" t="str">
            <v>CAJAMARCACELENDINSUCRE</v>
          </cell>
          <cell r="B576" t="str">
            <v>06</v>
          </cell>
          <cell r="C576" t="str">
            <v>03</v>
          </cell>
          <cell r="D576" t="str">
            <v>10</v>
          </cell>
          <cell r="E576" t="str">
            <v>CAJAMARCA</v>
          </cell>
          <cell r="F576" t="str">
            <v>CELENDIN</v>
          </cell>
          <cell r="G576" t="str">
            <v>SUCRE</v>
          </cell>
          <cell r="H576" t="str">
            <v>012027</v>
          </cell>
          <cell r="I576" t="str">
            <v>2</v>
          </cell>
        </row>
        <row r="577">
          <cell r="A577" t="str">
            <v>CAJAMARCACELENDINUTCO</v>
          </cell>
          <cell r="B577" t="str">
            <v>06</v>
          </cell>
          <cell r="C577" t="str">
            <v>03</v>
          </cell>
          <cell r="D577" t="str">
            <v>11</v>
          </cell>
          <cell r="E577" t="str">
            <v>CAJAMARCA</v>
          </cell>
          <cell r="F577" t="str">
            <v>CELENDIN</v>
          </cell>
          <cell r="G577" t="str">
            <v>UTCO</v>
          </cell>
          <cell r="H577" t="str">
            <v>010574</v>
          </cell>
          <cell r="I577" t="str">
            <v>2</v>
          </cell>
        </row>
        <row r="578">
          <cell r="A578" t="str">
            <v>CAJAMARCACELENDINLA LIBERTAD DE PALLAN</v>
          </cell>
          <cell r="B578" t="str">
            <v>06</v>
          </cell>
          <cell r="C578" t="str">
            <v>03</v>
          </cell>
          <cell r="D578" t="str">
            <v>12</v>
          </cell>
          <cell r="E578" t="str">
            <v>CAJAMARCA</v>
          </cell>
          <cell r="F578" t="str">
            <v>CELENDIN</v>
          </cell>
          <cell r="G578" t="str">
            <v>LA LIBERTAD DE PALLAN</v>
          </cell>
          <cell r="H578" t="str">
            <v>010578</v>
          </cell>
          <cell r="I578" t="str">
            <v>2</v>
          </cell>
        </row>
        <row r="579">
          <cell r="A579" t="str">
            <v>CAJAMARCACHOTACHOTA</v>
          </cell>
          <cell r="B579" t="str">
            <v>06</v>
          </cell>
          <cell r="C579" t="str">
            <v>04</v>
          </cell>
          <cell r="D579" t="str">
            <v>01</v>
          </cell>
          <cell r="E579" t="str">
            <v>CAJAMARCA</v>
          </cell>
          <cell r="F579" t="str">
            <v>CHOTA</v>
          </cell>
          <cell r="G579" t="str">
            <v>CHOTA</v>
          </cell>
          <cell r="H579" t="str">
            <v>010579</v>
          </cell>
          <cell r="I579" t="str">
            <v>1</v>
          </cell>
        </row>
        <row r="580">
          <cell r="A580" t="str">
            <v>CAJAMARCACHOTAANGUIA</v>
          </cell>
          <cell r="B580" t="str">
            <v>06</v>
          </cell>
          <cell r="C580" t="str">
            <v>04</v>
          </cell>
          <cell r="D580" t="str">
            <v>02</v>
          </cell>
          <cell r="E580" t="str">
            <v>CAJAMARCA</v>
          </cell>
          <cell r="F580" t="str">
            <v>CHOTA</v>
          </cell>
          <cell r="G580" t="str">
            <v>ANGUIA</v>
          </cell>
          <cell r="H580" t="str">
            <v>010580</v>
          </cell>
          <cell r="I580" t="str">
            <v>2</v>
          </cell>
        </row>
        <row r="581">
          <cell r="A581" t="str">
            <v>CAJAMARCACHOTACHADIN</v>
          </cell>
          <cell r="B581" t="str">
            <v>06</v>
          </cell>
          <cell r="C581" t="str">
            <v>04</v>
          </cell>
          <cell r="D581" t="str">
            <v>03</v>
          </cell>
          <cell r="E581" t="str">
            <v>CAJAMARCA</v>
          </cell>
          <cell r="F581" t="str">
            <v>CHOTA</v>
          </cell>
          <cell r="G581" t="str">
            <v>CHADIN</v>
          </cell>
          <cell r="H581" t="str">
            <v>010581</v>
          </cell>
          <cell r="I581" t="str">
            <v>2</v>
          </cell>
        </row>
        <row r="582">
          <cell r="A582" t="str">
            <v>CAJAMARCACHOTACHIGUIRIP</v>
          </cell>
          <cell r="B582" t="str">
            <v>06</v>
          </cell>
          <cell r="C582" t="str">
            <v>04</v>
          </cell>
          <cell r="D582" t="str">
            <v>04</v>
          </cell>
          <cell r="E582" t="str">
            <v>CAJAMARCA</v>
          </cell>
          <cell r="F582" t="str">
            <v>CHOTA</v>
          </cell>
          <cell r="G582" t="str">
            <v>CHIGUIRIP</v>
          </cell>
          <cell r="H582" t="str">
            <v>010582</v>
          </cell>
          <cell r="I582" t="str">
            <v>2</v>
          </cell>
        </row>
        <row r="583">
          <cell r="A583" t="str">
            <v>CAJAMARCACHOTACHIMBAN</v>
          </cell>
          <cell r="B583" t="str">
            <v>06</v>
          </cell>
          <cell r="C583" t="str">
            <v>04</v>
          </cell>
          <cell r="D583" t="str">
            <v>05</v>
          </cell>
          <cell r="E583" t="str">
            <v>CAJAMARCA</v>
          </cell>
          <cell r="F583" t="str">
            <v>CHOTA</v>
          </cell>
          <cell r="G583" t="str">
            <v>CHIMBAN</v>
          </cell>
          <cell r="H583" t="str">
            <v>010583</v>
          </cell>
          <cell r="I583" t="str">
            <v>2</v>
          </cell>
        </row>
        <row r="584">
          <cell r="A584" t="str">
            <v>CAJAMARCACHOTACHOROPAMPA</v>
          </cell>
          <cell r="B584" t="str">
            <v>06</v>
          </cell>
          <cell r="C584" t="str">
            <v>04</v>
          </cell>
          <cell r="D584" t="str">
            <v>06</v>
          </cell>
          <cell r="E584" t="str">
            <v>CAJAMARCA</v>
          </cell>
          <cell r="F584" t="str">
            <v>CHOTA</v>
          </cell>
          <cell r="G584" t="str">
            <v>CHOROPAMPA</v>
          </cell>
          <cell r="H584" t="str">
            <v>010584</v>
          </cell>
          <cell r="I584" t="str">
            <v>2</v>
          </cell>
        </row>
        <row r="585">
          <cell r="A585" t="str">
            <v>CAJAMARCACHOTACOCHABAMBA</v>
          </cell>
          <cell r="B585" t="str">
            <v>06</v>
          </cell>
          <cell r="C585" t="str">
            <v>04</v>
          </cell>
          <cell r="D585" t="str">
            <v>07</v>
          </cell>
          <cell r="E585" t="str">
            <v>CAJAMARCA</v>
          </cell>
          <cell r="F585" t="str">
            <v>CHOTA</v>
          </cell>
          <cell r="G585" t="str">
            <v>COCHABAMBA</v>
          </cell>
          <cell r="H585" t="str">
            <v>012011</v>
          </cell>
          <cell r="I585" t="str">
            <v>2</v>
          </cell>
        </row>
        <row r="586">
          <cell r="A586" t="str">
            <v>CAJAMARCACHOTACONCHAN</v>
          </cell>
          <cell r="B586" t="str">
            <v>06</v>
          </cell>
          <cell r="C586" t="str">
            <v>04</v>
          </cell>
          <cell r="D586" t="str">
            <v>08</v>
          </cell>
          <cell r="E586" t="str">
            <v>CAJAMARCA</v>
          </cell>
          <cell r="F586" t="str">
            <v>CHOTA</v>
          </cell>
          <cell r="G586" t="str">
            <v>CONCHAN</v>
          </cell>
          <cell r="H586" t="str">
            <v>010585</v>
          </cell>
          <cell r="I586" t="str">
            <v>2</v>
          </cell>
        </row>
        <row r="587">
          <cell r="A587" t="str">
            <v>CAJAMARCACHOTAHUAMBOS</v>
          </cell>
          <cell r="B587" t="str">
            <v>06</v>
          </cell>
          <cell r="C587" t="str">
            <v>04</v>
          </cell>
          <cell r="D587" t="str">
            <v>09</v>
          </cell>
          <cell r="E587" t="str">
            <v>CAJAMARCA</v>
          </cell>
          <cell r="F587" t="str">
            <v>CHOTA</v>
          </cell>
          <cell r="G587" t="str">
            <v>HUAMBOS</v>
          </cell>
          <cell r="H587" t="str">
            <v>010591</v>
          </cell>
          <cell r="I587" t="str">
            <v>2</v>
          </cell>
        </row>
        <row r="588">
          <cell r="A588" t="str">
            <v>CAJAMARCACHOTALAJAS</v>
          </cell>
          <cell r="B588" t="str">
            <v>06</v>
          </cell>
          <cell r="C588" t="str">
            <v>04</v>
          </cell>
          <cell r="D588" t="str">
            <v>10</v>
          </cell>
          <cell r="E588" t="str">
            <v>CAJAMARCA</v>
          </cell>
          <cell r="F588" t="str">
            <v>CHOTA</v>
          </cell>
          <cell r="G588" t="str">
            <v>LAJAS</v>
          </cell>
          <cell r="H588" t="str">
            <v>010592</v>
          </cell>
          <cell r="I588" t="str">
            <v>2</v>
          </cell>
        </row>
        <row r="589">
          <cell r="A589" t="str">
            <v>CAJAMARCACHOTALLAMA</v>
          </cell>
          <cell r="B589" t="str">
            <v>06</v>
          </cell>
          <cell r="C589" t="str">
            <v>04</v>
          </cell>
          <cell r="D589" t="str">
            <v>11</v>
          </cell>
          <cell r="E589" t="str">
            <v>CAJAMARCA</v>
          </cell>
          <cell r="F589" t="str">
            <v>CHOTA</v>
          </cell>
          <cell r="G589" t="str">
            <v>LLAMA</v>
          </cell>
          <cell r="H589" t="str">
            <v>010593</v>
          </cell>
          <cell r="I589" t="str">
            <v>2</v>
          </cell>
        </row>
        <row r="590">
          <cell r="A590" t="str">
            <v>CAJAMARCACHOTAMIRACOSTA</v>
          </cell>
          <cell r="B590" t="str">
            <v>06</v>
          </cell>
          <cell r="C590" t="str">
            <v>04</v>
          </cell>
          <cell r="D590" t="str">
            <v>12</v>
          </cell>
          <cell r="E590" t="str">
            <v>CAJAMARCA</v>
          </cell>
          <cell r="F590" t="str">
            <v>CHOTA</v>
          </cell>
          <cell r="G590" t="str">
            <v>MIRACOSTA</v>
          </cell>
          <cell r="H590" t="str">
            <v>010594</v>
          </cell>
          <cell r="I590" t="str">
            <v>2</v>
          </cell>
        </row>
        <row r="591">
          <cell r="A591" t="str">
            <v>CAJAMARCACHOTAPACCHA</v>
          </cell>
          <cell r="B591" t="str">
            <v>06</v>
          </cell>
          <cell r="C591" t="str">
            <v>04</v>
          </cell>
          <cell r="D591" t="str">
            <v>13</v>
          </cell>
          <cell r="E591" t="str">
            <v>CAJAMARCA</v>
          </cell>
          <cell r="F591" t="str">
            <v>CHOTA</v>
          </cell>
          <cell r="G591" t="str">
            <v>PACCHA</v>
          </cell>
          <cell r="H591" t="str">
            <v>010586</v>
          </cell>
          <cell r="I591" t="str">
            <v>2</v>
          </cell>
        </row>
        <row r="592">
          <cell r="A592" t="str">
            <v>CAJAMARCACHOTAPION</v>
          </cell>
          <cell r="B592" t="str">
            <v>06</v>
          </cell>
          <cell r="C592" t="str">
            <v>04</v>
          </cell>
          <cell r="D592" t="str">
            <v>14</v>
          </cell>
          <cell r="E592" t="str">
            <v>CAJAMARCA</v>
          </cell>
          <cell r="F592" t="str">
            <v>CHOTA</v>
          </cell>
          <cell r="G592" t="str">
            <v>PION</v>
          </cell>
          <cell r="H592" t="str">
            <v>012028</v>
          </cell>
          <cell r="I592" t="str">
            <v>2</v>
          </cell>
        </row>
        <row r="593">
          <cell r="A593" t="str">
            <v>CAJAMARCACHOTAQUEROCOTO</v>
          </cell>
          <cell r="B593" t="str">
            <v>06</v>
          </cell>
          <cell r="C593" t="str">
            <v>04</v>
          </cell>
          <cell r="D593" t="str">
            <v>15</v>
          </cell>
          <cell r="E593" t="str">
            <v>CAJAMARCA</v>
          </cell>
          <cell r="F593" t="str">
            <v>CHOTA</v>
          </cell>
          <cell r="G593" t="str">
            <v>QUEROCOTO</v>
          </cell>
          <cell r="H593" t="str">
            <v>010595</v>
          </cell>
          <cell r="I593" t="str">
            <v>2</v>
          </cell>
        </row>
        <row r="594">
          <cell r="A594" t="str">
            <v>CAJAMARCACHOTASAN JUAN DE LICUPIS</v>
          </cell>
          <cell r="B594" t="str">
            <v>06</v>
          </cell>
          <cell r="C594" t="str">
            <v>04</v>
          </cell>
          <cell r="D594" t="str">
            <v>16</v>
          </cell>
          <cell r="E594" t="str">
            <v>CAJAMARCA</v>
          </cell>
          <cell r="F594" t="str">
            <v>CHOTA</v>
          </cell>
          <cell r="G594" t="str">
            <v>SAN JUAN DE LICUPIS</v>
          </cell>
          <cell r="H594" t="str">
            <v>010596</v>
          </cell>
          <cell r="I594" t="str">
            <v>2</v>
          </cell>
        </row>
        <row r="595">
          <cell r="A595" t="str">
            <v>CAJAMARCACHOTATACABAMBA</v>
          </cell>
          <cell r="B595" t="str">
            <v>06</v>
          </cell>
          <cell r="C595" t="str">
            <v>04</v>
          </cell>
          <cell r="D595" t="str">
            <v>17</v>
          </cell>
          <cell r="E595" t="str">
            <v>CAJAMARCA</v>
          </cell>
          <cell r="F595" t="str">
            <v>CHOTA</v>
          </cell>
          <cell r="G595" t="str">
            <v>TACABAMBA</v>
          </cell>
          <cell r="H595" t="str">
            <v>010588</v>
          </cell>
          <cell r="I595" t="str">
            <v>2</v>
          </cell>
        </row>
        <row r="596">
          <cell r="A596" t="str">
            <v>CAJAMARCACHOTATOCMOCHE</v>
          </cell>
          <cell r="B596" t="str">
            <v>06</v>
          </cell>
          <cell r="C596" t="str">
            <v>04</v>
          </cell>
          <cell r="D596" t="str">
            <v>18</v>
          </cell>
          <cell r="E596" t="str">
            <v>CAJAMARCA</v>
          </cell>
          <cell r="F596" t="str">
            <v>CHOTA</v>
          </cell>
          <cell r="G596" t="str">
            <v>TOCMOCHE</v>
          </cell>
          <cell r="H596" t="str">
            <v>010597</v>
          </cell>
          <cell r="I596" t="str">
            <v>2</v>
          </cell>
        </row>
        <row r="597">
          <cell r="A597" t="str">
            <v>CAJAMARCACHOTACHALAMARCA</v>
          </cell>
          <cell r="B597" t="str">
            <v>06</v>
          </cell>
          <cell r="C597" t="str">
            <v>04</v>
          </cell>
          <cell r="D597" t="str">
            <v>19</v>
          </cell>
          <cell r="E597" t="str">
            <v>CAJAMARCA</v>
          </cell>
          <cell r="F597" t="str">
            <v>CHOTA</v>
          </cell>
          <cell r="G597" t="str">
            <v>CHALAMARCA</v>
          </cell>
          <cell r="H597" t="str">
            <v>010589</v>
          </cell>
          <cell r="I597" t="str">
            <v>2</v>
          </cell>
        </row>
        <row r="598">
          <cell r="A598" t="str">
            <v>CAJAMARCACONTUMAZACONTUMAZA</v>
          </cell>
          <cell r="B598" t="str">
            <v>06</v>
          </cell>
          <cell r="C598" t="str">
            <v>05</v>
          </cell>
          <cell r="D598" t="str">
            <v>01</v>
          </cell>
          <cell r="E598" t="str">
            <v>CAJAMARCA</v>
          </cell>
          <cell r="F598" t="str">
            <v>CONTUMAZA</v>
          </cell>
          <cell r="G598" t="str">
            <v>CONTUMAZA</v>
          </cell>
          <cell r="H598" t="str">
            <v>010598</v>
          </cell>
          <cell r="I598" t="str">
            <v>1</v>
          </cell>
        </row>
        <row r="599">
          <cell r="A599" t="str">
            <v>CAJAMARCACONTUMAZACHILETE</v>
          </cell>
          <cell r="B599" t="str">
            <v>06</v>
          </cell>
          <cell r="C599" t="str">
            <v>05</v>
          </cell>
          <cell r="D599" t="str">
            <v>02</v>
          </cell>
          <cell r="E599" t="str">
            <v>CAJAMARCA</v>
          </cell>
          <cell r="F599" t="str">
            <v>CONTUMAZA</v>
          </cell>
          <cell r="G599" t="str">
            <v>CHILETE</v>
          </cell>
          <cell r="H599" t="str">
            <v>010599</v>
          </cell>
          <cell r="I599" t="str">
            <v>2</v>
          </cell>
        </row>
        <row r="600">
          <cell r="A600" t="str">
            <v>CAJAMARCACONTUMAZACUPISNIQUE</v>
          </cell>
          <cell r="B600" t="str">
            <v>06</v>
          </cell>
          <cell r="C600" t="str">
            <v>05</v>
          </cell>
          <cell r="D600" t="str">
            <v>03</v>
          </cell>
          <cell r="E600" t="str">
            <v>CAJAMARCA</v>
          </cell>
          <cell r="F600" t="str">
            <v>CONTUMAZA</v>
          </cell>
          <cell r="G600" t="str">
            <v>CUPISNIQUE</v>
          </cell>
          <cell r="H600" t="str">
            <v>010600</v>
          </cell>
          <cell r="I600" t="str">
            <v>2</v>
          </cell>
        </row>
        <row r="601">
          <cell r="A601" t="str">
            <v>CAJAMARCACONTUMAZAGUZMANGO</v>
          </cell>
          <cell r="B601" t="str">
            <v>06</v>
          </cell>
          <cell r="C601" t="str">
            <v>05</v>
          </cell>
          <cell r="D601" t="str">
            <v>04</v>
          </cell>
          <cell r="E601" t="str">
            <v>CAJAMARCA</v>
          </cell>
          <cell r="F601" t="str">
            <v>CONTUMAZA</v>
          </cell>
          <cell r="G601" t="str">
            <v>GUZMANGO</v>
          </cell>
          <cell r="H601" t="str">
            <v>010601</v>
          </cell>
          <cell r="I601" t="str">
            <v>2</v>
          </cell>
        </row>
        <row r="602">
          <cell r="A602" t="str">
            <v>CAJAMARCACONTUMAZASAN BENITO</v>
          </cell>
          <cell r="B602" t="str">
            <v>06</v>
          </cell>
          <cell r="C602" t="str">
            <v>05</v>
          </cell>
          <cell r="D602" t="str">
            <v>05</v>
          </cell>
          <cell r="E602" t="str">
            <v>CAJAMARCA</v>
          </cell>
          <cell r="F602" t="str">
            <v>CONTUMAZA</v>
          </cell>
          <cell r="G602" t="str">
            <v>SAN BENITO</v>
          </cell>
          <cell r="H602" t="str">
            <v>012032</v>
          </cell>
          <cell r="I602" t="str">
            <v>2</v>
          </cell>
        </row>
        <row r="603">
          <cell r="A603" t="str">
            <v>CAJAMARCACONTUMAZASANTA CRUZ DE TOLED</v>
          </cell>
          <cell r="B603" t="str">
            <v>06</v>
          </cell>
          <cell r="C603" t="str">
            <v>05</v>
          </cell>
          <cell r="D603" t="str">
            <v>06</v>
          </cell>
          <cell r="E603" t="str">
            <v>CAJAMARCA</v>
          </cell>
          <cell r="F603" t="str">
            <v>CONTUMAZA</v>
          </cell>
          <cell r="G603" t="str">
            <v>SANTA CRUZ DE TOLED</v>
          </cell>
          <cell r="H603" t="str">
            <v>010603</v>
          </cell>
          <cell r="I603" t="str">
            <v>2</v>
          </cell>
        </row>
        <row r="604">
          <cell r="A604" t="str">
            <v>CAJAMARCACONTUMAZATANTARICA</v>
          </cell>
          <cell r="B604" t="str">
            <v>06</v>
          </cell>
          <cell r="C604" t="str">
            <v>05</v>
          </cell>
          <cell r="D604" t="str">
            <v>07</v>
          </cell>
          <cell r="E604" t="str">
            <v>CAJAMARCA</v>
          </cell>
          <cell r="F604" t="str">
            <v>CONTUMAZA</v>
          </cell>
          <cell r="G604" t="str">
            <v>TANTARICA</v>
          </cell>
          <cell r="H604" t="str">
            <v>012009</v>
          </cell>
          <cell r="I604" t="str">
            <v>2</v>
          </cell>
        </row>
        <row r="605">
          <cell r="A605" t="str">
            <v>CAJAMARCACONTUMAZAYONAN</v>
          </cell>
          <cell r="B605" t="str">
            <v>06</v>
          </cell>
          <cell r="C605" t="str">
            <v>05</v>
          </cell>
          <cell r="D605" t="str">
            <v>08</v>
          </cell>
          <cell r="E605" t="str">
            <v>CAJAMARCA</v>
          </cell>
          <cell r="F605" t="str">
            <v>CONTUMAZA</v>
          </cell>
          <cell r="G605" t="str">
            <v>YONAN</v>
          </cell>
          <cell r="H605" t="str">
            <v>010605</v>
          </cell>
          <cell r="I605" t="str">
            <v>2</v>
          </cell>
        </row>
        <row r="606">
          <cell r="A606" t="str">
            <v>CAJAMARCACUTERVOCUTERVO</v>
          </cell>
          <cell r="B606" t="str">
            <v>06</v>
          </cell>
          <cell r="C606" t="str">
            <v>06</v>
          </cell>
          <cell r="D606" t="str">
            <v>01</v>
          </cell>
          <cell r="E606" t="str">
            <v>CAJAMARCA</v>
          </cell>
          <cell r="F606" t="str">
            <v>CUTERVO</v>
          </cell>
          <cell r="G606" t="str">
            <v>CUTERVO</v>
          </cell>
          <cell r="H606" t="str">
            <v>010652</v>
          </cell>
          <cell r="I606" t="str">
            <v>1</v>
          </cell>
        </row>
        <row r="607">
          <cell r="A607" t="str">
            <v>CAJAMARCACUTERVOCALLAYUC</v>
          </cell>
          <cell r="B607" t="str">
            <v>06</v>
          </cell>
          <cell r="C607" t="str">
            <v>06</v>
          </cell>
          <cell r="D607" t="str">
            <v>02</v>
          </cell>
          <cell r="E607" t="str">
            <v>CAJAMARCA</v>
          </cell>
          <cell r="F607" t="str">
            <v>CUTERVO</v>
          </cell>
          <cell r="G607" t="str">
            <v>CALLAYUC</v>
          </cell>
          <cell r="H607" t="str">
            <v>012012</v>
          </cell>
          <cell r="I607" t="str">
            <v>2</v>
          </cell>
        </row>
        <row r="608">
          <cell r="A608" t="str">
            <v>CAJAMARCACUTERVOCHOROS</v>
          </cell>
          <cell r="B608" t="str">
            <v>06</v>
          </cell>
          <cell r="C608" t="str">
            <v>06</v>
          </cell>
          <cell r="D608" t="str">
            <v>03</v>
          </cell>
          <cell r="E608" t="str">
            <v>CAJAMARCA</v>
          </cell>
          <cell r="F608" t="str">
            <v>CUTERVO</v>
          </cell>
          <cell r="G608" t="str">
            <v>CHOROS</v>
          </cell>
          <cell r="H608" t="str">
            <v>010646</v>
          </cell>
          <cell r="I608" t="str">
            <v>2</v>
          </cell>
        </row>
        <row r="609">
          <cell r="A609" t="str">
            <v>CAJAMARCACUTERVOCUJILLO</v>
          </cell>
          <cell r="B609" t="str">
            <v>06</v>
          </cell>
          <cell r="C609" t="str">
            <v>06</v>
          </cell>
          <cell r="D609" t="str">
            <v>04</v>
          </cell>
          <cell r="E609" t="str">
            <v>CAJAMARCA</v>
          </cell>
          <cell r="F609" t="str">
            <v>CUTERVO</v>
          </cell>
          <cell r="G609" t="str">
            <v>CUJILLO</v>
          </cell>
          <cell r="H609" t="str">
            <v>010647</v>
          </cell>
          <cell r="I609" t="str">
            <v>2</v>
          </cell>
        </row>
        <row r="610">
          <cell r="A610" t="str">
            <v>CAJAMARCACUTERVOLA RAMADA</v>
          </cell>
          <cell r="B610" t="str">
            <v>06</v>
          </cell>
          <cell r="C610" t="str">
            <v>06</v>
          </cell>
          <cell r="D610" t="str">
            <v>05</v>
          </cell>
          <cell r="E610" t="str">
            <v>CAJAMARCA</v>
          </cell>
          <cell r="F610" t="str">
            <v>CUTERVO</v>
          </cell>
          <cell r="G610" t="str">
            <v>LA RAMADA</v>
          </cell>
          <cell r="H610" t="str">
            <v>010653</v>
          </cell>
          <cell r="I610" t="str">
            <v>2</v>
          </cell>
        </row>
        <row r="611">
          <cell r="A611" t="str">
            <v>CAJAMARCACUTERVOPIMPINGOS</v>
          </cell>
          <cell r="B611" t="str">
            <v>06</v>
          </cell>
          <cell r="C611" t="str">
            <v>06</v>
          </cell>
          <cell r="D611" t="str">
            <v>06</v>
          </cell>
          <cell r="E611" t="str">
            <v>CAJAMARCA</v>
          </cell>
          <cell r="F611" t="str">
            <v>CUTERVO</v>
          </cell>
          <cell r="G611" t="str">
            <v>PIMPINGOS</v>
          </cell>
          <cell r="H611" t="str">
            <v>010648</v>
          </cell>
          <cell r="I611" t="str">
            <v>2</v>
          </cell>
        </row>
        <row r="612">
          <cell r="A612" t="str">
            <v>CAJAMARCACUTERVOQUEROCOTILLO</v>
          </cell>
          <cell r="B612" t="str">
            <v>06</v>
          </cell>
          <cell r="C612" t="str">
            <v>06</v>
          </cell>
          <cell r="D612" t="str">
            <v>07</v>
          </cell>
          <cell r="E612" t="str">
            <v>CAJAMARCA</v>
          </cell>
          <cell r="F612" t="str">
            <v>CUTERVO</v>
          </cell>
          <cell r="G612" t="str">
            <v>QUEROCOTILLO</v>
          </cell>
          <cell r="H612" t="str">
            <v>010654</v>
          </cell>
          <cell r="I612" t="str">
            <v>2</v>
          </cell>
        </row>
        <row r="613">
          <cell r="A613" t="str">
            <v>CAJAMARCACUTERVOSAN ANDRES DE CUTERVO</v>
          </cell>
          <cell r="B613" t="str">
            <v>06</v>
          </cell>
          <cell r="C613" t="str">
            <v>06</v>
          </cell>
          <cell r="D613" t="str">
            <v>08</v>
          </cell>
          <cell r="E613" t="str">
            <v>CAJAMARCA</v>
          </cell>
          <cell r="F613" t="str">
            <v>CUTERVO</v>
          </cell>
          <cell r="G613" t="str">
            <v>SAN ANDRES DE CUTERVO</v>
          </cell>
          <cell r="H613" t="str">
            <v>012005</v>
          </cell>
          <cell r="I613" t="str">
            <v>2</v>
          </cell>
        </row>
        <row r="614">
          <cell r="A614" t="str">
            <v>CAJAMARCACUTERVOSAN JUAN DE CUTERVO</v>
          </cell>
          <cell r="B614" t="str">
            <v>06</v>
          </cell>
          <cell r="C614" t="str">
            <v>06</v>
          </cell>
          <cell r="D614" t="str">
            <v>09</v>
          </cell>
          <cell r="E614" t="str">
            <v>CAJAMARCA</v>
          </cell>
          <cell r="F614" t="str">
            <v>CUTERVO</v>
          </cell>
          <cell r="G614" t="str">
            <v>SAN JUAN DE CUTERVO</v>
          </cell>
          <cell r="H614" t="str">
            <v>010649</v>
          </cell>
          <cell r="I614" t="str">
            <v>2</v>
          </cell>
        </row>
        <row r="615">
          <cell r="A615" t="str">
            <v>CAJAMARCACUTERVOSAN LUIS DE LUCMA</v>
          </cell>
          <cell r="B615" t="str">
            <v>06</v>
          </cell>
          <cell r="C615" t="str">
            <v>06</v>
          </cell>
          <cell r="D615" t="str">
            <v>10</v>
          </cell>
          <cell r="E615" t="str">
            <v>CAJAMARCA</v>
          </cell>
          <cell r="F615" t="str">
            <v>CUTERVO</v>
          </cell>
          <cell r="G615" t="str">
            <v>SAN LUIS DE LUCMA</v>
          </cell>
          <cell r="H615" t="str">
            <v>010656</v>
          </cell>
          <cell r="I615" t="str">
            <v>2</v>
          </cell>
        </row>
        <row r="616">
          <cell r="A616" t="str">
            <v>CAJAMARCACUTERVOSANTA CRUZ</v>
          </cell>
          <cell r="B616" t="str">
            <v>06</v>
          </cell>
          <cell r="C616" t="str">
            <v>06</v>
          </cell>
          <cell r="D616" t="str">
            <v>11</v>
          </cell>
          <cell r="E616" t="str">
            <v>CAJAMARCA</v>
          </cell>
          <cell r="F616" t="str">
            <v>CUTERVO</v>
          </cell>
          <cell r="G616" t="str">
            <v>SANTA CRUZ</v>
          </cell>
          <cell r="H616" t="str">
            <v>010650</v>
          </cell>
          <cell r="I616" t="str">
            <v>2</v>
          </cell>
        </row>
        <row r="617">
          <cell r="A617" t="str">
            <v>CAJAMARCACUTERVOSANTO DOMINGO DE LA CAPILLA</v>
          </cell>
          <cell r="B617" t="str">
            <v>06</v>
          </cell>
          <cell r="C617" t="str">
            <v>06</v>
          </cell>
          <cell r="D617" t="str">
            <v>12</v>
          </cell>
          <cell r="E617" t="str">
            <v>CAJAMARCA</v>
          </cell>
          <cell r="F617" t="str">
            <v>CUTERVO</v>
          </cell>
          <cell r="G617" t="str">
            <v>SANTO DOMINGO DE LA CAPILLA</v>
          </cell>
          <cell r="H617" t="str">
            <v>012509</v>
          </cell>
          <cell r="I617" t="str">
            <v>2</v>
          </cell>
        </row>
        <row r="618">
          <cell r="A618" t="str">
            <v>CAJAMARCACUTERVOSANTO TOMAS</v>
          </cell>
          <cell r="B618" t="str">
            <v>06</v>
          </cell>
          <cell r="C618" t="str">
            <v>06</v>
          </cell>
          <cell r="D618" t="str">
            <v>13</v>
          </cell>
          <cell r="E618" t="str">
            <v>CAJAMARCA</v>
          </cell>
          <cell r="F618" t="str">
            <v>CUTERVO</v>
          </cell>
          <cell r="G618" t="str">
            <v>SANTO TOMAS</v>
          </cell>
          <cell r="H618" t="str">
            <v>010658</v>
          </cell>
          <cell r="I618" t="str">
            <v>2</v>
          </cell>
        </row>
        <row r="619">
          <cell r="A619" t="str">
            <v>CAJAMARCACUTERVOSOCOTA</v>
          </cell>
          <cell r="B619" t="str">
            <v>06</v>
          </cell>
          <cell r="C619" t="str">
            <v>06</v>
          </cell>
          <cell r="D619" t="str">
            <v>14</v>
          </cell>
          <cell r="E619" t="str">
            <v>CAJAMARCA</v>
          </cell>
          <cell r="F619" t="str">
            <v>CUTERVO</v>
          </cell>
          <cell r="G619" t="str">
            <v>SOCOTA</v>
          </cell>
          <cell r="H619" t="str">
            <v>010659</v>
          </cell>
          <cell r="I619" t="str">
            <v>2</v>
          </cell>
        </row>
        <row r="620">
          <cell r="A620" t="str">
            <v>CAJAMARCACUTERVOTORIBIO CASANOVA</v>
          </cell>
          <cell r="B620" t="str">
            <v>06</v>
          </cell>
          <cell r="C620" t="str">
            <v>06</v>
          </cell>
          <cell r="D620" t="str">
            <v>15</v>
          </cell>
          <cell r="E620" t="str">
            <v>CAJAMARCA</v>
          </cell>
          <cell r="F620" t="str">
            <v>CUTERVO</v>
          </cell>
          <cell r="G620" t="str">
            <v>TORIBIO CASANOVA</v>
          </cell>
          <cell r="H620" t="str">
            <v>010651</v>
          </cell>
          <cell r="I620" t="str">
            <v>2</v>
          </cell>
        </row>
        <row r="621">
          <cell r="A621" t="str">
            <v>CAJAMARCAHUALGAYOCBAMBAMARCA</v>
          </cell>
          <cell r="B621" t="str">
            <v>06</v>
          </cell>
          <cell r="C621" t="str">
            <v>07</v>
          </cell>
          <cell r="D621" t="str">
            <v>01</v>
          </cell>
          <cell r="E621" t="str">
            <v>CAJAMARCA</v>
          </cell>
          <cell r="F621" t="str">
            <v>HUALGAYOC</v>
          </cell>
          <cell r="G621" t="str">
            <v>BAMBAMARCA</v>
          </cell>
          <cell r="H621" t="str">
            <v>010606</v>
          </cell>
          <cell r="I621" t="str">
            <v>1</v>
          </cell>
        </row>
        <row r="622">
          <cell r="A622" t="str">
            <v>CAJAMARCAHUALGAYOCCHUGUR</v>
          </cell>
          <cell r="B622" t="str">
            <v>06</v>
          </cell>
          <cell r="C622" t="str">
            <v>07</v>
          </cell>
          <cell r="D622" t="str">
            <v>02</v>
          </cell>
          <cell r="E622" t="str">
            <v>CAJAMARCA</v>
          </cell>
          <cell r="F622" t="str">
            <v>HUALGAYOC</v>
          </cell>
          <cell r="G622" t="str">
            <v>CHUGUR</v>
          </cell>
          <cell r="H622" t="str">
            <v>012025</v>
          </cell>
          <cell r="I622" t="str">
            <v>2</v>
          </cell>
        </row>
        <row r="623">
          <cell r="A623" t="str">
            <v>CAJAMARCAHUALGAYOCHUALGAYOC</v>
          </cell>
          <cell r="B623" t="str">
            <v>06</v>
          </cell>
          <cell r="C623" t="str">
            <v>07</v>
          </cell>
          <cell r="D623" t="str">
            <v>03</v>
          </cell>
          <cell r="E623" t="str">
            <v>CAJAMARCA</v>
          </cell>
          <cell r="F623" t="str">
            <v>HUALGAYOC</v>
          </cell>
          <cell r="G623" t="str">
            <v>HUALGAYOC</v>
          </cell>
          <cell r="H623" t="str">
            <v>010608</v>
          </cell>
          <cell r="I623" t="str">
            <v>2</v>
          </cell>
        </row>
        <row r="624">
          <cell r="A624" t="str">
            <v>CAJAMARCAJAENJAEN</v>
          </cell>
          <cell r="B624" t="str">
            <v>06</v>
          </cell>
          <cell r="C624" t="str">
            <v>08</v>
          </cell>
          <cell r="D624" t="str">
            <v>01</v>
          </cell>
          <cell r="E624" t="str">
            <v>CAJAMARCA</v>
          </cell>
          <cell r="F624" t="str">
            <v>JAEN</v>
          </cell>
          <cell r="G624" t="str">
            <v>JAEN</v>
          </cell>
          <cell r="H624" t="str">
            <v>012013</v>
          </cell>
          <cell r="I624" t="str">
            <v>1</v>
          </cell>
        </row>
        <row r="625">
          <cell r="A625" t="str">
            <v>CAJAMARCAJAENBELLAVISTA</v>
          </cell>
          <cell r="B625" t="str">
            <v>06</v>
          </cell>
          <cell r="C625" t="str">
            <v>08</v>
          </cell>
          <cell r="D625" t="str">
            <v>02</v>
          </cell>
          <cell r="E625" t="str">
            <v>CAJAMARCA</v>
          </cell>
          <cell r="F625" t="str">
            <v>JAEN</v>
          </cell>
          <cell r="G625" t="str">
            <v>BELLAVISTA</v>
          </cell>
          <cell r="H625" t="str">
            <v>010640</v>
          </cell>
          <cell r="I625" t="str">
            <v>2</v>
          </cell>
        </row>
        <row r="626">
          <cell r="A626" t="str">
            <v>CAJAMARCAJAENCHONTALI</v>
          </cell>
          <cell r="B626" t="str">
            <v>06</v>
          </cell>
          <cell r="C626" t="str">
            <v>08</v>
          </cell>
          <cell r="D626" t="str">
            <v>03</v>
          </cell>
          <cell r="E626" t="str">
            <v>CAJAMARCA</v>
          </cell>
          <cell r="F626" t="str">
            <v>JAEN</v>
          </cell>
          <cell r="G626" t="str">
            <v>CHONTALI</v>
          </cell>
          <cell r="H626" t="str">
            <v>010634</v>
          </cell>
          <cell r="I626" t="str">
            <v>2</v>
          </cell>
        </row>
        <row r="627">
          <cell r="A627" t="str">
            <v>CAJAMARCAJAENCOLASAY</v>
          </cell>
          <cell r="B627" t="str">
            <v>06</v>
          </cell>
          <cell r="C627" t="str">
            <v>08</v>
          </cell>
          <cell r="D627" t="str">
            <v>04</v>
          </cell>
          <cell r="E627" t="str">
            <v>CAJAMARCA</v>
          </cell>
          <cell r="F627" t="str">
            <v>JAEN</v>
          </cell>
          <cell r="G627" t="str">
            <v>COLASAY</v>
          </cell>
          <cell r="H627" t="str">
            <v>012508</v>
          </cell>
          <cell r="I627" t="str">
            <v>2</v>
          </cell>
        </row>
        <row r="628">
          <cell r="A628" t="str">
            <v>CAJAMARCAJAENHUABAL</v>
          </cell>
          <cell r="B628" t="str">
            <v>06</v>
          </cell>
          <cell r="C628" t="str">
            <v>08</v>
          </cell>
          <cell r="D628" t="str">
            <v>05</v>
          </cell>
          <cell r="E628" t="str">
            <v>CAJAMARCA</v>
          </cell>
          <cell r="F628" t="str">
            <v>JAEN</v>
          </cell>
          <cell r="G628" t="str">
            <v>HUABAL</v>
          </cell>
          <cell r="H628" t="str">
            <v>010641</v>
          </cell>
          <cell r="I628" t="str">
            <v>2</v>
          </cell>
        </row>
        <row r="629">
          <cell r="A629" t="str">
            <v>CAJAMARCAJAENLAS PIRIAS</v>
          </cell>
          <cell r="B629" t="str">
            <v>06</v>
          </cell>
          <cell r="C629" t="str">
            <v>08</v>
          </cell>
          <cell r="D629" t="str">
            <v>06</v>
          </cell>
          <cell r="E629" t="str">
            <v>CAJAMARCA</v>
          </cell>
          <cell r="F629" t="str">
            <v>JAEN</v>
          </cell>
          <cell r="G629" t="str">
            <v>LAS PIRIAS</v>
          </cell>
          <cell r="H629" t="str">
            <v>010642</v>
          </cell>
          <cell r="I629" t="str">
            <v>2</v>
          </cell>
        </row>
        <row r="630">
          <cell r="A630" t="str">
            <v>CAJAMARCAJAENPOMAHUACA</v>
          </cell>
          <cell r="B630" t="str">
            <v>06</v>
          </cell>
          <cell r="C630" t="str">
            <v>08</v>
          </cell>
          <cell r="D630" t="str">
            <v>07</v>
          </cell>
          <cell r="E630" t="str">
            <v>CAJAMARCA</v>
          </cell>
          <cell r="F630" t="str">
            <v>JAEN</v>
          </cell>
          <cell r="G630" t="str">
            <v>POMAHUACA</v>
          </cell>
          <cell r="H630" t="str">
            <v>010636</v>
          </cell>
          <cell r="I630" t="str">
            <v>2</v>
          </cell>
        </row>
        <row r="631">
          <cell r="A631" t="str">
            <v>CAJAMARCAJAENPUCARA</v>
          </cell>
          <cell r="B631" t="str">
            <v>06</v>
          </cell>
          <cell r="C631" t="str">
            <v>08</v>
          </cell>
          <cell r="D631" t="str">
            <v>08</v>
          </cell>
          <cell r="E631" t="str">
            <v>CAJAMARCA</v>
          </cell>
          <cell r="F631" t="str">
            <v>JAEN</v>
          </cell>
          <cell r="G631" t="str">
            <v>PUCARA</v>
          </cell>
          <cell r="H631" t="str">
            <v>010637</v>
          </cell>
          <cell r="I631" t="str">
            <v>2</v>
          </cell>
        </row>
        <row r="632">
          <cell r="A632" t="str">
            <v>CAJAMARCAJAENSALLIQUE</v>
          </cell>
          <cell r="B632" t="str">
            <v>06</v>
          </cell>
          <cell r="C632" t="str">
            <v>08</v>
          </cell>
          <cell r="D632" t="str">
            <v>09</v>
          </cell>
          <cell r="E632" t="str">
            <v>CAJAMARCA</v>
          </cell>
          <cell r="F632" t="str">
            <v>JAEN</v>
          </cell>
          <cell r="G632" t="str">
            <v>SALLIQUE</v>
          </cell>
          <cell r="H632" t="str">
            <v>010638</v>
          </cell>
          <cell r="I632" t="str">
            <v>2</v>
          </cell>
        </row>
        <row r="633">
          <cell r="A633" t="str">
            <v>CAJAMARCAJAENSAN FELIPE</v>
          </cell>
          <cell r="B633" t="str">
            <v>06</v>
          </cell>
          <cell r="C633" t="str">
            <v>08</v>
          </cell>
          <cell r="D633" t="str">
            <v>10</v>
          </cell>
          <cell r="E633" t="str">
            <v>CAJAMARCA</v>
          </cell>
          <cell r="F633" t="str">
            <v>JAEN</v>
          </cell>
          <cell r="G633" t="str">
            <v>SAN FELIPE</v>
          </cell>
          <cell r="H633" t="str">
            <v>010639</v>
          </cell>
          <cell r="I633" t="str">
            <v>2</v>
          </cell>
        </row>
        <row r="634">
          <cell r="A634" t="str">
            <v>CAJAMARCAJAENSAN JOSE DEL ALTO</v>
          </cell>
          <cell r="B634" t="str">
            <v>06</v>
          </cell>
          <cell r="C634" t="str">
            <v>08</v>
          </cell>
          <cell r="D634" t="str">
            <v>11</v>
          </cell>
          <cell r="E634" t="str">
            <v>CAJAMARCA</v>
          </cell>
          <cell r="F634" t="str">
            <v>JAEN</v>
          </cell>
          <cell r="G634" t="str">
            <v>SAN JOSE DEL ALTO</v>
          </cell>
          <cell r="H634" t="str">
            <v>010643</v>
          </cell>
          <cell r="I634" t="str">
            <v>2</v>
          </cell>
        </row>
        <row r="635">
          <cell r="A635" t="str">
            <v>CAJAMARCAJAENSANTA ROSA</v>
          </cell>
          <cell r="B635" t="str">
            <v>06</v>
          </cell>
          <cell r="C635" t="str">
            <v>08</v>
          </cell>
          <cell r="D635" t="str">
            <v>12</v>
          </cell>
          <cell r="E635" t="str">
            <v>CAJAMARCA</v>
          </cell>
          <cell r="F635" t="str">
            <v>JAEN</v>
          </cell>
          <cell r="G635" t="str">
            <v>SANTA ROSA</v>
          </cell>
          <cell r="H635" t="str">
            <v>010644</v>
          </cell>
          <cell r="I635" t="str">
            <v>2</v>
          </cell>
        </row>
        <row r="636">
          <cell r="A636" t="str">
            <v>CAJAMARCASAN IGNACIOSAN IGNACIO</v>
          </cell>
          <cell r="B636" t="str">
            <v>06</v>
          </cell>
          <cell r="C636" t="str">
            <v>09</v>
          </cell>
          <cell r="D636" t="str">
            <v>01</v>
          </cell>
          <cell r="E636" t="str">
            <v>CAJAMARCA</v>
          </cell>
          <cell r="F636" t="str">
            <v>SAN IGNACIO</v>
          </cell>
          <cell r="G636" t="str">
            <v>SAN IGNACIO</v>
          </cell>
          <cell r="H636" t="str">
            <v>010660</v>
          </cell>
          <cell r="I636" t="str">
            <v>1</v>
          </cell>
        </row>
        <row r="637">
          <cell r="A637" t="str">
            <v>CAJAMARCASAN IGNACIOCHIRINOS</v>
          </cell>
          <cell r="B637" t="str">
            <v>06</v>
          </cell>
          <cell r="C637" t="str">
            <v>09</v>
          </cell>
          <cell r="D637" t="str">
            <v>02</v>
          </cell>
          <cell r="E637" t="str">
            <v>CAJAMARCA</v>
          </cell>
          <cell r="F637" t="str">
            <v>SAN IGNACIO</v>
          </cell>
          <cell r="G637" t="str">
            <v>CHIRINOS</v>
          </cell>
          <cell r="H637" t="str">
            <v>010661</v>
          </cell>
          <cell r="I637" t="str">
            <v>2</v>
          </cell>
        </row>
        <row r="638">
          <cell r="A638" t="str">
            <v>CAJAMARCASAN IGNACIOHUARANGO</v>
          </cell>
          <cell r="B638" t="str">
            <v>06</v>
          </cell>
          <cell r="C638" t="str">
            <v>09</v>
          </cell>
          <cell r="D638" t="str">
            <v>03</v>
          </cell>
          <cell r="E638" t="str">
            <v>CAJAMARCA</v>
          </cell>
          <cell r="F638" t="str">
            <v>SAN IGNACIO</v>
          </cell>
          <cell r="G638" t="str">
            <v>HUARANGO</v>
          </cell>
          <cell r="H638" t="str">
            <v>010662</v>
          </cell>
          <cell r="I638" t="str">
            <v>2</v>
          </cell>
        </row>
        <row r="639">
          <cell r="A639" t="str">
            <v>CAJAMARCASAN IGNACIOLA COIPA</v>
          </cell>
          <cell r="B639" t="str">
            <v>06</v>
          </cell>
          <cell r="C639" t="str">
            <v>09</v>
          </cell>
          <cell r="D639" t="str">
            <v>04</v>
          </cell>
          <cell r="E639" t="str">
            <v>CAJAMARCA</v>
          </cell>
          <cell r="F639" t="str">
            <v>SAN IGNACIO</v>
          </cell>
          <cell r="G639" t="str">
            <v>LA COIPA</v>
          </cell>
          <cell r="H639" t="str">
            <v>010663</v>
          </cell>
          <cell r="I639" t="str">
            <v>2</v>
          </cell>
        </row>
        <row r="640">
          <cell r="A640" t="str">
            <v>CAJAMARCASAN IGNACIONAMBALLE</v>
          </cell>
          <cell r="B640" t="str">
            <v>06</v>
          </cell>
          <cell r="C640" t="str">
            <v>09</v>
          </cell>
          <cell r="D640" t="str">
            <v>05</v>
          </cell>
          <cell r="E640" t="str">
            <v>CAJAMARCA</v>
          </cell>
          <cell r="F640" t="str">
            <v>SAN IGNACIO</v>
          </cell>
          <cell r="G640" t="str">
            <v>NAMBALLE</v>
          </cell>
          <cell r="H640" t="str">
            <v>010664</v>
          </cell>
          <cell r="I640" t="str">
            <v>2</v>
          </cell>
        </row>
        <row r="641">
          <cell r="A641" t="str">
            <v>CAJAMARCASAN IGNACIOSAN JOSE DE LOURDES</v>
          </cell>
          <cell r="B641" t="str">
            <v>06</v>
          </cell>
          <cell r="C641" t="str">
            <v>09</v>
          </cell>
          <cell r="D641" t="str">
            <v>06</v>
          </cell>
          <cell r="E641" t="str">
            <v>CAJAMARCA</v>
          </cell>
          <cell r="F641" t="str">
            <v>SAN IGNACIO</v>
          </cell>
          <cell r="G641" t="str">
            <v>SAN JOSE DE LOURDES</v>
          </cell>
          <cell r="H641" t="str">
            <v>012522</v>
          </cell>
          <cell r="I641" t="str">
            <v>2</v>
          </cell>
        </row>
        <row r="642">
          <cell r="A642" t="str">
            <v>CAJAMARCASAN IGNACIOTABACONAS</v>
          </cell>
          <cell r="B642" t="str">
            <v>06</v>
          </cell>
          <cell r="C642" t="str">
            <v>09</v>
          </cell>
          <cell r="D642" t="str">
            <v>07</v>
          </cell>
          <cell r="E642" t="str">
            <v>CAJAMARCA</v>
          </cell>
          <cell r="F642" t="str">
            <v>SAN IGNACIO</v>
          </cell>
          <cell r="G642" t="str">
            <v>TABACONAS</v>
          </cell>
          <cell r="H642" t="str">
            <v>010666</v>
          </cell>
          <cell r="I642" t="str">
            <v>2</v>
          </cell>
        </row>
        <row r="643">
          <cell r="A643" t="str">
            <v>CAJAMARCASAN MARCOSPEDRO GALVEZ</v>
          </cell>
          <cell r="B643" t="str">
            <v>06</v>
          </cell>
          <cell r="C643" t="str">
            <v>10</v>
          </cell>
          <cell r="D643" t="str">
            <v>01</v>
          </cell>
          <cell r="E643" t="str">
            <v>CAJAMARCA</v>
          </cell>
          <cell r="F643" t="str">
            <v>SAN MARCOS</v>
          </cell>
          <cell r="G643" t="str">
            <v>PEDRO GALVEZ</v>
          </cell>
          <cell r="H643" t="str">
            <v>010609</v>
          </cell>
          <cell r="I643" t="str">
            <v>1</v>
          </cell>
        </row>
        <row r="644">
          <cell r="A644" t="str">
            <v>CAJAMARCASAN MARCOSCHANCAY</v>
          </cell>
          <cell r="B644" t="str">
            <v>06</v>
          </cell>
          <cell r="C644" t="str">
            <v>10</v>
          </cell>
          <cell r="D644" t="str">
            <v>02</v>
          </cell>
          <cell r="E644" t="str">
            <v>CAJAMARCA</v>
          </cell>
          <cell r="F644" t="str">
            <v>SAN MARCOS</v>
          </cell>
          <cell r="G644" t="str">
            <v>CHANCAY</v>
          </cell>
          <cell r="H644" t="str">
            <v>010610</v>
          </cell>
          <cell r="I644" t="str">
            <v>2</v>
          </cell>
        </row>
        <row r="645">
          <cell r="A645" t="str">
            <v>CAJAMARCASAN MARCOSEDUARDO VILLANUEVA</v>
          </cell>
          <cell r="B645" t="str">
            <v>06</v>
          </cell>
          <cell r="C645" t="str">
            <v>10</v>
          </cell>
          <cell r="D645" t="str">
            <v>03</v>
          </cell>
          <cell r="E645" t="str">
            <v>CAJAMARCA</v>
          </cell>
          <cell r="F645" t="str">
            <v>SAN MARCOS</v>
          </cell>
          <cell r="G645" t="str">
            <v>EDUARDO VILLANUEVA</v>
          </cell>
          <cell r="H645" t="str">
            <v>010611</v>
          </cell>
          <cell r="I645" t="str">
            <v>2</v>
          </cell>
        </row>
        <row r="646">
          <cell r="A646" t="str">
            <v>CAJAMARCASAN MARCOSGREGORIO PITA</v>
          </cell>
          <cell r="B646" t="str">
            <v>06</v>
          </cell>
          <cell r="C646" t="str">
            <v>10</v>
          </cell>
          <cell r="D646" t="str">
            <v>04</v>
          </cell>
          <cell r="E646" t="str">
            <v>CAJAMARCA</v>
          </cell>
          <cell r="F646" t="str">
            <v>SAN MARCOS</v>
          </cell>
          <cell r="G646" t="str">
            <v>GREGORIO PITA</v>
          </cell>
          <cell r="H646" t="str">
            <v>010612</v>
          </cell>
          <cell r="I646" t="str">
            <v>2</v>
          </cell>
        </row>
        <row r="647">
          <cell r="A647" t="str">
            <v>CAJAMARCASAN MARCOSICHOCAN</v>
          </cell>
          <cell r="B647" t="str">
            <v>06</v>
          </cell>
          <cell r="C647" t="str">
            <v>10</v>
          </cell>
          <cell r="D647" t="str">
            <v>05</v>
          </cell>
          <cell r="E647" t="str">
            <v>CAJAMARCA</v>
          </cell>
          <cell r="F647" t="str">
            <v>SAN MARCOS</v>
          </cell>
          <cell r="G647" t="str">
            <v>ICHOCAN</v>
          </cell>
          <cell r="H647" t="str">
            <v>010613</v>
          </cell>
          <cell r="I647" t="str">
            <v>2</v>
          </cell>
        </row>
        <row r="648">
          <cell r="A648" t="str">
            <v>CAJAMARCASAN MARCOSJOSE MANUEL QUIROZ</v>
          </cell>
          <cell r="B648" t="str">
            <v>06</v>
          </cell>
          <cell r="C648" t="str">
            <v>10</v>
          </cell>
          <cell r="D648" t="str">
            <v>06</v>
          </cell>
          <cell r="E648" t="str">
            <v>CAJAMARCA</v>
          </cell>
          <cell r="F648" t="str">
            <v>SAN MARCOS</v>
          </cell>
          <cell r="G648" t="str">
            <v>JOSE MANUEL QUIROZ</v>
          </cell>
          <cell r="H648" t="str">
            <v>010614</v>
          </cell>
          <cell r="I648" t="str">
            <v>2</v>
          </cell>
        </row>
        <row r="649">
          <cell r="A649" t="str">
            <v>CAJAMARCASAN MARCOSJOSE SABOGAL</v>
          </cell>
          <cell r="B649" t="str">
            <v>06</v>
          </cell>
          <cell r="C649" t="str">
            <v>10</v>
          </cell>
          <cell r="D649" t="str">
            <v>07</v>
          </cell>
          <cell r="E649" t="str">
            <v>CAJAMARCA</v>
          </cell>
          <cell r="F649" t="str">
            <v>SAN MARCOS</v>
          </cell>
          <cell r="G649" t="str">
            <v>JOSE SABOGAL</v>
          </cell>
          <cell r="H649" t="str">
            <v>010615</v>
          </cell>
          <cell r="I649" t="str">
            <v>2</v>
          </cell>
        </row>
        <row r="650">
          <cell r="A650" t="str">
            <v>CAJAMARCASAN MIGUELSAN MIGUEL</v>
          </cell>
          <cell r="B650" t="str">
            <v>06</v>
          </cell>
          <cell r="C650" t="str">
            <v>11</v>
          </cell>
          <cell r="D650" t="str">
            <v>01</v>
          </cell>
          <cell r="E650" t="str">
            <v>CAJAMARCA</v>
          </cell>
          <cell r="F650" t="str">
            <v>SAN MIGUEL</v>
          </cell>
          <cell r="G650" t="str">
            <v>SAN MIGUEL</v>
          </cell>
          <cell r="H650" t="str">
            <v>010616</v>
          </cell>
          <cell r="I650" t="str">
            <v>1</v>
          </cell>
        </row>
        <row r="651">
          <cell r="A651" t="str">
            <v>CAJAMARCASAN MIGUELBOLIVAR</v>
          </cell>
          <cell r="B651" t="str">
            <v>06</v>
          </cell>
          <cell r="C651" t="str">
            <v>11</v>
          </cell>
          <cell r="D651" t="str">
            <v>02</v>
          </cell>
          <cell r="E651" t="str">
            <v>CAJAMARCA</v>
          </cell>
          <cell r="F651" t="str">
            <v>SAN MIGUEL</v>
          </cell>
          <cell r="G651" t="str">
            <v>BOLIVAR</v>
          </cell>
          <cell r="H651" t="str">
            <v>010622</v>
          </cell>
          <cell r="I651" t="str">
            <v>2</v>
          </cell>
        </row>
        <row r="652">
          <cell r="A652" t="str">
            <v>CAJAMARCASAN MIGUELCALQUIS</v>
          </cell>
          <cell r="B652" t="str">
            <v>06</v>
          </cell>
          <cell r="C652" t="str">
            <v>11</v>
          </cell>
          <cell r="D652" t="str">
            <v>03</v>
          </cell>
          <cell r="E652" t="str">
            <v>CAJAMARCA</v>
          </cell>
          <cell r="F652" t="str">
            <v>SAN MIGUEL</v>
          </cell>
          <cell r="G652" t="str">
            <v>CALQUIS</v>
          </cell>
          <cell r="H652" t="str">
            <v>010617</v>
          </cell>
          <cell r="I652" t="str">
            <v>2</v>
          </cell>
        </row>
        <row r="653">
          <cell r="A653" t="str">
            <v>CAJAMARCASAN MIGUELCATILLUC</v>
          </cell>
          <cell r="B653" t="str">
            <v>06</v>
          </cell>
          <cell r="C653" t="str">
            <v>11</v>
          </cell>
          <cell r="D653" t="str">
            <v>04</v>
          </cell>
          <cell r="E653" t="str">
            <v>CAJAMARCA</v>
          </cell>
          <cell r="F653" t="str">
            <v>SAN MIGUEL</v>
          </cell>
          <cell r="G653" t="str">
            <v>CATILLUC</v>
          </cell>
          <cell r="H653" t="str">
            <v>010618</v>
          </cell>
          <cell r="I653" t="str">
            <v>2</v>
          </cell>
        </row>
        <row r="654">
          <cell r="A654" t="str">
            <v>CAJAMARCASAN MIGUELEL PRADO</v>
          </cell>
          <cell r="B654" t="str">
            <v>06</v>
          </cell>
          <cell r="C654" t="str">
            <v>11</v>
          </cell>
          <cell r="D654" t="str">
            <v>05</v>
          </cell>
          <cell r="E654" t="str">
            <v>CAJAMARCA</v>
          </cell>
          <cell r="F654" t="str">
            <v>SAN MIGUEL</v>
          </cell>
          <cell r="G654" t="str">
            <v>EL PRADO</v>
          </cell>
          <cell r="H654" t="str">
            <v>012029</v>
          </cell>
          <cell r="I654" t="str">
            <v>2</v>
          </cell>
        </row>
        <row r="655">
          <cell r="A655" t="str">
            <v>CAJAMARCASAN MIGUELLA FLORIDA</v>
          </cell>
          <cell r="B655" t="str">
            <v>06</v>
          </cell>
          <cell r="C655" t="str">
            <v>11</v>
          </cell>
          <cell r="D655" t="str">
            <v>06</v>
          </cell>
          <cell r="E655" t="str">
            <v>CAJAMARCA</v>
          </cell>
          <cell r="F655" t="str">
            <v>SAN MIGUEL</v>
          </cell>
          <cell r="G655" t="str">
            <v>LA FLORIDA</v>
          </cell>
          <cell r="H655" t="str">
            <v>010624</v>
          </cell>
          <cell r="I655" t="str">
            <v>2</v>
          </cell>
        </row>
        <row r="656">
          <cell r="A656" t="str">
            <v>CAJAMARCASAN MIGUELLLAPA</v>
          </cell>
          <cell r="B656" t="str">
            <v>06</v>
          </cell>
          <cell r="C656" t="str">
            <v>11</v>
          </cell>
          <cell r="D656" t="str">
            <v>07</v>
          </cell>
          <cell r="E656" t="str">
            <v>CAJAMARCA</v>
          </cell>
          <cell r="F656" t="str">
            <v>SAN MIGUEL</v>
          </cell>
          <cell r="G656" t="str">
            <v>LLAPA</v>
          </cell>
          <cell r="H656" t="str">
            <v>010619</v>
          </cell>
          <cell r="I656" t="str">
            <v>2</v>
          </cell>
        </row>
        <row r="657">
          <cell r="A657" t="str">
            <v>CAJAMARCASAN MIGUELNANCHOC</v>
          </cell>
          <cell r="B657" t="str">
            <v>06</v>
          </cell>
          <cell r="C657" t="str">
            <v>11</v>
          </cell>
          <cell r="D657" t="str">
            <v>08</v>
          </cell>
          <cell r="E657" t="str">
            <v>CAJAMARCA</v>
          </cell>
          <cell r="F657" t="str">
            <v>SAN MIGUEL</v>
          </cell>
          <cell r="G657" t="str">
            <v>NANCHOC</v>
          </cell>
          <cell r="H657" t="str">
            <v>010625</v>
          </cell>
          <cell r="I657" t="str">
            <v>2</v>
          </cell>
        </row>
        <row r="658">
          <cell r="A658" t="str">
            <v>CAJAMARCASAN MIGUELNIEPOS</v>
          </cell>
          <cell r="B658" t="str">
            <v>06</v>
          </cell>
          <cell r="C658" t="str">
            <v>11</v>
          </cell>
          <cell r="D658" t="str">
            <v>09</v>
          </cell>
          <cell r="E658" t="str">
            <v>CAJAMARCA</v>
          </cell>
          <cell r="F658" t="str">
            <v>SAN MIGUEL</v>
          </cell>
          <cell r="G658" t="str">
            <v>NIEPOS</v>
          </cell>
          <cell r="H658" t="str">
            <v>010626</v>
          </cell>
          <cell r="I658" t="str">
            <v>2</v>
          </cell>
        </row>
        <row r="659">
          <cell r="A659" t="str">
            <v>CAJAMARCASAN MIGUELSAN GREGORIO</v>
          </cell>
          <cell r="B659" t="str">
            <v>06</v>
          </cell>
          <cell r="C659" t="str">
            <v>11</v>
          </cell>
          <cell r="D659" t="str">
            <v>10</v>
          </cell>
          <cell r="E659" t="str">
            <v>CAJAMARCA</v>
          </cell>
          <cell r="F659" t="str">
            <v>SAN MIGUEL</v>
          </cell>
          <cell r="G659" t="str">
            <v>SAN GREGORIO</v>
          </cell>
          <cell r="H659" t="str">
            <v>010627</v>
          </cell>
          <cell r="I659" t="str">
            <v>2</v>
          </cell>
        </row>
        <row r="660">
          <cell r="A660" t="str">
            <v>CAJAMARCASAN MIGUELSAN SILVESTRE DE COCHAN</v>
          </cell>
          <cell r="B660" t="str">
            <v>06</v>
          </cell>
          <cell r="C660" t="str">
            <v>11</v>
          </cell>
          <cell r="D660" t="str">
            <v>11</v>
          </cell>
          <cell r="E660" t="str">
            <v>CAJAMARCA</v>
          </cell>
          <cell r="F660" t="str">
            <v>SAN MIGUEL</v>
          </cell>
          <cell r="G660" t="str">
            <v>SAN SILVESTRE DE COCHAN</v>
          </cell>
          <cell r="H660" t="str">
            <v>010620</v>
          </cell>
          <cell r="I660" t="str">
            <v>2</v>
          </cell>
        </row>
        <row r="661">
          <cell r="A661" t="str">
            <v>CAJAMARCASAN MIGUELTONGOD</v>
          </cell>
          <cell r="B661" t="str">
            <v>06</v>
          </cell>
          <cell r="C661" t="str">
            <v>11</v>
          </cell>
          <cell r="D661" t="str">
            <v>12</v>
          </cell>
          <cell r="E661" t="str">
            <v>CAJAMARCA</v>
          </cell>
          <cell r="F661" t="str">
            <v>SAN MIGUEL</v>
          </cell>
          <cell r="G661" t="str">
            <v>TONGOD</v>
          </cell>
          <cell r="H661" t="str">
            <v>010621</v>
          </cell>
          <cell r="I661" t="str">
            <v>2</v>
          </cell>
        </row>
        <row r="662">
          <cell r="A662" t="str">
            <v>CAJAMARCASAN MIGUELUNION AGUA BLANCA</v>
          </cell>
          <cell r="B662" t="str">
            <v>06</v>
          </cell>
          <cell r="C662" t="str">
            <v>11</v>
          </cell>
          <cell r="D662" t="str">
            <v>13</v>
          </cell>
          <cell r="E662" t="str">
            <v>CAJAMARCA</v>
          </cell>
          <cell r="F662" t="str">
            <v>SAN MIGUEL</v>
          </cell>
          <cell r="G662" t="str">
            <v>UNION AGUA BLANCA</v>
          </cell>
          <cell r="H662" t="str">
            <v>010628</v>
          </cell>
          <cell r="I662" t="str">
            <v>2</v>
          </cell>
        </row>
        <row r="663">
          <cell r="A663" t="str">
            <v>CAJAMARCASAN PABLOSAN PABLO</v>
          </cell>
          <cell r="B663" t="str">
            <v>06</v>
          </cell>
          <cell r="C663" t="str">
            <v>12</v>
          </cell>
          <cell r="D663" t="str">
            <v>01</v>
          </cell>
          <cell r="E663" t="str">
            <v>CAJAMARCA</v>
          </cell>
          <cell r="F663" t="str">
            <v>SAN PABLO</v>
          </cell>
          <cell r="G663" t="str">
            <v>SAN PABLO</v>
          </cell>
          <cell r="H663" t="str">
            <v>010629</v>
          </cell>
          <cell r="I663" t="str">
            <v>1</v>
          </cell>
        </row>
        <row r="664">
          <cell r="A664" t="str">
            <v>CAJAMARCASAN PABLOSAN BERNARDINO</v>
          </cell>
          <cell r="B664" t="str">
            <v>06</v>
          </cell>
          <cell r="C664" t="str">
            <v>12</v>
          </cell>
          <cell r="D664" t="str">
            <v>02</v>
          </cell>
          <cell r="E664" t="str">
            <v>CAJAMARCA</v>
          </cell>
          <cell r="F664" t="str">
            <v>SAN PABLO</v>
          </cell>
          <cell r="G664" t="str">
            <v>SAN BERNARDINO</v>
          </cell>
          <cell r="H664" t="str">
            <v>010630</v>
          </cell>
          <cell r="I664" t="str">
            <v>2</v>
          </cell>
        </row>
        <row r="665">
          <cell r="A665" t="str">
            <v>CAJAMARCASAN PABLOSAN LUIS</v>
          </cell>
          <cell r="B665" t="str">
            <v>06</v>
          </cell>
          <cell r="C665" t="str">
            <v>12</v>
          </cell>
          <cell r="D665" t="str">
            <v>03</v>
          </cell>
          <cell r="E665" t="str">
            <v>CAJAMARCA</v>
          </cell>
          <cell r="F665" t="str">
            <v>SAN PABLO</v>
          </cell>
          <cell r="G665" t="str">
            <v>SAN LUIS</v>
          </cell>
          <cell r="H665" t="str">
            <v>010631</v>
          </cell>
          <cell r="I665" t="str">
            <v>2</v>
          </cell>
        </row>
        <row r="666">
          <cell r="A666" t="str">
            <v>CAJAMARCASAN PABLOTUMBADEN</v>
          </cell>
          <cell r="B666" t="str">
            <v>06</v>
          </cell>
          <cell r="C666" t="str">
            <v>12</v>
          </cell>
          <cell r="D666" t="str">
            <v>04</v>
          </cell>
          <cell r="E666" t="str">
            <v>CAJAMARCA</v>
          </cell>
          <cell r="F666" t="str">
            <v>SAN PABLO</v>
          </cell>
          <cell r="G666" t="str">
            <v>TUMBADEN</v>
          </cell>
          <cell r="H666" t="str">
            <v>012035</v>
          </cell>
          <cell r="I666" t="str">
            <v>2</v>
          </cell>
        </row>
        <row r="667">
          <cell r="A667" t="str">
            <v>CAJAMARCASANTA CRUZSANTA CRUZ</v>
          </cell>
          <cell r="B667" t="str">
            <v>06</v>
          </cell>
          <cell r="C667" t="str">
            <v>13</v>
          </cell>
          <cell r="D667" t="str">
            <v>01</v>
          </cell>
          <cell r="E667" t="str">
            <v>CAJAMARCA</v>
          </cell>
          <cell r="F667" t="str">
            <v>SANTA CRUZ</v>
          </cell>
          <cell r="G667" t="str">
            <v>SANTA CRUZ</v>
          </cell>
          <cell r="H667" t="str">
            <v>010667</v>
          </cell>
          <cell r="I667" t="str">
            <v>1</v>
          </cell>
        </row>
        <row r="668">
          <cell r="A668" t="str">
            <v>CAJAMARCASANTA CRUZANDABAMBA</v>
          </cell>
          <cell r="B668" t="str">
            <v>06</v>
          </cell>
          <cell r="C668" t="str">
            <v>13</v>
          </cell>
          <cell r="D668" t="str">
            <v>02</v>
          </cell>
          <cell r="E668" t="str">
            <v>CAJAMARCA</v>
          </cell>
          <cell r="F668" t="str">
            <v>SANTA CRUZ</v>
          </cell>
          <cell r="G668" t="str">
            <v>ANDABAMBA</v>
          </cell>
          <cell r="H668" t="str">
            <v>010668</v>
          </cell>
          <cell r="I668" t="str">
            <v>2</v>
          </cell>
        </row>
        <row r="669">
          <cell r="A669" t="str">
            <v>CAJAMARCASANTA CRUZCATACHE</v>
          </cell>
          <cell r="B669" t="str">
            <v>06</v>
          </cell>
          <cell r="C669" t="str">
            <v>13</v>
          </cell>
          <cell r="D669" t="str">
            <v>03</v>
          </cell>
          <cell r="E669" t="str">
            <v>CAJAMARCA</v>
          </cell>
          <cell r="F669" t="str">
            <v>SANTA CRUZ</v>
          </cell>
          <cell r="G669" t="str">
            <v>CATACHE</v>
          </cell>
          <cell r="H669" t="str">
            <v>010669</v>
          </cell>
          <cell r="I669" t="str">
            <v>2</v>
          </cell>
        </row>
        <row r="670">
          <cell r="A670" t="str">
            <v>CAJAMARCASANTA CRUZCHANCAYBAÑOS</v>
          </cell>
          <cell r="B670" t="str">
            <v>06</v>
          </cell>
          <cell r="C670" t="str">
            <v>13</v>
          </cell>
          <cell r="D670" t="str">
            <v>04</v>
          </cell>
          <cell r="E670" t="str">
            <v>CAJAMARCA</v>
          </cell>
          <cell r="F670" t="str">
            <v>SANTA CRUZ</v>
          </cell>
          <cell r="G670" t="str">
            <v>CHANCAYBAÑOS</v>
          </cell>
          <cell r="H670" t="str">
            <v>010670</v>
          </cell>
          <cell r="I670" t="str">
            <v>2</v>
          </cell>
        </row>
        <row r="671">
          <cell r="A671" t="str">
            <v>CAJAMARCASANTA CRUZLA ESPERANZA</v>
          </cell>
          <cell r="B671" t="str">
            <v>06</v>
          </cell>
          <cell r="C671" t="str">
            <v>13</v>
          </cell>
          <cell r="D671" t="str">
            <v>05</v>
          </cell>
          <cell r="E671" t="str">
            <v>CAJAMARCA</v>
          </cell>
          <cell r="F671" t="str">
            <v>SANTA CRUZ</v>
          </cell>
          <cell r="G671" t="str">
            <v>LA ESPERANZA</v>
          </cell>
          <cell r="H671" t="str">
            <v>010671</v>
          </cell>
          <cell r="I671" t="str">
            <v>2</v>
          </cell>
        </row>
        <row r="672">
          <cell r="A672" t="str">
            <v>CAJAMARCASANTA CRUZNINABAMBA</v>
          </cell>
          <cell r="B672" t="str">
            <v>06</v>
          </cell>
          <cell r="C672" t="str">
            <v>13</v>
          </cell>
          <cell r="D672" t="str">
            <v>06</v>
          </cell>
          <cell r="E672" t="str">
            <v>CAJAMARCA</v>
          </cell>
          <cell r="F672" t="str">
            <v>SANTA CRUZ</v>
          </cell>
          <cell r="G672" t="str">
            <v>NINABAMBA</v>
          </cell>
          <cell r="H672" t="str">
            <v>010672</v>
          </cell>
          <cell r="I672" t="str">
            <v>2</v>
          </cell>
        </row>
        <row r="673">
          <cell r="A673" t="str">
            <v>CAJAMARCASANTA CRUZPULAN</v>
          </cell>
          <cell r="B673" t="str">
            <v>06</v>
          </cell>
          <cell r="C673" t="str">
            <v>13</v>
          </cell>
          <cell r="D673" t="str">
            <v>07</v>
          </cell>
          <cell r="E673" t="str">
            <v>CAJAMARCA</v>
          </cell>
          <cell r="F673" t="str">
            <v>SANTA CRUZ</v>
          </cell>
          <cell r="G673" t="str">
            <v>PULAN</v>
          </cell>
          <cell r="H673" t="str">
            <v>010673</v>
          </cell>
          <cell r="I673" t="str">
            <v>2</v>
          </cell>
        </row>
        <row r="674">
          <cell r="A674" t="str">
            <v>CAJAMARCASANTA CRUZSAUCEPAMPA</v>
          </cell>
          <cell r="B674" t="str">
            <v>06</v>
          </cell>
          <cell r="C674" t="str">
            <v>13</v>
          </cell>
          <cell r="D674" t="str">
            <v>08</v>
          </cell>
          <cell r="E674" t="str">
            <v>CAJAMARCA</v>
          </cell>
          <cell r="F674" t="str">
            <v>SANTA CRUZ</v>
          </cell>
          <cell r="G674" t="str">
            <v>SAUCEPAMPA</v>
          </cell>
          <cell r="H674" t="str">
            <v>010674</v>
          </cell>
          <cell r="I674" t="str">
            <v>2</v>
          </cell>
        </row>
        <row r="675">
          <cell r="A675" t="str">
            <v>CAJAMARCASANTA CRUZSEXI</v>
          </cell>
          <cell r="B675" t="str">
            <v>06</v>
          </cell>
          <cell r="C675" t="str">
            <v>13</v>
          </cell>
          <cell r="D675" t="str">
            <v>09</v>
          </cell>
          <cell r="E675" t="str">
            <v>CAJAMARCA</v>
          </cell>
          <cell r="F675" t="str">
            <v>SANTA CRUZ</v>
          </cell>
          <cell r="G675" t="str">
            <v>SEXI</v>
          </cell>
          <cell r="H675" t="str">
            <v>010675</v>
          </cell>
          <cell r="I675" t="str">
            <v>2</v>
          </cell>
        </row>
        <row r="676">
          <cell r="A676" t="str">
            <v>CAJAMARCASANTA CRUZUTICYACU</v>
          </cell>
          <cell r="B676" t="str">
            <v>06</v>
          </cell>
          <cell r="C676" t="str">
            <v>13</v>
          </cell>
          <cell r="D676" t="str">
            <v>10</v>
          </cell>
          <cell r="E676" t="str">
            <v>CAJAMARCA</v>
          </cell>
          <cell r="F676" t="str">
            <v>SANTA CRUZ</v>
          </cell>
          <cell r="G676" t="str">
            <v>UTICYACU</v>
          </cell>
          <cell r="H676" t="str">
            <v>010676</v>
          </cell>
          <cell r="I676" t="str">
            <v>2</v>
          </cell>
        </row>
        <row r="677">
          <cell r="A677" t="str">
            <v>CAJAMARCASANTA CRUZYAUYUCAN</v>
          </cell>
          <cell r="B677" t="str">
            <v>06</v>
          </cell>
          <cell r="C677" t="str">
            <v>13</v>
          </cell>
          <cell r="D677" t="str">
            <v>11</v>
          </cell>
          <cell r="E677" t="str">
            <v>CAJAMARCA</v>
          </cell>
          <cell r="F677" t="str">
            <v>SANTA CRUZ</v>
          </cell>
          <cell r="G677" t="str">
            <v>YAUYUCAN</v>
          </cell>
          <cell r="H677" t="str">
            <v>010677</v>
          </cell>
          <cell r="I677" t="str">
            <v>2</v>
          </cell>
        </row>
        <row r="678">
          <cell r="A678" t="str">
            <v>CALLAOCALLAOCALLAO</v>
          </cell>
          <cell r="B678" t="str">
            <v>07</v>
          </cell>
          <cell r="C678" t="str">
            <v>01</v>
          </cell>
          <cell r="D678" t="str">
            <v>01</v>
          </cell>
          <cell r="E678" t="str">
            <v>CALLAO</v>
          </cell>
          <cell r="F678" t="str">
            <v>CALLAO</v>
          </cell>
          <cell r="G678" t="str">
            <v>CALLAO</v>
          </cell>
          <cell r="H678" t="str">
            <v>010678</v>
          </cell>
          <cell r="I678" t="str">
            <v>1</v>
          </cell>
        </row>
        <row r="679">
          <cell r="A679" t="str">
            <v>CALLAOCALLAOBELLAVISTA</v>
          </cell>
          <cell r="B679" t="str">
            <v>07</v>
          </cell>
          <cell r="C679" t="str">
            <v>01</v>
          </cell>
          <cell r="D679" t="str">
            <v>02</v>
          </cell>
          <cell r="E679" t="str">
            <v>CALLAO</v>
          </cell>
          <cell r="F679" t="str">
            <v>CALLAO</v>
          </cell>
          <cell r="G679" t="str">
            <v>BELLAVISTA</v>
          </cell>
          <cell r="H679" t="str">
            <v>010680</v>
          </cell>
          <cell r="I679" t="str">
            <v>2</v>
          </cell>
        </row>
        <row r="680">
          <cell r="A680" t="str">
            <v>CALLAOCALLAOCARMEN DE LA LEGUA REYNOSO</v>
          </cell>
          <cell r="B680" t="str">
            <v>07</v>
          </cell>
          <cell r="C680" t="str">
            <v>01</v>
          </cell>
          <cell r="D680" t="str">
            <v>03</v>
          </cell>
          <cell r="E680" t="str">
            <v>CALLAO</v>
          </cell>
          <cell r="F680" t="str">
            <v>CALLAO</v>
          </cell>
          <cell r="G680" t="str">
            <v>CARMEN DE LA LEGUA REYNOSO</v>
          </cell>
          <cell r="H680" t="str">
            <v>010681</v>
          </cell>
          <cell r="I680" t="str">
            <v>2</v>
          </cell>
        </row>
        <row r="681">
          <cell r="A681" t="str">
            <v>CALLAOCALLAOLA PERLA</v>
          </cell>
          <cell r="B681" t="str">
            <v>07</v>
          </cell>
          <cell r="C681" t="str">
            <v>01</v>
          </cell>
          <cell r="D681" t="str">
            <v>04</v>
          </cell>
          <cell r="E681" t="str">
            <v>CALLAO</v>
          </cell>
          <cell r="F681" t="str">
            <v>CALLAO</v>
          </cell>
          <cell r="G681" t="str">
            <v>LA PERLA</v>
          </cell>
          <cell r="H681" t="str">
            <v>013017</v>
          </cell>
          <cell r="I681" t="str">
            <v>2</v>
          </cell>
        </row>
        <row r="682">
          <cell r="A682" t="str">
            <v>CALLAOCALLAOLA PUNTA</v>
          </cell>
          <cell r="B682" t="str">
            <v>07</v>
          </cell>
          <cell r="C682" t="str">
            <v>01</v>
          </cell>
          <cell r="D682" t="str">
            <v>05</v>
          </cell>
          <cell r="E682" t="str">
            <v>CALLAO</v>
          </cell>
          <cell r="F682" t="str">
            <v>CALLAO</v>
          </cell>
          <cell r="G682" t="str">
            <v>LA PUNTA</v>
          </cell>
          <cell r="H682" t="str">
            <v>010683</v>
          </cell>
          <cell r="I682" t="str">
            <v>2</v>
          </cell>
        </row>
        <row r="683">
          <cell r="A683" t="str">
            <v>CALLAOCALLAOVENTANILLA</v>
          </cell>
          <cell r="B683" t="str">
            <v>07</v>
          </cell>
          <cell r="C683" t="str">
            <v>01</v>
          </cell>
          <cell r="D683" t="str">
            <v>06</v>
          </cell>
          <cell r="E683" t="str">
            <v>CALLAO</v>
          </cell>
          <cell r="F683" t="str">
            <v>CALLAO</v>
          </cell>
          <cell r="G683" t="str">
            <v>VENTANILLA</v>
          </cell>
          <cell r="H683" t="str">
            <v>013019</v>
          </cell>
          <cell r="I683" t="str">
            <v>2</v>
          </cell>
        </row>
        <row r="684">
          <cell r="A684" t="str">
            <v>CUSCOCUSCOCUSCO</v>
          </cell>
          <cell r="B684" t="str">
            <v>08</v>
          </cell>
          <cell r="C684" t="str">
            <v>01</v>
          </cell>
          <cell r="D684" t="str">
            <v>01</v>
          </cell>
          <cell r="E684" t="str">
            <v>CUSCO</v>
          </cell>
          <cell r="F684" t="str">
            <v>CUSCO</v>
          </cell>
          <cell r="G684" t="str">
            <v>CUSCO</v>
          </cell>
          <cell r="H684" t="str">
            <v>010684</v>
          </cell>
          <cell r="I684" t="str">
            <v>1</v>
          </cell>
        </row>
        <row r="685">
          <cell r="A685" t="str">
            <v>CUSCOCUSCOCCORCA</v>
          </cell>
          <cell r="B685" t="str">
            <v>08</v>
          </cell>
          <cell r="C685" t="str">
            <v>01</v>
          </cell>
          <cell r="D685" t="str">
            <v>02</v>
          </cell>
          <cell r="E685" t="str">
            <v>CUSCO</v>
          </cell>
          <cell r="F685" t="str">
            <v>CUSCO</v>
          </cell>
          <cell r="G685" t="str">
            <v>CCORCA</v>
          </cell>
          <cell r="H685" t="str">
            <v>010685</v>
          </cell>
          <cell r="I685" t="str">
            <v>2</v>
          </cell>
        </row>
        <row r="686">
          <cell r="A686" t="str">
            <v>CUSCOCUSCOPOROY</v>
          </cell>
          <cell r="B686" t="str">
            <v>08</v>
          </cell>
          <cell r="C686" t="str">
            <v>01</v>
          </cell>
          <cell r="D686" t="str">
            <v>03</v>
          </cell>
          <cell r="E686" t="str">
            <v>CUSCO</v>
          </cell>
          <cell r="F686" t="str">
            <v>CUSCO</v>
          </cell>
          <cell r="G686" t="str">
            <v>POROY</v>
          </cell>
          <cell r="H686" t="str">
            <v>010686</v>
          </cell>
          <cell r="I686" t="str">
            <v>2</v>
          </cell>
        </row>
        <row r="687">
          <cell r="A687" t="str">
            <v>CUSCOCUSCOSAN JERONIMO</v>
          </cell>
          <cell r="B687" t="str">
            <v>08</v>
          </cell>
          <cell r="C687" t="str">
            <v>01</v>
          </cell>
          <cell r="D687" t="str">
            <v>04</v>
          </cell>
          <cell r="E687" t="str">
            <v>CUSCO</v>
          </cell>
          <cell r="F687" t="str">
            <v>CUSCO</v>
          </cell>
          <cell r="G687" t="str">
            <v>SAN JERONIMO</v>
          </cell>
          <cell r="H687" t="str">
            <v>010687</v>
          </cell>
          <cell r="I687" t="str">
            <v>2</v>
          </cell>
        </row>
        <row r="688">
          <cell r="A688" t="str">
            <v>CUSCOCUSCOSAN SEBASTIAN</v>
          </cell>
          <cell r="B688" t="str">
            <v>08</v>
          </cell>
          <cell r="C688" t="str">
            <v>01</v>
          </cell>
          <cell r="D688" t="str">
            <v>05</v>
          </cell>
          <cell r="E688" t="str">
            <v>CUSCO</v>
          </cell>
          <cell r="F688" t="str">
            <v>CUSCO</v>
          </cell>
          <cell r="G688" t="str">
            <v>SAN SEBASTIAN</v>
          </cell>
          <cell r="H688" t="str">
            <v>010688</v>
          </cell>
          <cell r="I688" t="str">
            <v>2</v>
          </cell>
        </row>
        <row r="689">
          <cell r="A689" t="str">
            <v>CUSCOCUSCOSANTIAGO</v>
          </cell>
          <cell r="B689" t="str">
            <v>08</v>
          </cell>
          <cell r="C689" t="str">
            <v>01</v>
          </cell>
          <cell r="D689" t="str">
            <v>06</v>
          </cell>
          <cell r="E689" t="str">
            <v>CUSCO</v>
          </cell>
          <cell r="F689" t="str">
            <v>CUSCO</v>
          </cell>
          <cell r="G689" t="str">
            <v>SANTIAGO</v>
          </cell>
          <cell r="H689" t="str">
            <v>010689</v>
          </cell>
          <cell r="I689" t="str">
            <v>2</v>
          </cell>
        </row>
        <row r="690">
          <cell r="A690" t="str">
            <v>CUSCOCUSCOSAYLLA</v>
          </cell>
          <cell r="B690" t="str">
            <v>08</v>
          </cell>
          <cell r="C690" t="str">
            <v>01</v>
          </cell>
          <cell r="D690" t="str">
            <v>07</v>
          </cell>
          <cell r="E690" t="str">
            <v>CUSCO</v>
          </cell>
          <cell r="F690" t="str">
            <v>CUSCO</v>
          </cell>
          <cell r="G690" t="str">
            <v>SAYLLA</v>
          </cell>
          <cell r="H690" t="str">
            <v>010690</v>
          </cell>
          <cell r="I690" t="str">
            <v>2</v>
          </cell>
        </row>
        <row r="691">
          <cell r="A691" t="str">
            <v>CUSCOCUSCOWANCHAQ</v>
          </cell>
          <cell r="B691" t="str">
            <v>08</v>
          </cell>
          <cell r="C691" t="str">
            <v>01</v>
          </cell>
          <cell r="D691" t="str">
            <v>08</v>
          </cell>
          <cell r="E691" t="str">
            <v>CUSCO</v>
          </cell>
          <cell r="F691" t="str">
            <v>CUSCO</v>
          </cell>
          <cell r="G691" t="str">
            <v>WANCHAQ</v>
          </cell>
          <cell r="H691" t="str">
            <v>010691</v>
          </cell>
          <cell r="I691" t="str">
            <v>2</v>
          </cell>
        </row>
        <row r="692">
          <cell r="A692" t="str">
            <v>CUSCOACOMAYOACOMAYO</v>
          </cell>
          <cell r="B692" t="str">
            <v>08</v>
          </cell>
          <cell r="C692" t="str">
            <v>02</v>
          </cell>
          <cell r="D692" t="str">
            <v>01</v>
          </cell>
          <cell r="E692" t="str">
            <v>CUSCO</v>
          </cell>
          <cell r="F692" t="str">
            <v>ACOMAYO</v>
          </cell>
          <cell r="G692" t="str">
            <v>ACOMAYO</v>
          </cell>
          <cell r="H692" t="str">
            <v>010762</v>
          </cell>
          <cell r="I692" t="str">
            <v>1</v>
          </cell>
        </row>
        <row r="693">
          <cell r="A693" t="str">
            <v>CUSCOACOMAYOACOPIA</v>
          </cell>
          <cell r="B693" t="str">
            <v>08</v>
          </cell>
          <cell r="C693" t="str">
            <v>02</v>
          </cell>
          <cell r="D693" t="str">
            <v>02</v>
          </cell>
          <cell r="E693" t="str">
            <v>CUSCO</v>
          </cell>
          <cell r="F693" t="str">
            <v>ACOMAYO</v>
          </cell>
          <cell r="G693" t="str">
            <v>ACOPIA</v>
          </cell>
          <cell r="H693" t="str">
            <v>010763</v>
          </cell>
          <cell r="I693" t="str">
            <v>2</v>
          </cell>
        </row>
        <row r="694">
          <cell r="A694" t="str">
            <v>CUSCOACOMAYOACOS</v>
          </cell>
          <cell r="B694" t="str">
            <v>08</v>
          </cell>
          <cell r="C694" t="str">
            <v>02</v>
          </cell>
          <cell r="D694" t="str">
            <v>03</v>
          </cell>
          <cell r="E694" t="str">
            <v>CUSCO</v>
          </cell>
          <cell r="F694" t="str">
            <v>ACOMAYO</v>
          </cell>
          <cell r="G694" t="str">
            <v>ACOS</v>
          </cell>
          <cell r="H694" t="str">
            <v>010764</v>
          </cell>
          <cell r="I694" t="str">
            <v>2</v>
          </cell>
        </row>
        <row r="695">
          <cell r="A695" t="str">
            <v>CUSCOACOMAYOMOSOC LLACTA</v>
          </cell>
          <cell r="B695" t="str">
            <v>08</v>
          </cell>
          <cell r="C695" t="str">
            <v>02</v>
          </cell>
          <cell r="D695" t="str">
            <v>04</v>
          </cell>
          <cell r="E695" t="str">
            <v>CUSCO</v>
          </cell>
          <cell r="F695" t="str">
            <v>ACOMAYO</v>
          </cell>
          <cell r="G695" t="str">
            <v>MOSOC LLACTA</v>
          </cell>
          <cell r="H695" t="str">
            <v>012052</v>
          </cell>
          <cell r="I695" t="str">
            <v>2</v>
          </cell>
        </row>
        <row r="696">
          <cell r="A696" t="str">
            <v>CUSCOACOMAYOPOMACANCHI</v>
          </cell>
          <cell r="B696" t="str">
            <v>08</v>
          </cell>
          <cell r="C696" t="str">
            <v>02</v>
          </cell>
          <cell r="D696" t="str">
            <v>05</v>
          </cell>
          <cell r="E696" t="str">
            <v>CUSCO</v>
          </cell>
          <cell r="F696" t="str">
            <v>ACOMAYO</v>
          </cell>
          <cell r="G696" t="str">
            <v>POMACANCHI</v>
          </cell>
          <cell r="H696" t="str">
            <v>010766</v>
          </cell>
          <cell r="I696" t="str">
            <v>2</v>
          </cell>
        </row>
        <row r="697">
          <cell r="A697" t="str">
            <v>CUSCOACOMAYORONDOCAN</v>
          </cell>
          <cell r="B697" t="str">
            <v>08</v>
          </cell>
          <cell r="C697" t="str">
            <v>02</v>
          </cell>
          <cell r="D697" t="str">
            <v>06</v>
          </cell>
          <cell r="E697" t="str">
            <v>CUSCO</v>
          </cell>
          <cell r="F697" t="str">
            <v>ACOMAYO</v>
          </cell>
          <cell r="G697" t="str">
            <v>RONDOCAN</v>
          </cell>
          <cell r="H697" t="str">
            <v>012574</v>
          </cell>
          <cell r="I697" t="str">
            <v>2</v>
          </cell>
        </row>
        <row r="698">
          <cell r="A698" t="str">
            <v>CUSCOACOMAYOSANGARARA</v>
          </cell>
          <cell r="B698" t="str">
            <v>08</v>
          </cell>
          <cell r="C698" t="str">
            <v>02</v>
          </cell>
          <cell r="D698" t="str">
            <v>07</v>
          </cell>
          <cell r="E698" t="str">
            <v>CUSCO</v>
          </cell>
          <cell r="F698" t="str">
            <v>ACOMAYO</v>
          </cell>
          <cell r="G698" t="str">
            <v>SANGARARA</v>
          </cell>
          <cell r="H698" t="str">
            <v>010767</v>
          </cell>
          <cell r="I698" t="str">
            <v>2</v>
          </cell>
        </row>
        <row r="699">
          <cell r="A699" t="str">
            <v>CUSCOANTAANTA</v>
          </cell>
          <cell r="B699" t="str">
            <v>08</v>
          </cell>
          <cell r="C699" t="str">
            <v>03</v>
          </cell>
          <cell r="D699" t="str">
            <v>01</v>
          </cell>
          <cell r="E699" t="str">
            <v>CUSCO</v>
          </cell>
          <cell r="F699" t="str">
            <v>ANTA</v>
          </cell>
          <cell r="G699" t="str">
            <v>ANTA</v>
          </cell>
          <cell r="H699" t="str">
            <v>010692</v>
          </cell>
          <cell r="I699" t="str">
            <v>1</v>
          </cell>
        </row>
        <row r="700">
          <cell r="A700" t="str">
            <v>CUSCOANTAANCAHUASI</v>
          </cell>
          <cell r="B700" t="str">
            <v>08</v>
          </cell>
          <cell r="C700" t="str">
            <v>03</v>
          </cell>
          <cell r="D700" t="str">
            <v>02</v>
          </cell>
          <cell r="E700" t="str">
            <v>CUSCO</v>
          </cell>
          <cell r="F700" t="str">
            <v>ANTA</v>
          </cell>
          <cell r="G700" t="str">
            <v>ANCAHUASI</v>
          </cell>
          <cell r="H700" t="str">
            <v>012594</v>
          </cell>
          <cell r="I700" t="str">
            <v>2</v>
          </cell>
        </row>
        <row r="701">
          <cell r="A701" t="str">
            <v>CUSCOANTACACHIMAYO</v>
          </cell>
          <cell r="B701" t="str">
            <v>08</v>
          </cell>
          <cell r="C701" t="str">
            <v>03</v>
          </cell>
          <cell r="D701" t="str">
            <v>03</v>
          </cell>
          <cell r="E701" t="str">
            <v>CUSCO</v>
          </cell>
          <cell r="F701" t="str">
            <v>ANTA</v>
          </cell>
          <cell r="G701" t="str">
            <v>CACHIMAYO</v>
          </cell>
          <cell r="H701" t="str">
            <v>010694</v>
          </cell>
          <cell r="I701" t="str">
            <v>2</v>
          </cell>
        </row>
        <row r="702">
          <cell r="A702" t="str">
            <v>CUSCOANTACHINCHAYPUJIO</v>
          </cell>
          <cell r="B702" t="str">
            <v>08</v>
          </cell>
          <cell r="C702" t="str">
            <v>03</v>
          </cell>
          <cell r="D702" t="str">
            <v>04</v>
          </cell>
          <cell r="E702" t="str">
            <v>CUSCO</v>
          </cell>
          <cell r="F702" t="str">
            <v>ANTA</v>
          </cell>
          <cell r="G702" t="str">
            <v>CHINCHAYPUJIO</v>
          </cell>
          <cell r="H702" t="str">
            <v>012575</v>
          </cell>
          <cell r="I702" t="str">
            <v>2</v>
          </cell>
        </row>
        <row r="703">
          <cell r="A703" t="str">
            <v>CUSCOANTAHUAROCONDO</v>
          </cell>
          <cell r="B703" t="str">
            <v>08</v>
          </cell>
          <cell r="C703" t="str">
            <v>03</v>
          </cell>
          <cell r="D703" t="str">
            <v>05</v>
          </cell>
          <cell r="E703" t="str">
            <v>CUSCO</v>
          </cell>
          <cell r="F703" t="str">
            <v>ANTA</v>
          </cell>
          <cell r="G703" t="str">
            <v>HUAROCONDO</v>
          </cell>
          <cell r="H703" t="str">
            <v>010696</v>
          </cell>
          <cell r="I703" t="str">
            <v>2</v>
          </cell>
        </row>
        <row r="704">
          <cell r="A704" t="str">
            <v>CUSCOANTALIMATAMBO</v>
          </cell>
          <cell r="B704" t="str">
            <v>08</v>
          </cell>
          <cell r="C704" t="str">
            <v>03</v>
          </cell>
          <cell r="D704" t="str">
            <v>06</v>
          </cell>
          <cell r="E704" t="str">
            <v>CUSCO</v>
          </cell>
          <cell r="F704" t="str">
            <v>ANTA</v>
          </cell>
          <cell r="G704" t="str">
            <v>LIMATAMBO</v>
          </cell>
          <cell r="H704" t="str">
            <v>010697</v>
          </cell>
          <cell r="I704" t="str">
            <v>2</v>
          </cell>
        </row>
        <row r="705">
          <cell r="A705" t="str">
            <v>CUSCOANTAMOLLEPATA</v>
          </cell>
          <cell r="B705" t="str">
            <v>08</v>
          </cell>
          <cell r="C705" t="str">
            <v>03</v>
          </cell>
          <cell r="D705" t="str">
            <v>07</v>
          </cell>
          <cell r="E705" t="str">
            <v>CUSCO</v>
          </cell>
          <cell r="F705" t="str">
            <v>ANTA</v>
          </cell>
          <cell r="G705" t="str">
            <v>MOLLEPATA</v>
          </cell>
          <cell r="H705" t="str">
            <v>010698</v>
          </cell>
          <cell r="I705" t="str">
            <v>2</v>
          </cell>
        </row>
        <row r="706">
          <cell r="A706" t="str">
            <v>CUSCOANTAPUCYURA</v>
          </cell>
          <cell r="B706" t="str">
            <v>08</v>
          </cell>
          <cell r="C706" t="str">
            <v>03</v>
          </cell>
          <cell r="D706" t="str">
            <v>08</v>
          </cell>
          <cell r="E706" t="str">
            <v>CUSCO</v>
          </cell>
          <cell r="F706" t="str">
            <v>ANTA</v>
          </cell>
          <cell r="G706" t="str">
            <v>PUCYURA</v>
          </cell>
          <cell r="H706" t="str">
            <v>012192</v>
          </cell>
          <cell r="I706" t="str">
            <v>2</v>
          </cell>
        </row>
        <row r="707">
          <cell r="A707" t="str">
            <v>CUSCOANTAZURITE</v>
          </cell>
          <cell r="B707" t="str">
            <v>08</v>
          </cell>
          <cell r="C707" t="str">
            <v>03</v>
          </cell>
          <cell r="D707" t="str">
            <v>09</v>
          </cell>
          <cell r="E707" t="str">
            <v>CUSCO</v>
          </cell>
          <cell r="F707" t="str">
            <v>ANTA</v>
          </cell>
          <cell r="G707" t="str">
            <v>ZURITE</v>
          </cell>
          <cell r="H707" t="str">
            <v>010700</v>
          </cell>
          <cell r="I707" t="str">
            <v>2</v>
          </cell>
        </row>
        <row r="708">
          <cell r="A708" t="str">
            <v>CUSCOCALCACALCA</v>
          </cell>
          <cell r="B708" t="str">
            <v>08</v>
          </cell>
          <cell r="C708" t="str">
            <v>04</v>
          </cell>
          <cell r="D708" t="str">
            <v>01</v>
          </cell>
          <cell r="E708" t="str">
            <v>CUSCO</v>
          </cell>
          <cell r="F708" t="str">
            <v>CALCA</v>
          </cell>
          <cell r="G708" t="str">
            <v>CALCA</v>
          </cell>
          <cell r="H708" t="str">
            <v>012059</v>
          </cell>
          <cell r="I708" t="str">
            <v>1</v>
          </cell>
        </row>
        <row r="709">
          <cell r="A709" t="str">
            <v>CUSCOCALCACOYA</v>
          </cell>
          <cell r="B709" t="str">
            <v>08</v>
          </cell>
          <cell r="C709" t="str">
            <v>04</v>
          </cell>
          <cell r="D709" t="str">
            <v>02</v>
          </cell>
          <cell r="E709" t="str">
            <v>CUSCO</v>
          </cell>
          <cell r="F709" t="str">
            <v>CALCA</v>
          </cell>
          <cell r="G709" t="str">
            <v>COYA</v>
          </cell>
          <cell r="H709" t="str">
            <v>010702</v>
          </cell>
          <cell r="I709" t="str">
            <v>2</v>
          </cell>
        </row>
        <row r="710">
          <cell r="A710" t="str">
            <v>CUSCOCALCALAMAY</v>
          </cell>
          <cell r="B710" t="str">
            <v>08</v>
          </cell>
          <cell r="C710" t="str">
            <v>04</v>
          </cell>
          <cell r="D710" t="str">
            <v>03</v>
          </cell>
          <cell r="E710" t="str">
            <v>CUSCO</v>
          </cell>
          <cell r="F710" t="str">
            <v>CALCA</v>
          </cell>
          <cell r="G710" t="str">
            <v>LAMAY</v>
          </cell>
          <cell r="H710" t="str">
            <v>010703</v>
          </cell>
          <cell r="I710" t="str">
            <v>2</v>
          </cell>
        </row>
        <row r="711">
          <cell r="A711" t="str">
            <v>CUSCOCALCALARES</v>
          </cell>
          <cell r="B711" t="str">
            <v>08</v>
          </cell>
          <cell r="C711" t="str">
            <v>04</v>
          </cell>
          <cell r="D711" t="str">
            <v>04</v>
          </cell>
          <cell r="E711" t="str">
            <v>CUSCO</v>
          </cell>
          <cell r="F711" t="str">
            <v>CALCA</v>
          </cell>
          <cell r="G711" t="str">
            <v>LARES</v>
          </cell>
          <cell r="H711" t="str">
            <v>012065</v>
          </cell>
          <cell r="I711" t="str">
            <v>2</v>
          </cell>
        </row>
        <row r="712">
          <cell r="A712" t="str">
            <v>CUSCOCALCAPISAC</v>
          </cell>
          <cell r="B712" t="str">
            <v>08</v>
          </cell>
          <cell r="C712" t="str">
            <v>04</v>
          </cell>
          <cell r="D712" t="str">
            <v>05</v>
          </cell>
          <cell r="E712" t="str">
            <v>CUSCO</v>
          </cell>
          <cell r="F712" t="str">
            <v>CALCA</v>
          </cell>
          <cell r="G712" t="str">
            <v>PISAC</v>
          </cell>
          <cell r="H712" t="str">
            <v>010705</v>
          </cell>
          <cell r="I712" t="str">
            <v>2</v>
          </cell>
        </row>
        <row r="713">
          <cell r="A713" t="str">
            <v>CUSCOCALCASAN SALVADOR</v>
          </cell>
          <cell r="B713" t="str">
            <v>08</v>
          </cell>
          <cell r="C713" t="str">
            <v>04</v>
          </cell>
          <cell r="D713" t="str">
            <v>06</v>
          </cell>
          <cell r="E713" t="str">
            <v>CUSCO</v>
          </cell>
          <cell r="F713" t="str">
            <v>CALCA</v>
          </cell>
          <cell r="G713" t="str">
            <v>SAN SALVADOR</v>
          </cell>
          <cell r="H713" t="str">
            <v>010706</v>
          </cell>
          <cell r="I713" t="str">
            <v>2</v>
          </cell>
        </row>
        <row r="714">
          <cell r="A714" t="str">
            <v>CUSCOCALCATARAY</v>
          </cell>
          <cell r="B714" t="str">
            <v>08</v>
          </cell>
          <cell r="C714" t="str">
            <v>04</v>
          </cell>
          <cell r="D714" t="str">
            <v>07</v>
          </cell>
          <cell r="E714" t="str">
            <v>CUSCO</v>
          </cell>
          <cell r="F714" t="str">
            <v>CALCA</v>
          </cell>
          <cell r="G714" t="str">
            <v>TARAY</v>
          </cell>
          <cell r="H714" t="str">
            <v>013252</v>
          </cell>
          <cell r="I714" t="str">
            <v>2</v>
          </cell>
        </row>
        <row r="715">
          <cell r="A715" t="str">
            <v>CUSCOCALCAYANATILE</v>
          </cell>
          <cell r="B715" t="str">
            <v>08</v>
          </cell>
          <cell r="C715" t="str">
            <v>04</v>
          </cell>
          <cell r="D715" t="str">
            <v>08</v>
          </cell>
          <cell r="E715" t="str">
            <v>CUSCO</v>
          </cell>
          <cell r="F715" t="str">
            <v>CALCA</v>
          </cell>
          <cell r="G715" t="str">
            <v>YANATILE</v>
          </cell>
          <cell r="H715" t="str">
            <v>010708</v>
          </cell>
          <cell r="I715" t="str">
            <v>2</v>
          </cell>
        </row>
        <row r="716">
          <cell r="A716" t="str">
            <v>CUSCOCANASYANAOCA</v>
          </cell>
          <cell r="B716" t="str">
            <v>08</v>
          </cell>
          <cell r="C716" t="str">
            <v>05</v>
          </cell>
          <cell r="D716" t="str">
            <v>01</v>
          </cell>
          <cell r="E716" t="str">
            <v>CUSCO</v>
          </cell>
          <cell r="F716" t="str">
            <v>CANAS</v>
          </cell>
          <cell r="G716" t="str">
            <v>YANAOCA</v>
          </cell>
          <cell r="H716" t="str">
            <v>012060</v>
          </cell>
          <cell r="I716" t="str">
            <v>1</v>
          </cell>
        </row>
        <row r="717">
          <cell r="A717" t="str">
            <v>CUSCOCANASCHECCA</v>
          </cell>
          <cell r="B717" t="str">
            <v>08</v>
          </cell>
          <cell r="C717" t="str">
            <v>05</v>
          </cell>
          <cell r="D717" t="str">
            <v>02</v>
          </cell>
          <cell r="E717" t="str">
            <v>CUSCO</v>
          </cell>
          <cell r="F717" t="str">
            <v>CANAS</v>
          </cell>
          <cell r="G717" t="str">
            <v>CHECCA</v>
          </cell>
          <cell r="H717" t="str">
            <v>010769</v>
          </cell>
          <cell r="I717" t="str">
            <v>2</v>
          </cell>
        </row>
        <row r="718">
          <cell r="A718" t="str">
            <v>CUSCOCANASKUNTURKANKI</v>
          </cell>
          <cell r="B718" t="str">
            <v>08</v>
          </cell>
          <cell r="C718" t="str">
            <v>05</v>
          </cell>
          <cell r="D718" t="str">
            <v>03</v>
          </cell>
          <cell r="E718" t="str">
            <v>CUSCO</v>
          </cell>
          <cell r="F718" t="str">
            <v>CANAS</v>
          </cell>
          <cell r="G718" t="str">
            <v>KUNTURKANKI</v>
          </cell>
          <cell r="H718" t="str">
            <v>010770</v>
          </cell>
          <cell r="I718" t="str">
            <v>2</v>
          </cell>
        </row>
        <row r="719">
          <cell r="A719" t="str">
            <v>CUSCOCANASLANGUI</v>
          </cell>
          <cell r="B719" t="str">
            <v>08</v>
          </cell>
          <cell r="C719" t="str">
            <v>05</v>
          </cell>
          <cell r="D719" t="str">
            <v>04</v>
          </cell>
          <cell r="E719" t="str">
            <v>CUSCO</v>
          </cell>
          <cell r="F719" t="str">
            <v>CANAS</v>
          </cell>
          <cell r="G719" t="str">
            <v>LANGUI</v>
          </cell>
          <cell r="H719" t="str">
            <v>010771</v>
          </cell>
          <cell r="I719" t="str">
            <v>2</v>
          </cell>
        </row>
        <row r="720">
          <cell r="A720" t="str">
            <v>CUSCOCANASLAYO</v>
          </cell>
          <cell r="B720" t="str">
            <v>08</v>
          </cell>
          <cell r="C720" t="str">
            <v>05</v>
          </cell>
          <cell r="D720" t="str">
            <v>05</v>
          </cell>
          <cell r="E720" t="str">
            <v>CUSCO</v>
          </cell>
          <cell r="F720" t="str">
            <v>CANAS</v>
          </cell>
          <cell r="G720" t="str">
            <v>LAYO</v>
          </cell>
          <cell r="H720" t="str">
            <v>010772</v>
          </cell>
          <cell r="I720" t="str">
            <v>2</v>
          </cell>
        </row>
        <row r="721">
          <cell r="A721" t="str">
            <v>CUSCOCANASPAMPAMARCA</v>
          </cell>
          <cell r="B721" t="str">
            <v>08</v>
          </cell>
          <cell r="C721" t="str">
            <v>05</v>
          </cell>
          <cell r="D721" t="str">
            <v>06</v>
          </cell>
          <cell r="E721" t="str">
            <v>CUSCO</v>
          </cell>
          <cell r="F721" t="str">
            <v>CANAS</v>
          </cell>
          <cell r="G721" t="str">
            <v>PAMPAMARCA</v>
          </cell>
          <cell r="H721" t="str">
            <v>010773</v>
          </cell>
          <cell r="I721" t="str">
            <v>2</v>
          </cell>
        </row>
        <row r="722">
          <cell r="A722" t="str">
            <v>CUSCOCANASQUEHUE</v>
          </cell>
          <cell r="B722" t="str">
            <v>08</v>
          </cell>
          <cell r="C722" t="str">
            <v>05</v>
          </cell>
          <cell r="D722" t="str">
            <v>07</v>
          </cell>
          <cell r="E722" t="str">
            <v>CUSCO</v>
          </cell>
          <cell r="F722" t="str">
            <v>CANAS</v>
          </cell>
          <cell r="G722" t="str">
            <v>QUEHUE</v>
          </cell>
          <cell r="H722" t="str">
            <v>012824</v>
          </cell>
          <cell r="I722" t="str">
            <v>2</v>
          </cell>
        </row>
        <row r="723">
          <cell r="A723" t="str">
            <v>CUSCOCANASTUPAC AMARU</v>
          </cell>
          <cell r="B723" t="str">
            <v>08</v>
          </cell>
          <cell r="C723" t="str">
            <v>05</v>
          </cell>
          <cell r="D723" t="str">
            <v>08</v>
          </cell>
          <cell r="E723" t="str">
            <v>CUSCO</v>
          </cell>
          <cell r="F723" t="str">
            <v>CANAS</v>
          </cell>
          <cell r="G723" t="str">
            <v>TUPAC AMARU</v>
          </cell>
          <cell r="H723" t="str">
            <v>010775</v>
          </cell>
          <cell r="I723" t="str">
            <v>2</v>
          </cell>
        </row>
        <row r="724">
          <cell r="A724" t="str">
            <v>CUSCOCANCHISSICUANI</v>
          </cell>
          <cell r="B724" t="str">
            <v>08</v>
          </cell>
          <cell r="C724" t="str">
            <v>06</v>
          </cell>
          <cell r="D724" t="str">
            <v>01</v>
          </cell>
          <cell r="E724" t="str">
            <v>CUSCO</v>
          </cell>
          <cell r="F724" t="str">
            <v>CANCHIS</v>
          </cell>
          <cell r="G724" t="str">
            <v>SICUANI</v>
          </cell>
          <cell r="H724" t="str">
            <v>010754</v>
          </cell>
          <cell r="I724" t="str">
            <v>1</v>
          </cell>
        </row>
        <row r="725">
          <cell r="A725" t="str">
            <v>CUSCOCANCHISCHECACUPE</v>
          </cell>
          <cell r="B725" t="str">
            <v>08</v>
          </cell>
          <cell r="C725" t="str">
            <v>06</v>
          </cell>
          <cell r="D725" t="str">
            <v>02</v>
          </cell>
          <cell r="E725" t="str">
            <v>CUSCO</v>
          </cell>
          <cell r="F725" t="str">
            <v>CANCHIS</v>
          </cell>
          <cell r="G725" t="str">
            <v>CHECACUPE</v>
          </cell>
          <cell r="H725" t="str">
            <v>012584</v>
          </cell>
          <cell r="I725" t="str">
            <v>2</v>
          </cell>
        </row>
        <row r="726">
          <cell r="A726" t="str">
            <v>CUSCOCANCHISCOMBAPATA</v>
          </cell>
          <cell r="B726" t="str">
            <v>08</v>
          </cell>
          <cell r="C726" t="str">
            <v>06</v>
          </cell>
          <cell r="D726" t="str">
            <v>03</v>
          </cell>
          <cell r="E726" t="str">
            <v>CUSCO</v>
          </cell>
          <cell r="F726" t="str">
            <v>CANCHIS</v>
          </cell>
          <cell r="G726" t="str">
            <v>COMBAPATA</v>
          </cell>
          <cell r="H726" t="str">
            <v>010756</v>
          </cell>
          <cell r="I726" t="str">
            <v>2</v>
          </cell>
        </row>
        <row r="727">
          <cell r="A727" t="str">
            <v>CUSCOCANCHISMARANGANI</v>
          </cell>
          <cell r="B727" t="str">
            <v>08</v>
          </cell>
          <cell r="C727" t="str">
            <v>06</v>
          </cell>
          <cell r="D727" t="str">
            <v>04</v>
          </cell>
          <cell r="E727" t="str">
            <v>CUSCO</v>
          </cell>
          <cell r="F727" t="str">
            <v>CANCHIS</v>
          </cell>
          <cell r="G727" t="str">
            <v>MARANGANI</v>
          </cell>
          <cell r="H727" t="str">
            <v>012057</v>
          </cell>
          <cell r="I727" t="str">
            <v>2</v>
          </cell>
        </row>
        <row r="728">
          <cell r="A728" t="str">
            <v>CUSCOCANCHISPITUMARCA</v>
          </cell>
          <cell r="B728" t="str">
            <v>08</v>
          </cell>
          <cell r="C728" t="str">
            <v>06</v>
          </cell>
          <cell r="D728" t="str">
            <v>05</v>
          </cell>
          <cell r="E728" t="str">
            <v>CUSCO</v>
          </cell>
          <cell r="F728" t="str">
            <v>CANCHIS</v>
          </cell>
          <cell r="G728" t="str">
            <v>PITUMARCA</v>
          </cell>
          <cell r="H728" t="str">
            <v>012585</v>
          </cell>
          <cell r="I728" t="str">
            <v>2</v>
          </cell>
        </row>
        <row r="729">
          <cell r="A729" t="str">
            <v>CUSCOCANCHISSAN PABLO</v>
          </cell>
          <cell r="B729" t="str">
            <v>08</v>
          </cell>
          <cell r="C729" t="str">
            <v>06</v>
          </cell>
          <cell r="D729" t="str">
            <v>06</v>
          </cell>
          <cell r="E729" t="str">
            <v>CUSCO</v>
          </cell>
          <cell r="F729" t="str">
            <v>CANCHIS</v>
          </cell>
          <cell r="G729" t="str">
            <v>SAN PABLO</v>
          </cell>
          <cell r="H729" t="str">
            <v>010759</v>
          </cell>
          <cell r="I729" t="str">
            <v>2</v>
          </cell>
        </row>
        <row r="730">
          <cell r="A730" t="str">
            <v>CUSCOCANCHISSAN PEDRO</v>
          </cell>
          <cell r="B730" t="str">
            <v>08</v>
          </cell>
          <cell r="C730" t="str">
            <v>06</v>
          </cell>
          <cell r="D730" t="str">
            <v>07</v>
          </cell>
          <cell r="E730" t="str">
            <v>CUSCO</v>
          </cell>
          <cell r="F730" t="str">
            <v>CANCHIS</v>
          </cell>
          <cell r="G730" t="str">
            <v>SAN PEDRO</v>
          </cell>
          <cell r="H730" t="str">
            <v>010760</v>
          </cell>
          <cell r="I730" t="str">
            <v>2</v>
          </cell>
        </row>
        <row r="731">
          <cell r="A731" t="str">
            <v>CUSCOCANCHISTINTA</v>
          </cell>
          <cell r="B731" t="str">
            <v>08</v>
          </cell>
          <cell r="C731" t="str">
            <v>06</v>
          </cell>
          <cell r="D731" t="str">
            <v>08</v>
          </cell>
          <cell r="E731" t="str">
            <v>CUSCO</v>
          </cell>
          <cell r="F731" t="str">
            <v>CANCHIS</v>
          </cell>
          <cell r="G731" t="str">
            <v>TINTA</v>
          </cell>
          <cell r="H731" t="str">
            <v>010761</v>
          </cell>
          <cell r="I731" t="str">
            <v>2</v>
          </cell>
        </row>
        <row r="732">
          <cell r="A732" t="str">
            <v>CUSCOCHUMBIVILCASSANTO TOMAS</v>
          </cell>
          <cell r="B732" t="str">
            <v>08</v>
          </cell>
          <cell r="C732" t="str">
            <v>07</v>
          </cell>
          <cell r="D732" t="str">
            <v>01</v>
          </cell>
          <cell r="E732" t="str">
            <v>CUSCO</v>
          </cell>
          <cell r="F732" t="str">
            <v>CHUMBIVILCAS</v>
          </cell>
          <cell r="G732" t="str">
            <v>SANTO TOMAS</v>
          </cell>
          <cell r="H732" t="str">
            <v>010776</v>
          </cell>
          <cell r="I732" t="str">
            <v>1</v>
          </cell>
        </row>
        <row r="733">
          <cell r="A733" t="str">
            <v>CUSCOCHUMBIVILCASCAPACMARCA</v>
          </cell>
          <cell r="B733" t="str">
            <v>08</v>
          </cell>
          <cell r="C733" t="str">
            <v>07</v>
          </cell>
          <cell r="D733" t="str">
            <v>02</v>
          </cell>
          <cell r="E733" t="str">
            <v>CUSCO</v>
          </cell>
          <cell r="F733" t="str">
            <v>CHUMBIVILCAS</v>
          </cell>
          <cell r="G733" t="str">
            <v>CAPACMARCA</v>
          </cell>
          <cell r="H733" t="str">
            <v>010777</v>
          </cell>
          <cell r="I733" t="str">
            <v>2</v>
          </cell>
        </row>
        <row r="734">
          <cell r="A734" t="str">
            <v>CUSCOCHUMBIVILCASCHAMACA</v>
          </cell>
          <cell r="B734" t="str">
            <v>08</v>
          </cell>
          <cell r="C734" t="str">
            <v>07</v>
          </cell>
          <cell r="D734" t="str">
            <v>03</v>
          </cell>
          <cell r="E734" t="str">
            <v>CUSCO</v>
          </cell>
          <cell r="F734" t="str">
            <v>CHUMBIVILCAS</v>
          </cell>
          <cell r="G734" t="str">
            <v>CHAMACA</v>
          </cell>
          <cell r="H734" t="str">
            <v>010778</v>
          </cell>
          <cell r="I734" t="str">
            <v>2</v>
          </cell>
        </row>
        <row r="735">
          <cell r="A735" t="str">
            <v>CUSCOCHUMBIVILCASCOLQUEMARCA</v>
          </cell>
          <cell r="B735" t="str">
            <v>08</v>
          </cell>
          <cell r="C735" t="str">
            <v>07</v>
          </cell>
          <cell r="D735" t="str">
            <v>04</v>
          </cell>
          <cell r="E735" t="str">
            <v>CUSCO</v>
          </cell>
          <cell r="F735" t="str">
            <v>CHUMBIVILCAS</v>
          </cell>
          <cell r="G735" t="str">
            <v>COLQUEMARCA</v>
          </cell>
          <cell r="H735" t="str">
            <v>010779</v>
          </cell>
          <cell r="I735" t="str">
            <v>2</v>
          </cell>
        </row>
        <row r="736">
          <cell r="A736" t="str">
            <v>CUSCOCHUMBIVILCASLIVITACA</v>
          </cell>
          <cell r="B736" t="str">
            <v>08</v>
          </cell>
          <cell r="C736" t="str">
            <v>07</v>
          </cell>
          <cell r="D736" t="str">
            <v>05</v>
          </cell>
          <cell r="E736" t="str">
            <v>CUSCO</v>
          </cell>
          <cell r="F736" t="str">
            <v>CHUMBIVILCAS</v>
          </cell>
          <cell r="G736" t="str">
            <v>LIVITACA</v>
          </cell>
          <cell r="H736" t="str">
            <v>010780</v>
          </cell>
          <cell r="I736" t="str">
            <v>2</v>
          </cell>
        </row>
        <row r="737">
          <cell r="A737" t="str">
            <v>CUSCOCHUMBIVILCASLLUSCO</v>
          </cell>
          <cell r="B737" t="str">
            <v>08</v>
          </cell>
          <cell r="C737" t="str">
            <v>07</v>
          </cell>
          <cell r="D737" t="str">
            <v>06</v>
          </cell>
          <cell r="E737" t="str">
            <v>CUSCO</v>
          </cell>
          <cell r="F737" t="str">
            <v>CHUMBIVILCAS</v>
          </cell>
          <cell r="G737" t="str">
            <v>LLUSCO</v>
          </cell>
          <cell r="H737" t="str">
            <v>012040</v>
          </cell>
          <cell r="I737" t="str">
            <v>2</v>
          </cell>
        </row>
        <row r="738">
          <cell r="A738" t="str">
            <v>CUSCOCHUMBIVILCASQUIÑOTA</v>
          </cell>
          <cell r="B738" t="str">
            <v>08</v>
          </cell>
          <cell r="C738" t="str">
            <v>07</v>
          </cell>
          <cell r="D738" t="str">
            <v>07</v>
          </cell>
          <cell r="E738" t="str">
            <v>CUSCO</v>
          </cell>
          <cell r="F738" t="str">
            <v>CHUMBIVILCAS</v>
          </cell>
          <cell r="G738" t="str">
            <v>QUIÑOTA</v>
          </cell>
          <cell r="H738" t="str">
            <v>010782</v>
          </cell>
          <cell r="I738" t="str">
            <v>2</v>
          </cell>
        </row>
        <row r="739">
          <cell r="A739" t="str">
            <v>CUSCOCHUMBIVILCASVELILLE</v>
          </cell>
          <cell r="B739" t="str">
            <v>08</v>
          </cell>
          <cell r="C739" t="str">
            <v>07</v>
          </cell>
          <cell r="D739" t="str">
            <v>08</v>
          </cell>
          <cell r="E739" t="str">
            <v>CUSCO</v>
          </cell>
          <cell r="F739" t="str">
            <v>CHUMBIVILCAS</v>
          </cell>
          <cell r="G739" t="str">
            <v>VELILLE</v>
          </cell>
          <cell r="H739" t="str">
            <v>010783</v>
          </cell>
          <cell r="I739" t="str">
            <v>2</v>
          </cell>
        </row>
        <row r="740">
          <cell r="A740" t="str">
            <v>CUSCOESPINARESPINAR</v>
          </cell>
          <cell r="B740" t="str">
            <v>08</v>
          </cell>
          <cell r="C740" t="str">
            <v>08</v>
          </cell>
          <cell r="D740" t="str">
            <v>01</v>
          </cell>
          <cell r="E740" t="str">
            <v>CUSCO</v>
          </cell>
          <cell r="F740" t="str">
            <v>ESPINAR</v>
          </cell>
          <cell r="G740" t="str">
            <v>ESPINAR</v>
          </cell>
          <cell r="H740" t="str">
            <v>010784</v>
          </cell>
          <cell r="I740" t="str">
            <v>1</v>
          </cell>
        </row>
        <row r="741">
          <cell r="A741" t="str">
            <v>CUSCOESPINARCONDOROMA</v>
          </cell>
          <cell r="B741" t="str">
            <v>08</v>
          </cell>
          <cell r="C741" t="str">
            <v>08</v>
          </cell>
          <cell r="D741" t="str">
            <v>02</v>
          </cell>
          <cell r="E741" t="str">
            <v>CUSCO</v>
          </cell>
          <cell r="F741" t="str">
            <v>ESPINAR</v>
          </cell>
          <cell r="G741" t="str">
            <v>CONDOROMA</v>
          </cell>
          <cell r="H741" t="str">
            <v>010785</v>
          </cell>
          <cell r="I741" t="str">
            <v>2</v>
          </cell>
        </row>
        <row r="742">
          <cell r="A742" t="str">
            <v>CUSCOESPINARCOPORAQUE</v>
          </cell>
          <cell r="B742" t="str">
            <v>08</v>
          </cell>
          <cell r="C742" t="str">
            <v>08</v>
          </cell>
          <cell r="D742" t="str">
            <v>03</v>
          </cell>
          <cell r="E742" t="str">
            <v>CUSCO</v>
          </cell>
          <cell r="F742" t="str">
            <v>ESPINAR</v>
          </cell>
          <cell r="G742" t="str">
            <v>COPORAQUE</v>
          </cell>
          <cell r="H742" t="str">
            <v>010786</v>
          </cell>
          <cell r="I742" t="str">
            <v>2</v>
          </cell>
        </row>
        <row r="743">
          <cell r="A743" t="str">
            <v>CUSCOESPINAROCORURO</v>
          </cell>
          <cell r="B743" t="str">
            <v>08</v>
          </cell>
          <cell r="C743" t="str">
            <v>08</v>
          </cell>
          <cell r="D743" t="str">
            <v>04</v>
          </cell>
          <cell r="E743" t="str">
            <v>CUSCO</v>
          </cell>
          <cell r="F743" t="str">
            <v>ESPINAR</v>
          </cell>
          <cell r="G743" t="str">
            <v>OCORURO</v>
          </cell>
          <cell r="H743" t="str">
            <v>010787</v>
          </cell>
          <cell r="I743" t="str">
            <v>2</v>
          </cell>
        </row>
        <row r="744">
          <cell r="A744" t="str">
            <v>CUSCOESPINARPALLPATA</v>
          </cell>
          <cell r="B744" t="str">
            <v>08</v>
          </cell>
          <cell r="C744" t="str">
            <v>08</v>
          </cell>
          <cell r="D744" t="str">
            <v>05</v>
          </cell>
          <cell r="E744" t="str">
            <v>CUSCO</v>
          </cell>
          <cell r="F744" t="str">
            <v>ESPINAR</v>
          </cell>
          <cell r="G744" t="str">
            <v>PALLPATA</v>
          </cell>
          <cell r="H744" t="str">
            <v>010788</v>
          </cell>
          <cell r="I744" t="str">
            <v>2</v>
          </cell>
        </row>
        <row r="745">
          <cell r="A745" t="str">
            <v>CUSCOESPINARPICHIGUA</v>
          </cell>
          <cell r="B745" t="str">
            <v>08</v>
          </cell>
          <cell r="C745" t="str">
            <v>08</v>
          </cell>
          <cell r="D745" t="str">
            <v>06</v>
          </cell>
          <cell r="E745" t="str">
            <v>CUSCO</v>
          </cell>
          <cell r="F745" t="str">
            <v>ESPINAR</v>
          </cell>
          <cell r="G745" t="str">
            <v>PICHIGUA</v>
          </cell>
          <cell r="H745" t="str">
            <v>010789</v>
          </cell>
          <cell r="I745" t="str">
            <v>2</v>
          </cell>
        </row>
        <row r="746">
          <cell r="A746" t="str">
            <v>CUSCOESPINARSUYCKUTAMBO</v>
          </cell>
          <cell r="B746" t="str">
            <v>08</v>
          </cell>
          <cell r="C746" t="str">
            <v>08</v>
          </cell>
          <cell r="D746" t="str">
            <v>07</v>
          </cell>
          <cell r="E746" t="str">
            <v>CUSCO</v>
          </cell>
          <cell r="F746" t="str">
            <v>ESPINAR</v>
          </cell>
          <cell r="G746" t="str">
            <v>SUYCKUTAMBO</v>
          </cell>
          <cell r="H746" t="str">
            <v>010790</v>
          </cell>
          <cell r="I746" t="str">
            <v>2</v>
          </cell>
        </row>
        <row r="747">
          <cell r="A747" t="str">
            <v>CUSCOESPINARALTO PICHIGUA</v>
          </cell>
          <cell r="B747" t="str">
            <v>08</v>
          </cell>
          <cell r="C747" t="str">
            <v>08</v>
          </cell>
          <cell r="D747" t="str">
            <v>08</v>
          </cell>
          <cell r="E747" t="str">
            <v>CUSCO</v>
          </cell>
          <cell r="F747" t="str">
            <v>ESPINAR</v>
          </cell>
          <cell r="G747" t="str">
            <v>ALTO PICHIGUA</v>
          </cell>
          <cell r="H747" t="str">
            <v>010791</v>
          </cell>
          <cell r="I747" t="str">
            <v>2</v>
          </cell>
        </row>
        <row r="748">
          <cell r="A748" t="str">
            <v>CUSCOLA CONVENCIONSANTA ANA</v>
          </cell>
          <cell r="B748" t="str">
            <v>08</v>
          </cell>
          <cell r="C748" t="str">
            <v>09</v>
          </cell>
          <cell r="D748" t="str">
            <v>01</v>
          </cell>
          <cell r="E748" t="str">
            <v>CUSCO</v>
          </cell>
          <cell r="F748" t="str">
            <v>LA CONVENCION</v>
          </cell>
          <cell r="G748" t="str">
            <v>SANTA ANA</v>
          </cell>
          <cell r="H748" t="str">
            <v>010709</v>
          </cell>
          <cell r="I748" t="str">
            <v>1</v>
          </cell>
        </row>
        <row r="749">
          <cell r="A749" t="str">
            <v>CUSCOLA CONVENCIONECHARATE</v>
          </cell>
          <cell r="B749" t="str">
            <v>08</v>
          </cell>
          <cell r="C749" t="str">
            <v>09</v>
          </cell>
          <cell r="D749" t="str">
            <v>02</v>
          </cell>
          <cell r="E749" t="str">
            <v>CUSCO</v>
          </cell>
          <cell r="F749" t="str">
            <v>LA CONVENCION</v>
          </cell>
          <cell r="G749" t="str">
            <v>ECHARATE</v>
          </cell>
          <cell r="H749" t="str">
            <v>010714</v>
          </cell>
          <cell r="I749" t="str">
            <v>2</v>
          </cell>
        </row>
        <row r="750">
          <cell r="A750" t="str">
            <v>CUSCOLA CONVENCIONHUAYOPATA</v>
          </cell>
          <cell r="B750" t="str">
            <v>08</v>
          </cell>
          <cell r="C750" t="str">
            <v>09</v>
          </cell>
          <cell r="D750" t="str">
            <v>03</v>
          </cell>
          <cell r="E750" t="str">
            <v>CUSCO</v>
          </cell>
          <cell r="F750" t="str">
            <v>LA CONVENCION</v>
          </cell>
          <cell r="G750" t="str">
            <v>HUAYOPATA</v>
          </cell>
          <cell r="H750" t="str">
            <v>012589</v>
          </cell>
          <cell r="I750" t="str">
            <v>2</v>
          </cell>
        </row>
        <row r="751">
          <cell r="A751" t="str">
            <v>CUSCOLA CONVENCIONMARANURA</v>
          </cell>
          <cell r="B751" t="str">
            <v>08</v>
          </cell>
          <cell r="C751" t="str">
            <v>09</v>
          </cell>
          <cell r="D751" t="str">
            <v>04</v>
          </cell>
          <cell r="E751" t="str">
            <v>CUSCO</v>
          </cell>
          <cell r="F751" t="str">
            <v>LA CONVENCION</v>
          </cell>
          <cell r="G751" t="str">
            <v>MARANURA</v>
          </cell>
          <cell r="H751" t="str">
            <v>010711</v>
          </cell>
          <cell r="I751" t="str">
            <v>2</v>
          </cell>
        </row>
        <row r="752">
          <cell r="A752" t="str">
            <v>CUSCOLA CONVENCIONOCOBAMBA</v>
          </cell>
          <cell r="B752" t="str">
            <v>08</v>
          </cell>
          <cell r="C752" t="str">
            <v>09</v>
          </cell>
          <cell r="D752" t="str">
            <v>05</v>
          </cell>
          <cell r="E752" t="str">
            <v>CUSCO</v>
          </cell>
          <cell r="F752" t="str">
            <v>LA CONVENCION</v>
          </cell>
          <cell r="G752" t="str">
            <v>OCOBAMBA</v>
          </cell>
          <cell r="H752" t="str">
            <v>012590</v>
          </cell>
          <cell r="I752" t="str">
            <v>2</v>
          </cell>
        </row>
        <row r="753">
          <cell r="A753" t="str">
            <v>CUSCOLA CONVENCIONQUELLOUNO</v>
          </cell>
          <cell r="B753" t="str">
            <v>08</v>
          </cell>
          <cell r="C753" t="str">
            <v>09</v>
          </cell>
          <cell r="D753" t="str">
            <v>06</v>
          </cell>
          <cell r="E753" t="str">
            <v>CUSCO</v>
          </cell>
          <cell r="F753" t="str">
            <v>LA CONVENCION</v>
          </cell>
          <cell r="G753" t="str">
            <v>QUELLOUNO</v>
          </cell>
          <cell r="H753" t="str">
            <v>010716</v>
          </cell>
          <cell r="I753" t="str">
            <v>2</v>
          </cell>
        </row>
        <row r="754">
          <cell r="A754" t="str">
            <v>CUSCOLA CONVENCIONQUIMBIRI</v>
          </cell>
          <cell r="B754" t="str">
            <v>08</v>
          </cell>
          <cell r="C754" t="str">
            <v>09</v>
          </cell>
          <cell r="D754" t="str">
            <v>07</v>
          </cell>
          <cell r="E754" t="str">
            <v>CUSCO</v>
          </cell>
          <cell r="F754" t="str">
            <v>LA CONVENCION</v>
          </cell>
          <cell r="G754" t="str">
            <v>QUIMBIRI</v>
          </cell>
          <cell r="H754" t="str">
            <v>010717</v>
          </cell>
          <cell r="I754" t="str">
            <v>2</v>
          </cell>
        </row>
        <row r="755">
          <cell r="A755" t="str">
            <v>CUSCOLA CONVENCIONSANTA TERESA</v>
          </cell>
          <cell r="B755" t="str">
            <v>08</v>
          </cell>
          <cell r="C755" t="str">
            <v>09</v>
          </cell>
          <cell r="D755" t="str">
            <v>08</v>
          </cell>
          <cell r="E755" t="str">
            <v>CUSCO</v>
          </cell>
          <cell r="F755" t="str">
            <v>LA CONVENCION</v>
          </cell>
          <cell r="G755" t="str">
            <v>SANTA TERESA</v>
          </cell>
          <cell r="H755" t="str">
            <v>010712</v>
          </cell>
          <cell r="I755" t="str">
            <v>2</v>
          </cell>
        </row>
        <row r="756">
          <cell r="A756" t="str">
            <v>CUSCOLA CONVENCIONVILCABAMBA</v>
          </cell>
          <cell r="B756" t="str">
            <v>08</v>
          </cell>
          <cell r="C756" t="str">
            <v>09</v>
          </cell>
          <cell r="D756" t="str">
            <v>09</v>
          </cell>
          <cell r="E756" t="str">
            <v>CUSCO</v>
          </cell>
          <cell r="F756" t="str">
            <v>LA CONVENCION</v>
          </cell>
          <cell r="G756" t="str">
            <v>VILCABAMBA</v>
          </cell>
          <cell r="H756" t="str">
            <v>010713</v>
          </cell>
          <cell r="I756" t="str">
            <v>2</v>
          </cell>
        </row>
        <row r="757">
          <cell r="A757" t="str">
            <v>CUSCOLA CONVENCIONPICHARI</v>
          </cell>
          <cell r="B757" t="str">
            <v>08</v>
          </cell>
          <cell r="C757" t="str">
            <v>09</v>
          </cell>
          <cell r="D757" t="str">
            <v>10</v>
          </cell>
          <cell r="E757" t="str">
            <v>CUSCO</v>
          </cell>
          <cell r="F757" t="str">
            <v>LA CONVENCION</v>
          </cell>
          <cell r="G757" t="str">
            <v>PICHARI</v>
          </cell>
          <cell r="H757" t="str">
            <v>010718</v>
          </cell>
          <cell r="I757" t="str">
            <v>2</v>
          </cell>
        </row>
        <row r="758">
          <cell r="A758" t="str">
            <v>CUSCOPARUROPARURO</v>
          </cell>
          <cell r="B758" t="str">
            <v>08</v>
          </cell>
          <cell r="C758" t="str">
            <v>10</v>
          </cell>
          <cell r="D758" t="str">
            <v>01</v>
          </cell>
          <cell r="E758" t="str">
            <v>CUSCO</v>
          </cell>
          <cell r="F758" t="str">
            <v>PARURO</v>
          </cell>
          <cell r="G758" t="str">
            <v>PARURO</v>
          </cell>
          <cell r="H758" t="str">
            <v>010720</v>
          </cell>
          <cell r="I758" t="str">
            <v>1</v>
          </cell>
        </row>
        <row r="759">
          <cell r="A759" t="str">
            <v>CUSCOPARUROACCHA</v>
          </cell>
          <cell r="B759" t="str">
            <v>08</v>
          </cell>
          <cell r="C759" t="str">
            <v>10</v>
          </cell>
          <cell r="D759" t="str">
            <v>02</v>
          </cell>
          <cell r="E759" t="str">
            <v>CUSCO</v>
          </cell>
          <cell r="F759" t="str">
            <v>PARURO</v>
          </cell>
          <cell r="G759" t="str">
            <v>ACCHA</v>
          </cell>
          <cell r="H759" t="str">
            <v>010721</v>
          </cell>
          <cell r="I759" t="str">
            <v>2</v>
          </cell>
        </row>
        <row r="760">
          <cell r="A760" t="str">
            <v>CUSCOPARUROCCAPI</v>
          </cell>
          <cell r="B760" t="str">
            <v>08</v>
          </cell>
          <cell r="C760" t="str">
            <v>10</v>
          </cell>
          <cell r="D760" t="str">
            <v>03</v>
          </cell>
          <cell r="E760" t="str">
            <v>CUSCO</v>
          </cell>
          <cell r="F760" t="str">
            <v>PARURO</v>
          </cell>
          <cell r="G760" t="str">
            <v>CCAPI</v>
          </cell>
          <cell r="H760" t="str">
            <v>010722</v>
          </cell>
          <cell r="I760" t="str">
            <v>2</v>
          </cell>
        </row>
        <row r="761">
          <cell r="A761" t="str">
            <v>CUSCOPARUROCOLCHA</v>
          </cell>
          <cell r="B761" t="str">
            <v>08</v>
          </cell>
          <cell r="C761" t="str">
            <v>10</v>
          </cell>
          <cell r="D761" t="str">
            <v>04</v>
          </cell>
          <cell r="E761" t="str">
            <v>CUSCO</v>
          </cell>
          <cell r="F761" t="str">
            <v>PARURO</v>
          </cell>
          <cell r="G761" t="str">
            <v>COLCHA</v>
          </cell>
          <cell r="H761" t="str">
            <v>010723</v>
          </cell>
          <cell r="I761" t="str">
            <v>2</v>
          </cell>
        </row>
        <row r="762">
          <cell r="A762" t="str">
            <v>CUSCOPARUROHUANOQUITE</v>
          </cell>
          <cell r="B762" t="str">
            <v>08</v>
          </cell>
          <cell r="C762" t="str">
            <v>10</v>
          </cell>
          <cell r="D762" t="str">
            <v>05</v>
          </cell>
          <cell r="E762" t="str">
            <v>CUSCO</v>
          </cell>
          <cell r="F762" t="str">
            <v>PARURO</v>
          </cell>
          <cell r="G762" t="str">
            <v>HUANOQUITE</v>
          </cell>
          <cell r="H762" t="str">
            <v>010724</v>
          </cell>
          <cell r="I762" t="str">
            <v>2</v>
          </cell>
        </row>
        <row r="763">
          <cell r="A763" t="str">
            <v>CUSCOPARUROOMACHA</v>
          </cell>
          <cell r="B763" t="str">
            <v>08</v>
          </cell>
          <cell r="C763" t="str">
            <v>10</v>
          </cell>
          <cell r="D763" t="str">
            <v>06</v>
          </cell>
          <cell r="E763" t="str">
            <v>CUSCO</v>
          </cell>
          <cell r="F763" t="str">
            <v>PARURO</v>
          </cell>
          <cell r="G763" t="str">
            <v>OMACHA</v>
          </cell>
          <cell r="H763" t="str">
            <v>010725</v>
          </cell>
          <cell r="I763" t="str">
            <v>2</v>
          </cell>
        </row>
        <row r="764">
          <cell r="A764" t="str">
            <v>CUSCOPARUROPACCARITAMBO</v>
          </cell>
          <cell r="B764" t="str">
            <v>08</v>
          </cell>
          <cell r="C764" t="str">
            <v>10</v>
          </cell>
          <cell r="D764" t="str">
            <v>07</v>
          </cell>
          <cell r="E764" t="str">
            <v>CUSCO</v>
          </cell>
          <cell r="F764" t="str">
            <v>PARURO</v>
          </cell>
          <cell r="G764" t="str">
            <v>PACCARITAMBO</v>
          </cell>
          <cell r="H764" t="str">
            <v>010751</v>
          </cell>
          <cell r="I764" t="str">
            <v>2</v>
          </cell>
        </row>
        <row r="765">
          <cell r="A765" t="str">
            <v>CUSCOPARUROPILLPINTO</v>
          </cell>
          <cell r="B765" t="str">
            <v>08</v>
          </cell>
          <cell r="C765" t="str">
            <v>10</v>
          </cell>
          <cell r="D765" t="str">
            <v>08</v>
          </cell>
          <cell r="E765" t="str">
            <v>CUSCO</v>
          </cell>
          <cell r="F765" t="str">
            <v>PARURO</v>
          </cell>
          <cell r="G765" t="str">
            <v>PILLPINTO</v>
          </cell>
          <cell r="H765" t="str">
            <v>010727</v>
          </cell>
          <cell r="I765" t="str">
            <v>2</v>
          </cell>
        </row>
        <row r="766">
          <cell r="A766" t="str">
            <v>CUSCOPARUROYAURISQUE</v>
          </cell>
          <cell r="B766" t="str">
            <v>08</v>
          </cell>
          <cell r="C766" t="str">
            <v>10</v>
          </cell>
          <cell r="D766" t="str">
            <v>09</v>
          </cell>
          <cell r="E766" t="str">
            <v>CUSCO</v>
          </cell>
          <cell r="F766" t="str">
            <v>PARURO</v>
          </cell>
          <cell r="G766" t="str">
            <v>YAURISQUE</v>
          </cell>
          <cell r="H766" t="str">
            <v>010728</v>
          </cell>
          <cell r="I766" t="str">
            <v>2</v>
          </cell>
        </row>
        <row r="767">
          <cell r="A767" t="str">
            <v>CUSCOPAUCARTAMBOPAUCARTAMBO</v>
          </cell>
          <cell r="B767" t="str">
            <v>08</v>
          </cell>
          <cell r="C767" t="str">
            <v>11</v>
          </cell>
          <cell r="D767" t="str">
            <v>01</v>
          </cell>
          <cell r="E767" t="str">
            <v>CUSCO</v>
          </cell>
          <cell r="F767" t="str">
            <v>PAUCARTAMBO</v>
          </cell>
          <cell r="G767" t="str">
            <v>PAUCARTAMBO</v>
          </cell>
          <cell r="H767" t="str">
            <v>010729</v>
          </cell>
          <cell r="I767" t="str">
            <v>1</v>
          </cell>
        </row>
        <row r="768">
          <cell r="A768" t="str">
            <v>CUSCOPAUCARTAMBOCAICAY</v>
          </cell>
          <cell r="B768" t="str">
            <v>08</v>
          </cell>
          <cell r="C768" t="str">
            <v>11</v>
          </cell>
          <cell r="D768" t="str">
            <v>02</v>
          </cell>
          <cell r="E768" t="str">
            <v>CUSCO</v>
          </cell>
          <cell r="F768" t="str">
            <v>PAUCARTAMBO</v>
          </cell>
          <cell r="G768" t="str">
            <v>CAICAY</v>
          </cell>
          <cell r="H768" t="str">
            <v>010730</v>
          </cell>
          <cell r="I768" t="str">
            <v>2</v>
          </cell>
        </row>
        <row r="769">
          <cell r="A769" t="str">
            <v>CUSCOPAUCARTAMBOCHALLABAMBA</v>
          </cell>
          <cell r="B769" t="str">
            <v>08</v>
          </cell>
          <cell r="C769" t="str">
            <v>11</v>
          </cell>
          <cell r="D769" t="str">
            <v>03</v>
          </cell>
          <cell r="E769" t="str">
            <v>CUSCO</v>
          </cell>
          <cell r="F769" t="str">
            <v>PAUCARTAMBO</v>
          </cell>
          <cell r="G769" t="str">
            <v>CHALLABAMBA</v>
          </cell>
          <cell r="H769" t="str">
            <v>010731</v>
          </cell>
          <cell r="I769" t="str">
            <v>2</v>
          </cell>
        </row>
        <row r="770">
          <cell r="A770" t="str">
            <v>CUSCOPAUCARTAMBOCOLQUEPATA</v>
          </cell>
          <cell r="B770" t="str">
            <v>08</v>
          </cell>
          <cell r="C770" t="str">
            <v>11</v>
          </cell>
          <cell r="D770" t="str">
            <v>04</v>
          </cell>
          <cell r="E770" t="str">
            <v>CUSCO</v>
          </cell>
          <cell r="F770" t="str">
            <v>PAUCARTAMBO</v>
          </cell>
          <cell r="G770" t="str">
            <v>COLQUEPATA</v>
          </cell>
          <cell r="H770" t="str">
            <v>010732</v>
          </cell>
          <cell r="I770" t="str">
            <v>2</v>
          </cell>
        </row>
        <row r="771">
          <cell r="A771" t="str">
            <v>CUSCOPAUCARTAMBOHUANCARANI</v>
          </cell>
          <cell r="B771" t="str">
            <v>08</v>
          </cell>
          <cell r="C771" t="str">
            <v>11</v>
          </cell>
          <cell r="D771" t="str">
            <v>05</v>
          </cell>
          <cell r="E771" t="str">
            <v>CUSCO</v>
          </cell>
          <cell r="F771" t="str">
            <v>PAUCARTAMBO</v>
          </cell>
          <cell r="G771" t="str">
            <v>HUANCARANI</v>
          </cell>
          <cell r="H771" t="str">
            <v>010733</v>
          </cell>
          <cell r="I771" t="str">
            <v>2</v>
          </cell>
        </row>
        <row r="772">
          <cell r="A772" t="str">
            <v>CUSCOPAUCARTAMBOKOSÑIPATA</v>
          </cell>
          <cell r="B772" t="str">
            <v>08</v>
          </cell>
          <cell r="C772" t="str">
            <v>11</v>
          </cell>
          <cell r="D772" t="str">
            <v>06</v>
          </cell>
          <cell r="E772" t="str">
            <v>CUSCO</v>
          </cell>
          <cell r="F772" t="str">
            <v>PAUCARTAMBO</v>
          </cell>
          <cell r="G772" t="str">
            <v>KOSÑIPATA</v>
          </cell>
          <cell r="H772" t="str">
            <v>010734</v>
          </cell>
          <cell r="I772" t="str">
            <v>2</v>
          </cell>
        </row>
        <row r="773">
          <cell r="A773" t="str">
            <v>CUSCOQUISPICANCHIURCOS</v>
          </cell>
          <cell r="B773" t="str">
            <v>08</v>
          </cell>
          <cell r="C773" t="str">
            <v>12</v>
          </cell>
          <cell r="D773" t="str">
            <v>01</v>
          </cell>
          <cell r="E773" t="str">
            <v>CUSCO</v>
          </cell>
          <cell r="F773" t="str">
            <v>QUISPICANCHI</v>
          </cell>
          <cell r="G773" t="str">
            <v>URCOS</v>
          </cell>
          <cell r="H773" t="str">
            <v>010735</v>
          </cell>
          <cell r="I773" t="str">
            <v>1</v>
          </cell>
        </row>
        <row r="774">
          <cell r="A774" t="str">
            <v>CUSCOQUISPICANCHIANDAHUAYLILLAS</v>
          </cell>
          <cell r="B774" t="str">
            <v>08</v>
          </cell>
          <cell r="C774" t="str">
            <v>12</v>
          </cell>
          <cell r="D774" t="str">
            <v>02</v>
          </cell>
          <cell r="E774" t="str">
            <v>CUSCO</v>
          </cell>
          <cell r="F774" t="str">
            <v>QUISPICANCHI</v>
          </cell>
          <cell r="G774" t="str">
            <v>ANDAHUAYLILLAS</v>
          </cell>
          <cell r="H774" t="str">
            <v>010736</v>
          </cell>
          <cell r="I774" t="str">
            <v>2</v>
          </cell>
        </row>
        <row r="775">
          <cell r="A775" t="str">
            <v>CUSCOQUISPICANCHICAMANTI</v>
          </cell>
          <cell r="B775" t="str">
            <v>08</v>
          </cell>
          <cell r="C775" t="str">
            <v>12</v>
          </cell>
          <cell r="D775" t="str">
            <v>03</v>
          </cell>
          <cell r="E775" t="str">
            <v>CUSCO</v>
          </cell>
          <cell r="F775" t="str">
            <v>QUISPICANCHI</v>
          </cell>
          <cell r="G775" t="str">
            <v>CAMANTI</v>
          </cell>
          <cell r="H775" t="str">
            <v>010742</v>
          </cell>
          <cell r="I775" t="str">
            <v>2</v>
          </cell>
        </row>
        <row r="776">
          <cell r="A776" t="str">
            <v>CUSCOQUISPICANCHICCARHUAYO</v>
          </cell>
          <cell r="B776" t="str">
            <v>08</v>
          </cell>
          <cell r="C776" t="str">
            <v>12</v>
          </cell>
          <cell r="D776" t="str">
            <v>04</v>
          </cell>
          <cell r="E776" t="str">
            <v>CUSCO</v>
          </cell>
          <cell r="F776" t="str">
            <v>QUISPICANCHI</v>
          </cell>
          <cell r="G776" t="str">
            <v>CCARHUAYO</v>
          </cell>
          <cell r="H776" t="str">
            <v>010743</v>
          </cell>
          <cell r="I776" t="str">
            <v>2</v>
          </cell>
        </row>
        <row r="777">
          <cell r="A777" t="str">
            <v>CUSCOQUISPICANCHICCATCA</v>
          </cell>
          <cell r="B777" t="str">
            <v>08</v>
          </cell>
          <cell r="C777" t="str">
            <v>12</v>
          </cell>
          <cell r="D777" t="str">
            <v>05</v>
          </cell>
          <cell r="E777" t="str">
            <v>CUSCO</v>
          </cell>
          <cell r="F777" t="str">
            <v>QUISPICANCHI</v>
          </cell>
          <cell r="G777" t="str">
            <v>CCATCA</v>
          </cell>
          <cell r="H777" t="str">
            <v>012834</v>
          </cell>
          <cell r="I777" t="str">
            <v>2</v>
          </cell>
        </row>
        <row r="778">
          <cell r="A778" t="str">
            <v>CUSCOQUISPICANCHICUSIPATA</v>
          </cell>
          <cell r="B778" t="str">
            <v>08</v>
          </cell>
          <cell r="C778" t="str">
            <v>12</v>
          </cell>
          <cell r="D778" t="str">
            <v>06</v>
          </cell>
          <cell r="E778" t="str">
            <v>CUSCO</v>
          </cell>
          <cell r="F778" t="str">
            <v>QUISPICANCHI</v>
          </cell>
          <cell r="G778" t="str">
            <v>CUSIPATA</v>
          </cell>
          <cell r="H778" t="str">
            <v>012047</v>
          </cell>
          <cell r="I778" t="str">
            <v>2</v>
          </cell>
        </row>
        <row r="779">
          <cell r="A779" t="str">
            <v>CUSCOQUISPICANCHIHUARO</v>
          </cell>
          <cell r="B779" t="str">
            <v>08</v>
          </cell>
          <cell r="C779" t="str">
            <v>12</v>
          </cell>
          <cell r="D779" t="str">
            <v>07</v>
          </cell>
          <cell r="E779" t="str">
            <v>CUSCO</v>
          </cell>
          <cell r="F779" t="str">
            <v>QUISPICANCHI</v>
          </cell>
          <cell r="G779" t="str">
            <v>HUARO</v>
          </cell>
          <cell r="H779" t="str">
            <v>010738</v>
          </cell>
          <cell r="I779" t="str">
            <v>2</v>
          </cell>
        </row>
        <row r="780">
          <cell r="A780" t="str">
            <v>CUSCOQUISPICANCHILUCRE</v>
          </cell>
          <cell r="B780" t="str">
            <v>08</v>
          </cell>
          <cell r="C780" t="str">
            <v>12</v>
          </cell>
          <cell r="D780" t="str">
            <v>08</v>
          </cell>
          <cell r="E780" t="str">
            <v>CUSCO</v>
          </cell>
          <cell r="F780" t="str">
            <v>QUISPICANCHI</v>
          </cell>
          <cell r="G780" t="str">
            <v>LUCRE</v>
          </cell>
          <cell r="H780" t="str">
            <v>010739</v>
          </cell>
          <cell r="I780" t="str">
            <v>2</v>
          </cell>
        </row>
        <row r="781">
          <cell r="A781" t="str">
            <v>CUSCOQUISPICANCHIMARCAPATA</v>
          </cell>
          <cell r="B781" t="str">
            <v>08</v>
          </cell>
          <cell r="C781" t="str">
            <v>12</v>
          </cell>
          <cell r="D781" t="str">
            <v>09</v>
          </cell>
          <cell r="E781" t="str">
            <v>CUSCO</v>
          </cell>
          <cell r="F781" t="str">
            <v>QUISPICANCHI</v>
          </cell>
          <cell r="G781" t="str">
            <v>MARCAPATA</v>
          </cell>
          <cell r="H781" t="str">
            <v>010745</v>
          </cell>
          <cell r="I781" t="str">
            <v>2</v>
          </cell>
        </row>
        <row r="782">
          <cell r="A782" t="str">
            <v>CUSCOQUISPICANCHIOCONGATE</v>
          </cell>
          <cell r="B782" t="str">
            <v>08</v>
          </cell>
          <cell r="C782" t="str">
            <v>12</v>
          </cell>
          <cell r="D782" t="str">
            <v>10</v>
          </cell>
          <cell r="E782" t="str">
            <v>CUSCO</v>
          </cell>
          <cell r="F782" t="str">
            <v>QUISPICANCHI</v>
          </cell>
          <cell r="G782" t="str">
            <v>OCONGATE</v>
          </cell>
          <cell r="H782" t="str">
            <v>012056</v>
          </cell>
          <cell r="I782" t="str">
            <v>2</v>
          </cell>
        </row>
        <row r="783">
          <cell r="A783" t="str">
            <v>CUSCOQUISPICANCHIOROPESA</v>
          </cell>
          <cell r="B783" t="str">
            <v>08</v>
          </cell>
          <cell r="C783" t="str">
            <v>12</v>
          </cell>
          <cell r="D783" t="str">
            <v>11</v>
          </cell>
          <cell r="E783" t="str">
            <v>CUSCO</v>
          </cell>
          <cell r="F783" t="str">
            <v>QUISPICANCHI</v>
          </cell>
          <cell r="G783" t="str">
            <v>OROPESA</v>
          </cell>
          <cell r="H783" t="str">
            <v>012048</v>
          </cell>
          <cell r="I783" t="str">
            <v>2</v>
          </cell>
        </row>
        <row r="784">
          <cell r="A784" t="str">
            <v>CUSCOQUISPICANCHIQUIQUIJANA</v>
          </cell>
          <cell r="B784" t="str">
            <v>08</v>
          </cell>
          <cell r="C784" t="str">
            <v>12</v>
          </cell>
          <cell r="D784" t="str">
            <v>12</v>
          </cell>
          <cell r="E784" t="str">
            <v>CUSCO</v>
          </cell>
          <cell r="F784" t="str">
            <v>QUISPICANCHI</v>
          </cell>
          <cell r="G784" t="str">
            <v>QUIQUIJANA</v>
          </cell>
          <cell r="H784" t="str">
            <v>010741</v>
          </cell>
          <cell r="I784" t="str">
            <v>2</v>
          </cell>
        </row>
        <row r="785">
          <cell r="A785" t="str">
            <v>CUSCOURUBAMBAURUBAMBA</v>
          </cell>
          <cell r="B785" t="str">
            <v>08</v>
          </cell>
          <cell r="C785" t="str">
            <v>13</v>
          </cell>
          <cell r="D785" t="str">
            <v>01</v>
          </cell>
          <cell r="E785" t="str">
            <v>CUSCO</v>
          </cell>
          <cell r="F785" t="str">
            <v>URUBAMBA</v>
          </cell>
          <cell r="G785" t="str">
            <v>URUBAMBA</v>
          </cell>
          <cell r="H785" t="str">
            <v>012070</v>
          </cell>
          <cell r="I785" t="str">
            <v>1</v>
          </cell>
        </row>
        <row r="786">
          <cell r="A786" t="str">
            <v>CUSCOURUBAMBACHINCHERO</v>
          </cell>
          <cell r="B786" t="str">
            <v>08</v>
          </cell>
          <cell r="C786" t="str">
            <v>13</v>
          </cell>
          <cell r="D786" t="str">
            <v>02</v>
          </cell>
          <cell r="E786" t="str">
            <v>CUSCO</v>
          </cell>
          <cell r="F786" t="str">
            <v>URUBAMBA</v>
          </cell>
          <cell r="G786" t="str">
            <v>CHINCHERO</v>
          </cell>
          <cell r="H786" t="str">
            <v>012054</v>
          </cell>
          <cell r="I786" t="str">
            <v>2</v>
          </cell>
        </row>
        <row r="787">
          <cell r="A787" t="str">
            <v>CUSCOURUBAMBAHUAYLLABAMBA</v>
          </cell>
          <cell r="B787" t="str">
            <v>08</v>
          </cell>
          <cell r="C787" t="str">
            <v>13</v>
          </cell>
          <cell r="D787" t="str">
            <v>03</v>
          </cell>
          <cell r="E787" t="str">
            <v>CUSCO</v>
          </cell>
          <cell r="F787" t="str">
            <v>URUBAMBA</v>
          </cell>
          <cell r="G787" t="str">
            <v>HUAYLLABAMBA</v>
          </cell>
          <cell r="H787" t="str">
            <v>010749</v>
          </cell>
          <cell r="I787" t="str">
            <v>2</v>
          </cell>
        </row>
        <row r="788">
          <cell r="A788" t="str">
            <v>CUSCOURUBAMBAMACHUPICCHU</v>
          </cell>
          <cell r="B788" t="str">
            <v>08</v>
          </cell>
          <cell r="C788" t="str">
            <v>13</v>
          </cell>
          <cell r="D788" t="str">
            <v>04</v>
          </cell>
          <cell r="E788" t="str">
            <v>CUSCO</v>
          </cell>
          <cell r="F788" t="str">
            <v>URUBAMBA</v>
          </cell>
          <cell r="G788" t="str">
            <v>MACHUPICCHU</v>
          </cell>
          <cell r="H788" t="str">
            <v>010750</v>
          </cell>
          <cell r="I788" t="str">
            <v>2</v>
          </cell>
        </row>
        <row r="789">
          <cell r="A789" t="str">
            <v>CUSCOURUBAMBAMARAS</v>
          </cell>
          <cell r="B789" t="str">
            <v>08</v>
          </cell>
          <cell r="C789" t="str">
            <v>13</v>
          </cell>
          <cell r="D789" t="str">
            <v>05</v>
          </cell>
          <cell r="E789" t="str">
            <v>CUSCO</v>
          </cell>
          <cell r="F789" t="str">
            <v>URUBAMBA</v>
          </cell>
          <cell r="G789" t="str">
            <v>MARAS</v>
          </cell>
          <cell r="H789" t="str">
            <v>010726</v>
          </cell>
          <cell r="I789" t="str">
            <v>2</v>
          </cell>
        </row>
        <row r="790">
          <cell r="A790" t="str">
            <v>CUSCOURUBAMBAOLLANTAYTAMBO</v>
          </cell>
          <cell r="B790" t="str">
            <v>08</v>
          </cell>
          <cell r="C790" t="str">
            <v>13</v>
          </cell>
          <cell r="D790" t="str">
            <v>06</v>
          </cell>
          <cell r="E790" t="str">
            <v>CUSCO</v>
          </cell>
          <cell r="F790" t="str">
            <v>URUBAMBA</v>
          </cell>
          <cell r="G790" t="str">
            <v>OLLANTAYTAMBO</v>
          </cell>
          <cell r="H790" t="str">
            <v>012572</v>
          </cell>
          <cell r="I790" t="str">
            <v>2</v>
          </cell>
        </row>
        <row r="791">
          <cell r="A791" t="str">
            <v>CUSCOURUBAMBAYUCAY</v>
          </cell>
          <cell r="B791" t="str">
            <v>08</v>
          </cell>
          <cell r="C791" t="str">
            <v>13</v>
          </cell>
          <cell r="D791" t="str">
            <v>07</v>
          </cell>
          <cell r="E791" t="str">
            <v>CUSCO</v>
          </cell>
          <cell r="F791" t="str">
            <v>URUBAMBA</v>
          </cell>
          <cell r="G791" t="str">
            <v>YUCAY</v>
          </cell>
          <cell r="H791" t="str">
            <v>010753</v>
          </cell>
          <cell r="I791" t="str">
            <v>2</v>
          </cell>
        </row>
        <row r="792">
          <cell r="A792" t="str">
            <v>HUANCAVELICAHUANCAVELICAHUANCAVELICA</v>
          </cell>
          <cell r="B792" t="str">
            <v>09</v>
          </cell>
          <cell r="C792" t="str">
            <v>01</v>
          </cell>
          <cell r="D792" t="str">
            <v>01</v>
          </cell>
          <cell r="E792" t="str">
            <v>HUANCAVELICA</v>
          </cell>
          <cell r="F792" t="str">
            <v>HUANCAVELICA</v>
          </cell>
          <cell r="G792" t="str">
            <v>HUANCAVELICA</v>
          </cell>
          <cell r="H792" t="str">
            <v>010792</v>
          </cell>
          <cell r="I792" t="str">
            <v>1</v>
          </cell>
        </row>
        <row r="793">
          <cell r="A793" t="str">
            <v>HUANCAVELICAHUANCAVELICAACOBAMBILLA</v>
          </cell>
          <cell r="B793" t="str">
            <v>09</v>
          </cell>
          <cell r="C793" t="str">
            <v>01</v>
          </cell>
          <cell r="D793" t="str">
            <v>02</v>
          </cell>
          <cell r="E793" t="str">
            <v>HUANCAVELICA</v>
          </cell>
          <cell r="F793" t="str">
            <v>HUANCAVELICA</v>
          </cell>
          <cell r="G793" t="str">
            <v>ACOBAMBILLA</v>
          </cell>
          <cell r="H793" t="str">
            <v>010801</v>
          </cell>
          <cell r="I793" t="str">
            <v>2</v>
          </cell>
        </row>
        <row r="794">
          <cell r="A794" t="str">
            <v>HUANCAVELICAHUANCAVELICAACORIA</v>
          </cell>
          <cell r="B794" t="str">
            <v>09</v>
          </cell>
          <cell r="C794" t="str">
            <v>01</v>
          </cell>
          <cell r="D794" t="str">
            <v>03</v>
          </cell>
          <cell r="E794" t="str">
            <v>HUANCAVELICA</v>
          </cell>
          <cell r="F794" t="str">
            <v>HUANCAVELICA</v>
          </cell>
          <cell r="G794" t="str">
            <v>ACORIA</v>
          </cell>
          <cell r="H794" t="str">
            <v>010793</v>
          </cell>
          <cell r="I794" t="str">
            <v>2</v>
          </cell>
        </row>
        <row r="795">
          <cell r="A795" t="str">
            <v>HUANCAVELICAHUANCAVELICACONAYCA</v>
          </cell>
          <cell r="B795" t="str">
            <v>09</v>
          </cell>
          <cell r="C795" t="str">
            <v>01</v>
          </cell>
          <cell r="D795" t="str">
            <v>04</v>
          </cell>
          <cell r="E795" t="str">
            <v>HUANCAVELICA</v>
          </cell>
          <cell r="F795" t="str">
            <v>HUANCAVELICA</v>
          </cell>
          <cell r="G795" t="str">
            <v>CONAYCA</v>
          </cell>
          <cell r="H795" t="str">
            <v>010802</v>
          </cell>
          <cell r="I795" t="str">
            <v>2</v>
          </cell>
        </row>
        <row r="796">
          <cell r="A796" t="str">
            <v>HUANCAVELICAHUANCAVELICACUENCA</v>
          </cell>
          <cell r="B796" t="str">
            <v>09</v>
          </cell>
          <cell r="C796" t="str">
            <v>01</v>
          </cell>
          <cell r="D796" t="str">
            <v>05</v>
          </cell>
          <cell r="E796" t="str">
            <v>HUANCAVELICA</v>
          </cell>
          <cell r="F796" t="str">
            <v>HUANCAVELICA</v>
          </cell>
          <cell r="G796" t="str">
            <v>CUENCA</v>
          </cell>
          <cell r="H796" t="str">
            <v>010803</v>
          </cell>
          <cell r="I796" t="str">
            <v>2</v>
          </cell>
        </row>
        <row r="797">
          <cell r="A797" t="str">
            <v>HUANCAVELICAHUANCAVELICAHUACHOCOLPA</v>
          </cell>
          <cell r="B797" t="str">
            <v>09</v>
          </cell>
          <cell r="C797" t="str">
            <v>01</v>
          </cell>
          <cell r="D797" t="str">
            <v>06</v>
          </cell>
          <cell r="E797" t="str">
            <v>HUANCAVELICA</v>
          </cell>
          <cell r="F797" t="str">
            <v>HUANCAVELICA</v>
          </cell>
          <cell r="G797" t="str">
            <v>HUACHOCOLPA</v>
          </cell>
          <cell r="H797" t="str">
            <v>010794</v>
          </cell>
          <cell r="I797" t="str">
            <v>2</v>
          </cell>
        </row>
        <row r="798">
          <cell r="A798" t="str">
            <v>HUANCAVELICAHUANCAVELICAHUAYLLAHUARA</v>
          </cell>
          <cell r="B798" t="str">
            <v>09</v>
          </cell>
          <cell r="C798" t="str">
            <v>01</v>
          </cell>
          <cell r="D798" t="str">
            <v>07</v>
          </cell>
          <cell r="E798" t="str">
            <v>HUANCAVELICA</v>
          </cell>
          <cell r="F798" t="str">
            <v>HUANCAVELICA</v>
          </cell>
          <cell r="G798" t="str">
            <v>HUAYLLAHUARA</v>
          </cell>
          <cell r="H798" t="str">
            <v>010804</v>
          </cell>
          <cell r="I798" t="str">
            <v>2</v>
          </cell>
        </row>
        <row r="799">
          <cell r="A799" t="str">
            <v>HUANCAVELICAHUANCAVELICAIZCUCHACA</v>
          </cell>
          <cell r="B799" t="str">
            <v>09</v>
          </cell>
          <cell r="C799" t="str">
            <v>01</v>
          </cell>
          <cell r="D799" t="str">
            <v>08</v>
          </cell>
          <cell r="E799" t="str">
            <v>HUANCAVELICA</v>
          </cell>
          <cell r="F799" t="str">
            <v>HUANCAVELICA</v>
          </cell>
          <cell r="G799" t="str">
            <v>IZCUCHACA</v>
          </cell>
          <cell r="H799" t="str">
            <v>010805</v>
          </cell>
          <cell r="I799" t="str">
            <v>2</v>
          </cell>
        </row>
        <row r="800">
          <cell r="A800" t="str">
            <v>HUANCAVELICAHUANCAVELICALARIA</v>
          </cell>
          <cell r="B800" t="str">
            <v>09</v>
          </cell>
          <cell r="C800" t="str">
            <v>01</v>
          </cell>
          <cell r="D800" t="str">
            <v>09</v>
          </cell>
          <cell r="E800" t="str">
            <v>HUANCAVELICA</v>
          </cell>
          <cell r="F800" t="str">
            <v>HUANCAVELICA</v>
          </cell>
          <cell r="G800" t="str">
            <v>LARIA</v>
          </cell>
          <cell r="H800" t="str">
            <v>010795</v>
          </cell>
          <cell r="I800" t="str">
            <v>2</v>
          </cell>
        </row>
        <row r="801">
          <cell r="A801" t="str">
            <v>HUANCAVELICAHUANCAVELICAMANTA</v>
          </cell>
          <cell r="B801" t="str">
            <v>09</v>
          </cell>
          <cell r="C801" t="str">
            <v>01</v>
          </cell>
          <cell r="D801" t="str">
            <v>10</v>
          </cell>
          <cell r="E801" t="str">
            <v>HUANCAVELICA</v>
          </cell>
          <cell r="F801" t="str">
            <v>HUANCAVELICA</v>
          </cell>
          <cell r="G801" t="str">
            <v>MANTA</v>
          </cell>
          <cell r="H801" t="str">
            <v>012072</v>
          </cell>
          <cell r="I801" t="str">
            <v>2</v>
          </cell>
        </row>
        <row r="802">
          <cell r="A802" t="str">
            <v>HUANCAVELICAHUANCAVELICAMARISCAL CACERES</v>
          </cell>
          <cell r="B802" t="str">
            <v>09</v>
          </cell>
          <cell r="C802" t="str">
            <v>01</v>
          </cell>
          <cell r="D802" t="str">
            <v>11</v>
          </cell>
          <cell r="E802" t="str">
            <v>HUANCAVELICA</v>
          </cell>
          <cell r="F802" t="str">
            <v>HUANCAVELICA</v>
          </cell>
          <cell r="G802" t="str">
            <v>MARISCAL CACERES</v>
          </cell>
          <cell r="H802" t="str">
            <v>010807</v>
          </cell>
          <cell r="I802" t="str">
            <v>2</v>
          </cell>
        </row>
        <row r="803">
          <cell r="A803" t="str">
            <v>HUANCAVELICAHUANCAVELICAMOYA</v>
          </cell>
          <cell r="B803" t="str">
            <v>09</v>
          </cell>
          <cell r="C803" t="str">
            <v>01</v>
          </cell>
          <cell r="D803" t="str">
            <v>12</v>
          </cell>
          <cell r="E803" t="str">
            <v>HUANCAVELICA</v>
          </cell>
          <cell r="F803" t="str">
            <v>HUANCAVELICA</v>
          </cell>
          <cell r="G803" t="str">
            <v>MOYA</v>
          </cell>
          <cell r="H803" t="str">
            <v>010808</v>
          </cell>
          <cell r="I803" t="str">
            <v>2</v>
          </cell>
        </row>
        <row r="804">
          <cell r="A804" t="str">
            <v>HUANCAVELICAHUANCAVELICANUEVO OCCORO</v>
          </cell>
          <cell r="B804" t="str">
            <v>09</v>
          </cell>
          <cell r="C804" t="str">
            <v>01</v>
          </cell>
          <cell r="D804" t="str">
            <v>13</v>
          </cell>
          <cell r="E804" t="str">
            <v>HUANCAVELICA</v>
          </cell>
          <cell r="F804" t="str">
            <v>HUANCAVELICA</v>
          </cell>
          <cell r="G804" t="str">
            <v>NUEVO OCCORO</v>
          </cell>
          <cell r="H804" t="str">
            <v>010796</v>
          </cell>
          <cell r="I804" t="str">
            <v>2</v>
          </cell>
        </row>
        <row r="805">
          <cell r="A805" t="str">
            <v>HUANCAVELICAHUANCAVELICAPALCA</v>
          </cell>
          <cell r="B805" t="str">
            <v>09</v>
          </cell>
          <cell r="C805" t="str">
            <v>01</v>
          </cell>
          <cell r="D805" t="str">
            <v>14</v>
          </cell>
          <cell r="E805" t="str">
            <v>HUANCAVELICA</v>
          </cell>
          <cell r="F805" t="str">
            <v>HUANCAVELICA</v>
          </cell>
          <cell r="G805" t="str">
            <v>PALCA</v>
          </cell>
          <cell r="H805" t="str">
            <v>010797</v>
          </cell>
          <cell r="I805" t="str">
            <v>2</v>
          </cell>
        </row>
        <row r="806">
          <cell r="A806" t="str">
            <v>HUANCAVELICAHUANCAVELICAPILCHACA</v>
          </cell>
          <cell r="B806" t="str">
            <v>09</v>
          </cell>
          <cell r="C806" t="str">
            <v>01</v>
          </cell>
          <cell r="D806" t="str">
            <v>15</v>
          </cell>
          <cell r="E806" t="str">
            <v>HUANCAVELICA</v>
          </cell>
          <cell r="F806" t="str">
            <v>HUANCAVELICA</v>
          </cell>
          <cell r="G806" t="str">
            <v>PILCHACA</v>
          </cell>
          <cell r="H806" t="str">
            <v>010809</v>
          </cell>
          <cell r="I806" t="str">
            <v>2</v>
          </cell>
        </row>
        <row r="807">
          <cell r="A807" t="str">
            <v>HUANCAVELICAHUANCAVELICAVILCA</v>
          </cell>
          <cell r="B807" t="str">
            <v>09</v>
          </cell>
          <cell r="C807" t="str">
            <v>01</v>
          </cell>
          <cell r="D807" t="str">
            <v>16</v>
          </cell>
          <cell r="E807" t="str">
            <v>HUANCAVELICA</v>
          </cell>
          <cell r="F807" t="str">
            <v>HUANCAVELICA</v>
          </cell>
          <cell r="G807" t="str">
            <v>VILCA</v>
          </cell>
          <cell r="H807" t="str">
            <v>012611</v>
          </cell>
          <cell r="I807" t="str">
            <v>2</v>
          </cell>
        </row>
        <row r="808">
          <cell r="A808" t="str">
            <v>HUANCAVELICAHUANCAVELICAYAULI</v>
          </cell>
          <cell r="B808" t="str">
            <v>09</v>
          </cell>
          <cell r="C808" t="str">
            <v>01</v>
          </cell>
          <cell r="D808" t="str">
            <v>17</v>
          </cell>
          <cell r="E808" t="str">
            <v>HUANCAVELICA</v>
          </cell>
          <cell r="F808" t="str">
            <v>HUANCAVELICA</v>
          </cell>
          <cell r="G808" t="str">
            <v>YAULI</v>
          </cell>
          <cell r="H808" t="str">
            <v>010798</v>
          </cell>
          <cell r="I808" t="str">
            <v>2</v>
          </cell>
        </row>
        <row r="809">
          <cell r="A809" t="str">
            <v>HUANCAVELICAHUANCAVELICAASCENSION</v>
          </cell>
          <cell r="B809" t="str">
            <v>09</v>
          </cell>
          <cell r="C809" t="str">
            <v>01</v>
          </cell>
          <cell r="D809" t="str">
            <v>18</v>
          </cell>
          <cell r="E809" t="str">
            <v>HUANCAVELICA</v>
          </cell>
          <cell r="F809" t="str">
            <v>HUANCAVELICA</v>
          </cell>
          <cell r="G809" t="str">
            <v>ASCENSION</v>
          </cell>
          <cell r="H809" t="str">
            <v>010799</v>
          </cell>
          <cell r="I809" t="str">
            <v>2</v>
          </cell>
        </row>
        <row r="810">
          <cell r="A810" t="str">
            <v>HUANCAVELICAHUANCAVELICAHUANDO</v>
          </cell>
          <cell r="B810" t="str">
            <v>09</v>
          </cell>
          <cell r="C810" t="str">
            <v>01</v>
          </cell>
          <cell r="D810" t="str">
            <v>19</v>
          </cell>
          <cell r="E810" t="str">
            <v>HUANCAVELICA</v>
          </cell>
          <cell r="F810" t="str">
            <v>HUANCAVELICA</v>
          </cell>
          <cell r="G810" t="str">
            <v>HUANDO</v>
          </cell>
          <cell r="H810" t="str">
            <v>010800</v>
          </cell>
          <cell r="I810" t="str">
            <v>2</v>
          </cell>
        </row>
        <row r="811">
          <cell r="A811" t="str">
            <v>HUANCAVELICAACOBAMBAACOBAMBA</v>
          </cell>
          <cell r="B811" t="str">
            <v>09</v>
          </cell>
          <cell r="C811" t="str">
            <v>02</v>
          </cell>
          <cell r="D811" t="str">
            <v>01</v>
          </cell>
          <cell r="E811" t="str">
            <v>HUANCAVELICA</v>
          </cell>
          <cell r="F811" t="str">
            <v>ACOBAMBA</v>
          </cell>
          <cell r="G811" t="str">
            <v>ACOBAMBA</v>
          </cell>
          <cell r="H811" t="str">
            <v>010811</v>
          </cell>
          <cell r="I811" t="str">
            <v>1</v>
          </cell>
        </row>
        <row r="812">
          <cell r="A812" t="str">
            <v>HUANCAVELICAACOBAMBAANDABAMBA</v>
          </cell>
          <cell r="B812" t="str">
            <v>09</v>
          </cell>
          <cell r="C812" t="str">
            <v>02</v>
          </cell>
          <cell r="D812" t="str">
            <v>02</v>
          </cell>
          <cell r="E812" t="str">
            <v>HUANCAVELICA</v>
          </cell>
          <cell r="F812" t="str">
            <v>ACOBAMBA</v>
          </cell>
          <cell r="G812" t="str">
            <v>ANDABAMBA</v>
          </cell>
          <cell r="H812" t="str">
            <v>010812</v>
          </cell>
          <cell r="I812" t="str">
            <v>2</v>
          </cell>
        </row>
        <row r="813">
          <cell r="A813" t="str">
            <v>HUANCAVELICAACOBAMBAANTA</v>
          </cell>
          <cell r="B813" t="str">
            <v>09</v>
          </cell>
          <cell r="C813" t="str">
            <v>02</v>
          </cell>
          <cell r="D813" t="str">
            <v>03</v>
          </cell>
          <cell r="E813" t="str">
            <v>HUANCAVELICA</v>
          </cell>
          <cell r="F813" t="str">
            <v>ACOBAMBA</v>
          </cell>
          <cell r="G813" t="str">
            <v>ANTA</v>
          </cell>
          <cell r="H813" t="str">
            <v>010813</v>
          </cell>
          <cell r="I813" t="str">
            <v>2</v>
          </cell>
        </row>
        <row r="814">
          <cell r="A814" t="str">
            <v>HUANCAVELICAACOBAMBACAJA</v>
          </cell>
          <cell r="B814" t="str">
            <v>09</v>
          </cell>
          <cell r="C814" t="str">
            <v>02</v>
          </cell>
          <cell r="D814" t="str">
            <v>04</v>
          </cell>
          <cell r="E814" t="str">
            <v>HUANCAVELICA</v>
          </cell>
          <cell r="F814" t="str">
            <v>ACOBAMBA</v>
          </cell>
          <cell r="G814" t="str">
            <v>CAJA</v>
          </cell>
          <cell r="H814" t="str">
            <v>010814</v>
          </cell>
          <cell r="I814" t="str">
            <v>2</v>
          </cell>
        </row>
        <row r="815">
          <cell r="A815" t="str">
            <v>HUANCAVELICAACOBAMBAMARCAS</v>
          </cell>
          <cell r="B815" t="str">
            <v>09</v>
          </cell>
          <cell r="C815" t="str">
            <v>02</v>
          </cell>
          <cell r="D815" t="str">
            <v>05</v>
          </cell>
          <cell r="E815" t="str">
            <v>HUANCAVELICA</v>
          </cell>
          <cell r="F815" t="str">
            <v>ACOBAMBA</v>
          </cell>
          <cell r="G815" t="str">
            <v>MARCAS</v>
          </cell>
          <cell r="H815" t="str">
            <v>010815</v>
          </cell>
          <cell r="I815" t="str">
            <v>2</v>
          </cell>
        </row>
        <row r="816">
          <cell r="A816" t="str">
            <v>HUANCAVELICAACOBAMBAPAUCARA</v>
          </cell>
          <cell r="B816" t="str">
            <v>09</v>
          </cell>
          <cell r="C816" t="str">
            <v>02</v>
          </cell>
          <cell r="D816" t="str">
            <v>06</v>
          </cell>
          <cell r="E816" t="str">
            <v>HUANCAVELICA</v>
          </cell>
          <cell r="F816" t="str">
            <v>ACOBAMBA</v>
          </cell>
          <cell r="G816" t="str">
            <v>PAUCARA</v>
          </cell>
          <cell r="H816" t="str">
            <v>010816</v>
          </cell>
          <cell r="I816" t="str">
            <v>2</v>
          </cell>
        </row>
        <row r="817">
          <cell r="A817" t="str">
            <v>HUANCAVELICAACOBAMBAPOMACOCHA</v>
          </cell>
          <cell r="B817" t="str">
            <v>09</v>
          </cell>
          <cell r="C817" t="str">
            <v>02</v>
          </cell>
          <cell r="D817" t="str">
            <v>07</v>
          </cell>
          <cell r="E817" t="str">
            <v>HUANCAVELICA</v>
          </cell>
          <cell r="F817" t="str">
            <v>ACOBAMBA</v>
          </cell>
          <cell r="G817" t="str">
            <v>POMACOCHA</v>
          </cell>
          <cell r="H817" t="str">
            <v>010817</v>
          </cell>
          <cell r="I817" t="str">
            <v>2</v>
          </cell>
        </row>
        <row r="818">
          <cell r="A818" t="str">
            <v>HUANCAVELICAACOBAMBAROSARIO</v>
          </cell>
          <cell r="B818" t="str">
            <v>09</v>
          </cell>
          <cell r="C818" t="str">
            <v>02</v>
          </cell>
          <cell r="D818" t="str">
            <v>08</v>
          </cell>
          <cell r="E818" t="str">
            <v>HUANCAVELICA</v>
          </cell>
          <cell r="F818" t="str">
            <v>ACOBAMBA</v>
          </cell>
          <cell r="G818" t="str">
            <v>ROSARIO</v>
          </cell>
          <cell r="H818" t="str">
            <v>010818</v>
          </cell>
          <cell r="I818" t="str">
            <v>2</v>
          </cell>
        </row>
        <row r="819">
          <cell r="A819" t="str">
            <v>HUANCAVELICAANGARAESLIRCAY</v>
          </cell>
          <cell r="B819" t="str">
            <v>09</v>
          </cell>
          <cell r="C819" t="str">
            <v>03</v>
          </cell>
          <cell r="D819" t="str">
            <v>01</v>
          </cell>
          <cell r="E819" t="str">
            <v>HUANCAVELICA</v>
          </cell>
          <cell r="F819" t="str">
            <v>ANGARAES</v>
          </cell>
          <cell r="G819" t="str">
            <v>LIRCAY</v>
          </cell>
          <cell r="H819" t="str">
            <v>010819</v>
          </cell>
          <cell r="I819" t="str">
            <v>1</v>
          </cell>
        </row>
        <row r="820">
          <cell r="A820" t="str">
            <v>HUANCAVELICAANGARAESANCHONGA</v>
          </cell>
          <cell r="B820" t="str">
            <v>09</v>
          </cell>
          <cell r="C820" t="str">
            <v>03</v>
          </cell>
          <cell r="D820" t="str">
            <v>02</v>
          </cell>
          <cell r="E820" t="str">
            <v>HUANCAVELICA</v>
          </cell>
          <cell r="F820" t="str">
            <v>ANGARAES</v>
          </cell>
          <cell r="G820" t="str">
            <v>ANCHONGA</v>
          </cell>
          <cell r="H820" t="str">
            <v>010820</v>
          </cell>
          <cell r="I820" t="str">
            <v>2</v>
          </cell>
        </row>
        <row r="821">
          <cell r="A821" t="str">
            <v>HUANCAVELICAANGARAESCALLANMARCA</v>
          </cell>
          <cell r="B821" t="str">
            <v>09</v>
          </cell>
          <cell r="C821" t="str">
            <v>03</v>
          </cell>
          <cell r="D821" t="str">
            <v>03</v>
          </cell>
          <cell r="E821" t="str">
            <v>HUANCAVELICA</v>
          </cell>
          <cell r="F821" t="str">
            <v>ANGARAES</v>
          </cell>
          <cell r="G821" t="str">
            <v>CALLANMARCA</v>
          </cell>
          <cell r="H821" t="str">
            <v>010821</v>
          </cell>
          <cell r="I821" t="str">
            <v>2</v>
          </cell>
        </row>
        <row r="822">
          <cell r="A822" t="str">
            <v>HUANCAVELICAANGARAESCCOCHACCASA</v>
          </cell>
          <cell r="B822" t="str">
            <v>09</v>
          </cell>
          <cell r="C822" t="str">
            <v>03</v>
          </cell>
          <cell r="D822" t="str">
            <v>04</v>
          </cell>
          <cell r="E822" t="str">
            <v>HUANCAVELICA</v>
          </cell>
          <cell r="F822" t="str">
            <v>ANGARAES</v>
          </cell>
          <cell r="G822" t="str">
            <v>CCOCHACCASA</v>
          </cell>
          <cell r="H822" t="str">
            <v>010822</v>
          </cell>
          <cell r="I822" t="str">
            <v>2</v>
          </cell>
        </row>
        <row r="823">
          <cell r="A823" t="str">
            <v>HUANCAVELICAANGARAESCHINCHO</v>
          </cell>
          <cell r="B823" t="str">
            <v>09</v>
          </cell>
          <cell r="C823" t="str">
            <v>03</v>
          </cell>
          <cell r="D823" t="str">
            <v>05</v>
          </cell>
          <cell r="E823" t="str">
            <v>HUANCAVELICA</v>
          </cell>
          <cell r="F823" t="str">
            <v>ANGARAES</v>
          </cell>
          <cell r="G823" t="str">
            <v>CHINCHO</v>
          </cell>
          <cell r="H823" t="str">
            <v>010823</v>
          </cell>
          <cell r="I823" t="str">
            <v>2</v>
          </cell>
        </row>
        <row r="824">
          <cell r="A824" t="str">
            <v>HUANCAVELICAANGARAESCONGALLA</v>
          </cell>
          <cell r="B824" t="str">
            <v>09</v>
          </cell>
          <cell r="C824" t="str">
            <v>03</v>
          </cell>
          <cell r="D824" t="str">
            <v>06</v>
          </cell>
          <cell r="E824" t="str">
            <v>HUANCAVELICA</v>
          </cell>
          <cell r="F824" t="str">
            <v>ANGARAES</v>
          </cell>
          <cell r="G824" t="str">
            <v>CONGALLA</v>
          </cell>
          <cell r="H824" t="str">
            <v>010824</v>
          </cell>
          <cell r="I824" t="str">
            <v>2</v>
          </cell>
        </row>
        <row r="825">
          <cell r="A825" t="str">
            <v>HUANCAVELICAANGARAESHUANCA-HUANCA</v>
          </cell>
          <cell r="B825" t="str">
            <v>09</v>
          </cell>
          <cell r="C825" t="str">
            <v>03</v>
          </cell>
          <cell r="D825" t="str">
            <v>07</v>
          </cell>
          <cell r="E825" t="str">
            <v>HUANCAVELICA</v>
          </cell>
          <cell r="F825" t="str">
            <v>ANGARAES</v>
          </cell>
          <cell r="G825" t="str">
            <v>HUANCA-HUANCA</v>
          </cell>
          <cell r="H825" t="str">
            <v>012088</v>
          </cell>
          <cell r="I825" t="str">
            <v>2</v>
          </cell>
        </row>
        <row r="826">
          <cell r="A826" t="str">
            <v>HUANCAVELICAANGARAESHUAYLLAY GRANDE</v>
          </cell>
          <cell r="B826" t="str">
            <v>09</v>
          </cell>
          <cell r="C826" t="str">
            <v>03</v>
          </cell>
          <cell r="D826" t="str">
            <v>08</v>
          </cell>
          <cell r="E826" t="str">
            <v>HUANCAVELICA</v>
          </cell>
          <cell r="F826" t="str">
            <v>ANGARAES</v>
          </cell>
          <cell r="G826" t="str">
            <v>HUAYLLAY GRANDE</v>
          </cell>
          <cell r="H826" t="str">
            <v>010826</v>
          </cell>
          <cell r="I826" t="str">
            <v>2</v>
          </cell>
        </row>
        <row r="827">
          <cell r="A827" t="str">
            <v>HUANCAVELICAANGARAESJULCAMARCA</v>
          </cell>
          <cell r="B827" t="str">
            <v>09</v>
          </cell>
          <cell r="C827" t="str">
            <v>03</v>
          </cell>
          <cell r="D827" t="str">
            <v>09</v>
          </cell>
          <cell r="E827" t="str">
            <v>HUANCAVELICA</v>
          </cell>
          <cell r="F827" t="str">
            <v>ANGARAES</v>
          </cell>
          <cell r="G827" t="str">
            <v>JULCAMARCA</v>
          </cell>
          <cell r="H827" t="str">
            <v>010827</v>
          </cell>
          <cell r="I827" t="str">
            <v>2</v>
          </cell>
        </row>
        <row r="828">
          <cell r="A828" t="str">
            <v>HUANCAVELICAANGARAESSAN ANTONIO DE ANTAPARCO</v>
          </cell>
          <cell r="B828" t="str">
            <v>09</v>
          </cell>
          <cell r="C828" t="str">
            <v>03</v>
          </cell>
          <cell r="D828" t="str">
            <v>10</v>
          </cell>
          <cell r="E828" t="str">
            <v>HUANCAVELICA</v>
          </cell>
          <cell r="F828" t="str">
            <v>ANGARAES</v>
          </cell>
          <cell r="G828" t="str">
            <v>SAN ANTONIO DE ANTAPARCO</v>
          </cell>
          <cell r="H828" t="str">
            <v>010828</v>
          </cell>
          <cell r="I828" t="str">
            <v>2</v>
          </cell>
        </row>
        <row r="829">
          <cell r="A829" t="str">
            <v>HUANCAVELICAANGARAESSANTO TOMAS DE PATA</v>
          </cell>
          <cell r="B829" t="str">
            <v>09</v>
          </cell>
          <cell r="C829" t="str">
            <v>03</v>
          </cell>
          <cell r="D829" t="str">
            <v>11</v>
          </cell>
          <cell r="E829" t="str">
            <v>HUANCAVELICA</v>
          </cell>
          <cell r="F829" t="str">
            <v>ANGARAES</v>
          </cell>
          <cell r="G829" t="str">
            <v>SANTO TOMAS DE PATA</v>
          </cell>
          <cell r="H829" t="str">
            <v>010829</v>
          </cell>
          <cell r="I829" t="str">
            <v>2</v>
          </cell>
        </row>
        <row r="830">
          <cell r="A830" t="str">
            <v>HUANCAVELICAANGARAESSECCLLA</v>
          </cell>
          <cell r="B830" t="str">
            <v>09</v>
          </cell>
          <cell r="C830" t="str">
            <v>03</v>
          </cell>
          <cell r="D830" t="str">
            <v>12</v>
          </cell>
          <cell r="E830" t="str">
            <v>HUANCAVELICA</v>
          </cell>
          <cell r="F830" t="str">
            <v>ANGARAES</v>
          </cell>
          <cell r="G830" t="str">
            <v>SECCLLA</v>
          </cell>
          <cell r="H830" t="str">
            <v>010830</v>
          </cell>
          <cell r="I830" t="str">
            <v>2</v>
          </cell>
        </row>
        <row r="831">
          <cell r="A831" t="str">
            <v>HUANCAVELICACASTROVIRREYNACASTROVIRREYNA</v>
          </cell>
          <cell r="B831" t="str">
            <v>09</v>
          </cell>
          <cell r="C831" t="str">
            <v>04</v>
          </cell>
          <cell r="D831" t="str">
            <v>01</v>
          </cell>
          <cell r="E831" t="str">
            <v>HUANCAVELICA</v>
          </cell>
          <cell r="F831" t="str">
            <v>CASTROVIRREYNA</v>
          </cell>
          <cell r="G831" t="str">
            <v>CASTROVIRREYNA</v>
          </cell>
          <cell r="H831" t="str">
            <v>010873</v>
          </cell>
          <cell r="I831" t="str">
            <v>1</v>
          </cell>
        </row>
        <row r="832">
          <cell r="A832" t="str">
            <v>HUANCAVELICACASTROVIRREYNAARMA</v>
          </cell>
          <cell r="B832" t="str">
            <v>09</v>
          </cell>
          <cell r="C832" t="str">
            <v>04</v>
          </cell>
          <cell r="D832" t="str">
            <v>02</v>
          </cell>
          <cell r="E832" t="str">
            <v>HUANCAVELICA</v>
          </cell>
          <cell r="F832" t="str">
            <v>CASTROVIRREYNA</v>
          </cell>
          <cell r="G832" t="str">
            <v>ARMA</v>
          </cell>
          <cell r="H832" t="str">
            <v>010879</v>
          </cell>
          <cell r="I832" t="str">
            <v>2</v>
          </cell>
        </row>
        <row r="833">
          <cell r="A833" t="str">
            <v>HUANCAVELICACASTROVIRREYNAAURAHUA</v>
          </cell>
          <cell r="B833" t="str">
            <v>09</v>
          </cell>
          <cell r="C833" t="str">
            <v>04</v>
          </cell>
          <cell r="D833" t="str">
            <v>03</v>
          </cell>
          <cell r="E833" t="str">
            <v>HUANCAVELICA</v>
          </cell>
          <cell r="F833" t="str">
            <v>CASTROVIRREYNA</v>
          </cell>
          <cell r="G833" t="str">
            <v>AURAHUA</v>
          </cell>
          <cell r="H833" t="str">
            <v>010880</v>
          </cell>
          <cell r="I833" t="str">
            <v>2</v>
          </cell>
        </row>
        <row r="834">
          <cell r="A834" t="str">
            <v>HUANCAVELICACASTROVIRREYNACAPILLAS</v>
          </cell>
          <cell r="B834" t="str">
            <v>09</v>
          </cell>
          <cell r="C834" t="str">
            <v>04</v>
          </cell>
          <cell r="D834" t="str">
            <v>04</v>
          </cell>
          <cell r="E834" t="str">
            <v>HUANCAVELICA</v>
          </cell>
          <cell r="F834" t="str">
            <v>CASTROVIRREYNA</v>
          </cell>
          <cell r="G834" t="str">
            <v>CAPILLAS</v>
          </cell>
          <cell r="H834" t="str">
            <v>012539</v>
          </cell>
          <cell r="I834" t="str">
            <v>2</v>
          </cell>
        </row>
        <row r="835">
          <cell r="A835" t="str">
            <v>HUANCAVELICACASTROVIRREYNACHUPAMARCA</v>
          </cell>
          <cell r="B835" t="str">
            <v>09</v>
          </cell>
          <cell r="C835" t="str">
            <v>04</v>
          </cell>
          <cell r="D835" t="str">
            <v>05</v>
          </cell>
          <cell r="E835" t="str">
            <v>HUANCAVELICA</v>
          </cell>
          <cell r="F835" t="str">
            <v>CASTROVIRREYNA</v>
          </cell>
          <cell r="G835" t="str">
            <v>CHUPAMARCA</v>
          </cell>
          <cell r="H835" t="str">
            <v>012602</v>
          </cell>
          <cell r="I835" t="str">
            <v>2</v>
          </cell>
        </row>
        <row r="836">
          <cell r="A836" t="str">
            <v>HUANCAVELICACASTROVIRREYNACOCAS</v>
          </cell>
          <cell r="B836" t="str">
            <v>09</v>
          </cell>
          <cell r="C836" t="str">
            <v>04</v>
          </cell>
          <cell r="D836" t="str">
            <v>06</v>
          </cell>
          <cell r="E836" t="str">
            <v>HUANCAVELICA</v>
          </cell>
          <cell r="F836" t="str">
            <v>CASTROVIRREYNA</v>
          </cell>
          <cell r="G836" t="str">
            <v>COCAS</v>
          </cell>
          <cell r="H836" t="str">
            <v>012607</v>
          </cell>
          <cell r="I836" t="str">
            <v>2</v>
          </cell>
        </row>
        <row r="837">
          <cell r="A837" t="str">
            <v>HUANCAVELICACASTROVIRREYNAHUACHOS</v>
          </cell>
          <cell r="B837" t="str">
            <v>09</v>
          </cell>
          <cell r="C837" t="str">
            <v>04</v>
          </cell>
          <cell r="D837" t="str">
            <v>07</v>
          </cell>
          <cell r="E837" t="str">
            <v>HUANCAVELICA</v>
          </cell>
          <cell r="F837" t="str">
            <v>CASTROVIRREYNA</v>
          </cell>
          <cell r="G837" t="str">
            <v>HUACHOS</v>
          </cell>
          <cell r="H837" t="str">
            <v>012603</v>
          </cell>
          <cell r="I837" t="str">
            <v>2</v>
          </cell>
        </row>
        <row r="838">
          <cell r="A838" t="str">
            <v>HUANCAVELICACASTROVIRREYNAHUAMATAMBO</v>
          </cell>
          <cell r="B838" t="str">
            <v>09</v>
          </cell>
          <cell r="C838" t="str">
            <v>04</v>
          </cell>
          <cell r="D838" t="str">
            <v>08</v>
          </cell>
          <cell r="E838" t="str">
            <v>HUANCAVELICA</v>
          </cell>
          <cell r="F838" t="str">
            <v>CASTROVIRREYNA</v>
          </cell>
          <cell r="G838" t="str">
            <v>HUAMATAMBO</v>
          </cell>
          <cell r="H838" t="str">
            <v>010883</v>
          </cell>
          <cell r="I838" t="str">
            <v>2</v>
          </cell>
        </row>
        <row r="839">
          <cell r="A839" t="str">
            <v>HUANCAVELICACASTROVIRREYNAMOLLEPAMPA</v>
          </cell>
          <cell r="B839" t="str">
            <v>09</v>
          </cell>
          <cell r="C839" t="str">
            <v>04</v>
          </cell>
          <cell r="D839" t="str">
            <v>09</v>
          </cell>
          <cell r="E839" t="str">
            <v>HUANCAVELICA</v>
          </cell>
          <cell r="F839" t="str">
            <v>CASTROVIRREYNA</v>
          </cell>
          <cell r="G839" t="str">
            <v>MOLLEPAMPA</v>
          </cell>
          <cell r="H839" t="str">
            <v>010876</v>
          </cell>
          <cell r="I839" t="str">
            <v>2</v>
          </cell>
        </row>
        <row r="840">
          <cell r="A840" t="str">
            <v>HUANCAVELICACASTROVIRREYNASAN JUAN</v>
          </cell>
          <cell r="B840" t="str">
            <v>09</v>
          </cell>
          <cell r="C840" t="str">
            <v>04</v>
          </cell>
          <cell r="D840" t="str">
            <v>10</v>
          </cell>
          <cell r="E840" t="str">
            <v>HUANCAVELICA</v>
          </cell>
          <cell r="F840" t="str">
            <v>CASTROVIRREYNA</v>
          </cell>
          <cell r="G840" t="str">
            <v>SAN JUAN</v>
          </cell>
          <cell r="H840" t="str">
            <v>012604</v>
          </cell>
          <cell r="I840" t="str">
            <v>2</v>
          </cell>
        </row>
        <row r="841">
          <cell r="A841" t="str">
            <v>HUANCAVELICACASTROVIRREYNASANTA ANA</v>
          </cell>
          <cell r="B841" t="str">
            <v>09</v>
          </cell>
          <cell r="C841" t="str">
            <v>04</v>
          </cell>
          <cell r="D841" t="str">
            <v>11</v>
          </cell>
          <cell r="E841" t="str">
            <v>HUANCAVELICA</v>
          </cell>
          <cell r="F841" t="str">
            <v>CASTROVIRREYNA</v>
          </cell>
          <cell r="G841" t="str">
            <v>SANTA ANA</v>
          </cell>
          <cell r="H841" t="str">
            <v>010877</v>
          </cell>
          <cell r="I841" t="str">
            <v>2</v>
          </cell>
        </row>
        <row r="842">
          <cell r="A842" t="str">
            <v>HUANCAVELICACASTROVIRREYNATANTARA</v>
          </cell>
          <cell r="B842" t="str">
            <v>09</v>
          </cell>
          <cell r="C842" t="str">
            <v>04</v>
          </cell>
          <cell r="D842" t="str">
            <v>12</v>
          </cell>
          <cell r="E842" t="str">
            <v>HUANCAVELICA</v>
          </cell>
          <cell r="F842" t="str">
            <v>CASTROVIRREYNA</v>
          </cell>
          <cell r="G842" t="str">
            <v>TANTARA</v>
          </cell>
          <cell r="H842" t="str">
            <v>010885</v>
          </cell>
          <cell r="I842" t="str">
            <v>2</v>
          </cell>
        </row>
        <row r="843">
          <cell r="A843" t="str">
            <v>HUANCAVELICACASTROVIRREYNATICRAPO</v>
          </cell>
          <cell r="B843" t="str">
            <v>09</v>
          </cell>
          <cell r="C843" t="str">
            <v>04</v>
          </cell>
          <cell r="D843" t="str">
            <v>13</v>
          </cell>
          <cell r="E843" t="str">
            <v>HUANCAVELICA</v>
          </cell>
          <cell r="F843" t="str">
            <v>CASTROVIRREYNA</v>
          </cell>
          <cell r="G843" t="str">
            <v>TICRAPO</v>
          </cell>
          <cell r="H843" t="str">
            <v>010878</v>
          </cell>
          <cell r="I843" t="str">
            <v>2</v>
          </cell>
        </row>
        <row r="844">
          <cell r="A844" t="str">
            <v>HUANCAVELICACHURCAMPACHURCAMPA</v>
          </cell>
          <cell r="B844" t="str">
            <v>09</v>
          </cell>
          <cell r="C844" t="str">
            <v>05</v>
          </cell>
          <cell r="D844" t="str">
            <v>01</v>
          </cell>
          <cell r="E844" t="str">
            <v>HUANCAVELICA</v>
          </cell>
          <cell r="F844" t="str">
            <v>CHURCAMPA</v>
          </cell>
          <cell r="G844" t="str">
            <v>CHURCAMPA</v>
          </cell>
          <cell r="H844" t="str">
            <v>010831</v>
          </cell>
          <cell r="I844" t="str">
            <v>1</v>
          </cell>
        </row>
        <row r="845">
          <cell r="A845" t="str">
            <v>HUANCAVELICACHURCAMPAANCO</v>
          </cell>
          <cell r="B845" t="str">
            <v>09</v>
          </cell>
          <cell r="C845" t="str">
            <v>05</v>
          </cell>
          <cell r="D845" t="str">
            <v>02</v>
          </cell>
          <cell r="E845" t="str">
            <v>HUANCAVELICA</v>
          </cell>
          <cell r="F845" t="str">
            <v>CHURCAMPA</v>
          </cell>
          <cell r="G845" t="str">
            <v>ANCO</v>
          </cell>
          <cell r="H845" t="str">
            <v>010832</v>
          </cell>
          <cell r="I845" t="str">
            <v>2</v>
          </cell>
        </row>
        <row r="846">
          <cell r="A846" t="str">
            <v>HUANCAVELICACHURCAMPACHINCHIHUASI</v>
          </cell>
          <cell r="B846" t="str">
            <v>09</v>
          </cell>
          <cell r="C846" t="str">
            <v>05</v>
          </cell>
          <cell r="D846" t="str">
            <v>03</v>
          </cell>
          <cell r="E846" t="str">
            <v>HUANCAVELICA</v>
          </cell>
          <cell r="F846" t="str">
            <v>CHURCAMPA</v>
          </cell>
          <cell r="G846" t="str">
            <v>CHINCHIHUASI</v>
          </cell>
          <cell r="H846" t="str">
            <v>010833</v>
          </cell>
          <cell r="I846" t="str">
            <v>2</v>
          </cell>
        </row>
        <row r="847">
          <cell r="A847" t="str">
            <v>HUANCAVELICACHURCAMPAEL CARMEN</v>
          </cell>
          <cell r="B847" t="str">
            <v>09</v>
          </cell>
          <cell r="C847" t="str">
            <v>05</v>
          </cell>
          <cell r="D847" t="str">
            <v>04</v>
          </cell>
          <cell r="E847" t="str">
            <v>HUANCAVELICA</v>
          </cell>
          <cell r="F847" t="str">
            <v>CHURCAMPA</v>
          </cell>
          <cell r="G847" t="str">
            <v>EL CARMEN</v>
          </cell>
          <cell r="H847" t="str">
            <v>010834</v>
          </cell>
          <cell r="I847" t="str">
            <v>2</v>
          </cell>
        </row>
        <row r="848">
          <cell r="A848" t="str">
            <v>HUANCAVELICACHURCAMPALA MERCED</v>
          </cell>
          <cell r="B848" t="str">
            <v>09</v>
          </cell>
          <cell r="C848" t="str">
            <v>05</v>
          </cell>
          <cell r="D848" t="str">
            <v>05</v>
          </cell>
          <cell r="E848" t="str">
            <v>HUANCAVELICA</v>
          </cell>
          <cell r="F848" t="str">
            <v>CHURCAMPA</v>
          </cell>
          <cell r="G848" t="str">
            <v>LA MERCED</v>
          </cell>
          <cell r="H848" t="str">
            <v>010835</v>
          </cell>
          <cell r="I848" t="str">
            <v>2</v>
          </cell>
        </row>
        <row r="849">
          <cell r="A849" t="str">
            <v>HUANCAVELICACHURCAMPALOCROJA</v>
          </cell>
          <cell r="B849" t="str">
            <v>09</v>
          </cell>
          <cell r="C849" t="str">
            <v>05</v>
          </cell>
          <cell r="D849" t="str">
            <v>06</v>
          </cell>
          <cell r="E849" t="str">
            <v>HUANCAVELICA</v>
          </cell>
          <cell r="F849" t="str">
            <v>CHURCAMPA</v>
          </cell>
          <cell r="G849" t="str">
            <v>LOCROJA</v>
          </cell>
          <cell r="H849" t="str">
            <v>010836</v>
          </cell>
          <cell r="I849" t="str">
            <v>2</v>
          </cell>
        </row>
        <row r="850">
          <cell r="A850" t="str">
            <v>HUANCAVELICACHURCAMPAPAUCARBAMBA</v>
          </cell>
          <cell r="B850" t="str">
            <v>09</v>
          </cell>
          <cell r="C850" t="str">
            <v>05</v>
          </cell>
          <cell r="D850" t="str">
            <v>07</v>
          </cell>
          <cell r="E850" t="str">
            <v>HUANCAVELICA</v>
          </cell>
          <cell r="F850" t="str">
            <v>CHURCAMPA</v>
          </cell>
          <cell r="G850" t="str">
            <v>PAUCARBAMBA</v>
          </cell>
          <cell r="H850" t="str">
            <v>010837</v>
          </cell>
          <cell r="I850" t="str">
            <v>2</v>
          </cell>
        </row>
        <row r="851">
          <cell r="A851" t="str">
            <v>HUANCAVELICACHURCAMPASAN MIGUEL DE MAYOCC</v>
          </cell>
          <cell r="B851" t="str">
            <v>09</v>
          </cell>
          <cell r="C851" t="str">
            <v>05</v>
          </cell>
          <cell r="D851" t="str">
            <v>08</v>
          </cell>
          <cell r="E851" t="str">
            <v>HUANCAVELICA</v>
          </cell>
          <cell r="F851" t="str">
            <v>CHURCAMPA</v>
          </cell>
          <cell r="G851" t="str">
            <v>SAN MIGUEL DE MAYOCC</v>
          </cell>
          <cell r="H851" t="str">
            <v>010838</v>
          </cell>
          <cell r="I851" t="str">
            <v>2</v>
          </cell>
        </row>
        <row r="852">
          <cell r="A852" t="str">
            <v>HUANCAVELICACHURCAMPASAN PEDRO DE CORIS</v>
          </cell>
          <cell r="B852" t="str">
            <v>09</v>
          </cell>
          <cell r="C852" t="str">
            <v>05</v>
          </cell>
          <cell r="D852" t="str">
            <v>09</v>
          </cell>
          <cell r="E852" t="str">
            <v>HUANCAVELICA</v>
          </cell>
          <cell r="F852" t="str">
            <v>CHURCAMPA</v>
          </cell>
          <cell r="G852" t="str">
            <v>SAN PEDRO DE CORIS</v>
          </cell>
          <cell r="H852" t="str">
            <v>010839</v>
          </cell>
          <cell r="I852" t="str">
            <v>2</v>
          </cell>
        </row>
        <row r="853">
          <cell r="A853" t="str">
            <v>HUANCAVELICACHURCAMPAPACHAMARCA</v>
          </cell>
          <cell r="B853" t="str">
            <v>09</v>
          </cell>
          <cell r="C853" t="str">
            <v>05</v>
          </cell>
          <cell r="D853" t="str">
            <v>10</v>
          </cell>
          <cell r="E853" t="str">
            <v>HUANCAVELICA</v>
          </cell>
          <cell r="F853" t="str">
            <v>CHURCAMPA</v>
          </cell>
          <cell r="G853" t="str">
            <v>PACHAMARCA</v>
          </cell>
          <cell r="H853" t="str">
            <v>010840</v>
          </cell>
          <cell r="I853" t="str">
            <v>2</v>
          </cell>
        </row>
        <row r="854">
          <cell r="A854" t="str">
            <v>HUANCAVELICAHUAYTARAHUAYTARA</v>
          </cell>
          <cell r="B854" t="str">
            <v>09</v>
          </cell>
          <cell r="C854" t="str">
            <v>06</v>
          </cell>
          <cell r="D854" t="str">
            <v>01</v>
          </cell>
          <cell r="E854" t="str">
            <v>HUANCAVELICA</v>
          </cell>
          <cell r="F854" t="str">
            <v>HUAYTARA</v>
          </cell>
          <cell r="G854" t="str">
            <v>HUAYTARA</v>
          </cell>
          <cell r="H854" t="str">
            <v>010857</v>
          </cell>
          <cell r="I854" t="str">
            <v>1</v>
          </cell>
        </row>
        <row r="855">
          <cell r="A855" t="str">
            <v>HUANCAVELICAHUAYTARAAYAVI</v>
          </cell>
          <cell r="B855" t="str">
            <v>09</v>
          </cell>
          <cell r="C855" t="str">
            <v>06</v>
          </cell>
          <cell r="D855" t="str">
            <v>02</v>
          </cell>
          <cell r="E855" t="str">
            <v>HUANCAVELICA</v>
          </cell>
          <cell r="F855" t="str">
            <v>HUAYTARA</v>
          </cell>
          <cell r="G855" t="str">
            <v>AYAVI</v>
          </cell>
          <cell r="H855" t="str">
            <v>010858</v>
          </cell>
          <cell r="I855" t="str">
            <v>2</v>
          </cell>
        </row>
        <row r="856">
          <cell r="A856" t="str">
            <v>HUANCAVELICAHUAYTARACORDOVA</v>
          </cell>
          <cell r="B856" t="str">
            <v>09</v>
          </cell>
          <cell r="C856" t="str">
            <v>06</v>
          </cell>
          <cell r="D856" t="str">
            <v>03</v>
          </cell>
          <cell r="E856" t="str">
            <v>HUANCAVELICA</v>
          </cell>
          <cell r="F856" t="str">
            <v>HUAYTARA</v>
          </cell>
          <cell r="G856" t="str">
            <v>CORDOVA</v>
          </cell>
          <cell r="H856" t="str">
            <v>010864</v>
          </cell>
          <cell r="I856" t="str">
            <v>2</v>
          </cell>
        </row>
        <row r="857">
          <cell r="A857" t="str">
            <v>HUANCAVELICAHUAYTARAHUAYACUNDO ARMA</v>
          </cell>
          <cell r="B857" t="str">
            <v>09</v>
          </cell>
          <cell r="C857" t="str">
            <v>06</v>
          </cell>
          <cell r="D857" t="str">
            <v>04</v>
          </cell>
          <cell r="E857" t="str">
            <v>HUANCAVELICA</v>
          </cell>
          <cell r="F857" t="str">
            <v>HUAYTARA</v>
          </cell>
          <cell r="G857" t="str">
            <v>HUAYACUNDO ARMA</v>
          </cell>
          <cell r="H857" t="str">
            <v>010859</v>
          </cell>
          <cell r="I857" t="str">
            <v>2</v>
          </cell>
        </row>
        <row r="858">
          <cell r="A858" t="str">
            <v>HUANCAVELICAHUAYTARALARAMARCA</v>
          </cell>
          <cell r="B858" t="str">
            <v>09</v>
          </cell>
          <cell r="C858" t="str">
            <v>06</v>
          </cell>
          <cell r="D858" t="str">
            <v>05</v>
          </cell>
          <cell r="E858" t="str">
            <v>HUANCAVELICA</v>
          </cell>
          <cell r="F858" t="str">
            <v>HUAYTARA</v>
          </cell>
          <cell r="G858" t="str">
            <v>LARAMARCA</v>
          </cell>
          <cell r="H858" t="str">
            <v>010865</v>
          </cell>
          <cell r="I858" t="str">
            <v>2</v>
          </cell>
        </row>
        <row r="859">
          <cell r="A859" t="str">
            <v>HUANCAVELICAHUAYTARAOCOYO</v>
          </cell>
          <cell r="B859" t="str">
            <v>09</v>
          </cell>
          <cell r="C859" t="str">
            <v>06</v>
          </cell>
          <cell r="D859" t="str">
            <v>06</v>
          </cell>
          <cell r="E859" t="str">
            <v>HUANCAVELICA</v>
          </cell>
          <cell r="F859" t="str">
            <v>HUAYTARA</v>
          </cell>
          <cell r="G859" t="str">
            <v>OCOYO</v>
          </cell>
          <cell r="H859" t="str">
            <v>010866</v>
          </cell>
          <cell r="I859" t="str">
            <v>2</v>
          </cell>
        </row>
        <row r="860">
          <cell r="A860" t="str">
            <v>HUANCAVELICAHUAYTARAPILPICHACA</v>
          </cell>
          <cell r="B860" t="str">
            <v>09</v>
          </cell>
          <cell r="C860" t="str">
            <v>06</v>
          </cell>
          <cell r="D860" t="str">
            <v>07</v>
          </cell>
          <cell r="E860" t="str">
            <v>HUANCAVELICA</v>
          </cell>
          <cell r="F860" t="str">
            <v>HUAYTARA</v>
          </cell>
          <cell r="G860" t="str">
            <v>PILPICHACA</v>
          </cell>
          <cell r="H860" t="str">
            <v>012087</v>
          </cell>
          <cell r="I860" t="str">
            <v>2</v>
          </cell>
        </row>
        <row r="861">
          <cell r="A861" t="str">
            <v>HUANCAVELICAHUAYTARAQUERCO</v>
          </cell>
          <cell r="B861" t="str">
            <v>09</v>
          </cell>
          <cell r="C861" t="str">
            <v>06</v>
          </cell>
          <cell r="D861" t="str">
            <v>08</v>
          </cell>
          <cell r="E861" t="str">
            <v>HUANCAVELICA</v>
          </cell>
          <cell r="F861" t="str">
            <v>HUAYTARA</v>
          </cell>
          <cell r="G861" t="str">
            <v>QUERCO</v>
          </cell>
          <cell r="H861" t="str">
            <v>010867</v>
          </cell>
          <cell r="I861" t="str">
            <v>2</v>
          </cell>
        </row>
        <row r="862">
          <cell r="A862" t="str">
            <v>HUANCAVELICAHUAYTARAQUITO-ARMA</v>
          </cell>
          <cell r="B862" t="str">
            <v>09</v>
          </cell>
          <cell r="C862" t="str">
            <v>06</v>
          </cell>
          <cell r="D862" t="str">
            <v>09</v>
          </cell>
          <cell r="E862" t="str">
            <v>HUANCAVELICA</v>
          </cell>
          <cell r="F862" t="str">
            <v>HUAYTARA</v>
          </cell>
          <cell r="G862" t="str">
            <v>QUITO-ARMA</v>
          </cell>
          <cell r="H862" t="str">
            <v>010861</v>
          </cell>
          <cell r="I862" t="str">
            <v>2</v>
          </cell>
        </row>
        <row r="863">
          <cell r="A863" t="str">
            <v>HUANCAVELICAHUAYTARASAN ANTONIO DE CUSICANCHA</v>
          </cell>
          <cell r="B863" t="str">
            <v>09</v>
          </cell>
          <cell r="C863" t="str">
            <v>06</v>
          </cell>
          <cell r="D863" t="str">
            <v>10</v>
          </cell>
          <cell r="E863" t="str">
            <v>HUANCAVELICA</v>
          </cell>
          <cell r="F863" t="str">
            <v>HUAYTARA</v>
          </cell>
          <cell r="G863" t="str">
            <v>SAN ANTONIO DE CUSICANCHA</v>
          </cell>
          <cell r="H863" t="str">
            <v>010862</v>
          </cell>
          <cell r="I863" t="str">
            <v>2</v>
          </cell>
        </row>
        <row r="864">
          <cell r="A864" t="str">
            <v>HUANCAVELICAHUAYTARASAN FRANCISCO DE SANGAYAICO</v>
          </cell>
          <cell r="B864" t="str">
            <v>09</v>
          </cell>
          <cell r="C864" t="str">
            <v>06</v>
          </cell>
          <cell r="D864" t="str">
            <v>11</v>
          </cell>
          <cell r="E864" t="str">
            <v>HUANCAVELICA</v>
          </cell>
          <cell r="F864" t="str">
            <v>HUAYTARA</v>
          </cell>
          <cell r="G864" t="str">
            <v>SAN FRANCISCO DE SANGAYAICO</v>
          </cell>
          <cell r="H864" t="str">
            <v>012086</v>
          </cell>
          <cell r="I864" t="str">
            <v>2</v>
          </cell>
        </row>
        <row r="865">
          <cell r="A865" t="str">
            <v>HUANCAVELICAHUAYTARASAN ISIDRO</v>
          </cell>
          <cell r="B865" t="str">
            <v>09</v>
          </cell>
          <cell r="C865" t="str">
            <v>06</v>
          </cell>
          <cell r="D865" t="str">
            <v>12</v>
          </cell>
          <cell r="E865" t="str">
            <v>HUANCAVELICA</v>
          </cell>
          <cell r="F865" t="str">
            <v>HUAYTARA</v>
          </cell>
          <cell r="G865" t="str">
            <v>SAN ISIDRO</v>
          </cell>
          <cell r="H865" t="str">
            <v>012083</v>
          </cell>
          <cell r="I865" t="str">
            <v>2</v>
          </cell>
        </row>
        <row r="866">
          <cell r="A866" t="str">
            <v>HUANCAVELICAHUAYTARASANTIAGO DE CHOCORVOS</v>
          </cell>
          <cell r="B866" t="str">
            <v>09</v>
          </cell>
          <cell r="C866" t="str">
            <v>06</v>
          </cell>
          <cell r="D866" t="str">
            <v>13</v>
          </cell>
          <cell r="E866" t="str">
            <v>HUANCAVELICA</v>
          </cell>
          <cell r="F866" t="str">
            <v>HUAYTARA</v>
          </cell>
          <cell r="G866" t="str">
            <v>SANTIAGO DE CHOCORVOS</v>
          </cell>
          <cell r="H866" t="str">
            <v>010870</v>
          </cell>
          <cell r="I866" t="str">
            <v>2</v>
          </cell>
        </row>
        <row r="867">
          <cell r="A867" t="str">
            <v>HUANCAVELICAHUAYTARASANTIAGO DE QUIRAHUARA</v>
          </cell>
          <cell r="B867" t="str">
            <v>09</v>
          </cell>
          <cell r="C867" t="str">
            <v>06</v>
          </cell>
          <cell r="D867" t="str">
            <v>14</v>
          </cell>
          <cell r="E867" t="str">
            <v>HUANCAVELICA</v>
          </cell>
          <cell r="F867" t="str">
            <v>HUAYTARA</v>
          </cell>
          <cell r="G867" t="str">
            <v>SANTIAGO DE QUIRAHUARA</v>
          </cell>
          <cell r="H867" t="str">
            <v>012612</v>
          </cell>
          <cell r="I867" t="str">
            <v>2</v>
          </cell>
        </row>
        <row r="868">
          <cell r="A868" t="str">
            <v>HUANCAVELICAHUAYTARASANTO DOMINGO DE CAPILLAS</v>
          </cell>
          <cell r="B868" t="str">
            <v>09</v>
          </cell>
          <cell r="C868" t="str">
            <v>06</v>
          </cell>
          <cell r="D868" t="str">
            <v>15</v>
          </cell>
          <cell r="E868" t="str">
            <v>HUANCAVELICA</v>
          </cell>
          <cell r="F868" t="str">
            <v>HUAYTARA</v>
          </cell>
          <cell r="G868" t="str">
            <v>SANTO DOMINGO DE CAPILLAS</v>
          </cell>
          <cell r="H868" t="str">
            <v>012085</v>
          </cell>
          <cell r="I868" t="str">
            <v>2</v>
          </cell>
        </row>
        <row r="869">
          <cell r="A869" t="str">
            <v>HUANCAVELICAHUAYTARATAMBO</v>
          </cell>
          <cell r="B869" t="str">
            <v>09</v>
          </cell>
          <cell r="C869" t="str">
            <v>06</v>
          </cell>
          <cell r="D869" t="str">
            <v>16</v>
          </cell>
          <cell r="E869" t="str">
            <v>HUANCAVELICA</v>
          </cell>
          <cell r="F869" t="str">
            <v>HUAYTARA</v>
          </cell>
          <cell r="G869" t="str">
            <v>TAMBO</v>
          </cell>
          <cell r="H869" t="str">
            <v>012609</v>
          </cell>
          <cell r="I869" t="str">
            <v>2</v>
          </cell>
        </row>
        <row r="870">
          <cell r="A870" t="str">
            <v>HUANCAVELICATAYACAJAPAMPAS</v>
          </cell>
          <cell r="B870" t="str">
            <v>09</v>
          </cell>
          <cell r="C870" t="str">
            <v>07</v>
          </cell>
          <cell r="D870" t="str">
            <v>01</v>
          </cell>
          <cell r="E870" t="str">
            <v>HUANCAVELICA</v>
          </cell>
          <cell r="F870" t="str">
            <v>TAYACAJA</v>
          </cell>
          <cell r="G870" t="str">
            <v>PAMPAS</v>
          </cell>
          <cell r="H870" t="str">
            <v>010841</v>
          </cell>
          <cell r="I870" t="str">
            <v>1</v>
          </cell>
        </row>
        <row r="871">
          <cell r="A871" t="str">
            <v>HUANCAVELICATAYACAJAACOSTAMBO</v>
          </cell>
          <cell r="B871" t="str">
            <v>09</v>
          </cell>
          <cell r="C871" t="str">
            <v>07</v>
          </cell>
          <cell r="D871" t="str">
            <v>02</v>
          </cell>
          <cell r="E871" t="str">
            <v>HUANCAVELICA</v>
          </cell>
          <cell r="F871" t="str">
            <v>TAYACAJA</v>
          </cell>
          <cell r="G871" t="str">
            <v>ACOSTAMBO</v>
          </cell>
          <cell r="H871" t="str">
            <v>010848</v>
          </cell>
          <cell r="I871" t="str">
            <v>2</v>
          </cell>
        </row>
        <row r="872">
          <cell r="A872" t="str">
            <v>HUANCAVELICATAYACAJAACRAQUIA</v>
          </cell>
          <cell r="B872" t="str">
            <v>09</v>
          </cell>
          <cell r="C872" t="str">
            <v>07</v>
          </cell>
          <cell r="D872" t="str">
            <v>03</v>
          </cell>
          <cell r="E872" t="str">
            <v>HUANCAVELICA</v>
          </cell>
          <cell r="F872" t="str">
            <v>TAYACAJA</v>
          </cell>
          <cell r="G872" t="str">
            <v>ACRAQUIA</v>
          </cell>
          <cell r="H872" t="str">
            <v>010842</v>
          </cell>
          <cell r="I872" t="str">
            <v>2</v>
          </cell>
        </row>
        <row r="873">
          <cell r="A873" t="str">
            <v>HUANCAVELICATAYACAJAAHUAYCHA</v>
          </cell>
          <cell r="B873" t="str">
            <v>09</v>
          </cell>
          <cell r="C873" t="str">
            <v>07</v>
          </cell>
          <cell r="D873" t="str">
            <v>04</v>
          </cell>
          <cell r="E873" t="str">
            <v>HUANCAVELICA</v>
          </cell>
          <cell r="F873" t="str">
            <v>TAYACAJA</v>
          </cell>
          <cell r="G873" t="str">
            <v>AHUAYCHA</v>
          </cell>
          <cell r="H873" t="str">
            <v>010843</v>
          </cell>
          <cell r="I873" t="str">
            <v>2</v>
          </cell>
        </row>
        <row r="874">
          <cell r="A874" t="str">
            <v>HUANCAVELICATAYACAJACOLCABAMBA</v>
          </cell>
          <cell r="B874" t="str">
            <v>09</v>
          </cell>
          <cell r="C874" t="str">
            <v>07</v>
          </cell>
          <cell r="D874" t="str">
            <v>05</v>
          </cell>
          <cell r="E874" t="str">
            <v>HUANCAVELICA</v>
          </cell>
          <cell r="F874" t="str">
            <v>TAYACAJA</v>
          </cell>
          <cell r="G874" t="str">
            <v>COLCABAMBA</v>
          </cell>
          <cell r="H874" t="str">
            <v>010844</v>
          </cell>
          <cell r="I874" t="str">
            <v>2</v>
          </cell>
        </row>
        <row r="875">
          <cell r="A875" t="str">
            <v>HUANCAVELICATAYACAJADANIEL HERNANDEZ</v>
          </cell>
          <cell r="B875" t="str">
            <v>09</v>
          </cell>
          <cell r="C875" t="str">
            <v>07</v>
          </cell>
          <cell r="D875" t="str">
            <v>06</v>
          </cell>
          <cell r="E875" t="str">
            <v>HUANCAVELICA</v>
          </cell>
          <cell r="F875" t="str">
            <v>TAYACAJA</v>
          </cell>
          <cell r="G875" t="str">
            <v>DANIEL HERNANDEZ</v>
          </cell>
          <cell r="H875" t="str">
            <v>010845</v>
          </cell>
          <cell r="I875" t="str">
            <v>2</v>
          </cell>
        </row>
        <row r="876">
          <cell r="A876" t="str">
            <v>HUANCAVELICATAYACAJAHUACHOCOLPA</v>
          </cell>
          <cell r="B876" t="str">
            <v>09</v>
          </cell>
          <cell r="C876" t="str">
            <v>07</v>
          </cell>
          <cell r="D876" t="str">
            <v>07</v>
          </cell>
          <cell r="E876" t="str">
            <v>HUANCAVELICA</v>
          </cell>
          <cell r="F876" t="str">
            <v>TAYACAJA</v>
          </cell>
          <cell r="G876" t="str">
            <v>HUACHOCOLPA</v>
          </cell>
          <cell r="H876" t="str">
            <v>010849</v>
          </cell>
          <cell r="I876" t="str">
            <v>2</v>
          </cell>
        </row>
        <row r="877">
          <cell r="A877" t="str">
            <v>HUANCAVELICATAYACAJAHUARIBAMBA</v>
          </cell>
          <cell r="B877" t="str">
            <v>09</v>
          </cell>
          <cell r="C877" t="str">
            <v>07</v>
          </cell>
          <cell r="D877" t="str">
            <v>09</v>
          </cell>
          <cell r="E877" t="str">
            <v>HUANCAVELICA</v>
          </cell>
          <cell r="F877" t="str">
            <v>TAYACAJA</v>
          </cell>
          <cell r="G877" t="str">
            <v>HUARIBAMBA</v>
          </cell>
          <cell r="H877" t="str">
            <v>010850</v>
          </cell>
          <cell r="I877" t="str">
            <v>2</v>
          </cell>
        </row>
        <row r="878">
          <cell r="A878" t="str">
            <v>HUANCAVELICATAYACAJAÑAHUIMPUQUIO</v>
          </cell>
          <cell r="B878" t="str">
            <v>09</v>
          </cell>
          <cell r="C878" t="str">
            <v>07</v>
          </cell>
          <cell r="D878" t="str">
            <v>10</v>
          </cell>
          <cell r="E878" t="str">
            <v>HUANCAVELICA</v>
          </cell>
          <cell r="F878" t="str">
            <v>TAYACAJA</v>
          </cell>
          <cell r="G878" t="str">
            <v>ÑAHUIMPUQUIO</v>
          </cell>
          <cell r="H878" t="str">
            <v>010851</v>
          </cell>
          <cell r="I878" t="str">
            <v>2</v>
          </cell>
        </row>
        <row r="879">
          <cell r="A879" t="str">
            <v>HUANCAVELICATAYACAJAPAZOS</v>
          </cell>
          <cell r="B879" t="str">
            <v>09</v>
          </cell>
          <cell r="C879" t="str">
            <v>07</v>
          </cell>
          <cell r="D879" t="str">
            <v>11</v>
          </cell>
          <cell r="E879" t="str">
            <v>HUANCAVELICA</v>
          </cell>
          <cell r="F879" t="str">
            <v>TAYACAJA</v>
          </cell>
          <cell r="G879" t="str">
            <v>PAZOS</v>
          </cell>
          <cell r="H879" t="str">
            <v>010852</v>
          </cell>
          <cell r="I879" t="str">
            <v>2</v>
          </cell>
        </row>
        <row r="880">
          <cell r="A880" t="str">
            <v>HUANCAVELICATAYACAJAQUISHUAR</v>
          </cell>
          <cell r="B880" t="str">
            <v>09</v>
          </cell>
          <cell r="C880" t="str">
            <v>07</v>
          </cell>
          <cell r="D880" t="str">
            <v>13</v>
          </cell>
          <cell r="E880" t="str">
            <v>HUANCAVELICA</v>
          </cell>
          <cell r="F880" t="str">
            <v>TAYACAJA</v>
          </cell>
          <cell r="G880" t="str">
            <v>QUISHUAR</v>
          </cell>
          <cell r="H880" t="str">
            <v>010846</v>
          </cell>
          <cell r="I880" t="str">
            <v>2</v>
          </cell>
        </row>
        <row r="881">
          <cell r="A881" t="str">
            <v>HUANCAVELICATAYACAJASALCABAMBA</v>
          </cell>
          <cell r="B881" t="str">
            <v>09</v>
          </cell>
          <cell r="C881" t="str">
            <v>07</v>
          </cell>
          <cell r="D881" t="str">
            <v>14</v>
          </cell>
          <cell r="E881" t="str">
            <v>HUANCAVELICA</v>
          </cell>
          <cell r="F881" t="str">
            <v>TAYACAJA</v>
          </cell>
          <cell r="G881" t="str">
            <v>SALCABAMBA</v>
          </cell>
          <cell r="H881" t="str">
            <v>010847</v>
          </cell>
          <cell r="I881" t="str">
            <v>2</v>
          </cell>
        </row>
        <row r="882">
          <cell r="A882" t="str">
            <v>HUANCAVELICATAYACAJASALCAHUASI</v>
          </cell>
          <cell r="B882" t="str">
            <v>09</v>
          </cell>
          <cell r="C882" t="str">
            <v>07</v>
          </cell>
          <cell r="D882" t="str">
            <v>15</v>
          </cell>
          <cell r="E882" t="str">
            <v>HUANCAVELICA</v>
          </cell>
          <cell r="F882" t="str">
            <v>TAYACAJA</v>
          </cell>
          <cell r="G882" t="str">
            <v>SALCAHUASI</v>
          </cell>
          <cell r="H882" t="str">
            <v>010853</v>
          </cell>
          <cell r="I882" t="str">
            <v>2</v>
          </cell>
        </row>
        <row r="883">
          <cell r="A883" t="str">
            <v>HUANCAVELICATAYACAJASAN MARCOS DE ROCCHAC</v>
          </cell>
          <cell r="B883" t="str">
            <v>09</v>
          </cell>
          <cell r="C883" t="str">
            <v>07</v>
          </cell>
          <cell r="D883" t="str">
            <v>16</v>
          </cell>
          <cell r="E883" t="str">
            <v>HUANCAVELICA</v>
          </cell>
          <cell r="F883" t="str">
            <v>TAYACAJA</v>
          </cell>
          <cell r="G883" t="str">
            <v>SAN MARCOS DE ROCCHAC</v>
          </cell>
          <cell r="H883" t="str">
            <v>012071</v>
          </cell>
          <cell r="I883" t="str">
            <v>2</v>
          </cell>
        </row>
        <row r="884">
          <cell r="A884" t="str">
            <v>HUANCAVELICATAYACAJASURCUBAMBA</v>
          </cell>
          <cell r="B884" t="str">
            <v>09</v>
          </cell>
          <cell r="C884" t="str">
            <v>07</v>
          </cell>
          <cell r="D884" t="str">
            <v>17</v>
          </cell>
          <cell r="E884" t="str">
            <v>HUANCAVELICA</v>
          </cell>
          <cell r="F884" t="str">
            <v>TAYACAJA</v>
          </cell>
          <cell r="G884" t="str">
            <v>SURCUBAMBA</v>
          </cell>
          <cell r="H884" t="str">
            <v>012079</v>
          </cell>
          <cell r="I884" t="str">
            <v>2</v>
          </cell>
        </row>
        <row r="885">
          <cell r="A885" t="str">
            <v>HUANCAVELICATAYACAJATINTAY PUNCU</v>
          </cell>
          <cell r="B885" t="str">
            <v>09</v>
          </cell>
          <cell r="C885" t="str">
            <v>07</v>
          </cell>
          <cell r="D885" t="str">
            <v>18</v>
          </cell>
          <cell r="E885" t="str">
            <v>HUANCAVELICA</v>
          </cell>
          <cell r="F885" t="str">
            <v>TAYACAJA</v>
          </cell>
          <cell r="G885" t="str">
            <v>TINTAY PUNCU</v>
          </cell>
          <cell r="H885" t="str">
            <v>010856</v>
          </cell>
          <cell r="I885" t="str">
            <v>2</v>
          </cell>
        </row>
        <row r="886">
          <cell r="A886" t="str">
            <v>HUANUCOHUANUCOHUANUCO</v>
          </cell>
          <cell r="B886" t="str">
            <v>10</v>
          </cell>
          <cell r="C886" t="str">
            <v>01</v>
          </cell>
          <cell r="D886" t="str">
            <v>01</v>
          </cell>
          <cell r="E886" t="str">
            <v>HUANUCO</v>
          </cell>
          <cell r="F886" t="str">
            <v>HUANUCO</v>
          </cell>
          <cell r="G886" t="str">
            <v>HUANUCO</v>
          </cell>
          <cell r="H886" t="str">
            <v>010886</v>
          </cell>
          <cell r="I886" t="str">
            <v>1</v>
          </cell>
        </row>
        <row r="887">
          <cell r="A887" t="str">
            <v>HUANUCOHUANUCOAMARILIS</v>
          </cell>
          <cell r="B887" t="str">
            <v>10</v>
          </cell>
          <cell r="C887" t="str">
            <v>01</v>
          </cell>
          <cell r="D887" t="str">
            <v>02</v>
          </cell>
          <cell r="E887" t="str">
            <v>HUANUCO</v>
          </cell>
          <cell r="F887" t="str">
            <v>HUANUCO</v>
          </cell>
          <cell r="G887" t="str">
            <v>AMARILIS</v>
          </cell>
          <cell r="H887" t="str">
            <v>010887</v>
          </cell>
          <cell r="I887" t="str">
            <v>2</v>
          </cell>
        </row>
        <row r="888">
          <cell r="A888" t="str">
            <v>HUANUCOHUANUCOCHINCHAO</v>
          </cell>
          <cell r="B888" t="str">
            <v>10</v>
          </cell>
          <cell r="C888" t="str">
            <v>01</v>
          </cell>
          <cell r="D888" t="str">
            <v>03</v>
          </cell>
          <cell r="E888" t="str">
            <v>HUANUCO</v>
          </cell>
          <cell r="F888" t="str">
            <v>HUANUCO</v>
          </cell>
          <cell r="G888" t="str">
            <v>CHINCHAO</v>
          </cell>
          <cell r="H888" t="str">
            <v>010891</v>
          </cell>
          <cell r="I888" t="str">
            <v>2</v>
          </cell>
        </row>
        <row r="889">
          <cell r="A889" t="str">
            <v>HUANUCOHUANUCOCHURUBAMBA</v>
          </cell>
          <cell r="B889" t="str">
            <v>10</v>
          </cell>
          <cell r="C889" t="str">
            <v>01</v>
          </cell>
          <cell r="D889" t="str">
            <v>04</v>
          </cell>
          <cell r="E889" t="str">
            <v>HUANUCO</v>
          </cell>
          <cell r="F889" t="str">
            <v>HUANUCO</v>
          </cell>
          <cell r="G889" t="str">
            <v>CHURUBAMBA</v>
          </cell>
          <cell r="H889" t="str">
            <v>012623</v>
          </cell>
          <cell r="I889" t="str">
            <v>2</v>
          </cell>
        </row>
        <row r="890">
          <cell r="A890" t="str">
            <v>HUANUCOHUANUCOMARGOS</v>
          </cell>
          <cell r="B890" t="str">
            <v>10</v>
          </cell>
          <cell r="C890" t="str">
            <v>01</v>
          </cell>
          <cell r="D890" t="str">
            <v>05</v>
          </cell>
          <cell r="E890" t="str">
            <v>HUANUCO</v>
          </cell>
          <cell r="F890" t="str">
            <v>HUANUCO</v>
          </cell>
          <cell r="G890" t="str">
            <v>MARGOS</v>
          </cell>
          <cell r="H890" t="str">
            <v>010893</v>
          </cell>
          <cell r="I890" t="str">
            <v>2</v>
          </cell>
        </row>
        <row r="891">
          <cell r="A891" t="str">
            <v>HUANUCOHUANUCOQUISQUI</v>
          </cell>
          <cell r="B891" t="str">
            <v>10</v>
          </cell>
          <cell r="C891" t="str">
            <v>01</v>
          </cell>
          <cell r="D891" t="str">
            <v>06</v>
          </cell>
          <cell r="E891" t="str">
            <v>HUANUCO</v>
          </cell>
          <cell r="F891" t="str">
            <v>HUANUCO</v>
          </cell>
          <cell r="G891" t="str">
            <v>QUISQUI</v>
          </cell>
          <cell r="H891" t="str">
            <v>010894</v>
          </cell>
          <cell r="I891" t="str">
            <v>2</v>
          </cell>
        </row>
        <row r="892">
          <cell r="A892" t="str">
            <v>HUANUCOHUANUCOSAN FRANCISCO DE CAYRAN</v>
          </cell>
          <cell r="B892" t="str">
            <v>10</v>
          </cell>
          <cell r="C892" t="str">
            <v>01</v>
          </cell>
          <cell r="D892" t="str">
            <v>07</v>
          </cell>
          <cell r="E892" t="str">
            <v>HUANUCO</v>
          </cell>
          <cell r="F892" t="str">
            <v>HUANUCO</v>
          </cell>
          <cell r="G892" t="str">
            <v>SAN FRANCISCO DE CAYRAN</v>
          </cell>
          <cell r="H892" t="str">
            <v>010888</v>
          </cell>
          <cell r="I892" t="str">
            <v>2</v>
          </cell>
        </row>
        <row r="893">
          <cell r="A893" t="str">
            <v>HUANUCOHUANUCOSAN PEDRO DE CHAULAN</v>
          </cell>
          <cell r="B893" t="str">
            <v>10</v>
          </cell>
          <cell r="C893" t="str">
            <v>01</v>
          </cell>
          <cell r="D893" t="str">
            <v>08</v>
          </cell>
          <cell r="E893" t="str">
            <v>HUANUCO</v>
          </cell>
          <cell r="F893" t="str">
            <v>HUANUCO</v>
          </cell>
          <cell r="G893" t="str">
            <v>SAN PEDRO DE CHAULAN</v>
          </cell>
          <cell r="H893" t="str">
            <v>010895</v>
          </cell>
          <cell r="I893" t="str">
            <v>2</v>
          </cell>
        </row>
        <row r="894">
          <cell r="A894" t="str">
            <v>HUANUCOHUANUCOSANTA MARIA DEL VALLE</v>
          </cell>
          <cell r="B894" t="str">
            <v>10</v>
          </cell>
          <cell r="C894" t="str">
            <v>01</v>
          </cell>
          <cell r="D894" t="str">
            <v>09</v>
          </cell>
          <cell r="E894" t="str">
            <v>HUANUCO</v>
          </cell>
          <cell r="F894" t="str">
            <v>HUANUCO</v>
          </cell>
          <cell r="G894" t="str">
            <v>SANTA MARIA DEL VALLE</v>
          </cell>
          <cell r="H894" t="str">
            <v>012828</v>
          </cell>
          <cell r="I894" t="str">
            <v>2</v>
          </cell>
        </row>
        <row r="895">
          <cell r="A895" t="str">
            <v>HUANUCOHUANUCOYARUMAYO</v>
          </cell>
          <cell r="B895" t="str">
            <v>10</v>
          </cell>
          <cell r="C895" t="str">
            <v>01</v>
          </cell>
          <cell r="D895" t="str">
            <v>10</v>
          </cell>
          <cell r="E895" t="str">
            <v>HUANUCO</v>
          </cell>
          <cell r="F895" t="str">
            <v>HUANUCO</v>
          </cell>
          <cell r="G895" t="str">
            <v>YARUMAYO</v>
          </cell>
          <cell r="H895" t="str">
            <v>010896</v>
          </cell>
          <cell r="I895" t="str">
            <v>2</v>
          </cell>
        </row>
        <row r="896">
          <cell r="A896" t="str">
            <v>HUANUCOHUANUCOPILLCO MARCA</v>
          </cell>
          <cell r="B896" t="str">
            <v>10</v>
          </cell>
          <cell r="C896" t="str">
            <v>01</v>
          </cell>
          <cell r="D896" t="str">
            <v>11</v>
          </cell>
          <cell r="E896" t="str">
            <v>HUANUCO</v>
          </cell>
          <cell r="F896" t="str">
            <v>HUANUCO</v>
          </cell>
          <cell r="G896" t="str">
            <v>PILLCO MARCA</v>
          </cell>
          <cell r="H896" t="str">
            <v>010890</v>
          </cell>
          <cell r="I896" t="str">
            <v>2</v>
          </cell>
        </row>
        <row r="897">
          <cell r="A897" t="str">
            <v>HUANUCOAMBOAMBO</v>
          </cell>
          <cell r="B897" t="str">
            <v>10</v>
          </cell>
          <cell r="C897" t="str">
            <v>02</v>
          </cell>
          <cell r="D897" t="str">
            <v>01</v>
          </cell>
          <cell r="E897" t="str">
            <v>HUANUCO</v>
          </cell>
          <cell r="F897" t="str">
            <v>AMBO</v>
          </cell>
          <cell r="G897" t="str">
            <v>AMBO</v>
          </cell>
          <cell r="H897" t="str">
            <v>010897</v>
          </cell>
          <cell r="I897" t="str">
            <v>1</v>
          </cell>
        </row>
        <row r="898">
          <cell r="A898" t="str">
            <v>HUANUCOAMBOCAYNA</v>
          </cell>
          <cell r="B898" t="str">
            <v>10</v>
          </cell>
          <cell r="C898" t="str">
            <v>02</v>
          </cell>
          <cell r="D898" t="str">
            <v>02</v>
          </cell>
          <cell r="E898" t="str">
            <v>HUANUCO</v>
          </cell>
          <cell r="F898" t="str">
            <v>AMBO</v>
          </cell>
          <cell r="G898" t="str">
            <v>CAYNA</v>
          </cell>
          <cell r="H898" t="str">
            <v>010898</v>
          </cell>
          <cell r="I898" t="str">
            <v>2</v>
          </cell>
        </row>
        <row r="899">
          <cell r="A899" t="str">
            <v>HUANUCOAMBOCOLPAS</v>
          </cell>
          <cell r="B899" t="str">
            <v>10</v>
          </cell>
          <cell r="C899" t="str">
            <v>02</v>
          </cell>
          <cell r="D899" t="str">
            <v>03</v>
          </cell>
          <cell r="E899" t="str">
            <v>HUANUCO</v>
          </cell>
          <cell r="F899" t="str">
            <v>AMBO</v>
          </cell>
          <cell r="G899" t="str">
            <v>COLPAS</v>
          </cell>
          <cell r="H899" t="str">
            <v>010899</v>
          </cell>
          <cell r="I899" t="str">
            <v>2</v>
          </cell>
        </row>
        <row r="900">
          <cell r="A900" t="str">
            <v>HUANUCOAMBOCONCHAMARCA</v>
          </cell>
          <cell r="B900" t="str">
            <v>10</v>
          </cell>
          <cell r="C900" t="str">
            <v>02</v>
          </cell>
          <cell r="D900" t="str">
            <v>04</v>
          </cell>
          <cell r="E900" t="str">
            <v>HUANUCO</v>
          </cell>
          <cell r="F900" t="str">
            <v>AMBO</v>
          </cell>
          <cell r="G900" t="str">
            <v>CONCHAMARCA</v>
          </cell>
          <cell r="H900" t="str">
            <v>010900</v>
          </cell>
          <cell r="I900" t="str">
            <v>2</v>
          </cell>
        </row>
        <row r="901">
          <cell r="A901" t="str">
            <v>HUANUCOAMBOHUACAR</v>
          </cell>
          <cell r="B901" t="str">
            <v>10</v>
          </cell>
          <cell r="C901" t="str">
            <v>02</v>
          </cell>
          <cell r="D901" t="str">
            <v>05</v>
          </cell>
          <cell r="E901" t="str">
            <v>HUANUCO</v>
          </cell>
          <cell r="F901" t="str">
            <v>AMBO</v>
          </cell>
          <cell r="G901" t="str">
            <v>HUACAR</v>
          </cell>
          <cell r="H901" t="str">
            <v>010901</v>
          </cell>
          <cell r="I901" t="str">
            <v>2</v>
          </cell>
        </row>
        <row r="902">
          <cell r="A902" t="str">
            <v>HUANUCOAMBOSAN FRANCISCO</v>
          </cell>
          <cell r="B902" t="str">
            <v>10</v>
          </cell>
          <cell r="C902" t="str">
            <v>02</v>
          </cell>
          <cell r="D902" t="str">
            <v>06</v>
          </cell>
          <cell r="E902" t="str">
            <v>HUANUCO</v>
          </cell>
          <cell r="F902" t="str">
            <v>AMBO</v>
          </cell>
          <cell r="G902" t="str">
            <v>SAN FRANCISCO</v>
          </cell>
          <cell r="H902" t="str">
            <v>010902</v>
          </cell>
          <cell r="I902" t="str">
            <v>2</v>
          </cell>
        </row>
        <row r="903">
          <cell r="A903" t="str">
            <v>HUANUCOAMBOSAN RAFAEL</v>
          </cell>
          <cell r="B903" t="str">
            <v>10</v>
          </cell>
          <cell r="C903" t="str">
            <v>02</v>
          </cell>
          <cell r="D903" t="str">
            <v>07</v>
          </cell>
          <cell r="E903" t="str">
            <v>HUANUCO</v>
          </cell>
          <cell r="F903" t="str">
            <v>AMBO</v>
          </cell>
          <cell r="G903" t="str">
            <v>SAN RAFAEL</v>
          </cell>
          <cell r="H903" t="str">
            <v>010903</v>
          </cell>
          <cell r="I903" t="str">
            <v>2</v>
          </cell>
        </row>
        <row r="904">
          <cell r="A904" t="str">
            <v>HUANUCOAMBOTOMAY KICHWA</v>
          </cell>
          <cell r="B904" t="str">
            <v>10</v>
          </cell>
          <cell r="C904" t="str">
            <v>02</v>
          </cell>
          <cell r="D904" t="str">
            <v>08</v>
          </cell>
          <cell r="E904" t="str">
            <v>HUANUCO</v>
          </cell>
          <cell r="F904" t="str">
            <v>AMBO</v>
          </cell>
          <cell r="G904" t="str">
            <v>TOMAY KICHWA</v>
          </cell>
          <cell r="H904" t="str">
            <v>010904</v>
          </cell>
          <cell r="I904" t="str">
            <v>2</v>
          </cell>
        </row>
        <row r="905">
          <cell r="A905" t="str">
            <v>HUANUCODOS DE MAYOLA UNION</v>
          </cell>
          <cell r="B905" t="str">
            <v>10</v>
          </cell>
          <cell r="C905" t="str">
            <v>03</v>
          </cell>
          <cell r="D905" t="str">
            <v>01</v>
          </cell>
          <cell r="E905" t="str">
            <v>HUANUCO</v>
          </cell>
          <cell r="F905" t="str">
            <v>DOS DE MAYO</v>
          </cell>
          <cell r="G905" t="str">
            <v>LA UNION</v>
          </cell>
          <cell r="H905" t="str">
            <v>010905</v>
          </cell>
          <cell r="I905" t="str">
            <v>1</v>
          </cell>
        </row>
        <row r="906">
          <cell r="A906" t="str">
            <v>HUANUCODOS DE MAYOCHUQUIS</v>
          </cell>
          <cell r="B906" t="str">
            <v>10</v>
          </cell>
          <cell r="C906" t="str">
            <v>03</v>
          </cell>
          <cell r="D906" t="str">
            <v>07</v>
          </cell>
          <cell r="E906" t="str">
            <v>HUANUCO</v>
          </cell>
          <cell r="F906" t="str">
            <v>DOS DE MAYO</v>
          </cell>
          <cell r="G906" t="str">
            <v>CHUQUIS</v>
          </cell>
          <cell r="H906" t="str">
            <v>012635</v>
          </cell>
          <cell r="I906" t="str">
            <v>2</v>
          </cell>
        </row>
        <row r="907">
          <cell r="A907" t="str">
            <v>HUANUCODOS DE MAYOMARIAS</v>
          </cell>
          <cell r="B907" t="str">
            <v>10</v>
          </cell>
          <cell r="C907" t="str">
            <v>03</v>
          </cell>
          <cell r="D907" t="str">
            <v>11</v>
          </cell>
          <cell r="E907" t="str">
            <v>HUANUCO</v>
          </cell>
          <cell r="F907" t="str">
            <v>DOS DE MAYO</v>
          </cell>
          <cell r="G907" t="str">
            <v>MARIAS</v>
          </cell>
          <cell r="H907" t="str">
            <v>010907</v>
          </cell>
          <cell r="I907" t="str">
            <v>2</v>
          </cell>
        </row>
        <row r="908">
          <cell r="A908" t="str">
            <v>HUANUCODOS DE MAYOPACHAS</v>
          </cell>
          <cell r="B908" t="str">
            <v>10</v>
          </cell>
          <cell r="C908" t="str">
            <v>03</v>
          </cell>
          <cell r="D908" t="str">
            <v>13</v>
          </cell>
          <cell r="E908" t="str">
            <v>HUANUCO</v>
          </cell>
          <cell r="F908" t="str">
            <v>DOS DE MAYO</v>
          </cell>
          <cell r="G908" t="str">
            <v>PACHAS</v>
          </cell>
          <cell r="H908" t="str">
            <v>010908</v>
          </cell>
          <cell r="I908" t="str">
            <v>2</v>
          </cell>
        </row>
        <row r="909">
          <cell r="A909" t="str">
            <v>HUANUCODOS DE MAYOQUIVILLA</v>
          </cell>
          <cell r="B909" t="str">
            <v>10</v>
          </cell>
          <cell r="C909" t="str">
            <v>03</v>
          </cell>
          <cell r="D909" t="str">
            <v>16</v>
          </cell>
          <cell r="E909" t="str">
            <v>HUANUCO</v>
          </cell>
          <cell r="F909" t="str">
            <v>DOS DE MAYO</v>
          </cell>
          <cell r="G909" t="str">
            <v>QUIVILLA</v>
          </cell>
          <cell r="H909" t="str">
            <v>010909</v>
          </cell>
          <cell r="I909" t="str">
            <v>2</v>
          </cell>
        </row>
        <row r="910">
          <cell r="A910" t="str">
            <v>HUANUCODOS DE MAYORIPAN</v>
          </cell>
          <cell r="B910" t="str">
            <v>10</v>
          </cell>
          <cell r="C910" t="str">
            <v>03</v>
          </cell>
          <cell r="D910" t="str">
            <v>17</v>
          </cell>
          <cell r="E910" t="str">
            <v>HUANUCO</v>
          </cell>
          <cell r="F910" t="str">
            <v>DOS DE MAYO</v>
          </cell>
          <cell r="G910" t="str">
            <v>RIPAN</v>
          </cell>
          <cell r="H910" t="str">
            <v>010910</v>
          </cell>
          <cell r="I910" t="str">
            <v>2</v>
          </cell>
        </row>
        <row r="911">
          <cell r="A911" t="str">
            <v>HUANUCODOS DE MAYOSHUNQUI</v>
          </cell>
          <cell r="B911" t="str">
            <v>10</v>
          </cell>
          <cell r="C911" t="str">
            <v>03</v>
          </cell>
          <cell r="D911" t="str">
            <v>21</v>
          </cell>
          <cell r="E911" t="str">
            <v>HUANUCO</v>
          </cell>
          <cell r="F911" t="str">
            <v>DOS DE MAYO</v>
          </cell>
          <cell r="G911" t="str">
            <v>SHUNQUI</v>
          </cell>
          <cell r="H911" t="str">
            <v>010911</v>
          </cell>
          <cell r="I911" t="str">
            <v>2</v>
          </cell>
        </row>
        <row r="912">
          <cell r="A912" t="str">
            <v>HUANUCODOS DE MAYOSILLAPATA</v>
          </cell>
          <cell r="B912" t="str">
            <v>10</v>
          </cell>
          <cell r="C912" t="str">
            <v>03</v>
          </cell>
          <cell r="D912" t="str">
            <v>22</v>
          </cell>
          <cell r="E912" t="str">
            <v>HUANUCO</v>
          </cell>
          <cell r="F912" t="str">
            <v>DOS DE MAYO</v>
          </cell>
          <cell r="G912" t="str">
            <v>SILLAPATA</v>
          </cell>
          <cell r="H912" t="str">
            <v>010912</v>
          </cell>
          <cell r="I912" t="str">
            <v>2</v>
          </cell>
        </row>
        <row r="913">
          <cell r="A913" t="str">
            <v>HUANUCODOS DE MAYOYANAS</v>
          </cell>
          <cell r="B913" t="str">
            <v>10</v>
          </cell>
          <cell r="C913" t="str">
            <v>03</v>
          </cell>
          <cell r="D913" t="str">
            <v>23</v>
          </cell>
          <cell r="E913" t="str">
            <v>HUANUCO</v>
          </cell>
          <cell r="F913" t="str">
            <v>DOS DE MAYO</v>
          </cell>
          <cell r="G913" t="str">
            <v>YANAS</v>
          </cell>
          <cell r="H913" t="str">
            <v>012622</v>
          </cell>
          <cell r="I913" t="str">
            <v>2</v>
          </cell>
        </row>
        <row r="914">
          <cell r="A914" t="str">
            <v>HUANUCOHUACAYBAMBAHUACAYBAMBA</v>
          </cell>
          <cell r="B914" t="str">
            <v>10</v>
          </cell>
          <cell r="C914" t="str">
            <v>04</v>
          </cell>
          <cell r="D914" t="str">
            <v>01</v>
          </cell>
          <cell r="E914" t="str">
            <v>HUANUCO</v>
          </cell>
          <cell r="F914" t="str">
            <v>HUACAYBAMBA</v>
          </cell>
          <cell r="G914" t="str">
            <v>HUACAYBAMBA</v>
          </cell>
          <cell r="H914" t="str">
            <v>010914</v>
          </cell>
          <cell r="I914" t="str">
            <v>1</v>
          </cell>
        </row>
        <row r="915">
          <cell r="A915" t="str">
            <v>HUANUCOHUACAYBAMBACANCHABAMBA</v>
          </cell>
          <cell r="B915" t="str">
            <v>10</v>
          </cell>
          <cell r="C915" t="str">
            <v>04</v>
          </cell>
          <cell r="D915" t="str">
            <v>02</v>
          </cell>
          <cell r="E915" t="str">
            <v>HUANUCO</v>
          </cell>
          <cell r="F915" t="str">
            <v>HUACAYBAMBA</v>
          </cell>
          <cell r="G915" t="str">
            <v>CANCHABAMBA</v>
          </cell>
          <cell r="H915" t="str">
            <v>010915</v>
          </cell>
          <cell r="I915" t="str">
            <v>2</v>
          </cell>
        </row>
        <row r="916">
          <cell r="A916" t="str">
            <v>HUANUCOHUACAYBAMBACOCHABAMBA</v>
          </cell>
          <cell r="B916" t="str">
            <v>10</v>
          </cell>
          <cell r="C916" t="str">
            <v>04</v>
          </cell>
          <cell r="D916" t="str">
            <v>03</v>
          </cell>
          <cell r="E916" t="str">
            <v>HUANUCO</v>
          </cell>
          <cell r="F916" t="str">
            <v>HUACAYBAMBA</v>
          </cell>
          <cell r="G916" t="str">
            <v>COCHABAMBA</v>
          </cell>
          <cell r="H916" t="str">
            <v>010916</v>
          </cell>
          <cell r="I916" t="str">
            <v>2</v>
          </cell>
        </row>
        <row r="917">
          <cell r="A917" t="str">
            <v>HUANUCOHUACAYBAMBAPINRA</v>
          </cell>
          <cell r="B917" t="str">
            <v>10</v>
          </cell>
          <cell r="C917" t="str">
            <v>04</v>
          </cell>
          <cell r="D917" t="str">
            <v>04</v>
          </cell>
          <cell r="E917" t="str">
            <v>HUANUCO</v>
          </cell>
          <cell r="F917" t="str">
            <v>HUACAYBAMBA</v>
          </cell>
          <cell r="G917" t="str">
            <v>PINRA</v>
          </cell>
          <cell r="H917" t="str">
            <v>010917</v>
          </cell>
          <cell r="I917" t="str">
            <v>2</v>
          </cell>
        </row>
        <row r="918">
          <cell r="A918" t="str">
            <v>HUANUCOHUAMALIESLLATA</v>
          </cell>
          <cell r="B918" t="str">
            <v>10</v>
          </cell>
          <cell r="C918" t="str">
            <v>05</v>
          </cell>
          <cell r="D918" t="str">
            <v>01</v>
          </cell>
          <cell r="E918" t="str">
            <v>HUANUCO</v>
          </cell>
          <cell r="F918" t="str">
            <v>HUAMALIES</v>
          </cell>
          <cell r="G918" t="str">
            <v>LLATA</v>
          </cell>
          <cell r="H918" t="str">
            <v>010918</v>
          </cell>
          <cell r="I918" t="str">
            <v>1</v>
          </cell>
        </row>
        <row r="919">
          <cell r="A919" t="str">
            <v>HUANUCOHUAMALIESARANCAY</v>
          </cell>
          <cell r="B919" t="str">
            <v>10</v>
          </cell>
          <cell r="C919" t="str">
            <v>05</v>
          </cell>
          <cell r="D919" t="str">
            <v>02</v>
          </cell>
          <cell r="E919" t="str">
            <v>HUANUCO</v>
          </cell>
          <cell r="F919" t="str">
            <v>HUAMALIES</v>
          </cell>
          <cell r="G919" t="str">
            <v>ARANCAY</v>
          </cell>
          <cell r="H919" t="str">
            <v>010919</v>
          </cell>
          <cell r="I919" t="str">
            <v>2</v>
          </cell>
        </row>
        <row r="920">
          <cell r="A920" t="str">
            <v>HUANUCOHUAMALIESCHAVIN DE PARIARCA</v>
          </cell>
          <cell r="B920" t="str">
            <v>10</v>
          </cell>
          <cell r="C920" t="str">
            <v>05</v>
          </cell>
          <cell r="D920" t="str">
            <v>03</v>
          </cell>
          <cell r="E920" t="str">
            <v>HUANUCO</v>
          </cell>
          <cell r="F920" t="str">
            <v>HUAMALIES</v>
          </cell>
          <cell r="G920" t="str">
            <v>CHAVIN DE PARIARCA</v>
          </cell>
          <cell r="H920" t="str">
            <v>010920</v>
          </cell>
          <cell r="I920" t="str">
            <v>2</v>
          </cell>
        </row>
        <row r="921">
          <cell r="A921" t="str">
            <v>HUANUCOHUAMALIESJACAS GRANDE</v>
          </cell>
          <cell r="B921" t="str">
            <v>10</v>
          </cell>
          <cell r="C921" t="str">
            <v>05</v>
          </cell>
          <cell r="D921" t="str">
            <v>04</v>
          </cell>
          <cell r="E921" t="str">
            <v>HUANUCO</v>
          </cell>
          <cell r="F921" t="str">
            <v>HUAMALIES</v>
          </cell>
          <cell r="G921" t="str">
            <v>JACAS GRANDE</v>
          </cell>
          <cell r="H921" t="str">
            <v>012106</v>
          </cell>
          <cell r="I921" t="str">
            <v>2</v>
          </cell>
        </row>
        <row r="922">
          <cell r="A922" t="str">
            <v>HUANUCOHUAMALIESJIRCAN</v>
          </cell>
          <cell r="B922" t="str">
            <v>10</v>
          </cell>
          <cell r="C922" t="str">
            <v>05</v>
          </cell>
          <cell r="D922" t="str">
            <v>05</v>
          </cell>
          <cell r="E922" t="str">
            <v>HUANUCO</v>
          </cell>
          <cell r="F922" t="str">
            <v>HUAMALIES</v>
          </cell>
          <cell r="G922" t="str">
            <v>JIRCAN</v>
          </cell>
          <cell r="H922" t="str">
            <v>010922</v>
          </cell>
          <cell r="I922" t="str">
            <v>2</v>
          </cell>
        </row>
        <row r="923">
          <cell r="A923" t="str">
            <v>HUANUCOHUAMALIESMIRAFLORES</v>
          </cell>
          <cell r="B923" t="str">
            <v>10</v>
          </cell>
          <cell r="C923" t="str">
            <v>05</v>
          </cell>
          <cell r="D923" t="str">
            <v>06</v>
          </cell>
          <cell r="E923" t="str">
            <v>HUANUCO</v>
          </cell>
          <cell r="F923" t="str">
            <v>HUAMALIES</v>
          </cell>
          <cell r="G923" t="str">
            <v>MIRAFLORES</v>
          </cell>
          <cell r="H923" t="str">
            <v>012110</v>
          </cell>
          <cell r="I923" t="str">
            <v>2</v>
          </cell>
        </row>
        <row r="924">
          <cell r="A924" t="str">
            <v>HUANUCOHUAMALIESMONZON</v>
          </cell>
          <cell r="B924" t="str">
            <v>10</v>
          </cell>
          <cell r="C924" t="str">
            <v>05</v>
          </cell>
          <cell r="D924" t="str">
            <v>07</v>
          </cell>
          <cell r="E924" t="str">
            <v>HUANUCO</v>
          </cell>
          <cell r="F924" t="str">
            <v>HUAMALIES</v>
          </cell>
          <cell r="G924" t="str">
            <v>MONZON</v>
          </cell>
          <cell r="H924" t="str">
            <v>010928</v>
          </cell>
          <cell r="I924" t="str">
            <v>2</v>
          </cell>
        </row>
        <row r="925">
          <cell r="A925" t="str">
            <v>HUANUCOHUAMALIESPUNCHAO</v>
          </cell>
          <cell r="B925" t="str">
            <v>10</v>
          </cell>
          <cell r="C925" t="str">
            <v>05</v>
          </cell>
          <cell r="D925" t="str">
            <v>08</v>
          </cell>
          <cell r="E925" t="str">
            <v>HUANUCO</v>
          </cell>
          <cell r="F925" t="str">
            <v>HUAMALIES</v>
          </cell>
          <cell r="G925" t="str">
            <v>PUNCHAO</v>
          </cell>
          <cell r="H925" t="str">
            <v>010924</v>
          </cell>
          <cell r="I925" t="str">
            <v>2</v>
          </cell>
        </row>
        <row r="926">
          <cell r="A926" t="str">
            <v>HUANUCOHUAMALIESPUÑOS</v>
          </cell>
          <cell r="B926" t="str">
            <v>10</v>
          </cell>
          <cell r="C926" t="str">
            <v>05</v>
          </cell>
          <cell r="D926" t="str">
            <v>09</v>
          </cell>
          <cell r="E926" t="str">
            <v>HUANUCO</v>
          </cell>
          <cell r="F926" t="str">
            <v>HUAMALIES</v>
          </cell>
          <cell r="G926" t="str">
            <v>PUÑOS</v>
          </cell>
          <cell r="H926" t="str">
            <v>010925</v>
          </cell>
          <cell r="I926" t="str">
            <v>2</v>
          </cell>
        </row>
        <row r="927">
          <cell r="A927" t="str">
            <v>HUANUCOHUAMALIESSINGA</v>
          </cell>
          <cell r="B927" t="str">
            <v>10</v>
          </cell>
          <cell r="C927" t="str">
            <v>05</v>
          </cell>
          <cell r="D927" t="str">
            <v>10</v>
          </cell>
          <cell r="E927" t="str">
            <v>HUANUCO</v>
          </cell>
          <cell r="F927" t="str">
            <v>HUAMALIES</v>
          </cell>
          <cell r="G927" t="str">
            <v>SINGA</v>
          </cell>
          <cell r="H927" t="str">
            <v>010926</v>
          </cell>
          <cell r="I927" t="str">
            <v>2</v>
          </cell>
        </row>
        <row r="928">
          <cell r="A928" t="str">
            <v>HUANUCOHUAMALIESTANTAMAYO</v>
          </cell>
          <cell r="B928" t="str">
            <v>10</v>
          </cell>
          <cell r="C928" t="str">
            <v>05</v>
          </cell>
          <cell r="D928" t="str">
            <v>11</v>
          </cell>
          <cell r="E928" t="str">
            <v>HUANUCO</v>
          </cell>
          <cell r="F928" t="str">
            <v>HUAMALIES</v>
          </cell>
          <cell r="G928" t="str">
            <v>TANTAMAYO</v>
          </cell>
          <cell r="H928" t="str">
            <v>012091</v>
          </cell>
          <cell r="I928" t="str">
            <v>2</v>
          </cell>
        </row>
        <row r="929">
          <cell r="A929" t="str">
            <v>HUANUCOLEONCIO PRADORUPA-RUPA</v>
          </cell>
          <cell r="B929" t="str">
            <v>10</v>
          </cell>
          <cell r="C929" t="str">
            <v>06</v>
          </cell>
          <cell r="D929" t="str">
            <v>01</v>
          </cell>
          <cell r="E929" t="str">
            <v>HUANUCO</v>
          </cell>
          <cell r="F929" t="str">
            <v>LEONCIO PRADO</v>
          </cell>
          <cell r="G929" t="str">
            <v>RUPA-RUPA</v>
          </cell>
          <cell r="H929" t="str">
            <v>010929</v>
          </cell>
          <cell r="I929" t="str">
            <v>1</v>
          </cell>
        </row>
        <row r="930">
          <cell r="A930" t="str">
            <v>HUANUCOLEONCIO PRADODANIEL ALOMIAS ROBLES</v>
          </cell>
          <cell r="B930" t="str">
            <v>10</v>
          </cell>
          <cell r="C930" t="str">
            <v>06</v>
          </cell>
          <cell r="D930" t="str">
            <v>02</v>
          </cell>
          <cell r="E930" t="str">
            <v>HUANUCO</v>
          </cell>
          <cell r="F930" t="str">
            <v>LEONCIO PRADO</v>
          </cell>
          <cell r="G930" t="str">
            <v>DANIEL ALOMIAS ROBLES</v>
          </cell>
          <cell r="H930" t="str">
            <v>010930</v>
          </cell>
          <cell r="I930" t="str">
            <v>2</v>
          </cell>
        </row>
        <row r="931">
          <cell r="A931" t="str">
            <v>HUANUCOLEONCIO PRADOHERMILIO VALDIZAN</v>
          </cell>
          <cell r="B931" t="str">
            <v>10</v>
          </cell>
          <cell r="C931" t="str">
            <v>06</v>
          </cell>
          <cell r="D931" t="str">
            <v>03</v>
          </cell>
          <cell r="E931" t="str">
            <v>HUANUCO</v>
          </cell>
          <cell r="F931" t="str">
            <v>LEONCIO PRADO</v>
          </cell>
          <cell r="G931" t="str">
            <v>HERMILIO VALDIZAN</v>
          </cell>
          <cell r="H931" t="str">
            <v>010931</v>
          </cell>
          <cell r="I931" t="str">
            <v>2</v>
          </cell>
        </row>
        <row r="932">
          <cell r="A932" t="str">
            <v>HUANUCOLEONCIO PRADOJOSE CRESPO Y CASTILLO</v>
          </cell>
          <cell r="B932" t="str">
            <v>10</v>
          </cell>
          <cell r="C932" t="str">
            <v>06</v>
          </cell>
          <cell r="D932" t="str">
            <v>04</v>
          </cell>
          <cell r="E932" t="str">
            <v>HUANUCO</v>
          </cell>
          <cell r="F932" t="str">
            <v>LEONCIO PRADO</v>
          </cell>
          <cell r="G932" t="str">
            <v>JOSE CRESPO Y CASTILLO</v>
          </cell>
          <cell r="H932" t="str">
            <v>010932</v>
          </cell>
          <cell r="I932" t="str">
            <v>2</v>
          </cell>
        </row>
        <row r="933">
          <cell r="A933" t="str">
            <v>HUANUCOLEONCIO PRADOLUYANDO</v>
          </cell>
          <cell r="B933" t="str">
            <v>10</v>
          </cell>
          <cell r="C933" t="str">
            <v>06</v>
          </cell>
          <cell r="D933" t="str">
            <v>05</v>
          </cell>
          <cell r="E933" t="str">
            <v>HUANUCO</v>
          </cell>
          <cell r="F933" t="str">
            <v>LEONCIO PRADO</v>
          </cell>
          <cell r="G933" t="str">
            <v>LUYANDO</v>
          </cell>
          <cell r="H933" t="str">
            <v>013002</v>
          </cell>
          <cell r="I933" t="str">
            <v>2</v>
          </cell>
        </row>
        <row r="934">
          <cell r="A934" t="str">
            <v>HUANUCOLEONCIO PRADOMARIANO DAMASO BERAUN</v>
          </cell>
          <cell r="B934" t="str">
            <v>10</v>
          </cell>
          <cell r="C934" t="str">
            <v>06</v>
          </cell>
          <cell r="D934" t="str">
            <v>06</v>
          </cell>
          <cell r="E934" t="str">
            <v>HUANUCO</v>
          </cell>
          <cell r="F934" t="str">
            <v>LEONCIO PRADO</v>
          </cell>
          <cell r="G934" t="str">
            <v>MARIANO DAMASO BERAUN</v>
          </cell>
          <cell r="H934" t="str">
            <v>010934</v>
          </cell>
          <cell r="I934" t="str">
            <v>2</v>
          </cell>
        </row>
        <row r="935">
          <cell r="A935" t="str">
            <v>HUANUCOMARAÑONHUACRACHUCO</v>
          </cell>
          <cell r="B935" t="str">
            <v>10</v>
          </cell>
          <cell r="C935" t="str">
            <v>07</v>
          </cell>
          <cell r="D935" t="str">
            <v>01</v>
          </cell>
          <cell r="E935" t="str">
            <v>HUANUCO</v>
          </cell>
          <cell r="F935" t="str">
            <v>MARAÑON</v>
          </cell>
          <cell r="G935" t="str">
            <v>HUACRACHUCO</v>
          </cell>
          <cell r="H935" t="str">
            <v>010935</v>
          </cell>
          <cell r="I935" t="str">
            <v>1</v>
          </cell>
        </row>
        <row r="936">
          <cell r="A936" t="str">
            <v>HUANUCOMARAÑONCHOLON</v>
          </cell>
          <cell r="B936" t="str">
            <v>10</v>
          </cell>
          <cell r="C936" t="str">
            <v>07</v>
          </cell>
          <cell r="D936" t="str">
            <v>02</v>
          </cell>
          <cell r="E936" t="str">
            <v>HUANUCO</v>
          </cell>
          <cell r="F936" t="str">
            <v>MARAÑON</v>
          </cell>
          <cell r="G936" t="str">
            <v>CHOLON</v>
          </cell>
          <cell r="H936" t="str">
            <v>010936</v>
          </cell>
          <cell r="I936" t="str">
            <v>2</v>
          </cell>
        </row>
        <row r="937">
          <cell r="A937" t="str">
            <v>HUANUCOMARAÑONSAN BUENAVENTURA</v>
          </cell>
          <cell r="B937" t="str">
            <v>10</v>
          </cell>
          <cell r="C937" t="str">
            <v>07</v>
          </cell>
          <cell r="D937" t="str">
            <v>03</v>
          </cell>
          <cell r="E937" t="str">
            <v>HUANUCO</v>
          </cell>
          <cell r="F937" t="str">
            <v>MARAÑON</v>
          </cell>
          <cell r="G937" t="str">
            <v>SAN BUENAVENTURA</v>
          </cell>
          <cell r="H937" t="str">
            <v>010937</v>
          </cell>
          <cell r="I937" t="str">
            <v>2</v>
          </cell>
        </row>
        <row r="938">
          <cell r="A938" t="str">
            <v>HUANUCOPACHITEAPANAO</v>
          </cell>
          <cell r="B938" t="str">
            <v>10</v>
          </cell>
          <cell r="C938" t="str">
            <v>08</v>
          </cell>
          <cell r="D938" t="str">
            <v>01</v>
          </cell>
          <cell r="E938" t="str">
            <v>HUANUCO</v>
          </cell>
          <cell r="F938" t="str">
            <v>PACHITEA</v>
          </cell>
          <cell r="G938" t="str">
            <v>PANAO</v>
          </cell>
          <cell r="H938" t="str">
            <v>010938</v>
          </cell>
          <cell r="I938" t="str">
            <v>1</v>
          </cell>
        </row>
        <row r="939">
          <cell r="A939" t="str">
            <v>HUANUCOPACHITEACHAGLLA</v>
          </cell>
          <cell r="B939" t="str">
            <v>10</v>
          </cell>
          <cell r="C939" t="str">
            <v>08</v>
          </cell>
          <cell r="D939" t="str">
            <v>02</v>
          </cell>
          <cell r="E939" t="str">
            <v>HUANUCO</v>
          </cell>
          <cell r="F939" t="str">
            <v>PACHITEA</v>
          </cell>
          <cell r="G939" t="str">
            <v>CHAGLLA</v>
          </cell>
          <cell r="H939" t="str">
            <v>010939</v>
          </cell>
          <cell r="I939" t="str">
            <v>2</v>
          </cell>
        </row>
        <row r="940">
          <cell r="A940" t="str">
            <v>HUANUCOPACHITEAMOLINO</v>
          </cell>
          <cell r="B940" t="str">
            <v>10</v>
          </cell>
          <cell r="C940" t="str">
            <v>08</v>
          </cell>
          <cell r="D940" t="str">
            <v>03</v>
          </cell>
          <cell r="E940" t="str">
            <v>HUANUCO</v>
          </cell>
          <cell r="F940" t="str">
            <v>PACHITEA</v>
          </cell>
          <cell r="G940" t="str">
            <v>MOLINO</v>
          </cell>
          <cell r="H940" t="str">
            <v>010940</v>
          </cell>
          <cell r="I940" t="str">
            <v>2</v>
          </cell>
        </row>
        <row r="941">
          <cell r="A941" t="str">
            <v>HUANUCOPACHITEAUMARI</v>
          </cell>
          <cell r="B941" t="str">
            <v>10</v>
          </cell>
          <cell r="C941" t="str">
            <v>08</v>
          </cell>
          <cell r="D941" t="str">
            <v>04</v>
          </cell>
          <cell r="E941" t="str">
            <v>HUANUCO</v>
          </cell>
          <cell r="F941" t="str">
            <v>PACHITEA</v>
          </cell>
          <cell r="G941" t="str">
            <v>UMARI</v>
          </cell>
          <cell r="H941" t="str">
            <v>010941</v>
          </cell>
          <cell r="I941" t="str">
            <v>2</v>
          </cell>
        </row>
        <row r="942">
          <cell r="A942" t="str">
            <v>HUANUCOPUERTO INCAPUERTO INCA</v>
          </cell>
          <cell r="B942" t="str">
            <v>10</v>
          </cell>
          <cell r="C942" t="str">
            <v>09</v>
          </cell>
          <cell r="D942" t="str">
            <v>01</v>
          </cell>
          <cell r="E942" t="str">
            <v>HUANUCO</v>
          </cell>
          <cell r="F942" t="str">
            <v>PUERTO INCA</v>
          </cell>
          <cell r="G942" t="str">
            <v>PUERTO INCA</v>
          </cell>
          <cell r="H942" t="str">
            <v>010942</v>
          </cell>
          <cell r="I942" t="str">
            <v>1</v>
          </cell>
        </row>
        <row r="943">
          <cell r="A943" t="str">
            <v>HUANUCOPUERTO INCACODO DEL POZUZO</v>
          </cell>
          <cell r="B943" t="str">
            <v>10</v>
          </cell>
          <cell r="C943" t="str">
            <v>09</v>
          </cell>
          <cell r="D943" t="str">
            <v>02</v>
          </cell>
          <cell r="E943" t="str">
            <v>HUANUCO</v>
          </cell>
          <cell r="F943" t="str">
            <v>PUERTO INCA</v>
          </cell>
          <cell r="G943" t="str">
            <v>CODO DEL POZUZO</v>
          </cell>
          <cell r="H943" t="str">
            <v>012046</v>
          </cell>
          <cell r="I943" t="str">
            <v>2</v>
          </cell>
        </row>
        <row r="944">
          <cell r="A944" t="str">
            <v>HUANUCOPUERTO INCAHONORIA</v>
          </cell>
          <cell r="B944" t="str">
            <v>10</v>
          </cell>
          <cell r="C944" t="str">
            <v>09</v>
          </cell>
          <cell r="D944" t="str">
            <v>03</v>
          </cell>
          <cell r="E944" t="str">
            <v>HUANUCO</v>
          </cell>
          <cell r="F944" t="str">
            <v>PUERTO INCA</v>
          </cell>
          <cell r="G944" t="str">
            <v>HONORIA</v>
          </cell>
          <cell r="H944" t="str">
            <v>012095</v>
          </cell>
          <cell r="I944" t="str">
            <v>2</v>
          </cell>
        </row>
        <row r="945">
          <cell r="A945" t="str">
            <v>HUANUCOPUERTO INCATOURNAVISTA</v>
          </cell>
          <cell r="B945" t="str">
            <v>10</v>
          </cell>
          <cell r="C945" t="str">
            <v>09</v>
          </cell>
          <cell r="D945" t="str">
            <v>04</v>
          </cell>
          <cell r="E945" t="str">
            <v>HUANUCO</v>
          </cell>
          <cell r="F945" t="str">
            <v>PUERTO INCA</v>
          </cell>
          <cell r="G945" t="str">
            <v>TOURNAVISTA</v>
          </cell>
          <cell r="H945" t="str">
            <v>012640</v>
          </cell>
          <cell r="I945" t="str">
            <v>2</v>
          </cell>
        </row>
        <row r="946">
          <cell r="A946" t="str">
            <v>HUANUCOPUERTO INCAYUYAPICHIS</v>
          </cell>
          <cell r="B946" t="str">
            <v>10</v>
          </cell>
          <cell r="C946" t="str">
            <v>09</v>
          </cell>
          <cell r="D946" t="str">
            <v>05</v>
          </cell>
          <cell r="E946" t="str">
            <v>HUANUCO</v>
          </cell>
          <cell r="F946" t="str">
            <v>PUERTO INCA</v>
          </cell>
          <cell r="G946" t="str">
            <v>YUYAPICHIS</v>
          </cell>
          <cell r="H946" t="str">
            <v>010946</v>
          </cell>
          <cell r="I946" t="str">
            <v>2</v>
          </cell>
        </row>
        <row r="947">
          <cell r="A947" t="str">
            <v>HUANUCOLAURICOCHAJESUS</v>
          </cell>
          <cell r="B947" t="str">
            <v>10</v>
          </cell>
          <cell r="C947" t="str">
            <v>10</v>
          </cell>
          <cell r="D947" t="str">
            <v>01</v>
          </cell>
          <cell r="E947" t="str">
            <v>HUANUCO</v>
          </cell>
          <cell r="F947" t="str">
            <v>LAURICOCHA</v>
          </cell>
          <cell r="G947" t="str">
            <v>JESUS</v>
          </cell>
          <cell r="H947" t="str">
            <v>010947</v>
          </cell>
          <cell r="I947" t="str">
            <v>1</v>
          </cell>
        </row>
        <row r="948">
          <cell r="A948" t="str">
            <v>HUANUCOLAURICOCHABAÑOS</v>
          </cell>
          <cell r="B948" t="str">
            <v>10</v>
          </cell>
          <cell r="C948" t="str">
            <v>10</v>
          </cell>
          <cell r="D948" t="str">
            <v>02</v>
          </cell>
          <cell r="E948" t="str">
            <v>HUANUCO</v>
          </cell>
          <cell r="F948" t="str">
            <v>LAURICOCHA</v>
          </cell>
          <cell r="G948" t="str">
            <v>BAÑOS</v>
          </cell>
          <cell r="H948" t="str">
            <v>012103</v>
          </cell>
          <cell r="I948" t="str">
            <v>2</v>
          </cell>
        </row>
        <row r="949">
          <cell r="A949" t="str">
            <v>HUANUCOLAURICOCHAJIVIA</v>
          </cell>
          <cell r="B949" t="str">
            <v>10</v>
          </cell>
          <cell r="C949" t="str">
            <v>10</v>
          </cell>
          <cell r="D949" t="str">
            <v>03</v>
          </cell>
          <cell r="E949" t="str">
            <v>HUANUCO</v>
          </cell>
          <cell r="F949" t="str">
            <v>LAURICOCHA</v>
          </cell>
          <cell r="G949" t="str">
            <v>JIVIA</v>
          </cell>
          <cell r="H949" t="str">
            <v>012101</v>
          </cell>
          <cell r="I949" t="str">
            <v>2</v>
          </cell>
        </row>
        <row r="950">
          <cell r="A950" t="str">
            <v>HUANUCOLAURICOCHAQUEROPALCA</v>
          </cell>
          <cell r="B950" t="str">
            <v>10</v>
          </cell>
          <cell r="C950" t="str">
            <v>10</v>
          </cell>
          <cell r="D950" t="str">
            <v>04</v>
          </cell>
          <cell r="E950" t="str">
            <v>HUANUCO</v>
          </cell>
          <cell r="F950" t="str">
            <v>LAURICOCHA</v>
          </cell>
          <cell r="G950" t="str">
            <v>QUEROPALCA</v>
          </cell>
          <cell r="H950" t="str">
            <v>010950</v>
          </cell>
          <cell r="I950" t="str">
            <v>2</v>
          </cell>
        </row>
        <row r="951">
          <cell r="A951" t="str">
            <v>HUANUCOLAURICOCHARONDOS</v>
          </cell>
          <cell r="B951" t="str">
            <v>10</v>
          </cell>
          <cell r="C951" t="str">
            <v>10</v>
          </cell>
          <cell r="D951" t="str">
            <v>05</v>
          </cell>
          <cell r="E951" t="str">
            <v>HUANUCO</v>
          </cell>
          <cell r="F951" t="str">
            <v>LAURICOCHA</v>
          </cell>
          <cell r="G951" t="str">
            <v>RONDOS</v>
          </cell>
          <cell r="H951" t="str">
            <v>010951</v>
          </cell>
          <cell r="I951" t="str">
            <v>2</v>
          </cell>
        </row>
        <row r="952">
          <cell r="A952" t="str">
            <v>HUANUCOLAURICOCHASAN FRANCISCO DE ASIS</v>
          </cell>
          <cell r="B952" t="str">
            <v>10</v>
          </cell>
          <cell r="C952" t="str">
            <v>10</v>
          </cell>
          <cell r="D952" t="str">
            <v>06</v>
          </cell>
          <cell r="E952" t="str">
            <v>HUANUCO</v>
          </cell>
          <cell r="F952" t="str">
            <v>LAURICOCHA</v>
          </cell>
          <cell r="G952" t="str">
            <v>SAN FRANCISCO DE ASIS</v>
          </cell>
          <cell r="H952" t="str">
            <v>010952</v>
          </cell>
          <cell r="I952" t="str">
            <v>2</v>
          </cell>
        </row>
        <row r="953">
          <cell r="A953" t="str">
            <v>HUANUCOLAURICOCHASAN MIGUEL DE CAURI</v>
          </cell>
          <cell r="B953" t="str">
            <v>10</v>
          </cell>
          <cell r="C953" t="str">
            <v>10</v>
          </cell>
          <cell r="D953" t="str">
            <v>07</v>
          </cell>
          <cell r="E953" t="str">
            <v>HUANUCO</v>
          </cell>
          <cell r="F953" t="str">
            <v>LAURICOCHA</v>
          </cell>
          <cell r="G953" t="str">
            <v>SAN MIGUEL DE CAURI</v>
          </cell>
          <cell r="H953" t="str">
            <v>010953</v>
          </cell>
          <cell r="I953" t="str">
            <v>2</v>
          </cell>
        </row>
        <row r="954">
          <cell r="A954" t="str">
            <v>HUANUCOYAROWILCACHAVINILLO</v>
          </cell>
          <cell r="B954" t="str">
            <v>10</v>
          </cell>
          <cell r="C954" t="str">
            <v>11</v>
          </cell>
          <cell r="D954" t="str">
            <v>01</v>
          </cell>
          <cell r="E954" t="str">
            <v>HUANUCO</v>
          </cell>
          <cell r="F954" t="str">
            <v>YAROWILCA</v>
          </cell>
          <cell r="G954" t="str">
            <v>CHAVINILLO</v>
          </cell>
          <cell r="H954" t="str">
            <v>010954</v>
          </cell>
          <cell r="I954" t="str">
            <v>1</v>
          </cell>
        </row>
        <row r="955">
          <cell r="A955" t="str">
            <v>HUANUCOYAROWILCACAHUAC</v>
          </cell>
          <cell r="B955" t="str">
            <v>10</v>
          </cell>
          <cell r="C955" t="str">
            <v>11</v>
          </cell>
          <cell r="D955" t="str">
            <v>02</v>
          </cell>
          <cell r="E955" t="str">
            <v>HUANUCO</v>
          </cell>
          <cell r="F955" t="str">
            <v>YAROWILCA</v>
          </cell>
          <cell r="G955" t="str">
            <v>CAHUAC</v>
          </cell>
          <cell r="H955" t="str">
            <v>010955</v>
          </cell>
          <cell r="I955" t="str">
            <v>2</v>
          </cell>
        </row>
        <row r="956">
          <cell r="A956" t="str">
            <v>HUANUCOYAROWILCACHACABAMBA</v>
          </cell>
          <cell r="B956" t="str">
            <v>10</v>
          </cell>
          <cell r="C956" t="str">
            <v>11</v>
          </cell>
          <cell r="D956" t="str">
            <v>03</v>
          </cell>
          <cell r="E956" t="str">
            <v>HUANUCO</v>
          </cell>
          <cell r="F956" t="str">
            <v>YAROWILCA</v>
          </cell>
          <cell r="G956" t="str">
            <v>CHACABAMBA</v>
          </cell>
          <cell r="H956" t="str">
            <v>010956</v>
          </cell>
          <cell r="I956" t="str">
            <v>2</v>
          </cell>
        </row>
        <row r="957">
          <cell r="A957" t="str">
            <v>HUANUCOYAROWILCACHUPAN</v>
          </cell>
          <cell r="B957" t="str">
            <v>10</v>
          </cell>
          <cell r="C957" t="str">
            <v>11</v>
          </cell>
          <cell r="D957" t="str">
            <v>04</v>
          </cell>
          <cell r="E957" t="str">
            <v>HUANUCO</v>
          </cell>
          <cell r="F957" t="str">
            <v>YAROWILCA</v>
          </cell>
          <cell r="G957" t="str">
            <v>CHUPAN</v>
          </cell>
          <cell r="H957" t="str">
            <v>010957</v>
          </cell>
          <cell r="I957" t="str">
            <v>2</v>
          </cell>
        </row>
        <row r="958">
          <cell r="A958" t="str">
            <v>HUANUCOYAROWILCAJACAS CHICO</v>
          </cell>
          <cell r="B958" t="str">
            <v>10</v>
          </cell>
          <cell r="C958" t="str">
            <v>11</v>
          </cell>
          <cell r="D958" t="str">
            <v>05</v>
          </cell>
          <cell r="E958" t="str">
            <v>HUANUCO</v>
          </cell>
          <cell r="F958" t="str">
            <v>YAROWILCA</v>
          </cell>
          <cell r="G958" t="str">
            <v>JACAS CHICO</v>
          </cell>
          <cell r="H958" t="str">
            <v>010958</v>
          </cell>
          <cell r="I958" t="str">
            <v>2</v>
          </cell>
        </row>
        <row r="959">
          <cell r="A959" t="str">
            <v>HUANUCOYAROWILCAOBAS</v>
          </cell>
          <cell r="B959" t="str">
            <v>10</v>
          </cell>
          <cell r="C959" t="str">
            <v>11</v>
          </cell>
          <cell r="D959" t="str">
            <v>06</v>
          </cell>
          <cell r="E959" t="str">
            <v>HUANUCO</v>
          </cell>
          <cell r="F959" t="str">
            <v>YAROWILCA</v>
          </cell>
          <cell r="G959" t="str">
            <v>OBAS</v>
          </cell>
          <cell r="H959" t="str">
            <v>010959</v>
          </cell>
          <cell r="I959" t="str">
            <v>2</v>
          </cell>
        </row>
        <row r="960">
          <cell r="A960" t="str">
            <v>HUANUCOYAROWILCAPAMPAMARCA</v>
          </cell>
          <cell r="B960" t="str">
            <v>10</v>
          </cell>
          <cell r="C960" t="str">
            <v>11</v>
          </cell>
          <cell r="D960" t="str">
            <v>07</v>
          </cell>
          <cell r="E960" t="str">
            <v>HUANUCO</v>
          </cell>
          <cell r="F960" t="str">
            <v>YAROWILCA</v>
          </cell>
          <cell r="G960" t="str">
            <v>PAMPAMARCA</v>
          </cell>
          <cell r="H960" t="str">
            <v>010960</v>
          </cell>
          <cell r="I960" t="str">
            <v>2</v>
          </cell>
        </row>
        <row r="961">
          <cell r="A961" t="str">
            <v>HUANUCOYAROWILCACHORAS</v>
          </cell>
          <cell r="B961" t="str">
            <v>10</v>
          </cell>
          <cell r="C961" t="str">
            <v>11</v>
          </cell>
          <cell r="D961" t="str">
            <v>08</v>
          </cell>
          <cell r="E961" t="str">
            <v>HUANUCO</v>
          </cell>
          <cell r="F961" t="str">
            <v>YAROWILCA</v>
          </cell>
          <cell r="G961" t="str">
            <v>CHORAS</v>
          </cell>
          <cell r="H961" t="str">
            <v>010961</v>
          </cell>
          <cell r="I961" t="str">
            <v>2</v>
          </cell>
        </row>
        <row r="962">
          <cell r="A962" t="str">
            <v>ICAICAICA</v>
          </cell>
          <cell r="B962" t="str">
            <v>11</v>
          </cell>
          <cell r="C962" t="str">
            <v>01</v>
          </cell>
          <cell r="D962" t="str">
            <v>01</v>
          </cell>
          <cell r="E962" t="str">
            <v>ICA</v>
          </cell>
          <cell r="F962" t="str">
            <v>ICA</v>
          </cell>
          <cell r="G962" t="str">
            <v>ICA</v>
          </cell>
          <cell r="H962" t="str">
            <v>010962</v>
          </cell>
          <cell r="I962" t="str">
            <v>1</v>
          </cell>
        </row>
        <row r="963">
          <cell r="A963" t="str">
            <v>ICAICALA TINGUIÑA</v>
          </cell>
          <cell r="B963" t="str">
            <v>11</v>
          </cell>
          <cell r="C963" t="str">
            <v>01</v>
          </cell>
          <cell r="D963" t="str">
            <v>02</v>
          </cell>
          <cell r="E963" t="str">
            <v>ICA</v>
          </cell>
          <cell r="F963" t="str">
            <v>ICA</v>
          </cell>
          <cell r="G963" t="str">
            <v>LA TINGUIÑA</v>
          </cell>
          <cell r="H963" t="str">
            <v>010963</v>
          </cell>
          <cell r="I963" t="str">
            <v>2</v>
          </cell>
        </row>
        <row r="964">
          <cell r="A964" t="str">
            <v>ICAICALOS AQUIJES</v>
          </cell>
          <cell r="B964" t="str">
            <v>11</v>
          </cell>
          <cell r="C964" t="str">
            <v>01</v>
          </cell>
          <cell r="D964" t="str">
            <v>03</v>
          </cell>
          <cell r="E964" t="str">
            <v>ICA</v>
          </cell>
          <cell r="F964" t="str">
            <v>ICA</v>
          </cell>
          <cell r="G964" t="str">
            <v>LOS AQUIJES</v>
          </cell>
          <cell r="H964" t="str">
            <v>012112</v>
          </cell>
          <cell r="I964" t="str">
            <v>2</v>
          </cell>
        </row>
        <row r="965">
          <cell r="A965" t="str">
            <v>ICAICAOCUCAJE</v>
          </cell>
          <cell r="B965" t="str">
            <v>11</v>
          </cell>
          <cell r="C965" t="str">
            <v>01</v>
          </cell>
          <cell r="D965" t="str">
            <v>04</v>
          </cell>
          <cell r="E965" t="str">
            <v>ICA</v>
          </cell>
          <cell r="F965" t="str">
            <v>ICA</v>
          </cell>
          <cell r="G965" t="str">
            <v>OCUCAJE</v>
          </cell>
          <cell r="H965" t="str">
            <v>010970</v>
          </cell>
          <cell r="I965" t="str">
            <v>2</v>
          </cell>
        </row>
        <row r="966">
          <cell r="A966" t="str">
            <v>ICAICAPACHACUTEC</v>
          </cell>
          <cell r="B966" t="str">
            <v>11</v>
          </cell>
          <cell r="C966" t="str">
            <v>01</v>
          </cell>
          <cell r="D966" t="str">
            <v>05</v>
          </cell>
          <cell r="E966" t="str">
            <v>ICA</v>
          </cell>
          <cell r="F966" t="str">
            <v>ICA</v>
          </cell>
          <cell r="G966" t="str">
            <v>PACHACUTEC</v>
          </cell>
          <cell r="H966" t="str">
            <v>010971</v>
          </cell>
          <cell r="I966" t="str">
            <v>2</v>
          </cell>
        </row>
        <row r="967">
          <cell r="A967" t="str">
            <v>ICAICAPARCONA</v>
          </cell>
          <cell r="B967" t="str">
            <v>11</v>
          </cell>
          <cell r="C967" t="str">
            <v>01</v>
          </cell>
          <cell r="D967" t="str">
            <v>06</v>
          </cell>
          <cell r="E967" t="str">
            <v>ICA</v>
          </cell>
          <cell r="F967" t="str">
            <v>ICA</v>
          </cell>
          <cell r="G967" t="str">
            <v>PARCONA</v>
          </cell>
          <cell r="H967" t="str">
            <v>012132</v>
          </cell>
          <cell r="I967" t="str">
            <v>2</v>
          </cell>
        </row>
        <row r="968">
          <cell r="A968" t="str">
            <v>ICAICAPUEBLO NUEVO</v>
          </cell>
          <cell r="B968" t="str">
            <v>11</v>
          </cell>
          <cell r="C968" t="str">
            <v>01</v>
          </cell>
          <cell r="D968" t="str">
            <v>07</v>
          </cell>
          <cell r="E968" t="str">
            <v>ICA</v>
          </cell>
          <cell r="F968" t="str">
            <v>ICA</v>
          </cell>
          <cell r="G968" t="str">
            <v>PUEBLO NUEVO</v>
          </cell>
          <cell r="H968" t="str">
            <v>010972</v>
          </cell>
          <cell r="I968" t="str">
            <v>2</v>
          </cell>
        </row>
        <row r="969">
          <cell r="A969" t="str">
            <v>ICAICASALAS</v>
          </cell>
          <cell r="B969" t="str">
            <v>11</v>
          </cell>
          <cell r="C969" t="str">
            <v>01</v>
          </cell>
          <cell r="D969" t="str">
            <v>08</v>
          </cell>
          <cell r="E969" t="str">
            <v>ICA</v>
          </cell>
          <cell r="F969" t="str">
            <v>ICA</v>
          </cell>
          <cell r="G969" t="str">
            <v>SALAS</v>
          </cell>
          <cell r="H969" t="str">
            <v>010965</v>
          </cell>
          <cell r="I969" t="str">
            <v>2</v>
          </cell>
        </row>
        <row r="970">
          <cell r="A970" t="str">
            <v>ICAICASAN JOSE DE LOS MOLINOS</v>
          </cell>
          <cell r="B970" t="str">
            <v>11</v>
          </cell>
          <cell r="C970" t="str">
            <v>01</v>
          </cell>
          <cell r="D970" t="str">
            <v>09</v>
          </cell>
          <cell r="E970" t="str">
            <v>ICA</v>
          </cell>
          <cell r="F970" t="str">
            <v>ICA</v>
          </cell>
          <cell r="G970" t="str">
            <v>SAN JOSE DE LOS MOLINOS</v>
          </cell>
          <cell r="H970" t="str">
            <v>012643</v>
          </cell>
          <cell r="I970" t="str">
            <v>2</v>
          </cell>
        </row>
        <row r="971">
          <cell r="A971" t="str">
            <v>ICAICASAN JUAN BAUTISTA</v>
          </cell>
          <cell r="B971" t="str">
            <v>11</v>
          </cell>
          <cell r="C971" t="str">
            <v>01</v>
          </cell>
          <cell r="D971" t="str">
            <v>10</v>
          </cell>
          <cell r="E971" t="str">
            <v>ICA</v>
          </cell>
          <cell r="F971" t="str">
            <v>ICA</v>
          </cell>
          <cell r="G971" t="str">
            <v>SAN JUAN BAUTISTA</v>
          </cell>
          <cell r="H971" t="str">
            <v>010967</v>
          </cell>
          <cell r="I971" t="str">
            <v>2</v>
          </cell>
        </row>
        <row r="972">
          <cell r="A972" t="str">
            <v>ICAICASANTIAGO</v>
          </cell>
          <cell r="B972" t="str">
            <v>11</v>
          </cell>
          <cell r="C972" t="str">
            <v>01</v>
          </cell>
          <cell r="D972" t="str">
            <v>11</v>
          </cell>
          <cell r="E972" t="str">
            <v>ICA</v>
          </cell>
          <cell r="F972" t="str">
            <v>ICA</v>
          </cell>
          <cell r="G972" t="str">
            <v>SANTIAGO</v>
          </cell>
          <cell r="H972" t="str">
            <v>010973</v>
          </cell>
          <cell r="I972" t="str">
            <v>2</v>
          </cell>
        </row>
        <row r="973">
          <cell r="A973" t="str">
            <v>ICAICASUBTANJALLA</v>
          </cell>
          <cell r="B973" t="str">
            <v>11</v>
          </cell>
          <cell r="C973" t="str">
            <v>01</v>
          </cell>
          <cell r="D973" t="str">
            <v>12</v>
          </cell>
          <cell r="E973" t="str">
            <v>ICA</v>
          </cell>
          <cell r="F973" t="str">
            <v>ICA</v>
          </cell>
          <cell r="G973" t="str">
            <v>SUBTANJALLA</v>
          </cell>
          <cell r="H973" t="str">
            <v>010968</v>
          </cell>
          <cell r="I973" t="str">
            <v>2</v>
          </cell>
        </row>
        <row r="974">
          <cell r="A974" t="str">
            <v>ICAICATATE</v>
          </cell>
          <cell r="B974" t="str">
            <v>11</v>
          </cell>
          <cell r="C974" t="str">
            <v>01</v>
          </cell>
          <cell r="D974" t="str">
            <v>13</v>
          </cell>
          <cell r="E974" t="str">
            <v>ICA</v>
          </cell>
          <cell r="F974" t="str">
            <v>ICA</v>
          </cell>
          <cell r="G974" t="str">
            <v>TATE</v>
          </cell>
          <cell r="H974" t="str">
            <v>010974</v>
          </cell>
          <cell r="I974" t="str">
            <v>2</v>
          </cell>
        </row>
        <row r="975">
          <cell r="A975" t="str">
            <v>ICAICAYAUCA DEL ROSARIO</v>
          </cell>
          <cell r="B975" t="str">
            <v>11</v>
          </cell>
          <cell r="C975" t="str">
            <v>01</v>
          </cell>
          <cell r="D975" t="str">
            <v>14</v>
          </cell>
          <cell r="E975" t="str">
            <v>ICA</v>
          </cell>
          <cell r="F975" t="str">
            <v>ICA</v>
          </cell>
          <cell r="G975" t="str">
            <v>YAUCA DEL ROSARIO</v>
          </cell>
          <cell r="H975" t="str">
            <v>010975</v>
          </cell>
          <cell r="I975" t="str">
            <v>2</v>
          </cell>
        </row>
        <row r="976">
          <cell r="A976" t="str">
            <v>ICACHINCHACHINCHA ALTA</v>
          </cell>
          <cell r="B976" t="str">
            <v>11</v>
          </cell>
          <cell r="C976" t="str">
            <v>02</v>
          </cell>
          <cell r="D976" t="str">
            <v>01</v>
          </cell>
          <cell r="E976" t="str">
            <v>ICA</v>
          </cell>
          <cell r="F976" t="str">
            <v>CHINCHA</v>
          </cell>
          <cell r="G976" t="str">
            <v>CHINCHA ALTA</v>
          </cell>
          <cell r="H976" t="str">
            <v>012642</v>
          </cell>
          <cell r="I976" t="str">
            <v>1</v>
          </cell>
        </row>
        <row r="977">
          <cell r="A977" t="str">
            <v>ICACHINCHAALTO LARAN</v>
          </cell>
          <cell r="B977" t="str">
            <v>11</v>
          </cell>
          <cell r="C977" t="str">
            <v>02</v>
          </cell>
          <cell r="D977" t="str">
            <v>02</v>
          </cell>
          <cell r="E977" t="str">
            <v>ICA</v>
          </cell>
          <cell r="F977" t="str">
            <v>CHINCHA</v>
          </cell>
          <cell r="G977" t="str">
            <v>ALTO LARAN</v>
          </cell>
          <cell r="H977" t="str">
            <v>010982</v>
          </cell>
          <cell r="I977" t="str">
            <v>2</v>
          </cell>
        </row>
        <row r="978">
          <cell r="A978" t="str">
            <v>ICACHINCHACHAVIN</v>
          </cell>
          <cell r="B978" t="str">
            <v>11</v>
          </cell>
          <cell r="C978" t="str">
            <v>02</v>
          </cell>
          <cell r="D978" t="str">
            <v>03</v>
          </cell>
          <cell r="E978" t="str">
            <v>ICA</v>
          </cell>
          <cell r="F978" t="str">
            <v>CHINCHA</v>
          </cell>
          <cell r="G978" t="str">
            <v>CHAVIN</v>
          </cell>
          <cell r="H978" t="str">
            <v>010983</v>
          </cell>
          <cell r="I978" t="str">
            <v>2</v>
          </cell>
        </row>
        <row r="979">
          <cell r="A979" t="str">
            <v>ICACHINCHACHINCHA BAJA</v>
          </cell>
          <cell r="B979" t="str">
            <v>11</v>
          </cell>
          <cell r="C979" t="str">
            <v>02</v>
          </cell>
          <cell r="D979" t="str">
            <v>04</v>
          </cell>
          <cell r="E979" t="str">
            <v>ICA</v>
          </cell>
          <cell r="F979" t="str">
            <v>CHINCHA</v>
          </cell>
          <cell r="G979" t="str">
            <v>CHINCHA BAJA</v>
          </cell>
          <cell r="H979" t="str">
            <v>010977</v>
          </cell>
          <cell r="I979" t="str">
            <v>2</v>
          </cell>
        </row>
        <row r="980">
          <cell r="A980" t="str">
            <v>ICACHINCHAEL CARMEN</v>
          </cell>
          <cell r="B980" t="str">
            <v>11</v>
          </cell>
          <cell r="C980" t="str">
            <v>02</v>
          </cell>
          <cell r="D980" t="str">
            <v>05</v>
          </cell>
          <cell r="E980" t="str">
            <v>ICA</v>
          </cell>
          <cell r="F980" t="str">
            <v>CHINCHA</v>
          </cell>
          <cell r="G980" t="str">
            <v>EL CARMEN</v>
          </cell>
          <cell r="H980" t="str">
            <v>010984</v>
          </cell>
          <cell r="I980" t="str">
            <v>2</v>
          </cell>
        </row>
        <row r="981">
          <cell r="A981" t="str">
            <v>ICACHINCHAGROCIO PRADO</v>
          </cell>
          <cell r="B981" t="str">
            <v>11</v>
          </cell>
          <cell r="C981" t="str">
            <v>02</v>
          </cell>
          <cell r="D981" t="str">
            <v>06</v>
          </cell>
          <cell r="E981" t="str">
            <v>ICA</v>
          </cell>
          <cell r="F981" t="str">
            <v>CHINCHA</v>
          </cell>
          <cell r="G981" t="str">
            <v>GROCIO PRADO</v>
          </cell>
          <cell r="H981" t="str">
            <v>010978</v>
          </cell>
          <cell r="I981" t="str">
            <v>2</v>
          </cell>
        </row>
        <row r="982">
          <cell r="A982" t="str">
            <v>ICACHINCHAPUEBLO NUEVO</v>
          </cell>
          <cell r="B982" t="str">
            <v>11</v>
          </cell>
          <cell r="C982" t="str">
            <v>02</v>
          </cell>
          <cell r="D982" t="str">
            <v>07</v>
          </cell>
          <cell r="E982" t="str">
            <v>ICA</v>
          </cell>
          <cell r="F982" t="str">
            <v>CHINCHA</v>
          </cell>
          <cell r="G982" t="str">
            <v>PUEBLO NUEVO</v>
          </cell>
          <cell r="H982" t="str">
            <v>010979</v>
          </cell>
          <cell r="I982" t="str">
            <v>2</v>
          </cell>
        </row>
        <row r="983">
          <cell r="A983" t="str">
            <v>ICACHINCHASAN JUAN DE YANAC</v>
          </cell>
          <cell r="B983" t="str">
            <v>11</v>
          </cell>
          <cell r="C983" t="str">
            <v>02</v>
          </cell>
          <cell r="D983" t="str">
            <v>08</v>
          </cell>
          <cell r="E983" t="str">
            <v>ICA</v>
          </cell>
          <cell r="F983" t="str">
            <v>CHINCHA</v>
          </cell>
          <cell r="G983" t="str">
            <v>SAN JUAN DE YANAC</v>
          </cell>
          <cell r="H983" t="str">
            <v>010985</v>
          </cell>
          <cell r="I983" t="str">
            <v>2</v>
          </cell>
        </row>
        <row r="984">
          <cell r="A984" t="str">
            <v>ICACHINCHASAN PEDRO DE HUACARPANA</v>
          </cell>
          <cell r="B984" t="str">
            <v>11</v>
          </cell>
          <cell r="C984" t="str">
            <v>02</v>
          </cell>
          <cell r="D984" t="str">
            <v>09</v>
          </cell>
          <cell r="E984" t="str">
            <v>ICA</v>
          </cell>
          <cell r="F984" t="str">
            <v>CHINCHA</v>
          </cell>
          <cell r="G984" t="str">
            <v>SAN PEDRO DE HUACARPANA</v>
          </cell>
          <cell r="H984" t="str">
            <v>011399</v>
          </cell>
          <cell r="I984" t="str">
            <v>2</v>
          </cell>
        </row>
        <row r="985">
          <cell r="A985" t="str">
            <v>ICACHINCHASUNAMPE</v>
          </cell>
          <cell r="B985" t="str">
            <v>11</v>
          </cell>
          <cell r="C985" t="str">
            <v>02</v>
          </cell>
          <cell r="D985" t="str">
            <v>10</v>
          </cell>
          <cell r="E985" t="str">
            <v>ICA</v>
          </cell>
          <cell r="F985" t="str">
            <v>CHINCHA</v>
          </cell>
          <cell r="G985" t="str">
            <v>SUNAMPE</v>
          </cell>
          <cell r="H985" t="str">
            <v>010980</v>
          </cell>
          <cell r="I985" t="str">
            <v>2</v>
          </cell>
        </row>
        <row r="986">
          <cell r="A986" t="str">
            <v>ICACHINCHATAMBO DE MORA</v>
          </cell>
          <cell r="B986" t="str">
            <v>11</v>
          </cell>
          <cell r="C986" t="str">
            <v>02</v>
          </cell>
          <cell r="D986" t="str">
            <v>11</v>
          </cell>
          <cell r="E986" t="str">
            <v>ICA</v>
          </cell>
          <cell r="F986" t="str">
            <v>CHINCHA</v>
          </cell>
          <cell r="G986" t="str">
            <v>TAMBO DE MORA</v>
          </cell>
          <cell r="H986" t="str">
            <v>010981</v>
          </cell>
          <cell r="I986" t="str">
            <v>2</v>
          </cell>
        </row>
        <row r="987">
          <cell r="A987" t="str">
            <v>ICANAZCANAZCA</v>
          </cell>
          <cell r="B987" t="str">
            <v>11</v>
          </cell>
          <cell r="C987" t="str">
            <v>03</v>
          </cell>
          <cell r="D987" t="str">
            <v>01</v>
          </cell>
          <cell r="E987" t="str">
            <v>ICA</v>
          </cell>
          <cell r="F987" t="str">
            <v>NAZCA</v>
          </cell>
          <cell r="G987" t="str">
            <v>NAZCA</v>
          </cell>
          <cell r="H987" t="str">
            <v>010987</v>
          </cell>
          <cell r="I987" t="str">
            <v>1</v>
          </cell>
        </row>
        <row r="988">
          <cell r="A988" t="str">
            <v>ICANAZCACHANGUILLO</v>
          </cell>
          <cell r="B988" t="str">
            <v>11</v>
          </cell>
          <cell r="C988" t="str">
            <v>03</v>
          </cell>
          <cell r="D988" t="str">
            <v>02</v>
          </cell>
          <cell r="E988" t="str">
            <v>ICA</v>
          </cell>
          <cell r="F988" t="str">
            <v>NAZCA</v>
          </cell>
          <cell r="G988" t="str">
            <v>CHANGUILLO</v>
          </cell>
          <cell r="H988" t="str">
            <v>010988</v>
          </cell>
          <cell r="I988" t="str">
            <v>2</v>
          </cell>
        </row>
        <row r="989">
          <cell r="A989" t="str">
            <v>ICANAZCAEL INGENIO</v>
          </cell>
          <cell r="B989" t="str">
            <v>11</v>
          </cell>
          <cell r="C989" t="str">
            <v>03</v>
          </cell>
          <cell r="D989" t="str">
            <v>03</v>
          </cell>
          <cell r="E989" t="str">
            <v>ICA</v>
          </cell>
          <cell r="F989" t="str">
            <v>NAZCA</v>
          </cell>
          <cell r="G989" t="str">
            <v>EL INGENIO</v>
          </cell>
          <cell r="H989" t="str">
            <v>010989</v>
          </cell>
          <cell r="I989" t="str">
            <v>2</v>
          </cell>
        </row>
        <row r="990">
          <cell r="A990" t="str">
            <v>ICANAZCAMARCONA</v>
          </cell>
          <cell r="B990" t="str">
            <v>11</v>
          </cell>
          <cell r="C990" t="str">
            <v>03</v>
          </cell>
          <cell r="D990" t="str">
            <v>04</v>
          </cell>
          <cell r="E990" t="str">
            <v>ICA</v>
          </cell>
          <cell r="F990" t="str">
            <v>NAZCA</v>
          </cell>
          <cell r="G990" t="str">
            <v>MARCONA</v>
          </cell>
          <cell r="H990" t="str">
            <v>010990</v>
          </cell>
          <cell r="I990" t="str">
            <v>2</v>
          </cell>
        </row>
        <row r="991">
          <cell r="A991" t="str">
            <v>ICANAZCAVISTA ALEGRE</v>
          </cell>
          <cell r="B991" t="str">
            <v>11</v>
          </cell>
          <cell r="C991" t="str">
            <v>03</v>
          </cell>
          <cell r="D991" t="str">
            <v>05</v>
          </cell>
          <cell r="E991" t="str">
            <v>ICA</v>
          </cell>
          <cell r="F991" t="str">
            <v>NAZCA</v>
          </cell>
          <cell r="G991" t="str">
            <v>VISTA ALEGRE</v>
          </cell>
          <cell r="H991" t="str">
            <v>012115</v>
          </cell>
          <cell r="I991" t="str">
            <v>2</v>
          </cell>
        </row>
        <row r="992">
          <cell r="A992" t="str">
            <v>ICAPALPAPALPA</v>
          </cell>
          <cell r="B992" t="str">
            <v>11</v>
          </cell>
          <cell r="C992" t="str">
            <v>04</v>
          </cell>
          <cell r="D992" t="str">
            <v>01</v>
          </cell>
          <cell r="E992" t="str">
            <v>ICA</v>
          </cell>
          <cell r="F992" t="str">
            <v>PALPA</v>
          </cell>
          <cell r="G992" t="str">
            <v>PALPA</v>
          </cell>
          <cell r="H992" t="str">
            <v>010992</v>
          </cell>
          <cell r="I992" t="str">
            <v>1</v>
          </cell>
        </row>
        <row r="993">
          <cell r="A993" t="str">
            <v>ICAPALPALLIPATA</v>
          </cell>
          <cell r="B993" t="str">
            <v>11</v>
          </cell>
          <cell r="C993" t="str">
            <v>04</v>
          </cell>
          <cell r="D993" t="str">
            <v>02</v>
          </cell>
          <cell r="E993" t="str">
            <v>ICA</v>
          </cell>
          <cell r="F993" t="str">
            <v>PALPA</v>
          </cell>
          <cell r="G993" t="str">
            <v>LLIPATA</v>
          </cell>
          <cell r="H993" t="str">
            <v>010993</v>
          </cell>
          <cell r="I993" t="str">
            <v>2</v>
          </cell>
        </row>
        <row r="994">
          <cell r="A994" t="str">
            <v>ICAPALPARIO GRANDE</v>
          </cell>
          <cell r="B994" t="str">
            <v>11</v>
          </cell>
          <cell r="C994" t="str">
            <v>04</v>
          </cell>
          <cell r="D994" t="str">
            <v>03</v>
          </cell>
          <cell r="E994" t="str">
            <v>ICA</v>
          </cell>
          <cell r="F994" t="str">
            <v>PALPA</v>
          </cell>
          <cell r="G994" t="str">
            <v>RIO GRANDE</v>
          </cell>
          <cell r="H994" t="str">
            <v>010994</v>
          </cell>
          <cell r="I994" t="str">
            <v>2</v>
          </cell>
        </row>
        <row r="995">
          <cell r="A995" t="str">
            <v>ICAPALPASANTA CRUZ</v>
          </cell>
          <cell r="B995" t="str">
            <v>11</v>
          </cell>
          <cell r="C995" t="str">
            <v>04</v>
          </cell>
          <cell r="D995" t="str">
            <v>04</v>
          </cell>
          <cell r="E995" t="str">
            <v>ICA</v>
          </cell>
          <cell r="F995" t="str">
            <v>PALPA</v>
          </cell>
          <cell r="G995" t="str">
            <v>SANTA CRUZ</v>
          </cell>
          <cell r="H995" t="str">
            <v>010995</v>
          </cell>
          <cell r="I995" t="str">
            <v>2</v>
          </cell>
        </row>
        <row r="996">
          <cell r="A996" t="str">
            <v>ICAPALPATIBILLO</v>
          </cell>
          <cell r="B996" t="str">
            <v>11</v>
          </cell>
          <cell r="C996" t="str">
            <v>04</v>
          </cell>
          <cell r="D996" t="str">
            <v>05</v>
          </cell>
          <cell r="E996" t="str">
            <v>ICA</v>
          </cell>
          <cell r="F996" t="str">
            <v>PALPA</v>
          </cell>
          <cell r="G996" t="str">
            <v>TIBILLO</v>
          </cell>
          <cell r="H996" t="str">
            <v>010996</v>
          </cell>
          <cell r="I996" t="str">
            <v>2</v>
          </cell>
        </row>
        <row r="997">
          <cell r="A997" t="str">
            <v>ICAPISCOPISCO</v>
          </cell>
          <cell r="B997" t="str">
            <v>11</v>
          </cell>
          <cell r="C997" t="str">
            <v>05</v>
          </cell>
          <cell r="D997" t="str">
            <v>01</v>
          </cell>
          <cell r="E997" t="str">
            <v>ICA</v>
          </cell>
          <cell r="F997" t="str">
            <v>PISCO</v>
          </cell>
          <cell r="G997" t="str">
            <v>PISCO</v>
          </cell>
          <cell r="H997" t="str">
            <v>010997</v>
          </cell>
          <cell r="I997" t="str">
            <v>1</v>
          </cell>
        </row>
        <row r="998">
          <cell r="A998" t="str">
            <v>ICAPISCOHUANCANO</v>
          </cell>
          <cell r="B998" t="str">
            <v>11</v>
          </cell>
          <cell r="C998" t="str">
            <v>05</v>
          </cell>
          <cell r="D998" t="str">
            <v>02</v>
          </cell>
          <cell r="E998" t="str">
            <v>ICA</v>
          </cell>
          <cell r="F998" t="str">
            <v>PISCO</v>
          </cell>
          <cell r="G998" t="str">
            <v>HUANCANO</v>
          </cell>
          <cell r="H998" t="str">
            <v>012130</v>
          </cell>
          <cell r="I998" t="str">
            <v>2</v>
          </cell>
        </row>
        <row r="999">
          <cell r="A999" t="str">
            <v>ICAPISCOHUMAY</v>
          </cell>
          <cell r="B999" t="str">
            <v>11</v>
          </cell>
          <cell r="C999" t="str">
            <v>05</v>
          </cell>
          <cell r="D999" t="str">
            <v>03</v>
          </cell>
          <cell r="E999" t="str">
            <v>ICA</v>
          </cell>
          <cell r="F999" t="str">
            <v>PISCO</v>
          </cell>
          <cell r="G999" t="str">
            <v>HUMAY</v>
          </cell>
          <cell r="H999" t="str">
            <v>010999</v>
          </cell>
          <cell r="I999" t="str">
            <v>2</v>
          </cell>
        </row>
        <row r="1000">
          <cell r="A1000" t="str">
            <v>ICAPISCOINDEPENDENCIA</v>
          </cell>
          <cell r="B1000" t="str">
            <v>11</v>
          </cell>
          <cell r="C1000" t="str">
            <v>05</v>
          </cell>
          <cell r="D1000" t="str">
            <v>04</v>
          </cell>
          <cell r="E1000" t="str">
            <v>ICA</v>
          </cell>
          <cell r="F1000" t="str">
            <v>PISCO</v>
          </cell>
          <cell r="G1000" t="str">
            <v>INDEPENDENCIA</v>
          </cell>
          <cell r="H1000" t="str">
            <v>012117</v>
          </cell>
          <cell r="I1000" t="str">
            <v>2</v>
          </cell>
        </row>
        <row r="1001">
          <cell r="A1001" t="str">
            <v>ICAPISCOPARACAS</v>
          </cell>
          <cell r="B1001" t="str">
            <v>11</v>
          </cell>
          <cell r="C1001" t="str">
            <v>05</v>
          </cell>
          <cell r="D1001" t="str">
            <v>05</v>
          </cell>
          <cell r="E1001" t="str">
            <v>ICA</v>
          </cell>
          <cell r="F1001" t="str">
            <v>PISCO</v>
          </cell>
          <cell r="G1001" t="str">
            <v>PARACAS</v>
          </cell>
          <cell r="H1001" t="str">
            <v>011001</v>
          </cell>
          <cell r="I1001" t="str">
            <v>2</v>
          </cell>
        </row>
        <row r="1002">
          <cell r="A1002" t="str">
            <v>ICAPISCOSAN ANDRES</v>
          </cell>
          <cell r="B1002" t="str">
            <v>11</v>
          </cell>
          <cell r="C1002" t="str">
            <v>05</v>
          </cell>
          <cell r="D1002" t="str">
            <v>06</v>
          </cell>
          <cell r="E1002" t="str">
            <v>ICA</v>
          </cell>
          <cell r="F1002" t="str">
            <v>PISCO</v>
          </cell>
          <cell r="G1002" t="str">
            <v>SAN ANDRES</v>
          </cell>
          <cell r="H1002" t="str">
            <v>012118</v>
          </cell>
          <cell r="I1002" t="str">
            <v>2</v>
          </cell>
        </row>
        <row r="1003">
          <cell r="A1003" t="str">
            <v>ICAPISCOSAN CLEMENTE</v>
          </cell>
          <cell r="B1003" t="str">
            <v>11</v>
          </cell>
          <cell r="C1003" t="str">
            <v>05</v>
          </cell>
          <cell r="D1003" t="str">
            <v>07</v>
          </cell>
          <cell r="E1003" t="str">
            <v>ICA</v>
          </cell>
          <cell r="F1003" t="str">
            <v>PISCO</v>
          </cell>
          <cell r="G1003" t="str">
            <v>SAN CLEMENTE</v>
          </cell>
          <cell r="H1003" t="str">
            <v>011003</v>
          </cell>
          <cell r="I1003" t="str">
            <v>2</v>
          </cell>
        </row>
        <row r="1004">
          <cell r="A1004" t="str">
            <v>ICAPISCOTUPAC AMARU INCA</v>
          </cell>
          <cell r="B1004" t="str">
            <v>11</v>
          </cell>
          <cell r="C1004" t="str">
            <v>05</v>
          </cell>
          <cell r="D1004" t="str">
            <v>08</v>
          </cell>
          <cell r="E1004" t="str">
            <v>ICA</v>
          </cell>
          <cell r="F1004" t="str">
            <v>PISCO</v>
          </cell>
          <cell r="G1004" t="str">
            <v>TUPAC AMARU INCA</v>
          </cell>
          <cell r="H1004" t="str">
            <v>011004</v>
          </cell>
          <cell r="I1004" t="str">
            <v>2</v>
          </cell>
        </row>
        <row r="1005">
          <cell r="A1005" t="str">
            <v>JUNINHUANCAYOHUANCAYO</v>
          </cell>
          <cell r="B1005" t="str">
            <v>12</v>
          </cell>
          <cell r="C1005" t="str">
            <v>01</v>
          </cell>
          <cell r="D1005" t="str">
            <v>01</v>
          </cell>
          <cell r="E1005" t="str">
            <v>JUNIN</v>
          </cell>
          <cell r="F1005" t="str">
            <v>HUANCAYO</v>
          </cell>
          <cell r="G1005" t="str">
            <v>HUANCAYO</v>
          </cell>
          <cell r="H1005" t="str">
            <v>011005</v>
          </cell>
          <cell r="I1005" t="str">
            <v>1</v>
          </cell>
        </row>
        <row r="1006">
          <cell r="A1006" t="str">
            <v>JUNINHUANCAYOCARHUACALLANGA</v>
          </cell>
          <cell r="B1006" t="str">
            <v>12</v>
          </cell>
          <cell r="C1006" t="str">
            <v>01</v>
          </cell>
          <cell r="D1006" t="str">
            <v>04</v>
          </cell>
          <cell r="E1006" t="str">
            <v>JUNIN</v>
          </cell>
          <cell r="F1006" t="str">
            <v>HUANCAYO</v>
          </cell>
          <cell r="G1006" t="str">
            <v>CARHUACALLANGA</v>
          </cell>
          <cell r="H1006" t="str">
            <v>011021</v>
          </cell>
          <cell r="I1006" t="str">
            <v>2</v>
          </cell>
        </row>
        <row r="1007">
          <cell r="A1007" t="str">
            <v>JUNINHUANCAYOCHACAPAMPA</v>
          </cell>
          <cell r="B1007" t="str">
            <v>12</v>
          </cell>
          <cell r="C1007" t="str">
            <v>01</v>
          </cell>
          <cell r="D1007" t="str">
            <v>05</v>
          </cell>
          <cell r="E1007" t="str">
            <v>JUNIN</v>
          </cell>
          <cell r="F1007" t="str">
            <v>HUANCAYO</v>
          </cell>
          <cell r="G1007" t="str">
            <v>CHACAPAMPA</v>
          </cell>
          <cell r="H1007" t="str">
            <v>011022</v>
          </cell>
          <cell r="I1007" t="str">
            <v>2</v>
          </cell>
        </row>
        <row r="1008">
          <cell r="A1008" t="str">
            <v>JUNINHUANCAYOCHICCHE</v>
          </cell>
          <cell r="B1008" t="str">
            <v>12</v>
          </cell>
          <cell r="C1008" t="str">
            <v>01</v>
          </cell>
          <cell r="D1008" t="str">
            <v>06</v>
          </cell>
          <cell r="E1008" t="str">
            <v>JUNIN</v>
          </cell>
          <cell r="F1008" t="str">
            <v>HUANCAYO</v>
          </cell>
          <cell r="G1008" t="str">
            <v>CHICCHE</v>
          </cell>
          <cell r="H1008" t="str">
            <v>011023</v>
          </cell>
          <cell r="I1008" t="str">
            <v>2</v>
          </cell>
        </row>
        <row r="1009">
          <cell r="A1009" t="str">
            <v>JUNINHUANCAYOCHILCA</v>
          </cell>
          <cell r="B1009" t="str">
            <v>12</v>
          </cell>
          <cell r="C1009" t="str">
            <v>01</v>
          </cell>
          <cell r="D1009" t="str">
            <v>07</v>
          </cell>
          <cell r="E1009" t="str">
            <v>JUNIN</v>
          </cell>
          <cell r="F1009" t="str">
            <v>HUANCAYO</v>
          </cell>
          <cell r="G1009" t="str">
            <v>CHILCA</v>
          </cell>
          <cell r="H1009" t="str">
            <v>011006</v>
          </cell>
          <cell r="I1009" t="str">
            <v>2</v>
          </cell>
        </row>
        <row r="1010">
          <cell r="A1010" t="str">
            <v>JUNINHUANCAYOCHONGOS ALTO</v>
          </cell>
          <cell r="B1010" t="str">
            <v>12</v>
          </cell>
          <cell r="C1010" t="str">
            <v>01</v>
          </cell>
          <cell r="D1010" t="str">
            <v>08</v>
          </cell>
          <cell r="E1010" t="str">
            <v>JUNIN</v>
          </cell>
          <cell r="F1010" t="str">
            <v>HUANCAYO</v>
          </cell>
          <cell r="G1010" t="str">
            <v>CHONGOS ALTO</v>
          </cell>
          <cell r="H1010" t="str">
            <v>011024</v>
          </cell>
          <cell r="I1010" t="str">
            <v>2</v>
          </cell>
        </row>
        <row r="1011">
          <cell r="A1011" t="str">
            <v>JUNINHUANCAYOCHUPURO</v>
          </cell>
          <cell r="B1011" t="str">
            <v>12</v>
          </cell>
          <cell r="C1011" t="str">
            <v>01</v>
          </cell>
          <cell r="D1011" t="str">
            <v>11</v>
          </cell>
          <cell r="E1011" t="str">
            <v>JUNIN</v>
          </cell>
          <cell r="F1011" t="str">
            <v>HUANCAYO</v>
          </cell>
          <cell r="G1011" t="str">
            <v>CHUPURO</v>
          </cell>
          <cell r="H1011" t="str">
            <v>011025</v>
          </cell>
          <cell r="I1011" t="str">
            <v>2</v>
          </cell>
        </row>
        <row r="1012">
          <cell r="A1012" t="str">
            <v>JUNINHUANCAYOCOLCA</v>
          </cell>
          <cell r="B1012" t="str">
            <v>12</v>
          </cell>
          <cell r="C1012" t="str">
            <v>01</v>
          </cell>
          <cell r="D1012" t="str">
            <v>12</v>
          </cell>
          <cell r="E1012" t="str">
            <v>JUNIN</v>
          </cell>
          <cell r="F1012" t="str">
            <v>HUANCAYO</v>
          </cell>
          <cell r="G1012" t="str">
            <v>COLCA</v>
          </cell>
          <cell r="H1012" t="str">
            <v>011026</v>
          </cell>
          <cell r="I1012" t="str">
            <v>2</v>
          </cell>
        </row>
        <row r="1013">
          <cell r="A1013" t="str">
            <v>JUNINHUANCAYOCULLHUAS</v>
          </cell>
          <cell r="B1013" t="str">
            <v>12</v>
          </cell>
          <cell r="C1013" t="str">
            <v>01</v>
          </cell>
          <cell r="D1013" t="str">
            <v>13</v>
          </cell>
          <cell r="E1013" t="str">
            <v>JUNIN</v>
          </cell>
          <cell r="F1013" t="str">
            <v>HUANCAYO</v>
          </cell>
          <cell r="G1013" t="str">
            <v>CULLHUAS</v>
          </cell>
          <cell r="H1013" t="str">
            <v>011027</v>
          </cell>
          <cell r="I1013" t="str">
            <v>2</v>
          </cell>
        </row>
        <row r="1014">
          <cell r="A1014" t="str">
            <v>JUNINHUANCAYOEL TAMBO</v>
          </cell>
          <cell r="B1014" t="str">
            <v>12</v>
          </cell>
          <cell r="C1014" t="str">
            <v>01</v>
          </cell>
          <cell r="D1014" t="str">
            <v>14</v>
          </cell>
          <cell r="E1014" t="str">
            <v>JUNIN</v>
          </cell>
          <cell r="F1014" t="str">
            <v>HUANCAYO</v>
          </cell>
          <cell r="G1014" t="str">
            <v>EL TAMBO</v>
          </cell>
          <cell r="H1014" t="str">
            <v>011007</v>
          </cell>
          <cell r="I1014" t="str">
            <v>2</v>
          </cell>
        </row>
        <row r="1015">
          <cell r="A1015" t="str">
            <v>JUNINHUANCAYOHUACRAPUQUIO</v>
          </cell>
          <cell r="B1015" t="str">
            <v>12</v>
          </cell>
          <cell r="C1015" t="str">
            <v>01</v>
          </cell>
          <cell r="D1015" t="str">
            <v>16</v>
          </cell>
          <cell r="E1015" t="str">
            <v>JUNIN</v>
          </cell>
          <cell r="F1015" t="str">
            <v>HUANCAYO</v>
          </cell>
          <cell r="G1015" t="str">
            <v>HUACRAPUQUIO</v>
          </cell>
          <cell r="H1015" t="str">
            <v>011028</v>
          </cell>
          <cell r="I1015" t="str">
            <v>2</v>
          </cell>
        </row>
        <row r="1016">
          <cell r="A1016" t="str">
            <v>JUNINHUANCAYOHUALHUAS</v>
          </cell>
          <cell r="B1016" t="str">
            <v>12</v>
          </cell>
          <cell r="C1016" t="str">
            <v>01</v>
          </cell>
          <cell r="D1016" t="str">
            <v>17</v>
          </cell>
          <cell r="E1016" t="str">
            <v>JUNIN</v>
          </cell>
          <cell r="F1016" t="str">
            <v>HUANCAYO</v>
          </cell>
          <cell r="G1016" t="str">
            <v>HUALHUAS</v>
          </cell>
          <cell r="H1016" t="str">
            <v>011012</v>
          </cell>
          <cell r="I1016" t="str">
            <v>2</v>
          </cell>
        </row>
        <row r="1017">
          <cell r="A1017" t="str">
            <v>JUNINHUANCAYOHUANCAN</v>
          </cell>
          <cell r="B1017" t="str">
            <v>12</v>
          </cell>
          <cell r="C1017" t="str">
            <v>01</v>
          </cell>
          <cell r="D1017" t="str">
            <v>19</v>
          </cell>
          <cell r="E1017" t="str">
            <v>JUNIN</v>
          </cell>
          <cell r="F1017" t="str">
            <v>HUANCAYO</v>
          </cell>
          <cell r="G1017" t="str">
            <v>HUANCAN</v>
          </cell>
          <cell r="H1017" t="str">
            <v>011008</v>
          </cell>
          <cell r="I1017" t="str">
            <v>2</v>
          </cell>
        </row>
        <row r="1018">
          <cell r="A1018" t="str">
            <v>JUNINHUANCAYOHUASICANCHA</v>
          </cell>
          <cell r="B1018" t="str">
            <v>12</v>
          </cell>
          <cell r="C1018" t="str">
            <v>01</v>
          </cell>
          <cell r="D1018" t="str">
            <v>20</v>
          </cell>
          <cell r="E1018" t="str">
            <v>JUNIN</v>
          </cell>
          <cell r="F1018" t="str">
            <v>HUANCAYO</v>
          </cell>
          <cell r="G1018" t="str">
            <v>HUASICANCHA</v>
          </cell>
          <cell r="H1018" t="str">
            <v>011029</v>
          </cell>
          <cell r="I1018" t="str">
            <v>2</v>
          </cell>
        </row>
        <row r="1019">
          <cell r="A1019" t="str">
            <v>JUNINHUANCAYOHUAYUCACHI</v>
          </cell>
          <cell r="B1019" t="str">
            <v>12</v>
          </cell>
          <cell r="C1019" t="str">
            <v>01</v>
          </cell>
          <cell r="D1019" t="str">
            <v>21</v>
          </cell>
          <cell r="E1019" t="str">
            <v>JUNIN</v>
          </cell>
          <cell r="F1019" t="str">
            <v>HUANCAYO</v>
          </cell>
          <cell r="G1019" t="str">
            <v>HUAYUCACHI</v>
          </cell>
          <cell r="H1019" t="str">
            <v>012134</v>
          </cell>
          <cell r="I1019" t="str">
            <v>2</v>
          </cell>
        </row>
        <row r="1020">
          <cell r="A1020" t="str">
            <v>JUNINHUANCAYOINGENIO</v>
          </cell>
          <cell r="B1020" t="str">
            <v>12</v>
          </cell>
          <cell r="C1020" t="str">
            <v>01</v>
          </cell>
          <cell r="D1020" t="str">
            <v>22</v>
          </cell>
          <cell r="E1020" t="str">
            <v>JUNIN</v>
          </cell>
          <cell r="F1020" t="str">
            <v>HUANCAYO</v>
          </cell>
          <cell r="G1020" t="str">
            <v>INGENIO</v>
          </cell>
          <cell r="H1020" t="str">
            <v>011013</v>
          </cell>
          <cell r="I1020" t="str">
            <v>2</v>
          </cell>
        </row>
        <row r="1021">
          <cell r="A1021" t="str">
            <v>JUNINHUANCAYOPARIAHUANCA</v>
          </cell>
          <cell r="B1021" t="str">
            <v>12</v>
          </cell>
          <cell r="C1021" t="str">
            <v>01</v>
          </cell>
          <cell r="D1021" t="str">
            <v>24</v>
          </cell>
          <cell r="E1021" t="str">
            <v>JUNIN</v>
          </cell>
          <cell r="F1021" t="str">
            <v>HUANCAYO</v>
          </cell>
          <cell r="G1021" t="str">
            <v>PARIAHUANCA</v>
          </cell>
          <cell r="H1021" t="str">
            <v>011014</v>
          </cell>
          <cell r="I1021" t="str">
            <v>2</v>
          </cell>
        </row>
        <row r="1022">
          <cell r="A1022" t="str">
            <v>JUNINHUANCAYOPILCOMAYO</v>
          </cell>
          <cell r="B1022" t="str">
            <v>12</v>
          </cell>
          <cell r="C1022" t="str">
            <v>01</v>
          </cell>
          <cell r="D1022" t="str">
            <v>25</v>
          </cell>
          <cell r="E1022" t="str">
            <v>JUNIN</v>
          </cell>
          <cell r="F1022" t="str">
            <v>HUANCAYO</v>
          </cell>
          <cell r="G1022" t="str">
            <v>PILCOMAYO</v>
          </cell>
          <cell r="H1022" t="str">
            <v>011009</v>
          </cell>
          <cell r="I1022" t="str">
            <v>2</v>
          </cell>
        </row>
        <row r="1023">
          <cell r="A1023" t="str">
            <v>JUNINHUANCAYOPUCARA</v>
          </cell>
          <cell r="B1023" t="str">
            <v>12</v>
          </cell>
          <cell r="C1023" t="str">
            <v>01</v>
          </cell>
          <cell r="D1023" t="str">
            <v>26</v>
          </cell>
          <cell r="E1023" t="str">
            <v>JUNIN</v>
          </cell>
          <cell r="F1023" t="str">
            <v>HUANCAYO</v>
          </cell>
          <cell r="G1023" t="str">
            <v>PUCARA</v>
          </cell>
          <cell r="H1023" t="str">
            <v>011010</v>
          </cell>
          <cell r="I1023" t="str">
            <v>2</v>
          </cell>
        </row>
        <row r="1024">
          <cell r="A1024" t="str">
            <v>JUNINHUANCAYOQUICHUAY</v>
          </cell>
          <cell r="B1024" t="str">
            <v>12</v>
          </cell>
          <cell r="C1024" t="str">
            <v>01</v>
          </cell>
          <cell r="D1024" t="str">
            <v>27</v>
          </cell>
          <cell r="E1024" t="str">
            <v>JUNIN</v>
          </cell>
          <cell r="F1024" t="str">
            <v>HUANCAYO</v>
          </cell>
          <cell r="G1024" t="str">
            <v>QUICHUAY</v>
          </cell>
          <cell r="H1024" t="str">
            <v>012675</v>
          </cell>
          <cell r="I1024" t="str">
            <v>2</v>
          </cell>
        </row>
        <row r="1025">
          <cell r="A1025" t="str">
            <v>JUNINHUANCAYOQUILCAS</v>
          </cell>
          <cell r="B1025" t="str">
            <v>12</v>
          </cell>
          <cell r="C1025" t="str">
            <v>01</v>
          </cell>
          <cell r="D1025" t="str">
            <v>28</v>
          </cell>
          <cell r="E1025" t="str">
            <v>JUNIN</v>
          </cell>
          <cell r="F1025" t="str">
            <v>HUANCAYO</v>
          </cell>
          <cell r="G1025" t="str">
            <v>QUILCAS</v>
          </cell>
          <cell r="H1025" t="str">
            <v>011016</v>
          </cell>
          <cell r="I1025" t="str">
            <v>2</v>
          </cell>
        </row>
        <row r="1026">
          <cell r="A1026" t="str">
            <v>JUNINHUANCAYOSAN AGUSTIN</v>
          </cell>
          <cell r="B1026" t="str">
            <v>12</v>
          </cell>
          <cell r="C1026" t="str">
            <v>01</v>
          </cell>
          <cell r="D1026" t="str">
            <v>29</v>
          </cell>
          <cell r="E1026" t="str">
            <v>JUNIN</v>
          </cell>
          <cell r="F1026" t="str">
            <v>HUANCAYO</v>
          </cell>
          <cell r="G1026" t="str">
            <v>SAN AGUSTIN</v>
          </cell>
          <cell r="H1026" t="str">
            <v>011017</v>
          </cell>
          <cell r="I1026" t="str">
            <v>2</v>
          </cell>
        </row>
        <row r="1027">
          <cell r="A1027" t="str">
            <v>JUNINHUANCAYOSAN JERONIMO DE TUNAN</v>
          </cell>
          <cell r="B1027" t="str">
            <v>12</v>
          </cell>
          <cell r="C1027" t="str">
            <v>01</v>
          </cell>
          <cell r="D1027" t="str">
            <v>30</v>
          </cell>
          <cell r="E1027" t="str">
            <v>JUNIN</v>
          </cell>
          <cell r="F1027" t="str">
            <v>HUANCAYO</v>
          </cell>
          <cell r="G1027" t="str">
            <v>SAN JERONIMO DE TUNAN</v>
          </cell>
          <cell r="H1027" t="str">
            <v>011018</v>
          </cell>
          <cell r="I1027" t="str">
            <v>2</v>
          </cell>
        </row>
        <row r="1028">
          <cell r="A1028" t="str">
            <v>JUNINHUANCAYOSAÑO</v>
          </cell>
          <cell r="B1028" t="str">
            <v>12</v>
          </cell>
          <cell r="C1028" t="str">
            <v>01</v>
          </cell>
          <cell r="D1028" t="str">
            <v>32</v>
          </cell>
          <cell r="E1028" t="str">
            <v>JUNIN</v>
          </cell>
          <cell r="F1028" t="str">
            <v>HUANCAYO</v>
          </cell>
          <cell r="G1028" t="str">
            <v>SAÑO</v>
          </cell>
          <cell r="H1028" t="str">
            <v>011019</v>
          </cell>
          <cell r="I1028" t="str">
            <v>2</v>
          </cell>
        </row>
        <row r="1029">
          <cell r="A1029" t="str">
            <v>JUNINHUANCAYOSAPALLANGA</v>
          </cell>
          <cell r="B1029" t="str">
            <v>12</v>
          </cell>
          <cell r="C1029" t="str">
            <v>01</v>
          </cell>
          <cell r="D1029" t="str">
            <v>33</v>
          </cell>
          <cell r="E1029" t="str">
            <v>JUNIN</v>
          </cell>
          <cell r="F1029" t="str">
            <v>HUANCAYO</v>
          </cell>
          <cell r="G1029" t="str">
            <v>SAPALLANGA</v>
          </cell>
          <cell r="H1029" t="str">
            <v>012672</v>
          </cell>
          <cell r="I1029" t="str">
            <v>2</v>
          </cell>
        </row>
        <row r="1030">
          <cell r="A1030" t="str">
            <v>JUNINHUANCAYOSICAYA</v>
          </cell>
          <cell r="B1030" t="str">
            <v>12</v>
          </cell>
          <cell r="C1030" t="str">
            <v>01</v>
          </cell>
          <cell r="D1030" t="str">
            <v>34</v>
          </cell>
          <cell r="E1030" t="str">
            <v>JUNIN</v>
          </cell>
          <cell r="F1030" t="str">
            <v>HUANCAYO</v>
          </cell>
          <cell r="G1030" t="str">
            <v>SICAYA</v>
          </cell>
          <cell r="H1030" t="str">
            <v>011020</v>
          </cell>
          <cell r="I1030" t="str">
            <v>2</v>
          </cell>
        </row>
        <row r="1031">
          <cell r="A1031" t="str">
            <v>JUNINHUANCAYOSANTO DOMINGO DE ACOBAMBA</v>
          </cell>
          <cell r="B1031" t="str">
            <v>12</v>
          </cell>
          <cell r="C1031" t="str">
            <v>01</v>
          </cell>
          <cell r="D1031" t="str">
            <v>35</v>
          </cell>
          <cell r="E1031" t="str">
            <v>JUNIN</v>
          </cell>
          <cell r="F1031" t="str">
            <v>HUANCAYO</v>
          </cell>
          <cell r="G1031" t="str">
            <v>SANTO DOMINGO DE ACOBAMBA</v>
          </cell>
          <cell r="H1031" t="str">
            <v>011043</v>
          </cell>
          <cell r="I1031" t="str">
            <v>2</v>
          </cell>
        </row>
        <row r="1032">
          <cell r="A1032" t="str">
            <v>JUNINHUANCAYOVIQUES</v>
          </cell>
          <cell r="B1032" t="str">
            <v>12</v>
          </cell>
          <cell r="C1032" t="str">
            <v>01</v>
          </cell>
          <cell r="D1032" t="str">
            <v>36</v>
          </cell>
          <cell r="E1032" t="str">
            <v>JUNIN</v>
          </cell>
          <cell r="F1032" t="str">
            <v>HUANCAYO</v>
          </cell>
          <cell r="G1032" t="str">
            <v>VIQUES</v>
          </cell>
          <cell r="H1032" t="str">
            <v>011031</v>
          </cell>
          <cell r="I1032" t="str">
            <v>2</v>
          </cell>
        </row>
        <row r="1033">
          <cell r="A1033" t="str">
            <v>JUNINCONCEPCIONCONCEPCION</v>
          </cell>
          <cell r="B1033" t="str">
            <v>12</v>
          </cell>
          <cell r="C1033" t="str">
            <v>02</v>
          </cell>
          <cell r="D1033" t="str">
            <v>01</v>
          </cell>
          <cell r="E1033" t="str">
            <v>JUNIN</v>
          </cell>
          <cell r="F1033" t="str">
            <v>CONCEPCION</v>
          </cell>
          <cell r="G1033" t="str">
            <v>CONCEPCION</v>
          </cell>
          <cell r="H1033" t="str">
            <v>012668</v>
          </cell>
          <cell r="I1033" t="str">
            <v>1</v>
          </cell>
        </row>
        <row r="1034">
          <cell r="A1034" t="str">
            <v>JUNINCONCEPCIONACO</v>
          </cell>
          <cell r="B1034" t="str">
            <v>12</v>
          </cell>
          <cell r="C1034" t="str">
            <v>02</v>
          </cell>
          <cell r="D1034" t="str">
            <v>02</v>
          </cell>
          <cell r="E1034" t="str">
            <v>JUNIN</v>
          </cell>
          <cell r="F1034" t="str">
            <v>CONCEPCION</v>
          </cell>
          <cell r="G1034" t="str">
            <v>ACO</v>
          </cell>
          <cell r="H1034" t="str">
            <v>011033</v>
          </cell>
          <cell r="I1034" t="str">
            <v>2</v>
          </cell>
        </row>
        <row r="1035">
          <cell r="A1035" t="str">
            <v>JUNINCONCEPCIONANDAMARCA</v>
          </cell>
          <cell r="B1035" t="str">
            <v>12</v>
          </cell>
          <cell r="C1035" t="str">
            <v>02</v>
          </cell>
          <cell r="D1035" t="str">
            <v>03</v>
          </cell>
          <cell r="E1035" t="str">
            <v>JUNIN</v>
          </cell>
          <cell r="F1035" t="str">
            <v>CONCEPCION</v>
          </cell>
          <cell r="G1035" t="str">
            <v>ANDAMARCA</v>
          </cell>
          <cell r="H1035" t="str">
            <v>011044</v>
          </cell>
          <cell r="I1035" t="str">
            <v>2</v>
          </cell>
        </row>
        <row r="1036">
          <cell r="A1036" t="str">
            <v>JUNINCONCEPCIONCHAMBARA</v>
          </cell>
          <cell r="B1036" t="str">
            <v>12</v>
          </cell>
          <cell r="C1036" t="str">
            <v>02</v>
          </cell>
          <cell r="D1036" t="str">
            <v>04</v>
          </cell>
          <cell r="E1036" t="str">
            <v>JUNIN</v>
          </cell>
          <cell r="F1036" t="str">
            <v>CONCEPCION</v>
          </cell>
          <cell r="G1036" t="str">
            <v>CHAMBARA</v>
          </cell>
          <cell r="H1036" t="str">
            <v>011034</v>
          </cell>
          <cell r="I1036" t="str">
            <v>2</v>
          </cell>
        </row>
        <row r="1037">
          <cell r="A1037" t="str">
            <v>JUNINCONCEPCIONCOCHAS</v>
          </cell>
          <cell r="B1037" t="str">
            <v>12</v>
          </cell>
          <cell r="C1037" t="str">
            <v>02</v>
          </cell>
          <cell r="D1037" t="str">
            <v>05</v>
          </cell>
          <cell r="E1037" t="str">
            <v>JUNIN</v>
          </cell>
          <cell r="F1037" t="str">
            <v>CONCEPCION</v>
          </cell>
          <cell r="G1037" t="str">
            <v>COCHAS</v>
          </cell>
          <cell r="H1037" t="str">
            <v>011045</v>
          </cell>
          <cell r="I1037" t="str">
            <v>2</v>
          </cell>
        </row>
        <row r="1038">
          <cell r="A1038" t="str">
            <v>JUNINCONCEPCIONCOMAS</v>
          </cell>
          <cell r="B1038" t="str">
            <v>12</v>
          </cell>
          <cell r="C1038" t="str">
            <v>02</v>
          </cell>
          <cell r="D1038" t="str">
            <v>06</v>
          </cell>
          <cell r="E1038" t="str">
            <v>JUNIN</v>
          </cell>
          <cell r="F1038" t="str">
            <v>CONCEPCION</v>
          </cell>
          <cell r="G1038" t="str">
            <v>COMAS</v>
          </cell>
          <cell r="H1038" t="str">
            <v>011046</v>
          </cell>
          <cell r="I1038" t="str">
            <v>2</v>
          </cell>
        </row>
        <row r="1039">
          <cell r="A1039" t="str">
            <v>JUNINCONCEPCIONHEROINAS TOLEDO</v>
          </cell>
          <cell r="B1039" t="str">
            <v>12</v>
          </cell>
          <cell r="C1039" t="str">
            <v>02</v>
          </cell>
          <cell r="D1039" t="str">
            <v>07</v>
          </cell>
          <cell r="E1039" t="str">
            <v>JUNIN</v>
          </cell>
          <cell r="F1039" t="str">
            <v>CONCEPCION</v>
          </cell>
          <cell r="G1039" t="str">
            <v>HEROINAS TOLEDO</v>
          </cell>
          <cell r="H1039" t="str">
            <v>011035</v>
          </cell>
          <cell r="I1039" t="str">
            <v>2</v>
          </cell>
        </row>
        <row r="1040">
          <cell r="A1040" t="str">
            <v>JUNINCONCEPCIONMANZANARES</v>
          </cell>
          <cell r="B1040" t="str">
            <v>12</v>
          </cell>
          <cell r="C1040" t="str">
            <v>02</v>
          </cell>
          <cell r="D1040" t="str">
            <v>08</v>
          </cell>
          <cell r="E1040" t="str">
            <v>JUNIN</v>
          </cell>
          <cell r="F1040" t="str">
            <v>CONCEPCION</v>
          </cell>
          <cell r="G1040" t="str">
            <v>MANZANARES</v>
          </cell>
          <cell r="H1040" t="str">
            <v>012673</v>
          </cell>
          <cell r="I1040" t="str">
            <v>2</v>
          </cell>
        </row>
        <row r="1041">
          <cell r="A1041" t="str">
            <v>JUNINCONCEPCIONMARISCAL CASTILLA</v>
          </cell>
          <cell r="B1041" t="str">
            <v>12</v>
          </cell>
          <cell r="C1041" t="str">
            <v>02</v>
          </cell>
          <cell r="D1041" t="str">
            <v>09</v>
          </cell>
          <cell r="E1041" t="str">
            <v>JUNIN</v>
          </cell>
          <cell r="F1041" t="str">
            <v>CONCEPCION</v>
          </cell>
          <cell r="G1041" t="str">
            <v>MARISCAL CASTILLA</v>
          </cell>
          <cell r="H1041" t="str">
            <v>012155</v>
          </cell>
          <cell r="I1041" t="str">
            <v>2</v>
          </cell>
        </row>
        <row r="1042">
          <cell r="A1042" t="str">
            <v>JUNINCONCEPCIONMATAHUASI</v>
          </cell>
          <cell r="B1042" t="str">
            <v>12</v>
          </cell>
          <cell r="C1042" t="str">
            <v>02</v>
          </cell>
          <cell r="D1042" t="str">
            <v>10</v>
          </cell>
          <cell r="E1042" t="str">
            <v>JUNIN</v>
          </cell>
          <cell r="F1042" t="str">
            <v>CONCEPCION</v>
          </cell>
          <cell r="G1042" t="str">
            <v>MATAHUASI</v>
          </cell>
          <cell r="H1042" t="str">
            <v>011037</v>
          </cell>
          <cell r="I1042" t="str">
            <v>2</v>
          </cell>
        </row>
        <row r="1043">
          <cell r="A1043" t="str">
            <v>JUNINCONCEPCIONMITO</v>
          </cell>
          <cell r="B1043" t="str">
            <v>12</v>
          </cell>
          <cell r="C1043" t="str">
            <v>02</v>
          </cell>
          <cell r="D1043" t="str">
            <v>11</v>
          </cell>
          <cell r="E1043" t="str">
            <v>JUNIN</v>
          </cell>
          <cell r="F1043" t="str">
            <v>CONCEPCION</v>
          </cell>
          <cell r="G1043" t="str">
            <v>MITO</v>
          </cell>
          <cell r="H1043" t="str">
            <v>011038</v>
          </cell>
          <cell r="I1043" t="str">
            <v>2</v>
          </cell>
        </row>
        <row r="1044">
          <cell r="A1044" t="str">
            <v>JUNINCONCEPCIONNUEVE DE JULIO</v>
          </cell>
          <cell r="B1044" t="str">
            <v>12</v>
          </cell>
          <cell r="C1044" t="str">
            <v>02</v>
          </cell>
          <cell r="D1044" t="str">
            <v>12</v>
          </cell>
          <cell r="E1044" t="str">
            <v>JUNIN</v>
          </cell>
          <cell r="F1044" t="str">
            <v>CONCEPCION</v>
          </cell>
          <cell r="G1044" t="str">
            <v>NUEVE DE JULIO</v>
          </cell>
          <cell r="H1044" t="str">
            <v>011039</v>
          </cell>
          <cell r="I1044" t="str">
            <v>2</v>
          </cell>
        </row>
        <row r="1045">
          <cell r="A1045" t="str">
            <v>JUNINCONCEPCIONORCOTUNA</v>
          </cell>
          <cell r="B1045" t="str">
            <v>12</v>
          </cell>
          <cell r="C1045" t="str">
            <v>02</v>
          </cell>
          <cell r="D1045" t="str">
            <v>13</v>
          </cell>
          <cell r="E1045" t="str">
            <v>JUNIN</v>
          </cell>
          <cell r="F1045" t="str">
            <v>CONCEPCION</v>
          </cell>
          <cell r="G1045" t="str">
            <v>ORCOTUNA</v>
          </cell>
          <cell r="H1045" t="str">
            <v>011040</v>
          </cell>
          <cell r="I1045" t="str">
            <v>2</v>
          </cell>
        </row>
        <row r="1046">
          <cell r="A1046" t="str">
            <v>JUNINCONCEPCIONSAN JOSE DE QUERO</v>
          </cell>
          <cell r="B1046" t="str">
            <v>12</v>
          </cell>
          <cell r="C1046" t="str">
            <v>02</v>
          </cell>
          <cell r="D1046" t="str">
            <v>14</v>
          </cell>
          <cell r="E1046" t="str">
            <v>JUNIN</v>
          </cell>
          <cell r="F1046" t="str">
            <v>CONCEPCION</v>
          </cell>
          <cell r="G1046" t="str">
            <v>SAN JOSE DE QUERO</v>
          </cell>
          <cell r="H1046" t="str">
            <v>011041</v>
          </cell>
          <cell r="I1046" t="str">
            <v>2</v>
          </cell>
        </row>
        <row r="1047">
          <cell r="A1047" t="str">
            <v>JUNINCONCEPCIONSANTA ROSA DE OCOPA</v>
          </cell>
          <cell r="B1047" t="str">
            <v>12</v>
          </cell>
          <cell r="C1047" t="str">
            <v>02</v>
          </cell>
          <cell r="D1047" t="str">
            <v>15</v>
          </cell>
          <cell r="E1047" t="str">
            <v>JUNIN</v>
          </cell>
          <cell r="F1047" t="str">
            <v>CONCEPCION</v>
          </cell>
          <cell r="G1047" t="str">
            <v>SANTA ROSA DE OCOPA</v>
          </cell>
          <cell r="H1047" t="str">
            <v>011042</v>
          </cell>
          <cell r="I1047" t="str">
            <v>2</v>
          </cell>
        </row>
        <row r="1048">
          <cell r="A1048" t="str">
            <v>JUNINCHANCHAMAYOCHANCHAMAYO</v>
          </cell>
          <cell r="B1048" t="str">
            <v>12</v>
          </cell>
          <cell r="C1048" t="str">
            <v>03</v>
          </cell>
          <cell r="D1048" t="str">
            <v>01</v>
          </cell>
          <cell r="E1048" t="str">
            <v>JUNIN</v>
          </cell>
          <cell r="F1048" t="str">
            <v>CHANCHAMAYO</v>
          </cell>
          <cell r="G1048" t="str">
            <v>CHANCHAMAYO</v>
          </cell>
          <cell r="H1048" t="str">
            <v>011100</v>
          </cell>
          <cell r="I1048" t="str">
            <v>1</v>
          </cell>
        </row>
        <row r="1049">
          <cell r="A1049" t="str">
            <v>JUNINCHANCHAMAYOPERENE</v>
          </cell>
          <cell r="B1049" t="str">
            <v>12</v>
          </cell>
          <cell r="C1049" t="str">
            <v>03</v>
          </cell>
          <cell r="D1049" t="str">
            <v>02</v>
          </cell>
          <cell r="E1049" t="str">
            <v>JUNIN</v>
          </cell>
          <cell r="F1049" t="str">
            <v>CHANCHAMAYO</v>
          </cell>
          <cell r="G1049" t="str">
            <v>PERENE</v>
          </cell>
          <cell r="H1049" t="str">
            <v>012162</v>
          </cell>
          <cell r="I1049" t="str">
            <v>2</v>
          </cell>
        </row>
        <row r="1050">
          <cell r="A1050" t="str">
            <v>JUNINCHANCHAMAYOPICHANAQUI</v>
          </cell>
          <cell r="B1050" t="str">
            <v>12</v>
          </cell>
          <cell r="C1050" t="str">
            <v>03</v>
          </cell>
          <cell r="D1050" t="str">
            <v>03</v>
          </cell>
          <cell r="E1050" t="str">
            <v>JUNIN</v>
          </cell>
          <cell r="F1050" t="str">
            <v>CHANCHAMAYO</v>
          </cell>
          <cell r="G1050" t="str">
            <v>PICHANAQUI</v>
          </cell>
          <cell r="H1050" t="str">
            <v>011102</v>
          </cell>
          <cell r="I1050" t="str">
            <v>2</v>
          </cell>
        </row>
        <row r="1051">
          <cell r="A1051" t="str">
            <v>JUNINCHANCHAMAYOSAN LUIS DE SHUARO</v>
          </cell>
          <cell r="B1051" t="str">
            <v>12</v>
          </cell>
          <cell r="C1051" t="str">
            <v>03</v>
          </cell>
          <cell r="D1051" t="str">
            <v>04</v>
          </cell>
          <cell r="E1051" t="str">
            <v>JUNIN</v>
          </cell>
          <cell r="F1051" t="str">
            <v>CHANCHAMAYO</v>
          </cell>
          <cell r="G1051" t="str">
            <v>SAN LUIS DE SHUARO</v>
          </cell>
          <cell r="H1051" t="str">
            <v>012654</v>
          </cell>
          <cell r="I1051" t="str">
            <v>2</v>
          </cell>
        </row>
        <row r="1052">
          <cell r="A1052" t="str">
            <v>JUNINCHANCHAMAYOSAN RAMON</v>
          </cell>
          <cell r="B1052" t="str">
            <v>12</v>
          </cell>
          <cell r="C1052" t="str">
            <v>03</v>
          </cell>
          <cell r="D1052" t="str">
            <v>05</v>
          </cell>
          <cell r="E1052" t="str">
            <v>JUNIN</v>
          </cell>
          <cell r="F1052" t="str">
            <v>CHANCHAMAYO</v>
          </cell>
          <cell r="G1052" t="str">
            <v>SAN RAMON</v>
          </cell>
          <cell r="H1052" t="str">
            <v>011104</v>
          </cell>
          <cell r="I1052" t="str">
            <v>2</v>
          </cell>
        </row>
        <row r="1053">
          <cell r="A1053" t="str">
            <v>JUNINCHANCHAMAYOVITOC</v>
          </cell>
          <cell r="B1053" t="str">
            <v>12</v>
          </cell>
          <cell r="C1053" t="str">
            <v>03</v>
          </cell>
          <cell r="D1053" t="str">
            <v>06</v>
          </cell>
          <cell r="E1053" t="str">
            <v>JUNIN</v>
          </cell>
          <cell r="F1053" t="str">
            <v>CHANCHAMAYO</v>
          </cell>
          <cell r="G1053" t="str">
            <v>VITOC</v>
          </cell>
          <cell r="H1053" t="str">
            <v>012676</v>
          </cell>
          <cell r="I1053" t="str">
            <v>2</v>
          </cell>
        </row>
        <row r="1054">
          <cell r="A1054" t="str">
            <v>JUNINJAUJAJAUJA</v>
          </cell>
          <cell r="B1054" t="str">
            <v>12</v>
          </cell>
          <cell r="C1054" t="str">
            <v>04</v>
          </cell>
          <cell r="D1054" t="str">
            <v>01</v>
          </cell>
          <cell r="E1054" t="str">
            <v>JUNIN</v>
          </cell>
          <cell r="F1054" t="str">
            <v>JAUJA</v>
          </cell>
          <cell r="G1054" t="str">
            <v>JAUJA</v>
          </cell>
          <cell r="H1054" t="str">
            <v>011048</v>
          </cell>
          <cell r="I1054" t="str">
            <v>1</v>
          </cell>
        </row>
        <row r="1055">
          <cell r="A1055" t="str">
            <v>JUNINJAUJAACOLLA</v>
          </cell>
          <cell r="B1055" t="str">
            <v>12</v>
          </cell>
          <cell r="C1055" t="str">
            <v>04</v>
          </cell>
          <cell r="D1055" t="str">
            <v>02</v>
          </cell>
          <cell r="E1055" t="str">
            <v>JUNIN</v>
          </cell>
          <cell r="F1055" t="str">
            <v>JAUJA</v>
          </cell>
          <cell r="G1055" t="str">
            <v>ACOLLA</v>
          </cell>
          <cell r="H1055" t="str">
            <v>011049</v>
          </cell>
          <cell r="I1055" t="str">
            <v>2</v>
          </cell>
        </row>
        <row r="1056">
          <cell r="A1056" t="str">
            <v>JUNINJAUJAAPATA</v>
          </cell>
          <cell r="B1056" t="str">
            <v>12</v>
          </cell>
          <cell r="C1056" t="str">
            <v>04</v>
          </cell>
          <cell r="D1056" t="str">
            <v>03</v>
          </cell>
          <cell r="E1056" t="str">
            <v>JUNIN</v>
          </cell>
          <cell r="F1056" t="str">
            <v>JAUJA</v>
          </cell>
          <cell r="G1056" t="str">
            <v>APATA</v>
          </cell>
          <cell r="H1056" t="str">
            <v>012144</v>
          </cell>
          <cell r="I1056" t="str">
            <v>2</v>
          </cell>
        </row>
        <row r="1057">
          <cell r="A1057" t="str">
            <v>JUNINJAUJAATAURA</v>
          </cell>
          <cell r="B1057" t="str">
            <v>12</v>
          </cell>
          <cell r="C1057" t="str">
            <v>04</v>
          </cell>
          <cell r="D1057" t="str">
            <v>04</v>
          </cell>
          <cell r="E1057" t="str">
            <v>JUNIN</v>
          </cell>
          <cell r="F1057" t="str">
            <v>JAUJA</v>
          </cell>
          <cell r="G1057" t="str">
            <v>ATAURA</v>
          </cell>
          <cell r="H1057" t="str">
            <v>012665</v>
          </cell>
          <cell r="I1057" t="str">
            <v>2</v>
          </cell>
        </row>
        <row r="1058">
          <cell r="A1058" t="str">
            <v>JUNINJAUJACANCHAYLLO</v>
          </cell>
          <cell r="B1058" t="str">
            <v>12</v>
          </cell>
          <cell r="C1058" t="str">
            <v>04</v>
          </cell>
          <cell r="D1058" t="str">
            <v>05</v>
          </cell>
          <cell r="E1058" t="str">
            <v>JUNIN</v>
          </cell>
          <cell r="F1058" t="str">
            <v>JAUJA</v>
          </cell>
          <cell r="G1058" t="str">
            <v>CANCHAYLLO</v>
          </cell>
          <cell r="H1058" t="str">
            <v>011072</v>
          </cell>
          <cell r="I1058" t="str">
            <v>2</v>
          </cell>
        </row>
        <row r="1059">
          <cell r="A1059" t="str">
            <v>JUNINJAUJACURICACA</v>
          </cell>
          <cell r="B1059" t="str">
            <v>12</v>
          </cell>
          <cell r="C1059" t="str">
            <v>04</v>
          </cell>
          <cell r="D1059" t="str">
            <v>06</v>
          </cell>
          <cell r="E1059" t="str">
            <v>JUNIN</v>
          </cell>
          <cell r="F1059" t="str">
            <v>JAUJA</v>
          </cell>
          <cell r="G1059" t="str">
            <v>CURICACA</v>
          </cell>
          <cell r="H1059" t="str">
            <v>011073</v>
          </cell>
          <cell r="I1059" t="str">
            <v>2</v>
          </cell>
        </row>
        <row r="1060">
          <cell r="A1060" t="str">
            <v>JUNINJAUJAEL MANTARO</v>
          </cell>
          <cell r="B1060" t="str">
            <v>12</v>
          </cell>
          <cell r="C1060" t="str">
            <v>04</v>
          </cell>
          <cell r="D1060" t="str">
            <v>07</v>
          </cell>
          <cell r="E1060" t="str">
            <v>JUNIN</v>
          </cell>
          <cell r="F1060" t="str">
            <v>JAUJA</v>
          </cell>
          <cell r="G1060" t="str">
            <v>EL MANTARO</v>
          </cell>
          <cell r="H1060" t="str">
            <v>011064</v>
          </cell>
          <cell r="I1060" t="str">
            <v>2</v>
          </cell>
        </row>
        <row r="1061">
          <cell r="A1061" t="str">
            <v>JUNINJAUJAHUAMALI</v>
          </cell>
          <cell r="B1061" t="str">
            <v>12</v>
          </cell>
          <cell r="C1061" t="str">
            <v>04</v>
          </cell>
          <cell r="D1061" t="str">
            <v>08</v>
          </cell>
          <cell r="E1061" t="str">
            <v>JUNIN</v>
          </cell>
          <cell r="F1061" t="str">
            <v>JAUJA</v>
          </cell>
          <cell r="G1061" t="str">
            <v>HUAMALI</v>
          </cell>
          <cell r="H1061" t="str">
            <v>011065</v>
          </cell>
          <cell r="I1061" t="str">
            <v>2</v>
          </cell>
        </row>
        <row r="1062">
          <cell r="A1062" t="str">
            <v>JUNINJAUJAHUARIPAMPA</v>
          </cell>
          <cell r="B1062" t="str">
            <v>12</v>
          </cell>
          <cell r="C1062" t="str">
            <v>04</v>
          </cell>
          <cell r="D1062" t="str">
            <v>09</v>
          </cell>
          <cell r="E1062" t="str">
            <v>JUNIN</v>
          </cell>
          <cell r="F1062" t="str">
            <v>JAUJA</v>
          </cell>
          <cell r="G1062" t="str">
            <v>HUARIPAMPA</v>
          </cell>
          <cell r="H1062" t="str">
            <v>011074</v>
          </cell>
          <cell r="I1062" t="str">
            <v>2</v>
          </cell>
        </row>
        <row r="1063">
          <cell r="A1063" t="str">
            <v>JUNINJAUJAHUERTAS</v>
          </cell>
          <cell r="B1063" t="str">
            <v>12</v>
          </cell>
          <cell r="C1063" t="str">
            <v>04</v>
          </cell>
          <cell r="D1063" t="str">
            <v>10</v>
          </cell>
          <cell r="E1063" t="str">
            <v>JUNIN</v>
          </cell>
          <cell r="F1063" t="str">
            <v>JAUJA</v>
          </cell>
          <cell r="G1063" t="str">
            <v>HUERTAS</v>
          </cell>
          <cell r="H1063" t="str">
            <v>011066</v>
          </cell>
          <cell r="I1063" t="str">
            <v>2</v>
          </cell>
        </row>
        <row r="1064">
          <cell r="A1064" t="str">
            <v>JUNINJAUJAJANJAILLO</v>
          </cell>
          <cell r="B1064" t="str">
            <v>12</v>
          </cell>
          <cell r="C1064" t="str">
            <v>04</v>
          </cell>
          <cell r="D1064" t="str">
            <v>11</v>
          </cell>
          <cell r="E1064" t="str">
            <v>JUNIN</v>
          </cell>
          <cell r="F1064" t="str">
            <v>JAUJA</v>
          </cell>
          <cell r="G1064" t="str">
            <v>JANJAILLO</v>
          </cell>
          <cell r="H1064" t="str">
            <v>011050</v>
          </cell>
          <cell r="I1064" t="str">
            <v>2</v>
          </cell>
        </row>
        <row r="1065">
          <cell r="A1065" t="str">
            <v>JUNINJAUJAJULCAN</v>
          </cell>
          <cell r="B1065" t="str">
            <v>12</v>
          </cell>
          <cell r="C1065" t="str">
            <v>04</v>
          </cell>
          <cell r="D1065" t="str">
            <v>12</v>
          </cell>
          <cell r="E1065" t="str">
            <v>JUNIN</v>
          </cell>
          <cell r="F1065" t="str">
            <v>JAUJA</v>
          </cell>
          <cell r="G1065" t="str">
            <v>JULCAN</v>
          </cell>
          <cell r="H1065" t="str">
            <v>011067</v>
          </cell>
          <cell r="I1065" t="str">
            <v>2</v>
          </cell>
        </row>
        <row r="1066">
          <cell r="A1066" t="str">
            <v>JUNINJAUJALEONOR ORDOÑEZ</v>
          </cell>
          <cell r="B1066" t="str">
            <v>12</v>
          </cell>
          <cell r="C1066" t="str">
            <v>04</v>
          </cell>
          <cell r="D1066" t="str">
            <v>13</v>
          </cell>
          <cell r="E1066" t="str">
            <v>JUNIN</v>
          </cell>
          <cell r="F1066" t="str">
            <v>JAUJA</v>
          </cell>
          <cell r="G1066" t="str">
            <v>LEONOR ORDOÑEZ</v>
          </cell>
          <cell r="H1066" t="str">
            <v>011075</v>
          </cell>
          <cell r="I1066" t="str">
            <v>2</v>
          </cell>
        </row>
        <row r="1067">
          <cell r="A1067" t="str">
            <v>JUNINJAUJALLOCLLAPAMPA</v>
          </cell>
          <cell r="B1067" t="str">
            <v>12</v>
          </cell>
          <cell r="C1067" t="str">
            <v>04</v>
          </cell>
          <cell r="D1067" t="str">
            <v>14</v>
          </cell>
          <cell r="E1067" t="str">
            <v>JUNIN</v>
          </cell>
          <cell r="F1067" t="str">
            <v>JAUJA</v>
          </cell>
          <cell r="G1067" t="str">
            <v>LLOCLLAPAMPA</v>
          </cell>
          <cell r="H1067" t="str">
            <v>011076</v>
          </cell>
          <cell r="I1067" t="str">
            <v>2</v>
          </cell>
        </row>
        <row r="1068">
          <cell r="A1068" t="str">
            <v>JUNINJAUJAMARCO</v>
          </cell>
          <cell r="B1068" t="str">
            <v>12</v>
          </cell>
          <cell r="C1068" t="str">
            <v>04</v>
          </cell>
          <cell r="D1068" t="str">
            <v>15</v>
          </cell>
          <cell r="E1068" t="str">
            <v>JUNIN</v>
          </cell>
          <cell r="F1068" t="str">
            <v>JAUJA</v>
          </cell>
          <cell r="G1068" t="str">
            <v>MARCO</v>
          </cell>
          <cell r="H1068" t="str">
            <v>011051</v>
          </cell>
          <cell r="I1068" t="str">
            <v>2</v>
          </cell>
        </row>
        <row r="1069">
          <cell r="A1069" t="str">
            <v>JUNINJAUJAMASMA</v>
          </cell>
          <cell r="B1069" t="str">
            <v>12</v>
          </cell>
          <cell r="C1069" t="str">
            <v>04</v>
          </cell>
          <cell r="D1069" t="str">
            <v>16</v>
          </cell>
          <cell r="E1069" t="str">
            <v>JUNIN</v>
          </cell>
          <cell r="F1069" t="str">
            <v>JAUJA</v>
          </cell>
          <cell r="G1069" t="str">
            <v>MASMA</v>
          </cell>
          <cell r="H1069" t="str">
            <v>011068</v>
          </cell>
          <cell r="I1069" t="str">
            <v>2</v>
          </cell>
        </row>
        <row r="1070">
          <cell r="A1070" t="str">
            <v>JUNINJAUJAMASMA CHICCHE</v>
          </cell>
          <cell r="B1070" t="str">
            <v>12</v>
          </cell>
          <cell r="C1070" t="str">
            <v>04</v>
          </cell>
          <cell r="D1070" t="str">
            <v>17</v>
          </cell>
          <cell r="E1070" t="str">
            <v>JUNIN</v>
          </cell>
          <cell r="F1070" t="str">
            <v>JAUJA</v>
          </cell>
          <cell r="G1070" t="str">
            <v>MASMA CHICCHE</v>
          </cell>
          <cell r="H1070" t="str">
            <v>011069</v>
          </cell>
          <cell r="I1070" t="str">
            <v>2</v>
          </cell>
        </row>
        <row r="1071">
          <cell r="A1071" t="str">
            <v>JUNINJAUJAMOLINOS</v>
          </cell>
          <cell r="B1071" t="str">
            <v>12</v>
          </cell>
          <cell r="C1071" t="str">
            <v>04</v>
          </cell>
          <cell r="D1071" t="str">
            <v>18</v>
          </cell>
          <cell r="E1071" t="str">
            <v>JUNIN</v>
          </cell>
          <cell r="F1071" t="str">
            <v>JAUJA</v>
          </cell>
          <cell r="G1071" t="str">
            <v>MOLINOS</v>
          </cell>
          <cell r="H1071" t="str">
            <v>011070</v>
          </cell>
          <cell r="I1071" t="str">
            <v>2</v>
          </cell>
        </row>
        <row r="1072">
          <cell r="A1072" t="str">
            <v>JUNINJAUJAMONOBAMBA</v>
          </cell>
          <cell r="B1072" t="str">
            <v>12</v>
          </cell>
          <cell r="C1072" t="str">
            <v>04</v>
          </cell>
          <cell r="D1072" t="str">
            <v>19</v>
          </cell>
          <cell r="E1072" t="str">
            <v>JUNIN</v>
          </cell>
          <cell r="F1072" t="str">
            <v>JAUJA</v>
          </cell>
          <cell r="G1072" t="str">
            <v>MONOBAMBA</v>
          </cell>
          <cell r="H1072" t="str">
            <v>011052</v>
          </cell>
          <cell r="I1072" t="str">
            <v>2</v>
          </cell>
        </row>
        <row r="1073">
          <cell r="A1073" t="str">
            <v>JUNINJAUJAMUQUI</v>
          </cell>
          <cell r="B1073" t="str">
            <v>12</v>
          </cell>
          <cell r="C1073" t="str">
            <v>04</v>
          </cell>
          <cell r="D1073" t="str">
            <v>20</v>
          </cell>
          <cell r="E1073" t="str">
            <v>JUNIN</v>
          </cell>
          <cell r="F1073" t="str">
            <v>JAUJA</v>
          </cell>
          <cell r="G1073" t="str">
            <v>MUQUI</v>
          </cell>
          <cell r="H1073" t="str">
            <v>012667</v>
          </cell>
          <cell r="I1073" t="str">
            <v>2</v>
          </cell>
        </row>
        <row r="1074">
          <cell r="A1074" t="str">
            <v>JUNINJAUJAMUQUIYAUYO</v>
          </cell>
          <cell r="B1074" t="str">
            <v>12</v>
          </cell>
          <cell r="C1074" t="str">
            <v>04</v>
          </cell>
          <cell r="D1074" t="str">
            <v>21</v>
          </cell>
          <cell r="E1074" t="str">
            <v>JUNIN</v>
          </cell>
          <cell r="F1074" t="str">
            <v>JAUJA</v>
          </cell>
          <cell r="G1074" t="str">
            <v>MUQUIYAUYO</v>
          </cell>
          <cell r="H1074" t="str">
            <v>011078</v>
          </cell>
          <cell r="I1074" t="str">
            <v>2</v>
          </cell>
        </row>
        <row r="1075">
          <cell r="A1075" t="str">
            <v>JUNINJAUJAPACA</v>
          </cell>
          <cell r="B1075" t="str">
            <v>12</v>
          </cell>
          <cell r="C1075" t="str">
            <v>04</v>
          </cell>
          <cell r="D1075" t="str">
            <v>22</v>
          </cell>
          <cell r="E1075" t="str">
            <v>JUNIN</v>
          </cell>
          <cell r="F1075" t="str">
            <v>JAUJA</v>
          </cell>
          <cell r="G1075" t="str">
            <v>PACA</v>
          </cell>
          <cell r="H1075" t="str">
            <v>011053</v>
          </cell>
          <cell r="I1075" t="str">
            <v>2</v>
          </cell>
        </row>
        <row r="1076">
          <cell r="A1076" t="str">
            <v>JUNINJAUJAPACCHA</v>
          </cell>
          <cell r="B1076" t="str">
            <v>12</v>
          </cell>
          <cell r="C1076" t="str">
            <v>04</v>
          </cell>
          <cell r="D1076" t="str">
            <v>23</v>
          </cell>
          <cell r="E1076" t="str">
            <v>JUNIN</v>
          </cell>
          <cell r="F1076" t="str">
            <v>JAUJA</v>
          </cell>
          <cell r="G1076" t="str">
            <v>PACCHA</v>
          </cell>
          <cell r="H1076" t="str">
            <v>011079</v>
          </cell>
          <cell r="I1076" t="str">
            <v>2</v>
          </cell>
        </row>
        <row r="1077">
          <cell r="A1077" t="str">
            <v>JUNINJAUJAPANCAN</v>
          </cell>
          <cell r="B1077" t="str">
            <v>12</v>
          </cell>
          <cell r="C1077" t="str">
            <v>04</v>
          </cell>
          <cell r="D1077" t="str">
            <v>24</v>
          </cell>
          <cell r="E1077" t="str">
            <v>JUNIN</v>
          </cell>
          <cell r="F1077" t="str">
            <v>JAUJA</v>
          </cell>
          <cell r="G1077" t="str">
            <v>PANCAN</v>
          </cell>
          <cell r="H1077" t="str">
            <v>011054</v>
          </cell>
          <cell r="I1077" t="str">
            <v>2</v>
          </cell>
        </row>
        <row r="1078">
          <cell r="A1078" t="str">
            <v>JUNINJAUJAPARCO</v>
          </cell>
          <cell r="B1078" t="str">
            <v>12</v>
          </cell>
          <cell r="C1078" t="str">
            <v>04</v>
          </cell>
          <cell r="D1078" t="str">
            <v>25</v>
          </cell>
          <cell r="E1078" t="str">
            <v>JUNIN</v>
          </cell>
          <cell r="F1078" t="str">
            <v>JAUJA</v>
          </cell>
          <cell r="G1078" t="str">
            <v>PARCO</v>
          </cell>
          <cell r="H1078" t="str">
            <v>011080</v>
          </cell>
          <cell r="I1078" t="str">
            <v>2</v>
          </cell>
        </row>
        <row r="1079">
          <cell r="A1079" t="str">
            <v>JUNINJAUJAPOMACANCHA</v>
          </cell>
          <cell r="B1079" t="str">
            <v>12</v>
          </cell>
          <cell r="C1079" t="str">
            <v>04</v>
          </cell>
          <cell r="D1079" t="str">
            <v>26</v>
          </cell>
          <cell r="E1079" t="str">
            <v>JUNIN</v>
          </cell>
          <cell r="F1079" t="str">
            <v>JAUJA</v>
          </cell>
          <cell r="G1079" t="str">
            <v>POMACANCHA</v>
          </cell>
          <cell r="H1079" t="str">
            <v>012169</v>
          </cell>
          <cell r="I1079" t="str">
            <v>2</v>
          </cell>
        </row>
        <row r="1080">
          <cell r="A1080" t="str">
            <v>JUNINJAUJARICRAN</v>
          </cell>
          <cell r="B1080" t="str">
            <v>12</v>
          </cell>
          <cell r="C1080" t="str">
            <v>04</v>
          </cell>
          <cell r="D1080" t="str">
            <v>27</v>
          </cell>
          <cell r="E1080" t="str">
            <v>JUNIN</v>
          </cell>
          <cell r="F1080" t="str">
            <v>JAUJA</v>
          </cell>
          <cell r="G1080" t="str">
            <v>RICRAN</v>
          </cell>
          <cell r="H1080" t="str">
            <v>011056</v>
          </cell>
          <cell r="I1080" t="str">
            <v>2</v>
          </cell>
        </row>
        <row r="1081">
          <cell r="A1081" t="str">
            <v>JUNINJAUJASAN LORENZO</v>
          </cell>
          <cell r="B1081" t="str">
            <v>12</v>
          </cell>
          <cell r="C1081" t="str">
            <v>04</v>
          </cell>
          <cell r="D1081" t="str">
            <v>28</v>
          </cell>
          <cell r="E1081" t="str">
            <v>JUNIN</v>
          </cell>
          <cell r="F1081" t="str">
            <v>JAUJA</v>
          </cell>
          <cell r="G1081" t="str">
            <v>SAN LORENZO</v>
          </cell>
          <cell r="H1081" t="str">
            <v>011071</v>
          </cell>
          <cell r="I1081" t="str">
            <v>2</v>
          </cell>
        </row>
        <row r="1082">
          <cell r="A1082" t="str">
            <v>JUNINJAUJASAN PEDRO DE CHUNAN</v>
          </cell>
          <cell r="B1082" t="str">
            <v>12</v>
          </cell>
          <cell r="C1082" t="str">
            <v>04</v>
          </cell>
          <cell r="D1082" t="str">
            <v>29</v>
          </cell>
          <cell r="E1082" t="str">
            <v>JUNIN</v>
          </cell>
          <cell r="F1082" t="str">
            <v>JAUJA</v>
          </cell>
          <cell r="G1082" t="str">
            <v>SAN PEDRO DE CHUNAN</v>
          </cell>
          <cell r="H1082" t="str">
            <v>011057</v>
          </cell>
          <cell r="I1082" t="str">
            <v>2</v>
          </cell>
        </row>
        <row r="1083">
          <cell r="A1083" t="str">
            <v>JUNINJAUJASAUSA</v>
          </cell>
          <cell r="B1083" t="str">
            <v>12</v>
          </cell>
          <cell r="C1083" t="str">
            <v>04</v>
          </cell>
          <cell r="D1083" t="str">
            <v>30</v>
          </cell>
          <cell r="E1083" t="str">
            <v>JUNIN</v>
          </cell>
          <cell r="F1083" t="str">
            <v>JAUJA</v>
          </cell>
          <cell r="G1083" t="str">
            <v>SAUSA</v>
          </cell>
          <cell r="H1083" t="str">
            <v>011058</v>
          </cell>
          <cell r="I1083" t="str">
            <v>2</v>
          </cell>
        </row>
        <row r="1084">
          <cell r="A1084" t="str">
            <v>JUNINJAUJASINCOS</v>
          </cell>
          <cell r="B1084" t="str">
            <v>12</v>
          </cell>
          <cell r="C1084" t="str">
            <v>04</v>
          </cell>
          <cell r="D1084" t="str">
            <v>31</v>
          </cell>
          <cell r="E1084" t="str">
            <v>JUNIN</v>
          </cell>
          <cell r="F1084" t="str">
            <v>JAUJA</v>
          </cell>
          <cell r="G1084" t="str">
            <v>SINCOS</v>
          </cell>
          <cell r="H1084" t="str">
            <v>011081</v>
          </cell>
          <cell r="I1084" t="str">
            <v>2</v>
          </cell>
        </row>
        <row r="1085">
          <cell r="A1085" t="str">
            <v>JUNINJAUJATUNAN MARCA</v>
          </cell>
          <cell r="B1085" t="str">
            <v>12</v>
          </cell>
          <cell r="C1085" t="str">
            <v>04</v>
          </cell>
          <cell r="D1085" t="str">
            <v>32</v>
          </cell>
          <cell r="E1085" t="str">
            <v>JUNIN</v>
          </cell>
          <cell r="F1085" t="str">
            <v>JAUJA</v>
          </cell>
          <cell r="G1085" t="str">
            <v>TUNAN MARCA</v>
          </cell>
          <cell r="H1085" t="str">
            <v>011059</v>
          </cell>
          <cell r="I1085" t="str">
            <v>2</v>
          </cell>
        </row>
        <row r="1086">
          <cell r="A1086" t="str">
            <v>JUNINJAUJAYAULI</v>
          </cell>
          <cell r="B1086" t="str">
            <v>12</v>
          </cell>
          <cell r="C1086" t="str">
            <v>04</v>
          </cell>
          <cell r="D1086" t="str">
            <v>33</v>
          </cell>
          <cell r="E1086" t="str">
            <v>JUNIN</v>
          </cell>
          <cell r="F1086" t="str">
            <v>JAUJA</v>
          </cell>
          <cell r="G1086" t="str">
            <v>YAULI</v>
          </cell>
          <cell r="H1086" t="str">
            <v>011060</v>
          </cell>
          <cell r="I1086" t="str">
            <v>2</v>
          </cell>
        </row>
        <row r="1087">
          <cell r="A1087" t="str">
            <v>JUNINJAUJAYAUYOS</v>
          </cell>
          <cell r="B1087" t="str">
            <v>12</v>
          </cell>
          <cell r="C1087" t="str">
            <v>04</v>
          </cell>
          <cell r="D1087" t="str">
            <v>34</v>
          </cell>
          <cell r="E1087" t="str">
            <v>JUNIN</v>
          </cell>
          <cell r="F1087" t="str">
            <v>JAUJA</v>
          </cell>
          <cell r="G1087" t="str">
            <v>YAUYOS</v>
          </cell>
          <cell r="H1087" t="str">
            <v>011061</v>
          </cell>
          <cell r="I1087" t="str">
            <v>2</v>
          </cell>
        </row>
        <row r="1088">
          <cell r="A1088" t="str">
            <v>JUNINJUNINJUNIN</v>
          </cell>
          <cell r="B1088" t="str">
            <v>12</v>
          </cell>
          <cell r="C1088" t="str">
            <v>05</v>
          </cell>
          <cell r="D1088" t="str">
            <v>01</v>
          </cell>
          <cell r="E1088" t="str">
            <v>JUNIN</v>
          </cell>
          <cell r="F1088" t="str">
            <v>JUNIN</v>
          </cell>
          <cell r="G1088" t="str">
            <v>JUNIN</v>
          </cell>
          <cell r="H1088" t="str">
            <v>011114</v>
          </cell>
          <cell r="I1088" t="str">
            <v>1</v>
          </cell>
        </row>
        <row r="1089">
          <cell r="A1089" t="str">
            <v>JUNINJUNINCARHUAMAYO</v>
          </cell>
          <cell r="B1089" t="str">
            <v>12</v>
          </cell>
          <cell r="C1089" t="str">
            <v>05</v>
          </cell>
          <cell r="D1089" t="str">
            <v>02</v>
          </cell>
          <cell r="E1089" t="str">
            <v>JUNIN</v>
          </cell>
          <cell r="F1089" t="str">
            <v>JUNIN</v>
          </cell>
          <cell r="G1089" t="str">
            <v>CARHUAMAYO</v>
          </cell>
          <cell r="H1089" t="str">
            <v>011115</v>
          </cell>
          <cell r="I1089" t="str">
            <v>2</v>
          </cell>
        </row>
        <row r="1090">
          <cell r="A1090" t="str">
            <v>JUNINJUNINONDORES</v>
          </cell>
          <cell r="B1090" t="str">
            <v>12</v>
          </cell>
          <cell r="C1090" t="str">
            <v>05</v>
          </cell>
          <cell r="D1090" t="str">
            <v>03</v>
          </cell>
          <cell r="E1090" t="str">
            <v>JUNIN</v>
          </cell>
          <cell r="F1090" t="str">
            <v>JUNIN</v>
          </cell>
          <cell r="G1090" t="str">
            <v>ONDORES</v>
          </cell>
          <cell r="H1090" t="str">
            <v>011116</v>
          </cell>
          <cell r="I1090" t="str">
            <v>2</v>
          </cell>
        </row>
        <row r="1091">
          <cell r="A1091" t="str">
            <v>JUNINJUNINULCUMAYO</v>
          </cell>
          <cell r="B1091" t="str">
            <v>12</v>
          </cell>
          <cell r="C1091" t="str">
            <v>05</v>
          </cell>
          <cell r="D1091" t="str">
            <v>04</v>
          </cell>
          <cell r="E1091" t="str">
            <v>JUNIN</v>
          </cell>
          <cell r="F1091" t="str">
            <v>JUNIN</v>
          </cell>
          <cell r="G1091" t="str">
            <v>ULCUMAYO</v>
          </cell>
          <cell r="H1091" t="str">
            <v>011117</v>
          </cell>
          <cell r="I1091" t="str">
            <v>2</v>
          </cell>
        </row>
        <row r="1092">
          <cell r="A1092" t="str">
            <v>JUNINSATIPOSATIPO</v>
          </cell>
          <cell r="B1092" t="str">
            <v>12</v>
          </cell>
          <cell r="C1092" t="str">
            <v>06</v>
          </cell>
          <cell r="D1092" t="str">
            <v>01</v>
          </cell>
          <cell r="E1092" t="str">
            <v>JUNIN</v>
          </cell>
          <cell r="F1092" t="str">
            <v>SATIPO</v>
          </cell>
          <cell r="G1092" t="str">
            <v>SATIPO</v>
          </cell>
          <cell r="H1092" t="str">
            <v>011106</v>
          </cell>
          <cell r="I1092" t="str">
            <v>1</v>
          </cell>
        </row>
        <row r="1093">
          <cell r="A1093" t="str">
            <v>JUNINSATIPOCOVIRIALI</v>
          </cell>
          <cell r="B1093" t="str">
            <v>12</v>
          </cell>
          <cell r="C1093" t="str">
            <v>06</v>
          </cell>
          <cell r="D1093" t="str">
            <v>02</v>
          </cell>
          <cell r="E1093" t="str">
            <v>JUNIN</v>
          </cell>
          <cell r="F1093" t="str">
            <v>SATIPO</v>
          </cell>
          <cell r="G1093" t="str">
            <v>COVIRIALI</v>
          </cell>
          <cell r="H1093" t="str">
            <v>011107</v>
          </cell>
          <cell r="I1093" t="str">
            <v>2</v>
          </cell>
        </row>
        <row r="1094">
          <cell r="A1094" t="str">
            <v>JUNINSATIPOLLAYLLA</v>
          </cell>
          <cell r="B1094" t="str">
            <v>12</v>
          </cell>
          <cell r="C1094" t="str">
            <v>06</v>
          </cell>
          <cell r="D1094" t="str">
            <v>03</v>
          </cell>
          <cell r="E1094" t="str">
            <v>JUNIN</v>
          </cell>
          <cell r="F1094" t="str">
            <v>SATIPO</v>
          </cell>
          <cell r="G1094" t="str">
            <v>LLAYLLA</v>
          </cell>
          <cell r="H1094" t="str">
            <v>012656</v>
          </cell>
          <cell r="I1094" t="str">
            <v>2</v>
          </cell>
        </row>
        <row r="1095">
          <cell r="A1095" t="str">
            <v>JUNINSATIPOMAZAMARI</v>
          </cell>
          <cell r="B1095" t="str">
            <v>12</v>
          </cell>
          <cell r="C1095" t="str">
            <v>06</v>
          </cell>
          <cell r="D1095" t="str">
            <v>04</v>
          </cell>
          <cell r="E1095" t="str">
            <v>JUNIN</v>
          </cell>
          <cell r="F1095" t="str">
            <v>SATIPO</v>
          </cell>
          <cell r="G1095" t="str">
            <v>MAZAMARI</v>
          </cell>
          <cell r="H1095" t="str">
            <v>011109</v>
          </cell>
          <cell r="I1095" t="str">
            <v>2</v>
          </cell>
        </row>
        <row r="1096">
          <cell r="A1096" t="str">
            <v>JUNINSATIPOPAMPA HERMOSA</v>
          </cell>
          <cell r="B1096" t="str">
            <v>12</v>
          </cell>
          <cell r="C1096" t="str">
            <v>06</v>
          </cell>
          <cell r="D1096" t="str">
            <v>05</v>
          </cell>
          <cell r="E1096" t="str">
            <v>JUNIN</v>
          </cell>
          <cell r="F1096" t="str">
            <v>SATIPO</v>
          </cell>
          <cell r="G1096" t="str">
            <v>PAMPA HERMOSA</v>
          </cell>
          <cell r="H1096" t="str">
            <v>011110</v>
          </cell>
          <cell r="I1096" t="str">
            <v>2</v>
          </cell>
        </row>
        <row r="1097">
          <cell r="A1097" t="str">
            <v>JUNINSATIPOPANGOA</v>
          </cell>
          <cell r="B1097" t="str">
            <v>12</v>
          </cell>
          <cell r="C1097" t="str">
            <v>06</v>
          </cell>
          <cell r="D1097" t="str">
            <v>06</v>
          </cell>
          <cell r="E1097" t="str">
            <v>JUNIN</v>
          </cell>
          <cell r="F1097" t="str">
            <v>SATIPO</v>
          </cell>
          <cell r="G1097" t="str">
            <v>PANGOA</v>
          </cell>
          <cell r="H1097" t="str">
            <v>012657</v>
          </cell>
          <cell r="I1097" t="str">
            <v>2</v>
          </cell>
        </row>
        <row r="1098">
          <cell r="A1098" t="str">
            <v>JUNINSATIPORIO NEGRO</v>
          </cell>
          <cell r="B1098" t="str">
            <v>12</v>
          </cell>
          <cell r="C1098" t="str">
            <v>06</v>
          </cell>
          <cell r="D1098" t="str">
            <v>07</v>
          </cell>
          <cell r="E1098" t="str">
            <v>JUNIN</v>
          </cell>
          <cell r="F1098" t="str">
            <v>SATIPO</v>
          </cell>
          <cell r="G1098" t="str">
            <v>RIO NEGRO</v>
          </cell>
          <cell r="H1098" t="str">
            <v>011112</v>
          </cell>
          <cell r="I1098" t="str">
            <v>2</v>
          </cell>
        </row>
        <row r="1099">
          <cell r="A1099" t="str">
            <v>JUNINSATIPORIO TAMBO</v>
          </cell>
          <cell r="B1099" t="str">
            <v>12</v>
          </cell>
          <cell r="C1099" t="str">
            <v>06</v>
          </cell>
          <cell r="D1099" t="str">
            <v>08</v>
          </cell>
          <cell r="E1099" t="str">
            <v>JUNIN</v>
          </cell>
          <cell r="F1099" t="str">
            <v>SATIPO</v>
          </cell>
          <cell r="G1099" t="str">
            <v>RIO TAMBO</v>
          </cell>
          <cell r="H1099" t="str">
            <v>011113</v>
          </cell>
          <cell r="I1099" t="str">
            <v>2</v>
          </cell>
        </row>
        <row r="1100">
          <cell r="A1100" t="str">
            <v>JUNINTARMATARMA</v>
          </cell>
          <cell r="B1100" t="str">
            <v>12</v>
          </cell>
          <cell r="C1100" t="str">
            <v>07</v>
          </cell>
          <cell r="D1100" t="str">
            <v>01</v>
          </cell>
          <cell r="E1100" t="str">
            <v>JUNIN</v>
          </cell>
          <cell r="F1100" t="str">
            <v>TARMA</v>
          </cell>
          <cell r="G1100" t="str">
            <v>TARMA</v>
          </cell>
          <cell r="H1100" t="str">
            <v>012156</v>
          </cell>
          <cell r="I1100" t="str">
            <v>1</v>
          </cell>
        </row>
        <row r="1101">
          <cell r="A1101" t="str">
            <v>JUNINTARMAACOBAMBA</v>
          </cell>
          <cell r="B1101" t="str">
            <v>12</v>
          </cell>
          <cell r="C1101" t="str">
            <v>07</v>
          </cell>
          <cell r="D1101" t="str">
            <v>02</v>
          </cell>
          <cell r="E1101" t="str">
            <v>JUNIN</v>
          </cell>
          <cell r="F1101" t="str">
            <v>TARMA</v>
          </cell>
          <cell r="G1101" t="str">
            <v>ACOBAMBA</v>
          </cell>
          <cell r="H1101" t="str">
            <v>011092</v>
          </cell>
          <cell r="I1101" t="str">
            <v>2</v>
          </cell>
        </row>
        <row r="1102">
          <cell r="A1102" t="str">
            <v>JUNINTARMAHUARICOLCA</v>
          </cell>
          <cell r="B1102" t="str">
            <v>12</v>
          </cell>
          <cell r="C1102" t="str">
            <v>07</v>
          </cell>
          <cell r="D1102" t="str">
            <v>03</v>
          </cell>
          <cell r="E1102" t="str">
            <v>JUNIN</v>
          </cell>
          <cell r="F1102" t="str">
            <v>TARMA</v>
          </cell>
          <cell r="G1102" t="str">
            <v>HUARICOLCA</v>
          </cell>
          <cell r="H1102" t="str">
            <v>012659</v>
          </cell>
          <cell r="I1102" t="str">
            <v>2</v>
          </cell>
        </row>
        <row r="1103">
          <cell r="A1103" t="str">
            <v>JUNINTARMAHUASAHUASI</v>
          </cell>
          <cell r="B1103" t="str">
            <v>12</v>
          </cell>
          <cell r="C1103" t="str">
            <v>07</v>
          </cell>
          <cell r="D1103" t="str">
            <v>04</v>
          </cell>
          <cell r="E1103" t="str">
            <v>JUNIN</v>
          </cell>
          <cell r="F1103" t="str">
            <v>TARMA</v>
          </cell>
          <cell r="G1103" t="str">
            <v>HUASAHUASI</v>
          </cell>
          <cell r="H1103" t="str">
            <v>012660</v>
          </cell>
          <cell r="I1103" t="str">
            <v>2</v>
          </cell>
        </row>
        <row r="1104">
          <cell r="A1104" t="str">
            <v>JUNINTARMALA UNION</v>
          </cell>
          <cell r="B1104" t="str">
            <v>12</v>
          </cell>
          <cell r="C1104" t="str">
            <v>07</v>
          </cell>
          <cell r="D1104" t="str">
            <v>05</v>
          </cell>
          <cell r="E1104" t="str">
            <v>JUNIN</v>
          </cell>
          <cell r="F1104" t="str">
            <v>TARMA</v>
          </cell>
          <cell r="G1104" t="str">
            <v>LA UNION</v>
          </cell>
          <cell r="H1104" t="str">
            <v>011095</v>
          </cell>
          <cell r="I1104" t="str">
            <v>2</v>
          </cell>
        </row>
        <row r="1105">
          <cell r="A1105" t="str">
            <v>JUNINTARMAPALCA</v>
          </cell>
          <cell r="B1105" t="str">
            <v>12</v>
          </cell>
          <cell r="C1105" t="str">
            <v>07</v>
          </cell>
          <cell r="D1105" t="str">
            <v>06</v>
          </cell>
          <cell r="E1105" t="str">
            <v>JUNIN</v>
          </cell>
          <cell r="F1105" t="str">
            <v>TARMA</v>
          </cell>
          <cell r="G1105" t="str">
            <v>PALCA</v>
          </cell>
          <cell r="H1105" t="str">
            <v>011096</v>
          </cell>
          <cell r="I1105" t="str">
            <v>2</v>
          </cell>
        </row>
        <row r="1106">
          <cell r="A1106" t="str">
            <v>JUNINTARMAPALCAMAYO</v>
          </cell>
          <cell r="B1106" t="str">
            <v>12</v>
          </cell>
          <cell r="C1106" t="str">
            <v>07</v>
          </cell>
          <cell r="D1106" t="str">
            <v>07</v>
          </cell>
          <cell r="E1106" t="str">
            <v>JUNIN</v>
          </cell>
          <cell r="F1106" t="str">
            <v>TARMA</v>
          </cell>
          <cell r="G1106" t="str">
            <v>PALCAMAYO</v>
          </cell>
          <cell r="H1106" t="str">
            <v>011097</v>
          </cell>
          <cell r="I1106" t="str">
            <v>2</v>
          </cell>
        </row>
        <row r="1107">
          <cell r="A1107" t="str">
            <v>JUNINTARMASAN PEDRO DE CAJAS</v>
          </cell>
          <cell r="B1107" t="str">
            <v>12</v>
          </cell>
          <cell r="C1107" t="str">
            <v>07</v>
          </cell>
          <cell r="D1107" t="str">
            <v>08</v>
          </cell>
          <cell r="E1107" t="str">
            <v>JUNIN</v>
          </cell>
          <cell r="F1107" t="str">
            <v>TARMA</v>
          </cell>
          <cell r="G1107" t="str">
            <v>SAN PEDRO DE CAJAS</v>
          </cell>
          <cell r="H1107" t="str">
            <v>012662</v>
          </cell>
          <cell r="I1107" t="str">
            <v>2</v>
          </cell>
        </row>
        <row r="1108">
          <cell r="A1108" t="str">
            <v>JUNINTARMATAPO</v>
          </cell>
          <cell r="B1108" t="str">
            <v>12</v>
          </cell>
          <cell r="C1108" t="str">
            <v>07</v>
          </cell>
          <cell r="D1108" t="str">
            <v>09</v>
          </cell>
          <cell r="E1108" t="str">
            <v>JUNIN</v>
          </cell>
          <cell r="F1108" t="str">
            <v>TARMA</v>
          </cell>
          <cell r="G1108" t="str">
            <v>TAPO</v>
          </cell>
          <cell r="H1108" t="str">
            <v>012663</v>
          </cell>
          <cell r="I1108" t="str">
            <v>2</v>
          </cell>
        </row>
        <row r="1109">
          <cell r="A1109" t="str">
            <v>JUNINYAULILA OROYA</v>
          </cell>
          <cell r="B1109" t="str">
            <v>12</v>
          </cell>
          <cell r="C1109" t="str">
            <v>08</v>
          </cell>
          <cell r="D1109" t="str">
            <v>01</v>
          </cell>
          <cell r="E1109" t="str">
            <v>JUNIN</v>
          </cell>
          <cell r="F1109" t="str">
            <v>YAULI</v>
          </cell>
          <cell r="G1109" t="str">
            <v>LA OROYA</v>
          </cell>
          <cell r="H1109" t="str">
            <v>011118</v>
          </cell>
          <cell r="I1109" t="str">
            <v>1</v>
          </cell>
        </row>
        <row r="1110">
          <cell r="A1110" t="str">
            <v>JUNINYAULICHACAPALPA</v>
          </cell>
          <cell r="B1110" t="str">
            <v>12</v>
          </cell>
          <cell r="C1110" t="str">
            <v>08</v>
          </cell>
          <cell r="D1110" t="str">
            <v>02</v>
          </cell>
          <cell r="E1110" t="str">
            <v>JUNIN</v>
          </cell>
          <cell r="F1110" t="str">
            <v>YAULI</v>
          </cell>
          <cell r="G1110" t="str">
            <v>CHACAPALPA</v>
          </cell>
          <cell r="H1110" t="str">
            <v>011119</v>
          </cell>
          <cell r="I1110" t="str">
            <v>2</v>
          </cell>
        </row>
        <row r="1111">
          <cell r="A1111" t="str">
            <v>JUNINYAULIHUAY-HUAY</v>
          </cell>
          <cell r="B1111" t="str">
            <v>12</v>
          </cell>
          <cell r="C1111" t="str">
            <v>08</v>
          </cell>
          <cell r="D1111" t="str">
            <v>03</v>
          </cell>
          <cell r="E1111" t="str">
            <v>JUNIN</v>
          </cell>
          <cell r="F1111" t="str">
            <v>YAULI</v>
          </cell>
          <cell r="G1111" t="str">
            <v>HUAY-HUAY</v>
          </cell>
          <cell r="H1111" t="str">
            <v>011120</v>
          </cell>
          <cell r="I1111" t="str">
            <v>2</v>
          </cell>
        </row>
        <row r="1112">
          <cell r="A1112" t="str">
            <v>JUNINYAULIMARCAPOMACOCHA</v>
          </cell>
          <cell r="B1112" t="str">
            <v>12</v>
          </cell>
          <cell r="C1112" t="str">
            <v>08</v>
          </cell>
          <cell r="D1112" t="str">
            <v>04</v>
          </cell>
          <cell r="E1112" t="str">
            <v>JUNIN</v>
          </cell>
          <cell r="F1112" t="str">
            <v>YAULI</v>
          </cell>
          <cell r="G1112" t="str">
            <v>MARCAPOMACOCHA</v>
          </cell>
          <cell r="H1112" t="str">
            <v>012664</v>
          </cell>
          <cell r="I1112" t="str">
            <v>2</v>
          </cell>
        </row>
        <row r="1113">
          <cell r="A1113" t="str">
            <v>JUNINYAULIMOROCOCHA</v>
          </cell>
          <cell r="B1113" t="str">
            <v>12</v>
          </cell>
          <cell r="C1113" t="str">
            <v>08</v>
          </cell>
          <cell r="D1113" t="str">
            <v>05</v>
          </cell>
          <cell r="E1113" t="str">
            <v>JUNIN</v>
          </cell>
          <cell r="F1113" t="str">
            <v>YAULI</v>
          </cell>
          <cell r="G1113" t="str">
            <v>MOROCOCHA</v>
          </cell>
          <cell r="H1113" t="str">
            <v>012165</v>
          </cell>
          <cell r="I1113" t="str">
            <v>2</v>
          </cell>
        </row>
        <row r="1114">
          <cell r="A1114" t="str">
            <v>JUNINYAULIPACCHA</v>
          </cell>
          <cell r="B1114" t="str">
            <v>12</v>
          </cell>
          <cell r="C1114" t="str">
            <v>08</v>
          </cell>
          <cell r="D1114" t="str">
            <v>06</v>
          </cell>
          <cell r="E1114" t="str">
            <v>JUNIN</v>
          </cell>
          <cell r="F1114" t="str">
            <v>YAULI</v>
          </cell>
          <cell r="G1114" t="str">
            <v>PACCHA</v>
          </cell>
          <cell r="H1114" t="str">
            <v>011123</v>
          </cell>
          <cell r="I1114" t="str">
            <v>2</v>
          </cell>
        </row>
        <row r="1115">
          <cell r="A1115" t="str">
            <v>JUNINYAULISANTA BARBARA DE CARHUACAYAN</v>
          </cell>
          <cell r="B1115" t="str">
            <v>12</v>
          </cell>
          <cell r="C1115" t="str">
            <v>08</v>
          </cell>
          <cell r="D1115" t="str">
            <v>07</v>
          </cell>
          <cell r="E1115" t="str">
            <v>JUNIN</v>
          </cell>
          <cell r="F1115" t="str">
            <v>YAULI</v>
          </cell>
          <cell r="G1115" t="str">
            <v>SANTA BARBARA DE CARHUACAYAN</v>
          </cell>
          <cell r="H1115" t="str">
            <v>012160</v>
          </cell>
          <cell r="I1115" t="str">
            <v>2</v>
          </cell>
        </row>
        <row r="1116">
          <cell r="A1116" t="str">
            <v>JUNINYAULISANTA ROSA DE SACCO</v>
          </cell>
          <cell r="B1116" t="str">
            <v>12</v>
          </cell>
          <cell r="C1116" t="str">
            <v>08</v>
          </cell>
          <cell r="D1116" t="str">
            <v>08</v>
          </cell>
          <cell r="E1116" t="str">
            <v>JUNIN</v>
          </cell>
          <cell r="F1116" t="str">
            <v>YAULI</v>
          </cell>
          <cell r="G1116" t="str">
            <v>SANTA ROSA DE SACCO</v>
          </cell>
          <cell r="H1116" t="str">
            <v>011125</v>
          </cell>
          <cell r="I1116" t="str">
            <v>2</v>
          </cell>
        </row>
        <row r="1117">
          <cell r="A1117" t="str">
            <v>JUNINYAULISUITUCANCHA</v>
          </cell>
          <cell r="B1117" t="str">
            <v>12</v>
          </cell>
          <cell r="C1117" t="str">
            <v>08</v>
          </cell>
          <cell r="D1117" t="str">
            <v>09</v>
          </cell>
          <cell r="E1117" t="str">
            <v>JUNIN</v>
          </cell>
          <cell r="F1117" t="str">
            <v>YAULI</v>
          </cell>
          <cell r="G1117" t="str">
            <v>SUITUCANCHA</v>
          </cell>
          <cell r="H1117" t="str">
            <v>012142</v>
          </cell>
          <cell r="I1117" t="str">
            <v>2</v>
          </cell>
        </row>
        <row r="1118">
          <cell r="A1118" t="str">
            <v>JUNINYAULIYAULI</v>
          </cell>
          <cell r="B1118" t="str">
            <v>12</v>
          </cell>
          <cell r="C1118" t="str">
            <v>08</v>
          </cell>
          <cell r="D1118" t="str">
            <v>10</v>
          </cell>
          <cell r="E1118" t="str">
            <v>JUNIN</v>
          </cell>
          <cell r="F1118" t="str">
            <v>YAULI</v>
          </cell>
          <cell r="G1118" t="str">
            <v>YAULI</v>
          </cell>
          <cell r="H1118" t="str">
            <v>011127</v>
          </cell>
          <cell r="I1118" t="str">
            <v>2</v>
          </cell>
        </row>
        <row r="1119">
          <cell r="A1119" t="str">
            <v>JUNINCHUPACACHUPACA</v>
          </cell>
          <cell r="B1119" t="str">
            <v>12</v>
          </cell>
          <cell r="C1119" t="str">
            <v>09</v>
          </cell>
          <cell r="D1119" t="str">
            <v>01</v>
          </cell>
          <cell r="E1119" t="str">
            <v>JUNIN</v>
          </cell>
          <cell r="F1119" t="str">
            <v>CHUPACA</v>
          </cell>
          <cell r="G1119" t="str">
            <v>CHUPACA</v>
          </cell>
          <cell r="H1119" t="str">
            <v>011082</v>
          </cell>
          <cell r="I1119" t="str">
            <v>1</v>
          </cell>
        </row>
        <row r="1120">
          <cell r="A1120" t="str">
            <v>JUNINCHUPACAAHUAC</v>
          </cell>
          <cell r="B1120" t="str">
            <v>12</v>
          </cell>
          <cell r="C1120" t="str">
            <v>09</v>
          </cell>
          <cell r="D1120" t="str">
            <v>02</v>
          </cell>
          <cell r="E1120" t="str">
            <v>JUNIN</v>
          </cell>
          <cell r="F1120" t="str">
            <v>CHUPACA</v>
          </cell>
          <cell r="G1120" t="str">
            <v>AHUAC</v>
          </cell>
          <cell r="H1120" t="str">
            <v>011083</v>
          </cell>
          <cell r="I1120" t="str">
            <v>2</v>
          </cell>
        </row>
        <row r="1121">
          <cell r="A1121" t="str">
            <v>JUNINCHUPACACHONGOS BAJO</v>
          </cell>
          <cell r="B1121" t="str">
            <v>12</v>
          </cell>
          <cell r="C1121" t="str">
            <v>09</v>
          </cell>
          <cell r="D1121" t="str">
            <v>03</v>
          </cell>
          <cell r="E1121" t="str">
            <v>JUNIN</v>
          </cell>
          <cell r="F1121" t="str">
            <v>CHUPACA</v>
          </cell>
          <cell r="G1121" t="str">
            <v>CHONGOS BAJO</v>
          </cell>
          <cell r="H1121" t="str">
            <v>012141</v>
          </cell>
          <cell r="I1121" t="str">
            <v>2</v>
          </cell>
        </row>
        <row r="1122">
          <cell r="A1122" t="str">
            <v>JUNINCHUPACAHUACHAC</v>
          </cell>
          <cell r="B1122" t="str">
            <v>12</v>
          </cell>
          <cell r="C1122" t="str">
            <v>09</v>
          </cell>
          <cell r="D1122" t="str">
            <v>04</v>
          </cell>
          <cell r="E1122" t="str">
            <v>JUNIN</v>
          </cell>
          <cell r="F1122" t="str">
            <v>CHUPACA</v>
          </cell>
          <cell r="G1122" t="str">
            <v>HUACHAC</v>
          </cell>
          <cell r="H1122" t="str">
            <v>011085</v>
          </cell>
          <cell r="I1122" t="str">
            <v>2</v>
          </cell>
        </row>
        <row r="1123">
          <cell r="A1123" t="str">
            <v>JUNINCHUPACAHUAMANCACA CHICO</v>
          </cell>
          <cell r="B1123" t="str">
            <v>12</v>
          </cell>
          <cell r="C1123" t="str">
            <v>09</v>
          </cell>
          <cell r="D1123" t="str">
            <v>05</v>
          </cell>
          <cell r="E1123" t="str">
            <v>JUNIN</v>
          </cell>
          <cell r="F1123" t="str">
            <v>CHUPACA</v>
          </cell>
          <cell r="G1123" t="str">
            <v>HUAMANCACA CHICO</v>
          </cell>
          <cell r="H1123" t="str">
            <v>012146</v>
          </cell>
          <cell r="I1123" t="str">
            <v>2</v>
          </cell>
        </row>
        <row r="1124">
          <cell r="A1124" t="str">
            <v>JUNINCHUPACASAN JUAN DE ISCOS</v>
          </cell>
          <cell r="B1124" t="str">
            <v>12</v>
          </cell>
          <cell r="C1124" t="str">
            <v>09</v>
          </cell>
          <cell r="D1124" t="str">
            <v>06</v>
          </cell>
          <cell r="E1124" t="str">
            <v>JUNIN</v>
          </cell>
          <cell r="F1124" t="str">
            <v>CHUPACA</v>
          </cell>
          <cell r="G1124" t="str">
            <v>SAN JUAN DE ISCOS</v>
          </cell>
          <cell r="H1124" t="str">
            <v>011087</v>
          </cell>
          <cell r="I1124" t="str">
            <v>2</v>
          </cell>
        </row>
        <row r="1125">
          <cell r="A1125" t="str">
            <v>JUNINCHUPACASAN JUAN DE JARPA</v>
          </cell>
          <cell r="B1125" t="str">
            <v>12</v>
          </cell>
          <cell r="C1125" t="str">
            <v>09</v>
          </cell>
          <cell r="D1125" t="str">
            <v>07</v>
          </cell>
          <cell r="E1125" t="str">
            <v>JUNIN</v>
          </cell>
          <cell r="F1125" t="str">
            <v>CHUPACA</v>
          </cell>
          <cell r="G1125" t="str">
            <v>SAN JUAN DE JARPA</v>
          </cell>
          <cell r="H1125" t="str">
            <v>011088</v>
          </cell>
          <cell r="I1125" t="str">
            <v>2</v>
          </cell>
        </row>
        <row r="1126">
          <cell r="A1126" t="str">
            <v>JUNINCHUPACA3 DE DICIEMBRE</v>
          </cell>
          <cell r="B1126" t="str">
            <v>12</v>
          </cell>
          <cell r="C1126" t="str">
            <v>09</v>
          </cell>
          <cell r="D1126" t="str">
            <v>08</v>
          </cell>
          <cell r="E1126" t="str">
            <v>JUNIN</v>
          </cell>
          <cell r="F1126" t="str">
            <v>CHUPACA</v>
          </cell>
          <cell r="G1126" t="str">
            <v>3 DE DICIEMBRE</v>
          </cell>
          <cell r="H1126" t="str">
            <v>011089</v>
          </cell>
          <cell r="I1126" t="str">
            <v>2</v>
          </cell>
        </row>
        <row r="1127">
          <cell r="A1127" t="str">
            <v>JUNINCHUPACAYANACANCHA</v>
          </cell>
          <cell r="B1127" t="str">
            <v>12</v>
          </cell>
          <cell r="C1127" t="str">
            <v>09</v>
          </cell>
          <cell r="D1127" t="str">
            <v>09</v>
          </cell>
          <cell r="E1127" t="str">
            <v>JUNIN</v>
          </cell>
          <cell r="F1127" t="str">
            <v>CHUPACA</v>
          </cell>
          <cell r="G1127" t="str">
            <v>YANACANCHA</v>
          </cell>
          <cell r="H1127" t="str">
            <v>012161</v>
          </cell>
          <cell r="I1127" t="str">
            <v>2</v>
          </cell>
        </row>
        <row r="1128">
          <cell r="A1128" t="str">
            <v>LA LIBERTADTRUJILLOTRUJILLO</v>
          </cell>
          <cell r="B1128" t="str">
            <v>13</v>
          </cell>
          <cell r="C1128" t="str">
            <v>01</v>
          </cell>
          <cell r="D1128" t="str">
            <v>01</v>
          </cell>
          <cell r="E1128" t="str">
            <v>LA LIBERTAD</v>
          </cell>
          <cell r="F1128" t="str">
            <v>TRUJILLO</v>
          </cell>
          <cell r="G1128" t="str">
            <v>TRUJILLO</v>
          </cell>
          <cell r="H1128" t="str">
            <v>012679</v>
          </cell>
          <cell r="I1128" t="str">
            <v>1</v>
          </cell>
        </row>
        <row r="1129">
          <cell r="A1129" t="str">
            <v>LA LIBERTADTRUJILLOEL PORVENIR</v>
          </cell>
          <cell r="B1129" t="str">
            <v>13</v>
          </cell>
          <cell r="C1129" t="str">
            <v>01</v>
          </cell>
          <cell r="D1129" t="str">
            <v>02</v>
          </cell>
          <cell r="E1129" t="str">
            <v>LA LIBERTAD</v>
          </cell>
          <cell r="F1129" t="str">
            <v>TRUJILLO</v>
          </cell>
          <cell r="G1129" t="str">
            <v>EL PORVENIR</v>
          </cell>
          <cell r="H1129" t="str">
            <v>012187</v>
          </cell>
          <cell r="I1129" t="str">
            <v>2</v>
          </cell>
        </row>
        <row r="1130">
          <cell r="A1130" t="str">
            <v>LA LIBERTADTRUJILLOFLORENCIA DE MORA</v>
          </cell>
          <cell r="B1130" t="str">
            <v>13</v>
          </cell>
          <cell r="C1130" t="str">
            <v>01</v>
          </cell>
          <cell r="D1130" t="str">
            <v>03</v>
          </cell>
          <cell r="E1130" t="str">
            <v>LA LIBERTAD</v>
          </cell>
          <cell r="F1130" t="str">
            <v>TRUJILLO</v>
          </cell>
          <cell r="G1130" t="str">
            <v>FLORENCIA DE MORA</v>
          </cell>
          <cell r="H1130" t="str">
            <v>011130</v>
          </cell>
          <cell r="I1130" t="str">
            <v>2</v>
          </cell>
        </row>
        <row r="1131">
          <cell r="A1131" t="str">
            <v>LA LIBERTADTRUJILLOHUANCHACO</v>
          </cell>
          <cell r="B1131" t="str">
            <v>13</v>
          </cell>
          <cell r="C1131" t="str">
            <v>01</v>
          </cell>
          <cell r="D1131" t="str">
            <v>04</v>
          </cell>
          <cell r="E1131" t="str">
            <v>LA LIBERTAD</v>
          </cell>
          <cell r="F1131" t="str">
            <v>TRUJILLO</v>
          </cell>
          <cell r="G1131" t="str">
            <v>HUANCHACO</v>
          </cell>
          <cell r="H1131" t="str">
            <v>013007</v>
          </cell>
          <cell r="I1131" t="str">
            <v>2</v>
          </cell>
        </row>
        <row r="1132">
          <cell r="A1132" t="str">
            <v>LA LIBERTADTRUJILLOLA ESPERANZA</v>
          </cell>
          <cell r="B1132" t="str">
            <v>13</v>
          </cell>
          <cell r="C1132" t="str">
            <v>01</v>
          </cell>
          <cell r="D1132" t="str">
            <v>05</v>
          </cell>
          <cell r="E1132" t="str">
            <v>LA LIBERTAD</v>
          </cell>
          <cell r="F1132" t="str">
            <v>TRUJILLO</v>
          </cell>
          <cell r="G1132" t="str">
            <v>LA ESPERANZA</v>
          </cell>
          <cell r="H1132" t="str">
            <v>012178</v>
          </cell>
          <cell r="I1132" t="str">
            <v>2</v>
          </cell>
        </row>
        <row r="1133">
          <cell r="A1133" t="str">
            <v>LA LIBERTADTRUJILLOLAREDO</v>
          </cell>
          <cell r="B1133" t="str">
            <v>13</v>
          </cell>
          <cell r="C1133" t="str">
            <v>01</v>
          </cell>
          <cell r="D1133" t="str">
            <v>06</v>
          </cell>
          <cell r="E1133" t="str">
            <v>LA LIBERTAD</v>
          </cell>
          <cell r="F1133" t="str">
            <v>TRUJILLO</v>
          </cell>
          <cell r="G1133" t="str">
            <v>LAREDO</v>
          </cell>
          <cell r="H1133" t="str">
            <v>011134</v>
          </cell>
          <cell r="I1133" t="str">
            <v>2</v>
          </cell>
        </row>
        <row r="1134">
          <cell r="A1134" t="str">
            <v>LA LIBERTADTRUJILLOMOCHE</v>
          </cell>
          <cell r="B1134" t="str">
            <v>13</v>
          </cell>
          <cell r="C1134" t="str">
            <v>01</v>
          </cell>
          <cell r="D1134" t="str">
            <v>07</v>
          </cell>
          <cell r="E1134" t="str">
            <v>LA LIBERTAD</v>
          </cell>
          <cell r="F1134" t="str">
            <v>TRUJILLO</v>
          </cell>
          <cell r="G1134" t="str">
            <v>MOCHE</v>
          </cell>
          <cell r="H1134" t="str">
            <v>011135</v>
          </cell>
          <cell r="I1134" t="str">
            <v>2</v>
          </cell>
        </row>
        <row r="1135">
          <cell r="A1135" t="str">
            <v>LA LIBERTADTRUJILLOPOROTO</v>
          </cell>
          <cell r="B1135" t="str">
            <v>13</v>
          </cell>
          <cell r="C1135" t="str">
            <v>01</v>
          </cell>
          <cell r="D1135" t="str">
            <v>08</v>
          </cell>
          <cell r="E1135" t="str">
            <v>LA LIBERTAD</v>
          </cell>
          <cell r="F1135" t="str">
            <v>TRUJILLO</v>
          </cell>
          <cell r="G1135" t="str">
            <v>POROTO</v>
          </cell>
          <cell r="H1135" t="str">
            <v>011136</v>
          </cell>
          <cell r="I1135" t="str">
            <v>2</v>
          </cell>
        </row>
        <row r="1136">
          <cell r="A1136" t="str">
            <v>LA LIBERTADTRUJILLOSALAVERRY</v>
          </cell>
          <cell r="B1136" t="str">
            <v>13</v>
          </cell>
          <cell r="C1136" t="str">
            <v>01</v>
          </cell>
          <cell r="D1136" t="str">
            <v>09</v>
          </cell>
          <cell r="E1136" t="str">
            <v>LA LIBERTAD</v>
          </cell>
          <cell r="F1136" t="str">
            <v>TRUJILLO</v>
          </cell>
          <cell r="G1136" t="str">
            <v>SALAVERRY</v>
          </cell>
          <cell r="H1136" t="str">
            <v>011137</v>
          </cell>
          <cell r="I1136" t="str">
            <v>2</v>
          </cell>
        </row>
        <row r="1137">
          <cell r="A1137" t="str">
            <v>LA LIBERTADTRUJILLOSIMBAL</v>
          </cell>
          <cell r="B1137" t="str">
            <v>13</v>
          </cell>
          <cell r="C1137" t="str">
            <v>01</v>
          </cell>
          <cell r="D1137" t="str">
            <v>10</v>
          </cell>
          <cell r="E1137" t="str">
            <v>LA LIBERTAD</v>
          </cell>
          <cell r="F1137" t="str">
            <v>TRUJILLO</v>
          </cell>
          <cell r="G1137" t="str">
            <v>SIMBAL</v>
          </cell>
          <cell r="H1137" t="str">
            <v>011138</v>
          </cell>
          <cell r="I1137" t="str">
            <v>2</v>
          </cell>
        </row>
        <row r="1138">
          <cell r="A1138" t="str">
            <v>LA LIBERTADTRUJILLOVICTOR LARCO HERRERA</v>
          </cell>
          <cell r="B1138" t="str">
            <v>13</v>
          </cell>
          <cell r="C1138" t="str">
            <v>01</v>
          </cell>
          <cell r="D1138" t="str">
            <v>11</v>
          </cell>
          <cell r="E1138" t="str">
            <v>LA LIBERTAD</v>
          </cell>
          <cell r="F1138" t="str">
            <v>TRUJILLO</v>
          </cell>
          <cell r="G1138" t="str">
            <v>VICTOR LARCO HERRERA</v>
          </cell>
          <cell r="H1138" t="str">
            <v>011132</v>
          </cell>
          <cell r="I1138" t="str">
            <v>2</v>
          </cell>
        </row>
        <row r="1139">
          <cell r="A1139" t="str">
            <v>LA LIBERTADASCOPEASCOPE</v>
          </cell>
          <cell r="B1139" t="str">
            <v>13</v>
          </cell>
          <cell r="C1139" t="str">
            <v>02</v>
          </cell>
          <cell r="D1139" t="str">
            <v>01</v>
          </cell>
          <cell r="E1139" t="str">
            <v>LA LIBERTAD</v>
          </cell>
          <cell r="F1139" t="str">
            <v>ASCOPE</v>
          </cell>
          <cell r="G1139" t="str">
            <v>ASCOPE</v>
          </cell>
          <cell r="H1139" t="str">
            <v>011139</v>
          </cell>
          <cell r="I1139" t="str">
            <v>1</v>
          </cell>
        </row>
        <row r="1140">
          <cell r="A1140" t="str">
            <v>LA LIBERTADASCOPECHICAMA</v>
          </cell>
          <cell r="B1140" t="str">
            <v>13</v>
          </cell>
          <cell r="C1140" t="str">
            <v>02</v>
          </cell>
          <cell r="D1140" t="str">
            <v>02</v>
          </cell>
          <cell r="E1140" t="str">
            <v>LA LIBERTAD</v>
          </cell>
          <cell r="F1140" t="str">
            <v>ASCOPE</v>
          </cell>
          <cell r="G1140" t="str">
            <v>CHICAMA</v>
          </cell>
          <cell r="H1140" t="str">
            <v>011140</v>
          </cell>
          <cell r="I1140" t="str">
            <v>2</v>
          </cell>
        </row>
        <row r="1141">
          <cell r="A1141" t="str">
            <v>LA LIBERTADASCOPECHOCOPE</v>
          </cell>
          <cell r="B1141" t="str">
            <v>13</v>
          </cell>
          <cell r="C1141" t="str">
            <v>02</v>
          </cell>
          <cell r="D1141" t="str">
            <v>03</v>
          </cell>
          <cell r="E1141" t="str">
            <v>LA LIBERTAD</v>
          </cell>
          <cell r="F1141" t="str">
            <v>ASCOPE</v>
          </cell>
          <cell r="G1141" t="str">
            <v>CHOCOPE</v>
          </cell>
          <cell r="H1141" t="str">
            <v>011141</v>
          </cell>
          <cell r="I1141" t="str">
            <v>2</v>
          </cell>
        </row>
        <row r="1142">
          <cell r="A1142" t="str">
            <v>LA LIBERTADASCOPEMAGDALENA DE CAO</v>
          </cell>
          <cell r="B1142" t="str">
            <v>13</v>
          </cell>
          <cell r="C1142" t="str">
            <v>02</v>
          </cell>
          <cell r="D1142" t="str">
            <v>04</v>
          </cell>
          <cell r="E1142" t="str">
            <v>LA LIBERTAD</v>
          </cell>
          <cell r="F1142" t="str">
            <v>ASCOPE</v>
          </cell>
          <cell r="G1142" t="str">
            <v>MAGDALENA DE CAO</v>
          </cell>
          <cell r="H1142" t="str">
            <v>011142</v>
          </cell>
          <cell r="I1142" t="str">
            <v>2</v>
          </cell>
        </row>
        <row r="1143">
          <cell r="A1143" t="str">
            <v>LA LIBERTADASCOPEPAIJAN</v>
          </cell>
          <cell r="B1143" t="str">
            <v>13</v>
          </cell>
          <cell r="C1143" t="str">
            <v>02</v>
          </cell>
          <cell r="D1143" t="str">
            <v>05</v>
          </cell>
          <cell r="E1143" t="str">
            <v>LA LIBERTAD</v>
          </cell>
          <cell r="F1143" t="str">
            <v>ASCOPE</v>
          </cell>
          <cell r="G1143" t="str">
            <v>PAIJAN</v>
          </cell>
          <cell r="H1143" t="str">
            <v>011143</v>
          </cell>
          <cell r="I1143" t="str">
            <v>2</v>
          </cell>
        </row>
        <row r="1144">
          <cell r="A1144" t="str">
            <v>LA LIBERTADASCOPERAZURI</v>
          </cell>
          <cell r="B1144" t="str">
            <v>13</v>
          </cell>
          <cell r="C1144" t="str">
            <v>02</v>
          </cell>
          <cell r="D1144" t="str">
            <v>06</v>
          </cell>
          <cell r="E1144" t="str">
            <v>LA LIBERTAD</v>
          </cell>
          <cell r="F1144" t="str">
            <v>ASCOPE</v>
          </cell>
          <cell r="G1144" t="str">
            <v>RAZURI</v>
          </cell>
          <cell r="H1144" t="str">
            <v>011144</v>
          </cell>
          <cell r="I1144" t="str">
            <v>2</v>
          </cell>
        </row>
        <row r="1145">
          <cell r="A1145" t="str">
            <v>LA LIBERTADASCOPESANTIAGO DE CAO</v>
          </cell>
          <cell r="B1145" t="str">
            <v>13</v>
          </cell>
          <cell r="C1145" t="str">
            <v>02</v>
          </cell>
          <cell r="D1145" t="str">
            <v>07</v>
          </cell>
          <cell r="E1145" t="str">
            <v>LA LIBERTAD</v>
          </cell>
          <cell r="F1145" t="str">
            <v>ASCOPE</v>
          </cell>
          <cell r="G1145" t="str">
            <v>SANTIAGO DE CAO</v>
          </cell>
          <cell r="H1145" t="str">
            <v>011145</v>
          </cell>
          <cell r="I1145" t="str">
            <v>2</v>
          </cell>
        </row>
        <row r="1146">
          <cell r="A1146" t="str">
            <v>LA LIBERTADASCOPECASA GRANDE</v>
          </cell>
          <cell r="B1146" t="str">
            <v>13</v>
          </cell>
          <cell r="C1146" t="str">
            <v>02</v>
          </cell>
          <cell r="D1146" t="str">
            <v>08</v>
          </cell>
          <cell r="E1146" t="str">
            <v>LA LIBERTAD</v>
          </cell>
          <cell r="F1146" t="str">
            <v>ASCOPE</v>
          </cell>
          <cell r="G1146" t="str">
            <v>CASA GRANDE</v>
          </cell>
          <cell r="H1146" t="str">
            <v>011146</v>
          </cell>
          <cell r="I1146" t="str">
            <v>2</v>
          </cell>
        </row>
        <row r="1147">
          <cell r="A1147" t="str">
            <v>LA LIBERTADBOLIVARBOLIVAR</v>
          </cell>
          <cell r="B1147" t="str">
            <v>13</v>
          </cell>
          <cell r="C1147" t="str">
            <v>03</v>
          </cell>
          <cell r="D1147" t="str">
            <v>01</v>
          </cell>
          <cell r="E1147" t="str">
            <v>LA LIBERTAD</v>
          </cell>
          <cell r="F1147" t="str">
            <v>BOLIVAR</v>
          </cell>
          <cell r="G1147" t="str">
            <v>BOLIVAR</v>
          </cell>
          <cell r="H1147" t="str">
            <v>011187</v>
          </cell>
          <cell r="I1147" t="str">
            <v>1</v>
          </cell>
        </row>
        <row r="1148">
          <cell r="A1148" t="str">
            <v>LA LIBERTADBOLIVARBAMBAMARCA</v>
          </cell>
          <cell r="B1148" t="str">
            <v>13</v>
          </cell>
          <cell r="C1148" t="str">
            <v>03</v>
          </cell>
          <cell r="D1148" t="str">
            <v>02</v>
          </cell>
          <cell r="E1148" t="str">
            <v>LA LIBERTAD</v>
          </cell>
          <cell r="F1148" t="str">
            <v>BOLIVAR</v>
          </cell>
          <cell r="G1148" t="str">
            <v>BAMBAMARCA</v>
          </cell>
          <cell r="H1148" t="str">
            <v>012693</v>
          </cell>
          <cell r="I1148" t="str">
            <v>2</v>
          </cell>
        </row>
        <row r="1149">
          <cell r="A1149" t="str">
            <v>LA LIBERTADBOLIVARCONDORMARCA</v>
          </cell>
          <cell r="B1149" t="str">
            <v>13</v>
          </cell>
          <cell r="C1149" t="str">
            <v>03</v>
          </cell>
          <cell r="D1149" t="str">
            <v>03</v>
          </cell>
          <cell r="E1149" t="str">
            <v>LA LIBERTAD</v>
          </cell>
          <cell r="F1149" t="str">
            <v>BOLIVAR</v>
          </cell>
          <cell r="G1149" t="str">
            <v>CONDORMARCA</v>
          </cell>
          <cell r="H1149" t="str">
            <v>012690</v>
          </cell>
          <cell r="I1149" t="str">
            <v>2</v>
          </cell>
        </row>
        <row r="1150">
          <cell r="A1150" t="str">
            <v>LA LIBERTADBOLIVARLONGOTEA</v>
          </cell>
          <cell r="B1150" t="str">
            <v>13</v>
          </cell>
          <cell r="C1150" t="str">
            <v>03</v>
          </cell>
          <cell r="D1150" t="str">
            <v>04</v>
          </cell>
          <cell r="E1150" t="str">
            <v>LA LIBERTAD</v>
          </cell>
          <cell r="F1150" t="str">
            <v>BOLIVAR</v>
          </cell>
          <cell r="G1150" t="str">
            <v>LONGOTEA</v>
          </cell>
          <cell r="H1150" t="str">
            <v>011188</v>
          </cell>
          <cell r="I1150" t="str">
            <v>2</v>
          </cell>
        </row>
        <row r="1151">
          <cell r="A1151" t="str">
            <v>LA LIBERTADBOLIVARUCHUMARCA</v>
          </cell>
          <cell r="B1151" t="str">
            <v>13</v>
          </cell>
          <cell r="C1151" t="str">
            <v>03</v>
          </cell>
          <cell r="D1151" t="str">
            <v>05</v>
          </cell>
          <cell r="E1151" t="str">
            <v>LA LIBERTAD</v>
          </cell>
          <cell r="F1151" t="str">
            <v>BOLIVAR</v>
          </cell>
          <cell r="G1151" t="str">
            <v>UCHUMARCA</v>
          </cell>
          <cell r="H1151" t="str">
            <v>011189</v>
          </cell>
          <cell r="I1151" t="str">
            <v>2</v>
          </cell>
        </row>
        <row r="1152">
          <cell r="A1152" t="str">
            <v>LA LIBERTADBOLIVARUCUNCHA</v>
          </cell>
          <cell r="B1152" t="str">
            <v>13</v>
          </cell>
          <cell r="C1152" t="str">
            <v>03</v>
          </cell>
          <cell r="D1152" t="str">
            <v>06</v>
          </cell>
          <cell r="E1152" t="str">
            <v>LA LIBERTAD</v>
          </cell>
          <cell r="F1152" t="str">
            <v>BOLIVAR</v>
          </cell>
          <cell r="G1152" t="str">
            <v>UCUNCHA</v>
          </cell>
          <cell r="H1152" t="str">
            <v>012689</v>
          </cell>
          <cell r="I1152" t="str">
            <v>2</v>
          </cell>
        </row>
        <row r="1153">
          <cell r="A1153" t="str">
            <v>LA LIBERTADCHEPENCHEPEN</v>
          </cell>
          <cell r="B1153" t="str">
            <v>13</v>
          </cell>
          <cell r="C1153" t="str">
            <v>04</v>
          </cell>
          <cell r="D1153" t="str">
            <v>01</v>
          </cell>
          <cell r="E1153" t="str">
            <v>LA LIBERTAD</v>
          </cell>
          <cell r="F1153" t="str">
            <v>CHEPEN</v>
          </cell>
          <cell r="G1153" t="str">
            <v>CHEPEN</v>
          </cell>
          <cell r="H1153" t="str">
            <v>011147</v>
          </cell>
          <cell r="I1153" t="str">
            <v>1</v>
          </cell>
        </row>
        <row r="1154">
          <cell r="A1154" t="str">
            <v>LA LIBERTADCHEPENPACANGA</v>
          </cell>
          <cell r="B1154" t="str">
            <v>13</v>
          </cell>
          <cell r="C1154" t="str">
            <v>04</v>
          </cell>
          <cell r="D1154" t="str">
            <v>02</v>
          </cell>
          <cell r="E1154" t="str">
            <v>LA LIBERTAD</v>
          </cell>
          <cell r="F1154" t="str">
            <v>CHEPEN</v>
          </cell>
          <cell r="G1154" t="str">
            <v>PACANGA</v>
          </cell>
          <cell r="H1154" t="str">
            <v>013005</v>
          </cell>
          <cell r="I1154" t="str">
            <v>2</v>
          </cell>
        </row>
        <row r="1155">
          <cell r="A1155" t="str">
            <v>LA LIBERTADCHEPENPUEBLO NUEVO</v>
          </cell>
          <cell r="B1155" t="str">
            <v>13</v>
          </cell>
          <cell r="C1155" t="str">
            <v>04</v>
          </cell>
          <cell r="D1155" t="str">
            <v>03</v>
          </cell>
          <cell r="E1155" t="str">
            <v>LA LIBERTAD</v>
          </cell>
          <cell r="F1155" t="str">
            <v>CHEPEN</v>
          </cell>
          <cell r="G1155" t="str">
            <v>PUEBLO NUEVO</v>
          </cell>
          <cell r="H1155" t="str">
            <v>011149</v>
          </cell>
          <cell r="I1155" t="str">
            <v>2</v>
          </cell>
        </row>
        <row r="1156">
          <cell r="A1156" t="str">
            <v>LA LIBERTADJULCANJULCAN</v>
          </cell>
          <cell r="B1156" t="str">
            <v>13</v>
          </cell>
          <cell r="C1156" t="str">
            <v>05</v>
          </cell>
          <cell r="D1156" t="str">
            <v>01</v>
          </cell>
          <cell r="E1156" t="str">
            <v>LA LIBERTAD</v>
          </cell>
          <cell r="F1156" t="str">
            <v>JULCAN</v>
          </cell>
          <cell r="G1156" t="str">
            <v>JULCAN</v>
          </cell>
          <cell r="H1156" t="str">
            <v>011150</v>
          </cell>
          <cell r="I1156" t="str">
            <v>1</v>
          </cell>
        </row>
        <row r="1157">
          <cell r="A1157" t="str">
            <v>LA LIBERTADJULCANCALAMARCA</v>
          </cell>
          <cell r="B1157" t="str">
            <v>13</v>
          </cell>
          <cell r="C1157" t="str">
            <v>05</v>
          </cell>
          <cell r="D1157" t="str">
            <v>02</v>
          </cell>
          <cell r="E1157" t="str">
            <v>LA LIBERTAD</v>
          </cell>
          <cell r="F1157" t="str">
            <v>JULCAN</v>
          </cell>
          <cell r="G1157" t="str">
            <v>CALAMARCA</v>
          </cell>
          <cell r="H1157" t="str">
            <v>012691</v>
          </cell>
          <cell r="I1157" t="str">
            <v>2</v>
          </cell>
        </row>
        <row r="1158">
          <cell r="A1158" t="str">
            <v>LA LIBERTADJULCANCARABAMBA</v>
          </cell>
          <cell r="B1158" t="str">
            <v>13</v>
          </cell>
          <cell r="C1158" t="str">
            <v>05</v>
          </cell>
          <cell r="D1158" t="str">
            <v>03</v>
          </cell>
          <cell r="E1158" t="str">
            <v>LA LIBERTAD</v>
          </cell>
          <cell r="F1158" t="str">
            <v>JULCAN</v>
          </cell>
          <cell r="G1158" t="str">
            <v>CARABAMBA</v>
          </cell>
          <cell r="H1158" t="str">
            <v>012686</v>
          </cell>
          <cell r="I1158" t="str">
            <v>2</v>
          </cell>
        </row>
        <row r="1159">
          <cell r="A1159" t="str">
            <v>LA LIBERTADJULCANHUASO</v>
          </cell>
          <cell r="B1159" t="str">
            <v>13</v>
          </cell>
          <cell r="C1159" t="str">
            <v>05</v>
          </cell>
          <cell r="D1159" t="str">
            <v>04</v>
          </cell>
          <cell r="E1159" t="str">
            <v>LA LIBERTAD</v>
          </cell>
          <cell r="F1159" t="str">
            <v>JULCAN</v>
          </cell>
          <cell r="G1159" t="str">
            <v>HUASO</v>
          </cell>
          <cell r="H1159" t="str">
            <v>013049</v>
          </cell>
          <cell r="I1159" t="str">
            <v>2</v>
          </cell>
        </row>
        <row r="1160">
          <cell r="A1160" t="str">
            <v>LA LIBERTADOTUZCOOTUZCO</v>
          </cell>
          <cell r="B1160" t="str">
            <v>13</v>
          </cell>
          <cell r="C1160" t="str">
            <v>06</v>
          </cell>
          <cell r="D1160" t="str">
            <v>01</v>
          </cell>
          <cell r="E1160" t="str">
            <v>LA LIBERTAD</v>
          </cell>
          <cell r="F1160" t="str">
            <v>OTUZCO</v>
          </cell>
          <cell r="G1160" t="str">
            <v>OTUZCO</v>
          </cell>
          <cell r="H1160" t="str">
            <v>012687</v>
          </cell>
          <cell r="I1160" t="str">
            <v>1</v>
          </cell>
        </row>
        <row r="1161">
          <cell r="A1161" t="str">
            <v>LA LIBERTADOTUZCOAGALLPAMPA</v>
          </cell>
          <cell r="B1161" t="str">
            <v>13</v>
          </cell>
          <cell r="C1161" t="str">
            <v>06</v>
          </cell>
          <cell r="D1161" t="str">
            <v>02</v>
          </cell>
          <cell r="E1161" t="str">
            <v>LA LIBERTAD</v>
          </cell>
          <cell r="F1161" t="str">
            <v>OTUZCO</v>
          </cell>
          <cell r="G1161" t="str">
            <v>AGALLPAMPA</v>
          </cell>
          <cell r="H1161" t="str">
            <v>011155</v>
          </cell>
          <cell r="I1161" t="str">
            <v>2</v>
          </cell>
        </row>
        <row r="1162">
          <cell r="A1162" t="str">
            <v>LA LIBERTADOTUZCOCHARAT</v>
          </cell>
          <cell r="B1162" t="str">
            <v>13</v>
          </cell>
          <cell r="C1162" t="str">
            <v>06</v>
          </cell>
          <cell r="D1162" t="str">
            <v>04</v>
          </cell>
          <cell r="E1162" t="str">
            <v>LA LIBERTAD</v>
          </cell>
          <cell r="F1162" t="str">
            <v>OTUZCO</v>
          </cell>
          <cell r="G1162" t="str">
            <v>CHARAT</v>
          </cell>
          <cell r="H1162" t="str">
            <v>011156</v>
          </cell>
          <cell r="I1162" t="str">
            <v>2</v>
          </cell>
        </row>
        <row r="1163">
          <cell r="A1163" t="str">
            <v>LA LIBERTADOTUZCOHUARANCHAL</v>
          </cell>
          <cell r="B1163" t="str">
            <v>13</v>
          </cell>
          <cell r="C1163" t="str">
            <v>06</v>
          </cell>
          <cell r="D1163" t="str">
            <v>05</v>
          </cell>
          <cell r="E1163" t="str">
            <v>LA LIBERTAD</v>
          </cell>
          <cell r="F1163" t="str">
            <v>OTUZCO</v>
          </cell>
          <cell r="G1163" t="str">
            <v>HUARANCHAL</v>
          </cell>
          <cell r="H1163" t="str">
            <v>011157</v>
          </cell>
          <cell r="I1163" t="str">
            <v>2</v>
          </cell>
        </row>
        <row r="1164">
          <cell r="A1164" t="str">
            <v>LA LIBERTADOTUZCOLA CUESTA</v>
          </cell>
          <cell r="B1164" t="str">
            <v>13</v>
          </cell>
          <cell r="C1164" t="str">
            <v>06</v>
          </cell>
          <cell r="D1164" t="str">
            <v>06</v>
          </cell>
          <cell r="E1164" t="str">
            <v>LA LIBERTAD</v>
          </cell>
          <cell r="F1164" t="str">
            <v>OTUZCO</v>
          </cell>
          <cell r="G1164" t="str">
            <v>LA CUESTA</v>
          </cell>
          <cell r="H1164" t="str">
            <v>011158</v>
          </cell>
          <cell r="I1164" t="str">
            <v>2</v>
          </cell>
        </row>
        <row r="1165">
          <cell r="A1165" t="str">
            <v>LA LIBERTADOTUZCOMACHE</v>
          </cell>
          <cell r="B1165" t="str">
            <v>13</v>
          </cell>
          <cell r="C1165" t="str">
            <v>06</v>
          </cell>
          <cell r="D1165" t="str">
            <v>08</v>
          </cell>
          <cell r="E1165" t="str">
            <v>LA LIBERTAD</v>
          </cell>
          <cell r="F1165" t="str">
            <v>OTUZCO</v>
          </cell>
          <cell r="G1165" t="str">
            <v>MACHE</v>
          </cell>
          <cell r="H1165" t="str">
            <v>011159</v>
          </cell>
          <cell r="I1165" t="str">
            <v>2</v>
          </cell>
        </row>
        <row r="1166">
          <cell r="A1166" t="str">
            <v>LA LIBERTADOTUZCOPARANDAY</v>
          </cell>
          <cell r="B1166" t="str">
            <v>13</v>
          </cell>
          <cell r="C1166" t="str">
            <v>06</v>
          </cell>
          <cell r="D1166" t="str">
            <v>10</v>
          </cell>
          <cell r="E1166" t="str">
            <v>LA LIBERTAD</v>
          </cell>
          <cell r="F1166" t="str">
            <v>OTUZCO</v>
          </cell>
          <cell r="G1166" t="str">
            <v>PARANDAY</v>
          </cell>
          <cell r="H1166" t="str">
            <v>011160</v>
          </cell>
          <cell r="I1166" t="str">
            <v>2</v>
          </cell>
        </row>
        <row r="1167">
          <cell r="A1167" t="str">
            <v>LA LIBERTADOTUZCOSALPO</v>
          </cell>
          <cell r="B1167" t="str">
            <v>13</v>
          </cell>
          <cell r="C1167" t="str">
            <v>06</v>
          </cell>
          <cell r="D1167" t="str">
            <v>11</v>
          </cell>
          <cell r="E1167" t="str">
            <v>LA LIBERTAD</v>
          </cell>
          <cell r="F1167" t="str">
            <v>OTUZCO</v>
          </cell>
          <cell r="G1167" t="str">
            <v>SALPO</v>
          </cell>
          <cell r="H1167" t="str">
            <v>011161</v>
          </cell>
          <cell r="I1167" t="str">
            <v>2</v>
          </cell>
        </row>
        <row r="1168">
          <cell r="A1168" t="str">
            <v>LA LIBERTADOTUZCOSINSICAP</v>
          </cell>
          <cell r="B1168" t="str">
            <v>13</v>
          </cell>
          <cell r="C1168" t="str">
            <v>06</v>
          </cell>
          <cell r="D1168" t="str">
            <v>13</v>
          </cell>
          <cell r="E1168" t="str">
            <v>LA LIBERTAD</v>
          </cell>
          <cell r="F1168" t="str">
            <v>OTUZCO</v>
          </cell>
          <cell r="G1168" t="str">
            <v>SINSICAP</v>
          </cell>
          <cell r="H1168" t="str">
            <v>011162</v>
          </cell>
          <cell r="I1168" t="str">
            <v>2</v>
          </cell>
        </row>
        <row r="1169">
          <cell r="A1169" t="str">
            <v>LA LIBERTADOTUZCOUSQUIL</v>
          </cell>
          <cell r="B1169" t="str">
            <v>13</v>
          </cell>
          <cell r="C1169" t="str">
            <v>06</v>
          </cell>
          <cell r="D1169" t="str">
            <v>14</v>
          </cell>
          <cell r="E1169" t="str">
            <v>LA LIBERTAD</v>
          </cell>
          <cell r="F1169" t="str">
            <v>OTUZCO</v>
          </cell>
          <cell r="G1169" t="str">
            <v>USQUIL</v>
          </cell>
          <cell r="H1169" t="str">
            <v>011163</v>
          </cell>
          <cell r="I1169" t="str">
            <v>2</v>
          </cell>
        </row>
        <row r="1170">
          <cell r="A1170" t="str">
            <v>LA LIBERTADPACASMAYOSAN PEDRO DE LLOC</v>
          </cell>
          <cell r="B1170" t="str">
            <v>13</v>
          </cell>
          <cell r="C1170" t="str">
            <v>07</v>
          </cell>
          <cell r="D1170" t="str">
            <v>01</v>
          </cell>
          <cell r="E1170" t="str">
            <v>LA LIBERTAD</v>
          </cell>
          <cell r="F1170" t="str">
            <v>PACASMAYO</v>
          </cell>
          <cell r="G1170" t="str">
            <v>SAN PEDRO DE LLOC</v>
          </cell>
          <cell r="H1170" t="str">
            <v>011164</v>
          </cell>
          <cell r="I1170" t="str">
            <v>1</v>
          </cell>
        </row>
        <row r="1171">
          <cell r="A1171" t="str">
            <v>LA LIBERTADPACASMAYOGUADALUPE</v>
          </cell>
          <cell r="B1171" t="str">
            <v>13</v>
          </cell>
          <cell r="C1171" t="str">
            <v>07</v>
          </cell>
          <cell r="D1171" t="str">
            <v>02</v>
          </cell>
          <cell r="E1171" t="str">
            <v>LA LIBERTAD</v>
          </cell>
          <cell r="F1171" t="str">
            <v>PACASMAYO</v>
          </cell>
          <cell r="G1171" t="str">
            <v>GUADALUPE</v>
          </cell>
          <cell r="H1171" t="str">
            <v>011165</v>
          </cell>
          <cell r="I1171" t="str">
            <v>2</v>
          </cell>
        </row>
        <row r="1172">
          <cell r="A1172" t="str">
            <v>LA LIBERTADPACASMAYOJEQUETEPEQUE</v>
          </cell>
          <cell r="B1172" t="str">
            <v>13</v>
          </cell>
          <cell r="C1172" t="str">
            <v>07</v>
          </cell>
          <cell r="D1172" t="str">
            <v>03</v>
          </cell>
          <cell r="E1172" t="str">
            <v>LA LIBERTAD</v>
          </cell>
          <cell r="F1172" t="str">
            <v>PACASMAYO</v>
          </cell>
          <cell r="G1172" t="str">
            <v>JEQUETEPEQUE</v>
          </cell>
          <cell r="H1172" t="str">
            <v>011166</v>
          </cell>
          <cell r="I1172" t="str">
            <v>2</v>
          </cell>
        </row>
        <row r="1173">
          <cell r="A1173" t="str">
            <v>LA LIBERTADPACASMAYOPACASMAYO</v>
          </cell>
          <cell r="B1173" t="str">
            <v>13</v>
          </cell>
          <cell r="C1173" t="str">
            <v>07</v>
          </cell>
          <cell r="D1173" t="str">
            <v>04</v>
          </cell>
          <cell r="E1173" t="str">
            <v>LA LIBERTAD</v>
          </cell>
          <cell r="F1173" t="str">
            <v>PACASMAYO</v>
          </cell>
          <cell r="G1173" t="str">
            <v>PACASMAYO</v>
          </cell>
          <cell r="H1173" t="str">
            <v>011167</v>
          </cell>
          <cell r="I1173" t="str">
            <v>2</v>
          </cell>
        </row>
        <row r="1174">
          <cell r="A1174" t="str">
            <v>LA LIBERTADPACASMAYOSAN JOSE</v>
          </cell>
          <cell r="B1174" t="str">
            <v>13</v>
          </cell>
          <cell r="C1174" t="str">
            <v>07</v>
          </cell>
          <cell r="D1174" t="str">
            <v>05</v>
          </cell>
          <cell r="E1174" t="str">
            <v>LA LIBERTAD</v>
          </cell>
          <cell r="F1174" t="str">
            <v>PACASMAYO</v>
          </cell>
          <cell r="G1174" t="str">
            <v>SAN JOSE</v>
          </cell>
          <cell r="H1174" t="str">
            <v>011168</v>
          </cell>
          <cell r="I1174" t="str">
            <v>2</v>
          </cell>
        </row>
        <row r="1175">
          <cell r="A1175" t="str">
            <v>LA LIBERTADPATAZTAYABAMBA</v>
          </cell>
          <cell r="B1175" t="str">
            <v>13</v>
          </cell>
          <cell r="C1175" t="str">
            <v>08</v>
          </cell>
          <cell r="D1175" t="str">
            <v>01</v>
          </cell>
          <cell r="E1175" t="str">
            <v>LA LIBERTAD</v>
          </cell>
          <cell r="F1175" t="str">
            <v>PATAZ</v>
          </cell>
          <cell r="G1175" t="str">
            <v>TAYABAMBA</v>
          </cell>
          <cell r="H1175" t="str">
            <v>011191</v>
          </cell>
          <cell r="I1175" t="str">
            <v>1</v>
          </cell>
        </row>
        <row r="1176">
          <cell r="A1176" t="str">
            <v>LA LIBERTADPATAZBULDIBUYO</v>
          </cell>
          <cell r="B1176" t="str">
            <v>13</v>
          </cell>
          <cell r="C1176" t="str">
            <v>08</v>
          </cell>
          <cell r="D1176" t="str">
            <v>02</v>
          </cell>
          <cell r="E1176" t="str">
            <v>LA LIBERTAD</v>
          </cell>
          <cell r="F1176" t="str">
            <v>PATAZ</v>
          </cell>
          <cell r="G1176" t="str">
            <v>BULDIBUYO</v>
          </cell>
          <cell r="H1176" t="str">
            <v>012189</v>
          </cell>
          <cell r="I1176" t="str">
            <v>2</v>
          </cell>
        </row>
        <row r="1177">
          <cell r="A1177" t="str">
            <v>LA LIBERTADPATAZCHILLIA</v>
          </cell>
          <cell r="B1177" t="str">
            <v>13</v>
          </cell>
          <cell r="C1177" t="str">
            <v>08</v>
          </cell>
          <cell r="D1177" t="str">
            <v>03</v>
          </cell>
          <cell r="E1177" t="str">
            <v>LA LIBERTAD</v>
          </cell>
          <cell r="F1177" t="str">
            <v>PATAZ</v>
          </cell>
          <cell r="G1177" t="str">
            <v>CHILLIA</v>
          </cell>
          <cell r="H1177" t="str">
            <v>011199</v>
          </cell>
          <cell r="I1177" t="str">
            <v>2</v>
          </cell>
        </row>
        <row r="1178">
          <cell r="A1178" t="str">
            <v>LA LIBERTADPATAZHUANCASPATA</v>
          </cell>
          <cell r="B1178" t="str">
            <v>13</v>
          </cell>
          <cell r="C1178" t="str">
            <v>08</v>
          </cell>
          <cell r="D1178" t="str">
            <v>04</v>
          </cell>
          <cell r="E1178" t="str">
            <v>LA LIBERTAD</v>
          </cell>
          <cell r="F1178" t="str">
            <v>PATAZ</v>
          </cell>
          <cell r="G1178" t="str">
            <v>HUANCASPATA</v>
          </cell>
          <cell r="H1178" t="str">
            <v>011192</v>
          </cell>
          <cell r="I1178" t="str">
            <v>2</v>
          </cell>
        </row>
        <row r="1179">
          <cell r="A1179" t="str">
            <v>LA LIBERTADPATAZHUAYLILLAS</v>
          </cell>
          <cell r="B1179" t="str">
            <v>13</v>
          </cell>
          <cell r="C1179" t="str">
            <v>08</v>
          </cell>
          <cell r="D1179" t="str">
            <v>05</v>
          </cell>
          <cell r="E1179" t="str">
            <v>LA LIBERTAD</v>
          </cell>
          <cell r="F1179" t="str">
            <v>PATAZ</v>
          </cell>
          <cell r="G1179" t="str">
            <v>HUAYLILLAS</v>
          </cell>
          <cell r="H1179" t="str">
            <v>011193</v>
          </cell>
          <cell r="I1179" t="str">
            <v>2</v>
          </cell>
        </row>
        <row r="1180">
          <cell r="A1180" t="str">
            <v>LA LIBERTADPATAZHUAYO</v>
          </cell>
          <cell r="B1180" t="str">
            <v>13</v>
          </cell>
          <cell r="C1180" t="str">
            <v>08</v>
          </cell>
          <cell r="D1180" t="str">
            <v>06</v>
          </cell>
          <cell r="E1180" t="str">
            <v>LA LIBERTAD</v>
          </cell>
          <cell r="F1180" t="str">
            <v>PATAZ</v>
          </cell>
          <cell r="G1180" t="str">
            <v>HUAYO</v>
          </cell>
          <cell r="H1180" t="str">
            <v>012682</v>
          </cell>
          <cell r="I1180" t="str">
            <v>2</v>
          </cell>
        </row>
        <row r="1181">
          <cell r="A1181" t="str">
            <v>LA LIBERTADPATAZONGON</v>
          </cell>
          <cell r="B1181" t="str">
            <v>13</v>
          </cell>
          <cell r="C1181" t="str">
            <v>08</v>
          </cell>
          <cell r="D1181" t="str">
            <v>07</v>
          </cell>
          <cell r="E1181" t="str">
            <v>LA LIBERTAD</v>
          </cell>
          <cell r="F1181" t="str">
            <v>PATAZ</v>
          </cell>
          <cell r="G1181" t="str">
            <v>ONGON</v>
          </cell>
          <cell r="H1181" t="str">
            <v>012696</v>
          </cell>
          <cell r="I1181" t="str">
            <v>2</v>
          </cell>
        </row>
        <row r="1182">
          <cell r="A1182" t="str">
            <v>LA LIBERTADPATAZPARCOY</v>
          </cell>
          <cell r="B1182" t="str">
            <v>13</v>
          </cell>
          <cell r="C1182" t="str">
            <v>08</v>
          </cell>
          <cell r="D1182" t="str">
            <v>08</v>
          </cell>
          <cell r="E1182" t="str">
            <v>LA LIBERTAD</v>
          </cell>
          <cell r="F1182" t="str">
            <v>PATAZ</v>
          </cell>
          <cell r="G1182" t="str">
            <v>PARCOY</v>
          </cell>
          <cell r="H1182" t="str">
            <v>011201</v>
          </cell>
          <cell r="I1182" t="str">
            <v>2</v>
          </cell>
        </row>
        <row r="1183">
          <cell r="A1183" t="str">
            <v>LA LIBERTADPATAZPATAZ</v>
          </cell>
          <cell r="B1183" t="str">
            <v>13</v>
          </cell>
          <cell r="C1183" t="str">
            <v>08</v>
          </cell>
          <cell r="D1183" t="str">
            <v>09</v>
          </cell>
          <cell r="E1183" t="str">
            <v>LA LIBERTAD</v>
          </cell>
          <cell r="F1183" t="str">
            <v>PATAZ</v>
          </cell>
          <cell r="G1183" t="str">
            <v>PATAZ</v>
          </cell>
          <cell r="H1183" t="str">
            <v>011202</v>
          </cell>
          <cell r="I1183" t="str">
            <v>2</v>
          </cell>
        </row>
        <row r="1184">
          <cell r="A1184" t="str">
            <v>LA LIBERTADPATAZPIAS</v>
          </cell>
          <cell r="B1184" t="str">
            <v>13</v>
          </cell>
          <cell r="C1184" t="str">
            <v>08</v>
          </cell>
          <cell r="D1184" t="str">
            <v>10</v>
          </cell>
          <cell r="E1184" t="str">
            <v>LA LIBERTAD</v>
          </cell>
          <cell r="F1184" t="str">
            <v>PATAZ</v>
          </cell>
          <cell r="G1184" t="str">
            <v>PIAS</v>
          </cell>
          <cell r="H1184" t="str">
            <v>011203</v>
          </cell>
          <cell r="I1184" t="str">
            <v>2</v>
          </cell>
        </row>
        <row r="1185">
          <cell r="A1185" t="str">
            <v>LA LIBERTADPATAZSANTIAGO DE CHALLAS</v>
          </cell>
          <cell r="B1185" t="str">
            <v>13</v>
          </cell>
          <cell r="C1185" t="str">
            <v>08</v>
          </cell>
          <cell r="D1185" t="str">
            <v>11</v>
          </cell>
          <cell r="E1185" t="str">
            <v>LA LIBERTAD</v>
          </cell>
          <cell r="F1185" t="str">
            <v>PATAZ</v>
          </cell>
          <cell r="G1185" t="str">
            <v>SANTIAGO DE CHALLAS</v>
          </cell>
          <cell r="H1185" t="str">
            <v>012170</v>
          </cell>
          <cell r="I1185" t="str">
            <v>2</v>
          </cell>
        </row>
        <row r="1186">
          <cell r="A1186" t="str">
            <v>LA LIBERTADPATAZTAURIJA</v>
          </cell>
          <cell r="B1186" t="str">
            <v>13</v>
          </cell>
          <cell r="C1186" t="str">
            <v>08</v>
          </cell>
          <cell r="D1186" t="str">
            <v>12</v>
          </cell>
          <cell r="E1186" t="str">
            <v>LA LIBERTAD</v>
          </cell>
          <cell r="F1186" t="str">
            <v>PATAZ</v>
          </cell>
          <cell r="G1186" t="str">
            <v>TAURIJA</v>
          </cell>
          <cell r="H1186" t="str">
            <v>011196</v>
          </cell>
          <cell r="I1186" t="str">
            <v>2</v>
          </cell>
        </row>
        <row r="1187">
          <cell r="A1187" t="str">
            <v>LA LIBERTADPATAZURPAY</v>
          </cell>
          <cell r="B1187" t="str">
            <v>13</v>
          </cell>
          <cell r="C1187" t="str">
            <v>08</v>
          </cell>
          <cell r="D1187" t="str">
            <v>13</v>
          </cell>
          <cell r="E1187" t="str">
            <v>LA LIBERTAD</v>
          </cell>
          <cell r="F1187" t="str">
            <v>PATAZ</v>
          </cell>
          <cell r="G1187" t="str">
            <v>URPAY</v>
          </cell>
          <cell r="H1187" t="str">
            <v>011197</v>
          </cell>
          <cell r="I1187" t="str">
            <v>2</v>
          </cell>
        </row>
        <row r="1188">
          <cell r="A1188" t="str">
            <v>LA LIBERTADSANCHEZ CARRIONHUAMACHUCO</v>
          </cell>
          <cell r="B1188" t="str">
            <v>13</v>
          </cell>
          <cell r="C1188" t="str">
            <v>09</v>
          </cell>
          <cell r="D1188" t="str">
            <v>01</v>
          </cell>
          <cell r="E1188" t="str">
            <v>LA LIBERTAD</v>
          </cell>
          <cell r="F1188" t="str">
            <v>SANCHEZ CARRION</v>
          </cell>
          <cell r="G1188" t="str">
            <v>HUAMACHUCO</v>
          </cell>
          <cell r="H1188" t="str">
            <v>011178</v>
          </cell>
          <cell r="I1188" t="str">
            <v>1</v>
          </cell>
        </row>
        <row r="1189">
          <cell r="A1189" t="str">
            <v>LA LIBERTADSANCHEZ CARRIONCHUGAY</v>
          </cell>
          <cell r="B1189" t="str">
            <v>13</v>
          </cell>
          <cell r="C1189" t="str">
            <v>09</v>
          </cell>
          <cell r="D1189" t="str">
            <v>02</v>
          </cell>
          <cell r="E1189" t="str">
            <v>LA LIBERTAD</v>
          </cell>
          <cell r="F1189" t="str">
            <v>SANCHEZ CARRION</v>
          </cell>
          <cell r="G1189" t="str">
            <v>CHUGAY</v>
          </cell>
          <cell r="H1189" t="str">
            <v>012171</v>
          </cell>
          <cell r="I1189" t="str">
            <v>2</v>
          </cell>
        </row>
        <row r="1190">
          <cell r="A1190" t="str">
            <v>LA LIBERTADSANCHEZ CARRIONCOCHORCO</v>
          </cell>
          <cell r="B1190" t="str">
            <v>13</v>
          </cell>
          <cell r="C1190" t="str">
            <v>09</v>
          </cell>
          <cell r="D1190" t="str">
            <v>03</v>
          </cell>
          <cell r="E1190" t="str">
            <v>LA LIBERTAD</v>
          </cell>
          <cell r="F1190" t="str">
            <v>SANCHEZ CARRION</v>
          </cell>
          <cell r="G1190" t="str">
            <v>COCHORCO</v>
          </cell>
          <cell r="H1190" t="str">
            <v>011180</v>
          </cell>
          <cell r="I1190" t="str">
            <v>2</v>
          </cell>
        </row>
        <row r="1191">
          <cell r="A1191" t="str">
            <v>LA LIBERTADSANCHEZ CARRIONCURGOS</v>
          </cell>
          <cell r="B1191" t="str">
            <v>13</v>
          </cell>
          <cell r="C1191" t="str">
            <v>09</v>
          </cell>
          <cell r="D1191" t="str">
            <v>04</v>
          </cell>
          <cell r="E1191" t="str">
            <v>LA LIBERTAD</v>
          </cell>
          <cell r="F1191" t="str">
            <v>SANCHEZ CARRION</v>
          </cell>
          <cell r="G1191" t="str">
            <v>CURGOS</v>
          </cell>
          <cell r="H1191" t="str">
            <v>011181</v>
          </cell>
          <cell r="I1191" t="str">
            <v>2</v>
          </cell>
        </row>
        <row r="1192">
          <cell r="A1192" t="str">
            <v>LA LIBERTADSANCHEZ CARRIONMARCABAL</v>
          </cell>
          <cell r="B1192" t="str">
            <v>13</v>
          </cell>
          <cell r="C1192" t="str">
            <v>09</v>
          </cell>
          <cell r="D1192" t="str">
            <v>05</v>
          </cell>
          <cell r="E1192" t="str">
            <v>LA LIBERTAD</v>
          </cell>
          <cell r="F1192" t="str">
            <v>SANCHEZ CARRION</v>
          </cell>
          <cell r="G1192" t="str">
            <v>MARCABAL</v>
          </cell>
          <cell r="H1192" t="str">
            <v>012185</v>
          </cell>
          <cell r="I1192" t="str">
            <v>2</v>
          </cell>
        </row>
        <row r="1193">
          <cell r="A1193" t="str">
            <v>LA LIBERTADSANCHEZ CARRIONSANAGORAN</v>
          </cell>
          <cell r="B1193" t="str">
            <v>13</v>
          </cell>
          <cell r="C1193" t="str">
            <v>09</v>
          </cell>
          <cell r="D1193" t="str">
            <v>06</v>
          </cell>
          <cell r="E1193" t="str">
            <v>LA LIBERTAD</v>
          </cell>
          <cell r="F1193" t="str">
            <v>SANCHEZ CARRION</v>
          </cell>
          <cell r="G1193" t="str">
            <v>SANAGORAN</v>
          </cell>
          <cell r="H1193" t="str">
            <v>011183</v>
          </cell>
          <cell r="I1193" t="str">
            <v>2</v>
          </cell>
        </row>
        <row r="1194">
          <cell r="A1194" t="str">
            <v>LA LIBERTADSANCHEZ CARRIONSARIN</v>
          </cell>
          <cell r="B1194" t="str">
            <v>13</v>
          </cell>
          <cell r="C1194" t="str">
            <v>09</v>
          </cell>
          <cell r="D1194" t="str">
            <v>07</v>
          </cell>
          <cell r="E1194" t="str">
            <v>LA LIBERTAD</v>
          </cell>
          <cell r="F1194" t="str">
            <v>SANCHEZ CARRION</v>
          </cell>
          <cell r="G1194" t="str">
            <v>SARIN</v>
          </cell>
          <cell r="H1194" t="str">
            <v>011184</v>
          </cell>
          <cell r="I1194" t="str">
            <v>2</v>
          </cell>
        </row>
        <row r="1195">
          <cell r="A1195" t="str">
            <v>LA LIBERTADSANCHEZ CARRIONSARTIMBAMBA</v>
          </cell>
          <cell r="B1195" t="str">
            <v>13</v>
          </cell>
          <cell r="C1195" t="str">
            <v>09</v>
          </cell>
          <cell r="D1195" t="str">
            <v>08</v>
          </cell>
          <cell r="E1195" t="str">
            <v>LA LIBERTAD</v>
          </cell>
          <cell r="F1195" t="str">
            <v>SANCHEZ CARRION</v>
          </cell>
          <cell r="G1195" t="str">
            <v>SARTIMBAMBA</v>
          </cell>
          <cell r="H1195" t="str">
            <v>011185</v>
          </cell>
          <cell r="I1195" t="str">
            <v>2</v>
          </cell>
        </row>
        <row r="1196">
          <cell r="A1196" t="str">
            <v>LA LIBERTADSANTIAGO DE CHUCOSANTIAGO DE CHUCO</v>
          </cell>
          <cell r="B1196" t="str">
            <v>13</v>
          </cell>
          <cell r="C1196" t="str">
            <v>10</v>
          </cell>
          <cell r="D1196" t="str">
            <v>01</v>
          </cell>
          <cell r="E1196" t="str">
            <v>LA LIBERTAD</v>
          </cell>
          <cell r="F1196" t="str">
            <v>SANTIAGO DE CHUCO</v>
          </cell>
          <cell r="G1196" t="str">
            <v>SANTIAGO DE CHUCO</v>
          </cell>
          <cell r="H1196" t="str">
            <v>011204</v>
          </cell>
          <cell r="I1196" t="str">
            <v>1</v>
          </cell>
        </row>
        <row r="1197">
          <cell r="A1197" t="str">
            <v>LA LIBERTADSANTIAGO DE CHUCOANGASMARCA</v>
          </cell>
          <cell r="B1197" t="str">
            <v>13</v>
          </cell>
          <cell r="C1197" t="str">
            <v>10</v>
          </cell>
          <cell r="D1197" t="str">
            <v>02</v>
          </cell>
          <cell r="E1197" t="str">
            <v>LA LIBERTAD</v>
          </cell>
          <cell r="F1197" t="str">
            <v>SANTIAGO DE CHUCO</v>
          </cell>
          <cell r="G1197" t="str">
            <v>ANGASMARCA</v>
          </cell>
          <cell r="H1197" t="str">
            <v>012175</v>
          </cell>
          <cell r="I1197" t="str">
            <v>2</v>
          </cell>
        </row>
        <row r="1198">
          <cell r="A1198" t="str">
            <v>LA LIBERTADSANTIAGO DE CHUCOCACHICADAN</v>
          </cell>
          <cell r="B1198" t="str">
            <v>13</v>
          </cell>
          <cell r="C1198" t="str">
            <v>10</v>
          </cell>
          <cell r="D1198" t="str">
            <v>03</v>
          </cell>
          <cell r="E1198" t="str">
            <v>LA LIBERTAD</v>
          </cell>
          <cell r="F1198" t="str">
            <v>SANTIAGO DE CHUCO</v>
          </cell>
          <cell r="G1198" t="str">
            <v>CACHICADAN</v>
          </cell>
          <cell r="H1198" t="str">
            <v>011206</v>
          </cell>
          <cell r="I1198" t="str">
            <v>2</v>
          </cell>
        </row>
        <row r="1199">
          <cell r="A1199" t="str">
            <v>LA LIBERTADSANTIAGO DE CHUCOMOLLEBAMBA</v>
          </cell>
          <cell r="B1199" t="str">
            <v>13</v>
          </cell>
          <cell r="C1199" t="str">
            <v>10</v>
          </cell>
          <cell r="D1199" t="str">
            <v>04</v>
          </cell>
          <cell r="E1199" t="str">
            <v>LA LIBERTAD</v>
          </cell>
          <cell r="F1199" t="str">
            <v>SANTIAGO DE CHUCO</v>
          </cell>
          <cell r="G1199" t="str">
            <v>MOLLEBAMBA</v>
          </cell>
          <cell r="H1199" t="str">
            <v>011207</v>
          </cell>
          <cell r="I1199" t="str">
            <v>2</v>
          </cell>
        </row>
        <row r="1200">
          <cell r="A1200" t="str">
            <v>LA LIBERTADSANTIAGO DE CHUCOMOLLEPATA</v>
          </cell>
          <cell r="B1200" t="str">
            <v>13</v>
          </cell>
          <cell r="C1200" t="str">
            <v>10</v>
          </cell>
          <cell r="D1200" t="str">
            <v>05</v>
          </cell>
          <cell r="E1200" t="str">
            <v>LA LIBERTAD</v>
          </cell>
          <cell r="F1200" t="str">
            <v>SANTIAGO DE CHUCO</v>
          </cell>
          <cell r="G1200" t="str">
            <v>MOLLEPATA</v>
          </cell>
          <cell r="H1200" t="str">
            <v>011208</v>
          </cell>
          <cell r="I1200" t="str">
            <v>2</v>
          </cell>
        </row>
        <row r="1201">
          <cell r="A1201" t="str">
            <v>LA LIBERTADSANTIAGO DE CHUCOQUIRUVILCA</v>
          </cell>
          <cell r="B1201" t="str">
            <v>13</v>
          </cell>
          <cell r="C1201" t="str">
            <v>10</v>
          </cell>
          <cell r="D1201" t="str">
            <v>06</v>
          </cell>
          <cell r="E1201" t="str">
            <v>LA LIBERTAD</v>
          </cell>
          <cell r="F1201" t="str">
            <v>SANTIAGO DE CHUCO</v>
          </cell>
          <cell r="G1201" t="str">
            <v>QUIRUVILCA</v>
          </cell>
          <cell r="H1201" t="str">
            <v>011209</v>
          </cell>
          <cell r="I1201" t="str">
            <v>2</v>
          </cell>
        </row>
        <row r="1202">
          <cell r="A1202" t="str">
            <v>LA LIBERTADSANTIAGO DE CHUCOSANTA CRUZ DE CHUCA</v>
          </cell>
          <cell r="B1202" t="str">
            <v>13</v>
          </cell>
          <cell r="C1202" t="str">
            <v>10</v>
          </cell>
          <cell r="D1202" t="str">
            <v>07</v>
          </cell>
          <cell r="E1202" t="str">
            <v>LA LIBERTAD</v>
          </cell>
          <cell r="F1202" t="str">
            <v>SANTIAGO DE CHUCO</v>
          </cell>
          <cell r="G1202" t="str">
            <v>SANTA CRUZ DE CHUCA</v>
          </cell>
          <cell r="H1202" t="str">
            <v>011210</v>
          </cell>
          <cell r="I1202" t="str">
            <v>2</v>
          </cell>
        </row>
        <row r="1203">
          <cell r="A1203" t="str">
            <v>LA LIBERTADSANTIAGO DE CHUCOSITABAMBA</v>
          </cell>
          <cell r="B1203" t="str">
            <v>13</v>
          </cell>
          <cell r="C1203" t="str">
            <v>10</v>
          </cell>
          <cell r="D1203" t="str">
            <v>08</v>
          </cell>
          <cell r="E1203" t="str">
            <v>LA LIBERTAD</v>
          </cell>
          <cell r="F1203" t="str">
            <v>SANTIAGO DE CHUCO</v>
          </cell>
          <cell r="G1203" t="str">
            <v>SITABAMBA</v>
          </cell>
          <cell r="H1203" t="str">
            <v>012182</v>
          </cell>
          <cell r="I1203" t="str">
            <v>2</v>
          </cell>
        </row>
        <row r="1204">
          <cell r="A1204" t="str">
            <v>LA LIBERTADGRAN CHIMUCASCAS</v>
          </cell>
          <cell r="B1204" t="str">
            <v>13</v>
          </cell>
          <cell r="C1204" t="str">
            <v>11</v>
          </cell>
          <cell r="D1204" t="str">
            <v>01</v>
          </cell>
          <cell r="E1204" t="str">
            <v>LA LIBERTAD</v>
          </cell>
          <cell r="F1204" t="str">
            <v>GRAN CHIMU</v>
          </cell>
          <cell r="G1204" t="str">
            <v>CASCAS</v>
          </cell>
          <cell r="H1204" t="str">
            <v>011169</v>
          </cell>
          <cell r="I1204" t="str">
            <v>1</v>
          </cell>
        </row>
        <row r="1205">
          <cell r="A1205" t="str">
            <v>LA LIBERTADGRAN CHIMULUCMA</v>
          </cell>
          <cell r="B1205" t="str">
            <v>13</v>
          </cell>
          <cell r="C1205" t="str">
            <v>11</v>
          </cell>
          <cell r="D1205" t="str">
            <v>02</v>
          </cell>
          <cell r="E1205" t="str">
            <v>LA LIBERTAD</v>
          </cell>
          <cell r="F1205" t="str">
            <v>GRAN CHIMU</v>
          </cell>
          <cell r="G1205" t="str">
            <v>LUCMA</v>
          </cell>
          <cell r="H1205" t="str">
            <v>011170</v>
          </cell>
          <cell r="I1205" t="str">
            <v>2</v>
          </cell>
        </row>
        <row r="1206">
          <cell r="A1206" t="str">
            <v>LA LIBERTADGRAN CHIMUMARMOT</v>
          </cell>
          <cell r="B1206" t="str">
            <v>13</v>
          </cell>
          <cell r="C1206" t="str">
            <v>11</v>
          </cell>
          <cell r="D1206" t="str">
            <v>03</v>
          </cell>
          <cell r="E1206" t="str">
            <v>LA LIBERTAD</v>
          </cell>
          <cell r="F1206" t="str">
            <v>GRAN CHIMU</v>
          </cell>
          <cell r="G1206" t="str">
            <v>MARMOT</v>
          </cell>
          <cell r="H1206" t="str">
            <v>011171</v>
          </cell>
          <cell r="I1206" t="str">
            <v>2</v>
          </cell>
        </row>
        <row r="1207">
          <cell r="A1207" t="str">
            <v>LA LIBERTADGRAN CHIMUSAYAPULLO</v>
          </cell>
          <cell r="B1207" t="str">
            <v>13</v>
          </cell>
          <cell r="C1207" t="str">
            <v>11</v>
          </cell>
          <cell r="D1207" t="str">
            <v>04</v>
          </cell>
          <cell r="E1207" t="str">
            <v>LA LIBERTAD</v>
          </cell>
          <cell r="F1207" t="str">
            <v>GRAN CHIMU</v>
          </cell>
          <cell r="G1207" t="str">
            <v>SAYAPULLO</v>
          </cell>
          <cell r="H1207" t="str">
            <v>011172</v>
          </cell>
          <cell r="I1207" t="str">
            <v>2</v>
          </cell>
        </row>
        <row r="1208">
          <cell r="A1208" t="str">
            <v>LA LIBERTADVIRUVIRU</v>
          </cell>
          <cell r="B1208" t="str">
            <v>13</v>
          </cell>
          <cell r="C1208" t="str">
            <v>12</v>
          </cell>
          <cell r="D1208" t="str">
            <v>01</v>
          </cell>
          <cell r="E1208" t="str">
            <v>LA LIBERTAD</v>
          </cell>
          <cell r="F1208" t="str">
            <v>VIRU</v>
          </cell>
          <cell r="G1208" t="str">
            <v>VIRU</v>
          </cell>
          <cell r="H1208" t="str">
            <v>011173</v>
          </cell>
          <cell r="I1208" t="str">
            <v>1</v>
          </cell>
        </row>
        <row r="1209">
          <cell r="A1209" t="str">
            <v>LA LIBERTADVIRUCHAO</v>
          </cell>
          <cell r="B1209" t="str">
            <v>13</v>
          </cell>
          <cell r="C1209" t="str">
            <v>12</v>
          </cell>
          <cell r="D1209" t="str">
            <v>02</v>
          </cell>
          <cell r="E1209" t="str">
            <v>LA LIBERTAD</v>
          </cell>
          <cell r="F1209" t="str">
            <v>VIRU</v>
          </cell>
          <cell r="G1209" t="str">
            <v>CHAO</v>
          </cell>
          <cell r="H1209" t="str">
            <v>011174</v>
          </cell>
          <cell r="I1209" t="str">
            <v>2</v>
          </cell>
        </row>
        <row r="1210">
          <cell r="A1210" t="str">
            <v>LA LIBERTADVIRUGUADALUPITO</v>
          </cell>
          <cell r="B1210" t="str">
            <v>13</v>
          </cell>
          <cell r="C1210" t="str">
            <v>12</v>
          </cell>
          <cell r="D1210" t="str">
            <v>03</v>
          </cell>
          <cell r="E1210" t="str">
            <v>LA LIBERTAD</v>
          </cell>
          <cell r="F1210" t="str">
            <v>VIRU</v>
          </cell>
          <cell r="G1210" t="str">
            <v>GUADALUPITO</v>
          </cell>
          <cell r="H1210" t="str">
            <v>011175</v>
          </cell>
          <cell r="I1210" t="str">
            <v>2</v>
          </cell>
        </row>
        <row r="1211">
          <cell r="A1211" t="str">
            <v>LAMBAYEQUECHICLAYOCHICLAYO</v>
          </cell>
          <cell r="B1211" t="str">
            <v>14</v>
          </cell>
          <cell r="C1211" t="str">
            <v>01</v>
          </cell>
          <cell r="D1211" t="str">
            <v>01</v>
          </cell>
          <cell r="E1211" t="str">
            <v>LAMBAYEQUE</v>
          </cell>
          <cell r="F1211" t="str">
            <v>CHICLAYO</v>
          </cell>
          <cell r="G1211" t="str">
            <v>CHICLAYO</v>
          </cell>
          <cell r="H1211" t="str">
            <v>011211</v>
          </cell>
          <cell r="I1211" t="str">
            <v>1</v>
          </cell>
        </row>
        <row r="1212">
          <cell r="A1212" t="str">
            <v>LAMBAYEQUECHICLAYOCHONGOYAPE</v>
          </cell>
          <cell r="B1212" t="str">
            <v>14</v>
          </cell>
          <cell r="C1212" t="str">
            <v>01</v>
          </cell>
          <cell r="D1212" t="str">
            <v>02</v>
          </cell>
          <cell r="E1212" t="str">
            <v>LAMBAYEQUE</v>
          </cell>
          <cell r="F1212" t="str">
            <v>CHICLAYO</v>
          </cell>
          <cell r="G1212" t="str">
            <v>CHONGOYAPE</v>
          </cell>
          <cell r="H1212" t="str">
            <v>011216</v>
          </cell>
          <cell r="I1212" t="str">
            <v>2</v>
          </cell>
        </row>
        <row r="1213">
          <cell r="A1213" t="str">
            <v>LAMBAYEQUECHICLAYOETEN</v>
          </cell>
          <cell r="B1213" t="str">
            <v>14</v>
          </cell>
          <cell r="C1213" t="str">
            <v>01</v>
          </cell>
          <cell r="D1213" t="str">
            <v>03</v>
          </cell>
          <cell r="E1213" t="str">
            <v>LAMBAYEQUE</v>
          </cell>
          <cell r="F1213" t="str">
            <v>CHICLAYO</v>
          </cell>
          <cell r="G1213" t="str">
            <v>ETEN</v>
          </cell>
          <cell r="H1213" t="str">
            <v>011221</v>
          </cell>
          <cell r="I1213" t="str">
            <v>2</v>
          </cell>
        </row>
        <row r="1214">
          <cell r="A1214" t="str">
            <v>LAMBAYEQUECHICLAYOETEN PUERTO</v>
          </cell>
          <cell r="B1214" t="str">
            <v>14</v>
          </cell>
          <cell r="C1214" t="str">
            <v>01</v>
          </cell>
          <cell r="D1214" t="str">
            <v>04</v>
          </cell>
          <cell r="E1214" t="str">
            <v>LAMBAYEQUE</v>
          </cell>
          <cell r="F1214" t="str">
            <v>CHICLAYO</v>
          </cell>
          <cell r="G1214" t="str">
            <v>ETEN PUERTO</v>
          </cell>
          <cell r="H1214" t="str">
            <v>011222</v>
          </cell>
          <cell r="I1214" t="str">
            <v>2</v>
          </cell>
        </row>
        <row r="1215">
          <cell r="A1215" t="str">
            <v>LAMBAYEQUECHICLAYOJOSE LEONARDO ORTIZ</v>
          </cell>
          <cell r="B1215" t="str">
            <v>14</v>
          </cell>
          <cell r="C1215" t="str">
            <v>01</v>
          </cell>
          <cell r="D1215" t="str">
            <v>05</v>
          </cell>
          <cell r="E1215" t="str">
            <v>LAMBAYEQUE</v>
          </cell>
          <cell r="F1215" t="str">
            <v>CHICLAYO</v>
          </cell>
          <cell r="G1215" t="str">
            <v>JOSE LEONARDO ORTIZ</v>
          </cell>
          <cell r="H1215" t="str">
            <v>011212</v>
          </cell>
          <cell r="I1215" t="str">
            <v>2</v>
          </cell>
        </row>
        <row r="1216">
          <cell r="A1216" t="str">
            <v>LAMBAYEQUECHICLAYOLA VICTORIA</v>
          </cell>
          <cell r="B1216" t="str">
            <v>14</v>
          </cell>
          <cell r="C1216" t="str">
            <v>01</v>
          </cell>
          <cell r="D1216" t="str">
            <v>06</v>
          </cell>
          <cell r="E1216" t="str">
            <v>LAMBAYEQUE</v>
          </cell>
          <cell r="F1216" t="str">
            <v>CHICLAYO</v>
          </cell>
          <cell r="G1216" t="str">
            <v>LA VICTORIA</v>
          </cell>
          <cell r="H1216" t="str">
            <v>011213</v>
          </cell>
          <cell r="I1216" t="str">
            <v>2</v>
          </cell>
        </row>
        <row r="1217">
          <cell r="A1217" t="str">
            <v>LAMBAYEQUECHICLAYOLAGUNAS</v>
          </cell>
          <cell r="B1217" t="str">
            <v>14</v>
          </cell>
          <cell r="C1217" t="str">
            <v>01</v>
          </cell>
          <cell r="D1217" t="str">
            <v>07</v>
          </cell>
          <cell r="E1217" t="str">
            <v>LAMBAYEQUE</v>
          </cell>
          <cell r="F1217" t="str">
            <v>CHICLAYO</v>
          </cell>
          <cell r="G1217" t="str">
            <v>LAGUNAS</v>
          </cell>
          <cell r="H1217" t="str">
            <v>011223</v>
          </cell>
          <cell r="I1217" t="str">
            <v>2</v>
          </cell>
        </row>
        <row r="1218">
          <cell r="A1218" t="str">
            <v>LAMBAYEQUECHICLAYOMONSEFU</v>
          </cell>
          <cell r="B1218" t="str">
            <v>14</v>
          </cell>
          <cell r="C1218" t="str">
            <v>01</v>
          </cell>
          <cell r="D1218" t="str">
            <v>08</v>
          </cell>
          <cell r="E1218" t="str">
            <v>LAMBAYEQUE</v>
          </cell>
          <cell r="F1218" t="str">
            <v>CHICLAYO</v>
          </cell>
          <cell r="G1218" t="str">
            <v>MONSEFU</v>
          </cell>
          <cell r="H1218" t="str">
            <v>011224</v>
          </cell>
          <cell r="I1218" t="str">
            <v>2</v>
          </cell>
        </row>
        <row r="1219">
          <cell r="A1219" t="str">
            <v>LAMBAYEQUECHICLAYONUEVA ARICA</v>
          </cell>
          <cell r="B1219" t="str">
            <v>14</v>
          </cell>
          <cell r="C1219" t="str">
            <v>01</v>
          </cell>
          <cell r="D1219" t="str">
            <v>09</v>
          </cell>
          <cell r="E1219" t="str">
            <v>LAMBAYEQUE</v>
          </cell>
          <cell r="F1219" t="str">
            <v>CHICLAYO</v>
          </cell>
          <cell r="G1219" t="str">
            <v>NUEVA ARICA</v>
          </cell>
          <cell r="H1219" t="str">
            <v>011225</v>
          </cell>
          <cell r="I1219" t="str">
            <v>2</v>
          </cell>
        </row>
        <row r="1220">
          <cell r="A1220" t="str">
            <v>LAMBAYEQUECHICLAYOOYOTUN</v>
          </cell>
          <cell r="B1220" t="str">
            <v>14</v>
          </cell>
          <cell r="C1220" t="str">
            <v>01</v>
          </cell>
          <cell r="D1220" t="str">
            <v>10</v>
          </cell>
          <cell r="E1220" t="str">
            <v>LAMBAYEQUE</v>
          </cell>
          <cell r="F1220" t="str">
            <v>CHICLAYO</v>
          </cell>
          <cell r="G1220" t="str">
            <v>OYOTUN</v>
          </cell>
          <cell r="H1220" t="str">
            <v>011226</v>
          </cell>
          <cell r="I1220" t="str">
            <v>2</v>
          </cell>
        </row>
        <row r="1221">
          <cell r="A1221" t="str">
            <v>LAMBAYEQUECHICLAYOPICSI</v>
          </cell>
          <cell r="B1221" t="str">
            <v>14</v>
          </cell>
          <cell r="C1221" t="str">
            <v>01</v>
          </cell>
          <cell r="D1221" t="str">
            <v>11</v>
          </cell>
          <cell r="E1221" t="str">
            <v>LAMBAYEQUE</v>
          </cell>
          <cell r="F1221" t="str">
            <v>CHICLAYO</v>
          </cell>
          <cell r="G1221" t="str">
            <v>PICSI</v>
          </cell>
          <cell r="H1221" t="str">
            <v>011214</v>
          </cell>
          <cell r="I1221" t="str">
            <v>2</v>
          </cell>
        </row>
        <row r="1222">
          <cell r="A1222" t="str">
            <v>LAMBAYEQUECHICLAYOPIMENTEL</v>
          </cell>
          <cell r="B1222" t="str">
            <v>14</v>
          </cell>
          <cell r="C1222" t="str">
            <v>01</v>
          </cell>
          <cell r="D1222" t="str">
            <v>12</v>
          </cell>
          <cell r="E1222" t="str">
            <v>LAMBAYEQUE</v>
          </cell>
          <cell r="F1222" t="str">
            <v>CHICLAYO</v>
          </cell>
          <cell r="G1222" t="str">
            <v>PIMENTEL</v>
          </cell>
          <cell r="H1222" t="str">
            <v>011217</v>
          </cell>
          <cell r="I1222" t="str">
            <v>2</v>
          </cell>
        </row>
        <row r="1223">
          <cell r="A1223" t="str">
            <v>LAMBAYEQUECHICLAYOREQUE</v>
          </cell>
          <cell r="B1223" t="str">
            <v>14</v>
          </cell>
          <cell r="C1223" t="str">
            <v>01</v>
          </cell>
          <cell r="D1223" t="str">
            <v>13</v>
          </cell>
          <cell r="E1223" t="str">
            <v>LAMBAYEQUE</v>
          </cell>
          <cell r="F1223" t="str">
            <v>CHICLAYO</v>
          </cell>
          <cell r="G1223" t="str">
            <v>REQUE</v>
          </cell>
          <cell r="H1223" t="str">
            <v>011227</v>
          </cell>
          <cell r="I1223" t="str">
            <v>2</v>
          </cell>
        </row>
        <row r="1224">
          <cell r="A1224" t="str">
            <v>LAMBAYEQUECHICLAYOSANTA ROSA</v>
          </cell>
          <cell r="B1224" t="str">
            <v>14</v>
          </cell>
          <cell r="C1224" t="str">
            <v>01</v>
          </cell>
          <cell r="D1224" t="str">
            <v>14</v>
          </cell>
          <cell r="E1224" t="str">
            <v>LAMBAYEQUE</v>
          </cell>
          <cell r="F1224" t="str">
            <v>CHICLAYO</v>
          </cell>
          <cell r="G1224" t="str">
            <v>SANTA ROSA</v>
          </cell>
          <cell r="H1224" t="str">
            <v>011228</v>
          </cell>
          <cell r="I1224" t="str">
            <v>2</v>
          </cell>
        </row>
        <row r="1225">
          <cell r="A1225" t="str">
            <v>LAMBAYEQUECHICLAYOSAÑA</v>
          </cell>
          <cell r="B1225" t="str">
            <v>14</v>
          </cell>
          <cell r="C1225" t="str">
            <v>01</v>
          </cell>
          <cell r="D1225" t="str">
            <v>15</v>
          </cell>
          <cell r="E1225" t="str">
            <v>LAMBAYEQUE</v>
          </cell>
          <cell r="F1225" t="str">
            <v>CHICLAYO</v>
          </cell>
          <cell r="G1225" t="str">
            <v>SAÑA</v>
          </cell>
          <cell r="H1225" t="str">
            <v>011229</v>
          </cell>
          <cell r="I1225" t="str">
            <v>2</v>
          </cell>
        </row>
        <row r="1226">
          <cell r="A1226" t="str">
            <v>LAMBAYEQUECHICLAYOCAYALTI</v>
          </cell>
          <cell r="B1226" t="str">
            <v>14</v>
          </cell>
          <cell r="C1226" t="str">
            <v>01</v>
          </cell>
          <cell r="D1226" t="str">
            <v>16</v>
          </cell>
          <cell r="E1226" t="str">
            <v>LAMBAYEQUE</v>
          </cell>
          <cell r="F1226" t="str">
            <v>CHICLAYO</v>
          </cell>
          <cell r="G1226" t="str">
            <v>CAYALTI</v>
          </cell>
          <cell r="H1226" t="str">
            <v>011230</v>
          </cell>
          <cell r="I1226" t="str">
            <v>2</v>
          </cell>
        </row>
        <row r="1227">
          <cell r="A1227" t="str">
            <v>LAMBAYEQUECHICLAYOPATAPO</v>
          </cell>
          <cell r="B1227" t="str">
            <v>14</v>
          </cell>
          <cell r="C1227" t="str">
            <v>01</v>
          </cell>
          <cell r="D1227" t="str">
            <v>17</v>
          </cell>
          <cell r="E1227" t="str">
            <v>LAMBAYEQUE</v>
          </cell>
          <cell r="F1227" t="str">
            <v>CHICLAYO</v>
          </cell>
          <cell r="G1227" t="str">
            <v>PATAPO</v>
          </cell>
          <cell r="H1227" t="str">
            <v>011218</v>
          </cell>
          <cell r="I1227" t="str">
            <v>2</v>
          </cell>
        </row>
        <row r="1228">
          <cell r="A1228" t="str">
            <v>LAMBAYEQUECHICLAYOPOMALCA</v>
          </cell>
          <cell r="B1228" t="str">
            <v>14</v>
          </cell>
          <cell r="C1228" t="str">
            <v>01</v>
          </cell>
          <cell r="D1228" t="str">
            <v>18</v>
          </cell>
          <cell r="E1228" t="str">
            <v>LAMBAYEQUE</v>
          </cell>
          <cell r="F1228" t="str">
            <v>CHICLAYO</v>
          </cell>
          <cell r="G1228" t="str">
            <v>POMALCA</v>
          </cell>
          <cell r="H1228" t="str">
            <v>011215</v>
          </cell>
          <cell r="I1228" t="str">
            <v>2</v>
          </cell>
        </row>
        <row r="1229">
          <cell r="A1229" t="str">
            <v>LAMBAYEQUECHICLAYOPUCALA</v>
          </cell>
          <cell r="B1229" t="str">
            <v>14</v>
          </cell>
          <cell r="C1229" t="str">
            <v>01</v>
          </cell>
          <cell r="D1229" t="str">
            <v>19</v>
          </cell>
          <cell r="E1229" t="str">
            <v>LAMBAYEQUE</v>
          </cell>
          <cell r="F1229" t="str">
            <v>CHICLAYO</v>
          </cell>
          <cell r="G1229" t="str">
            <v>PUCALA</v>
          </cell>
          <cell r="H1229" t="str">
            <v>011219</v>
          </cell>
          <cell r="I1229" t="str">
            <v>2</v>
          </cell>
        </row>
        <row r="1230">
          <cell r="A1230" t="str">
            <v>LAMBAYEQUECHICLAYOTUMAN</v>
          </cell>
          <cell r="B1230" t="str">
            <v>14</v>
          </cell>
          <cell r="C1230" t="str">
            <v>01</v>
          </cell>
          <cell r="D1230" t="str">
            <v>20</v>
          </cell>
          <cell r="E1230" t="str">
            <v>LAMBAYEQUE</v>
          </cell>
          <cell r="F1230" t="str">
            <v>CHICLAYO</v>
          </cell>
          <cell r="G1230" t="str">
            <v>TUMAN</v>
          </cell>
          <cell r="H1230" t="str">
            <v>011220</v>
          </cell>
          <cell r="I1230" t="str">
            <v>2</v>
          </cell>
        </row>
        <row r="1231">
          <cell r="A1231" t="str">
            <v>LAMBAYEQUEFERREÑAFEFERREÑAFE</v>
          </cell>
          <cell r="B1231" t="str">
            <v>14</v>
          </cell>
          <cell r="C1231" t="str">
            <v>02</v>
          </cell>
          <cell r="D1231" t="str">
            <v>01</v>
          </cell>
          <cell r="E1231" t="str">
            <v>LAMBAYEQUE</v>
          </cell>
          <cell r="F1231" t="str">
            <v>FERREÑAFE</v>
          </cell>
          <cell r="G1231" t="str">
            <v>FERREÑAFE</v>
          </cell>
          <cell r="H1231" t="str">
            <v>012194</v>
          </cell>
          <cell r="I1231" t="str">
            <v>1</v>
          </cell>
        </row>
        <row r="1232">
          <cell r="A1232" t="str">
            <v>LAMBAYEQUEFERREÑAFECAÑARIS</v>
          </cell>
          <cell r="B1232" t="str">
            <v>14</v>
          </cell>
          <cell r="C1232" t="str">
            <v>02</v>
          </cell>
          <cell r="D1232" t="str">
            <v>02</v>
          </cell>
          <cell r="E1232" t="str">
            <v>LAMBAYEQUE</v>
          </cell>
          <cell r="F1232" t="str">
            <v>FERREÑAFE</v>
          </cell>
          <cell r="G1232" t="str">
            <v>CAÑARIS</v>
          </cell>
          <cell r="H1232" t="str">
            <v>011232</v>
          </cell>
          <cell r="I1232" t="str">
            <v>2</v>
          </cell>
        </row>
        <row r="1233">
          <cell r="A1233" t="str">
            <v>LAMBAYEQUEFERREÑAFEINCAHUASI</v>
          </cell>
          <cell r="B1233" t="str">
            <v>14</v>
          </cell>
          <cell r="C1233" t="str">
            <v>02</v>
          </cell>
          <cell r="D1233" t="str">
            <v>03</v>
          </cell>
          <cell r="E1233" t="str">
            <v>LAMBAYEQUE</v>
          </cell>
          <cell r="F1233" t="str">
            <v>FERREÑAFE</v>
          </cell>
          <cell r="G1233" t="str">
            <v>INCAHUASI</v>
          </cell>
          <cell r="H1233" t="str">
            <v>011233</v>
          </cell>
          <cell r="I1233" t="str">
            <v>2</v>
          </cell>
        </row>
        <row r="1234">
          <cell r="A1234" t="str">
            <v>LAMBAYEQUEFERREÑAFEMANUEL ANTONIO MESONES MURO</v>
          </cell>
          <cell r="B1234" t="str">
            <v>14</v>
          </cell>
          <cell r="C1234" t="str">
            <v>02</v>
          </cell>
          <cell r="D1234" t="str">
            <v>04</v>
          </cell>
          <cell r="E1234" t="str">
            <v>LAMBAYEQUE</v>
          </cell>
          <cell r="F1234" t="str">
            <v>FERREÑAFE</v>
          </cell>
          <cell r="G1234" t="str">
            <v>MANUEL ANTONIO MESONES MURO</v>
          </cell>
          <cell r="H1234" t="str">
            <v>011234</v>
          </cell>
          <cell r="I1234" t="str">
            <v>2</v>
          </cell>
        </row>
        <row r="1235">
          <cell r="A1235" t="str">
            <v>LAMBAYEQUEFERREÑAFEPITIPO</v>
          </cell>
          <cell r="B1235" t="str">
            <v>14</v>
          </cell>
          <cell r="C1235" t="str">
            <v>02</v>
          </cell>
          <cell r="D1235" t="str">
            <v>05</v>
          </cell>
          <cell r="E1235" t="str">
            <v>LAMBAYEQUE</v>
          </cell>
          <cell r="F1235" t="str">
            <v>FERREÑAFE</v>
          </cell>
          <cell r="G1235" t="str">
            <v>PITIPO</v>
          </cell>
          <cell r="H1235" t="str">
            <v>011235</v>
          </cell>
          <cell r="I1235" t="str">
            <v>2</v>
          </cell>
        </row>
        <row r="1236">
          <cell r="A1236" t="str">
            <v>LAMBAYEQUEFERREÑAFEPUEBLO NUEVO</v>
          </cell>
          <cell r="B1236" t="str">
            <v>14</v>
          </cell>
          <cell r="C1236" t="str">
            <v>02</v>
          </cell>
          <cell r="D1236" t="str">
            <v>06</v>
          </cell>
          <cell r="E1236" t="str">
            <v>LAMBAYEQUE</v>
          </cell>
          <cell r="F1236" t="str">
            <v>FERREÑAFE</v>
          </cell>
          <cell r="G1236" t="str">
            <v>PUEBLO NUEVO</v>
          </cell>
          <cell r="H1236" t="str">
            <v>011236</v>
          </cell>
          <cell r="I1236" t="str">
            <v>2</v>
          </cell>
        </row>
        <row r="1237">
          <cell r="A1237" t="str">
            <v>LAMBAYEQUELAMBAYEQUELAMBAYEQUE</v>
          </cell>
          <cell r="B1237" t="str">
            <v>14</v>
          </cell>
          <cell r="C1237" t="str">
            <v>03</v>
          </cell>
          <cell r="D1237" t="str">
            <v>01</v>
          </cell>
          <cell r="E1237" t="str">
            <v>LAMBAYEQUE</v>
          </cell>
          <cell r="F1237" t="str">
            <v>LAMBAYEQUE</v>
          </cell>
          <cell r="G1237" t="str">
            <v>LAMBAYEQUE</v>
          </cell>
          <cell r="H1237" t="str">
            <v>011237</v>
          </cell>
          <cell r="I1237" t="str">
            <v>1</v>
          </cell>
        </row>
        <row r="1238">
          <cell r="A1238" t="str">
            <v>LAMBAYEQUELAMBAYEQUECHOCHOPE</v>
          </cell>
          <cell r="B1238" t="str">
            <v>14</v>
          </cell>
          <cell r="C1238" t="str">
            <v>03</v>
          </cell>
          <cell r="D1238" t="str">
            <v>02</v>
          </cell>
          <cell r="E1238" t="str">
            <v>LAMBAYEQUE</v>
          </cell>
          <cell r="F1238" t="str">
            <v>LAMBAYEQUE</v>
          </cell>
          <cell r="G1238" t="str">
            <v>CHOCHOPE</v>
          </cell>
          <cell r="H1238" t="str">
            <v>012195</v>
          </cell>
          <cell r="I1238" t="str">
            <v>2</v>
          </cell>
        </row>
        <row r="1239">
          <cell r="A1239" t="str">
            <v>LAMBAYEQUELAMBAYEQUEILLIMO</v>
          </cell>
          <cell r="B1239" t="str">
            <v>14</v>
          </cell>
          <cell r="C1239" t="str">
            <v>03</v>
          </cell>
          <cell r="D1239" t="str">
            <v>03</v>
          </cell>
          <cell r="E1239" t="str">
            <v>LAMBAYEQUE</v>
          </cell>
          <cell r="F1239" t="str">
            <v>LAMBAYEQUE</v>
          </cell>
          <cell r="G1239" t="str">
            <v>ILLIMO</v>
          </cell>
          <cell r="H1239" t="str">
            <v>011239</v>
          </cell>
          <cell r="I1239" t="str">
            <v>2</v>
          </cell>
        </row>
        <row r="1240">
          <cell r="A1240" t="str">
            <v>LAMBAYEQUELAMBAYEQUEJAYANCA</v>
          </cell>
          <cell r="B1240" t="str">
            <v>14</v>
          </cell>
          <cell r="C1240" t="str">
            <v>03</v>
          </cell>
          <cell r="D1240" t="str">
            <v>04</v>
          </cell>
          <cell r="E1240" t="str">
            <v>LAMBAYEQUE</v>
          </cell>
          <cell r="F1240" t="str">
            <v>LAMBAYEQUE</v>
          </cell>
          <cell r="G1240" t="str">
            <v>JAYANCA</v>
          </cell>
          <cell r="H1240" t="str">
            <v>011240</v>
          </cell>
          <cell r="I1240" t="str">
            <v>2</v>
          </cell>
        </row>
        <row r="1241">
          <cell r="A1241" t="str">
            <v>LAMBAYEQUELAMBAYEQUEMOCHUMI</v>
          </cell>
          <cell r="B1241" t="str">
            <v>14</v>
          </cell>
          <cell r="C1241" t="str">
            <v>03</v>
          </cell>
          <cell r="D1241" t="str">
            <v>05</v>
          </cell>
          <cell r="E1241" t="str">
            <v>LAMBAYEQUE</v>
          </cell>
          <cell r="F1241" t="str">
            <v>LAMBAYEQUE</v>
          </cell>
          <cell r="G1241" t="str">
            <v>MOCHUMI</v>
          </cell>
          <cell r="H1241" t="str">
            <v>011241</v>
          </cell>
          <cell r="I1241" t="str">
            <v>2</v>
          </cell>
        </row>
        <row r="1242">
          <cell r="A1242" t="str">
            <v>LAMBAYEQUELAMBAYEQUEMORROPE</v>
          </cell>
          <cell r="B1242" t="str">
            <v>14</v>
          </cell>
          <cell r="C1242" t="str">
            <v>03</v>
          </cell>
          <cell r="D1242" t="str">
            <v>06</v>
          </cell>
          <cell r="E1242" t="str">
            <v>LAMBAYEQUE</v>
          </cell>
          <cell r="F1242" t="str">
            <v>LAMBAYEQUE</v>
          </cell>
          <cell r="G1242" t="str">
            <v>MORROPE</v>
          </cell>
          <cell r="H1242" t="str">
            <v>011242</v>
          </cell>
          <cell r="I1242" t="str">
            <v>2</v>
          </cell>
        </row>
        <row r="1243">
          <cell r="A1243" t="str">
            <v>LAMBAYEQUELAMBAYEQUEMOTUPE</v>
          </cell>
          <cell r="B1243" t="str">
            <v>14</v>
          </cell>
          <cell r="C1243" t="str">
            <v>03</v>
          </cell>
          <cell r="D1243" t="str">
            <v>07</v>
          </cell>
          <cell r="E1243" t="str">
            <v>LAMBAYEQUE</v>
          </cell>
          <cell r="F1243" t="str">
            <v>LAMBAYEQUE</v>
          </cell>
          <cell r="G1243" t="str">
            <v>MOTUPE</v>
          </cell>
          <cell r="H1243" t="str">
            <v>011243</v>
          </cell>
          <cell r="I1243" t="str">
            <v>2</v>
          </cell>
        </row>
        <row r="1244">
          <cell r="A1244" t="str">
            <v>LAMBAYEQUELAMBAYEQUEOLMOS</v>
          </cell>
          <cell r="B1244" t="str">
            <v>14</v>
          </cell>
          <cell r="C1244" t="str">
            <v>03</v>
          </cell>
          <cell r="D1244" t="str">
            <v>08</v>
          </cell>
          <cell r="E1244" t="str">
            <v>LAMBAYEQUE</v>
          </cell>
          <cell r="F1244" t="str">
            <v>LAMBAYEQUE</v>
          </cell>
          <cell r="G1244" t="str">
            <v>OLMOS</v>
          </cell>
          <cell r="H1244" t="str">
            <v>011244</v>
          </cell>
          <cell r="I1244" t="str">
            <v>2</v>
          </cell>
        </row>
        <row r="1245">
          <cell r="A1245" t="str">
            <v>LAMBAYEQUELAMBAYEQUEPACORA</v>
          </cell>
          <cell r="B1245" t="str">
            <v>14</v>
          </cell>
          <cell r="C1245" t="str">
            <v>03</v>
          </cell>
          <cell r="D1245" t="str">
            <v>09</v>
          </cell>
          <cell r="E1245" t="str">
            <v>LAMBAYEQUE</v>
          </cell>
          <cell r="F1245" t="str">
            <v>LAMBAYEQUE</v>
          </cell>
          <cell r="G1245" t="str">
            <v>PACORA</v>
          </cell>
          <cell r="H1245" t="str">
            <v>011245</v>
          </cell>
          <cell r="I1245" t="str">
            <v>2</v>
          </cell>
        </row>
        <row r="1246">
          <cell r="A1246" t="str">
            <v>LAMBAYEQUELAMBAYEQUESALAS</v>
          </cell>
          <cell r="B1246" t="str">
            <v>14</v>
          </cell>
          <cell r="C1246" t="str">
            <v>03</v>
          </cell>
          <cell r="D1246" t="str">
            <v>10</v>
          </cell>
          <cell r="E1246" t="str">
            <v>LAMBAYEQUE</v>
          </cell>
          <cell r="F1246" t="str">
            <v>LAMBAYEQUE</v>
          </cell>
          <cell r="G1246" t="str">
            <v>SALAS</v>
          </cell>
          <cell r="H1246" t="str">
            <v>011246</v>
          </cell>
          <cell r="I1246" t="str">
            <v>2</v>
          </cell>
        </row>
        <row r="1247">
          <cell r="A1247" t="str">
            <v>LAMBAYEQUELAMBAYEQUESAN JOSE</v>
          </cell>
          <cell r="B1247" t="str">
            <v>14</v>
          </cell>
          <cell r="C1247" t="str">
            <v>03</v>
          </cell>
          <cell r="D1247" t="str">
            <v>11</v>
          </cell>
          <cell r="E1247" t="str">
            <v>LAMBAYEQUE</v>
          </cell>
          <cell r="F1247" t="str">
            <v>LAMBAYEQUE</v>
          </cell>
          <cell r="G1247" t="str">
            <v>SAN JOSE</v>
          </cell>
          <cell r="H1247" t="str">
            <v>011247</v>
          </cell>
          <cell r="I1247" t="str">
            <v>2</v>
          </cell>
        </row>
        <row r="1248">
          <cell r="A1248" t="str">
            <v>LAMBAYEQUELAMBAYEQUETUCUME</v>
          </cell>
          <cell r="B1248" t="str">
            <v>14</v>
          </cell>
          <cell r="C1248" t="str">
            <v>03</v>
          </cell>
          <cell r="D1248" t="str">
            <v>12</v>
          </cell>
          <cell r="E1248" t="str">
            <v>LAMBAYEQUE</v>
          </cell>
          <cell r="F1248" t="str">
            <v>LAMBAYEQUE</v>
          </cell>
          <cell r="G1248" t="str">
            <v>TUCUME</v>
          </cell>
          <cell r="H1248" t="str">
            <v>011248</v>
          </cell>
          <cell r="I1248" t="str">
            <v>2</v>
          </cell>
        </row>
        <row r="1249">
          <cell r="A1249" t="str">
            <v>LIMALIMALIMA</v>
          </cell>
          <cell r="B1249" t="str">
            <v>15</v>
          </cell>
          <cell r="C1249" t="str">
            <v>01</v>
          </cell>
          <cell r="D1249" t="str">
            <v>01</v>
          </cell>
          <cell r="E1249" t="str">
            <v>LIMA</v>
          </cell>
          <cell r="F1249" t="str">
            <v>LIMA</v>
          </cell>
          <cell r="G1249" t="str">
            <v>LIMA</v>
          </cell>
          <cell r="H1249" t="str">
            <v>013029</v>
          </cell>
          <cell r="I1249" t="str">
            <v>1</v>
          </cell>
        </row>
        <row r="1250">
          <cell r="A1250" t="str">
            <v>LIMALIMAANCON</v>
          </cell>
          <cell r="B1250" t="str">
            <v>15</v>
          </cell>
          <cell r="C1250" t="str">
            <v>01</v>
          </cell>
          <cell r="D1250" t="str">
            <v>02</v>
          </cell>
          <cell r="E1250" t="str">
            <v>LIMA</v>
          </cell>
          <cell r="F1250" t="str">
            <v>LIMA</v>
          </cell>
          <cell r="G1250" t="str">
            <v>ANCON</v>
          </cell>
          <cell r="H1250" t="str">
            <v>011272</v>
          </cell>
          <cell r="I1250" t="str">
            <v>2</v>
          </cell>
        </row>
        <row r="1251">
          <cell r="A1251" t="str">
            <v>LIMALIMAATE</v>
          </cell>
          <cell r="B1251" t="str">
            <v>15</v>
          </cell>
          <cell r="C1251" t="str">
            <v>01</v>
          </cell>
          <cell r="D1251" t="str">
            <v>03</v>
          </cell>
          <cell r="E1251" t="str">
            <v>LIMA</v>
          </cell>
          <cell r="F1251" t="str">
            <v>LIMA</v>
          </cell>
          <cell r="G1251" t="str">
            <v>ATE</v>
          </cell>
          <cell r="H1251" t="str">
            <v>012337</v>
          </cell>
          <cell r="I1251" t="str">
            <v>2</v>
          </cell>
        </row>
        <row r="1252">
          <cell r="A1252" t="str">
            <v>LIMALIMABARRANCO</v>
          </cell>
          <cell r="B1252" t="str">
            <v>15</v>
          </cell>
          <cell r="C1252" t="str">
            <v>01</v>
          </cell>
          <cell r="D1252" t="str">
            <v>04</v>
          </cell>
          <cell r="E1252" t="str">
            <v>LIMA</v>
          </cell>
          <cell r="F1252" t="str">
            <v>LIMA</v>
          </cell>
          <cell r="G1252" t="str">
            <v>BARRANCO</v>
          </cell>
          <cell r="H1252" t="str">
            <v>011288</v>
          </cell>
          <cell r="I1252" t="str">
            <v>2</v>
          </cell>
        </row>
        <row r="1253">
          <cell r="A1253" t="str">
            <v>LIMALIMABREÑA</v>
          </cell>
          <cell r="B1253" t="str">
            <v>15</v>
          </cell>
          <cell r="C1253" t="str">
            <v>01</v>
          </cell>
          <cell r="D1253" t="str">
            <v>05</v>
          </cell>
          <cell r="E1253" t="str">
            <v>LIMA</v>
          </cell>
          <cell r="F1253" t="str">
            <v>LIMA</v>
          </cell>
          <cell r="G1253" t="str">
            <v>BREÑA</v>
          </cell>
          <cell r="H1253" t="str">
            <v>013018</v>
          </cell>
          <cell r="I1253" t="str">
            <v>2</v>
          </cell>
        </row>
        <row r="1254">
          <cell r="A1254" t="str">
            <v>LIMALIMACARABAYLLO</v>
          </cell>
          <cell r="B1254" t="str">
            <v>15</v>
          </cell>
          <cell r="C1254" t="str">
            <v>01</v>
          </cell>
          <cell r="D1254" t="str">
            <v>06</v>
          </cell>
          <cell r="E1254" t="str">
            <v>LIMA</v>
          </cell>
          <cell r="F1254" t="str">
            <v>LIMA</v>
          </cell>
          <cell r="G1254" t="str">
            <v>CARABAYLLO</v>
          </cell>
          <cell r="H1254" t="str">
            <v>011273</v>
          </cell>
          <cell r="I1254" t="str">
            <v>2</v>
          </cell>
        </row>
        <row r="1255">
          <cell r="A1255" t="str">
            <v>LIMALIMACHACLACAYO</v>
          </cell>
          <cell r="B1255" t="str">
            <v>15</v>
          </cell>
          <cell r="C1255" t="str">
            <v>01</v>
          </cell>
          <cell r="D1255" t="str">
            <v>07</v>
          </cell>
          <cell r="E1255" t="str">
            <v>LIMA</v>
          </cell>
          <cell r="F1255" t="str">
            <v>LIMA</v>
          </cell>
          <cell r="G1255" t="str">
            <v>CHACLACAYO</v>
          </cell>
          <cell r="H1255" t="str">
            <v>011283</v>
          </cell>
          <cell r="I1255" t="str">
            <v>2</v>
          </cell>
        </row>
        <row r="1256">
          <cell r="A1256" t="str">
            <v>LIMALIMACHORRILLOS</v>
          </cell>
          <cell r="B1256" t="str">
            <v>15</v>
          </cell>
          <cell r="C1256" t="str">
            <v>01</v>
          </cell>
          <cell r="D1256" t="str">
            <v>08</v>
          </cell>
          <cell r="E1256" t="str">
            <v>LIMA</v>
          </cell>
          <cell r="F1256" t="str">
            <v>LIMA</v>
          </cell>
          <cell r="G1256" t="str">
            <v>CHORRILLOS</v>
          </cell>
          <cell r="H1256" t="str">
            <v>011289</v>
          </cell>
          <cell r="I1256" t="str">
            <v>2</v>
          </cell>
        </row>
        <row r="1257">
          <cell r="A1257" t="str">
            <v>LIMALIMACIENEGUILLA</v>
          </cell>
          <cell r="B1257" t="str">
            <v>15</v>
          </cell>
          <cell r="C1257" t="str">
            <v>01</v>
          </cell>
          <cell r="D1257" t="str">
            <v>09</v>
          </cell>
          <cell r="E1257" t="str">
            <v>LIMA</v>
          </cell>
          <cell r="F1257" t="str">
            <v>LIMA</v>
          </cell>
          <cell r="G1257" t="str">
            <v>CIENEGUILLA</v>
          </cell>
          <cell r="H1257" t="str">
            <v>011280</v>
          </cell>
          <cell r="I1257" t="str">
            <v>2</v>
          </cell>
        </row>
        <row r="1258">
          <cell r="A1258" t="str">
            <v>LIMALIMACOMAS</v>
          </cell>
          <cell r="B1258" t="str">
            <v>15</v>
          </cell>
          <cell r="C1258" t="str">
            <v>01</v>
          </cell>
          <cell r="D1258" t="str">
            <v>10</v>
          </cell>
          <cell r="E1258" t="str">
            <v>LIMA</v>
          </cell>
          <cell r="F1258" t="str">
            <v>LIMA</v>
          </cell>
          <cell r="G1258" t="str">
            <v>COMAS</v>
          </cell>
          <cell r="H1258" t="str">
            <v>011274</v>
          </cell>
          <cell r="I1258" t="str">
            <v>2</v>
          </cell>
        </row>
        <row r="1259">
          <cell r="A1259" t="str">
            <v>LIMALIMAEL AGUSTINO</v>
          </cell>
          <cell r="B1259" t="str">
            <v>15</v>
          </cell>
          <cell r="C1259" t="str">
            <v>01</v>
          </cell>
          <cell r="D1259" t="str">
            <v>11</v>
          </cell>
          <cell r="E1259" t="str">
            <v>LIMA</v>
          </cell>
          <cell r="F1259" t="str">
            <v>LIMA</v>
          </cell>
          <cell r="G1259" t="str">
            <v>EL AGUSTINO</v>
          </cell>
          <cell r="H1259" t="str">
            <v>011277</v>
          </cell>
          <cell r="I1259" t="str">
            <v>2</v>
          </cell>
        </row>
        <row r="1260">
          <cell r="A1260" t="str">
            <v>LIMALIMAINDEPENDENCIA</v>
          </cell>
          <cell r="B1260" t="str">
            <v>15</v>
          </cell>
          <cell r="C1260" t="str">
            <v>01</v>
          </cell>
          <cell r="D1260" t="str">
            <v>12</v>
          </cell>
          <cell r="E1260" t="str">
            <v>LIMA</v>
          </cell>
          <cell r="F1260" t="str">
            <v>LIMA</v>
          </cell>
          <cell r="G1260" t="str">
            <v>INDEPENDENCIA</v>
          </cell>
          <cell r="H1260" t="str">
            <v>013031</v>
          </cell>
          <cell r="I1260" t="str">
            <v>2</v>
          </cell>
        </row>
        <row r="1261">
          <cell r="A1261" t="str">
            <v>LIMALIMAJESUS MARIA</v>
          </cell>
          <cell r="B1261" t="str">
            <v>15</v>
          </cell>
          <cell r="C1261" t="str">
            <v>01</v>
          </cell>
          <cell r="D1261" t="str">
            <v>13</v>
          </cell>
          <cell r="E1261" t="str">
            <v>LIMA</v>
          </cell>
          <cell r="F1261" t="str">
            <v>LIMA</v>
          </cell>
          <cell r="G1261" t="str">
            <v>JESUS MARIA</v>
          </cell>
          <cell r="H1261" t="str">
            <v>011251</v>
          </cell>
          <cell r="I1261" t="str">
            <v>2</v>
          </cell>
        </row>
        <row r="1262">
          <cell r="A1262" t="str">
            <v>LIMALIMALA MOLINA</v>
          </cell>
          <cell r="B1262" t="str">
            <v>15</v>
          </cell>
          <cell r="C1262" t="str">
            <v>01</v>
          </cell>
          <cell r="D1262" t="str">
            <v>14</v>
          </cell>
          <cell r="E1262" t="str">
            <v>LIMA</v>
          </cell>
          <cell r="F1262" t="str">
            <v>LIMA</v>
          </cell>
          <cell r="G1262" t="str">
            <v>LA MOLINA</v>
          </cell>
          <cell r="H1262" t="str">
            <v>013020</v>
          </cell>
          <cell r="I1262" t="str">
            <v>2</v>
          </cell>
        </row>
        <row r="1263">
          <cell r="A1263" t="str">
            <v>LIMALIMALA VICTORIA</v>
          </cell>
          <cell r="B1263" t="str">
            <v>15</v>
          </cell>
          <cell r="C1263" t="str">
            <v>01</v>
          </cell>
          <cell r="D1263" t="str">
            <v>15</v>
          </cell>
          <cell r="E1263" t="str">
            <v>LIMA</v>
          </cell>
          <cell r="F1263" t="str">
            <v>LIMA</v>
          </cell>
          <cell r="G1263" t="str">
            <v>LA VICTORIA</v>
          </cell>
          <cell r="H1263" t="str">
            <v>011252</v>
          </cell>
          <cell r="I1263" t="str">
            <v>2</v>
          </cell>
        </row>
        <row r="1264">
          <cell r="A1264" t="str">
            <v>LIMALIMALINCE</v>
          </cell>
          <cell r="B1264" t="str">
            <v>15</v>
          </cell>
          <cell r="C1264" t="str">
            <v>01</v>
          </cell>
          <cell r="D1264" t="str">
            <v>16</v>
          </cell>
          <cell r="E1264" t="str">
            <v>LIMA</v>
          </cell>
          <cell r="F1264" t="str">
            <v>LIMA</v>
          </cell>
          <cell r="G1264" t="str">
            <v>LINCE</v>
          </cell>
          <cell r="H1264" t="str">
            <v>013032</v>
          </cell>
          <cell r="I1264" t="str">
            <v>2</v>
          </cell>
        </row>
        <row r="1265">
          <cell r="A1265" t="str">
            <v>LIMALIMALOS OLIVOS</v>
          </cell>
          <cell r="B1265" t="str">
            <v>15</v>
          </cell>
          <cell r="C1265" t="str">
            <v>01</v>
          </cell>
          <cell r="D1265" t="str">
            <v>17</v>
          </cell>
          <cell r="E1265" t="str">
            <v>LIMA</v>
          </cell>
          <cell r="F1265" t="str">
            <v>LIMA</v>
          </cell>
          <cell r="G1265" t="str">
            <v>LOS OLIVOS</v>
          </cell>
          <cell r="H1265" t="str">
            <v>013034</v>
          </cell>
          <cell r="I1265" t="str">
            <v>2</v>
          </cell>
        </row>
        <row r="1266">
          <cell r="A1266" t="str">
            <v>LIMALIMALURIGANCHO</v>
          </cell>
          <cell r="B1266" t="str">
            <v>15</v>
          </cell>
          <cell r="C1266" t="str">
            <v>01</v>
          </cell>
          <cell r="D1266" t="str">
            <v>18</v>
          </cell>
          <cell r="E1266" t="str">
            <v>LIMA</v>
          </cell>
          <cell r="F1266" t="str">
            <v>LIMA</v>
          </cell>
          <cell r="G1266" t="str">
            <v>LURIGANCHO</v>
          </cell>
          <cell r="H1266" t="str">
            <v>011284</v>
          </cell>
          <cell r="I1266" t="str">
            <v>2</v>
          </cell>
        </row>
        <row r="1267">
          <cell r="A1267" t="str">
            <v>LIMALIMALURIN</v>
          </cell>
          <cell r="B1267" t="str">
            <v>15</v>
          </cell>
          <cell r="C1267" t="str">
            <v>01</v>
          </cell>
          <cell r="D1267" t="str">
            <v>19</v>
          </cell>
          <cell r="E1267" t="str">
            <v>LIMA</v>
          </cell>
          <cell r="F1267" t="str">
            <v>LIMA</v>
          </cell>
          <cell r="G1267" t="str">
            <v>LURIN</v>
          </cell>
          <cell r="H1267" t="str">
            <v>011254</v>
          </cell>
          <cell r="I1267" t="str">
            <v>2</v>
          </cell>
        </row>
        <row r="1268">
          <cell r="A1268" t="str">
            <v>LIMALIMAMAGDALENA DEL MAR</v>
          </cell>
          <cell r="B1268" t="str">
            <v>15</v>
          </cell>
          <cell r="C1268" t="str">
            <v>01</v>
          </cell>
          <cell r="D1268" t="str">
            <v>20</v>
          </cell>
          <cell r="E1268" t="str">
            <v>LIMA</v>
          </cell>
          <cell r="F1268" t="str">
            <v>LIMA</v>
          </cell>
          <cell r="G1268" t="str">
            <v>MAGDALENA DEL MAR</v>
          </cell>
          <cell r="H1268" t="str">
            <v>011268</v>
          </cell>
          <cell r="I1268" t="str">
            <v>2</v>
          </cell>
        </row>
        <row r="1269">
          <cell r="A1269" t="str">
            <v>LIMALIMAMAGDALENA VIEJA</v>
          </cell>
          <cell r="B1269" t="str">
            <v>15</v>
          </cell>
          <cell r="C1269" t="str">
            <v>01</v>
          </cell>
          <cell r="D1269" t="str">
            <v>21</v>
          </cell>
          <cell r="E1269" t="str">
            <v>LIMA</v>
          </cell>
          <cell r="F1269" t="str">
            <v>LIMA</v>
          </cell>
          <cell r="G1269" t="str">
            <v>MAGDALENA VIEJA</v>
          </cell>
          <cell r="H1269" t="str">
            <v>011269</v>
          </cell>
          <cell r="I1269" t="str">
            <v>2</v>
          </cell>
        </row>
        <row r="1270">
          <cell r="A1270" t="str">
            <v>LIMALIMAMIRAFLORES</v>
          </cell>
          <cell r="B1270" t="str">
            <v>15</v>
          </cell>
          <cell r="C1270" t="str">
            <v>01</v>
          </cell>
          <cell r="D1270" t="str">
            <v>22</v>
          </cell>
          <cell r="E1270" t="str">
            <v>LIMA</v>
          </cell>
          <cell r="F1270" t="str">
            <v>LIMA</v>
          </cell>
          <cell r="G1270" t="str">
            <v>MIRAFLORES</v>
          </cell>
          <cell r="H1270" t="str">
            <v>013030</v>
          </cell>
          <cell r="I1270" t="str">
            <v>2</v>
          </cell>
        </row>
        <row r="1271">
          <cell r="A1271" t="str">
            <v>LIMALIMAPACHACAMAC</v>
          </cell>
          <cell r="B1271" t="str">
            <v>15</v>
          </cell>
          <cell r="C1271" t="str">
            <v>01</v>
          </cell>
          <cell r="D1271" t="str">
            <v>23</v>
          </cell>
          <cell r="E1271" t="str">
            <v>LIMA</v>
          </cell>
          <cell r="F1271" t="str">
            <v>LIMA</v>
          </cell>
          <cell r="G1271" t="str">
            <v>PACHACAMAC</v>
          </cell>
          <cell r="H1271" t="str">
            <v>011255</v>
          </cell>
          <cell r="I1271" t="str">
            <v>2</v>
          </cell>
        </row>
        <row r="1272">
          <cell r="A1272" t="str">
            <v>LIMALIMAPUCUSANA</v>
          </cell>
          <cell r="B1272" t="str">
            <v>15</v>
          </cell>
          <cell r="C1272" t="str">
            <v>01</v>
          </cell>
          <cell r="D1272" t="str">
            <v>24</v>
          </cell>
          <cell r="E1272" t="str">
            <v>LIMA</v>
          </cell>
          <cell r="F1272" t="str">
            <v>LIMA</v>
          </cell>
          <cell r="G1272" t="str">
            <v>PUCUSANA</v>
          </cell>
          <cell r="H1272" t="str">
            <v>011256</v>
          </cell>
          <cell r="I1272" t="str">
            <v>2</v>
          </cell>
        </row>
        <row r="1273">
          <cell r="A1273" t="str">
            <v>LIMALIMAPUENTE PIEDRA</v>
          </cell>
          <cell r="B1273" t="str">
            <v>15</v>
          </cell>
          <cell r="C1273" t="str">
            <v>01</v>
          </cell>
          <cell r="D1273" t="str">
            <v>25</v>
          </cell>
          <cell r="E1273" t="str">
            <v>LIMA</v>
          </cell>
          <cell r="F1273" t="str">
            <v>LIMA</v>
          </cell>
          <cell r="G1273" t="str">
            <v>PUENTE PIEDRA</v>
          </cell>
          <cell r="H1273" t="str">
            <v>011275</v>
          </cell>
          <cell r="I1273" t="str">
            <v>2</v>
          </cell>
        </row>
        <row r="1274">
          <cell r="A1274" t="str">
            <v>LIMALIMAPUNTA HERMOSA</v>
          </cell>
          <cell r="B1274" t="str">
            <v>15</v>
          </cell>
          <cell r="C1274" t="str">
            <v>01</v>
          </cell>
          <cell r="D1274" t="str">
            <v>26</v>
          </cell>
          <cell r="E1274" t="str">
            <v>LIMA</v>
          </cell>
          <cell r="F1274" t="str">
            <v>LIMA</v>
          </cell>
          <cell r="G1274" t="str">
            <v>PUNTA HERMOSA</v>
          </cell>
          <cell r="H1274" t="str">
            <v>011257</v>
          </cell>
          <cell r="I1274" t="str">
            <v>2</v>
          </cell>
        </row>
        <row r="1275">
          <cell r="A1275" t="str">
            <v>LIMALIMAPUNTA NEGRA</v>
          </cell>
          <cell r="B1275" t="str">
            <v>15</v>
          </cell>
          <cell r="C1275" t="str">
            <v>01</v>
          </cell>
          <cell r="D1275" t="str">
            <v>27</v>
          </cell>
          <cell r="E1275" t="str">
            <v>LIMA</v>
          </cell>
          <cell r="F1275" t="str">
            <v>LIMA</v>
          </cell>
          <cell r="G1275" t="str">
            <v>PUNTA NEGRA</v>
          </cell>
          <cell r="H1275" t="str">
            <v>011258</v>
          </cell>
          <cell r="I1275" t="str">
            <v>2</v>
          </cell>
        </row>
        <row r="1276">
          <cell r="A1276" t="str">
            <v>LIMALIMARIMAC</v>
          </cell>
          <cell r="B1276" t="str">
            <v>15</v>
          </cell>
          <cell r="C1276" t="str">
            <v>01</v>
          </cell>
          <cell r="D1276" t="str">
            <v>28</v>
          </cell>
          <cell r="E1276" t="str">
            <v>LIMA</v>
          </cell>
          <cell r="F1276" t="str">
            <v>LIMA</v>
          </cell>
          <cell r="G1276" t="str">
            <v>RIMAC</v>
          </cell>
          <cell r="H1276" t="str">
            <v>011265</v>
          </cell>
          <cell r="I1276" t="str">
            <v>2</v>
          </cell>
        </row>
        <row r="1277">
          <cell r="A1277" t="str">
            <v>LIMALIMASAN BARTOLO</v>
          </cell>
          <cell r="B1277" t="str">
            <v>15</v>
          </cell>
          <cell r="C1277" t="str">
            <v>01</v>
          </cell>
          <cell r="D1277" t="str">
            <v>29</v>
          </cell>
          <cell r="E1277" t="str">
            <v>LIMA</v>
          </cell>
          <cell r="F1277" t="str">
            <v>LIMA</v>
          </cell>
          <cell r="G1277" t="str">
            <v>SAN BARTOLO</v>
          </cell>
          <cell r="H1277" t="str">
            <v>011259</v>
          </cell>
          <cell r="I1277" t="str">
            <v>2</v>
          </cell>
        </row>
        <row r="1278">
          <cell r="A1278" t="str">
            <v>LIMALIMASAN BORJA</v>
          </cell>
          <cell r="B1278" t="str">
            <v>15</v>
          </cell>
          <cell r="C1278" t="str">
            <v>01</v>
          </cell>
          <cell r="D1278" t="str">
            <v>30</v>
          </cell>
          <cell r="E1278" t="str">
            <v>LIMA</v>
          </cell>
          <cell r="F1278" t="str">
            <v>LIMA</v>
          </cell>
          <cell r="G1278" t="str">
            <v>SAN BORJA</v>
          </cell>
          <cell r="H1278" t="str">
            <v>011285</v>
          </cell>
          <cell r="I1278" t="str">
            <v>2</v>
          </cell>
        </row>
        <row r="1279">
          <cell r="A1279" t="str">
            <v>LIMALIMASAN ISIDRO</v>
          </cell>
          <cell r="B1279" t="str">
            <v>15</v>
          </cell>
          <cell r="C1279" t="str">
            <v>01</v>
          </cell>
          <cell r="D1279" t="str">
            <v>31</v>
          </cell>
          <cell r="E1279" t="str">
            <v>LIMA</v>
          </cell>
          <cell r="F1279" t="str">
            <v>LIMA</v>
          </cell>
          <cell r="G1279" t="str">
            <v>SAN ISIDRO</v>
          </cell>
          <cell r="H1279" t="str">
            <v>011270</v>
          </cell>
          <cell r="I1279" t="str">
            <v>2</v>
          </cell>
        </row>
        <row r="1280">
          <cell r="A1280" t="str">
            <v>LIMALIMASAN JUAN DE LURIGANCHO</v>
          </cell>
          <cell r="B1280" t="str">
            <v>15</v>
          </cell>
          <cell r="C1280" t="str">
            <v>01</v>
          </cell>
          <cell r="D1280" t="str">
            <v>32</v>
          </cell>
          <cell r="E1280" t="str">
            <v>LIMA</v>
          </cell>
          <cell r="F1280" t="str">
            <v>LIMA</v>
          </cell>
          <cell r="G1280" t="str">
            <v>SAN JUAN DE LURIGANCHO</v>
          </cell>
          <cell r="H1280" t="str">
            <v>011278</v>
          </cell>
          <cell r="I1280" t="str">
            <v>2</v>
          </cell>
        </row>
        <row r="1281">
          <cell r="A1281" t="str">
            <v>LIMALIMASAN JUAN DE MIRAFLORES</v>
          </cell>
          <cell r="B1281" t="str">
            <v>15</v>
          </cell>
          <cell r="C1281" t="str">
            <v>01</v>
          </cell>
          <cell r="D1281" t="str">
            <v>33</v>
          </cell>
          <cell r="E1281" t="str">
            <v>LIMA</v>
          </cell>
          <cell r="F1281" t="str">
            <v>LIMA</v>
          </cell>
          <cell r="G1281" t="str">
            <v>SAN JUAN DE MIRAFLORES</v>
          </cell>
          <cell r="H1281" t="str">
            <v>013021</v>
          </cell>
          <cell r="I1281" t="str">
            <v>2</v>
          </cell>
        </row>
        <row r="1282">
          <cell r="A1282" t="str">
            <v>LIMALIMASAN LUIS</v>
          </cell>
          <cell r="B1282" t="str">
            <v>15</v>
          </cell>
          <cell r="C1282" t="str">
            <v>01</v>
          </cell>
          <cell r="D1282" t="str">
            <v>34</v>
          </cell>
          <cell r="E1282" t="str">
            <v>LIMA</v>
          </cell>
          <cell r="F1282" t="str">
            <v>LIMA</v>
          </cell>
          <cell r="G1282" t="str">
            <v>SAN LUIS</v>
          </cell>
          <cell r="H1282" t="str">
            <v>011286</v>
          </cell>
          <cell r="I1282" t="str">
            <v>2</v>
          </cell>
        </row>
        <row r="1283">
          <cell r="A1283" t="str">
            <v>LIMALIMASAN MARTIN DE PORRES</v>
          </cell>
          <cell r="B1283" t="str">
            <v>15</v>
          </cell>
          <cell r="C1283" t="str">
            <v>01</v>
          </cell>
          <cell r="D1283" t="str">
            <v>35</v>
          </cell>
          <cell r="E1283" t="str">
            <v>LIMA</v>
          </cell>
          <cell r="F1283" t="str">
            <v>LIMA</v>
          </cell>
          <cell r="G1283" t="str">
            <v>SAN MARTIN DE PORRES</v>
          </cell>
          <cell r="H1283" t="str">
            <v>011267</v>
          </cell>
          <cell r="I1283" t="str">
            <v>2</v>
          </cell>
        </row>
        <row r="1284">
          <cell r="A1284" t="str">
            <v>LIMALIMASAN MIGUEL</v>
          </cell>
          <cell r="B1284" t="str">
            <v>15</v>
          </cell>
          <cell r="C1284" t="str">
            <v>01</v>
          </cell>
          <cell r="D1284" t="str">
            <v>36</v>
          </cell>
          <cell r="E1284" t="str">
            <v>LIMA</v>
          </cell>
          <cell r="F1284" t="str">
            <v>LIMA</v>
          </cell>
          <cell r="G1284" t="str">
            <v>SAN MIGUEL</v>
          </cell>
          <cell r="H1284" t="str">
            <v>011271</v>
          </cell>
          <cell r="I1284" t="str">
            <v>2</v>
          </cell>
        </row>
        <row r="1285">
          <cell r="A1285" t="str">
            <v>LIMALIMASANTA ANITA</v>
          </cell>
          <cell r="B1285" t="str">
            <v>15</v>
          </cell>
          <cell r="C1285" t="str">
            <v>01</v>
          </cell>
          <cell r="D1285" t="str">
            <v>37</v>
          </cell>
          <cell r="E1285" t="str">
            <v>LIMA</v>
          </cell>
          <cell r="F1285" t="str">
            <v>LIMA</v>
          </cell>
          <cell r="G1285" t="str">
            <v>SANTA ANITA</v>
          </cell>
          <cell r="H1285" t="str">
            <v>011282</v>
          </cell>
          <cell r="I1285" t="str">
            <v>2</v>
          </cell>
        </row>
        <row r="1286">
          <cell r="A1286" t="str">
            <v>LIMALIMASANTA MARIA DEL MAR</v>
          </cell>
          <cell r="B1286" t="str">
            <v>15</v>
          </cell>
          <cell r="C1286" t="str">
            <v>01</v>
          </cell>
          <cell r="D1286" t="str">
            <v>38</v>
          </cell>
          <cell r="E1286" t="str">
            <v>LIMA</v>
          </cell>
          <cell r="F1286" t="str">
            <v>LIMA</v>
          </cell>
          <cell r="G1286" t="str">
            <v>SANTA MARIA DEL MAR</v>
          </cell>
          <cell r="H1286" t="str">
            <v>011260</v>
          </cell>
          <cell r="I1286" t="str">
            <v>2</v>
          </cell>
        </row>
        <row r="1287">
          <cell r="A1287" t="str">
            <v>LIMALIMASANTA ROSA</v>
          </cell>
          <cell r="B1287" t="str">
            <v>15</v>
          </cell>
          <cell r="C1287" t="str">
            <v>01</v>
          </cell>
          <cell r="D1287" t="str">
            <v>39</v>
          </cell>
          <cell r="E1287" t="str">
            <v>LIMA</v>
          </cell>
          <cell r="F1287" t="str">
            <v>LIMA</v>
          </cell>
          <cell r="G1287" t="str">
            <v>SANTA ROSA</v>
          </cell>
          <cell r="H1287" t="str">
            <v>011276</v>
          </cell>
          <cell r="I1287" t="str">
            <v>2</v>
          </cell>
        </row>
        <row r="1288">
          <cell r="A1288" t="str">
            <v>LIMALIMASANTIAGO DE SURCO</v>
          </cell>
          <cell r="B1288" t="str">
            <v>15</v>
          </cell>
          <cell r="C1288" t="str">
            <v>01</v>
          </cell>
          <cell r="D1288" t="str">
            <v>40</v>
          </cell>
          <cell r="E1288" t="str">
            <v>LIMA</v>
          </cell>
          <cell r="F1288" t="str">
            <v>LIMA</v>
          </cell>
          <cell r="G1288" t="str">
            <v>SANTIAGO DE SURCO</v>
          </cell>
          <cell r="H1288" t="str">
            <v>013028</v>
          </cell>
          <cell r="I1288" t="str">
            <v>2</v>
          </cell>
        </row>
        <row r="1289">
          <cell r="A1289" t="str">
            <v>LIMALIMASURQUILLO</v>
          </cell>
          <cell r="B1289" t="str">
            <v>15</v>
          </cell>
          <cell r="C1289" t="str">
            <v>01</v>
          </cell>
          <cell r="D1289" t="str">
            <v>41</v>
          </cell>
          <cell r="E1289" t="str">
            <v>LIMA</v>
          </cell>
          <cell r="F1289" t="str">
            <v>LIMA</v>
          </cell>
          <cell r="G1289" t="str">
            <v>SURQUILLO</v>
          </cell>
          <cell r="H1289" t="str">
            <v>011287</v>
          </cell>
          <cell r="I1289" t="str">
            <v>2</v>
          </cell>
        </row>
        <row r="1290">
          <cell r="A1290" t="str">
            <v>LIMALIMAVILLA EL SALVADOR</v>
          </cell>
          <cell r="B1290" t="str">
            <v>15</v>
          </cell>
          <cell r="C1290" t="str">
            <v>01</v>
          </cell>
          <cell r="D1290" t="str">
            <v>42</v>
          </cell>
          <cell r="E1290" t="str">
            <v>LIMA</v>
          </cell>
          <cell r="F1290" t="str">
            <v>LIMA</v>
          </cell>
          <cell r="G1290" t="str">
            <v>VILLA EL SALVADOR</v>
          </cell>
          <cell r="H1290" t="str">
            <v>011262</v>
          </cell>
          <cell r="I1290" t="str">
            <v>2</v>
          </cell>
        </row>
        <row r="1291">
          <cell r="A1291" t="str">
            <v>LIMALIMAVILLA MARIA DEL TRIUNFO</v>
          </cell>
          <cell r="B1291" t="str">
            <v>15</v>
          </cell>
          <cell r="C1291" t="str">
            <v>01</v>
          </cell>
          <cell r="D1291" t="str">
            <v>43</v>
          </cell>
          <cell r="E1291" t="str">
            <v>LIMA</v>
          </cell>
          <cell r="F1291" t="str">
            <v>LIMA</v>
          </cell>
          <cell r="G1291" t="str">
            <v>VILLA MARIA DEL TRIUNFO</v>
          </cell>
          <cell r="H1291" t="str">
            <v>011263</v>
          </cell>
          <cell r="I1291" t="str">
            <v>2</v>
          </cell>
        </row>
        <row r="1292">
          <cell r="A1292" t="str">
            <v>LIMABARRANCABARRANCA</v>
          </cell>
          <cell r="B1292" t="str">
            <v>15</v>
          </cell>
          <cell r="C1292" t="str">
            <v>02</v>
          </cell>
          <cell r="D1292" t="str">
            <v>01</v>
          </cell>
          <cell r="E1292" t="str">
            <v>LIMA</v>
          </cell>
          <cell r="F1292" t="str">
            <v>BARRANCA</v>
          </cell>
          <cell r="G1292" t="str">
            <v>BARRANCA</v>
          </cell>
          <cell r="H1292" t="str">
            <v>011304</v>
          </cell>
          <cell r="I1292" t="str">
            <v>1</v>
          </cell>
        </row>
        <row r="1293">
          <cell r="A1293" t="str">
            <v>LIMABARRANCAPARAMONGA</v>
          </cell>
          <cell r="B1293" t="str">
            <v>15</v>
          </cell>
          <cell r="C1293" t="str">
            <v>02</v>
          </cell>
          <cell r="D1293" t="str">
            <v>02</v>
          </cell>
          <cell r="E1293" t="str">
            <v>LIMA</v>
          </cell>
          <cell r="F1293" t="str">
            <v>BARRANCA</v>
          </cell>
          <cell r="G1293" t="str">
            <v>PARAMONGA</v>
          </cell>
          <cell r="H1293" t="str">
            <v>012998</v>
          </cell>
          <cell r="I1293" t="str">
            <v>2</v>
          </cell>
        </row>
        <row r="1294">
          <cell r="A1294" t="str">
            <v>LIMABARRANCAPATIVILCA</v>
          </cell>
          <cell r="B1294" t="str">
            <v>15</v>
          </cell>
          <cell r="C1294" t="str">
            <v>02</v>
          </cell>
          <cell r="D1294" t="str">
            <v>03</v>
          </cell>
          <cell r="E1294" t="str">
            <v>LIMA</v>
          </cell>
          <cell r="F1294" t="str">
            <v>BARRANCA</v>
          </cell>
          <cell r="G1294" t="str">
            <v>PATIVILCA</v>
          </cell>
          <cell r="H1294" t="str">
            <v>011306</v>
          </cell>
          <cell r="I1294" t="str">
            <v>2</v>
          </cell>
        </row>
        <row r="1295">
          <cell r="A1295" t="str">
            <v>LIMABARRANCASUPE</v>
          </cell>
          <cell r="B1295" t="str">
            <v>15</v>
          </cell>
          <cell r="C1295" t="str">
            <v>02</v>
          </cell>
          <cell r="D1295" t="str">
            <v>04</v>
          </cell>
          <cell r="E1295" t="str">
            <v>LIMA</v>
          </cell>
          <cell r="F1295" t="str">
            <v>BARRANCA</v>
          </cell>
          <cell r="G1295" t="str">
            <v>SUPE</v>
          </cell>
          <cell r="H1295" t="str">
            <v>013033</v>
          </cell>
          <cell r="I1295" t="str">
            <v>2</v>
          </cell>
        </row>
        <row r="1296">
          <cell r="A1296" t="str">
            <v>LIMABARRANCASUPE PUERTO</v>
          </cell>
          <cell r="B1296" t="str">
            <v>15</v>
          </cell>
          <cell r="C1296" t="str">
            <v>02</v>
          </cell>
          <cell r="D1296" t="str">
            <v>05</v>
          </cell>
          <cell r="E1296" t="str">
            <v>LIMA</v>
          </cell>
          <cell r="F1296" t="str">
            <v>BARRANCA</v>
          </cell>
          <cell r="G1296" t="str">
            <v>SUPE PUERTO</v>
          </cell>
          <cell r="H1296" t="str">
            <v>011308</v>
          </cell>
          <cell r="I1296" t="str">
            <v>2</v>
          </cell>
        </row>
        <row r="1297">
          <cell r="A1297" t="str">
            <v>LIMACAJATAMBOCAJATAMBO</v>
          </cell>
          <cell r="B1297" t="str">
            <v>15</v>
          </cell>
          <cell r="C1297" t="str">
            <v>03</v>
          </cell>
          <cell r="D1297" t="str">
            <v>01</v>
          </cell>
          <cell r="E1297" t="str">
            <v>LIMA</v>
          </cell>
          <cell r="F1297" t="str">
            <v>CAJATAMBO</v>
          </cell>
          <cell r="G1297" t="str">
            <v>CAJATAMBO</v>
          </cell>
          <cell r="H1297" t="str">
            <v>011309</v>
          </cell>
          <cell r="I1297" t="str">
            <v>1</v>
          </cell>
        </row>
        <row r="1298">
          <cell r="A1298" t="str">
            <v>LIMACAJATAMBOCOPA</v>
          </cell>
          <cell r="B1298" t="str">
            <v>15</v>
          </cell>
          <cell r="C1298" t="str">
            <v>03</v>
          </cell>
          <cell r="D1298" t="str">
            <v>02</v>
          </cell>
          <cell r="E1298" t="str">
            <v>LIMA</v>
          </cell>
          <cell r="F1298" t="str">
            <v>CAJATAMBO</v>
          </cell>
          <cell r="G1298" t="str">
            <v>COPA</v>
          </cell>
          <cell r="H1298" t="str">
            <v>011310</v>
          </cell>
          <cell r="I1298" t="str">
            <v>2</v>
          </cell>
        </row>
        <row r="1299">
          <cell r="A1299" t="str">
            <v>LIMACAJATAMBOGORGOR</v>
          </cell>
          <cell r="B1299" t="str">
            <v>15</v>
          </cell>
          <cell r="C1299" t="str">
            <v>03</v>
          </cell>
          <cell r="D1299" t="str">
            <v>03</v>
          </cell>
          <cell r="E1299" t="str">
            <v>LIMA</v>
          </cell>
          <cell r="F1299" t="str">
            <v>CAJATAMBO</v>
          </cell>
          <cell r="G1299" t="str">
            <v>GORGOR</v>
          </cell>
          <cell r="H1299" t="str">
            <v>011311</v>
          </cell>
          <cell r="I1299" t="str">
            <v>2</v>
          </cell>
        </row>
        <row r="1300">
          <cell r="A1300" t="str">
            <v>LIMACAJATAMBOHUANCAPON</v>
          </cell>
          <cell r="B1300" t="str">
            <v>15</v>
          </cell>
          <cell r="C1300" t="str">
            <v>03</v>
          </cell>
          <cell r="D1300" t="str">
            <v>04</v>
          </cell>
          <cell r="E1300" t="str">
            <v>LIMA</v>
          </cell>
          <cell r="F1300" t="str">
            <v>CAJATAMBO</v>
          </cell>
          <cell r="G1300" t="str">
            <v>HUANCAPON</v>
          </cell>
          <cell r="H1300" t="str">
            <v>011312</v>
          </cell>
          <cell r="I1300" t="str">
            <v>2</v>
          </cell>
        </row>
        <row r="1301">
          <cell r="A1301" t="str">
            <v>LIMACAJATAMBOMANAS</v>
          </cell>
          <cell r="B1301" t="str">
            <v>15</v>
          </cell>
          <cell r="C1301" t="str">
            <v>03</v>
          </cell>
          <cell r="D1301" t="str">
            <v>05</v>
          </cell>
          <cell r="E1301" t="str">
            <v>LIMA</v>
          </cell>
          <cell r="F1301" t="str">
            <v>CAJATAMBO</v>
          </cell>
          <cell r="G1301" t="str">
            <v>MANAS</v>
          </cell>
          <cell r="H1301" t="str">
            <v>011313</v>
          </cell>
          <cell r="I1301" t="str">
            <v>2</v>
          </cell>
        </row>
        <row r="1302">
          <cell r="A1302" t="str">
            <v>LIMACANTACANTA</v>
          </cell>
          <cell r="B1302" t="str">
            <v>15</v>
          </cell>
          <cell r="C1302" t="str">
            <v>04</v>
          </cell>
          <cell r="D1302" t="str">
            <v>01</v>
          </cell>
          <cell r="E1302" t="str">
            <v>LIMA</v>
          </cell>
          <cell r="F1302" t="str">
            <v>CANTA</v>
          </cell>
          <cell r="G1302" t="str">
            <v>CANTA</v>
          </cell>
          <cell r="H1302" t="str">
            <v>012814</v>
          </cell>
          <cell r="I1302" t="str">
            <v>1</v>
          </cell>
        </row>
        <row r="1303">
          <cell r="A1303" t="str">
            <v>LIMACANTAARAHUAY</v>
          </cell>
          <cell r="B1303" t="str">
            <v>15</v>
          </cell>
          <cell r="C1303" t="str">
            <v>04</v>
          </cell>
          <cell r="D1303" t="str">
            <v>02</v>
          </cell>
          <cell r="E1303" t="str">
            <v>LIMA</v>
          </cell>
          <cell r="F1303" t="str">
            <v>CANTA</v>
          </cell>
          <cell r="G1303" t="str">
            <v>ARAHUAY</v>
          </cell>
          <cell r="H1303" t="str">
            <v>011315</v>
          </cell>
          <cell r="I1303" t="str">
            <v>2</v>
          </cell>
        </row>
        <row r="1304">
          <cell r="A1304" t="str">
            <v>LIMACANTAHUAMANTANGA</v>
          </cell>
          <cell r="B1304" t="str">
            <v>15</v>
          </cell>
          <cell r="C1304" t="str">
            <v>04</v>
          </cell>
          <cell r="D1304" t="str">
            <v>03</v>
          </cell>
          <cell r="E1304" t="str">
            <v>LIMA</v>
          </cell>
          <cell r="F1304" t="str">
            <v>CANTA</v>
          </cell>
          <cell r="G1304" t="str">
            <v>HUAMANTANGA</v>
          </cell>
          <cell r="H1304" t="str">
            <v>011316</v>
          </cell>
          <cell r="I1304" t="str">
            <v>2</v>
          </cell>
        </row>
        <row r="1305">
          <cell r="A1305" t="str">
            <v>LIMACANTAHUAROS</v>
          </cell>
          <cell r="B1305" t="str">
            <v>15</v>
          </cell>
          <cell r="C1305" t="str">
            <v>04</v>
          </cell>
          <cell r="D1305" t="str">
            <v>04</v>
          </cell>
          <cell r="E1305" t="str">
            <v>LIMA</v>
          </cell>
          <cell r="F1305" t="str">
            <v>CANTA</v>
          </cell>
          <cell r="G1305" t="str">
            <v>HUAROS</v>
          </cell>
          <cell r="H1305" t="str">
            <v>011317</v>
          </cell>
          <cell r="I1305" t="str">
            <v>2</v>
          </cell>
        </row>
        <row r="1306">
          <cell r="A1306" t="str">
            <v>LIMACANTALACHAQUI</v>
          </cell>
          <cell r="B1306" t="str">
            <v>15</v>
          </cell>
          <cell r="C1306" t="str">
            <v>04</v>
          </cell>
          <cell r="D1306" t="str">
            <v>05</v>
          </cell>
          <cell r="E1306" t="str">
            <v>LIMA</v>
          </cell>
          <cell r="F1306" t="str">
            <v>CANTA</v>
          </cell>
          <cell r="G1306" t="str">
            <v>LACHAQUI</v>
          </cell>
          <cell r="H1306" t="str">
            <v>011318</v>
          </cell>
          <cell r="I1306" t="str">
            <v>2</v>
          </cell>
        </row>
        <row r="1307">
          <cell r="A1307" t="str">
            <v>LIMACANTASAN BUENAVENTURA</v>
          </cell>
          <cell r="B1307" t="str">
            <v>15</v>
          </cell>
          <cell r="C1307" t="str">
            <v>04</v>
          </cell>
          <cell r="D1307" t="str">
            <v>06</v>
          </cell>
          <cell r="E1307" t="str">
            <v>LIMA</v>
          </cell>
          <cell r="F1307" t="str">
            <v>CANTA</v>
          </cell>
          <cell r="G1307" t="str">
            <v>SAN BUENAVENTURA</v>
          </cell>
          <cell r="H1307" t="str">
            <v>011319</v>
          </cell>
          <cell r="I1307" t="str">
            <v>2</v>
          </cell>
        </row>
        <row r="1308">
          <cell r="A1308" t="str">
            <v>LIMACANTASANTA ROSA DE QUIVES</v>
          </cell>
          <cell r="B1308" t="str">
            <v>15</v>
          </cell>
          <cell r="C1308" t="str">
            <v>04</v>
          </cell>
          <cell r="D1308" t="str">
            <v>07</v>
          </cell>
          <cell r="E1308" t="str">
            <v>LIMA</v>
          </cell>
          <cell r="F1308" t="str">
            <v>CANTA</v>
          </cell>
          <cell r="G1308" t="str">
            <v>SANTA ROSA DE QUIVES</v>
          </cell>
          <cell r="H1308" t="str">
            <v>011320</v>
          </cell>
          <cell r="I1308" t="str">
            <v>2</v>
          </cell>
        </row>
        <row r="1309">
          <cell r="A1309" t="str">
            <v>LIMASAN VICENTE DE CAÑETESAN VICENTE DE CAÑETE</v>
          </cell>
          <cell r="B1309" t="str">
            <v>15</v>
          </cell>
          <cell r="C1309" t="str">
            <v>05</v>
          </cell>
          <cell r="D1309" t="str">
            <v>01</v>
          </cell>
          <cell r="E1309" t="str">
            <v>LIMA</v>
          </cell>
          <cell r="F1309" t="str">
            <v>SAN VICENTE DE CAÑETE</v>
          </cell>
          <cell r="G1309" t="str">
            <v>SAN VICENTE DE CAÑETE</v>
          </cell>
          <cell r="H1309" t="str">
            <v>011339</v>
          </cell>
          <cell r="I1309" t="str">
            <v>1</v>
          </cell>
        </row>
        <row r="1310">
          <cell r="A1310" t="str">
            <v>LIMASAN VICENTE DE CAÑETEASIA</v>
          </cell>
          <cell r="B1310" t="str">
            <v>15</v>
          </cell>
          <cell r="C1310" t="str">
            <v>05</v>
          </cell>
          <cell r="D1310" t="str">
            <v>02</v>
          </cell>
          <cell r="E1310" t="str">
            <v>LIMA</v>
          </cell>
          <cell r="F1310" t="str">
            <v>SAN VICENTE DE CAÑETE</v>
          </cell>
          <cell r="G1310" t="str">
            <v>ASIA</v>
          </cell>
          <cell r="H1310" t="str">
            <v>011348</v>
          </cell>
          <cell r="I1310" t="str">
            <v>2</v>
          </cell>
        </row>
        <row r="1311">
          <cell r="A1311" t="str">
            <v>LIMASAN VICENTE DE CAÑETECALANGO</v>
          </cell>
          <cell r="B1311" t="str">
            <v>15</v>
          </cell>
          <cell r="C1311" t="str">
            <v>05</v>
          </cell>
          <cell r="D1311" t="str">
            <v>03</v>
          </cell>
          <cell r="E1311" t="str">
            <v>LIMA</v>
          </cell>
          <cell r="F1311" t="str">
            <v>SAN VICENTE DE CAÑETE</v>
          </cell>
          <cell r="G1311" t="str">
            <v>CALANGO</v>
          </cell>
          <cell r="H1311" t="str">
            <v>011349</v>
          </cell>
          <cell r="I1311" t="str">
            <v>2</v>
          </cell>
        </row>
        <row r="1312">
          <cell r="A1312" t="str">
            <v>LIMASAN VICENTE DE CAÑETECERRO AZUL</v>
          </cell>
          <cell r="B1312" t="str">
            <v>15</v>
          </cell>
          <cell r="C1312" t="str">
            <v>05</v>
          </cell>
          <cell r="D1312" t="str">
            <v>04</v>
          </cell>
          <cell r="E1312" t="str">
            <v>LIMA</v>
          </cell>
          <cell r="F1312" t="str">
            <v>SAN VICENTE DE CAÑETE</v>
          </cell>
          <cell r="G1312" t="str">
            <v>CERRO AZUL</v>
          </cell>
          <cell r="H1312" t="str">
            <v>011340</v>
          </cell>
          <cell r="I1312" t="str">
            <v>2</v>
          </cell>
        </row>
        <row r="1313">
          <cell r="A1313" t="str">
            <v>LIMASAN VICENTE DE CAÑETECHILCA</v>
          </cell>
          <cell r="B1313" t="str">
            <v>15</v>
          </cell>
          <cell r="C1313" t="str">
            <v>05</v>
          </cell>
          <cell r="D1313" t="str">
            <v>05</v>
          </cell>
          <cell r="E1313" t="str">
            <v>LIMA</v>
          </cell>
          <cell r="F1313" t="str">
            <v>SAN VICENTE DE CAÑETE</v>
          </cell>
          <cell r="G1313" t="str">
            <v>CHILCA</v>
          </cell>
          <cell r="H1313" t="str">
            <v>011350</v>
          </cell>
          <cell r="I1313" t="str">
            <v>2</v>
          </cell>
        </row>
        <row r="1314">
          <cell r="A1314" t="str">
            <v>LIMASAN VICENTE DE CAÑETECOAYLLO</v>
          </cell>
          <cell r="B1314" t="str">
            <v>15</v>
          </cell>
          <cell r="C1314" t="str">
            <v>05</v>
          </cell>
          <cell r="D1314" t="str">
            <v>06</v>
          </cell>
          <cell r="E1314" t="str">
            <v>LIMA</v>
          </cell>
          <cell r="F1314" t="str">
            <v>SAN VICENTE DE CAÑETE</v>
          </cell>
          <cell r="G1314" t="str">
            <v>COAYLLO</v>
          </cell>
          <cell r="H1314" t="str">
            <v>011351</v>
          </cell>
          <cell r="I1314" t="str">
            <v>2</v>
          </cell>
        </row>
        <row r="1315">
          <cell r="A1315" t="str">
            <v>LIMASAN VICENTE DE CAÑETEIMPERIAL</v>
          </cell>
          <cell r="B1315" t="str">
            <v>15</v>
          </cell>
          <cell r="C1315" t="str">
            <v>05</v>
          </cell>
          <cell r="D1315" t="str">
            <v>07</v>
          </cell>
          <cell r="E1315" t="str">
            <v>LIMA</v>
          </cell>
          <cell r="F1315" t="str">
            <v>SAN VICENTE DE CAÑETE</v>
          </cell>
          <cell r="G1315" t="str">
            <v>IMPERIAL</v>
          </cell>
          <cell r="H1315" t="str">
            <v>011341</v>
          </cell>
          <cell r="I1315" t="str">
            <v>2</v>
          </cell>
        </row>
        <row r="1316">
          <cell r="A1316" t="str">
            <v>LIMASAN VICENTE DE CAÑETELUNAHUANA</v>
          </cell>
          <cell r="B1316" t="str">
            <v>15</v>
          </cell>
          <cell r="C1316" t="str">
            <v>05</v>
          </cell>
          <cell r="D1316" t="str">
            <v>08</v>
          </cell>
          <cell r="E1316" t="str">
            <v>LIMA</v>
          </cell>
          <cell r="F1316" t="str">
            <v>SAN VICENTE DE CAÑETE</v>
          </cell>
          <cell r="G1316" t="str">
            <v>LUNAHUANA</v>
          </cell>
          <cell r="H1316" t="str">
            <v>011342</v>
          </cell>
          <cell r="I1316" t="str">
            <v>2</v>
          </cell>
        </row>
        <row r="1317">
          <cell r="A1317" t="str">
            <v>LIMASAN VICENTE DE CAÑETEMALA</v>
          </cell>
          <cell r="B1317" t="str">
            <v>15</v>
          </cell>
          <cell r="C1317" t="str">
            <v>05</v>
          </cell>
          <cell r="D1317" t="str">
            <v>09</v>
          </cell>
          <cell r="E1317" t="str">
            <v>LIMA</v>
          </cell>
          <cell r="F1317" t="str">
            <v>SAN VICENTE DE CAÑETE</v>
          </cell>
          <cell r="G1317" t="str">
            <v>MALA</v>
          </cell>
          <cell r="H1317" t="str">
            <v>011352</v>
          </cell>
          <cell r="I1317" t="str">
            <v>2</v>
          </cell>
        </row>
        <row r="1318">
          <cell r="A1318" t="str">
            <v>LIMASAN VICENTE DE CAÑETENUEVO IMPERIAL</v>
          </cell>
          <cell r="B1318" t="str">
            <v>15</v>
          </cell>
          <cell r="C1318" t="str">
            <v>05</v>
          </cell>
          <cell r="D1318" t="str">
            <v>10</v>
          </cell>
          <cell r="E1318" t="str">
            <v>LIMA</v>
          </cell>
          <cell r="F1318" t="str">
            <v>SAN VICENTE DE CAÑETE</v>
          </cell>
          <cell r="G1318" t="str">
            <v>NUEVO IMPERIAL</v>
          </cell>
          <cell r="H1318" t="str">
            <v>011343</v>
          </cell>
          <cell r="I1318" t="str">
            <v>2</v>
          </cell>
        </row>
        <row r="1319">
          <cell r="A1319" t="str">
            <v>LIMASAN VICENTE DE CAÑETEPACARAN</v>
          </cell>
          <cell r="B1319" t="str">
            <v>15</v>
          </cell>
          <cell r="C1319" t="str">
            <v>05</v>
          </cell>
          <cell r="D1319" t="str">
            <v>11</v>
          </cell>
          <cell r="E1319" t="str">
            <v>LIMA</v>
          </cell>
          <cell r="F1319" t="str">
            <v>SAN VICENTE DE CAÑETE</v>
          </cell>
          <cell r="G1319" t="str">
            <v>PACARAN</v>
          </cell>
          <cell r="H1319" t="str">
            <v>011344</v>
          </cell>
          <cell r="I1319" t="str">
            <v>2</v>
          </cell>
        </row>
        <row r="1320">
          <cell r="A1320" t="str">
            <v>LIMASAN VICENTE DE CAÑETEQUILMANA</v>
          </cell>
          <cell r="B1320" t="str">
            <v>15</v>
          </cell>
          <cell r="C1320" t="str">
            <v>05</v>
          </cell>
          <cell r="D1320" t="str">
            <v>12</v>
          </cell>
          <cell r="E1320" t="str">
            <v>LIMA</v>
          </cell>
          <cell r="F1320" t="str">
            <v>SAN VICENTE DE CAÑETE</v>
          </cell>
          <cell r="G1320" t="str">
            <v>QUILMANA</v>
          </cell>
          <cell r="H1320" t="str">
            <v>011345</v>
          </cell>
          <cell r="I1320" t="str">
            <v>2</v>
          </cell>
        </row>
        <row r="1321">
          <cell r="A1321" t="str">
            <v>LIMASAN VICENTE DE CAÑETESAN ANTONIO</v>
          </cell>
          <cell r="B1321" t="str">
            <v>15</v>
          </cell>
          <cell r="C1321" t="str">
            <v>05</v>
          </cell>
          <cell r="D1321" t="str">
            <v>13</v>
          </cell>
          <cell r="E1321" t="str">
            <v>LIMA</v>
          </cell>
          <cell r="F1321" t="str">
            <v>SAN VICENTE DE CAÑETE</v>
          </cell>
          <cell r="G1321" t="str">
            <v>SAN ANTONIO</v>
          </cell>
          <cell r="H1321" t="str">
            <v>011353</v>
          </cell>
          <cell r="I1321" t="str">
            <v>2</v>
          </cell>
        </row>
        <row r="1322">
          <cell r="A1322" t="str">
            <v>LIMASAN VICENTE DE CAÑETESAN LUIS</v>
          </cell>
          <cell r="B1322" t="str">
            <v>15</v>
          </cell>
          <cell r="C1322" t="str">
            <v>05</v>
          </cell>
          <cell r="D1322" t="str">
            <v>14</v>
          </cell>
          <cell r="E1322" t="str">
            <v>LIMA</v>
          </cell>
          <cell r="F1322" t="str">
            <v>SAN VICENTE DE CAÑETE</v>
          </cell>
          <cell r="G1322" t="str">
            <v>SAN LUIS</v>
          </cell>
          <cell r="H1322" t="str">
            <v>011346</v>
          </cell>
          <cell r="I1322" t="str">
            <v>2</v>
          </cell>
        </row>
        <row r="1323">
          <cell r="A1323" t="str">
            <v>LIMASAN VICENTE DE CAÑETESANTA CRUZ DE FLORES</v>
          </cell>
          <cell r="B1323" t="str">
            <v>15</v>
          </cell>
          <cell r="C1323" t="str">
            <v>05</v>
          </cell>
          <cell r="D1323" t="str">
            <v>15</v>
          </cell>
          <cell r="E1323" t="str">
            <v>LIMA</v>
          </cell>
          <cell r="F1323" t="str">
            <v>SAN VICENTE DE CAÑETE</v>
          </cell>
          <cell r="G1323" t="str">
            <v>SANTA CRUZ DE FLORES</v>
          </cell>
          <cell r="H1323" t="str">
            <v>011354</v>
          </cell>
          <cell r="I1323" t="str">
            <v>2</v>
          </cell>
        </row>
        <row r="1324">
          <cell r="A1324" t="str">
            <v>LIMASAN VICENTE DE CAÑETEZUÑIGA</v>
          </cell>
          <cell r="B1324" t="str">
            <v>15</v>
          </cell>
          <cell r="C1324" t="str">
            <v>05</v>
          </cell>
          <cell r="D1324" t="str">
            <v>16</v>
          </cell>
          <cell r="E1324" t="str">
            <v>LIMA</v>
          </cell>
          <cell r="F1324" t="str">
            <v>SAN VICENTE DE CAÑETE</v>
          </cell>
          <cell r="G1324" t="str">
            <v>ZUÑIGA</v>
          </cell>
          <cell r="H1324" t="str">
            <v>011347</v>
          </cell>
          <cell r="I1324" t="str">
            <v>2</v>
          </cell>
        </row>
        <row r="1325">
          <cell r="A1325" t="str">
            <v>LIMAHUARALHUARAL</v>
          </cell>
          <cell r="B1325" t="str">
            <v>15</v>
          </cell>
          <cell r="C1325" t="str">
            <v>06</v>
          </cell>
          <cell r="D1325" t="str">
            <v>01</v>
          </cell>
          <cell r="E1325" t="str">
            <v>LIMA</v>
          </cell>
          <cell r="F1325" t="str">
            <v>HUARAL</v>
          </cell>
          <cell r="G1325" t="str">
            <v>HUARAL</v>
          </cell>
          <cell r="H1325" t="str">
            <v>011321</v>
          </cell>
          <cell r="I1325" t="str">
            <v>1</v>
          </cell>
        </row>
        <row r="1326">
          <cell r="A1326" t="str">
            <v>LIMAHUARALATAVILLOS ALTO</v>
          </cell>
          <cell r="B1326" t="str">
            <v>15</v>
          </cell>
          <cell r="C1326" t="str">
            <v>06</v>
          </cell>
          <cell r="D1326" t="str">
            <v>02</v>
          </cell>
          <cell r="E1326" t="str">
            <v>LIMA</v>
          </cell>
          <cell r="F1326" t="str">
            <v>HUARAL</v>
          </cell>
          <cell r="G1326" t="str">
            <v>ATAVILLOS ALTO</v>
          </cell>
          <cell r="H1326" t="str">
            <v>011322</v>
          </cell>
          <cell r="I1326" t="str">
            <v>2</v>
          </cell>
        </row>
        <row r="1327">
          <cell r="A1327" t="str">
            <v>LIMAHUARALATAVILLOS BAJO</v>
          </cell>
          <cell r="B1327" t="str">
            <v>15</v>
          </cell>
          <cell r="C1327" t="str">
            <v>06</v>
          </cell>
          <cell r="D1327" t="str">
            <v>03</v>
          </cell>
          <cell r="E1327" t="str">
            <v>LIMA</v>
          </cell>
          <cell r="F1327" t="str">
            <v>HUARAL</v>
          </cell>
          <cell r="G1327" t="str">
            <v>ATAVILLOS BAJO</v>
          </cell>
          <cell r="H1327" t="str">
            <v>011327</v>
          </cell>
          <cell r="I1327" t="str">
            <v>2</v>
          </cell>
        </row>
        <row r="1328">
          <cell r="A1328" t="str">
            <v>LIMAHUARALAUCALLAMA</v>
          </cell>
          <cell r="B1328" t="str">
            <v>15</v>
          </cell>
          <cell r="C1328" t="str">
            <v>06</v>
          </cell>
          <cell r="D1328" t="str">
            <v>04</v>
          </cell>
          <cell r="E1328" t="str">
            <v>LIMA</v>
          </cell>
          <cell r="F1328" t="str">
            <v>HUARAL</v>
          </cell>
          <cell r="G1328" t="str">
            <v>AUCALLAMA</v>
          </cell>
          <cell r="H1328" t="str">
            <v>011324</v>
          </cell>
          <cell r="I1328" t="str">
            <v>2</v>
          </cell>
        </row>
        <row r="1329">
          <cell r="A1329" t="str">
            <v>LIMAHUARALCHANCAY</v>
          </cell>
          <cell r="B1329" t="str">
            <v>15</v>
          </cell>
          <cell r="C1329" t="str">
            <v>06</v>
          </cell>
          <cell r="D1329" t="str">
            <v>05</v>
          </cell>
          <cell r="E1329" t="str">
            <v>LIMA</v>
          </cell>
          <cell r="F1329" t="str">
            <v>HUARAL</v>
          </cell>
          <cell r="G1329" t="str">
            <v>CHANCAY</v>
          </cell>
          <cell r="H1329" t="str">
            <v>011325</v>
          </cell>
          <cell r="I1329" t="str">
            <v>2</v>
          </cell>
        </row>
        <row r="1330">
          <cell r="A1330" t="str">
            <v>LIMAHUARALIHUARI</v>
          </cell>
          <cell r="B1330" t="str">
            <v>15</v>
          </cell>
          <cell r="C1330" t="str">
            <v>06</v>
          </cell>
          <cell r="D1330" t="str">
            <v>06</v>
          </cell>
          <cell r="E1330" t="str">
            <v>LIMA</v>
          </cell>
          <cell r="F1330" t="str">
            <v>HUARAL</v>
          </cell>
          <cell r="G1330" t="str">
            <v>IHUARI</v>
          </cell>
          <cell r="H1330" t="str">
            <v>011326</v>
          </cell>
          <cell r="I1330" t="str">
            <v>2</v>
          </cell>
        </row>
        <row r="1331">
          <cell r="A1331" t="str">
            <v>LIMAHUARALLAMPIAN</v>
          </cell>
          <cell r="B1331" t="str">
            <v>15</v>
          </cell>
          <cell r="C1331" t="str">
            <v>06</v>
          </cell>
          <cell r="D1331" t="str">
            <v>07</v>
          </cell>
          <cell r="E1331" t="str">
            <v>LIMA</v>
          </cell>
          <cell r="F1331" t="str">
            <v>HUARAL</v>
          </cell>
          <cell r="G1331" t="str">
            <v>LAMPIAN</v>
          </cell>
          <cell r="H1331" t="str">
            <v>011323</v>
          </cell>
          <cell r="I1331" t="str">
            <v>2</v>
          </cell>
        </row>
        <row r="1332">
          <cell r="A1332" t="str">
            <v>LIMAHUARALPACARAOS</v>
          </cell>
          <cell r="B1332" t="str">
            <v>15</v>
          </cell>
          <cell r="C1332" t="str">
            <v>06</v>
          </cell>
          <cell r="D1332" t="str">
            <v>08</v>
          </cell>
          <cell r="E1332" t="str">
            <v>LIMA</v>
          </cell>
          <cell r="F1332" t="str">
            <v>HUARAL</v>
          </cell>
          <cell r="G1332" t="str">
            <v>PACARAOS</v>
          </cell>
          <cell r="H1332" t="str">
            <v>011328</v>
          </cell>
          <cell r="I1332" t="str">
            <v>2</v>
          </cell>
        </row>
        <row r="1333">
          <cell r="A1333" t="str">
            <v>LIMAHUARALSAN MIGUEL DE ACOS</v>
          </cell>
          <cell r="B1333" t="str">
            <v>15</v>
          </cell>
          <cell r="C1333" t="str">
            <v>06</v>
          </cell>
          <cell r="D1333" t="str">
            <v>09</v>
          </cell>
          <cell r="E1333" t="str">
            <v>LIMA</v>
          </cell>
          <cell r="F1333" t="str">
            <v>HUARAL</v>
          </cell>
          <cell r="G1333" t="str">
            <v>SAN MIGUEL DE ACOS</v>
          </cell>
          <cell r="H1333" t="str">
            <v>011329</v>
          </cell>
          <cell r="I1333" t="str">
            <v>2</v>
          </cell>
        </row>
        <row r="1334">
          <cell r="A1334" t="str">
            <v>LIMAHUARALSANTA CRUZ DE ANDAMARCA</v>
          </cell>
          <cell r="B1334" t="str">
            <v>15</v>
          </cell>
          <cell r="C1334" t="str">
            <v>06</v>
          </cell>
          <cell r="D1334" t="str">
            <v>10</v>
          </cell>
          <cell r="E1334" t="str">
            <v>LIMA</v>
          </cell>
          <cell r="F1334" t="str">
            <v>HUARAL</v>
          </cell>
          <cell r="G1334" t="str">
            <v>SANTA CRUZ DE ANDAMARCA</v>
          </cell>
          <cell r="H1334" t="str">
            <v>011330</v>
          </cell>
          <cell r="I1334" t="str">
            <v>2</v>
          </cell>
        </row>
        <row r="1335">
          <cell r="A1335" t="str">
            <v>LIMAHUARALSUMBILCA</v>
          </cell>
          <cell r="B1335" t="str">
            <v>15</v>
          </cell>
          <cell r="C1335" t="str">
            <v>06</v>
          </cell>
          <cell r="D1335" t="str">
            <v>11</v>
          </cell>
          <cell r="E1335" t="str">
            <v>LIMA</v>
          </cell>
          <cell r="F1335" t="str">
            <v>HUARAL</v>
          </cell>
          <cell r="G1335" t="str">
            <v>SUMBILCA</v>
          </cell>
          <cell r="H1335" t="str">
            <v>011331</v>
          </cell>
          <cell r="I1335" t="str">
            <v>2</v>
          </cell>
        </row>
        <row r="1336">
          <cell r="A1336" t="str">
            <v>LIMAHUARALVEINTISIETE DE NOVIEMBRE</v>
          </cell>
          <cell r="B1336" t="str">
            <v>15</v>
          </cell>
          <cell r="C1336" t="str">
            <v>06</v>
          </cell>
          <cell r="D1336" t="str">
            <v>12</v>
          </cell>
          <cell r="E1336" t="str">
            <v>LIMA</v>
          </cell>
          <cell r="F1336" t="str">
            <v>HUARAL</v>
          </cell>
          <cell r="G1336" t="str">
            <v>VEINTISIETE DE NOVIEMBRE</v>
          </cell>
          <cell r="H1336" t="str">
            <v>011332</v>
          </cell>
          <cell r="I1336" t="str">
            <v>2</v>
          </cell>
        </row>
        <row r="1337">
          <cell r="A1337" t="str">
            <v>LIMAHUAROCHIRIMATUCANA</v>
          </cell>
          <cell r="B1337" t="str">
            <v>15</v>
          </cell>
          <cell r="C1337" t="str">
            <v>07</v>
          </cell>
          <cell r="D1337" t="str">
            <v>01</v>
          </cell>
          <cell r="E1337" t="str">
            <v>LIMA</v>
          </cell>
          <cell r="F1337" t="str">
            <v>HUAROCHIRI</v>
          </cell>
          <cell r="G1337" t="str">
            <v>MATUCANA</v>
          </cell>
          <cell r="H1337" t="str">
            <v>011355</v>
          </cell>
          <cell r="I1337" t="str">
            <v>1</v>
          </cell>
        </row>
        <row r="1338">
          <cell r="A1338" t="str">
            <v>LIMAHUAROCHIRIANTIOQUIA</v>
          </cell>
          <cell r="B1338" t="str">
            <v>15</v>
          </cell>
          <cell r="C1338" t="str">
            <v>07</v>
          </cell>
          <cell r="D1338" t="str">
            <v>02</v>
          </cell>
          <cell r="E1338" t="str">
            <v>LIMA</v>
          </cell>
          <cell r="F1338" t="str">
            <v>HUAROCHIRI</v>
          </cell>
          <cell r="G1338" t="str">
            <v>ANTIOQUIA</v>
          </cell>
          <cell r="H1338" t="str">
            <v>011375</v>
          </cell>
          <cell r="I1338" t="str">
            <v>2</v>
          </cell>
        </row>
        <row r="1339">
          <cell r="A1339" t="str">
            <v>LIMAHUAROCHIRICALLAHUANCA</v>
          </cell>
          <cell r="B1339" t="str">
            <v>15</v>
          </cell>
          <cell r="C1339" t="str">
            <v>07</v>
          </cell>
          <cell r="D1339" t="str">
            <v>03</v>
          </cell>
          <cell r="E1339" t="str">
            <v>LIMA</v>
          </cell>
          <cell r="F1339" t="str">
            <v>HUAROCHIRI</v>
          </cell>
          <cell r="G1339" t="str">
            <v>CALLAHUANCA</v>
          </cell>
          <cell r="H1339" t="str">
            <v>011366</v>
          </cell>
          <cell r="I1339" t="str">
            <v>2</v>
          </cell>
        </row>
        <row r="1340">
          <cell r="A1340" t="str">
            <v>LIMAHUAROCHIRICARAMPOMA</v>
          </cell>
          <cell r="B1340" t="str">
            <v>15</v>
          </cell>
          <cell r="C1340" t="str">
            <v>07</v>
          </cell>
          <cell r="D1340" t="str">
            <v>04</v>
          </cell>
          <cell r="E1340" t="str">
            <v>LIMA</v>
          </cell>
          <cell r="F1340" t="str">
            <v>HUAROCHIRI</v>
          </cell>
          <cell r="G1340" t="str">
            <v>CARAMPOMA</v>
          </cell>
          <cell r="H1340" t="str">
            <v>011367</v>
          </cell>
          <cell r="I1340" t="str">
            <v>2</v>
          </cell>
        </row>
        <row r="1341">
          <cell r="A1341" t="str">
            <v>LIMAHUAROCHIRICHICLA</v>
          </cell>
          <cell r="B1341" t="str">
            <v>15</v>
          </cell>
          <cell r="C1341" t="str">
            <v>07</v>
          </cell>
          <cell r="D1341" t="str">
            <v>05</v>
          </cell>
          <cell r="E1341" t="str">
            <v>LIMA</v>
          </cell>
          <cell r="F1341" t="str">
            <v>HUAROCHIRI</v>
          </cell>
          <cell r="G1341" t="str">
            <v>CHICLA</v>
          </cell>
          <cell r="H1341" t="str">
            <v>012557</v>
          </cell>
          <cell r="I1341" t="str">
            <v>2</v>
          </cell>
        </row>
        <row r="1342">
          <cell r="A1342" t="str">
            <v>LIMAHUAROCHIRICUENCA</v>
          </cell>
          <cell r="B1342" t="str">
            <v>15</v>
          </cell>
          <cell r="C1342" t="str">
            <v>07</v>
          </cell>
          <cell r="D1342" t="str">
            <v>06</v>
          </cell>
          <cell r="E1342" t="str">
            <v>LIMA</v>
          </cell>
          <cell r="F1342" t="str">
            <v>HUAROCHIRI</v>
          </cell>
          <cell r="G1342" t="str">
            <v>CUENCA</v>
          </cell>
          <cell r="H1342" t="str">
            <v>011376</v>
          </cell>
          <cell r="I1342" t="str">
            <v>2</v>
          </cell>
        </row>
        <row r="1343">
          <cell r="A1343" t="str">
            <v>LIMAHUAROCHIRIHUACHUPAMPA</v>
          </cell>
          <cell r="B1343" t="str">
            <v>15</v>
          </cell>
          <cell r="C1343" t="str">
            <v>07</v>
          </cell>
          <cell r="D1343" t="str">
            <v>07</v>
          </cell>
          <cell r="E1343" t="str">
            <v>LIMA</v>
          </cell>
          <cell r="F1343" t="str">
            <v>HUAROCHIRI</v>
          </cell>
          <cell r="G1343" t="str">
            <v>HUACHUPAMPA</v>
          </cell>
          <cell r="H1343" t="str">
            <v>011368</v>
          </cell>
          <cell r="I1343" t="str">
            <v>2</v>
          </cell>
        </row>
        <row r="1344">
          <cell r="A1344" t="str">
            <v>LIMAHUAROCHIRIHUANZA</v>
          </cell>
          <cell r="B1344" t="str">
            <v>15</v>
          </cell>
          <cell r="C1344" t="str">
            <v>07</v>
          </cell>
          <cell r="D1344" t="str">
            <v>08</v>
          </cell>
          <cell r="E1344" t="str">
            <v>LIMA</v>
          </cell>
          <cell r="F1344" t="str">
            <v>HUAROCHIRI</v>
          </cell>
          <cell r="G1344" t="str">
            <v>HUANZA</v>
          </cell>
          <cell r="H1344" t="str">
            <v>011369</v>
          </cell>
          <cell r="I1344" t="str">
            <v>2</v>
          </cell>
        </row>
        <row r="1345">
          <cell r="A1345" t="str">
            <v>LIMAHUAROCHIRIHUAROCHIRI</v>
          </cell>
          <cell r="B1345" t="str">
            <v>15</v>
          </cell>
          <cell r="C1345" t="str">
            <v>07</v>
          </cell>
          <cell r="D1345" t="str">
            <v>09</v>
          </cell>
          <cell r="E1345" t="str">
            <v>LIMA</v>
          </cell>
          <cell r="F1345" t="str">
            <v>HUAROCHIRI</v>
          </cell>
          <cell r="G1345" t="str">
            <v>HUAROCHIRI</v>
          </cell>
          <cell r="H1345" t="str">
            <v>011377</v>
          </cell>
          <cell r="I1345" t="str">
            <v>2</v>
          </cell>
        </row>
        <row r="1346">
          <cell r="A1346" t="str">
            <v>LIMAHUAROCHIRILAHUAYTAMBO</v>
          </cell>
          <cell r="B1346" t="str">
            <v>15</v>
          </cell>
          <cell r="C1346" t="str">
            <v>07</v>
          </cell>
          <cell r="D1346" t="str">
            <v>10</v>
          </cell>
          <cell r="E1346" t="str">
            <v>LIMA</v>
          </cell>
          <cell r="F1346" t="str">
            <v>HUAROCHIRI</v>
          </cell>
          <cell r="G1346" t="str">
            <v>LAHUAYTAMBO</v>
          </cell>
          <cell r="H1346" t="str">
            <v>011378</v>
          </cell>
          <cell r="I1346" t="str">
            <v>2</v>
          </cell>
        </row>
        <row r="1347">
          <cell r="A1347" t="str">
            <v>LIMAHUAROCHIRILANGA</v>
          </cell>
          <cell r="B1347" t="str">
            <v>15</v>
          </cell>
          <cell r="C1347" t="str">
            <v>07</v>
          </cell>
          <cell r="D1347" t="str">
            <v>11</v>
          </cell>
          <cell r="E1347" t="str">
            <v>LIMA</v>
          </cell>
          <cell r="F1347" t="str">
            <v>HUAROCHIRI</v>
          </cell>
          <cell r="G1347" t="str">
            <v>LANGA</v>
          </cell>
          <cell r="H1347" t="str">
            <v>012536</v>
          </cell>
          <cell r="I1347" t="str">
            <v>2</v>
          </cell>
        </row>
        <row r="1348">
          <cell r="A1348" t="str">
            <v>LIMAHUAROCHIRILARAOS</v>
          </cell>
          <cell r="B1348" t="str">
            <v>15</v>
          </cell>
          <cell r="C1348" t="str">
            <v>07</v>
          </cell>
          <cell r="D1348" t="str">
            <v>12</v>
          </cell>
          <cell r="E1348" t="str">
            <v>LIMA</v>
          </cell>
          <cell r="F1348" t="str">
            <v>HUAROCHIRI</v>
          </cell>
          <cell r="G1348" t="str">
            <v>LARAOS</v>
          </cell>
          <cell r="H1348" t="str">
            <v>011370</v>
          </cell>
          <cell r="I1348" t="str">
            <v>2</v>
          </cell>
        </row>
        <row r="1349">
          <cell r="A1349" t="str">
            <v>LIMAHUAROCHIRIMARIATANA</v>
          </cell>
          <cell r="B1349" t="str">
            <v>15</v>
          </cell>
          <cell r="C1349" t="str">
            <v>07</v>
          </cell>
          <cell r="D1349" t="str">
            <v>13</v>
          </cell>
          <cell r="E1349" t="str">
            <v>LIMA</v>
          </cell>
          <cell r="F1349" t="str">
            <v>HUAROCHIRI</v>
          </cell>
          <cell r="G1349" t="str">
            <v>MARIATANA</v>
          </cell>
          <cell r="H1349" t="str">
            <v>011380</v>
          </cell>
          <cell r="I1349" t="str">
            <v>2</v>
          </cell>
        </row>
        <row r="1350">
          <cell r="A1350" t="str">
            <v>LIMAHUAROCHIRIRICARDO PALMA</v>
          </cell>
          <cell r="B1350" t="str">
            <v>15</v>
          </cell>
          <cell r="C1350" t="str">
            <v>07</v>
          </cell>
          <cell r="D1350" t="str">
            <v>14</v>
          </cell>
          <cell r="E1350" t="str">
            <v>LIMA</v>
          </cell>
          <cell r="F1350" t="str">
            <v>HUAROCHIRI</v>
          </cell>
          <cell r="G1350" t="str">
            <v>RICARDO PALMA</v>
          </cell>
          <cell r="H1350" t="str">
            <v>011357</v>
          </cell>
          <cell r="I1350" t="str">
            <v>2</v>
          </cell>
        </row>
        <row r="1351">
          <cell r="A1351" t="str">
            <v>LIMAHUAROCHIRISAN ANDRES DE TUPICOCHA</v>
          </cell>
          <cell r="B1351" t="str">
            <v>15</v>
          </cell>
          <cell r="C1351" t="str">
            <v>07</v>
          </cell>
          <cell r="D1351" t="str">
            <v>15</v>
          </cell>
          <cell r="E1351" t="str">
            <v>LIMA</v>
          </cell>
          <cell r="F1351" t="str">
            <v>HUAROCHIRI</v>
          </cell>
          <cell r="G1351" t="str">
            <v>SAN ANDRES DE TUPICOCHA</v>
          </cell>
          <cell r="H1351" t="str">
            <v>011358</v>
          </cell>
          <cell r="I1351" t="str">
            <v>2</v>
          </cell>
        </row>
        <row r="1352">
          <cell r="A1352" t="str">
            <v>LIMAHUAROCHIRISAN ANTONIO</v>
          </cell>
          <cell r="B1352" t="str">
            <v>15</v>
          </cell>
          <cell r="C1352" t="str">
            <v>07</v>
          </cell>
          <cell r="D1352" t="str">
            <v>16</v>
          </cell>
          <cell r="E1352" t="str">
            <v>LIMA</v>
          </cell>
          <cell r="F1352" t="str">
            <v>HUAROCHIRI</v>
          </cell>
          <cell r="G1352" t="str">
            <v>SAN ANTONIO</v>
          </cell>
          <cell r="H1352" t="str">
            <v>011371</v>
          </cell>
          <cell r="I1352" t="str">
            <v>2</v>
          </cell>
        </row>
        <row r="1353">
          <cell r="A1353" t="str">
            <v>LIMAHUAROCHIRISAN BARTOLOME</v>
          </cell>
          <cell r="B1353" t="str">
            <v>15</v>
          </cell>
          <cell r="C1353" t="str">
            <v>07</v>
          </cell>
          <cell r="D1353" t="str">
            <v>17</v>
          </cell>
          <cell r="E1353" t="str">
            <v>LIMA</v>
          </cell>
          <cell r="F1353" t="str">
            <v>HUAROCHIRI</v>
          </cell>
          <cell r="G1353" t="str">
            <v>SAN BARTOLOME</v>
          </cell>
          <cell r="H1353" t="str">
            <v>011359</v>
          </cell>
          <cell r="I1353" t="str">
            <v>2</v>
          </cell>
        </row>
        <row r="1354">
          <cell r="A1354" t="str">
            <v>LIMAHUAROCHIRISAN DAMIAN</v>
          </cell>
          <cell r="B1354" t="str">
            <v>15</v>
          </cell>
          <cell r="C1354" t="str">
            <v>07</v>
          </cell>
          <cell r="D1354" t="str">
            <v>18</v>
          </cell>
          <cell r="E1354" t="str">
            <v>LIMA</v>
          </cell>
          <cell r="F1354" t="str">
            <v>HUAROCHIRI</v>
          </cell>
          <cell r="G1354" t="str">
            <v>SAN DAMIAN</v>
          </cell>
          <cell r="H1354" t="str">
            <v>011360</v>
          </cell>
          <cell r="I1354" t="str">
            <v>2</v>
          </cell>
        </row>
        <row r="1355">
          <cell r="A1355" t="str">
            <v>LIMAHUAROCHIRISAN JUAN DE IRIS</v>
          </cell>
          <cell r="B1355" t="str">
            <v>15</v>
          </cell>
          <cell r="C1355" t="str">
            <v>07</v>
          </cell>
          <cell r="D1355" t="str">
            <v>19</v>
          </cell>
          <cell r="E1355" t="str">
            <v>LIMA</v>
          </cell>
          <cell r="F1355" t="str">
            <v>HUAROCHIRI</v>
          </cell>
          <cell r="G1355" t="str">
            <v>SAN JUAN DE IRIS</v>
          </cell>
          <cell r="H1355" t="str">
            <v>011372</v>
          </cell>
          <cell r="I1355" t="str">
            <v>2</v>
          </cell>
        </row>
        <row r="1356">
          <cell r="A1356" t="str">
            <v>LIMAHUAROCHIRISAN JUAN DE TANTARANCHE</v>
          </cell>
          <cell r="B1356" t="str">
            <v>15</v>
          </cell>
          <cell r="C1356" t="str">
            <v>07</v>
          </cell>
          <cell r="D1356" t="str">
            <v>20</v>
          </cell>
          <cell r="E1356" t="str">
            <v>LIMA</v>
          </cell>
          <cell r="F1356" t="str">
            <v>HUAROCHIRI</v>
          </cell>
          <cell r="G1356" t="str">
            <v>SAN JUAN DE TANTARANCHE</v>
          </cell>
          <cell r="H1356" t="str">
            <v>012358</v>
          </cell>
          <cell r="I1356" t="str">
            <v>2</v>
          </cell>
        </row>
        <row r="1357">
          <cell r="A1357" t="str">
            <v>LIMAHUAROCHIRISAN LORENZO DE QUINTI</v>
          </cell>
          <cell r="B1357" t="str">
            <v>15</v>
          </cell>
          <cell r="C1357" t="str">
            <v>07</v>
          </cell>
          <cell r="D1357" t="str">
            <v>21</v>
          </cell>
          <cell r="E1357" t="str">
            <v>LIMA</v>
          </cell>
          <cell r="F1357" t="str">
            <v>HUAROCHIRI</v>
          </cell>
          <cell r="G1357" t="str">
            <v>SAN LORENZO DE QUINTI</v>
          </cell>
          <cell r="H1357" t="str">
            <v>011382</v>
          </cell>
          <cell r="I1357" t="str">
            <v>2</v>
          </cell>
        </row>
        <row r="1358">
          <cell r="A1358" t="str">
            <v>LIMAHUAROCHIRISAN MATEO</v>
          </cell>
          <cell r="B1358" t="str">
            <v>15</v>
          </cell>
          <cell r="C1358" t="str">
            <v>07</v>
          </cell>
          <cell r="D1358" t="str">
            <v>22</v>
          </cell>
          <cell r="E1358" t="str">
            <v>LIMA</v>
          </cell>
          <cell r="F1358" t="str">
            <v>HUAROCHIRI</v>
          </cell>
          <cell r="G1358" t="str">
            <v>SAN MATEO</v>
          </cell>
          <cell r="H1358" t="str">
            <v>011361</v>
          </cell>
          <cell r="I1358" t="str">
            <v>2</v>
          </cell>
        </row>
        <row r="1359">
          <cell r="A1359" t="str">
            <v>LIMAHUAROCHIRISAN MATEO DE OTAO</v>
          </cell>
          <cell r="B1359" t="str">
            <v>15</v>
          </cell>
          <cell r="C1359" t="str">
            <v>07</v>
          </cell>
          <cell r="D1359" t="str">
            <v>23</v>
          </cell>
          <cell r="E1359" t="str">
            <v>LIMA</v>
          </cell>
          <cell r="F1359" t="str">
            <v>HUAROCHIRI</v>
          </cell>
          <cell r="G1359" t="str">
            <v>SAN MATEO DE OTAO</v>
          </cell>
          <cell r="H1359" t="str">
            <v>011362</v>
          </cell>
          <cell r="I1359" t="str">
            <v>2</v>
          </cell>
        </row>
        <row r="1360">
          <cell r="A1360" t="str">
            <v>LIMAHUAROCHIRISAN PEDRO DE CASTA</v>
          </cell>
          <cell r="B1360" t="str">
            <v>15</v>
          </cell>
          <cell r="C1360" t="str">
            <v>07</v>
          </cell>
          <cell r="D1360" t="str">
            <v>24</v>
          </cell>
          <cell r="E1360" t="str">
            <v>LIMA</v>
          </cell>
          <cell r="F1360" t="str">
            <v>HUAROCHIRI</v>
          </cell>
          <cell r="G1360" t="str">
            <v>SAN PEDRO DE CASTA</v>
          </cell>
          <cell r="H1360" t="str">
            <v>011373</v>
          </cell>
          <cell r="I1360" t="str">
            <v>2</v>
          </cell>
        </row>
        <row r="1361">
          <cell r="A1361" t="str">
            <v>LIMAHUAROCHIRISAN PEDRO DE HUANCAYRE</v>
          </cell>
          <cell r="B1361" t="str">
            <v>15</v>
          </cell>
          <cell r="C1361" t="str">
            <v>07</v>
          </cell>
          <cell r="D1361" t="str">
            <v>25</v>
          </cell>
          <cell r="E1361" t="str">
            <v>LIMA</v>
          </cell>
          <cell r="F1361" t="str">
            <v>HUAROCHIRI</v>
          </cell>
          <cell r="G1361" t="str">
            <v>SAN PEDRO DE HUANCAYRE</v>
          </cell>
          <cell r="H1361" t="str">
            <v>011383</v>
          </cell>
          <cell r="I1361" t="str">
            <v>2</v>
          </cell>
        </row>
        <row r="1362">
          <cell r="A1362" t="str">
            <v>LIMAHUAROCHIRISANGALLAYA</v>
          </cell>
          <cell r="B1362" t="str">
            <v>15</v>
          </cell>
          <cell r="C1362" t="str">
            <v>07</v>
          </cell>
          <cell r="D1362" t="str">
            <v>26</v>
          </cell>
          <cell r="E1362" t="str">
            <v>LIMA</v>
          </cell>
          <cell r="F1362" t="str">
            <v>HUAROCHIRI</v>
          </cell>
          <cell r="G1362" t="str">
            <v>SANGALLAYA</v>
          </cell>
          <cell r="H1362" t="str">
            <v>012341</v>
          </cell>
          <cell r="I1362" t="str">
            <v>2</v>
          </cell>
        </row>
        <row r="1363">
          <cell r="A1363" t="str">
            <v>LIMAHUAROCHIRISANTA CRUZ DE COCACHACRA</v>
          </cell>
          <cell r="B1363" t="str">
            <v>15</v>
          </cell>
          <cell r="C1363" t="str">
            <v>07</v>
          </cell>
          <cell r="D1363" t="str">
            <v>27</v>
          </cell>
          <cell r="E1363" t="str">
            <v>LIMA</v>
          </cell>
          <cell r="F1363" t="str">
            <v>HUAROCHIRI</v>
          </cell>
          <cell r="G1363" t="str">
            <v>SANTA CRUZ DE COCACHACRA</v>
          </cell>
          <cell r="H1363" t="str">
            <v>011363</v>
          </cell>
          <cell r="I1363" t="str">
            <v>2</v>
          </cell>
        </row>
        <row r="1364">
          <cell r="A1364" t="str">
            <v>LIMAHUAROCHIRISANTA EULALIA</v>
          </cell>
          <cell r="B1364" t="str">
            <v>15</v>
          </cell>
          <cell r="C1364" t="str">
            <v>07</v>
          </cell>
          <cell r="D1364" t="str">
            <v>28</v>
          </cell>
          <cell r="E1364" t="str">
            <v>LIMA</v>
          </cell>
          <cell r="F1364" t="str">
            <v>HUAROCHIRI</v>
          </cell>
          <cell r="G1364" t="str">
            <v>SANTA EULALIA</v>
          </cell>
          <cell r="H1364" t="str">
            <v>011374</v>
          </cell>
          <cell r="I1364" t="str">
            <v>2</v>
          </cell>
        </row>
        <row r="1365">
          <cell r="A1365" t="str">
            <v>LIMAHUAROCHIRISANTIAGO DE ANCHUCAYA</v>
          </cell>
          <cell r="B1365" t="str">
            <v>15</v>
          </cell>
          <cell r="C1365" t="str">
            <v>07</v>
          </cell>
          <cell r="D1365" t="str">
            <v>29</v>
          </cell>
          <cell r="E1365" t="str">
            <v>LIMA</v>
          </cell>
          <cell r="F1365" t="str">
            <v>HUAROCHIRI</v>
          </cell>
          <cell r="G1365" t="str">
            <v>SANTIAGO DE ANCHUCAYA</v>
          </cell>
          <cell r="H1365" t="str">
            <v>012339</v>
          </cell>
          <cell r="I1365" t="str">
            <v>2</v>
          </cell>
        </row>
        <row r="1366">
          <cell r="A1366" t="str">
            <v>LIMAHUAROCHIRISANTIAGO DE TUNA</v>
          </cell>
          <cell r="B1366" t="str">
            <v>15</v>
          </cell>
          <cell r="C1366" t="str">
            <v>07</v>
          </cell>
          <cell r="D1366" t="str">
            <v>30</v>
          </cell>
          <cell r="E1366" t="str">
            <v>LIMA</v>
          </cell>
          <cell r="F1366" t="str">
            <v>HUAROCHIRI</v>
          </cell>
          <cell r="G1366" t="str">
            <v>SANTIAGO DE TUNA</v>
          </cell>
          <cell r="H1366" t="str">
            <v>011364</v>
          </cell>
          <cell r="I1366" t="str">
            <v>2</v>
          </cell>
        </row>
        <row r="1367">
          <cell r="A1367" t="str">
            <v>LIMAHUAROCHIRISANTO DOMINGO DE LOS OLLEROS</v>
          </cell>
          <cell r="B1367" t="str">
            <v>15</v>
          </cell>
          <cell r="C1367" t="str">
            <v>07</v>
          </cell>
          <cell r="D1367" t="str">
            <v>31</v>
          </cell>
          <cell r="E1367" t="str">
            <v>LIMA</v>
          </cell>
          <cell r="F1367" t="str">
            <v>HUAROCHIRI</v>
          </cell>
          <cell r="G1367" t="str">
            <v>SANTO DOMINGO DE LOS OLLEROS</v>
          </cell>
          <cell r="H1367" t="str">
            <v>012340</v>
          </cell>
          <cell r="I1367" t="str">
            <v>2</v>
          </cell>
        </row>
        <row r="1368">
          <cell r="A1368" t="str">
            <v>LIMAHUAROCHIRISURCO</v>
          </cell>
          <cell r="B1368" t="str">
            <v>15</v>
          </cell>
          <cell r="C1368" t="str">
            <v>07</v>
          </cell>
          <cell r="D1368" t="str">
            <v>32</v>
          </cell>
          <cell r="E1368" t="str">
            <v>LIMA</v>
          </cell>
          <cell r="F1368" t="str">
            <v>HUAROCHIRI</v>
          </cell>
          <cell r="G1368" t="str">
            <v>SURCO</v>
          </cell>
          <cell r="H1368" t="str">
            <v>011365</v>
          </cell>
          <cell r="I1368" t="str">
            <v>2</v>
          </cell>
        </row>
        <row r="1369">
          <cell r="A1369" t="str">
            <v>LIMAHUAURAHUACHO</v>
          </cell>
          <cell r="B1369" t="str">
            <v>15</v>
          </cell>
          <cell r="C1369" t="str">
            <v>08</v>
          </cell>
          <cell r="D1369" t="str">
            <v>01</v>
          </cell>
          <cell r="E1369" t="str">
            <v>LIMA</v>
          </cell>
          <cell r="F1369" t="str">
            <v>HUAURA</v>
          </cell>
          <cell r="G1369" t="str">
            <v>HUACHO</v>
          </cell>
          <cell r="H1369" t="str">
            <v>011292</v>
          </cell>
          <cell r="I1369" t="str">
            <v>1</v>
          </cell>
        </row>
        <row r="1370">
          <cell r="A1370" t="str">
            <v>LIMAHUAURAAMBAR</v>
          </cell>
          <cell r="B1370" t="str">
            <v>15</v>
          </cell>
          <cell r="C1370" t="str">
            <v>08</v>
          </cell>
          <cell r="D1370" t="str">
            <v>02</v>
          </cell>
          <cell r="E1370" t="str">
            <v>LIMA</v>
          </cell>
          <cell r="F1370" t="str">
            <v>HUAURA</v>
          </cell>
          <cell r="G1370" t="str">
            <v>AMBAR</v>
          </cell>
          <cell r="H1370" t="str">
            <v>011293</v>
          </cell>
          <cell r="I1370" t="str">
            <v>2</v>
          </cell>
        </row>
        <row r="1371">
          <cell r="A1371" t="str">
            <v>LIMAHUAURACALETA DE CARQUIN</v>
          </cell>
          <cell r="B1371" t="str">
            <v>15</v>
          </cell>
          <cell r="C1371" t="str">
            <v>08</v>
          </cell>
          <cell r="D1371" t="str">
            <v>03</v>
          </cell>
          <cell r="E1371" t="str">
            <v>LIMA</v>
          </cell>
          <cell r="F1371" t="str">
            <v>HUAURA</v>
          </cell>
          <cell r="G1371" t="str">
            <v>CALETA DE CARQUIN</v>
          </cell>
          <cell r="H1371" t="str">
            <v>011294</v>
          </cell>
          <cell r="I1371" t="str">
            <v>2</v>
          </cell>
        </row>
        <row r="1372">
          <cell r="A1372" t="str">
            <v>LIMAHUAURACHECRAS</v>
          </cell>
          <cell r="B1372" t="str">
            <v>15</v>
          </cell>
          <cell r="C1372" t="str">
            <v>08</v>
          </cell>
          <cell r="D1372" t="str">
            <v>04</v>
          </cell>
          <cell r="E1372" t="str">
            <v>LIMA</v>
          </cell>
          <cell r="F1372" t="str">
            <v>HUAURA</v>
          </cell>
          <cell r="G1372" t="str">
            <v>CHECRAS</v>
          </cell>
          <cell r="H1372" t="str">
            <v>011299</v>
          </cell>
          <cell r="I1372" t="str">
            <v>2</v>
          </cell>
        </row>
        <row r="1373">
          <cell r="A1373" t="str">
            <v>LIMAHUAURAHUALMAY</v>
          </cell>
          <cell r="B1373" t="str">
            <v>15</v>
          </cell>
          <cell r="C1373" t="str">
            <v>08</v>
          </cell>
          <cell r="D1373" t="str">
            <v>05</v>
          </cell>
          <cell r="E1373" t="str">
            <v>LIMA</v>
          </cell>
          <cell r="F1373" t="str">
            <v>HUAURA</v>
          </cell>
          <cell r="G1373" t="str">
            <v>HUALMAY</v>
          </cell>
          <cell r="H1373" t="str">
            <v>011295</v>
          </cell>
          <cell r="I1373" t="str">
            <v>2</v>
          </cell>
        </row>
        <row r="1374">
          <cell r="A1374" t="str">
            <v>LIMAHUAURAHUAURA</v>
          </cell>
          <cell r="B1374" t="str">
            <v>15</v>
          </cell>
          <cell r="C1374" t="str">
            <v>08</v>
          </cell>
          <cell r="D1374" t="str">
            <v>06</v>
          </cell>
          <cell r="E1374" t="str">
            <v>LIMA</v>
          </cell>
          <cell r="F1374" t="str">
            <v>HUAURA</v>
          </cell>
          <cell r="G1374" t="str">
            <v>HUAURA</v>
          </cell>
          <cell r="H1374" t="str">
            <v>011296</v>
          </cell>
          <cell r="I1374" t="str">
            <v>2</v>
          </cell>
        </row>
        <row r="1375">
          <cell r="A1375" t="str">
            <v>LIMAHUAURALEONCIO PRADO</v>
          </cell>
          <cell r="B1375" t="str">
            <v>15</v>
          </cell>
          <cell r="C1375" t="str">
            <v>08</v>
          </cell>
          <cell r="D1375" t="str">
            <v>07</v>
          </cell>
          <cell r="E1375" t="str">
            <v>LIMA</v>
          </cell>
          <cell r="F1375" t="str">
            <v>HUAURA</v>
          </cell>
          <cell r="G1375" t="str">
            <v>LEONCIO PRADO</v>
          </cell>
          <cell r="H1375" t="str">
            <v>011300</v>
          </cell>
          <cell r="I1375" t="str">
            <v>2</v>
          </cell>
        </row>
        <row r="1376">
          <cell r="A1376" t="str">
            <v>LIMAHUAURAPACCHO</v>
          </cell>
          <cell r="B1376" t="str">
            <v>15</v>
          </cell>
          <cell r="C1376" t="str">
            <v>08</v>
          </cell>
          <cell r="D1376" t="str">
            <v>08</v>
          </cell>
          <cell r="E1376" t="str">
            <v>LIMA</v>
          </cell>
          <cell r="F1376" t="str">
            <v>HUAURA</v>
          </cell>
          <cell r="G1376" t="str">
            <v>PACCHO</v>
          </cell>
          <cell r="H1376" t="str">
            <v>011301</v>
          </cell>
          <cell r="I1376" t="str">
            <v>2</v>
          </cell>
        </row>
        <row r="1377">
          <cell r="A1377" t="str">
            <v>LIMAHUAURASANTA LEONOR</v>
          </cell>
          <cell r="B1377" t="str">
            <v>15</v>
          </cell>
          <cell r="C1377" t="str">
            <v>08</v>
          </cell>
          <cell r="D1377" t="str">
            <v>09</v>
          </cell>
          <cell r="E1377" t="str">
            <v>LIMA</v>
          </cell>
          <cell r="F1377" t="str">
            <v>HUAURA</v>
          </cell>
          <cell r="G1377" t="str">
            <v>SANTA LEONOR</v>
          </cell>
          <cell r="H1377" t="str">
            <v>011302</v>
          </cell>
          <cell r="I1377" t="str">
            <v>2</v>
          </cell>
        </row>
        <row r="1378">
          <cell r="A1378" t="str">
            <v>LIMAHUAURASANTA MARIA</v>
          </cell>
          <cell r="B1378" t="str">
            <v>15</v>
          </cell>
          <cell r="C1378" t="str">
            <v>08</v>
          </cell>
          <cell r="D1378" t="str">
            <v>10</v>
          </cell>
          <cell r="E1378" t="str">
            <v>LIMA</v>
          </cell>
          <cell r="F1378" t="str">
            <v>HUAURA</v>
          </cell>
          <cell r="G1378" t="str">
            <v>SANTA MARIA</v>
          </cell>
          <cell r="H1378" t="str">
            <v>011297</v>
          </cell>
          <cell r="I1378" t="str">
            <v>2</v>
          </cell>
        </row>
        <row r="1379">
          <cell r="A1379" t="str">
            <v>LIMAHUAURASAYAN</v>
          </cell>
          <cell r="B1379" t="str">
            <v>15</v>
          </cell>
          <cell r="C1379" t="str">
            <v>08</v>
          </cell>
          <cell r="D1379" t="str">
            <v>11</v>
          </cell>
          <cell r="E1379" t="str">
            <v>LIMA</v>
          </cell>
          <cell r="F1379" t="str">
            <v>HUAURA</v>
          </cell>
          <cell r="G1379" t="str">
            <v>SAYAN</v>
          </cell>
          <cell r="H1379" t="str">
            <v>011303</v>
          </cell>
          <cell r="I1379" t="str">
            <v>2</v>
          </cell>
        </row>
        <row r="1380">
          <cell r="A1380" t="str">
            <v>LIMAHUAURAVEGUETA</v>
          </cell>
          <cell r="B1380" t="str">
            <v>15</v>
          </cell>
          <cell r="C1380" t="str">
            <v>08</v>
          </cell>
          <cell r="D1380" t="str">
            <v>12</v>
          </cell>
          <cell r="E1380" t="str">
            <v>LIMA</v>
          </cell>
          <cell r="F1380" t="str">
            <v>HUAURA</v>
          </cell>
          <cell r="G1380" t="str">
            <v>VEGUETA</v>
          </cell>
          <cell r="H1380" t="str">
            <v>011298</v>
          </cell>
          <cell r="I1380" t="str">
            <v>2</v>
          </cell>
        </row>
        <row r="1381">
          <cell r="A1381" t="str">
            <v>LIMAOYONOYON</v>
          </cell>
          <cell r="B1381" t="str">
            <v>15</v>
          </cell>
          <cell r="C1381" t="str">
            <v>09</v>
          </cell>
          <cell r="D1381" t="str">
            <v>01</v>
          </cell>
          <cell r="E1381" t="str">
            <v>LIMA</v>
          </cell>
          <cell r="F1381" t="str">
            <v>OYON</v>
          </cell>
          <cell r="G1381" t="str">
            <v>OYON</v>
          </cell>
          <cell r="H1381" t="str">
            <v>011333</v>
          </cell>
          <cell r="I1381" t="str">
            <v>1</v>
          </cell>
        </row>
        <row r="1382">
          <cell r="A1382" t="str">
            <v>LIMAOYONANDAJES</v>
          </cell>
          <cell r="B1382" t="str">
            <v>15</v>
          </cell>
          <cell r="C1382" t="str">
            <v>09</v>
          </cell>
          <cell r="D1382" t="str">
            <v>02</v>
          </cell>
          <cell r="E1382" t="str">
            <v>LIMA</v>
          </cell>
          <cell r="F1382" t="str">
            <v>OYON</v>
          </cell>
          <cell r="G1382" t="str">
            <v>ANDAJES</v>
          </cell>
          <cell r="H1382" t="str">
            <v>012567</v>
          </cell>
          <cell r="I1382" t="str">
            <v>2</v>
          </cell>
        </row>
        <row r="1383">
          <cell r="A1383" t="str">
            <v>LIMAOYONCAUJUL</v>
          </cell>
          <cell r="B1383" t="str">
            <v>15</v>
          </cell>
          <cell r="C1383" t="str">
            <v>09</v>
          </cell>
          <cell r="D1383" t="str">
            <v>03</v>
          </cell>
          <cell r="E1383" t="str">
            <v>LIMA</v>
          </cell>
          <cell r="F1383" t="str">
            <v>OYON</v>
          </cell>
          <cell r="G1383" t="str">
            <v>CAUJUL</v>
          </cell>
          <cell r="H1383" t="str">
            <v>011335</v>
          </cell>
          <cell r="I1383" t="str">
            <v>2</v>
          </cell>
        </row>
        <row r="1384">
          <cell r="A1384" t="str">
            <v>LIMAOYONCOCHAMARCA</v>
          </cell>
          <cell r="B1384" t="str">
            <v>15</v>
          </cell>
          <cell r="C1384" t="str">
            <v>09</v>
          </cell>
          <cell r="D1384" t="str">
            <v>04</v>
          </cell>
          <cell r="E1384" t="str">
            <v>LIMA</v>
          </cell>
          <cell r="F1384" t="str">
            <v>OYON</v>
          </cell>
          <cell r="G1384" t="str">
            <v>COCHAMARCA</v>
          </cell>
          <cell r="H1384" t="str">
            <v>011336</v>
          </cell>
          <cell r="I1384" t="str">
            <v>2</v>
          </cell>
        </row>
        <row r="1385">
          <cell r="A1385" t="str">
            <v>LIMAOYONNAVAN</v>
          </cell>
          <cell r="B1385" t="str">
            <v>15</v>
          </cell>
          <cell r="C1385" t="str">
            <v>09</v>
          </cell>
          <cell r="D1385" t="str">
            <v>05</v>
          </cell>
          <cell r="E1385" t="str">
            <v>LIMA</v>
          </cell>
          <cell r="F1385" t="str">
            <v>OYON</v>
          </cell>
          <cell r="G1385" t="str">
            <v>NAVAN</v>
          </cell>
          <cell r="H1385" t="str">
            <v>011337</v>
          </cell>
          <cell r="I1385" t="str">
            <v>2</v>
          </cell>
        </row>
        <row r="1386">
          <cell r="A1386" t="str">
            <v>LIMAOYONPACHANGARA</v>
          </cell>
          <cell r="B1386" t="str">
            <v>15</v>
          </cell>
          <cell r="C1386" t="str">
            <v>09</v>
          </cell>
          <cell r="D1386" t="str">
            <v>06</v>
          </cell>
          <cell r="E1386" t="str">
            <v>LIMA</v>
          </cell>
          <cell r="F1386" t="str">
            <v>OYON</v>
          </cell>
          <cell r="G1386" t="str">
            <v>PACHANGARA</v>
          </cell>
          <cell r="H1386" t="str">
            <v>011338</v>
          </cell>
          <cell r="I1386" t="str">
            <v>2</v>
          </cell>
        </row>
        <row r="1387">
          <cell r="A1387" t="str">
            <v>LIMAYAUYOSYAUYOS</v>
          </cell>
          <cell r="B1387" t="str">
            <v>15</v>
          </cell>
          <cell r="C1387" t="str">
            <v>10</v>
          </cell>
          <cell r="D1387" t="str">
            <v>01</v>
          </cell>
          <cell r="E1387" t="str">
            <v>LIMA</v>
          </cell>
          <cell r="F1387" t="str">
            <v>YAUYOS</v>
          </cell>
          <cell r="G1387" t="str">
            <v>YAUYOS</v>
          </cell>
          <cell r="H1387" t="str">
            <v>011387</v>
          </cell>
          <cell r="I1387" t="str">
            <v>1</v>
          </cell>
        </row>
        <row r="1388">
          <cell r="A1388" t="str">
            <v>LIMAYAUYOSALIS</v>
          </cell>
          <cell r="B1388" t="str">
            <v>15</v>
          </cell>
          <cell r="C1388" t="str">
            <v>10</v>
          </cell>
          <cell r="D1388" t="str">
            <v>02</v>
          </cell>
          <cell r="E1388" t="str">
            <v>LIMA</v>
          </cell>
          <cell r="F1388" t="str">
            <v>YAUYOS</v>
          </cell>
          <cell r="G1388" t="str">
            <v>ALIS</v>
          </cell>
          <cell r="H1388" t="str">
            <v>012355</v>
          </cell>
          <cell r="I1388" t="str">
            <v>2</v>
          </cell>
        </row>
        <row r="1389">
          <cell r="A1389" t="str">
            <v>LIMAYAUYOSAYAUCA</v>
          </cell>
          <cell r="B1389" t="str">
            <v>15</v>
          </cell>
          <cell r="C1389" t="str">
            <v>10</v>
          </cell>
          <cell r="D1389" t="str">
            <v>03</v>
          </cell>
          <cell r="E1389" t="str">
            <v>LIMA</v>
          </cell>
          <cell r="F1389" t="str">
            <v>YAUYOS</v>
          </cell>
          <cell r="G1389" t="str">
            <v>AYAUCA</v>
          </cell>
          <cell r="H1389" t="str">
            <v>011389</v>
          </cell>
          <cell r="I1389" t="str">
            <v>2</v>
          </cell>
        </row>
        <row r="1390">
          <cell r="A1390" t="str">
            <v>LIMAYAUYOSAYAVIRI</v>
          </cell>
          <cell r="B1390" t="str">
            <v>15</v>
          </cell>
          <cell r="C1390" t="str">
            <v>10</v>
          </cell>
          <cell r="D1390" t="str">
            <v>04</v>
          </cell>
          <cell r="E1390" t="str">
            <v>LIMA</v>
          </cell>
          <cell r="F1390" t="str">
            <v>YAUYOS</v>
          </cell>
          <cell r="G1390" t="str">
            <v>AYAVIRI</v>
          </cell>
          <cell r="H1390" t="str">
            <v>011410</v>
          </cell>
          <cell r="I1390" t="str">
            <v>2</v>
          </cell>
        </row>
        <row r="1391">
          <cell r="A1391" t="str">
            <v>LIMAYAUYOSAZANGARO</v>
          </cell>
          <cell r="B1391" t="str">
            <v>15</v>
          </cell>
          <cell r="C1391" t="str">
            <v>10</v>
          </cell>
          <cell r="D1391" t="str">
            <v>05</v>
          </cell>
          <cell r="E1391" t="str">
            <v>LIMA</v>
          </cell>
          <cell r="F1391" t="str">
            <v>YAUYOS</v>
          </cell>
          <cell r="G1391" t="str">
            <v>AZANGARO</v>
          </cell>
          <cell r="H1391" t="str">
            <v>012350</v>
          </cell>
          <cell r="I1391" t="str">
            <v>2</v>
          </cell>
        </row>
        <row r="1392">
          <cell r="A1392" t="str">
            <v>LIMAYAUYOSCACRA</v>
          </cell>
          <cell r="B1392" t="str">
            <v>15</v>
          </cell>
          <cell r="C1392" t="str">
            <v>10</v>
          </cell>
          <cell r="D1392" t="str">
            <v>06</v>
          </cell>
          <cell r="E1392" t="str">
            <v>LIMA</v>
          </cell>
          <cell r="F1392" t="str">
            <v>YAUYOS</v>
          </cell>
          <cell r="G1392" t="str">
            <v>CACRA</v>
          </cell>
          <cell r="H1392" t="str">
            <v>011401</v>
          </cell>
          <cell r="I1392" t="str">
            <v>2</v>
          </cell>
        </row>
        <row r="1393">
          <cell r="A1393" t="str">
            <v>LIMAYAUYOSCARANIA</v>
          </cell>
          <cell r="B1393" t="str">
            <v>15</v>
          </cell>
          <cell r="C1393" t="str">
            <v>10</v>
          </cell>
          <cell r="D1393" t="str">
            <v>07</v>
          </cell>
          <cell r="E1393" t="str">
            <v>LIMA</v>
          </cell>
          <cell r="F1393" t="str">
            <v>YAUYOS</v>
          </cell>
          <cell r="G1393" t="str">
            <v>CARANIA</v>
          </cell>
          <cell r="H1393" t="str">
            <v>011390</v>
          </cell>
          <cell r="I1393" t="str">
            <v>2</v>
          </cell>
        </row>
        <row r="1394">
          <cell r="A1394" t="str">
            <v>LIMAYAUYOSCATAHUASI</v>
          </cell>
          <cell r="B1394" t="str">
            <v>15</v>
          </cell>
          <cell r="C1394" t="str">
            <v>10</v>
          </cell>
          <cell r="D1394" t="str">
            <v>08</v>
          </cell>
          <cell r="E1394" t="str">
            <v>LIMA</v>
          </cell>
          <cell r="F1394" t="str">
            <v>YAUYOS</v>
          </cell>
          <cell r="G1394" t="str">
            <v>CATAHUASI</v>
          </cell>
          <cell r="H1394" t="str">
            <v>011402</v>
          </cell>
          <cell r="I1394" t="str">
            <v>2</v>
          </cell>
        </row>
        <row r="1395">
          <cell r="A1395" t="str">
            <v>LIMAYAUYOSCHOCOS</v>
          </cell>
          <cell r="B1395" t="str">
            <v>15</v>
          </cell>
          <cell r="C1395" t="str">
            <v>10</v>
          </cell>
          <cell r="D1395" t="str">
            <v>09</v>
          </cell>
          <cell r="E1395" t="str">
            <v>LIMA</v>
          </cell>
          <cell r="F1395" t="str">
            <v>YAUYOS</v>
          </cell>
          <cell r="G1395" t="str">
            <v>CHOCOS</v>
          </cell>
          <cell r="H1395" t="str">
            <v>011403</v>
          </cell>
          <cell r="I1395" t="str">
            <v>2</v>
          </cell>
        </row>
        <row r="1396">
          <cell r="A1396" t="str">
            <v>LIMAYAUYOSCOCHAS</v>
          </cell>
          <cell r="B1396" t="str">
            <v>15</v>
          </cell>
          <cell r="C1396" t="str">
            <v>10</v>
          </cell>
          <cell r="D1396" t="str">
            <v>10</v>
          </cell>
          <cell r="E1396" t="str">
            <v>LIMA</v>
          </cell>
          <cell r="F1396" t="str">
            <v>YAUYOS</v>
          </cell>
          <cell r="G1396" t="str">
            <v>COCHAS</v>
          </cell>
          <cell r="H1396" t="str">
            <v>011411</v>
          </cell>
          <cell r="I1396" t="str">
            <v>2</v>
          </cell>
        </row>
        <row r="1397">
          <cell r="A1397" t="str">
            <v>LIMAYAUYOSCOLONIA</v>
          </cell>
          <cell r="B1397" t="str">
            <v>15</v>
          </cell>
          <cell r="C1397" t="str">
            <v>10</v>
          </cell>
          <cell r="D1397" t="str">
            <v>11</v>
          </cell>
          <cell r="E1397" t="str">
            <v>LIMA</v>
          </cell>
          <cell r="F1397" t="str">
            <v>YAUYOS</v>
          </cell>
          <cell r="G1397" t="str">
            <v>COLONIA</v>
          </cell>
          <cell r="H1397" t="str">
            <v>011391</v>
          </cell>
          <cell r="I1397" t="str">
            <v>2</v>
          </cell>
        </row>
        <row r="1398">
          <cell r="A1398" t="str">
            <v>LIMAYAUYOSHONGOS</v>
          </cell>
          <cell r="B1398" t="str">
            <v>15</v>
          </cell>
          <cell r="C1398" t="str">
            <v>10</v>
          </cell>
          <cell r="D1398" t="str">
            <v>12</v>
          </cell>
          <cell r="E1398" t="str">
            <v>LIMA</v>
          </cell>
          <cell r="F1398" t="str">
            <v>YAUYOS</v>
          </cell>
          <cell r="G1398" t="str">
            <v>HONGOS</v>
          </cell>
          <cell r="H1398" t="str">
            <v>011404</v>
          </cell>
          <cell r="I1398" t="str">
            <v>2</v>
          </cell>
        </row>
        <row r="1399">
          <cell r="A1399" t="str">
            <v>LIMAYAUYOSHUAMPARA</v>
          </cell>
          <cell r="B1399" t="str">
            <v>15</v>
          </cell>
          <cell r="C1399" t="str">
            <v>10</v>
          </cell>
          <cell r="D1399" t="str">
            <v>13</v>
          </cell>
          <cell r="E1399" t="str">
            <v>LIMA</v>
          </cell>
          <cell r="F1399" t="str">
            <v>YAUYOS</v>
          </cell>
          <cell r="G1399" t="str">
            <v>HUAMPARA</v>
          </cell>
          <cell r="H1399" t="str">
            <v>011412</v>
          </cell>
          <cell r="I1399" t="str">
            <v>2</v>
          </cell>
        </row>
        <row r="1400">
          <cell r="A1400" t="str">
            <v>LIMAYAUYOSHUANCAYA</v>
          </cell>
          <cell r="B1400" t="str">
            <v>15</v>
          </cell>
          <cell r="C1400" t="str">
            <v>10</v>
          </cell>
          <cell r="D1400" t="str">
            <v>14</v>
          </cell>
          <cell r="E1400" t="str">
            <v>LIMA</v>
          </cell>
          <cell r="F1400" t="str">
            <v>YAUYOS</v>
          </cell>
          <cell r="G1400" t="str">
            <v>HUANCAYA</v>
          </cell>
          <cell r="H1400" t="str">
            <v>011392</v>
          </cell>
          <cell r="I1400" t="str">
            <v>2</v>
          </cell>
        </row>
        <row r="1401">
          <cell r="A1401" t="str">
            <v>LIMAYAUYOSHUANGASCAR</v>
          </cell>
          <cell r="B1401" t="str">
            <v>15</v>
          </cell>
          <cell r="C1401" t="str">
            <v>10</v>
          </cell>
          <cell r="D1401" t="str">
            <v>15</v>
          </cell>
          <cell r="E1401" t="str">
            <v>LIMA</v>
          </cell>
          <cell r="F1401" t="str">
            <v>YAUYOS</v>
          </cell>
          <cell r="G1401" t="str">
            <v>HUANGASCAR</v>
          </cell>
          <cell r="H1401" t="str">
            <v>011405</v>
          </cell>
          <cell r="I1401" t="str">
            <v>2</v>
          </cell>
        </row>
        <row r="1402">
          <cell r="A1402" t="str">
            <v>LIMAYAUYOSHUANTAN</v>
          </cell>
          <cell r="B1402" t="str">
            <v>15</v>
          </cell>
          <cell r="C1402" t="str">
            <v>10</v>
          </cell>
          <cell r="D1402" t="str">
            <v>16</v>
          </cell>
          <cell r="E1402" t="str">
            <v>LIMA</v>
          </cell>
          <cell r="F1402" t="str">
            <v>YAUYOS</v>
          </cell>
          <cell r="G1402" t="str">
            <v>HUANTAN</v>
          </cell>
          <cell r="H1402" t="str">
            <v>011393</v>
          </cell>
          <cell r="I1402" t="str">
            <v>2</v>
          </cell>
        </row>
        <row r="1403">
          <cell r="A1403" t="str">
            <v>LIMAYAUYOSHUAÑEC</v>
          </cell>
          <cell r="B1403" t="str">
            <v>15</v>
          </cell>
          <cell r="C1403" t="str">
            <v>10</v>
          </cell>
          <cell r="D1403" t="str">
            <v>17</v>
          </cell>
          <cell r="E1403" t="str">
            <v>LIMA</v>
          </cell>
          <cell r="F1403" t="str">
            <v>YAUYOS</v>
          </cell>
          <cell r="G1403" t="str">
            <v>HUAÑEC</v>
          </cell>
          <cell r="H1403" t="str">
            <v>011413</v>
          </cell>
          <cell r="I1403" t="str">
            <v>2</v>
          </cell>
        </row>
        <row r="1404">
          <cell r="A1404" t="str">
            <v>LIMAYAUYOSLARAOS</v>
          </cell>
          <cell r="B1404" t="str">
            <v>15</v>
          </cell>
          <cell r="C1404" t="str">
            <v>10</v>
          </cell>
          <cell r="D1404" t="str">
            <v>18</v>
          </cell>
          <cell r="E1404" t="str">
            <v>LIMA</v>
          </cell>
          <cell r="F1404" t="str">
            <v>YAUYOS</v>
          </cell>
          <cell r="G1404" t="str">
            <v>LARAOS</v>
          </cell>
          <cell r="H1404" t="str">
            <v>012353</v>
          </cell>
          <cell r="I1404" t="str">
            <v>2</v>
          </cell>
        </row>
        <row r="1405">
          <cell r="A1405" t="str">
            <v>LIMAYAUYOSLINCHA</v>
          </cell>
          <cell r="B1405" t="str">
            <v>15</v>
          </cell>
          <cell r="C1405" t="str">
            <v>10</v>
          </cell>
          <cell r="D1405" t="str">
            <v>19</v>
          </cell>
          <cell r="E1405" t="str">
            <v>LIMA</v>
          </cell>
          <cell r="F1405" t="str">
            <v>YAUYOS</v>
          </cell>
          <cell r="G1405" t="str">
            <v>LINCHA</v>
          </cell>
          <cell r="H1405" t="str">
            <v>012362</v>
          </cell>
          <cell r="I1405" t="str">
            <v>2</v>
          </cell>
        </row>
        <row r="1406">
          <cell r="A1406" t="str">
            <v>LIMAYAUYOSMADEAN</v>
          </cell>
          <cell r="B1406" t="str">
            <v>15</v>
          </cell>
          <cell r="C1406" t="str">
            <v>10</v>
          </cell>
          <cell r="D1406" t="str">
            <v>20</v>
          </cell>
          <cell r="E1406" t="str">
            <v>LIMA</v>
          </cell>
          <cell r="F1406" t="str">
            <v>YAUYOS</v>
          </cell>
          <cell r="G1406" t="str">
            <v>MADEAN</v>
          </cell>
          <cell r="H1406" t="str">
            <v>011407</v>
          </cell>
          <cell r="I1406" t="str">
            <v>2</v>
          </cell>
        </row>
        <row r="1407">
          <cell r="A1407" t="str">
            <v>LIMAYAUYOSMIRAFLORES</v>
          </cell>
          <cell r="B1407" t="str">
            <v>15</v>
          </cell>
          <cell r="C1407" t="str">
            <v>10</v>
          </cell>
          <cell r="D1407" t="str">
            <v>21</v>
          </cell>
          <cell r="E1407" t="str">
            <v>LIMA</v>
          </cell>
          <cell r="F1407" t="str">
            <v>YAUYOS</v>
          </cell>
          <cell r="G1407" t="str">
            <v>MIRAFLORES</v>
          </cell>
          <cell r="H1407" t="str">
            <v>011395</v>
          </cell>
          <cell r="I1407" t="str">
            <v>2</v>
          </cell>
        </row>
        <row r="1408">
          <cell r="A1408" t="str">
            <v>LIMAYAUYOSOMAS</v>
          </cell>
          <cell r="B1408" t="str">
            <v>15</v>
          </cell>
          <cell r="C1408" t="str">
            <v>10</v>
          </cell>
          <cell r="D1408" t="str">
            <v>22</v>
          </cell>
          <cell r="E1408" t="str">
            <v>LIMA</v>
          </cell>
          <cell r="F1408" t="str">
            <v>YAUYOS</v>
          </cell>
          <cell r="G1408" t="str">
            <v>OMAS</v>
          </cell>
          <cell r="H1408" t="str">
            <v>013024</v>
          </cell>
          <cell r="I1408" t="str">
            <v>2</v>
          </cell>
        </row>
        <row r="1409">
          <cell r="A1409" t="str">
            <v>LIMAYAUYOSPUTINZA</v>
          </cell>
          <cell r="B1409" t="str">
            <v>15</v>
          </cell>
          <cell r="C1409" t="str">
            <v>10</v>
          </cell>
          <cell r="D1409" t="str">
            <v>23</v>
          </cell>
          <cell r="E1409" t="str">
            <v>LIMA</v>
          </cell>
          <cell r="F1409" t="str">
            <v>YAUYOS</v>
          </cell>
          <cell r="G1409" t="str">
            <v>PUTINZA</v>
          </cell>
          <cell r="H1409" t="str">
            <v>012354</v>
          </cell>
          <cell r="I1409" t="str">
            <v>2</v>
          </cell>
        </row>
        <row r="1410">
          <cell r="A1410" t="str">
            <v>LIMAYAUYOSQUINCHES</v>
          </cell>
          <cell r="B1410" t="str">
            <v>15</v>
          </cell>
          <cell r="C1410" t="str">
            <v>10</v>
          </cell>
          <cell r="D1410" t="str">
            <v>24</v>
          </cell>
          <cell r="E1410" t="str">
            <v>LIMA</v>
          </cell>
          <cell r="F1410" t="str">
            <v>YAUYOS</v>
          </cell>
          <cell r="G1410" t="str">
            <v>QUINCHES</v>
          </cell>
          <cell r="H1410" t="str">
            <v>011415</v>
          </cell>
          <cell r="I1410" t="str">
            <v>2</v>
          </cell>
        </row>
        <row r="1411">
          <cell r="A1411" t="str">
            <v>LIMAYAUYOSQUINOCAY</v>
          </cell>
          <cell r="B1411" t="str">
            <v>15</v>
          </cell>
          <cell r="C1411" t="str">
            <v>10</v>
          </cell>
          <cell r="D1411" t="str">
            <v>25</v>
          </cell>
          <cell r="E1411" t="str">
            <v>LIMA</v>
          </cell>
          <cell r="F1411" t="str">
            <v>YAUYOS</v>
          </cell>
          <cell r="G1411" t="str">
            <v>QUINOCAY</v>
          </cell>
          <cell r="H1411" t="str">
            <v>011416</v>
          </cell>
          <cell r="I1411" t="str">
            <v>2</v>
          </cell>
        </row>
        <row r="1412">
          <cell r="A1412" t="str">
            <v>LIMAYAUYOSSAN JOAQUIN</v>
          </cell>
          <cell r="B1412" t="str">
            <v>15</v>
          </cell>
          <cell r="C1412" t="str">
            <v>10</v>
          </cell>
          <cell r="D1412" t="str">
            <v>26</v>
          </cell>
          <cell r="E1412" t="str">
            <v>LIMA</v>
          </cell>
          <cell r="F1412" t="str">
            <v>YAUYOS</v>
          </cell>
          <cell r="G1412" t="str">
            <v>SAN JOAQUIN</v>
          </cell>
          <cell r="H1412" t="str">
            <v>011417</v>
          </cell>
          <cell r="I1412" t="str">
            <v>2</v>
          </cell>
        </row>
        <row r="1413">
          <cell r="A1413" t="str">
            <v>LIMAYAUYOSSAN PEDRO DE PILAS</v>
          </cell>
          <cell r="B1413" t="str">
            <v>15</v>
          </cell>
          <cell r="C1413" t="str">
            <v>10</v>
          </cell>
          <cell r="D1413" t="str">
            <v>27</v>
          </cell>
          <cell r="E1413" t="str">
            <v>LIMA</v>
          </cell>
          <cell r="F1413" t="str">
            <v>YAUYOS</v>
          </cell>
          <cell r="G1413" t="str">
            <v>SAN PEDRO DE PILAS</v>
          </cell>
          <cell r="H1413" t="str">
            <v>011418</v>
          </cell>
          <cell r="I1413" t="str">
            <v>2</v>
          </cell>
        </row>
        <row r="1414">
          <cell r="A1414" t="str">
            <v>LIMAYAUYOSTANTA</v>
          </cell>
          <cell r="B1414" t="str">
            <v>15</v>
          </cell>
          <cell r="C1414" t="str">
            <v>10</v>
          </cell>
          <cell r="D1414" t="str">
            <v>28</v>
          </cell>
          <cell r="E1414" t="str">
            <v>LIMA</v>
          </cell>
          <cell r="F1414" t="str">
            <v>YAUYOS</v>
          </cell>
          <cell r="G1414" t="str">
            <v>TANTA</v>
          </cell>
          <cell r="H1414" t="str">
            <v>011397</v>
          </cell>
          <cell r="I1414" t="str">
            <v>2</v>
          </cell>
        </row>
        <row r="1415">
          <cell r="A1415" t="str">
            <v>LIMAYAUYOSTAURIPAMPA</v>
          </cell>
          <cell r="B1415" t="str">
            <v>15</v>
          </cell>
          <cell r="C1415" t="str">
            <v>10</v>
          </cell>
          <cell r="D1415" t="str">
            <v>29</v>
          </cell>
          <cell r="E1415" t="str">
            <v>LIMA</v>
          </cell>
          <cell r="F1415" t="str">
            <v>YAUYOS</v>
          </cell>
          <cell r="G1415" t="str">
            <v>TAURIPAMPA</v>
          </cell>
          <cell r="H1415" t="str">
            <v>011419</v>
          </cell>
          <cell r="I1415" t="str">
            <v>2</v>
          </cell>
        </row>
        <row r="1416">
          <cell r="A1416" t="str">
            <v>LIMAYAUYOSTOMAS</v>
          </cell>
          <cell r="B1416" t="str">
            <v>15</v>
          </cell>
          <cell r="C1416" t="str">
            <v>10</v>
          </cell>
          <cell r="D1416" t="str">
            <v>30</v>
          </cell>
          <cell r="E1416" t="str">
            <v>LIMA</v>
          </cell>
          <cell r="F1416" t="str">
            <v>YAUYOS</v>
          </cell>
          <cell r="G1416" t="str">
            <v>TOMAS</v>
          </cell>
          <cell r="H1416" t="str">
            <v>013025</v>
          </cell>
          <cell r="I1416" t="str">
            <v>2</v>
          </cell>
        </row>
        <row r="1417">
          <cell r="A1417" t="str">
            <v>LIMAYAUYOSTUPE</v>
          </cell>
          <cell r="B1417" t="str">
            <v>15</v>
          </cell>
          <cell r="C1417" t="str">
            <v>10</v>
          </cell>
          <cell r="D1417" t="str">
            <v>31</v>
          </cell>
          <cell r="E1417" t="str">
            <v>LIMA</v>
          </cell>
          <cell r="F1417" t="str">
            <v>YAUYOS</v>
          </cell>
          <cell r="G1417" t="str">
            <v>TUPE</v>
          </cell>
          <cell r="H1417" t="str">
            <v>011408</v>
          </cell>
          <cell r="I1417" t="str">
            <v>2</v>
          </cell>
        </row>
        <row r="1418">
          <cell r="A1418" t="str">
            <v>LIMAYAUYOSVIÑAC</v>
          </cell>
          <cell r="B1418" t="str">
            <v>15</v>
          </cell>
          <cell r="C1418" t="str">
            <v>10</v>
          </cell>
          <cell r="D1418" t="str">
            <v>32</v>
          </cell>
          <cell r="E1418" t="str">
            <v>LIMA</v>
          </cell>
          <cell r="F1418" t="str">
            <v>YAUYOS</v>
          </cell>
          <cell r="G1418" t="str">
            <v>VIÑAC</v>
          </cell>
          <cell r="H1418" t="str">
            <v>011409</v>
          </cell>
          <cell r="I1418" t="str">
            <v>2</v>
          </cell>
        </row>
        <row r="1419">
          <cell r="A1419" t="str">
            <v>LIMAYAUYOSVITIS</v>
          </cell>
          <cell r="B1419" t="str">
            <v>15</v>
          </cell>
          <cell r="C1419" t="str">
            <v>10</v>
          </cell>
          <cell r="D1419" t="str">
            <v>33</v>
          </cell>
          <cell r="E1419" t="str">
            <v>LIMA</v>
          </cell>
          <cell r="F1419" t="str">
            <v>YAUYOS</v>
          </cell>
          <cell r="G1419" t="str">
            <v>VITIS</v>
          </cell>
          <cell r="H1419" t="str">
            <v>010986</v>
          </cell>
          <cell r="I1419" t="str">
            <v>2</v>
          </cell>
        </row>
        <row r="1420">
          <cell r="A1420" t="str">
            <v>LORETOMAYNASIQUITOS</v>
          </cell>
          <cell r="B1420" t="str">
            <v>16</v>
          </cell>
          <cell r="C1420" t="str">
            <v>01</v>
          </cell>
          <cell r="D1420" t="str">
            <v>01</v>
          </cell>
          <cell r="E1420" t="str">
            <v>LORETO</v>
          </cell>
          <cell r="F1420" t="str">
            <v>MAYNAS</v>
          </cell>
          <cell r="G1420" t="str">
            <v>IQUITOS</v>
          </cell>
          <cell r="H1420" t="str">
            <v>012723</v>
          </cell>
          <cell r="I1420" t="str">
            <v>1</v>
          </cell>
        </row>
        <row r="1421">
          <cell r="A1421" t="str">
            <v>LORETOMAYNASALTO NANAY</v>
          </cell>
          <cell r="B1421" t="str">
            <v>16</v>
          </cell>
          <cell r="C1421" t="str">
            <v>01</v>
          </cell>
          <cell r="D1421" t="str">
            <v>02</v>
          </cell>
          <cell r="E1421" t="str">
            <v>LORETO</v>
          </cell>
          <cell r="F1421" t="str">
            <v>MAYNAS</v>
          </cell>
          <cell r="G1421" t="str">
            <v>ALTO NANAY</v>
          </cell>
          <cell r="H1421" t="str">
            <v>011425</v>
          </cell>
          <cell r="I1421" t="str">
            <v>2</v>
          </cell>
        </row>
        <row r="1422">
          <cell r="A1422" t="str">
            <v>LORETOMAYNASFERNANDO LORES</v>
          </cell>
          <cell r="B1422" t="str">
            <v>16</v>
          </cell>
          <cell r="C1422" t="str">
            <v>01</v>
          </cell>
          <cell r="D1422" t="str">
            <v>03</v>
          </cell>
          <cell r="E1422" t="str">
            <v>LORETO</v>
          </cell>
          <cell r="F1422" t="str">
            <v>MAYNAS</v>
          </cell>
          <cell r="G1422" t="str">
            <v>FERNANDO LORES</v>
          </cell>
          <cell r="H1422" t="str">
            <v>012208</v>
          </cell>
          <cell r="I1422" t="str">
            <v>2</v>
          </cell>
        </row>
        <row r="1423">
          <cell r="A1423" t="str">
            <v>LORETOMAYNASINDIANA</v>
          </cell>
          <cell r="B1423" t="str">
            <v>16</v>
          </cell>
          <cell r="C1423" t="str">
            <v>01</v>
          </cell>
          <cell r="D1423" t="str">
            <v>04</v>
          </cell>
          <cell r="E1423" t="str">
            <v>LORETO</v>
          </cell>
          <cell r="F1423" t="str">
            <v>MAYNAS</v>
          </cell>
          <cell r="G1423" t="str">
            <v>INDIANA</v>
          </cell>
          <cell r="H1423" t="str">
            <v>011427</v>
          </cell>
          <cell r="I1423" t="str">
            <v>2</v>
          </cell>
        </row>
        <row r="1424">
          <cell r="A1424" t="str">
            <v>LORETOMAYNASLAS AMAZONAS</v>
          </cell>
          <cell r="B1424" t="str">
            <v>16</v>
          </cell>
          <cell r="C1424" t="str">
            <v>01</v>
          </cell>
          <cell r="D1424" t="str">
            <v>05</v>
          </cell>
          <cell r="E1424" t="str">
            <v>LORETO</v>
          </cell>
          <cell r="F1424" t="str">
            <v>MAYNAS</v>
          </cell>
          <cell r="G1424" t="str">
            <v>LAS AMAZONAS</v>
          </cell>
          <cell r="H1424" t="str">
            <v>011428</v>
          </cell>
          <cell r="I1424" t="str">
            <v>2</v>
          </cell>
        </row>
        <row r="1425">
          <cell r="A1425" t="str">
            <v>LORETOMAYNASMAZAN</v>
          </cell>
          <cell r="B1425" t="str">
            <v>16</v>
          </cell>
          <cell r="C1425" t="str">
            <v>01</v>
          </cell>
          <cell r="D1425" t="str">
            <v>06</v>
          </cell>
          <cell r="E1425" t="str">
            <v>LORETO</v>
          </cell>
          <cell r="F1425" t="str">
            <v>MAYNAS</v>
          </cell>
          <cell r="G1425" t="str">
            <v>MAZAN</v>
          </cell>
          <cell r="H1425" t="str">
            <v>011429</v>
          </cell>
          <cell r="I1425" t="str">
            <v>2</v>
          </cell>
        </row>
        <row r="1426">
          <cell r="A1426" t="str">
            <v>LORETOMAYNASNAPO</v>
          </cell>
          <cell r="B1426" t="str">
            <v>16</v>
          </cell>
          <cell r="C1426" t="str">
            <v>01</v>
          </cell>
          <cell r="D1426" t="str">
            <v>07</v>
          </cell>
          <cell r="E1426" t="str">
            <v>LORETO</v>
          </cell>
          <cell r="F1426" t="str">
            <v>MAYNAS</v>
          </cell>
          <cell r="G1426" t="str">
            <v>NAPO</v>
          </cell>
          <cell r="H1426" t="str">
            <v>011430</v>
          </cell>
          <cell r="I1426" t="str">
            <v>2</v>
          </cell>
        </row>
        <row r="1427">
          <cell r="A1427" t="str">
            <v>LORETOMAYNASPUNCHANA</v>
          </cell>
          <cell r="B1427" t="str">
            <v>16</v>
          </cell>
          <cell r="C1427" t="str">
            <v>01</v>
          </cell>
          <cell r="D1427" t="str">
            <v>08</v>
          </cell>
          <cell r="E1427" t="str">
            <v>LORETO</v>
          </cell>
          <cell r="F1427" t="str">
            <v>MAYNAS</v>
          </cell>
          <cell r="G1427" t="str">
            <v>PUNCHANA</v>
          </cell>
          <cell r="H1427" t="str">
            <v>011421</v>
          </cell>
          <cell r="I1427" t="str">
            <v>2</v>
          </cell>
        </row>
        <row r="1428">
          <cell r="A1428" t="str">
            <v>LORETOMAYNASPUTUMAYO</v>
          </cell>
          <cell r="B1428" t="str">
            <v>16</v>
          </cell>
          <cell r="C1428" t="str">
            <v>01</v>
          </cell>
          <cell r="D1428" t="str">
            <v>09</v>
          </cell>
          <cell r="E1428" t="str">
            <v>LORETO</v>
          </cell>
          <cell r="F1428" t="str">
            <v>MAYNAS</v>
          </cell>
          <cell r="G1428" t="str">
            <v>PUTUMAYO</v>
          </cell>
          <cell r="H1428" t="str">
            <v>011431</v>
          </cell>
          <cell r="I1428" t="str">
            <v>2</v>
          </cell>
        </row>
        <row r="1429">
          <cell r="A1429" t="str">
            <v>LORETOMAYNASTORRES CAUSANA</v>
          </cell>
          <cell r="B1429" t="str">
            <v>16</v>
          </cell>
          <cell r="C1429" t="str">
            <v>01</v>
          </cell>
          <cell r="D1429" t="str">
            <v>10</v>
          </cell>
          <cell r="E1429" t="str">
            <v>LORETO</v>
          </cell>
          <cell r="F1429" t="str">
            <v>MAYNAS</v>
          </cell>
          <cell r="G1429" t="str">
            <v>TORRES CAUSANA</v>
          </cell>
          <cell r="H1429" t="str">
            <v>011432</v>
          </cell>
          <cell r="I1429" t="str">
            <v>2</v>
          </cell>
        </row>
        <row r="1430">
          <cell r="A1430" t="str">
            <v>LORETOMAYNASBELEN</v>
          </cell>
          <cell r="B1430" t="str">
            <v>16</v>
          </cell>
          <cell r="C1430" t="str">
            <v>01</v>
          </cell>
          <cell r="D1430" t="str">
            <v>12</v>
          </cell>
          <cell r="E1430" t="str">
            <v>LORETO</v>
          </cell>
          <cell r="F1430" t="str">
            <v>MAYNAS</v>
          </cell>
          <cell r="G1430" t="str">
            <v>BELEN</v>
          </cell>
          <cell r="H1430" t="str">
            <v>011422</v>
          </cell>
          <cell r="I1430" t="str">
            <v>2</v>
          </cell>
        </row>
        <row r="1431">
          <cell r="A1431" t="str">
            <v>LORETOMAYNASSAN JUAN BAUTISTA</v>
          </cell>
          <cell r="B1431" t="str">
            <v>16</v>
          </cell>
          <cell r="C1431" t="str">
            <v>01</v>
          </cell>
          <cell r="D1431" t="str">
            <v>13</v>
          </cell>
          <cell r="E1431" t="str">
            <v>LORETO</v>
          </cell>
          <cell r="F1431" t="str">
            <v>MAYNAS</v>
          </cell>
          <cell r="G1431" t="str">
            <v>SAN JUAN BAUTISTA</v>
          </cell>
          <cell r="H1431" t="str">
            <v>012210</v>
          </cell>
          <cell r="I1431" t="str">
            <v>2</v>
          </cell>
        </row>
        <row r="1432">
          <cell r="A1432" t="str">
            <v>LORETOMAYNASTENIENTE MANUEL CLAVERO</v>
          </cell>
          <cell r="B1432" t="str">
            <v>16</v>
          </cell>
          <cell r="C1432" t="str">
            <v>01</v>
          </cell>
          <cell r="D1432" t="str">
            <v>14</v>
          </cell>
          <cell r="E1432" t="str">
            <v>LORETO</v>
          </cell>
          <cell r="F1432" t="str">
            <v>MAYNAS</v>
          </cell>
          <cell r="G1432" t="str">
            <v>TENIENTE MANUEL CLAVERO</v>
          </cell>
          <cell r="H1432" t="str">
            <v>011433</v>
          </cell>
          <cell r="I1432" t="str">
            <v>2</v>
          </cell>
        </row>
        <row r="1433">
          <cell r="A1433" t="str">
            <v>LORETOALTO AMAZONASYURIMAGUAS</v>
          </cell>
          <cell r="B1433" t="str">
            <v>16</v>
          </cell>
          <cell r="C1433" t="str">
            <v>02</v>
          </cell>
          <cell r="D1433" t="str">
            <v>01</v>
          </cell>
          <cell r="E1433" t="str">
            <v>LORETO</v>
          </cell>
          <cell r="F1433" t="str">
            <v>ALTO AMAZONAS</v>
          </cell>
          <cell r="G1433" t="str">
            <v>YURIMAGUAS</v>
          </cell>
          <cell r="H1433" t="str">
            <v>011459</v>
          </cell>
          <cell r="I1433" t="str">
            <v>1</v>
          </cell>
        </row>
        <row r="1434">
          <cell r="A1434" t="str">
            <v>LORETOALTO AMAZONASBALSAPUERTO</v>
          </cell>
          <cell r="B1434" t="str">
            <v>16</v>
          </cell>
          <cell r="C1434" t="str">
            <v>02</v>
          </cell>
          <cell r="D1434" t="str">
            <v>02</v>
          </cell>
          <cell r="E1434" t="str">
            <v>LORETO</v>
          </cell>
          <cell r="F1434" t="str">
            <v>ALTO AMAZONAS</v>
          </cell>
          <cell r="G1434" t="str">
            <v>BALSAPUERTO</v>
          </cell>
          <cell r="H1434" t="str">
            <v>011460</v>
          </cell>
          <cell r="I1434" t="str">
            <v>2</v>
          </cell>
        </row>
        <row r="1435">
          <cell r="A1435" t="str">
            <v>LORETOALTO AMAZONASJEBEROS</v>
          </cell>
          <cell r="B1435" t="str">
            <v>16</v>
          </cell>
          <cell r="C1435" t="str">
            <v>02</v>
          </cell>
          <cell r="D1435" t="str">
            <v>05</v>
          </cell>
          <cell r="E1435" t="str">
            <v>LORETO</v>
          </cell>
          <cell r="F1435" t="str">
            <v>ALTO AMAZONAS</v>
          </cell>
          <cell r="G1435" t="str">
            <v>JEBEROS</v>
          </cell>
          <cell r="H1435" t="str">
            <v>011461</v>
          </cell>
          <cell r="I1435" t="str">
            <v>2</v>
          </cell>
        </row>
        <row r="1436">
          <cell r="A1436" t="str">
            <v>LORETOALTO AMAZONASLAGUNAS</v>
          </cell>
          <cell r="B1436" t="str">
            <v>16</v>
          </cell>
          <cell r="C1436" t="str">
            <v>02</v>
          </cell>
          <cell r="D1436" t="str">
            <v>06</v>
          </cell>
          <cell r="E1436" t="str">
            <v>LORETO</v>
          </cell>
          <cell r="F1436" t="str">
            <v>ALTO AMAZONAS</v>
          </cell>
          <cell r="G1436" t="str">
            <v>LAGUNAS</v>
          </cell>
          <cell r="H1436" t="str">
            <v>011462</v>
          </cell>
          <cell r="I1436" t="str">
            <v>2</v>
          </cell>
        </row>
        <row r="1437">
          <cell r="A1437" t="str">
            <v>LORETOALTO AMAZONASSANTA CRUZ</v>
          </cell>
          <cell r="B1437" t="str">
            <v>16</v>
          </cell>
          <cell r="C1437" t="str">
            <v>02</v>
          </cell>
          <cell r="D1437" t="str">
            <v>10</v>
          </cell>
          <cell r="E1437" t="str">
            <v>LORETO</v>
          </cell>
          <cell r="F1437" t="str">
            <v>ALTO AMAZONAS</v>
          </cell>
          <cell r="G1437" t="str">
            <v>SANTA CRUZ</v>
          </cell>
          <cell r="H1437" t="str">
            <v>011463</v>
          </cell>
          <cell r="I1437" t="str">
            <v>2</v>
          </cell>
        </row>
        <row r="1438">
          <cell r="A1438" t="str">
            <v>LORETOALTO AMAZONASTENIENTE CESAR LOPEZ ROJAS</v>
          </cell>
          <cell r="B1438" t="str">
            <v>16</v>
          </cell>
          <cell r="C1438" t="str">
            <v>02</v>
          </cell>
          <cell r="D1438" t="str">
            <v>11</v>
          </cell>
          <cell r="E1438" t="str">
            <v>LORETO</v>
          </cell>
          <cell r="F1438" t="str">
            <v>ALTO AMAZONAS</v>
          </cell>
          <cell r="G1438" t="str">
            <v>TENIENTE CESAR LOPEZ ROJAS</v>
          </cell>
          <cell r="H1438" t="str">
            <v>011464</v>
          </cell>
          <cell r="I1438" t="str">
            <v>2</v>
          </cell>
        </row>
        <row r="1439">
          <cell r="A1439" t="str">
            <v>LORETOLORETONAUTA</v>
          </cell>
          <cell r="B1439" t="str">
            <v>16</v>
          </cell>
          <cell r="C1439" t="str">
            <v>03</v>
          </cell>
          <cell r="D1439" t="str">
            <v>01</v>
          </cell>
          <cell r="E1439" t="str">
            <v>LORETO</v>
          </cell>
          <cell r="F1439" t="str">
            <v>LORETO</v>
          </cell>
          <cell r="G1439" t="str">
            <v>NAUTA</v>
          </cell>
          <cell r="H1439" t="str">
            <v>011434</v>
          </cell>
          <cell r="I1439" t="str">
            <v>1</v>
          </cell>
        </row>
        <row r="1440">
          <cell r="A1440" t="str">
            <v>LORETOLORETOPARINARI</v>
          </cell>
          <cell r="B1440" t="str">
            <v>16</v>
          </cell>
          <cell r="C1440" t="str">
            <v>03</v>
          </cell>
          <cell r="D1440" t="str">
            <v>02</v>
          </cell>
          <cell r="E1440" t="str">
            <v>LORETO</v>
          </cell>
          <cell r="F1440" t="str">
            <v>LORETO</v>
          </cell>
          <cell r="G1440" t="str">
            <v>PARINARI</v>
          </cell>
          <cell r="H1440" t="str">
            <v>012206</v>
          </cell>
          <cell r="I1440" t="str">
            <v>2</v>
          </cell>
        </row>
        <row r="1441">
          <cell r="A1441" t="str">
            <v>LORETOLORETOTIGRE</v>
          </cell>
          <cell r="B1441" t="str">
            <v>16</v>
          </cell>
          <cell r="C1441" t="str">
            <v>03</v>
          </cell>
          <cell r="D1441" t="str">
            <v>03</v>
          </cell>
          <cell r="E1441" t="str">
            <v>LORETO</v>
          </cell>
          <cell r="F1441" t="str">
            <v>LORETO</v>
          </cell>
          <cell r="G1441" t="str">
            <v>TIGRE</v>
          </cell>
          <cell r="H1441" t="str">
            <v>011436</v>
          </cell>
          <cell r="I1441" t="str">
            <v>2</v>
          </cell>
        </row>
        <row r="1442">
          <cell r="A1442" t="str">
            <v>LORETOLORETOTROMPETEROS</v>
          </cell>
          <cell r="B1442" t="str">
            <v>16</v>
          </cell>
          <cell r="C1442" t="str">
            <v>03</v>
          </cell>
          <cell r="D1442" t="str">
            <v>04</v>
          </cell>
          <cell r="E1442" t="str">
            <v>LORETO</v>
          </cell>
          <cell r="F1442" t="str">
            <v>LORETO</v>
          </cell>
          <cell r="G1442" t="str">
            <v>TROMPETEROS</v>
          </cell>
          <cell r="H1442" t="str">
            <v>011437</v>
          </cell>
          <cell r="I1442" t="str">
            <v>2</v>
          </cell>
        </row>
        <row r="1443">
          <cell r="A1443" t="str">
            <v>LORETOLORETOURARINAS</v>
          </cell>
          <cell r="B1443" t="str">
            <v>16</v>
          </cell>
          <cell r="C1443" t="str">
            <v>03</v>
          </cell>
          <cell r="D1443" t="str">
            <v>05</v>
          </cell>
          <cell r="E1443" t="str">
            <v>LORETO</v>
          </cell>
          <cell r="F1443" t="str">
            <v>LORETO</v>
          </cell>
          <cell r="G1443" t="str">
            <v>URARINAS</v>
          </cell>
          <cell r="H1443" t="str">
            <v>011438</v>
          </cell>
          <cell r="I1443" t="str">
            <v>2</v>
          </cell>
        </row>
        <row r="1444">
          <cell r="A1444" t="str">
            <v>LORETOMARISCAL RAMON CASTILLARAMON CASTILLA</v>
          </cell>
          <cell r="B1444" t="str">
            <v>16</v>
          </cell>
          <cell r="C1444" t="str">
            <v>04</v>
          </cell>
          <cell r="D1444" t="str">
            <v>01</v>
          </cell>
          <cell r="E1444" t="str">
            <v>LORETO</v>
          </cell>
          <cell r="F1444" t="str">
            <v>MARISCAL RAMON CASTILLA</v>
          </cell>
          <cell r="G1444" t="str">
            <v>RAMON CASTILLA</v>
          </cell>
          <cell r="H1444" t="str">
            <v>011439</v>
          </cell>
          <cell r="I1444" t="str">
            <v>1</v>
          </cell>
        </row>
        <row r="1445">
          <cell r="A1445" t="str">
            <v>LORETOMARISCAL RAMON CASTILLAPEBAS</v>
          </cell>
          <cell r="B1445" t="str">
            <v>16</v>
          </cell>
          <cell r="C1445" t="str">
            <v>04</v>
          </cell>
          <cell r="D1445" t="str">
            <v>02</v>
          </cell>
          <cell r="E1445" t="str">
            <v>LORETO</v>
          </cell>
          <cell r="F1445" t="str">
            <v>MARISCAL RAMON CASTILLA</v>
          </cell>
          <cell r="G1445" t="str">
            <v>PEBAS</v>
          </cell>
          <cell r="H1445" t="str">
            <v>011440</v>
          </cell>
          <cell r="I1445" t="str">
            <v>2</v>
          </cell>
        </row>
        <row r="1446">
          <cell r="A1446" t="str">
            <v>LORETOMARISCAL RAMON CASTILLAYAVARI</v>
          </cell>
          <cell r="B1446" t="str">
            <v>16</v>
          </cell>
          <cell r="C1446" t="str">
            <v>04</v>
          </cell>
          <cell r="D1446" t="str">
            <v>03</v>
          </cell>
          <cell r="E1446" t="str">
            <v>LORETO</v>
          </cell>
          <cell r="F1446" t="str">
            <v>MARISCAL RAMON CASTILLA</v>
          </cell>
          <cell r="G1446" t="str">
            <v>YAVARI</v>
          </cell>
          <cell r="H1446" t="str">
            <v>011441</v>
          </cell>
          <cell r="I1446" t="str">
            <v>2</v>
          </cell>
        </row>
        <row r="1447">
          <cell r="A1447" t="str">
            <v>LORETOMARISCAL RAMON CASTILLASAN PABLO</v>
          </cell>
          <cell r="B1447" t="str">
            <v>16</v>
          </cell>
          <cell r="C1447" t="str">
            <v>04</v>
          </cell>
          <cell r="D1447" t="str">
            <v>04</v>
          </cell>
          <cell r="E1447" t="str">
            <v>LORETO</v>
          </cell>
          <cell r="F1447" t="str">
            <v>MARISCAL RAMON CASTILLA</v>
          </cell>
          <cell r="G1447" t="str">
            <v>SAN PABLO</v>
          </cell>
          <cell r="H1447" t="str">
            <v>011442</v>
          </cell>
          <cell r="I1447" t="str">
            <v>2</v>
          </cell>
        </row>
        <row r="1448">
          <cell r="A1448" t="str">
            <v>LORETOREQUENAREQUENA</v>
          </cell>
          <cell r="B1448" t="str">
            <v>16</v>
          </cell>
          <cell r="C1448" t="str">
            <v>05</v>
          </cell>
          <cell r="D1448" t="str">
            <v>01</v>
          </cell>
          <cell r="E1448" t="str">
            <v>LORETO</v>
          </cell>
          <cell r="F1448" t="str">
            <v>REQUENA</v>
          </cell>
          <cell r="G1448" t="str">
            <v>REQUENA</v>
          </cell>
          <cell r="H1448" t="str">
            <v>011443</v>
          </cell>
          <cell r="I1448" t="str">
            <v>1</v>
          </cell>
        </row>
        <row r="1449">
          <cell r="A1449" t="str">
            <v>LORETOREQUENAALTO TAPICHE</v>
          </cell>
          <cell r="B1449" t="str">
            <v>16</v>
          </cell>
          <cell r="C1449" t="str">
            <v>05</v>
          </cell>
          <cell r="D1449" t="str">
            <v>02</v>
          </cell>
          <cell r="E1449" t="str">
            <v>LORETO</v>
          </cell>
          <cell r="F1449" t="str">
            <v>REQUENA</v>
          </cell>
          <cell r="G1449" t="str">
            <v>ALTO TAPICHE</v>
          </cell>
          <cell r="H1449" t="str">
            <v>011448</v>
          </cell>
          <cell r="I1449" t="str">
            <v>2</v>
          </cell>
        </row>
        <row r="1450">
          <cell r="A1450" t="str">
            <v>LORETOREQUENACAPELO</v>
          </cell>
          <cell r="B1450" t="str">
            <v>16</v>
          </cell>
          <cell r="C1450" t="str">
            <v>05</v>
          </cell>
          <cell r="D1450" t="str">
            <v>03</v>
          </cell>
          <cell r="E1450" t="str">
            <v>LORETO</v>
          </cell>
          <cell r="F1450" t="str">
            <v>REQUENA</v>
          </cell>
          <cell r="G1450" t="str">
            <v>CAPELO</v>
          </cell>
          <cell r="H1450" t="str">
            <v>011444</v>
          </cell>
          <cell r="I1450" t="str">
            <v>2</v>
          </cell>
        </row>
        <row r="1451">
          <cell r="A1451" t="str">
            <v>LORETOREQUENAEMILIO SAN MARTIN</v>
          </cell>
          <cell r="B1451" t="str">
            <v>16</v>
          </cell>
          <cell r="C1451" t="str">
            <v>05</v>
          </cell>
          <cell r="D1451" t="str">
            <v>04</v>
          </cell>
          <cell r="E1451" t="str">
            <v>LORETO</v>
          </cell>
          <cell r="F1451" t="str">
            <v>REQUENA</v>
          </cell>
          <cell r="G1451" t="str">
            <v>EMILIO SAN MARTIN</v>
          </cell>
          <cell r="H1451" t="str">
            <v>011449</v>
          </cell>
          <cell r="I1451" t="str">
            <v>2</v>
          </cell>
        </row>
        <row r="1452">
          <cell r="A1452" t="str">
            <v>LORETOREQUENAMAQUIA</v>
          </cell>
          <cell r="B1452" t="str">
            <v>16</v>
          </cell>
          <cell r="C1452" t="str">
            <v>05</v>
          </cell>
          <cell r="D1452" t="str">
            <v>05</v>
          </cell>
          <cell r="E1452" t="str">
            <v>LORETO</v>
          </cell>
          <cell r="F1452" t="str">
            <v>REQUENA</v>
          </cell>
          <cell r="G1452" t="str">
            <v>MAQUIA</v>
          </cell>
          <cell r="H1452" t="str">
            <v>012720</v>
          </cell>
          <cell r="I1452" t="str">
            <v>2</v>
          </cell>
        </row>
        <row r="1453">
          <cell r="A1453" t="str">
            <v>LORETOREQUENAPUINAHUA</v>
          </cell>
          <cell r="B1453" t="str">
            <v>16</v>
          </cell>
          <cell r="C1453" t="str">
            <v>05</v>
          </cell>
          <cell r="D1453" t="str">
            <v>06</v>
          </cell>
          <cell r="E1453" t="str">
            <v>LORETO</v>
          </cell>
          <cell r="F1453" t="str">
            <v>REQUENA</v>
          </cell>
          <cell r="G1453" t="str">
            <v>PUINAHUA</v>
          </cell>
          <cell r="H1453" t="str">
            <v>012207</v>
          </cell>
          <cell r="I1453" t="str">
            <v>2</v>
          </cell>
        </row>
        <row r="1454">
          <cell r="A1454" t="str">
            <v>LORETOREQUENASAQUENA</v>
          </cell>
          <cell r="B1454" t="str">
            <v>16</v>
          </cell>
          <cell r="C1454" t="str">
            <v>05</v>
          </cell>
          <cell r="D1454" t="str">
            <v>07</v>
          </cell>
          <cell r="E1454" t="str">
            <v>LORETO</v>
          </cell>
          <cell r="F1454" t="str">
            <v>REQUENA</v>
          </cell>
          <cell r="G1454" t="str">
            <v>SAQUENA</v>
          </cell>
          <cell r="H1454" t="str">
            <v>011446</v>
          </cell>
          <cell r="I1454" t="str">
            <v>2</v>
          </cell>
        </row>
        <row r="1455">
          <cell r="A1455" t="str">
            <v>LORETOREQUENASOPLIN</v>
          </cell>
          <cell r="B1455" t="str">
            <v>16</v>
          </cell>
          <cell r="C1455" t="str">
            <v>05</v>
          </cell>
          <cell r="D1455" t="str">
            <v>08</v>
          </cell>
          <cell r="E1455" t="str">
            <v>LORETO</v>
          </cell>
          <cell r="F1455" t="str">
            <v>REQUENA</v>
          </cell>
          <cell r="G1455" t="str">
            <v>SOPLIN</v>
          </cell>
          <cell r="H1455" t="str">
            <v>011451</v>
          </cell>
          <cell r="I1455" t="str">
            <v>2</v>
          </cell>
        </row>
        <row r="1456">
          <cell r="A1456" t="str">
            <v>LORETOREQUENATAPICHE</v>
          </cell>
          <cell r="B1456" t="str">
            <v>16</v>
          </cell>
          <cell r="C1456" t="str">
            <v>05</v>
          </cell>
          <cell r="D1456" t="str">
            <v>09</v>
          </cell>
          <cell r="E1456" t="str">
            <v>LORETO</v>
          </cell>
          <cell r="F1456" t="str">
            <v>REQUENA</v>
          </cell>
          <cell r="G1456" t="str">
            <v>TAPICHE</v>
          </cell>
          <cell r="H1456" t="str">
            <v>012718</v>
          </cell>
          <cell r="I1456" t="str">
            <v>2</v>
          </cell>
        </row>
        <row r="1457">
          <cell r="A1457" t="str">
            <v>LORETOREQUENAJENARO HERRERA</v>
          </cell>
          <cell r="B1457" t="str">
            <v>16</v>
          </cell>
          <cell r="C1457" t="str">
            <v>05</v>
          </cell>
          <cell r="D1457" t="str">
            <v>10</v>
          </cell>
          <cell r="E1457" t="str">
            <v>LORETO</v>
          </cell>
          <cell r="F1457" t="str">
            <v>REQUENA</v>
          </cell>
          <cell r="G1457" t="str">
            <v>JENARO HERRERA</v>
          </cell>
          <cell r="H1457" t="str">
            <v>011447</v>
          </cell>
          <cell r="I1457" t="str">
            <v>2</v>
          </cell>
        </row>
        <row r="1458">
          <cell r="A1458" t="str">
            <v>LORETOREQUENAYAQUERANA</v>
          </cell>
          <cell r="B1458" t="str">
            <v>16</v>
          </cell>
          <cell r="C1458" t="str">
            <v>05</v>
          </cell>
          <cell r="D1458" t="str">
            <v>11</v>
          </cell>
          <cell r="E1458" t="str">
            <v>LORETO</v>
          </cell>
          <cell r="F1458" t="str">
            <v>REQUENA</v>
          </cell>
          <cell r="G1458" t="str">
            <v>YAQUERANA</v>
          </cell>
          <cell r="H1458" t="str">
            <v>012722</v>
          </cell>
          <cell r="I1458" t="str">
            <v>2</v>
          </cell>
        </row>
        <row r="1459">
          <cell r="A1459" t="str">
            <v>LORETOUCAYALICONTAMANA</v>
          </cell>
          <cell r="B1459" t="str">
            <v>16</v>
          </cell>
          <cell r="C1459" t="str">
            <v>06</v>
          </cell>
          <cell r="D1459" t="str">
            <v>01</v>
          </cell>
          <cell r="E1459" t="str">
            <v>LORETO</v>
          </cell>
          <cell r="F1459" t="str">
            <v>UCAYALI</v>
          </cell>
          <cell r="G1459" t="str">
            <v>CONTAMANA</v>
          </cell>
          <cell r="H1459" t="str">
            <v>011453</v>
          </cell>
          <cell r="I1459" t="str">
            <v>1</v>
          </cell>
        </row>
        <row r="1460">
          <cell r="A1460" t="str">
            <v>LORETOUCAYALIINAHUAYA</v>
          </cell>
          <cell r="B1460" t="str">
            <v>16</v>
          </cell>
          <cell r="C1460" t="str">
            <v>06</v>
          </cell>
          <cell r="D1460" t="str">
            <v>02</v>
          </cell>
          <cell r="E1460" t="str">
            <v>LORETO</v>
          </cell>
          <cell r="F1460" t="str">
            <v>UCAYALI</v>
          </cell>
          <cell r="G1460" t="str">
            <v>INAHUAYA</v>
          </cell>
          <cell r="H1460" t="str">
            <v>011454</v>
          </cell>
          <cell r="I1460" t="str">
            <v>2</v>
          </cell>
        </row>
        <row r="1461">
          <cell r="A1461" t="str">
            <v>LORETOUCAYALIPADRE MARQUEZ</v>
          </cell>
          <cell r="B1461" t="str">
            <v>16</v>
          </cell>
          <cell r="C1461" t="str">
            <v>06</v>
          </cell>
          <cell r="D1461" t="str">
            <v>03</v>
          </cell>
          <cell r="E1461" t="str">
            <v>LORETO</v>
          </cell>
          <cell r="F1461" t="str">
            <v>UCAYALI</v>
          </cell>
          <cell r="G1461" t="str">
            <v>PADRE MARQUEZ</v>
          </cell>
          <cell r="H1461" t="str">
            <v>011455</v>
          </cell>
          <cell r="I1461" t="str">
            <v>2</v>
          </cell>
        </row>
        <row r="1462">
          <cell r="A1462" t="str">
            <v>LORETOUCAYALIPAMPA HERMOSA</v>
          </cell>
          <cell r="B1462" t="str">
            <v>16</v>
          </cell>
          <cell r="C1462" t="str">
            <v>06</v>
          </cell>
          <cell r="D1462" t="str">
            <v>04</v>
          </cell>
          <cell r="E1462" t="str">
            <v>LORETO</v>
          </cell>
          <cell r="F1462" t="str">
            <v>UCAYALI</v>
          </cell>
          <cell r="G1462" t="str">
            <v>PAMPA HERMOSA</v>
          </cell>
          <cell r="H1462" t="str">
            <v>011456</v>
          </cell>
          <cell r="I1462" t="str">
            <v>2</v>
          </cell>
        </row>
        <row r="1463">
          <cell r="A1463" t="str">
            <v>LORETOUCAYALISARAYACU</v>
          </cell>
          <cell r="B1463" t="str">
            <v>16</v>
          </cell>
          <cell r="C1463" t="str">
            <v>06</v>
          </cell>
          <cell r="D1463" t="str">
            <v>05</v>
          </cell>
          <cell r="E1463" t="str">
            <v>LORETO</v>
          </cell>
          <cell r="F1463" t="str">
            <v>UCAYALI</v>
          </cell>
          <cell r="G1463" t="str">
            <v>SARAYACU</v>
          </cell>
          <cell r="H1463" t="str">
            <v>012204</v>
          </cell>
          <cell r="I1463" t="str">
            <v>2</v>
          </cell>
        </row>
        <row r="1464">
          <cell r="A1464" t="str">
            <v>LORETOUCAYALIVARGAS GUERRA</v>
          </cell>
          <cell r="B1464" t="str">
            <v>16</v>
          </cell>
          <cell r="C1464" t="str">
            <v>06</v>
          </cell>
          <cell r="D1464" t="str">
            <v>06</v>
          </cell>
          <cell r="E1464" t="str">
            <v>LORETO</v>
          </cell>
          <cell r="F1464" t="str">
            <v>UCAYALI</v>
          </cell>
          <cell r="G1464" t="str">
            <v>VARGAS GUERRA</v>
          </cell>
          <cell r="H1464" t="str">
            <v>011458</v>
          </cell>
          <cell r="I1464" t="str">
            <v>2</v>
          </cell>
        </row>
        <row r="1465">
          <cell r="A1465" t="str">
            <v>LORETODATEM DEL MARAÑONBARRANCA</v>
          </cell>
          <cell r="B1465" t="str">
            <v>16</v>
          </cell>
          <cell r="C1465" t="str">
            <v>07</v>
          </cell>
          <cell r="D1465" t="str">
            <v>01</v>
          </cell>
          <cell r="E1465" t="str">
            <v>LORETO</v>
          </cell>
          <cell r="F1465" t="str">
            <v>DATEM DEL MARAÑON</v>
          </cell>
          <cell r="G1465" t="str">
            <v>BARRANCA</v>
          </cell>
          <cell r="H1465" t="str">
            <v>012721</v>
          </cell>
          <cell r="I1465" t="str">
            <v>1</v>
          </cell>
        </row>
        <row r="1466">
          <cell r="A1466" t="str">
            <v>LORETODATEM DEL MARAÑONCAHUAPANAS</v>
          </cell>
          <cell r="B1466" t="str">
            <v>16</v>
          </cell>
          <cell r="C1466" t="str">
            <v>07</v>
          </cell>
          <cell r="D1466" t="str">
            <v>02</v>
          </cell>
          <cell r="E1466" t="str">
            <v>LORETO</v>
          </cell>
          <cell r="F1466" t="str">
            <v>DATEM DEL MARAÑON</v>
          </cell>
          <cell r="G1466" t="str">
            <v>CAHUAPANAS</v>
          </cell>
          <cell r="H1466" t="str">
            <v>011466</v>
          </cell>
          <cell r="I1466" t="str">
            <v>2</v>
          </cell>
        </row>
        <row r="1467">
          <cell r="A1467" t="str">
            <v>LORETODATEM DEL MARAÑONMANSERICHE</v>
          </cell>
          <cell r="B1467" t="str">
            <v>16</v>
          </cell>
          <cell r="C1467" t="str">
            <v>07</v>
          </cell>
          <cell r="D1467" t="str">
            <v>03</v>
          </cell>
          <cell r="E1467" t="str">
            <v>LORETO</v>
          </cell>
          <cell r="F1467" t="str">
            <v>DATEM DEL MARAÑON</v>
          </cell>
          <cell r="G1467" t="str">
            <v>MANSERICHE</v>
          </cell>
          <cell r="H1467" t="str">
            <v>011467</v>
          </cell>
          <cell r="I1467" t="str">
            <v>2</v>
          </cell>
        </row>
        <row r="1468">
          <cell r="A1468" t="str">
            <v>LORETODATEM DEL MARAÑONMORONA</v>
          </cell>
          <cell r="B1468" t="str">
            <v>16</v>
          </cell>
          <cell r="C1468" t="str">
            <v>07</v>
          </cell>
          <cell r="D1468" t="str">
            <v>04</v>
          </cell>
          <cell r="E1468" t="str">
            <v>LORETO</v>
          </cell>
          <cell r="F1468" t="str">
            <v>DATEM DEL MARAÑON</v>
          </cell>
          <cell r="G1468" t="str">
            <v>MORONA</v>
          </cell>
          <cell r="H1468" t="str">
            <v>012205</v>
          </cell>
          <cell r="I1468" t="str">
            <v>2</v>
          </cell>
        </row>
        <row r="1469">
          <cell r="A1469" t="str">
            <v>LORETODATEM DEL MARAÑONPASTAZA</v>
          </cell>
          <cell r="B1469" t="str">
            <v>16</v>
          </cell>
          <cell r="C1469" t="str">
            <v>07</v>
          </cell>
          <cell r="D1469" t="str">
            <v>05</v>
          </cell>
          <cell r="E1469" t="str">
            <v>LORETO</v>
          </cell>
          <cell r="F1469" t="str">
            <v>DATEM DEL MARAÑON</v>
          </cell>
          <cell r="G1469" t="str">
            <v>PASTAZA</v>
          </cell>
          <cell r="H1469" t="str">
            <v>011469</v>
          </cell>
          <cell r="I1469" t="str">
            <v>2</v>
          </cell>
        </row>
        <row r="1470">
          <cell r="A1470" t="str">
            <v>LORETODATEM DEL MARAÑONANDOAS</v>
          </cell>
          <cell r="B1470" t="str">
            <v>16</v>
          </cell>
          <cell r="C1470" t="str">
            <v>07</v>
          </cell>
          <cell r="D1470" t="str">
            <v>06</v>
          </cell>
          <cell r="E1470" t="str">
            <v>LORETO</v>
          </cell>
          <cell r="F1470" t="str">
            <v>DATEM DEL MARAÑON</v>
          </cell>
          <cell r="G1470" t="str">
            <v>ANDOAS</v>
          </cell>
          <cell r="H1470" t="str">
            <v>011470</v>
          </cell>
          <cell r="I1470" t="str">
            <v>2</v>
          </cell>
        </row>
        <row r="1471">
          <cell r="A1471" t="str">
            <v>MADRE DE DIOSTAMBOPATATAMBOPATA</v>
          </cell>
          <cell r="B1471" t="str">
            <v>17</v>
          </cell>
          <cell r="C1471" t="str">
            <v>01</v>
          </cell>
          <cell r="D1471" t="str">
            <v>01</v>
          </cell>
          <cell r="E1471" t="str">
            <v>MADRE DE DIOS</v>
          </cell>
          <cell r="F1471" t="str">
            <v>TAMBOPATA</v>
          </cell>
          <cell r="G1471" t="str">
            <v>TAMBOPATA</v>
          </cell>
          <cell r="H1471" t="str">
            <v>011471</v>
          </cell>
          <cell r="I1471" t="str">
            <v>1</v>
          </cell>
        </row>
        <row r="1472">
          <cell r="A1472" t="str">
            <v>MADRE DE DIOSTAMBOPATAINAMBARI</v>
          </cell>
          <cell r="B1472" t="str">
            <v>17</v>
          </cell>
          <cell r="C1472" t="str">
            <v>01</v>
          </cell>
          <cell r="D1472" t="str">
            <v>02</v>
          </cell>
          <cell r="E1472" t="str">
            <v>MADRE DE DIOS</v>
          </cell>
          <cell r="F1472" t="str">
            <v>TAMBOPATA</v>
          </cell>
          <cell r="G1472" t="str">
            <v>INAMBARI</v>
          </cell>
          <cell r="H1472" t="str">
            <v>011472</v>
          </cell>
          <cell r="I1472" t="str">
            <v>2</v>
          </cell>
        </row>
        <row r="1473">
          <cell r="A1473" t="str">
            <v>MADRE DE DIOSTAMBOPATALAS PIEDRAS</v>
          </cell>
          <cell r="B1473" t="str">
            <v>17</v>
          </cell>
          <cell r="C1473" t="str">
            <v>01</v>
          </cell>
          <cell r="D1473" t="str">
            <v>03</v>
          </cell>
          <cell r="E1473" t="str">
            <v>MADRE DE DIOS</v>
          </cell>
          <cell r="F1473" t="str">
            <v>TAMBOPATA</v>
          </cell>
          <cell r="G1473" t="str">
            <v>LAS PIEDRAS</v>
          </cell>
          <cell r="H1473" t="str">
            <v>011473</v>
          </cell>
          <cell r="I1473" t="str">
            <v>2</v>
          </cell>
        </row>
        <row r="1474">
          <cell r="A1474" t="str">
            <v>MADRE DE DIOSTAMBOPATALABERINTO</v>
          </cell>
          <cell r="B1474" t="str">
            <v>17</v>
          </cell>
          <cell r="C1474" t="str">
            <v>01</v>
          </cell>
          <cell r="D1474" t="str">
            <v>04</v>
          </cell>
          <cell r="E1474" t="str">
            <v>MADRE DE DIOS</v>
          </cell>
          <cell r="F1474" t="str">
            <v>TAMBOPATA</v>
          </cell>
          <cell r="G1474" t="str">
            <v>LABERINTO</v>
          </cell>
          <cell r="H1474" t="str">
            <v>011474</v>
          </cell>
          <cell r="I1474" t="str">
            <v>2</v>
          </cell>
        </row>
        <row r="1475">
          <cell r="A1475" t="str">
            <v>MADRE DE DIOSMANUMANU</v>
          </cell>
          <cell r="B1475" t="str">
            <v>17</v>
          </cell>
          <cell r="C1475" t="str">
            <v>02</v>
          </cell>
          <cell r="D1475" t="str">
            <v>01</v>
          </cell>
          <cell r="E1475" t="str">
            <v>MADRE DE DIOS</v>
          </cell>
          <cell r="F1475" t="str">
            <v>MANU</v>
          </cell>
          <cell r="G1475" t="str">
            <v>MANU</v>
          </cell>
          <cell r="H1475" t="str">
            <v>012043</v>
          </cell>
          <cell r="I1475" t="str">
            <v>1</v>
          </cell>
        </row>
        <row r="1476">
          <cell r="A1476" t="str">
            <v>MADRE DE DIOSMANUFITZCARRALD</v>
          </cell>
          <cell r="B1476" t="str">
            <v>17</v>
          </cell>
          <cell r="C1476" t="str">
            <v>02</v>
          </cell>
          <cell r="D1476" t="str">
            <v>02</v>
          </cell>
          <cell r="E1476" t="str">
            <v>MADRE DE DIOS</v>
          </cell>
          <cell r="F1476" t="str">
            <v>MANU</v>
          </cell>
          <cell r="G1476" t="str">
            <v>FITZCARRALD</v>
          </cell>
          <cell r="H1476" t="str">
            <v>012960</v>
          </cell>
          <cell r="I1476" t="str">
            <v>2</v>
          </cell>
        </row>
        <row r="1477">
          <cell r="A1477" t="str">
            <v>MADRE DE DIOSMANUMADRE DE DIOS</v>
          </cell>
          <cell r="B1477" t="str">
            <v>17</v>
          </cell>
          <cell r="C1477" t="str">
            <v>02</v>
          </cell>
          <cell r="D1477" t="str">
            <v>03</v>
          </cell>
          <cell r="E1477" t="str">
            <v>MADRE DE DIOS</v>
          </cell>
          <cell r="F1477" t="str">
            <v>MANU</v>
          </cell>
          <cell r="G1477" t="str">
            <v>MADRE DE DIOS</v>
          </cell>
          <cell r="H1477" t="str">
            <v>011477</v>
          </cell>
          <cell r="I1477" t="str">
            <v>2</v>
          </cell>
        </row>
        <row r="1478">
          <cell r="A1478" t="str">
            <v>MADRE DE DIOSMANUHUEPETUHE</v>
          </cell>
          <cell r="B1478" t="str">
            <v>17</v>
          </cell>
          <cell r="C1478" t="str">
            <v>02</v>
          </cell>
          <cell r="D1478" t="str">
            <v>04</v>
          </cell>
          <cell r="E1478" t="str">
            <v>MADRE DE DIOS</v>
          </cell>
          <cell r="F1478" t="str">
            <v>MANU</v>
          </cell>
          <cell r="G1478" t="str">
            <v>HUEPETUHE</v>
          </cell>
          <cell r="H1478" t="str">
            <v>011478</v>
          </cell>
          <cell r="I1478" t="str">
            <v>2</v>
          </cell>
        </row>
        <row r="1479">
          <cell r="A1479" t="str">
            <v>MADRE DE DIOSTAHUAMANUIÑAPARI</v>
          </cell>
          <cell r="B1479" t="str">
            <v>17</v>
          </cell>
          <cell r="C1479" t="str">
            <v>03</v>
          </cell>
          <cell r="D1479" t="str">
            <v>01</v>
          </cell>
          <cell r="E1479" t="str">
            <v>MADRE DE DIOS</v>
          </cell>
          <cell r="F1479" t="str">
            <v>TAHUAMANU</v>
          </cell>
          <cell r="G1479" t="str">
            <v>IÑAPARI</v>
          </cell>
          <cell r="H1479" t="str">
            <v>011479</v>
          </cell>
          <cell r="I1479" t="str">
            <v>1</v>
          </cell>
        </row>
        <row r="1480">
          <cell r="A1480" t="str">
            <v>MADRE DE DIOSTAHUAMANUIBERIA</v>
          </cell>
          <cell r="B1480" t="str">
            <v>17</v>
          </cell>
          <cell r="C1480" t="str">
            <v>03</v>
          </cell>
          <cell r="D1480" t="str">
            <v>02</v>
          </cell>
          <cell r="E1480" t="str">
            <v>MADRE DE DIOS</v>
          </cell>
          <cell r="F1480" t="str">
            <v>TAHUAMANU</v>
          </cell>
          <cell r="G1480" t="str">
            <v>IBERIA</v>
          </cell>
          <cell r="H1480" t="str">
            <v>011480</v>
          </cell>
          <cell r="I1480" t="str">
            <v>2</v>
          </cell>
        </row>
        <row r="1481">
          <cell r="A1481" t="str">
            <v>MADRE DE DIOSTAHUAMANUTAHUAMANU</v>
          </cell>
          <cell r="B1481" t="str">
            <v>17</v>
          </cell>
          <cell r="C1481" t="str">
            <v>03</v>
          </cell>
          <cell r="D1481" t="str">
            <v>03</v>
          </cell>
          <cell r="E1481" t="str">
            <v>MADRE DE DIOS</v>
          </cell>
          <cell r="F1481" t="str">
            <v>TAHUAMANU</v>
          </cell>
          <cell r="G1481" t="str">
            <v>TAHUAMANU</v>
          </cell>
          <cell r="H1481" t="str">
            <v>011481</v>
          </cell>
          <cell r="I1481" t="str">
            <v>2</v>
          </cell>
        </row>
        <row r="1482">
          <cell r="A1482" t="str">
            <v>MOQUEGUAMARISCAL NIETOMOQUEGUA</v>
          </cell>
          <cell r="B1482" t="str">
            <v>18</v>
          </cell>
          <cell r="C1482" t="str">
            <v>01</v>
          </cell>
          <cell r="D1482" t="str">
            <v>01</v>
          </cell>
          <cell r="E1482" t="str">
            <v>MOQUEGUA</v>
          </cell>
          <cell r="F1482" t="str">
            <v>MARISCAL NIETO</v>
          </cell>
          <cell r="G1482" t="str">
            <v>MOQUEGUA</v>
          </cell>
          <cell r="H1482" t="str">
            <v>011482</v>
          </cell>
          <cell r="I1482" t="str">
            <v>1</v>
          </cell>
        </row>
        <row r="1483">
          <cell r="A1483" t="str">
            <v>MOQUEGUAMARISCAL NIETOCARUMAS</v>
          </cell>
          <cell r="B1483" t="str">
            <v>18</v>
          </cell>
          <cell r="C1483" t="str">
            <v>01</v>
          </cell>
          <cell r="D1483" t="str">
            <v>02</v>
          </cell>
          <cell r="E1483" t="str">
            <v>MOQUEGUA</v>
          </cell>
          <cell r="F1483" t="str">
            <v>MARISCAL NIETO</v>
          </cell>
          <cell r="G1483" t="str">
            <v>CARUMAS</v>
          </cell>
          <cell r="H1483" t="str">
            <v>011483</v>
          </cell>
          <cell r="I1483" t="str">
            <v>2</v>
          </cell>
        </row>
        <row r="1484">
          <cell r="A1484" t="str">
            <v>MOQUEGUAMARISCAL NIETOCUCHUMBAYA</v>
          </cell>
          <cell r="B1484" t="str">
            <v>18</v>
          </cell>
          <cell r="C1484" t="str">
            <v>01</v>
          </cell>
          <cell r="D1484" t="str">
            <v>03</v>
          </cell>
          <cell r="E1484" t="str">
            <v>MOQUEGUA</v>
          </cell>
          <cell r="F1484" t="str">
            <v>MARISCAL NIETO</v>
          </cell>
          <cell r="G1484" t="str">
            <v>CUCHUMBAYA</v>
          </cell>
          <cell r="H1484" t="str">
            <v>011484</v>
          </cell>
          <cell r="I1484" t="str">
            <v>2</v>
          </cell>
        </row>
        <row r="1485">
          <cell r="A1485" t="str">
            <v>MOQUEGUAMARISCAL NIETOSAMEGUA</v>
          </cell>
          <cell r="B1485" t="str">
            <v>18</v>
          </cell>
          <cell r="C1485" t="str">
            <v>01</v>
          </cell>
          <cell r="D1485" t="str">
            <v>04</v>
          </cell>
          <cell r="E1485" t="str">
            <v>MOQUEGUA</v>
          </cell>
          <cell r="F1485" t="str">
            <v>MARISCAL NIETO</v>
          </cell>
          <cell r="G1485" t="str">
            <v>SAMEGUA</v>
          </cell>
          <cell r="H1485" t="str">
            <v>011485</v>
          </cell>
          <cell r="I1485" t="str">
            <v>2</v>
          </cell>
        </row>
        <row r="1486">
          <cell r="A1486" t="str">
            <v>MOQUEGUAMARISCAL NIETOSAN CRISTOBAL</v>
          </cell>
          <cell r="B1486" t="str">
            <v>18</v>
          </cell>
          <cell r="C1486" t="str">
            <v>01</v>
          </cell>
          <cell r="D1486" t="str">
            <v>05</v>
          </cell>
          <cell r="E1486" t="str">
            <v>MOQUEGUA</v>
          </cell>
          <cell r="F1486" t="str">
            <v>MARISCAL NIETO</v>
          </cell>
          <cell r="G1486" t="str">
            <v>SAN CRISTOBAL</v>
          </cell>
          <cell r="H1486" t="str">
            <v>011486</v>
          </cell>
          <cell r="I1486" t="str">
            <v>2</v>
          </cell>
        </row>
        <row r="1487">
          <cell r="A1487" t="str">
            <v>MOQUEGUAMARISCAL NIETOTORATA</v>
          </cell>
          <cell r="B1487" t="str">
            <v>18</v>
          </cell>
          <cell r="C1487" t="str">
            <v>01</v>
          </cell>
          <cell r="D1487" t="str">
            <v>06</v>
          </cell>
          <cell r="E1487" t="str">
            <v>MOQUEGUA</v>
          </cell>
          <cell r="F1487" t="str">
            <v>MARISCAL NIETO</v>
          </cell>
          <cell r="G1487" t="str">
            <v>TORATA</v>
          </cell>
          <cell r="H1487" t="str">
            <v>012523</v>
          </cell>
          <cell r="I1487" t="str">
            <v>2</v>
          </cell>
        </row>
        <row r="1488">
          <cell r="A1488" t="str">
            <v>MOQUEGUAGENERAL SANCHEZ CERROOMATE</v>
          </cell>
          <cell r="B1488" t="str">
            <v>18</v>
          </cell>
          <cell r="C1488" t="str">
            <v>02</v>
          </cell>
          <cell r="D1488" t="str">
            <v>01</v>
          </cell>
          <cell r="E1488" t="str">
            <v>MOQUEGUA</v>
          </cell>
          <cell r="F1488" t="str">
            <v>GENERAL SANCHEZ CERRO</v>
          </cell>
          <cell r="G1488" t="str">
            <v>OMATE</v>
          </cell>
          <cell r="H1488" t="str">
            <v>011488</v>
          </cell>
          <cell r="I1488" t="str">
            <v>1</v>
          </cell>
        </row>
        <row r="1489">
          <cell r="A1489" t="str">
            <v>MOQUEGUAGENERAL SANCHEZ CERROCHOJATA</v>
          </cell>
          <cell r="B1489" t="str">
            <v>18</v>
          </cell>
          <cell r="C1489" t="str">
            <v>02</v>
          </cell>
          <cell r="D1489" t="str">
            <v>02</v>
          </cell>
          <cell r="E1489" t="str">
            <v>MOQUEGUA</v>
          </cell>
          <cell r="F1489" t="str">
            <v>GENERAL SANCHEZ CERRO</v>
          </cell>
          <cell r="G1489" t="str">
            <v>CHOJATA</v>
          </cell>
          <cell r="H1489" t="str">
            <v>011489</v>
          </cell>
          <cell r="I1489" t="str">
            <v>2</v>
          </cell>
        </row>
        <row r="1490">
          <cell r="A1490" t="str">
            <v>MOQUEGUAGENERAL SANCHEZ CERROCOALAQUE</v>
          </cell>
          <cell r="B1490" t="str">
            <v>18</v>
          </cell>
          <cell r="C1490" t="str">
            <v>02</v>
          </cell>
          <cell r="D1490" t="str">
            <v>03</v>
          </cell>
          <cell r="E1490" t="str">
            <v>MOQUEGUA</v>
          </cell>
          <cell r="F1490" t="str">
            <v>GENERAL SANCHEZ CERRO</v>
          </cell>
          <cell r="G1490" t="str">
            <v>COALAQUE</v>
          </cell>
          <cell r="H1490" t="str">
            <v>012219</v>
          </cell>
          <cell r="I1490" t="str">
            <v>2</v>
          </cell>
        </row>
        <row r="1491">
          <cell r="A1491" t="str">
            <v>MOQUEGUAGENERAL SANCHEZ CERROICHUÑA</v>
          </cell>
          <cell r="B1491" t="str">
            <v>18</v>
          </cell>
          <cell r="C1491" t="str">
            <v>02</v>
          </cell>
          <cell r="D1491" t="str">
            <v>04</v>
          </cell>
          <cell r="E1491" t="str">
            <v>MOQUEGUA</v>
          </cell>
          <cell r="F1491" t="str">
            <v>GENERAL SANCHEZ CERRO</v>
          </cell>
          <cell r="G1491" t="str">
            <v>ICHUÑA</v>
          </cell>
          <cell r="H1491" t="str">
            <v>012218</v>
          </cell>
          <cell r="I1491" t="str">
            <v>2</v>
          </cell>
        </row>
        <row r="1492">
          <cell r="A1492" t="str">
            <v>MOQUEGUAGENERAL SANCHEZ CERROLA CAPILLA</v>
          </cell>
          <cell r="B1492" t="str">
            <v>18</v>
          </cell>
          <cell r="C1492" t="str">
            <v>02</v>
          </cell>
          <cell r="D1492" t="str">
            <v>05</v>
          </cell>
          <cell r="E1492" t="str">
            <v>MOQUEGUA</v>
          </cell>
          <cell r="F1492" t="str">
            <v>GENERAL SANCHEZ CERRO</v>
          </cell>
          <cell r="G1492" t="str">
            <v>LA CAPILLA</v>
          </cell>
          <cell r="H1492" t="str">
            <v>011492</v>
          </cell>
          <cell r="I1492" t="str">
            <v>2</v>
          </cell>
        </row>
        <row r="1493">
          <cell r="A1493" t="str">
            <v>MOQUEGUAGENERAL SANCHEZ CERROLLOQUE</v>
          </cell>
          <cell r="B1493" t="str">
            <v>18</v>
          </cell>
          <cell r="C1493" t="str">
            <v>02</v>
          </cell>
          <cell r="D1493" t="str">
            <v>06</v>
          </cell>
          <cell r="E1493" t="str">
            <v>MOQUEGUA</v>
          </cell>
          <cell r="F1493" t="str">
            <v>GENERAL SANCHEZ CERRO</v>
          </cell>
          <cell r="G1493" t="str">
            <v>LLOQUE</v>
          </cell>
          <cell r="H1493" t="str">
            <v>011493</v>
          </cell>
          <cell r="I1493" t="str">
            <v>2</v>
          </cell>
        </row>
        <row r="1494">
          <cell r="A1494" t="str">
            <v>MOQUEGUAGENERAL SANCHEZ CERROMATALAQUE</v>
          </cell>
          <cell r="B1494" t="str">
            <v>18</v>
          </cell>
          <cell r="C1494" t="str">
            <v>02</v>
          </cell>
          <cell r="D1494" t="str">
            <v>07</v>
          </cell>
          <cell r="E1494" t="str">
            <v>MOQUEGUA</v>
          </cell>
          <cell r="F1494" t="str">
            <v>GENERAL SANCHEZ CERRO</v>
          </cell>
          <cell r="G1494" t="str">
            <v>MATALAQUE</v>
          </cell>
          <cell r="H1494" t="str">
            <v>011494</v>
          </cell>
          <cell r="I1494" t="str">
            <v>2</v>
          </cell>
        </row>
        <row r="1495">
          <cell r="A1495" t="str">
            <v>MOQUEGUAGENERAL SANCHEZ CERROPUQUINA</v>
          </cell>
          <cell r="B1495" t="str">
            <v>18</v>
          </cell>
          <cell r="C1495" t="str">
            <v>02</v>
          </cell>
          <cell r="D1495" t="str">
            <v>08</v>
          </cell>
          <cell r="E1495" t="str">
            <v>MOQUEGUA</v>
          </cell>
          <cell r="F1495" t="str">
            <v>GENERAL SANCHEZ CERRO</v>
          </cell>
          <cell r="G1495" t="str">
            <v>PUQUINA</v>
          </cell>
          <cell r="H1495" t="str">
            <v>011495</v>
          </cell>
          <cell r="I1495" t="str">
            <v>2</v>
          </cell>
        </row>
        <row r="1496">
          <cell r="A1496" t="str">
            <v>MOQUEGUAGENERAL SANCHEZ CERROQUINISTAQUILLAS</v>
          </cell>
          <cell r="B1496" t="str">
            <v>18</v>
          </cell>
          <cell r="C1496" t="str">
            <v>02</v>
          </cell>
          <cell r="D1496" t="str">
            <v>09</v>
          </cell>
          <cell r="E1496" t="str">
            <v>MOQUEGUA</v>
          </cell>
          <cell r="F1496" t="str">
            <v>GENERAL SANCHEZ CERRO</v>
          </cell>
          <cell r="G1496" t="str">
            <v>QUINISTAQUILLAS</v>
          </cell>
          <cell r="H1496" t="str">
            <v>011496</v>
          </cell>
          <cell r="I1496" t="str">
            <v>2</v>
          </cell>
        </row>
        <row r="1497">
          <cell r="A1497" t="str">
            <v>MOQUEGUAGENERAL SANCHEZ CERROUBINAS</v>
          </cell>
          <cell r="B1497" t="str">
            <v>18</v>
          </cell>
          <cell r="C1497" t="str">
            <v>02</v>
          </cell>
          <cell r="D1497" t="str">
            <v>10</v>
          </cell>
          <cell r="E1497" t="str">
            <v>MOQUEGUA</v>
          </cell>
          <cell r="F1497" t="str">
            <v>GENERAL SANCHEZ CERRO</v>
          </cell>
          <cell r="G1497" t="str">
            <v>UBINAS</v>
          </cell>
          <cell r="H1497" t="str">
            <v>011497</v>
          </cell>
          <cell r="I1497" t="str">
            <v>2</v>
          </cell>
        </row>
        <row r="1498">
          <cell r="A1498" t="str">
            <v>MOQUEGUAGENERAL SANCHEZ CERROYUNGA</v>
          </cell>
          <cell r="B1498" t="str">
            <v>18</v>
          </cell>
          <cell r="C1498" t="str">
            <v>02</v>
          </cell>
          <cell r="D1498" t="str">
            <v>11</v>
          </cell>
          <cell r="E1498" t="str">
            <v>MOQUEGUA</v>
          </cell>
          <cell r="F1498" t="str">
            <v>GENERAL SANCHEZ CERRO</v>
          </cell>
          <cell r="G1498" t="str">
            <v>YUNGA</v>
          </cell>
          <cell r="H1498" t="str">
            <v>011498</v>
          </cell>
          <cell r="I1498" t="str">
            <v>2</v>
          </cell>
        </row>
        <row r="1499">
          <cell r="A1499" t="str">
            <v>MOQUEGUAILOILO</v>
          </cell>
          <cell r="B1499" t="str">
            <v>18</v>
          </cell>
          <cell r="C1499" t="str">
            <v>03</v>
          </cell>
          <cell r="D1499" t="str">
            <v>01</v>
          </cell>
          <cell r="E1499" t="str">
            <v>MOQUEGUA</v>
          </cell>
          <cell r="F1499" t="str">
            <v>ILO</v>
          </cell>
          <cell r="G1499" t="str">
            <v>ILO</v>
          </cell>
          <cell r="H1499" t="str">
            <v>011499</v>
          </cell>
          <cell r="I1499" t="str">
            <v>1</v>
          </cell>
        </row>
        <row r="1500">
          <cell r="A1500" t="str">
            <v>MOQUEGUAILOEL ALGARROBAL</v>
          </cell>
          <cell r="B1500" t="str">
            <v>18</v>
          </cell>
          <cell r="C1500" t="str">
            <v>03</v>
          </cell>
          <cell r="D1500" t="str">
            <v>02</v>
          </cell>
          <cell r="E1500" t="str">
            <v>MOQUEGUA</v>
          </cell>
          <cell r="F1500" t="str">
            <v>ILO</v>
          </cell>
          <cell r="G1500" t="str">
            <v>EL ALGARROBAL</v>
          </cell>
          <cell r="H1500" t="str">
            <v>011500</v>
          </cell>
          <cell r="I1500" t="str">
            <v>2</v>
          </cell>
        </row>
        <row r="1501">
          <cell r="A1501" t="str">
            <v>MOQUEGUAILOPACOCHA</v>
          </cell>
          <cell r="B1501" t="str">
            <v>18</v>
          </cell>
          <cell r="C1501" t="str">
            <v>03</v>
          </cell>
          <cell r="D1501" t="str">
            <v>03</v>
          </cell>
          <cell r="E1501" t="str">
            <v>MOQUEGUA</v>
          </cell>
          <cell r="F1501" t="str">
            <v>ILO</v>
          </cell>
          <cell r="G1501" t="str">
            <v>PACOCHA</v>
          </cell>
          <cell r="H1501" t="str">
            <v>012220</v>
          </cell>
          <cell r="I1501" t="str">
            <v>2</v>
          </cell>
        </row>
        <row r="1502">
          <cell r="A1502" t="str">
            <v>PASCOPASCOCHAUPIMARCA</v>
          </cell>
          <cell r="B1502" t="str">
            <v>19</v>
          </cell>
          <cell r="C1502" t="str">
            <v>01</v>
          </cell>
          <cell r="D1502" t="str">
            <v>01</v>
          </cell>
          <cell r="E1502" t="str">
            <v>PASCO</v>
          </cell>
          <cell r="F1502" t="str">
            <v>PASCO</v>
          </cell>
          <cell r="G1502" t="str">
            <v>CHAUPIMARCA</v>
          </cell>
          <cell r="H1502" t="str">
            <v>011502</v>
          </cell>
          <cell r="I1502" t="str">
            <v>1</v>
          </cell>
        </row>
        <row r="1503">
          <cell r="A1503" t="str">
            <v>PASCOPASCOHUACHON</v>
          </cell>
          <cell r="B1503" t="str">
            <v>19</v>
          </cell>
          <cell r="C1503" t="str">
            <v>01</v>
          </cell>
          <cell r="D1503" t="str">
            <v>02</v>
          </cell>
          <cell r="E1503" t="str">
            <v>PASCO</v>
          </cell>
          <cell r="F1503" t="str">
            <v>PASCO</v>
          </cell>
          <cell r="G1503" t="str">
            <v>HUACHON</v>
          </cell>
          <cell r="H1503" t="str">
            <v>011508</v>
          </cell>
          <cell r="I1503" t="str">
            <v>2</v>
          </cell>
        </row>
        <row r="1504">
          <cell r="A1504" t="str">
            <v>PASCOPASCOHUARIACA</v>
          </cell>
          <cell r="B1504" t="str">
            <v>19</v>
          </cell>
          <cell r="C1504" t="str">
            <v>01</v>
          </cell>
          <cell r="D1504" t="str">
            <v>03</v>
          </cell>
          <cell r="E1504" t="str">
            <v>PASCO</v>
          </cell>
          <cell r="F1504" t="str">
            <v>PASCO</v>
          </cell>
          <cell r="G1504" t="str">
            <v>HUARIACA</v>
          </cell>
          <cell r="H1504" t="str">
            <v>011509</v>
          </cell>
          <cell r="I1504" t="str">
            <v>2</v>
          </cell>
        </row>
        <row r="1505">
          <cell r="A1505" t="str">
            <v>PASCOPASCOHUAYLLAY</v>
          </cell>
          <cell r="B1505" t="str">
            <v>19</v>
          </cell>
          <cell r="C1505" t="str">
            <v>01</v>
          </cell>
          <cell r="D1505" t="str">
            <v>04</v>
          </cell>
          <cell r="E1505" t="str">
            <v>PASCO</v>
          </cell>
          <cell r="F1505" t="str">
            <v>PASCO</v>
          </cell>
          <cell r="G1505" t="str">
            <v>HUAYLLAY</v>
          </cell>
          <cell r="H1505" t="str">
            <v>011503</v>
          </cell>
          <cell r="I1505" t="str">
            <v>2</v>
          </cell>
        </row>
        <row r="1506">
          <cell r="A1506" t="str">
            <v>PASCOPASCONINACACA</v>
          </cell>
          <cell r="B1506" t="str">
            <v>19</v>
          </cell>
          <cell r="C1506" t="str">
            <v>01</v>
          </cell>
          <cell r="D1506" t="str">
            <v>05</v>
          </cell>
          <cell r="E1506" t="str">
            <v>PASCO</v>
          </cell>
          <cell r="F1506" t="str">
            <v>PASCO</v>
          </cell>
          <cell r="G1506" t="str">
            <v>NINACACA</v>
          </cell>
          <cell r="H1506" t="str">
            <v>012224</v>
          </cell>
          <cell r="I1506" t="str">
            <v>2</v>
          </cell>
        </row>
        <row r="1507">
          <cell r="A1507" t="str">
            <v>PASCOPASCOPALLANCHACRA</v>
          </cell>
          <cell r="B1507" t="str">
            <v>19</v>
          </cell>
          <cell r="C1507" t="str">
            <v>01</v>
          </cell>
          <cell r="D1507" t="str">
            <v>06</v>
          </cell>
          <cell r="E1507" t="str">
            <v>PASCO</v>
          </cell>
          <cell r="F1507" t="str">
            <v>PASCO</v>
          </cell>
          <cell r="G1507" t="str">
            <v>PALLANCHACRA</v>
          </cell>
          <cell r="H1507" t="str">
            <v>011511</v>
          </cell>
          <cell r="I1507" t="str">
            <v>2</v>
          </cell>
        </row>
        <row r="1508">
          <cell r="A1508" t="str">
            <v>PASCOPASCOPAUCARTAMBO</v>
          </cell>
          <cell r="B1508" t="str">
            <v>19</v>
          </cell>
          <cell r="C1508" t="str">
            <v>01</v>
          </cell>
          <cell r="D1508" t="str">
            <v>07</v>
          </cell>
          <cell r="E1508" t="str">
            <v>PASCO</v>
          </cell>
          <cell r="F1508" t="str">
            <v>PASCO</v>
          </cell>
          <cell r="G1508" t="str">
            <v>PAUCARTAMBO</v>
          </cell>
          <cell r="H1508" t="str">
            <v>011512</v>
          </cell>
          <cell r="I1508" t="str">
            <v>2</v>
          </cell>
        </row>
        <row r="1509">
          <cell r="A1509" t="str">
            <v>PASCOPASCOSAN FCO.DE ASIS DE YARUSYACAN</v>
          </cell>
          <cell r="B1509" t="str">
            <v>19</v>
          </cell>
          <cell r="C1509" t="str">
            <v>01</v>
          </cell>
          <cell r="D1509" t="str">
            <v>08</v>
          </cell>
          <cell r="E1509" t="str">
            <v>PASCO</v>
          </cell>
          <cell r="F1509" t="str">
            <v>PASCO</v>
          </cell>
          <cell r="G1509" t="str">
            <v>SAN FCO.DE ASIS DE YARUSYACAN</v>
          </cell>
          <cell r="H1509" t="str">
            <v>011513</v>
          </cell>
          <cell r="I1509" t="str">
            <v>2</v>
          </cell>
        </row>
        <row r="1510">
          <cell r="A1510" t="str">
            <v>PASCOPASCOSIMON BOLIVAR</v>
          </cell>
          <cell r="B1510" t="str">
            <v>19</v>
          </cell>
          <cell r="C1510" t="str">
            <v>01</v>
          </cell>
          <cell r="D1510" t="str">
            <v>09</v>
          </cell>
          <cell r="E1510" t="str">
            <v>PASCO</v>
          </cell>
          <cell r="F1510" t="str">
            <v>PASCO</v>
          </cell>
          <cell r="G1510" t="str">
            <v>SIMON BOLIVAR</v>
          </cell>
          <cell r="H1510" t="str">
            <v>011504</v>
          </cell>
          <cell r="I1510" t="str">
            <v>2</v>
          </cell>
        </row>
        <row r="1511">
          <cell r="A1511" t="str">
            <v>PASCOPASCOTICLACAYAN</v>
          </cell>
          <cell r="B1511" t="str">
            <v>19</v>
          </cell>
          <cell r="C1511" t="str">
            <v>01</v>
          </cell>
          <cell r="D1511" t="str">
            <v>10</v>
          </cell>
          <cell r="E1511" t="str">
            <v>PASCO</v>
          </cell>
          <cell r="F1511" t="str">
            <v>PASCO</v>
          </cell>
          <cell r="G1511" t="str">
            <v>TICLACAYAN</v>
          </cell>
          <cell r="H1511" t="str">
            <v>011514</v>
          </cell>
          <cell r="I1511" t="str">
            <v>2</v>
          </cell>
        </row>
        <row r="1512">
          <cell r="A1512" t="str">
            <v>PASCOPASCOTINYAHUARCO</v>
          </cell>
          <cell r="B1512" t="str">
            <v>19</v>
          </cell>
          <cell r="C1512" t="str">
            <v>01</v>
          </cell>
          <cell r="D1512" t="str">
            <v>11</v>
          </cell>
          <cell r="E1512" t="str">
            <v>PASCO</v>
          </cell>
          <cell r="F1512" t="str">
            <v>PASCO</v>
          </cell>
          <cell r="G1512" t="str">
            <v>TINYAHUARCO</v>
          </cell>
          <cell r="H1512" t="str">
            <v>011505</v>
          </cell>
          <cell r="I1512" t="str">
            <v>2</v>
          </cell>
        </row>
        <row r="1513">
          <cell r="A1513" t="str">
            <v>PASCOPASCOVICCO</v>
          </cell>
          <cell r="B1513" t="str">
            <v>19</v>
          </cell>
          <cell r="C1513" t="str">
            <v>01</v>
          </cell>
          <cell r="D1513" t="str">
            <v>12</v>
          </cell>
          <cell r="E1513" t="str">
            <v>PASCO</v>
          </cell>
          <cell r="F1513" t="str">
            <v>PASCO</v>
          </cell>
          <cell r="G1513" t="str">
            <v>VICCO</v>
          </cell>
          <cell r="H1513" t="str">
            <v>011506</v>
          </cell>
          <cell r="I1513" t="str">
            <v>2</v>
          </cell>
        </row>
        <row r="1514">
          <cell r="A1514" t="str">
            <v>PASCOPASCOYANACANCHA</v>
          </cell>
          <cell r="B1514" t="str">
            <v>19</v>
          </cell>
          <cell r="C1514" t="str">
            <v>01</v>
          </cell>
          <cell r="D1514" t="str">
            <v>13</v>
          </cell>
          <cell r="E1514" t="str">
            <v>PASCO</v>
          </cell>
          <cell r="F1514" t="str">
            <v>PASCO</v>
          </cell>
          <cell r="G1514" t="str">
            <v>YANACANCHA</v>
          </cell>
          <cell r="H1514" t="str">
            <v>011507</v>
          </cell>
          <cell r="I1514" t="str">
            <v>2</v>
          </cell>
        </row>
        <row r="1515">
          <cell r="A1515" t="str">
            <v>PASCODANIEL ALCIDES CARRIONYANAHUANCA</v>
          </cell>
          <cell r="B1515" t="str">
            <v>19</v>
          </cell>
          <cell r="C1515" t="str">
            <v>02</v>
          </cell>
          <cell r="D1515" t="str">
            <v>01</v>
          </cell>
          <cell r="E1515" t="str">
            <v>PASCO</v>
          </cell>
          <cell r="F1515" t="str">
            <v>DANIEL ALCIDES CARRION</v>
          </cell>
          <cell r="G1515" t="str">
            <v>YANAHUANCA</v>
          </cell>
          <cell r="H1515" t="str">
            <v>011515</v>
          </cell>
          <cell r="I1515" t="str">
            <v>1</v>
          </cell>
        </row>
        <row r="1516">
          <cell r="A1516" t="str">
            <v>PASCODANIEL ALCIDES CARRIONCHACAYAN</v>
          </cell>
          <cell r="B1516" t="str">
            <v>19</v>
          </cell>
          <cell r="C1516" t="str">
            <v>02</v>
          </cell>
          <cell r="D1516" t="str">
            <v>02</v>
          </cell>
          <cell r="E1516" t="str">
            <v>PASCO</v>
          </cell>
          <cell r="F1516" t="str">
            <v>DANIEL ALCIDES CARRION</v>
          </cell>
          <cell r="G1516" t="str">
            <v>CHACAYAN</v>
          </cell>
          <cell r="H1516" t="str">
            <v>011516</v>
          </cell>
          <cell r="I1516" t="str">
            <v>2</v>
          </cell>
        </row>
        <row r="1517">
          <cell r="A1517" t="str">
            <v>PASCODANIEL ALCIDES CARRIONGOYLLARISQUIZGA</v>
          </cell>
          <cell r="B1517" t="str">
            <v>19</v>
          </cell>
          <cell r="C1517" t="str">
            <v>02</v>
          </cell>
          <cell r="D1517" t="str">
            <v>03</v>
          </cell>
          <cell r="E1517" t="str">
            <v>PASCO</v>
          </cell>
          <cell r="F1517" t="str">
            <v>DANIEL ALCIDES CARRION</v>
          </cell>
          <cell r="G1517" t="str">
            <v>GOYLLARISQUIZGA</v>
          </cell>
          <cell r="H1517" t="str">
            <v>011517</v>
          </cell>
          <cell r="I1517" t="str">
            <v>2</v>
          </cell>
        </row>
        <row r="1518">
          <cell r="A1518" t="str">
            <v>PASCODANIEL ALCIDES CARRIONPAUCAR</v>
          </cell>
          <cell r="B1518" t="str">
            <v>19</v>
          </cell>
          <cell r="C1518" t="str">
            <v>02</v>
          </cell>
          <cell r="D1518" t="str">
            <v>04</v>
          </cell>
          <cell r="E1518" t="str">
            <v>PASCO</v>
          </cell>
          <cell r="F1518" t="str">
            <v>DANIEL ALCIDES CARRION</v>
          </cell>
          <cell r="G1518" t="str">
            <v>PAUCAR</v>
          </cell>
          <cell r="H1518" t="str">
            <v>011518</v>
          </cell>
          <cell r="I1518" t="str">
            <v>2</v>
          </cell>
        </row>
        <row r="1519">
          <cell r="A1519" t="str">
            <v>PASCODANIEL ALCIDES CARRIONSAN PEDRO DE PILLAO</v>
          </cell>
          <cell r="B1519" t="str">
            <v>19</v>
          </cell>
          <cell r="C1519" t="str">
            <v>02</v>
          </cell>
          <cell r="D1519" t="str">
            <v>05</v>
          </cell>
          <cell r="E1519" t="str">
            <v>PASCO</v>
          </cell>
          <cell r="F1519" t="str">
            <v>DANIEL ALCIDES CARRION</v>
          </cell>
          <cell r="G1519" t="str">
            <v>SAN PEDRO DE PILLAO</v>
          </cell>
          <cell r="H1519" t="str">
            <v>011519</v>
          </cell>
          <cell r="I1519" t="str">
            <v>2</v>
          </cell>
        </row>
        <row r="1520">
          <cell r="A1520" t="str">
            <v>PASCODANIEL ALCIDES CARRIONSANTA ANA DE TUSI</v>
          </cell>
          <cell r="B1520" t="str">
            <v>19</v>
          </cell>
          <cell r="C1520" t="str">
            <v>02</v>
          </cell>
          <cell r="D1520" t="str">
            <v>06</v>
          </cell>
          <cell r="E1520" t="str">
            <v>PASCO</v>
          </cell>
          <cell r="F1520" t="str">
            <v>DANIEL ALCIDES CARRION</v>
          </cell>
          <cell r="G1520" t="str">
            <v>SANTA ANA DE TUSI</v>
          </cell>
          <cell r="H1520" t="str">
            <v>012227</v>
          </cell>
          <cell r="I1520" t="str">
            <v>2</v>
          </cell>
        </row>
        <row r="1521">
          <cell r="A1521" t="str">
            <v>PASCODANIEL ALCIDES CARRIONTAPUC</v>
          </cell>
          <cell r="B1521" t="str">
            <v>19</v>
          </cell>
          <cell r="C1521" t="str">
            <v>02</v>
          </cell>
          <cell r="D1521" t="str">
            <v>07</v>
          </cell>
          <cell r="E1521" t="str">
            <v>PASCO</v>
          </cell>
          <cell r="F1521" t="str">
            <v>DANIEL ALCIDES CARRION</v>
          </cell>
          <cell r="G1521" t="str">
            <v>TAPUC</v>
          </cell>
          <cell r="H1521" t="str">
            <v>011521</v>
          </cell>
          <cell r="I1521" t="str">
            <v>2</v>
          </cell>
        </row>
        <row r="1522">
          <cell r="A1522" t="str">
            <v>PASCODANIEL ALCIDES CARRIONVILCABAMBA</v>
          </cell>
          <cell r="B1522" t="str">
            <v>19</v>
          </cell>
          <cell r="C1522" t="str">
            <v>02</v>
          </cell>
          <cell r="D1522" t="str">
            <v>08</v>
          </cell>
          <cell r="E1522" t="str">
            <v>PASCO</v>
          </cell>
          <cell r="F1522" t="str">
            <v>DANIEL ALCIDES CARRION</v>
          </cell>
          <cell r="G1522" t="str">
            <v>VILCABAMBA</v>
          </cell>
          <cell r="H1522" t="str">
            <v>011522</v>
          </cell>
          <cell r="I1522" t="str">
            <v>2</v>
          </cell>
        </row>
        <row r="1523">
          <cell r="A1523" t="str">
            <v>PASCOOXAPAMPAOXAPAMPA</v>
          </cell>
          <cell r="B1523" t="str">
            <v>19</v>
          </cell>
          <cell r="C1523" t="str">
            <v>03</v>
          </cell>
          <cell r="D1523" t="str">
            <v>01</v>
          </cell>
          <cell r="E1523" t="str">
            <v>PASCO</v>
          </cell>
          <cell r="F1523" t="str">
            <v>OXAPAMPA</v>
          </cell>
          <cell r="G1523" t="str">
            <v>OXAPAMPA</v>
          </cell>
          <cell r="H1523" t="str">
            <v>011523</v>
          </cell>
          <cell r="I1523" t="str">
            <v>1</v>
          </cell>
        </row>
        <row r="1524">
          <cell r="A1524" t="str">
            <v>PASCOOXAPAMPACHONTABAMBA</v>
          </cell>
          <cell r="B1524" t="str">
            <v>19</v>
          </cell>
          <cell r="C1524" t="str">
            <v>03</v>
          </cell>
          <cell r="D1524" t="str">
            <v>02</v>
          </cell>
          <cell r="E1524" t="str">
            <v>PASCO</v>
          </cell>
          <cell r="F1524" t="str">
            <v>OXAPAMPA</v>
          </cell>
          <cell r="G1524" t="str">
            <v>CHONTABAMBA</v>
          </cell>
          <cell r="H1524" t="str">
            <v>012230</v>
          </cell>
          <cell r="I1524" t="str">
            <v>2</v>
          </cell>
        </row>
        <row r="1525">
          <cell r="A1525" t="str">
            <v>PASCOOXAPAMPAHUANCABAMBA</v>
          </cell>
          <cell r="B1525" t="str">
            <v>19</v>
          </cell>
          <cell r="C1525" t="str">
            <v>03</v>
          </cell>
          <cell r="D1525" t="str">
            <v>03</v>
          </cell>
          <cell r="E1525" t="str">
            <v>PASCO</v>
          </cell>
          <cell r="F1525" t="str">
            <v>OXAPAMPA</v>
          </cell>
          <cell r="G1525" t="str">
            <v>HUANCABAMBA</v>
          </cell>
          <cell r="H1525" t="str">
            <v>011525</v>
          </cell>
          <cell r="I1525" t="str">
            <v>2</v>
          </cell>
        </row>
        <row r="1526">
          <cell r="A1526" t="str">
            <v>PASCOOXAPAMPAPALCAZU</v>
          </cell>
          <cell r="B1526" t="str">
            <v>19</v>
          </cell>
          <cell r="C1526" t="str">
            <v>03</v>
          </cell>
          <cell r="D1526" t="str">
            <v>04</v>
          </cell>
          <cell r="E1526" t="str">
            <v>PASCO</v>
          </cell>
          <cell r="F1526" t="str">
            <v>OXAPAMPA</v>
          </cell>
          <cell r="G1526" t="str">
            <v>PALCAZU</v>
          </cell>
          <cell r="H1526" t="str">
            <v>011526</v>
          </cell>
          <cell r="I1526" t="str">
            <v>2</v>
          </cell>
        </row>
        <row r="1527">
          <cell r="A1527" t="str">
            <v>PASCOOXAPAMPAPOZUZO</v>
          </cell>
          <cell r="B1527" t="str">
            <v>19</v>
          </cell>
          <cell r="C1527" t="str">
            <v>03</v>
          </cell>
          <cell r="D1527" t="str">
            <v>05</v>
          </cell>
          <cell r="E1527" t="str">
            <v>PASCO</v>
          </cell>
          <cell r="F1527" t="str">
            <v>OXAPAMPA</v>
          </cell>
          <cell r="G1527" t="str">
            <v>POZUZO</v>
          </cell>
          <cell r="H1527" t="str">
            <v>012225</v>
          </cell>
          <cell r="I1527" t="str">
            <v>2</v>
          </cell>
        </row>
        <row r="1528">
          <cell r="A1528" t="str">
            <v>PASCOOXAPAMPAPUERTO BERMUDEZ</v>
          </cell>
          <cell r="B1528" t="str">
            <v>19</v>
          </cell>
          <cell r="C1528" t="str">
            <v>03</v>
          </cell>
          <cell r="D1528" t="str">
            <v>06</v>
          </cell>
          <cell r="E1528" t="str">
            <v>PASCO</v>
          </cell>
          <cell r="F1528" t="str">
            <v>OXAPAMPA</v>
          </cell>
          <cell r="G1528" t="str">
            <v>PUERTO BERMUDEZ</v>
          </cell>
          <cell r="H1528" t="str">
            <v>012226</v>
          </cell>
          <cell r="I1528" t="str">
            <v>2</v>
          </cell>
        </row>
        <row r="1529">
          <cell r="A1529" t="str">
            <v>PASCOOXAPAMPAVILLA RICA</v>
          </cell>
          <cell r="B1529" t="str">
            <v>19</v>
          </cell>
          <cell r="C1529" t="str">
            <v>03</v>
          </cell>
          <cell r="D1529" t="str">
            <v>07</v>
          </cell>
          <cell r="E1529" t="str">
            <v>PASCO</v>
          </cell>
          <cell r="F1529" t="str">
            <v>OXAPAMPA</v>
          </cell>
          <cell r="G1529" t="str">
            <v>VILLA RICA</v>
          </cell>
          <cell r="H1529" t="str">
            <v>011529</v>
          </cell>
          <cell r="I1529" t="str">
            <v>2</v>
          </cell>
        </row>
        <row r="1530">
          <cell r="A1530" t="str">
            <v>PIURAPIURAPIURA</v>
          </cell>
          <cell r="B1530" t="str">
            <v>20</v>
          </cell>
          <cell r="C1530" t="str">
            <v>01</v>
          </cell>
          <cell r="D1530" t="str">
            <v>01</v>
          </cell>
          <cell r="E1530" t="str">
            <v>PIURA</v>
          </cell>
          <cell r="F1530" t="str">
            <v>PIURA</v>
          </cell>
          <cell r="G1530" t="str">
            <v>PIURA</v>
          </cell>
          <cell r="H1530" t="str">
            <v>011530</v>
          </cell>
          <cell r="I1530" t="str">
            <v>1</v>
          </cell>
        </row>
        <row r="1531">
          <cell r="A1531" t="str">
            <v>PIURAPIURACASTILLA</v>
          </cell>
          <cell r="B1531" t="str">
            <v>20</v>
          </cell>
          <cell r="C1531" t="str">
            <v>01</v>
          </cell>
          <cell r="D1531" t="str">
            <v>04</v>
          </cell>
          <cell r="E1531" t="str">
            <v>PIURA</v>
          </cell>
          <cell r="F1531" t="str">
            <v>PIURA</v>
          </cell>
          <cell r="G1531" t="str">
            <v>CASTILLA</v>
          </cell>
          <cell r="H1531" t="str">
            <v>012235</v>
          </cell>
          <cell r="I1531" t="str">
            <v>2</v>
          </cell>
        </row>
        <row r="1532">
          <cell r="A1532" t="str">
            <v>PIURAPIURACATACAOS</v>
          </cell>
          <cell r="B1532" t="str">
            <v>20</v>
          </cell>
          <cell r="C1532" t="str">
            <v>01</v>
          </cell>
          <cell r="D1532" t="str">
            <v>05</v>
          </cell>
          <cell r="E1532" t="str">
            <v>PIURA</v>
          </cell>
          <cell r="F1532" t="str">
            <v>PIURA</v>
          </cell>
          <cell r="G1532" t="str">
            <v>CATACAOS</v>
          </cell>
          <cell r="H1532" t="str">
            <v>011532</v>
          </cell>
          <cell r="I1532" t="str">
            <v>2</v>
          </cell>
        </row>
        <row r="1533">
          <cell r="A1533" t="str">
            <v>PIURAPIURACURA MORI</v>
          </cell>
          <cell r="B1533" t="str">
            <v>20</v>
          </cell>
          <cell r="C1533" t="str">
            <v>01</v>
          </cell>
          <cell r="D1533" t="str">
            <v>07</v>
          </cell>
          <cell r="E1533" t="str">
            <v>PIURA</v>
          </cell>
          <cell r="F1533" t="str">
            <v>PIURA</v>
          </cell>
          <cell r="G1533" t="str">
            <v>CURA MORI</v>
          </cell>
          <cell r="H1533" t="str">
            <v>011533</v>
          </cell>
          <cell r="I1533" t="str">
            <v>2</v>
          </cell>
        </row>
        <row r="1534">
          <cell r="A1534" t="str">
            <v>PIURAPIURAEL TALLAN</v>
          </cell>
          <cell r="B1534" t="str">
            <v>20</v>
          </cell>
          <cell r="C1534" t="str">
            <v>01</v>
          </cell>
          <cell r="D1534" t="str">
            <v>08</v>
          </cell>
          <cell r="E1534" t="str">
            <v>PIURA</v>
          </cell>
          <cell r="F1534" t="str">
            <v>PIURA</v>
          </cell>
          <cell r="G1534" t="str">
            <v>EL TALLAN</v>
          </cell>
          <cell r="H1534" t="str">
            <v>011534</v>
          </cell>
          <cell r="I1534" t="str">
            <v>2</v>
          </cell>
        </row>
        <row r="1535">
          <cell r="A1535" t="str">
            <v>PIURAPIURALA ARENA</v>
          </cell>
          <cell r="B1535" t="str">
            <v>20</v>
          </cell>
          <cell r="C1535" t="str">
            <v>01</v>
          </cell>
          <cell r="D1535" t="str">
            <v>09</v>
          </cell>
          <cell r="E1535" t="str">
            <v>PIURA</v>
          </cell>
          <cell r="F1535" t="str">
            <v>PIURA</v>
          </cell>
          <cell r="G1535" t="str">
            <v>LA ARENA</v>
          </cell>
          <cell r="H1535" t="str">
            <v>012231</v>
          </cell>
          <cell r="I1535" t="str">
            <v>2</v>
          </cell>
        </row>
        <row r="1536">
          <cell r="A1536" t="str">
            <v>PIURAPIURALA UNION</v>
          </cell>
          <cell r="B1536" t="str">
            <v>20</v>
          </cell>
          <cell r="C1536" t="str">
            <v>01</v>
          </cell>
          <cell r="D1536" t="str">
            <v>10</v>
          </cell>
          <cell r="E1536" t="str">
            <v>PIURA</v>
          </cell>
          <cell r="F1536" t="str">
            <v>PIURA</v>
          </cell>
          <cell r="G1536" t="str">
            <v>LA UNION</v>
          </cell>
          <cell r="H1536" t="str">
            <v>011536</v>
          </cell>
          <cell r="I1536" t="str">
            <v>2</v>
          </cell>
        </row>
        <row r="1537">
          <cell r="A1537" t="str">
            <v>PIURAPIURALAS LOMAS</v>
          </cell>
          <cell r="B1537" t="str">
            <v>20</v>
          </cell>
          <cell r="C1537" t="str">
            <v>01</v>
          </cell>
          <cell r="D1537" t="str">
            <v>11</v>
          </cell>
          <cell r="E1537" t="str">
            <v>PIURA</v>
          </cell>
          <cell r="F1537" t="str">
            <v>PIURA</v>
          </cell>
          <cell r="G1537" t="str">
            <v>LAS LOMAS</v>
          </cell>
          <cell r="H1537" t="str">
            <v>011537</v>
          </cell>
          <cell r="I1537" t="str">
            <v>2</v>
          </cell>
        </row>
        <row r="1538">
          <cell r="A1538" t="str">
            <v>PIURAPIURATAMBO GRANDE</v>
          </cell>
          <cell r="B1538" t="str">
            <v>20</v>
          </cell>
          <cell r="C1538" t="str">
            <v>01</v>
          </cell>
          <cell r="D1538" t="str">
            <v>14</v>
          </cell>
          <cell r="E1538" t="str">
            <v>PIURA</v>
          </cell>
          <cell r="F1538" t="str">
            <v>PIURA</v>
          </cell>
          <cell r="G1538" t="str">
            <v>TAMBO GRANDE</v>
          </cell>
          <cell r="H1538" t="str">
            <v>012233</v>
          </cell>
          <cell r="I1538" t="str">
            <v>2</v>
          </cell>
        </row>
        <row r="1539">
          <cell r="A1539" t="str">
            <v>PIURAAYABACAAYABACA</v>
          </cell>
          <cell r="B1539" t="str">
            <v>20</v>
          </cell>
          <cell r="C1539" t="str">
            <v>02</v>
          </cell>
          <cell r="D1539" t="str">
            <v>01</v>
          </cell>
          <cell r="E1539" t="str">
            <v>PIURA</v>
          </cell>
          <cell r="F1539" t="str">
            <v>AYABACA</v>
          </cell>
          <cell r="G1539" t="str">
            <v>AYABACA</v>
          </cell>
          <cell r="H1539" t="str">
            <v>011539</v>
          </cell>
          <cell r="I1539" t="str">
            <v>1</v>
          </cell>
        </row>
        <row r="1540">
          <cell r="A1540" t="str">
            <v>PIURAAYABACAFRIAS</v>
          </cell>
          <cell r="B1540" t="str">
            <v>20</v>
          </cell>
          <cell r="C1540" t="str">
            <v>02</v>
          </cell>
          <cell r="D1540" t="str">
            <v>02</v>
          </cell>
          <cell r="E1540" t="str">
            <v>PIURA</v>
          </cell>
          <cell r="F1540" t="str">
            <v>AYABACA</v>
          </cell>
          <cell r="G1540" t="str">
            <v>FRIAS</v>
          </cell>
          <cell r="H1540" t="str">
            <v>011554</v>
          </cell>
          <cell r="I1540" t="str">
            <v>2</v>
          </cell>
        </row>
        <row r="1541">
          <cell r="A1541" t="str">
            <v>PIURAAYABACAJILILI</v>
          </cell>
          <cell r="B1541" t="str">
            <v>20</v>
          </cell>
          <cell r="C1541" t="str">
            <v>02</v>
          </cell>
          <cell r="D1541" t="str">
            <v>03</v>
          </cell>
          <cell r="E1541" t="str">
            <v>PIURA</v>
          </cell>
          <cell r="F1541" t="str">
            <v>AYABACA</v>
          </cell>
          <cell r="G1541" t="str">
            <v>JILILI</v>
          </cell>
          <cell r="H1541" t="str">
            <v>011546</v>
          </cell>
          <cell r="I1541" t="str">
            <v>2</v>
          </cell>
        </row>
        <row r="1542">
          <cell r="A1542" t="str">
            <v>PIURAAYABACALAGUNAS</v>
          </cell>
          <cell r="B1542" t="str">
            <v>20</v>
          </cell>
          <cell r="C1542" t="str">
            <v>02</v>
          </cell>
          <cell r="D1542" t="str">
            <v>04</v>
          </cell>
          <cell r="E1542" t="str">
            <v>PIURA</v>
          </cell>
          <cell r="F1542" t="str">
            <v>AYABACA</v>
          </cell>
          <cell r="G1542" t="str">
            <v>LAGUNAS</v>
          </cell>
          <cell r="H1542" t="str">
            <v>011541</v>
          </cell>
          <cell r="I1542" t="str">
            <v>2</v>
          </cell>
        </row>
        <row r="1543">
          <cell r="A1543" t="str">
            <v>PIURAAYABACAMONTERO</v>
          </cell>
          <cell r="B1543" t="str">
            <v>20</v>
          </cell>
          <cell r="C1543" t="str">
            <v>02</v>
          </cell>
          <cell r="D1543" t="str">
            <v>05</v>
          </cell>
          <cell r="E1543" t="str">
            <v>PIURA</v>
          </cell>
          <cell r="F1543" t="str">
            <v>AYABACA</v>
          </cell>
          <cell r="G1543" t="str">
            <v>MONTERO</v>
          </cell>
          <cell r="H1543" t="str">
            <v>011542</v>
          </cell>
          <cell r="I1543" t="str">
            <v>2</v>
          </cell>
        </row>
        <row r="1544">
          <cell r="A1544" t="str">
            <v>PIURAAYABACAPACAIPAMPA</v>
          </cell>
          <cell r="B1544" t="str">
            <v>20</v>
          </cell>
          <cell r="C1544" t="str">
            <v>02</v>
          </cell>
          <cell r="D1544" t="str">
            <v>06</v>
          </cell>
          <cell r="E1544" t="str">
            <v>PIURA</v>
          </cell>
          <cell r="F1544" t="str">
            <v>AYABACA</v>
          </cell>
          <cell r="G1544" t="str">
            <v>PACAIPAMPA</v>
          </cell>
          <cell r="H1544" t="str">
            <v>011555</v>
          </cell>
          <cell r="I1544" t="str">
            <v>2</v>
          </cell>
        </row>
        <row r="1545">
          <cell r="A1545" t="str">
            <v>PIURAAYABACAPAIMAS</v>
          </cell>
          <cell r="B1545" t="str">
            <v>20</v>
          </cell>
          <cell r="C1545" t="str">
            <v>02</v>
          </cell>
          <cell r="D1545" t="str">
            <v>07</v>
          </cell>
          <cell r="E1545" t="str">
            <v>PIURA</v>
          </cell>
          <cell r="F1545" t="str">
            <v>AYABACA</v>
          </cell>
          <cell r="G1545" t="str">
            <v>PAIMAS</v>
          </cell>
          <cell r="H1545" t="str">
            <v>011543</v>
          </cell>
          <cell r="I1545" t="str">
            <v>2</v>
          </cell>
        </row>
        <row r="1546">
          <cell r="A1546" t="str">
            <v>PIURAAYABACASAPILLICA</v>
          </cell>
          <cell r="B1546" t="str">
            <v>20</v>
          </cell>
          <cell r="C1546" t="str">
            <v>02</v>
          </cell>
          <cell r="D1546" t="str">
            <v>08</v>
          </cell>
          <cell r="E1546" t="str">
            <v>PIURA</v>
          </cell>
          <cell r="F1546" t="str">
            <v>AYABACA</v>
          </cell>
          <cell r="G1546" t="str">
            <v>SAPILLICA</v>
          </cell>
          <cell r="H1546" t="str">
            <v>011544</v>
          </cell>
          <cell r="I1546" t="str">
            <v>2</v>
          </cell>
        </row>
        <row r="1547">
          <cell r="A1547" t="str">
            <v>PIURAAYABACASICCHEZ</v>
          </cell>
          <cell r="B1547" t="str">
            <v>20</v>
          </cell>
          <cell r="C1547" t="str">
            <v>02</v>
          </cell>
          <cell r="D1547" t="str">
            <v>09</v>
          </cell>
          <cell r="E1547" t="str">
            <v>PIURA</v>
          </cell>
          <cell r="F1547" t="str">
            <v>AYABACA</v>
          </cell>
          <cell r="G1547" t="str">
            <v>SICCHEZ</v>
          </cell>
          <cell r="H1547" t="str">
            <v>011545</v>
          </cell>
          <cell r="I1547" t="str">
            <v>2</v>
          </cell>
        </row>
        <row r="1548">
          <cell r="A1548" t="str">
            <v>PIURAAYABACASUYO</v>
          </cell>
          <cell r="B1548" t="str">
            <v>20</v>
          </cell>
          <cell r="C1548" t="str">
            <v>02</v>
          </cell>
          <cell r="D1548" t="str">
            <v>10</v>
          </cell>
          <cell r="E1548" t="str">
            <v>PIURA</v>
          </cell>
          <cell r="F1548" t="str">
            <v>AYABACA</v>
          </cell>
          <cell r="G1548" t="str">
            <v>SUYO</v>
          </cell>
          <cell r="H1548" t="str">
            <v>011540</v>
          </cell>
          <cell r="I1548" t="str">
            <v>2</v>
          </cell>
        </row>
        <row r="1549">
          <cell r="A1549" t="str">
            <v>PIURAHUANCABAMBAHUANCABAMBA</v>
          </cell>
          <cell r="B1549" t="str">
            <v>20</v>
          </cell>
          <cell r="C1549" t="str">
            <v>03</v>
          </cell>
          <cell r="D1549" t="str">
            <v>01</v>
          </cell>
          <cell r="E1549" t="str">
            <v>PIURA</v>
          </cell>
          <cell r="F1549" t="str">
            <v>HUANCABAMBA</v>
          </cell>
          <cell r="G1549" t="str">
            <v>HUANCABAMBA</v>
          </cell>
          <cell r="H1549" t="str">
            <v>011547</v>
          </cell>
          <cell r="I1549" t="str">
            <v>1</v>
          </cell>
        </row>
        <row r="1550">
          <cell r="A1550" t="str">
            <v>PIURAHUANCABAMBACANCHAQUE</v>
          </cell>
          <cell r="B1550" t="str">
            <v>20</v>
          </cell>
          <cell r="C1550" t="str">
            <v>03</v>
          </cell>
          <cell r="D1550" t="str">
            <v>02</v>
          </cell>
          <cell r="E1550" t="str">
            <v>PIURA</v>
          </cell>
          <cell r="F1550" t="str">
            <v>HUANCABAMBA</v>
          </cell>
          <cell r="G1550" t="str">
            <v>CANCHAQUE</v>
          </cell>
          <cell r="H1550" t="str">
            <v>011548</v>
          </cell>
          <cell r="I1550" t="str">
            <v>2</v>
          </cell>
        </row>
        <row r="1551">
          <cell r="A1551" t="str">
            <v>PIURAHUANCABAMBAEL CARMEN DE LA FRONTERA</v>
          </cell>
          <cell r="B1551" t="str">
            <v>20</v>
          </cell>
          <cell r="C1551" t="str">
            <v>03</v>
          </cell>
          <cell r="D1551" t="str">
            <v>03</v>
          </cell>
          <cell r="E1551" t="str">
            <v>PIURA</v>
          </cell>
          <cell r="F1551" t="str">
            <v>HUANCABAMBA</v>
          </cell>
          <cell r="G1551" t="str">
            <v>EL CARMEN DE LA FRONTERA</v>
          </cell>
          <cell r="H1551" t="str">
            <v>012239</v>
          </cell>
          <cell r="I1551" t="str">
            <v>2</v>
          </cell>
        </row>
        <row r="1552">
          <cell r="A1552" t="str">
            <v>PIURAHUANCABAMBAHUARMACA</v>
          </cell>
          <cell r="B1552" t="str">
            <v>20</v>
          </cell>
          <cell r="C1552" t="str">
            <v>03</v>
          </cell>
          <cell r="D1552" t="str">
            <v>04</v>
          </cell>
          <cell r="E1552" t="str">
            <v>PIURA</v>
          </cell>
          <cell r="F1552" t="str">
            <v>HUANCABAMBA</v>
          </cell>
          <cell r="G1552" t="str">
            <v>HUARMACA</v>
          </cell>
          <cell r="H1552" t="str">
            <v>011550</v>
          </cell>
          <cell r="I1552" t="str">
            <v>2</v>
          </cell>
        </row>
        <row r="1553">
          <cell r="A1553" t="str">
            <v>PIURAHUANCABAMBALALAQUIZ</v>
          </cell>
          <cell r="B1553" t="str">
            <v>20</v>
          </cell>
          <cell r="C1553" t="str">
            <v>03</v>
          </cell>
          <cell r="D1553" t="str">
            <v>05</v>
          </cell>
          <cell r="E1553" t="str">
            <v>PIURA</v>
          </cell>
          <cell r="F1553" t="str">
            <v>HUANCABAMBA</v>
          </cell>
          <cell r="G1553" t="str">
            <v>LALAQUIZ</v>
          </cell>
          <cell r="H1553" t="str">
            <v>011561</v>
          </cell>
          <cell r="I1553" t="str">
            <v>2</v>
          </cell>
        </row>
        <row r="1554">
          <cell r="A1554" t="str">
            <v>PIURAHUANCABAMBASAN MIGUEL DE EL FAIQUE</v>
          </cell>
          <cell r="B1554" t="str">
            <v>20</v>
          </cell>
          <cell r="C1554" t="str">
            <v>03</v>
          </cell>
          <cell r="D1554" t="str">
            <v>06</v>
          </cell>
          <cell r="E1554" t="str">
            <v>PIURA</v>
          </cell>
          <cell r="F1554" t="str">
            <v>HUANCABAMBA</v>
          </cell>
          <cell r="G1554" t="str">
            <v>SAN MIGUEL DE EL FAIQUE</v>
          </cell>
          <cell r="H1554" t="str">
            <v>011551</v>
          </cell>
          <cell r="I1554" t="str">
            <v>2</v>
          </cell>
        </row>
        <row r="1555">
          <cell r="A1555" t="str">
            <v>PIURAHUANCABAMBASONDOR</v>
          </cell>
          <cell r="B1555" t="str">
            <v>20</v>
          </cell>
          <cell r="C1555" t="str">
            <v>03</v>
          </cell>
          <cell r="D1555" t="str">
            <v>07</v>
          </cell>
          <cell r="E1555" t="str">
            <v>PIURA</v>
          </cell>
          <cell r="F1555" t="str">
            <v>HUANCABAMBA</v>
          </cell>
          <cell r="G1555" t="str">
            <v>SONDOR</v>
          </cell>
          <cell r="H1555" t="str">
            <v>012240</v>
          </cell>
          <cell r="I1555" t="str">
            <v>2</v>
          </cell>
        </row>
        <row r="1556">
          <cell r="A1556" t="str">
            <v>PIURAHUANCABAMBASONDORILLO</v>
          </cell>
          <cell r="B1556" t="str">
            <v>20</v>
          </cell>
          <cell r="C1556" t="str">
            <v>03</v>
          </cell>
          <cell r="D1556" t="str">
            <v>08</v>
          </cell>
          <cell r="E1556" t="str">
            <v>PIURA</v>
          </cell>
          <cell r="F1556" t="str">
            <v>HUANCABAMBA</v>
          </cell>
          <cell r="G1556" t="str">
            <v>SONDORILLO</v>
          </cell>
          <cell r="H1556" t="str">
            <v>011553</v>
          </cell>
          <cell r="I1556" t="str">
            <v>2</v>
          </cell>
        </row>
        <row r="1557">
          <cell r="A1557" t="str">
            <v>PIURAMORROPONCHULUCANAS</v>
          </cell>
          <cell r="B1557" t="str">
            <v>20</v>
          </cell>
          <cell r="C1557" t="str">
            <v>04</v>
          </cell>
          <cell r="D1557" t="str">
            <v>01</v>
          </cell>
          <cell r="E1557" t="str">
            <v>PIURA</v>
          </cell>
          <cell r="F1557" t="str">
            <v>MORROPON</v>
          </cell>
          <cell r="G1557" t="str">
            <v>CHULUCANAS</v>
          </cell>
          <cell r="H1557" t="str">
            <v>011556</v>
          </cell>
          <cell r="I1557" t="str">
            <v>1</v>
          </cell>
        </row>
        <row r="1558">
          <cell r="A1558" t="str">
            <v>PIURAMORROPONBUENOS AIRES</v>
          </cell>
          <cell r="B1558" t="str">
            <v>20</v>
          </cell>
          <cell r="C1558" t="str">
            <v>04</v>
          </cell>
          <cell r="D1558" t="str">
            <v>02</v>
          </cell>
          <cell r="E1558" t="str">
            <v>PIURA</v>
          </cell>
          <cell r="F1558" t="str">
            <v>MORROPON</v>
          </cell>
          <cell r="G1558" t="str">
            <v>BUENOS AIRES</v>
          </cell>
          <cell r="H1558" t="str">
            <v>011562</v>
          </cell>
          <cell r="I1558" t="str">
            <v>2</v>
          </cell>
        </row>
        <row r="1559">
          <cell r="A1559" t="str">
            <v>PIURAMORROPONCHALACO</v>
          </cell>
          <cell r="B1559" t="str">
            <v>20</v>
          </cell>
          <cell r="C1559" t="str">
            <v>04</v>
          </cell>
          <cell r="D1559" t="str">
            <v>03</v>
          </cell>
          <cell r="E1559" t="str">
            <v>PIURA</v>
          </cell>
          <cell r="F1559" t="str">
            <v>MORROPON</v>
          </cell>
          <cell r="G1559" t="str">
            <v>CHALACO</v>
          </cell>
          <cell r="H1559" t="str">
            <v>011557</v>
          </cell>
          <cell r="I1559" t="str">
            <v>2</v>
          </cell>
        </row>
        <row r="1560">
          <cell r="A1560" t="str">
            <v>PIURAMORROPONLA MATANZA</v>
          </cell>
          <cell r="B1560" t="str">
            <v>20</v>
          </cell>
          <cell r="C1560" t="str">
            <v>04</v>
          </cell>
          <cell r="D1560" t="str">
            <v>04</v>
          </cell>
          <cell r="E1560" t="str">
            <v>PIURA</v>
          </cell>
          <cell r="F1560" t="str">
            <v>MORROPON</v>
          </cell>
          <cell r="G1560" t="str">
            <v>LA MATANZA</v>
          </cell>
          <cell r="H1560" t="str">
            <v>011563</v>
          </cell>
          <cell r="I1560" t="str">
            <v>2</v>
          </cell>
        </row>
        <row r="1561">
          <cell r="A1561" t="str">
            <v>PIURAMORROPONMORROPON</v>
          </cell>
          <cell r="B1561" t="str">
            <v>20</v>
          </cell>
          <cell r="C1561" t="str">
            <v>04</v>
          </cell>
          <cell r="D1561" t="str">
            <v>05</v>
          </cell>
          <cell r="E1561" t="str">
            <v>PIURA</v>
          </cell>
          <cell r="F1561" t="str">
            <v>MORROPON</v>
          </cell>
          <cell r="G1561" t="str">
            <v>MORROPON</v>
          </cell>
          <cell r="H1561" t="str">
            <v>011558</v>
          </cell>
          <cell r="I1561" t="str">
            <v>2</v>
          </cell>
        </row>
        <row r="1562">
          <cell r="A1562" t="str">
            <v>PIURAMORROPONSALITRAL</v>
          </cell>
          <cell r="B1562" t="str">
            <v>20</v>
          </cell>
          <cell r="C1562" t="str">
            <v>04</v>
          </cell>
          <cell r="D1562" t="str">
            <v>06</v>
          </cell>
          <cell r="E1562" t="str">
            <v>PIURA</v>
          </cell>
          <cell r="F1562" t="str">
            <v>MORROPON</v>
          </cell>
          <cell r="G1562" t="str">
            <v>SALITRAL</v>
          </cell>
          <cell r="H1562" t="str">
            <v>011564</v>
          </cell>
          <cell r="I1562" t="str">
            <v>2</v>
          </cell>
        </row>
        <row r="1563">
          <cell r="A1563" t="str">
            <v>PIURAMORROPONSAN JUAN DE BIGOTE</v>
          </cell>
          <cell r="B1563" t="str">
            <v>20</v>
          </cell>
          <cell r="C1563" t="str">
            <v>04</v>
          </cell>
          <cell r="D1563" t="str">
            <v>07</v>
          </cell>
          <cell r="E1563" t="str">
            <v>PIURA</v>
          </cell>
          <cell r="F1563" t="str">
            <v>MORROPON</v>
          </cell>
          <cell r="G1563" t="str">
            <v>SAN JUAN DE BIGOTE</v>
          </cell>
          <cell r="H1563" t="str">
            <v>011565</v>
          </cell>
          <cell r="I1563" t="str">
            <v>2</v>
          </cell>
        </row>
        <row r="1564">
          <cell r="A1564" t="str">
            <v>PIURAMORROPONSANTA CATALINA DE MOSSA</v>
          </cell>
          <cell r="B1564" t="str">
            <v>20</v>
          </cell>
          <cell r="C1564" t="str">
            <v>04</v>
          </cell>
          <cell r="D1564" t="str">
            <v>08</v>
          </cell>
          <cell r="E1564" t="str">
            <v>PIURA</v>
          </cell>
          <cell r="F1564" t="str">
            <v>MORROPON</v>
          </cell>
          <cell r="G1564" t="str">
            <v>SANTA CATALINA DE MOSSA</v>
          </cell>
          <cell r="H1564" t="str">
            <v>011559</v>
          </cell>
          <cell r="I1564" t="str">
            <v>2</v>
          </cell>
        </row>
        <row r="1565">
          <cell r="A1565" t="str">
            <v>PIURAMORROPONSANTO DOMINGO</v>
          </cell>
          <cell r="B1565" t="str">
            <v>20</v>
          </cell>
          <cell r="C1565" t="str">
            <v>04</v>
          </cell>
          <cell r="D1565" t="str">
            <v>09</v>
          </cell>
          <cell r="E1565" t="str">
            <v>PIURA</v>
          </cell>
          <cell r="F1565" t="str">
            <v>MORROPON</v>
          </cell>
          <cell r="G1565" t="str">
            <v>SANTO DOMINGO</v>
          </cell>
          <cell r="H1565" t="str">
            <v>012238</v>
          </cell>
          <cell r="I1565" t="str">
            <v>2</v>
          </cell>
        </row>
        <row r="1566">
          <cell r="A1566" t="str">
            <v>PIURAMORROPONYAMANGO</v>
          </cell>
          <cell r="B1566" t="str">
            <v>20</v>
          </cell>
          <cell r="C1566" t="str">
            <v>04</v>
          </cell>
          <cell r="D1566" t="str">
            <v>10</v>
          </cell>
          <cell r="E1566" t="str">
            <v>PIURA</v>
          </cell>
          <cell r="F1566" t="str">
            <v>MORROPON</v>
          </cell>
          <cell r="G1566" t="str">
            <v>YAMANGO</v>
          </cell>
          <cell r="H1566" t="str">
            <v>011566</v>
          </cell>
          <cell r="I1566" t="str">
            <v>2</v>
          </cell>
        </row>
        <row r="1567">
          <cell r="A1567" t="str">
            <v>PIURAPAITAPAITA</v>
          </cell>
          <cell r="B1567" t="str">
            <v>20</v>
          </cell>
          <cell r="C1567" t="str">
            <v>05</v>
          </cell>
          <cell r="D1567" t="str">
            <v>01</v>
          </cell>
          <cell r="E1567" t="str">
            <v>PIURA</v>
          </cell>
          <cell r="F1567" t="str">
            <v>PAITA</v>
          </cell>
          <cell r="G1567" t="str">
            <v>PAITA</v>
          </cell>
          <cell r="H1567" t="str">
            <v>011567</v>
          </cell>
          <cell r="I1567" t="str">
            <v>1</v>
          </cell>
        </row>
        <row r="1568">
          <cell r="A1568" t="str">
            <v>PIURAPAITAAMOTAPE</v>
          </cell>
          <cell r="B1568" t="str">
            <v>20</v>
          </cell>
          <cell r="C1568" t="str">
            <v>05</v>
          </cell>
          <cell r="D1568" t="str">
            <v>02</v>
          </cell>
          <cell r="E1568" t="str">
            <v>PIURA</v>
          </cell>
          <cell r="F1568" t="str">
            <v>PAITA</v>
          </cell>
          <cell r="G1568" t="str">
            <v>AMOTAPE</v>
          </cell>
          <cell r="H1568" t="str">
            <v>011568</v>
          </cell>
          <cell r="I1568" t="str">
            <v>2</v>
          </cell>
        </row>
        <row r="1569">
          <cell r="A1569" t="str">
            <v>PIURAPAITAARENAL</v>
          </cell>
          <cell r="B1569" t="str">
            <v>20</v>
          </cell>
          <cell r="C1569" t="str">
            <v>05</v>
          </cell>
          <cell r="D1569" t="str">
            <v>03</v>
          </cell>
          <cell r="E1569" t="str">
            <v>PIURA</v>
          </cell>
          <cell r="F1569" t="str">
            <v>PAITA</v>
          </cell>
          <cell r="G1569" t="str">
            <v>ARENAL</v>
          </cell>
          <cell r="H1569" t="str">
            <v>011569</v>
          </cell>
          <cell r="I1569" t="str">
            <v>2</v>
          </cell>
        </row>
        <row r="1570">
          <cell r="A1570" t="str">
            <v>PIURAPAITACOLAN</v>
          </cell>
          <cell r="B1570" t="str">
            <v>20</v>
          </cell>
          <cell r="C1570" t="str">
            <v>05</v>
          </cell>
          <cell r="D1570" t="str">
            <v>04</v>
          </cell>
          <cell r="E1570" t="str">
            <v>PIURA</v>
          </cell>
          <cell r="F1570" t="str">
            <v>PAITA</v>
          </cell>
          <cell r="G1570" t="str">
            <v>COLAN</v>
          </cell>
          <cell r="H1570" t="str">
            <v>011570</v>
          </cell>
          <cell r="I1570" t="str">
            <v>2</v>
          </cell>
        </row>
        <row r="1571">
          <cell r="A1571" t="str">
            <v>PIURAPAITALA HUACA</v>
          </cell>
          <cell r="B1571" t="str">
            <v>20</v>
          </cell>
          <cell r="C1571" t="str">
            <v>05</v>
          </cell>
          <cell r="D1571" t="str">
            <v>05</v>
          </cell>
          <cell r="E1571" t="str">
            <v>PIURA</v>
          </cell>
          <cell r="F1571" t="str">
            <v>PAITA</v>
          </cell>
          <cell r="G1571" t="str">
            <v>LA HUACA</v>
          </cell>
          <cell r="H1571" t="str">
            <v>011571</v>
          </cell>
          <cell r="I1571" t="str">
            <v>2</v>
          </cell>
        </row>
        <row r="1572">
          <cell r="A1572" t="str">
            <v>PIURAPAITATAMARINDO</v>
          </cell>
          <cell r="B1572" t="str">
            <v>20</v>
          </cell>
          <cell r="C1572" t="str">
            <v>05</v>
          </cell>
          <cell r="D1572" t="str">
            <v>06</v>
          </cell>
          <cell r="E1572" t="str">
            <v>PIURA</v>
          </cell>
          <cell r="F1572" t="str">
            <v>PAITA</v>
          </cell>
          <cell r="G1572" t="str">
            <v>TAMARINDO</v>
          </cell>
          <cell r="H1572" t="str">
            <v>011572</v>
          </cell>
          <cell r="I1572" t="str">
            <v>2</v>
          </cell>
        </row>
        <row r="1573">
          <cell r="A1573" t="str">
            <v>PIURAPAITAVICHAYAL</v>
          </cell>
          <cell r="B1573" t="str">
            <v>20</v>
          </cell>
          <cell r="C1573" t="str">
            <v>05</v>
          </cell>
          <cell r="D1573" t="str">
            <v>07</v>
          </cell>
          <cell r="E1573" t="str">
            <v>PIURA</v>
          </cell>
          <cell r="F1573" t="str">
            <v>PAITA</v>
          </cell>
          <cell r="G1573" t="str">
            <v>VICHAYAL</v>
          </cell>
          <cell r="H1573" t="str">
            <v>011573</v>
          </cell>
          <cell r="I1573" t="str">
            <v>2</v>
          </cell>
        </row>
        <row r="1574">
          <cell r="A1574" t="str">
            <v>PIURASULLANASULLANA</v>
          </cell>
          <cell r="B1574" t="str">
            <v>20</v>
          </cell>
          <cell r="C1574" t="str">
            <v>06</v>
          </cell>
          <cell r="D1574" t="str">
            <v>01</v>
          </cell>
          <cell r="E1574" t="str">
            <v>PIURA</v>
          </cell>
          <cell r="F1574" t="str">
            <v>SULLANA</v>
          </cell>
          <cell r="G1574" t="str">
            <v>SULLANA</v>
          </cell>
          <cell r="H1574" t="str">
            <v>012249</v>
          </cell>
          <cell r="I1574" t="str">
            <v>1</v>
          </cell>
        </row>
        <row r="1575">
          <cell r="A1575" t="str">
            <v>PIURASULLANABELLAVISTA</v>
          </cell>
          <cell r="B1575" t="str">
            <v>20</v>
          </cell>
          <cell r="C1575" t="str">
            <v>06</v>
          </cell>
          <cell r="D1575" t="str">
            <v>02</v>
          </cell>
          <cell r="E1575" t="str">
            <v>PIURA</v>
          </cell>
          <cell r="F1575" t="str">
            <v>SULLANA</v>
          </cell>
          <cell r="G1575" t="str">
            <v>BELLAVISTA</v>
          </cell>
          <cell r="H1575" t="str">
            <v>011575</v>
          </cell>
          <cell r="I1575" t="str">
            <v>2</v>
          </cell>
        </row>
        <row r="1576">
          <cell r="A1576" t="str">
            <v>PIURASULLANAIGNACIO ESCUDERO</v>
          </cell>
          <cell r="B1576" t="str">
            <v>20</v>
          </cell>
          <cell r="C1576" t="str">
            <v>06</v>
          </cell>
          <cell r="D1576" t="str">
            <v>03</v>
          </cell>
          <cell r="E1576" t="str">
            <v>PIURA</v>
          </cell>
          <cell r="F1576" t="str">
            <v>SULLANA</v>
          </cell>
          <cell r="G1576" t="str">
            <v>IGNACIO ESCUDERO</v>
          </cell>
          <cell r="H1576" t="str">
            <v>011577</v>
          </cell>
          <cell r="I1576" t="str">
            <v>2</v>
          </cell>
        </row>
        <row r="1577">
          <cell r="A1577" t="str">
            <v>PIURASULLANALANCONES</v>
          </cell>
          <cell r="B1577" t="str">
            <v>20</v>
          </cell>
          <cell r="C1577" t="str">
            <v>06</v>
          </cell>
          <cell r="D1577" t="str">
            <v>04</v>
          </cell>
          <cell r="E1577" t="str">
            <v>PIURA</v>
          </cell>
          <cell r="F1577" t="str">
            <v>SULLANA</v>
          </cell>
          <cell r="G1577" t="str">
            <v>LANCONES</v>
          </cell>
          <cell r="H1577" t="str">
            <v>011578</v>
          </cell>
          <cell r="I1577" t="str">
            <v>2</v>
          </cell>
        </row>
        <row r="1578">
          <cell r="A1578" t="str">
            <v>PIURASULLANAMARCAVELICA</v>
          </cell>
          <cell r="B1578" t="str">
            <v>20</v>
          </cell>
          <cell r="C1578" t="str">
            <v>06</v>
          </cell>
          <cell r="D1578" t="str">
            <v>05</v>
          </cell>
          <cell r="E1578" t="str">
            <v>PIURA</v>
          </cell>
          <cell r="F1578" t="str">
            <v>SULLANA</v>
          </cell>
          <cell r="G1578" t="str">
            <v>MARCAVELICA</v>
          </cell>
          <cell r="H1578" t="str">
            <v>011579</v>
          </cell>
          <cell r="I1578" t="str">
            <v>2</v>
          </cell>
        </row>
        <row r="1579">
          <cell r="A1579" t="str">
            <v>PIURASULLANAMIGUEL CHECA</v>
          </cell>
          <cell r="B1579" t="str">
            <v>20</v>
          </cell>
          <cell r="C1579" t="str">
            <v>06</v>
          </cell>
          <cell r="D1579" t="str">
            <v>06</v>
          </cell>
          <cell r="E1579" t="str">
            <v>PIURA</v>
          </cell>
          <cell r="F1579" t="str">
            <v>SULLANA</v>
          </cell>
          <cell r="G1579" t="str">
            <v>MIGUEL CHECA</v>
          </cell>
          <cell r="H1579" t="str">
            <v>011576</v>
          </cell>
          <cell r="I1579" t="str">
            <v>2</v>
          </cell>
        </row>
        <row r="1580">
          <cell r="A1580" t="str">
            <v>PIURASULLANAQUERECOTILLO</v>
          </cell>
          <cell r="B1580" t="str">
            <v>20</v>
          </cell>
          <cell r="C1580" t="str">
            <v>06</v>
          </cell>
          <cell r="D1580" t="str">
            <v>07</v>
          </cell>
          <cell r="E1580" t="str">
            <v>PIURA</v>
          </cell>
          <cell r="F1580" t="str">
            <v>SULLANA</v>
          </cell>
          <cell r="G1580" t="str">
            <v>QUERECOTILLO</v>
          </cell>
          <cell r="H1580" t="str">
            <v>011580</v>
          </cell>
          <cell r="I1580" t="str">
            <v>2</v>
          </cell>
        </row>
        <row r="1581">
          <cell r="A1581" t="str">
            <v>PIURASULLANASALITRAL</v>
          </cell>
          <cell r="B1581" t="str">
            <v>20</v>
          </cell>
          <cell r="C1581" t="str">
            <v>06</v>
          </cell>
          <cell r="D1581" t="str">
            <v>08</v>
          </cell>
          <cell r="E1581" t="str">
            <v>PIURA</v>
          </cell>
          <cell r="F1581" t="str">
            <v>SULLANA</v>
          </cell>
          <cell r="G1581" t="str">
            <v>SALITRAL</v>
          </cell>
          <cell r="H1581" t="str">
            <v>011581</v>
          </cell>
          <cell r="I1581" t="str">
            <v>2</v>
          </cell>
        </row>
        <row r="1582">
          <cell r="A1582" t="str">
            <v>PIURATALARAPARIÑAS</v>
          </cell>
          <cell r="B1582" t="str">
            <v>20</v>
          </cell>
          <cell r="C1582" t="str">
            <v>07</v>
          </cell>
          <cell r="D1582" t="str">
            <v>01</v>
          </cell>
          <cell r="E1582" t="str">
            <v>PIURA</v>
          </cell>
          <cell r="F1582" t="str">
            <v>TALARA</v>
          </cell>
          <cell r="G1582" t="str">
            <v>PARIÑAS</v>
          </cell>
          <cell r="H1582" t="str">
            <v>011582</v>
          </cell>
          <cell r="I1582" t="str">
            <v>1</v>
          </cell>
        </row>
        <row r="1583">
          <cell r="A1583" t="str">
            <v>PIURATALARAEL ALTO</v>
          </cell>
          <cell r="B1583" t="str">
            <v>20</v>
          </cell>
          <cell r="C1583" t="str">
            <v>07</v>
          </cell>
          <cell r="D1583" t="str">
            <v>02</v>
          </cell>
          <cell r="E1583" t="str">
            <v>PIURA</v>
          </cell>
          <cell r="F1583" t="str">
            <v>TALARA</v>
          </cell>
          <cell r="G1583" t="str">
            <v>EL ALTO</v>
          </cell>
          <cell r="H1583" t="str">
            <v>011583</v>
          </cell>
          <cell r="I1583" t="str">
            <v>2</v>
          </cell>
        </row>
        <row r="1584">
          <cell r="A1584" t="str">
            <v>PIURATALARALA BREA</v>
          </cell>
          <cell r="B1584" t="str">
            <v>20</v>
          </cell>
          <cell r="C1584" t="str">
            <v>07</v>
          </cell>
          <cell r="D1584" t="str">
            <v>03</v>
          </cell>
          <cell r="E1584" t="str">
            <v>PIURA</v>
          </cell>
          <cell r="F1584" t="str">
            <v>TALARA</v>
          </cell>
          <cell r="G1584" t="str">
            <v>LA BREA</v>
          </cell>
          <cell r="H1584" t="str">
            <v>011584</v>
          </cell>
          <cell r="I1584" t="str">
            <v>2</v>
          </cell>
        </row>
        <row r="1585">
          <cell r="A1585" t="str">
            <v>PIURATALARALOBITOS</v>
          </cell>
          <cell r="B1585" t="str">
            <v>20</v>
          </cell>
          <cell r="C1585" t="str">
            <v>07</v>
          </cell>
          <cell r="D1585" t="str">
            <v>04</v>
          </cell>
          <cell r="E1585" t="str">
            <v>PIURA</v>
          </cell>
          <cell r="F1585" t="str">
            <v>TALARA</v>
          </cell>
          <cell r="G1585" t="str">
            <v>LOBITOS</v>
          </cell>
          <cell r="H1585" t="str">
            <v>011585</v>
          </cell>
          <cell r="I1585" t="str">
            <v>2</v>
          </cell>
        </row>
        <row r="1586">
          <cell r="A1586" t="str">
            <v>PIURATALARALOS ORGANOS</v>
          </cell>
          <cell r="B1586" t="str">
            <v>20</v>
          </cell>
          <cell r="C1586" t="str">
            <v>07</v>
          </cell>
          <cell r="D1586" t="str">
            <v>05</v>
          </cell>
          <cell r="E1586" t="str">
            <v>PIURA</v>
          </cell>
          <cell r="F1586" t="str">
            <v>TALARA</v>
          </cell>
          <cell r="G1586" t="str">
            <v>LOS ORGANOS</v>
          </cell>
          <cell r="H1586" t="str">
            <v>011586</v>
          </cell>
          <cell r="I1586" t="str">
            <v>2</v>
          </cell>
        </row>
        <row r="1587">
          <cell r="A1587" t="str">
            <v>PIURATALARAMANCORA</v>
          </cell>
          <cell r="B1587" t="str">
            <v>20</v>
          </cell>
          <cell r="C1587" t="str">
            <v>07</v>
          </cell>
          <cell r="D1587" t="str">
            <v>06</v>
          </cell>
          <cell r="E1587" t="str">
            <v>PIURA</v>
          </cell>
          <cell r="F1587" t="str">
            <v>TALARA</v>
          </cell>
          <cell r="G1587" t="str">
            <v>MANCORA</v>
          </cell>
          <cell r="H1587" t="str">
            <v>011587</v>
          </cell>
          <cell r="I1587" t="str">
            <v>2</v>
          </cell>
        </row>
        <row r="1588">
          <cell r="A1588" t="str">
            <v>PIURASECHURASECHURA</v>
          </cell>
          <cell r="B1588" t="str">
            <v>20</v>
          </cell>
          <cell r="C1588" t="str">
            <v>08</v>
          </cell>
          <cell r="D1588" t="str">
            <v>01</v>
          </cell>
          <cell r="E1588" t="str">
            <v>PIURA</v>
          </cell>
          <cell r="F1588" t="str">
            <v>SECHURA</v>
          </cell>
          <cell r="G1588" t="str">
            <v>SECHURA</v>
          </cell>
          <cell r="H1588" t="str">
            <v>011588</v>
          </cell>
          <cell r="I1588" t="str">
            <v>1</v>
          </cell>
        </row>
        <row r="1589">
          <cell r="A1589" t="str">
            <v>PIURASECHURABELLAVISTA DE LA UNION</v>
          </cell>
          <cell r="B1589" t="str">
            <v>20</v>
          </cell>
          <cell r="C1589" t="str">
            <v>08</v>
          </cell>
          <cell r="D1589" t="str">
            <v>02</v>
          </cell>
          <cell r="E1589" t="str">
            <v>PIURA</v>
          </cell>
          <cell r="F1589" t="str">
            <v>SECHURA</v>
          </cell>
          <cell r="G1589" t="str">
            <v>BELLAVISTA DE LA UNION</v>
          </cell>
          <cell r="H1589" t="str">
            <v>011590</v>
          </cell>
          <cell r="I1589" t="str">
            <v>2</v>
          </cell>
        </row>
        <row r="1590">
          <cell r="A1590" t="str">
            <v>PIURASECHURABERNAL</v>
          </cell>
          <cell r="B1590" t="str">
            <v>20</v>
          </cell>
          <cell r="C1590" t="str">
            <v>08</v>
          </cell>
          <cell r="D1590" t="str">
            <v>03</v>
          </cell>
          <cell r="E1590" t="str">
            <v>PIURA</v>
          </cell>
          <cell r="F1590" t="str">
            <v>SECHURA</v>
          </cell>
          <cell r="G1590" t="str">
            <v>BERNAL</v>
          </cell>
          <cell r="H1590" t="str">
            <v>011589</v>
          </cell>
          <cell r="I1590" t="str">
            <v>2</v>
          </cell>
        </row>
        <row r="1591">
          <cell r="A1591" t="str">
            <v>PIURASECHURACRISTO NOS VALGA</v>
          </cell>
          <cell r="B1591" t="str">
            <v>20</v>
          </cell>
          <cell r="C1591" t="str">
            <v>08</v>
          </cell>
          <cell r="D1591" t="str">
            <v>04</v>
          </cell>
          <cell r="E1591" t="str">
            <v>PIURA</v>
          </cell>
          <cell r="F1591" t="str">
            <v>SECHURA</v>
          </cell>
          <cell r="G1591" t="str">
            <v>CRISTO NOS VALGA</v>
          </cell>
          <cell r="H1591" t="str">
            <v>011591</v>
          </cell>
          <cell r="I1591" t="str">
            <v>2</v>
          </cell>
        </row>
        <row r="1592">
          <cell r="A1592" t="str">
            <v>PIURASECHURAVICE</v>
          </cell>
          <cell r="B1592" t="str">
            <v>20</v>
          </cell>
          <cell r="C1592" t="str">
            <v>08</v>
          </cell>
          <cell r="D1592" t="str">
            <v>05</v>
          </cell>
          <cell r="E1592" t="str">
            <v>PIURA</v>
          </cell>
          <cell r="F1592" t="str">
            <v>SECHURA</v>
          </cell>
          <cell r="G1592" t="str">
            <v>VICE</v>
          </cell>
          <cell r="H1592" t="str">
            <v>011592</v>
          </cell>
          <cell r="I1592" t="str">
            <v>2</v>
          </cell>
        </row>
        <row r="1593">
          <cell r="A1593" t="str">
            <v>PIURASECHURARINCONADA LLICUAR</v>
          </cell>
          <cell r="B1593" t="str">
            <v>20</v>
          </cell>
          <cell r="C1593" t="str">
            <v>08</v>
          </cell>
          <cell r="D1593" t="str">
            <v>06</v>
          </cell>
          <cell r="E1593" t="str">
            <v>PIURA</v>
          </cell>
          <cell r="F1593" t="str">
            <v>SECHURA</v>
          </cell>
          <cell r="G1593" t="str">
            <v>RINCONADA LLICUAR</v>
          </cell>
          <cell r="H1593" t="str">
            <v>011593</v>
          </cell>
          <cell r="I1593" t="str">
            <v>2</v>
          </cell>
        </row>
        <row r="1594">
          <cell r="A1594" t="str">
            <v>PUNOPUNOPUNO</v>
          </cell>
          <cell r="B1594" t="str">
            <v>21</v>
          </cell>
          <cell r="C1594" t="str">
            <v>01</v>
          </cell>
          <cell r="D1594" t="str">
            <v>01</v>
          </cell>
          <cell r="E1594" t="str">
            <v>PUNO</v>
          </cell>
          <cell r="F1594" t="str">
            <v>PUNO</v>
          </cell>
          <cell r="G1594" t="str">
            <v>PUNO</v>
          </cell>
          <cell r="H1594" t="str">
            <v>012755</v>
          </cell>
          <cell r="I1594" t="str">
            <v>1</v>
          </cell>
        </row>
        <row r="1595">
          <cell r="A1595" t="str">
            <v>PUNOPUNOACORA</v>
          </cell>
          <cell r="B1595" t="str">
            <v>21</v>
          </cell>
          <cell r="C1595" t="str">
            <v>01</v>
          </cell>
          <cell r="D1595" t="str">
            <v>02</v>
          </cell>
          <cell r="E1595" t="str">
            <v>PUNO</v>
          </cell>
          <cell r="F1595" t="str">
            <v>PUNO</v>
          </cell>
          <cell r="G1595" t="str">
            <v>ACORA</v>
          </cell>
          <cell r="H1595" t="str">
            <v>012257</v>
          </cell>
          <cell r="I1595" t="str">
            <v>2</v>
          </cell>
        </row>
        <row r="1596">
          <cell r="A1596" t="str">
            <v>PUNOPUNOAMANTANI</v>
          </cell>
          <cell r="B1596" t="str">
            <v>21</v>
          </cell>
          <cell r="C1596" t="str">
            <v>01</v>
          </cell>
          <cell r="D1596" t="str">
            <v>03</v>
          </cell>
          <cell r="E1596" t="str">
            <v>PUNO</v>
          </cell>
          <cell r="F1596" t="str">
            <v>PUNO</v>
          </cell>
          <cell r="G1596" t="str">
            <v>AMANTANI</v>
          </cell>
          <cell r="H1596" t="str">
            <v>011599</v>
          </cell>
          <cell r="I1596" t="str">
            <v>2</v>
          </cell>
        </row>
        <row r="1597">
          <cell r="A1597" t="str">
            <v>PUNOPUNOATUNCOLLA</v>
          </cell>
          <cell r="B1597" t="str">
            <v>21</v>
          </cell>
          <cell r="C1597" t="str">
            <v>01</v>
          </cell>
          <cell r="D1597" t="str">
            <v>04</v>
          </cell>
          <cell r="E1597" t="str">
            <v>PUNO</v>
          </cell>
          <cell r="F1597" t="str">
            <v>PUNO</v>
          </cell>
          <cell r="G1597" t="str">
            <v>ATUNCOLLA</v>
          </cell>
          <cell r="H1597" t="str">
            <v>011600</v>
          </cell>
          <cell r="I1597" t="str">
            <v>2</v>
          </cell>
        </row>
        <row r="1598">
          <cell r="A1598" t="str">
            <v>PUNOPUNOCAPACHICA</v>
          </cell>
          <cell r="B1598" t="str">
            <v>21</v>
          </cell>
          <cell r="C1598" t="str">
            <v>01</v>
          </cell>
          <cell r="D1598" t="str">
            <v>05</v>
          </cell>
          <cell r="E1598" t="str">
            <v>PUNO</v>
          </cell>
          <cell r="F1598" t="str">
            <v>PUNO</v>
          </cell>
          <cell r="G1598" t="str">
            <v>CAPACHICA</v>
          </cell>
          <cell r="H1598" t="str">
            <v>011601</v>
          </cell>
          <cell r="I1598" t="str">
            <v>2</v>
          </cell>
        </row>
        <row r="1599">
          <cell r="A1599" t="str">
            <v>PUNOPUNOCHUCUITO</v>
          </cell>
          <cell r="B1599" t="str">
            <v>21</v>
          </cell>
          <cell r="C1599" t="str">
            <v>01</v>
          </cell>
          <cell r="D1599" t="str">
            <v>06</v>
          </cell>
          <cell r="E1599" t="str">
            <v>PUNO</v>
          </cell>
          <cell r="F1599" t="str">
            <v>PUNO</v>
          </cell>
          <cell r="G1599" t="str">
            <v>CHUCUITO</v>
          </cell>
          <cell r="H1599" t="str">
            <v>012748</v>
          </cell>
          <cell r="I1599" t="str">
            <v>2</v>
          </cell>
        </row>
        <row r="1600">
          <cell r="A1600" t="str">
            <v>PUNOPUNOCOATA</v>
          </cell>
          <cell r="B1600" t="str">
            <v>21</v>
          </cell>
          <cell r="C1600" t="str">
            <v>01</v>
          </cell>
          <cell r="D1600" t="str">
            <v>07</v>
          </cell>
          <cell r="E1600" t="str">
            <v>PUNO</v>
          </cell>
          <cell r="F1600" t="str">
            <v>PUNO</v>
          </cell>
          <cell r="G1600" t="str">
            <v>COATA</v>
          </cell>
          <cell r="H1600" t="str">
            <v>012281</v>
          </cell>
          <cell r="I1600" t="str">
            <v>2</v>
          </cell>
        </row>
        <row r="1601">
          <cell r="A1601" t="str">
            <v>PUNOPUNOHUATA</v>
          </cell>
          <cell r="B1601" t="str">
            <v>21</v>
          </cell>
          <cell r="C1601" t="str">
            <v>01</v>
          </cell>
          <cell r="D1601" t="str">
            <v>08</v>
          </cell>
          <cell r="E1601" t="str">
            <v>PUNO</v>
          </cell>
          <cell r="F1601" t="str">
            <v>PUNO</v>
          </cell>
          <cell r="G1601" t="str">
            <v>HUATA</v>
          </cell>
          <cell r="H1601" t="str">
            <v>011603</v>
          </cell>
          <cell r="I1601" t="str">
            <v>2</v>
          </cell>
        </row>
        <row r="1602">
          <cell r="A1602" t="str">
            <v>PUNOPUNOMAÑAZO</v>
          </cell>
          <cell r="B1602" t="str">
            <v>21</v>
          </cell>
          <cell r="C1602" t="str">
            <v>01</v>
          </cell>
          <cell r="D1602" t="str">
            <v>09</v>
          </cell>
          <cell r="E1602" t="str">
            <v>PUNO</v>
          </cell>
          <cell r="F1602" t="str">
            <v>PUNO</v>
          </cell>
          <cell r="G1602" t="str">
            <v>MAÑAZO</v>
          </cell>
          <cell r="H1602" t="str">
            <v>012253</v>
          </cell>
          <cell r="I1602" t="str">
            <v>2</v>
          </cell>
        </row>
        <row r="1603">
          <cell r="A1603" t="str">
            <v>PUNOPUNOPAUCARCOLLA</v>
          </cell>
          <cell r="B1603" t="str">
            <v>21</v>
          </cell>
          <cell r="C1603" t="str">
            <v>01</v>
          </cell>
          <cell r="D1603" t="str">
            <v>10</v>
          </cell>
          <cell r="E1603" t="str">
            <v>PUNO</v>
          </cell>
          <cell r="F1603" t="str">
            <v>PUNO</v>
          </cell>
          <cell r="G1603" t="str">
            <v>PAUCARCOLLA</v>
          </cell>
          <cell r="H1603" t="str">
            <v>011597</v>
          </cell>
          <cell r="I1603" t="str">
            <v>2</v>
          </cell>
        </row>
        <row r="1604">
          <cell r="A1604" t="str">
            <v>PUNOPUNOPICHACANI</v>
          </cell>
          <cell r="B1604" t="str">
            <v>21</v>
          </cell>
          <cell r="C1604" t="str">
            <v>01</v>
          </cell>
          <cell r="D1604" t="str">
            <v>11</v>
          </cell>
          <cell r="E1604" t="str">
            <v>PUNO</v>
          </cell>
          <cell r="F1604" t="str">
            <v>PUNO</v>
          </cell>
          <cell r="G1604" t="str">
            <v>PICHACANI</v>
          </cell>
          <cell r="H1604" t="str">
            <v>011605</v>
          </cell>
          <cell r="I1604" t="str">
            <v>2</v>
          </cell>
        </row>
        <row r="1605">
          <cell r="A1605" t="str">
            <v>PUNOPUNOPLATERIA</v>
          </cell>
          <cell r="B1605" t="str">
            <v>21</v>
          </cell>
          <cell r="C1605" t="str">
            <v>01</v>
          </cell>
          <cell r="D1605" t="str">
            <v>12</v>
          </cell>
          <cell r="E1605" t="str">
            <v>PUNO</v>
          </cell>
          <cell r="F1605" t="str">
            <v>PUNO</v>
          </cell>
          <cell r="G1605" t="str">
            <v>PLATERIA</v>
          </cell>
          <cell r="H1605" t="str">
            <v>011598</v>
          </cell>
          <cell r="I1605" t="str">
            <v>2</v>
          </cell>
        </row>
        <row r="1606">
          <cell r="A1606" t="str">
            <v>PUNOPUNOSAN ANTONIO</v>
          </cell>
          <cell r="B1606" t="str">
            <v>21</v>
          </cell>
          <cell r="C1606" t="str">
            <v>01</v>
          </cell>
          <cell r="D1606" t="str">
            <v>13</v>
          </cell>
          <cell r="E1606" t="str">
            <v>PUNO</v>
          </cell>
          <cell r="F1606" t="str">
            <v>PUNO</v>
          </cell>
          <cell r="G1606" t="str">
            <v>SAN ANTONIO</v>
          </cell>
          <cell r="H1606" t="str">
            <v>011606</v>
          </cell>
          <cell r="I1606" t="str">
            <v>2</v>
          </cell>
        </row>
        <row r="1607">
          <cell r="A1607" t="str">
            <v>PUNOPUNOTIQUILLACA</v>
          </cell>
          <cell r="B1607" t="str">
            <v>21</v>
          </cell>
          <cell r="C1607" t="str">
            <v>01</v>
          </cell>
          <cell r="D1607" t="str">
            <v>14</v>
          </cell>
          <cell r="E1607" t="str">
            <v>PUNO</v>
          </cell>
          <cell r="F1607" t="str">
            <v>PUNO</v>
          </cell>
          <cell r="G1607" t="str">
            <v>TIQUILLACA</v>
          </cell>
          <cell r="H1607" t="str">
            <v>011607</v>
          </cell>
          <cell r="I1607" t="str">
            <v>2</v>
          </cell>
        </row>
        <row r="1608">
          <cell r="A1608" t="str">
            <v>PUNOPUNOVILQUE</v>
          </cell>
          <cell r="B1608" t="str">
            <v>21</v>
          </cell>
          <cell r="C1608" t="str">
            <v>01</v>
          </cell>
          <cell r="D1608" t="str">
            <v>15</v>
          </cell>
          <cell r="E1608" t="str">
            <v>PUNO</v>
          </cell>
          <cell r="F1608" t="str">
            <v>PUNO</v>
          </cell>
          <cell r="G1608" t="str">
            <v>VILQUE</v>
          </cell>
          <cell r="H1608" t="str">
            <v>011608</v>
          </cell>
          <cell r="I1608" t="str">
            <v>2</v>
          </cell>
        </row>
        <row r="1609">
          <cell r="A1609" t="str">
            <v>PUNOAZANGAROAZANGARO</v>
          </cell>
          <cell r="B1609" t="str">
            <v>21</v>
          </cell>
          <cell r="C1609" t="str">
            <v>02</v>
          </cell>
          <cell r="D1609" t="str">
            <v>01</v>
          </cell>
          <cell r="E1609" t="str">
            <v>PUNO</v>
          </cell>
          <cell r="F1609" t="str">
            <v>AZANGARO</v>
          </cell>
          <cell r="G1609" t="str">
            <v>AZANGARO</v>
          </cell>
          <cell r="H1609" t="str">
            <v>011634</v>
          </cell>
          <cell r="I1609" t="str">
            <v>1</v>
          </cell>
        </row>
        <row r="1610">
          <cell r="A1610" t="str">
            <v>PUNOAZANGAROACHAYA</v>
          </cell>
          <cell r="B1610" t="str">
            <v>21</v>
          </cell>
          <cell r="C1610" t="str">
            <v>02</v>
          </cell>
          <cell r="D1610" t="str">
            <v>02</v>
          </cell>
          <cell r="E1610" t="str">
            <v>PUNO</v>
          </cell>
          <cell r="F1610" t="str">
            <v>AZANGARO</v>
          </cell>
          <cell r="G1610" t="str">
            <v>ACHAYA</v>
          </cell>
          <cell r="H1610" t="str">
            <v>011635</v>
          </cell>
          <cell r="I1610" t="str">
            <v>2</v>
          </cell>
        </row>
        <row r="1611">
          <cell r="A1611" t="str">
            <v>PUNOAZANGAROARAPA</v>
          </cell>
          <cell r="B1611" t="str">
            <v>21</v>
          </cell>
          <cell r="C1611" t="str">
            <v>02</v>
          </cell>
          <cell r="D1611" t="str">
            <v>03</v>
          </cell>
          <cell r="E1611" t="str">
            <v>PUNO</v>
          </cell>
          <cell r="F1611" t="str">
            <v>AZANGARO</v>
          </cell>
          <cell r="G1611" t="str">
            <v>ARAPA</v>
          </cell>
          <cell r="H1611" t="str">
            <v>011636</v>
          </cell>
          <cell r="I1611" t="str">
            <v>2</v>
          </cell>
        </row>
        <row r="1612">
          <cell r="A1612" t="str">
            <v>PUNOAZANGAROASILLO</v>
          </cell>
          <cell r="B1612" t="str">
            <v>21</v>
          </cell>
          <cell r="C1612" t="str">
            <v>02</v>
          </cell>
          <cell r="D1612" t="str">
            <v>04</v>
          </cell>
          <cell r="E1612" t="str">
            <v>PUNO</v>
          </cell>
          <cell r="F1612" t="str">
            <v>AZANGARO</v>
          </cell>
          <cell r="G1612" t="str">
            <v>ASILLO</v>
          </cell>
          <cell r="H1612" t="str">
            <v>011642</v>
          </cell>
          <cell r="I1612" t="str">
            <v>2</v>
          </cell>
        </row>
        <row r="1613">
          <cell r="A1613" t="str">
            <v>PUNOAZANGAROCAMINACA</v>
          </cell>
          <cell r="B1613" t="str">
            <v>21</v>
          </cell>
          <cell r="C1613" t="str">
            <v>02</v>
          </cell>
          <cell r="D1613" t="str">
            <v>05</v>
          </cell>
          <cell r="E1613" t="str">
            <v>PUNO</v>
          </cell>
          <cell r="F1613" t="str">
            <v>AZANGARO</v>
          </cell>
          <cell r="G1613" t="str">
            <v>CAMINACA</v>
          </cell>
          <cell r="H1613" t="str">
            <v>011637</v>
          </cell>
          <cell r="I1613" t="str">
            <v>2</v>
          </cell>
        </row>
        <row r="1614">
          <cell r="A1614" t="str">
            <v>PUNOAZANGAROCHUPA</v>
          </cell>
          <cell r="B1614" t="str">
            <v>21</v>
          </cell>
          <cell r="C1614" t="str">
            <v>02</v>
          </cell>
          <cell r="D1614" t="str">
            <v>06</v>
          </cell>
          <cell r="E1614" t="str">
            <v>PUNO</v>
          </cell>
          <cell r="F1614" t="str">
            <v>AZANGARO</v>
          </cell>
          <cell r="G1614" t="str">
            <v>CHUPA</v>
          </cell>
          <cell r="H1614" t="str">
            <v>011643</v>
          </cell>
          <cell r="I1614" t="str">
            <v>2</v>
          </cell>
        </row>
        <row r="1615">
          <cell r="A1615" t="str">
            <v>PUNOAZANGAROJOSE DOMINGO CHOQUEHUANCA</v>
          </cell>
          <cell r="B1615" t="str">
            <v>21</v>
          </cell>
          <cell r="C1615" t="str">
            <v>02</v>
          </cell>
          <cell r="D1615" t="str">
            <v>07</v>
          </cell>
          <cell r="E1615" t="str">
            <v>PUNO</v>
          </cell>
          <cell r="F1615" t="str">
            <v>AZANGARO</v>
          </cell>
          <cell r="G1615" t="str">
            <v>JOSE DOMINGO CHOQUEHUANCA</v>
          </cell>
          <cell r="H1615" t="str">
            <v>011638</v>
          </cell>
          <cell r="I1615" t="str">
            <v>2</v>
          </cell>
        </row>
        <row r="1616">
          <cell r="A1616" t="str">
            <v>PUNOAZANGAROMUÑANI</v>
          </cell>
          <cell r="B1616" t="str">
            <v>21</v>
          </cell>
          <cell r="C1616" t="str">
            <v>02</v>
          </cell>
          <cell r="D1616" t="str">
            <v>08</v>
          </cell>
          <cell r="E1616" t="str">
            <v>PUNO</v>
          </cell>
          <cell r="F1616" t="str">
            <v>AZANGARO</v>
          </cell>
          <cell r="G1616" t="str">
            <v>MUÑANI</v>
          </cell>
          <cell r="H1616" t="str">
            <v>011644</v>
          </cell>
          <cell r="I1616" t="str">
            <v>2</v>
          </cell>
        </row>
        <row r="1617">
          <cell r="A1617" t="str">
            <v>PUNOAZANGAROPOTONI</v>
          </cell>
          <cell r="B1617" t="str">
            <v>21</v>
          </cell>
          <cell r="C1617" t="str">
            <v>02</v>
          </cell>
          <cell r="D1617" t="str">
            <v>09</v>
          </cell>
          <cell r="E1617" t="str">
            <v>PUNO</v>
          </cell>
          <cell r="F1617" t="str">
            <v>AZANGARO</v>
          </cell>
          <cell r="G1617" t="str">
            <v>POTONI</v>
          </cell>
          <cell r="H1617" t="str">
            <v>011645</v>
          </cell>
          <cell r="I1617" t="str">
            <v>2</v>
          </cell>
        </row>
        <row r="1618">
          <cell r="A1618" t="str">
            <v>PUNOAZANGAROSAMAN</v>
          </cell>
          <cell r="B1618" t="str">
            <v>21</v>
          </cell>
          <cell r="C1618" t="str">
            <v>02</v>
          </cell>
          <cell r="D1618" t="str">
            <v>10</v>
          </cell>
          <cell r="E1618" t="str">
            <v>PUNO</v>
          </cell>
          <cell r="F1618" t="str">
            <v>AZANGARO</v>
          </cell>
          <cell r="G1618" t="str">
            <v>SAMAN</v>
          </cell>
          <cell r="H1618" t="str">
            <v>011639</v>
          </cell>
          <cell r="I1618" t="str">
            <v>2</v>
          </cell>
        </row>
        <row r="1619">
          <cell r="A1619" t="str">
            <v>PUNOAZANGAROSAN ANTON</v>
          </cell>
          <cell r="B1619" t="str">
            <v>21</v>
          </cell>
          <cell r="C1619" t="str">
            <v>02</v>
          </cell>
          <cell r="D1619" t="str">
            <v>11</v>
          </cell>
          <cell r="E1619" t="str">
            <v>PUNO</v>
          </cell>
          <cell r="F1619" t="str">
            <v>AZANGARO</v>
          </cell>
          <cell r="G1619" t="str">
            <v>SAN ANTON</v>
          </cell>
          <cell r="H1619" t="str">
            <v>011646</v>
          </cell>
          <cell r="I1619" t="str">
            <v>2</v>
          </cell>
        </row>
        <row r="1620">
          <cell r="A1620" t="str">
            <v>PUNOAZANGAROSAN JOSE</v>
          </cell>
          <cell r="B1620" t="str">
            <v>21</v>
          </cell>
          <cell r="C1620" t="str">
            <v>02</v>
          </cell>
          <cell r="D1620" t="str">
            <v>12</v>
          </cell>
          <cell r="E1620" t="str">
            <v>PUNO</v>
          </cell>
          <cell r="F1620" t="str">
            <v>AZANGARO</v>
          </cell>
          <cell r="G1620" t="str">
            <v>SAN JOSE</v>
          </cell>
          <cell r="H1620" t="str">
            <v>011647</v>
          </cell>
          <cell r="I1620" t="str">
            <v>2</v>
          </cell>
        </row>
        <row r="1621">
          <cell r="A1621" t="str">
            <v>PUNOAZANGAROSAN JUAN DE SALINAS</v>
          </cell>
          <cell r="B1621" t="str">
            <v>21</v>
          </cell>
          <cell r="C1621" t="str">
            <v>02</v>
          </cell>
          <cell r="D1621" t="str">
            <v>13</v>
          </cell>
          <cell r="E1621" t="str">
            <v>PUNO</v>
          </cell>
          <cell r="F1621" t="str">
            <v>AZANGARO</v>
          </cell>
          <cell r="G1621" t="str">
            <v>SAN JUAN DE SALINAS</v>
          </cell>
          <cell r="H1621" t="str">
            <v>011648</v>
          </cell>
          <cell r="I1621" t="str">
            <v>2</v>
          </cell>
        </row>
        <row r="1622">
          <cell r="A1622" t="str">
            <v>PUNOAZANGAROSANTIAGO DE PUPUJA</v>
          </cell>
          <cell r="B1622" t="str">
            <v>21</v>
          </cell>
          <cell r="C1622" t="str">
            <v>02</v>
          </cell>
          <cell r="D1622" t="str">
            <v>14</v>
          </cell>
          <cell r="E1622" t="str">
            <v>PUNO</v>
          </cell>
          <cell r="F1622" t="str">
            <v>AZANGARO</v>
          </cell>
          <cell r="G1622" t="str">
            <v>SANTIAGO DE PUPUJA</v>
          </cell>
          <cell r="H1622" t="str">
            <v>011640</v>
          </cell>
          <cell r="I1622" t="str">
            <v>2</v>
          </cell>
        </row>
        <row r="1623">
          <cell r="A1623" t="str">
            <v>PUNOAZANGAROTIRAPATA</v>
          </cell>
          <cell r="B1623" t="str">
            <v>21</v>
          </cell>
          <cell r="C1623" t="str">
            <v>02</v>
          </cell>
          <cell r="D1623" t="str">
            <v>15</v>
          </cell>
          <cell r="E1623" t="str">
            <v>PUNO</v>
          </cell>
          <cell r="F1623" t="str">
            <v>AZANGARO</v>
          </cell>
          <cell r="G1623" t="str">
            <v>TIRAPATA</v>
          </cell>
          <cell r="H1623" t="str">
            <v>011641</v>
          </cell>
          <cell r="I1623" t="str">
            <v>2</v>
          </cell>
        </row>
        <row r="1624">
          <cell r="A1624" t="str">
            <v>PUNOCARABAYAMACUSANI</v>
          </cell>
          <cell r="B1624" t="str">
            <v>21</v>
          </cell>
          <cell r="C1624" t="str">
            <v>03</v>
          </cell>
          <cell r="D1624" t="str">
            <v>01</v>
          </cell>
          <cell r="E1624" t="str">
            <v>PUNO</v>
          </cell>
          <cell r="F1624" t="str">
            <v>CARABAYA</v>
          </cell>
          <cell r="G1624" t="str">
            <v>MACUSANI</v>
          </cell>
          <cell r="H1624" t="str">
            <v>011649</v>
          </cell>
          <cell r="I1624" t="str">
            <v>1</v>
          </cell>
        </row>
        <row r="1625">
          <cell r="A1625" t="str">
            <v>PUNOCARABAYAAJOYANI</v>
          </cell>
          <cell r="B1625" t="str">
            <v>21</v>
          </cell>
          <cell r="C1625" t="str">
            <v>03</v>
          </cell>
          <cell r="D1625" t="str">
            <v>02</v>
          </cell>
          <cell r="E1625" t="str">
            <v>PUNO</v>
          </cell>
          <cell r="F1625" t="str">
            <v>CARABAYA</v>
          </cell>
          <cell r="G1625" t="str">
            <v>AJOYANI</v>
          </cell>
          <cell r="H1625" t="str">
            <v>011650</v>
          </cell>
          <cell r="I1625" t="str">
            <v>2</v>
          </cell>
        </row>
        <row r="1626">
          <cell r="A1626" t="str">
            <v>PUNOCARABAYAAYAPATA</v>
          </cell>
          <cell r="B1626" t="str">
            <v>21</v>
          </cell>
          <cell r="C1626" t="str">
            <v>03</v>
          </cell>
          <cell r="D1626" t="str">
            <v>03</v>
          </cell>
          <cell r="E1626" t="str">
            <v>PUNO</v>
          </cell>
          <cell r="F1626" t="str">
            <v>CARABAYA</v>
          </cell>
          <cell r="G1626" t="str">
            <v>AYAPATA</v>
          </cell>
          <cell r="H1626" t="str">
            <v>011651</v>
          </cell>
          <cell r="I1626" t="str">
            <v>2</v>
          </cell>
        </row>
        <row r="1627">
          <cell r="A1627" t="str">
            <v>PUNOCARABAYACOASA</v>
          </cell>
          <cell r="B1627" t="str">
            <v>21</v>
          </cell>
          <cell r="C1627" t="str">
            <v>03</v>
          </cell>
          <cell r="D1627" t="str">
            <v>04</v>
          </cell>
          <cell r="E1627" t="str">
            <v>PUNO</v>
          </cell>
          <cell r="F1627" t="str">
            <v>CARABAYA</v>
          </cell>
          <cell r="G1627" t="str">
            <v>COASA</v>
          </cell>
          <cell r="H1627" t="str">
            <v>011652</v>
          </cell>
          <cell r="I1627" t="str">
            <v>2</v>
          </cell>
        </row>
        <row r="1628">
          <cell r="A1628" t="str">
            <v>PUNOCARABAYACORANI</v>
          </cell>
          <cell r="B1628" t="str">
            <v>21</v>
          </cell>
          <cell r="C1628" t="str">
            <v>03</v>
          </cell>
          <cell r="D1628" t="str">
            <v>05</v>
          </cell>
          <cell r="E1628" t="str">
            <v>PUNO</v>
          </cell>
          <cell r="F1628" t="str">
            <v>CARABAYA</v>
          </cell>
          <cell r="G1628" t="str">
            <v>CORANI</v>
          </cell>
          <cell r="H1628" t="str">
            <v>011653</v>
          </cell>
          <cell r="I1628" t="str">
            <v>2</v>
          </cell>
        </row>
        <row r="1629">
          <cell r="A1629" t="str">
            <v>PUNOCARABAYACRUCERO</v>
          </cell>
          <cell r="B1629" t="str">
            <v>21</v>
          </cell>
          <cell r="C1629" t="str">
            <v>03</v>
          </cell>
          <cell r="D1629" t="str">
            <v>06</v>
          </cell>
          <cell r="E1629" t="str">
            <v>PUNO</v>
          </cell>
          <cell r="F1629" t="str">
            <v>CARABAYA</v>
          </cell>
          <cell r="G1629" t="str">
            <v>CRUCERO</v>
          </cell>
          <cell r="H1629" t="str">
            <v>011654</v>
          </cell>
          <cell r="I1629" t="str">
            <v>2</v>
          </cell>
        </row>
        <row r="1630">
          <cell r="A1630" t="str">
            <v>PUNOCARABAYAITUATA</v>
          </cell>
          <cell r="B1630" t="str">
            <v>21</v>
          </cell>
          <cell r="C1630" t="str">
            <v>03</v>
          </cell>
          <cell r="D1630" t="str">
            <v>07</v>
          </cell>
          <cell r="E1630" t="str">
            <v>PUNO</v>
          </cell>
          <cell r="F1630" t="str">
            <v>CARABAYA</v>
          </cell>
          <cell r="G1630" t="str">
            <v>ITUATA</v>
          </cell>
          <cell r="H1630" t="str">
            <v>012754</v>
          </cell>
          <cell r="I1630" t="str">
            <v>2</v>
          </cell>
        </row>
        <row r="1631">
          <cell r="A1631" t="str">
            <v>PUNOCARABAYAOLLACHEA</v>
          </cell>
          <cell r="B1631" t="str">
            <v>21</v>
          </cell>
          <cell r="C1631" t="str">
            <v>03</v>
          </cell>
          <cell r="D1631" t="str">
            <v>08</v>
          </cell>
          <cell r="E1631" t="str">
            <v>PUNO</v>
          </cell>
          <cell r="F1631" t="str">
            <v>CARABAYA</v>
          </cell>
          <cell r="G1631" t="str">
            <v>OLLACHEA</v>
          </cell>
          <cell r="H1631" t="str">
            <v>012750</v>
          </cell>
          <cell r="I1631" t="str">
            <v>2</v>
          </cell>
        </row>
        <row r="1632">
          <cell r="A1632" t="str">
            <v>PUNOCARABAYASAN GABAN</v>
          </cell>
          <cell r="B1632" t="str">
            <v>21</v>
          </cell>
          <cell r="C1632" t="str">
            <v>03</v>
          </cell>
          <cell r="D1632" t="str">
            <v>09</v>
          </cell>
          <cell r="E1632" t="str">
            <v>PUNO</v>
          </cell>
          <cell r="F1632" t="str">
            <v>CARABAYA</v>
          </cell>
          <cell r="G1632" t="str">
            <v>SAN GABAN</v>
          </cell>
          <cell r="H1632" t="str">
            <v>011657</v>
          </cell>
          <cell r="I1632" t="str">
            <v>2</v>
          </cell>
        </row>
        <row r="1633">
          <cell r="A1633" t="str">
            <v>PUNOCARABAYAUSICAYOS</v>
          </cell>
          <cell r="B1633" t="str">
            <v>21</v>
          </cell>
          <cell r="C1633" t="str">
            <v>03</v>
          </cell>
          <cell r="D1633" t="str">
            <v>10</v>
          </cell>
          <cell r="E1633" t="str">
            <v>PUNO</v>
          </cell>
          <cell r="F1633" t="str">
            <v>CARABAYA</v>
          </cell>
          <cell r="G1633" t="str">
            <v>USICAYOS</v>
          </cell>
          <cell r="H1633" t="str">
            <v>011658</v>
          </cell>
          <cell r="I1633" t="str">
            <v>2</v>
          </cell>
        </row>
        <row r="1634">
          <cell r="A1634" t="str">
            <v>PUNOCHUCUITOJULI</v>
          </cell>
          <cell r="B1634" t="str">
            <v>21</v>
          </cell>
          <cell r="C1634" t="str">
            <v>04</v>
          </cell>
          <cell r="D1634" t="str">
            <v>01</v>
          </cell>
          <cell r="E1634" t="str">
            <v>PUNO</v>
          </cell>
          <cell r="F1634" t="str">
            <v>CHUCUITO</v>
          </cell>
          <cell r="G1634" t="str">
            <v>JULI</v>
          </cell>
          <cell r="H1634" t="str">
            <v>011609</v>
          </cell>
          <cell r="I1634" t="str">
            <v>1</v>
          </cell>
        </row>
        <row r="1635">
          <cell r="A1635" t="str">
            <v>PUNOCHUCUITODESAGUADERO</v>
          </cell>
          <cell r="B1635" t="str">
            <v>21</v>
          </cell>
          <cell r="C1635" t="str">
            <v>04</v>
          </cell>
          <cell r="D1635" t="str">
            <v>02</v>
          </cell>
          <cell r="E1635" t="str">
            <v>PUNO</v>
          </cell>
          <cell r="F1635" t="str">
            <v>CHUCUITO</v>
          </cell>
          <cell r="G1635" t="str">
            <v>DESAGUADERO</v>
          </cell>
          <cell r="H1635" t="str">
            <v>012274</v>
          </cell>
          <cell r="I1635" t="str">
            <v>2</v>
          </cell>
        </row>
        <row r="1636">
          <cell r="A1636" t="str">
            <v>PUNOCHUCUITOHUACULLANI</v>
          </cell>
          <cell r="B1636" t="str">
            <v>21</v>
          </cell>
          <cell r="C1636" t="str">
            <v>04</v>
          </cell>
          <cell r="D1636" t="str">
            <v>03</v>
          </cell>
          <cell r="E1636" t="str">
            <v>PUNO</v>
          </cell>
          <cell r="F1636" t="str">
            <v>CHUCUITO</v>
          </cell>
          <cell r="G1636" t="str">
            <v>HUACULLANI</v>
          </cell>
          <cell r="H1636" t="str">
            <v>011611</v>
          </cell>
          <cell r="I1636" t="str">
            <v>2</v>
          </cell>
        </row>
        <row r="1637">
          <cell r="A1637" t="str">
            <v>PUNOCHUCUITOKELLUYO</v>
          </cell>
          <cell r="B1637" t="str">
            <v>21</v>
          </cell>
          <cell r="C1637" t="str">
            <v>04</v>
          </cell>
          <cell r="D1637" t="str">
            <v>04</v>
          </cell>
          <cell r="E1637" t="str">
            <v>PUNO</v>
          </cell>
          <cell r="F1637" t="str">
            <v>CHUCUITO</v>
          </cell>
          <cell r="G1637" t="str">
            <v>KELLUYO</v>
          </cell>
          <cell r="H1637" t="str">
            <v>012278</v>
          </cell>
          <cell r="I1637" t="str">
            <v>2</v>
          </cell>
        </row>
        <row r="1638">
          <cell r="A1638" t="str">
            <v>PUNOCHUCUITOPISACOMA</v>
          </cell>
          <cell r="B1638" t="str">
            <v>21</v>
          </cell>
          <cell r="C1638" t="str">
            <v>04</v>
          </cell>
          <cell r="D1638" t="str">
            <v>05</v>
          </cell>
          <cell r="E1638" t="str">
            <v>PUNO</v>
          </cell>
          <cell r="F1638" t="str">
            <v>CHUCUITO</v>
          </cell>
          <cell r="G1638" t="str">
            <v>PISACOMA</v>
          </cell>
          <cell r="H1638" t="str">
            <v>012765</v>
          </cell>
          <cell r="I1638" t="str">
            <v>2</v>
          </cell>
        </row>
        <row r="1639">
          <cell r="A1639" t="str">
            <v>PUNOCHUCUITOPOMATA</v>
          </cell>
          <cell r="B1639" t="str">
            <v>21</v>
          </cell>
          <cell r="C1639" t="str">
            <v>04</v>
          </cell>
          <cell r="D1639" t="str">
            <v>06</v>
          </cell>
          <cell r="E1639" t="str">
            <v>PUNO</v>
          </cell>
          <cell r="F1639" t="str">
            <v>CHUCUITO</v>
          </cell>
          <cell r="G1639" t="str">
            <v>POMATA</v>
          </cell>
          <cell r="H1639" t="str">
            <v>011614</v>
          </cell>
          <cell r="I1639" t="str">
            <v>2</v>
          </cell>
        </row>
        <row r="1640">
          <cell r="A1640" t="str">
            <v>PUNOCHUCUITOZEPITA</v>
          </cell>
          <cell r="B1640" t="str">
            <v>21</v>
          </cell>
          <cell r="C1640" t="str">
            <v>04</v>
          </cell>
          <cell r="D1640" t="str">
            <v>07</v>
          </cell>
          <cell r="E1640" t="str">
            <v>PUNO</v>
          </cell>
          <cell r="F1640" t="str">
            <v>CHUCUITO</v>
          </cell>
          <cell r="G1640" t="str">
            <v>ZEPITA</v>
          </cell>
          <cell r="H1640" t="str">
            <v>011615</v>
          </cell>
          <cell r="I1640" t="str">
            <v>2</v>
          </cell>
        </row>
        <row r="1641">
          <cell r="A1641" t="str">
            <v>PUNOEL COLLAOILAVE</v>
          </cell>
          <cell r="B1641" t="str">
            <v>21</v>
          </cell>
          <cell r="C1641" t="str">
            <v>05</v>
          </cell>
          <cell r="D1641" t="str">
            <v>01</v>
          </cell>
          <cell r="E1641" t="str">
            <v>PUNO</v>
          </cell>
          <cell r="F1641" t="str">
            <v>EL COLLAO</v>
          </cell>
          <cell r="G1641" t="str">
            <v>ILAVE</v>
          </cell>
          <cell r="H1641" t="str">
            <v>012262</v>
          </cell>
          <cell r="I1641" t="str">
            <v>1</v>
          </cell>
        </row>
        <row r="1642">
          <cell r="A1642" t="str">
            <v>PUNOEL COLLAOCAPASO</v>
          </cell>
          <cell r="B1642" t="str">
            <v>21</v>
          </cell>
          <cell r="C1642" t="str">
            <v>05</v>
          </cell>
          <cell r="D1642" t="str">
            <v>02</v>
          </cell>
          <cell r="E1642" t="str">
            <v>PUNO</v>
          </cell>
          <cell r="F1642" t="str">
            <v>EL COLLAO</v>
          </cell>
          <cell r="G1642" t="str">
            <v>CAPASO</v>
          </cell>
          <cell r="H1642" t="str">
            <v>012747</v>
          </cell>
          <cell r="I1642" t="str">
            <v>2</v>
          </cell>
        </row>
        <row r="1643">
          <cell r="A1643" t="str">
            <v>PUNOEL COLLAOPILCUYO</v>
          </cell>
          <cell r="B1643" t="str">
            <v>21</v>
          </cell>
          <cell r="C1643" t="str">
            <v>05</v>
          </cell>
          <cell r="D1643" t="str">
            <v>03</v>
          </cell>
          <cell r="E1643" t="str">
            <v>PUNO</v>
          </cell>
          <cell r="F1643" t="str">
            <v>EL COLLAO</v>
          </cell>
          <cell r="G1643" t="str">
            <v>PILCUYO</v>
          </cell>
          <cell r="H1643" t="str">
            <v>011618</v>
          </cell>
          <cell r="I1643" t="str">
            <v>2</v>
          </cell>
        </row>
        <row r="1644">
          <cell r="A1644" t="str">
            <v>PUNOEL COLLAOSANTA ROSA</v>
          </cell>
          <cell r="B1644" t="str">
            <v>21</v>
          </cell>
          <cell r="C1644" t="str">
            <v>05</v>
          </cell>
          <cell r="D1644" t="str">
            <v>04</v>
          </cell>
          <cell r="E1644" t="str">
            <v>PUNO</v>
          </cell>
          <cell r="F1644" t="str">
            <v>EL COLLAO</v>
          </cell>
          <cell r="G1644" t="str">
            <v>SANTA ROSA</v>
          </cell>
          <cell r="H1644" t="str">
            <v>011619</v>
          </cell>
          <cell r="I1644" t="str">
            <v>2</v>
          </cell>
        </row>
        <row r="1645">
          <cell r="A1645" t="str">
            <v>PUNOEL COLLAOCONDURIRI</v>
          </cell>
          <cell r="B1645" t="str">
            <v>21</v>
          </cell>
          <cell r="C1645" t="str">
            <v>05</v>
          </cell>
          <cell r="D1645" t="str">
            <v>05</v>
          </cell>
          <cell r="E1645" t="str">
            <v>PUNO</v>
          </cell>
          <cell r="F1645" t="str">
            <v>EL COLLAO</v>
          </cell>
          <cell r="G1645" t="str">
            <v>CONDURIRI</v>
          </cell>
          <cell r="H1645" t="str">
            <v>011620</v>
          </cell>
          <cell r="I1645" t="str">
            <v>2</v>
          </cell>
        </row>
        <row r="1646">
          <cell r="A1646" t="str">
            <v>PUNOHUANCANEHUANCANE</v>
          </cell>
          <cell r="B1646" t="str">
            <v>21</v>
          </cell>
          <cell r="C1646" t="str">
            <v>06</v>
          </cell>
          <cell r="D1646" t="str">
            <v>01</v>
          </cell>
          <cell r="E1646" t="str">
            <v>PUNO</v>
          </cell>
          <cell r="F1646" t="str">
            <v>HUANCANE</v>
          </cell>
          <cell r="G1646" t="str">
            <v>HUANCANE</v>
          </cell>
          <cell r="H1646" t="str">
            <v>011659</v>
          </cell>
          <cell r="I1646" t="str">
            <v>1</v>
          </cell>
        </row>
        <row r="1647">
          <cell r="A1647" t="str">
            <v>PUNOHUANCANECOJATA</v>
          </cell>
          <cell r="B1647" t="str">
            <v>21</v>
          </cell>
          <cell r="C1647" t="str">
            <v>06</v>
          </cell>
          <cell r="D1647" t="str">
            <v>02</v>
          </cell>
          <cell r="E1647" t="str">
            <v>PUNO</v>
          </cell>
          <cell r="F1647" t="str">
            <v>HUANCANE</v>
          </cell>
          <cell r="G1647" t="str">
            <v>COJATA</v>
          </cell>
          <cell r="H1647" t="str">
            <v>011660</v>
          </cell>
          <cell r="I1647" t="str">
            <v>2</v>
          </cell>
        </row>
        <row r="1648">
          <cell r="A1648" t="str">
            <v>PUNOHUANCANEHUATASANI</v>
          </cell>
          <cell r="B1648" t="str">
            <v>21</v>
          </cell>
          <cell r="C1648" t="str">
            <v>06</v>
          </cell>
          <cell r="D1648" t="str">
            <v>03</v>
          </cell>
          <cell r="E1648" t="str">
            <v>PUNO</v>
          </cell>
          <cell r="F1648" t="str">
            <v>HUANCANE</v>
          </cell>
          <cell r="G1648" t="str">
            <v>HUATASANI</v>
          </cell>
          <cell r="H1648" t="str">
            <v>011661</v>
          </cell>
          <cell r="I1648" t="str">
            <v>2</v>
          </cell>
        </row>
        <row r="1649">
          <cell r="A1649" t="str">
            <v>PUNOHUANCANEINCHUPALLA</v>
          </cell>
          <cell r="B1649" t="str">
            <v>21</v>
          </cell>
          <cell r="C1649" t="str">
            <v>06</v>
          </cell>
          <cell r="D1649" t="str">
            <v>04</v>
          </cell>
          <cell r="E1649" t="str">
            <v>PUNO</v>
          </cell>
          <cell r="F1649" t="str">
            <v>HUANCANE</v>
          </cell>
          <cell r="G1649" t="str">
            <v>INCHUPALLA</v>
          </cell>
          <cell r="H1649" t="str">
            <v>011662</v>
          </cell>
          <cell r="I1649" t="str">
            <v>2</v>
          </cell>
        </row>
        <row r="1650">
          <cell r="A1650" t="str">
            <v>PUNOHUANCANEPUSI</v>
          </cell>
          <cell r="B1650" t="str">
            <v>21</v>
          </cell>
          <cell r="C1650" t="str">
            <v>06</v>
          </cell>
          <cell r="D1650" t="str">
            <v>05</v>
          </cell>
          <cell r="E1650" t="str">
            <v>PUNO</v>
          </cell>
          <cell r="F1650" t="str">
            <v>HUANCANE</v>
          </cell>
          <cell r="G1650" t="str">
            <v>PUSI</v>
          </cell>
          <cell r="H1650" t="str">
            <v>011663</v>
          </cell>
          <cell r="I1650" t="str">
            <v>2</v>
          </cell>
        </row>
        <row r="1651">
          <cell r="A1651" t="str">
            <v>PUNOHUANCANEROSASPATA</v>
          </cell>
          <cell r="B1651" t="str">
            <v>21</v>
          </cell>
          <cell r="C1651" t="str">
            <v>06</v>
          </cell>
          <cell r="D1651" t="str">
            <v>06</v>
          </cell>
          <cell r="E1651" t="str">
            <v>PUNO</v>
          </cell>
          <cell r="F1651" t="str">
            <v>HUANCANE</v>
          </cell>
          <cell r="G1651" t="str">
            <v>ROSASPATA</v>
          </cell>
          <cell r="H1651" t="str">
            <v>011664</v>
          </cell>
          <cell r="I1651" t="str">
            <v>2</v>
          </cell>
        </row>
        <row r="1652">
          <cell r="A1652" t="str">
            <v>PUNOHUANCANETARACO</v>
          </cell>
          <cell r="B1652" t="str">
            <v>21</v>
          </cell>
          <cell r="C1652" t="str">
            <v>06</v>
          </cell>
          <cell r="D1652" t="str">
            <v>07</v>
          </cell>
          <cell r="E1652" t="str">
            <v>PUNO</v>
          </cell>
          <cell r="F1652" t="str">
            <v>HUANCANE</v>
          </cell>
          <cell r="G1652" t="str">
            <v>TARACO</v>
          </cell>
          <cell r="H1652" t="str">
            <v>011665</v>
          </cell>
          <cell r="I1652" t="str">
            <v>2</v>
          </cell>
        </row>
        <row r="1653">
          <cell r="A1653" t="str">
            <v>PUNOHUANCANEVILQUE CHICO</v>
          </cell>
          <cell r="B1653" t="str">
            <v>21</v>
          </cell>
          <cell r="C1653" t="str">
            <v>06</v>
          </cell>
          <cell r="D1653" t="str">
            <v>08</v>
          </cell>
          <cell r="E1653" t="str">
            <v>PUNO</v>
          </cell>
          <cell r="F1653" t="str">
            <v>HUANCANE</v>
          </cell>
          <cell r="G1653" t="str">
            <v>VILQUE CHICO</v>
          </cell>
          <cell r="H1653" t="str">
            <v>012769</v>
          </cell>
          <cell r="I1653" t="str">
            <v>2</v>
          </cell>
        </row>
        <row r="1654">
          <cell r="A1654" t="str">
            <v>PUNOLAMPALAMPA</v>
          </cell>
          <cell r="B1654" t="str">
            <v>21</v>
          </cell>
          <cell r="C1654" t="str">
            <v>07</v>
          </cell>
          <cell r="D1654" t="str">
            <v>01</v>
          </cell>
          <cell r="E1654" t="str">
            <v>PUNO</v>
          </cell>
          <cell r="F1654" t="str">
            <v>LAMPA</v>
          </cell>
          <cell r="G1654" t="str">
            <v>LAMPA</v>
          </cell>
          <cell r="H1654" t="str">
            <v>011667</v>
          </cell>
          <cell r="I1654" t="str">
            <v>1</v>
          </cell>
        </row>
        <row r="1655">
          <cell r="A1655" t="str">
            <v>PUNOLAMPACABANILLA</v>
          </cell>
          <cell r="B1655" t="str">
            <v>21</v>
          </cell>
          <cell r="C1655" t="str">
            <v>07</v>
          </cell>
          <cell r="D1655" t="str">
            <v>02</v>
          </cell>
          <cell r="E1655" t="str">
            <v>PUNO</v>
          </cell>
          <cell r="F1655" t="str">
            <v>LAMPA</v>
          </cell>
          <cell r="G1655" t="str">
            <v>CABANILLA</v>
          </cell>
          <cell r="H1655" t="str">
            <v>011668</v>
          </cell>
          <cell r="I1655" t="str">
            <v>2</v>
          </cell>
        </row>
        <row r="1656">
          <cell r="A1656" t="str">
            <v>PUNOLAMPACALAPUJA</v>
          </cell>
          <cell r="B1656" t="str">
            <v>21</v>
          </cell>
          <cell r="C1656" t="str">
            <v>07</v>
          </cell>
          <cell r="D1656" t="str">
            <v>03</v>
          </cell>
          <cell r="E1656" t="str">
            <v>PUNO</v>
          </cell>
          <cell r="F1656" t="str">
            <v>LAMPA</v>
          </cell>
          <cell r="G1656" t="str">
            <v>CALAPUJA</v>
          </cell>
          <cell r="H1656" t="str">
            <v>011669</v>
          </cell>
          <cell r="I1656" t="str">
            <v>2</v>
          </cell>
        </row>
        <row r="1657">
          <cell r="A1657" t="str">
            <v>PUNOLAMPANICASIO</v>
          </cell>
          <cell r="B1657" t="str">
            <v>21</v>
          </cell>
          <cell r="C1657" t="str">
            <v>07</v>
          </cell>
          <cell r="D1657" t="str">
            <v>04</v>
          </cell>
          <cell r="E1657" t="str">
            <v>PUNO</v>
          </cell>
          <cell r="F1657" t="str">
            <v>LAMPA</v>
          </cell>
          <cell r="G1657" t="str">
            <v>NICASIO</v>
          </cell>
          <cell r="H1657" t="str">
            <v>011670</v>
          </cell>
          <cell r="I1657" t="str">
            <v>2</v>
          </cell>
        </row>
        <row r="1658">
          <cell r="A1658" t="str">
            <v>PUNOLAMPAOCUVIRI</v>
          </cell>
          <cell r="B1658" t="str">
            <v>21</v>
          </cell>
          <cell r="C1658" t="str">
            <v>07</v>
          </cell>
          <cell r="D1658" t="str">
            <v>05</v>
          </cell>
          <cell r="E1658" t="str">
            <v>PUNO</v>
          </cell>
          <cell r="F1658" t="str">
            <v>LAMPA</v>
          </cell>
          <cell r="G1658" t="str">
            <v>OCUVIRI</v>
          </cell>
          <cell r="H1658" t="str">
            <v>011671</v>
          </cell>
          <cell r="I1658" t="str">
            <v>2</v>
          </cell>
        </row>
        <row r="1659">
          <cell r="A1659" t="str">
            <v>PUNOLAMPAPALCA</v>
          </cell>
          <cell r="B1659" t="str">
            <v>21</v>
          </cell>
          <cell r="C1659" t="str">
            <v>07</v>
          </cell>
          <cell r="D1659" t="str">
            <v>06</v>
          </cell>
          <cell r="E1659" t="str">
            <v>PUNO</v>
          </cell>
          <cell r="F1659" t="str">
            <v>LAMPA</v>
          </cell>
          <cell r="G1659" t="str">
            <v>PALCA</v>
          </cell>
          <cell r="H1659" t="str">
            <v>012276</v>
          </cell>
          <cell r="I1659" t="str">
            <v>2</v>
          </cell>
        </row>
        <row r="1660">
          <cell r="A1660" t="str">
            <v>PUNOLAMPAPARATIA</v>
          </cell>
          <cell r="B1660" t="str">
            <v>21</v>
          </cell>
          <cell r="C1660" t="str">
            <v>07</v>
          </cell>
          <cell r="D1660" t="str">
            <v>07</v>
          </cell>
          <cell r="E1660" t="str">
            <v>PUNO</v>
          </cell>
          <cell r="F1660" t="str">
            <v>LAMPA</v>
          </cell>
          <cell r="G1660" t="str">
            <v>PARATIA</v>
          </cell>
          <cell r="H1660" t="str">
            <v>011673</v>
          </cell>
          <cell r="I1660" t="str">
            <v>2</v>
          </cell>
        </row>
        <row r="1661">
          <cell r="A1661" t="str">
            <v>PUNOLAMPAPUCARA</v>
          </cell>
          <cell r="B1661" t="str">
            <v>21</v>
          </cell>
          <cell r="C1661" t="str">
            <v>07</v>
          </cell>
          <cell r="D1661" t="str">
            <v>08</v>
          </cell>
          <cell r="E1661" t="str">
            <v>PUNO</v>
          </cell>
          <cell r="F1661" t="str">
            <v>LAMPA</v>
          </cell>
          <cell r="G1661" t="str">
            <v>PUCARA</v>
          </cell>
          <cell r="H1661" t="str">
            <v>011674</v>
          </cell>
          <cell r="I1661" t="str">
            <v>2</v>
          </cell>
        </row>
        <row r="1662">
          <cell r="A1662" t="str">
            <v>PUNOLAMPASANTA LUCIA</v>
          </cell>
          <cell r="B1662" t="str">
            <v>21</v>
          </cell>
          <cell r="C1662" t="str">
            <v>07</v>
          </cell>
          <cell r="D1662" t="str">
            <v>09</v>
          </cell>
          <cell r="E1662" t="str">
            <v>PUNO</v>
          </cell>
          <cell r="F1662" t="str">
            <v>LAMPA</v>
          </cell>
          <cell r="G1662" t="str">
            <v>SANTA LUCIA</v>
          </cell>
          <cell r="H1662" t="str">
            <v>011675</v>
          </cell>
          <cell r="I1662" t="str">
            <v>2</v>
          </cell>
        </row>
        <row r="1663">
          <cell r="A1663" t="str">
            <v>PUNOLAMPAVILAVILA</v>
          </cell>
          <cell r="B1663" t="str">
            <v>21</v>
          </cell>
          <cell r="C1663" t="str">
            <v>07</v>
          </cell>
          <cell r="D1663" t="str">
            <v>10</v>
          </cell>
          <cell r="E1663" t="str">
            <v>PUNO</v>
          </cell>
          <cell r="F1663" t="str">
            <v>LAMPA</v>
          </cell>
          <cell r="G1663" t="str">
            <v>VILAVILA</v>
          </cell>
          <cell r="H1663" t="str">
            <v>011676</v>
          </cell>
          <cell r="I1663" t="str">
            <v>2</v>
          </cell>
        </row>
        <row r="1664">
          <cell r="A1664" t="str">
            <v>PUNOMELGARAYAVIRI</v>
          </cell>
          <cell r="B1664" t="str">
            <v>21</v>
          </cell>
          <cell r="C1664" t="str">
            <v>08</v>
          </cell>
          <cell r="D1664" t="str">
            <v>01</v>
          </cell>
          <cell r="E1664" t="str">
            <v>PUNO</v>
          </cell>
          <cell r="F1664" t="str">
            <v>MELGAR</v>
          </cell>
          <cell r="G1664" t="str">
            <v>AYAVIRI</v>
          </cell>
          <cell r="H1664" t="str">
            <v>011677</v>
          </cell>
          <cell r="I1664" t="str">
            <v>1</v>
          </cell>
        </row>
        <row r="1665">
          <cell r="A1665" t="str">
            <v>PUNOMELGARANTAUTA</v>
          </cell>
          <cell r="B1665" t="str">
            <v>21</v>
          </cell>
          <cell r="C1665" t="str">
            <v>08</v>
          </cell>
          <cell r="D1665" t="str">
            <v>02</v>
          </cell>
          <cell r="E1665" t="str">
            <v>PUNO</v>
          </cell>
          <cell r="F1665" t="str">
            <v>MELGAR</v>
          </cell>
          <cell r="G1665" t="str">
            <v>ANTAUTA</v>
          </cell>
          <cell r="H1665" t="str">
            <v>011678</v>
          </cell>
          <cell r="I1665" t="str">
            <v>2</v>
          </cell>
        </row>
        <row r="1666">
          <cell r="A1666" t="str">
            <v>PUNOMELGARCUPI</v>
          </cell>
          <cell r="B1666" t="str">
            <v>21</v>
          </cell>
          <cell r="C1666" t="str">
            <v>08</v>
          </cell>
          <cell r="D1666" t="str">
            <v>03</v>
          </cell>
          <cell r="E1666" t="str">
            <v>PUNO</v>
          </cell>
          <cell r="F1666" t="str">
            <v>MELGAR</v>
          </cell>
          <cell r="G1666" t="str">
            <v>CUPI</v>
          </cell>
          <cell r="H1666" t="str">
            <v>011679</v>
          </cell>
          <cell r="I1666" t="str">
            <v>2</v>
          </cell>
        </row>
        <row r="1667">
          <cell r="A1667" t="str">
            <v>PUNOMELGARLLALLI</v>
          </cell>
          <cell r="B1667" t="str">
            <v>21</v>
          </cell>
          <cell r="C1667" t="str">
            <v>08</v>
          </cell>
          <cell r="D1667" t="str">
            <v>04</v>
          </cell>
          <cell r="E1667" t="str">
            <v>PUNO</v>
          </cell>
          <cell r="F1667" t="str">
            <v>MELGAR</v>
          </cell>
          <cell r="G1667" t="str">
            <v>LLALLI</v>
          </cell>
          <cell r="H1667" t="str">
            <v>012772</v>
          </cell>
          <cell r="I1667" t="str">
            <v>2</v>
          </cell>
        </row>
        <row r="1668">
          <cell r="A1668" t="str">
            <v>PUNOMELGARMACARI</v>
          </cell>
          <cell r="B1668" t="str">
            <v>21</v>
          </cell>
          <cell r="C1668" t="str">
            <v>08</v>
          </cell>
          <cell r="D1668" t="str">
            <v>05</v>
          </cell>
          <cell r="E1668" t="str">
            <v>PUNO</v>
          </cell>
          <cell r="F1668" t="str">
            <v>MELGAR</v>
          </cell>
          <cell r="G1668" t="str">
            <v>MACARI</v>
          </cell>
          <cell r="H1668" t="str">
            <v>011681</v>
          </cell>
          <cell r="I1668" t="str">
            <v>2</v>
          </cell>
        </row>
        <row r="1669">
          <cell r="A1669" t="str">
            <v>PUNOMELGARNUÑOA</v>
          </cell>
          <cell r="B1669" t="str">
            <v>21</v>
          </cell>
          <cell r="C1669" t="str">
            <v>08</v>
          </cell>
          <cell r="D1669" t="str">
            <v>06</v>
          </cell>
          <cell r="E1669" t="str">
            <v>PUNO</v>
          </cell>
          <cell r="F1669" t="str">
            <v>MELGAR</v>
          </cell>
          <cell r="G1669" t="str">
            <v>NUÑOA</v>
          </cell>
          <cell r="H1669" t="str">
            <v>011682</v>
          </cell>
          <cell r="I1669" t="str">
            <v>2</v>
          </cell>
        </row>
        <row r="1670">
          <cell r="A1670" t="str">
            <v>PUNOMELGARORURILLO</v>
          </cell>
          <cell r="B1670" t="str">
            <v>21</v>
          </cell>
          <cell r="C1670" t="str">
            <v>08</v>
          </cell>
          <cell r="D1670" t="str">
            <v>07</v>
          </cell>
          <cell r="E1670" t="str">
            <v>PUNO</v>
          </cell>
          <cell r="F1670" t="str">
            <v>MELGAR</v>
          </cell>
          <cell r="G1670" t="str">
            <v>ORURILLO</v>
          </cell>
          <cell r="H1670" t="str">
            <v>011683</v>
          </cell>
          <cell r="I1670" t="str">
            <v>2</v>
          </cell>
        </row>
        <row r="1671">
          <cell r="A1671" t="str">
            <v>PUNOMELGARSANTA ROSA</v>
          </cell>
          <cell r="B1671" t="str">
            <v>21</v>
          </cell>
          <cell r="C1671" t="str">
            <v>08</v>
          </cell>
          <cell r="D1671" t="str">
            <v>08</v>
          </cell>
          <cell r="E1671" t="str">
            <v>PUNO</v>
          </cell>
          <cell r="F1671" t="str">
            <v>MELGAR</v>
          </cell>
          <cell r="G1671" t="str">
            <v>SANTA ROSA</v>
          </cell>
          <cell r="H1671" t="str">
            <v>012264</v>
          </cell>
          <cell r="I1671" t="str">
            <v>2</v>
          </cell>
        </row>
        <row r="1672">
          <cell r="A1672" t="str">
            <v>PUNOMELGARUMACHIRI</v>
          </cell>
          <cell r="B1672" t="str">
            <v>21</v>
          </cell>
          <cell r="C1672" t="str">
            <v>08</v>
          </cell>
          <cell r="D1672" t="str">
            <v>09</v>
          </cell>
          <cell r="E1672" t="str">
            <v>PUNO</v>
          </cell>
          <cell r="F1672" t="str">
            <v>MELGAR</v>
          </cell>
          <cell r="G1672" t="str">
            <v>UMACHIRI</v>
          </cell>
          <cell r="H1672" t="str">
            <v>011685</v>
          </cell>
          <cell r="I1672" t="str">
            <v>2</v>
          </cell>
        </row>
        <row r="1673">
          <cell r="A1673" t="str">
            <v>PUNOMOHOMOHO</v>
          </cell>
          <cell r="B1673" t="str">
            <v>21</v>
          </cell>
          <cell r="C1673" t="str">
            <v>09</v>
          </cell>
          <cell r="D1673" t="str">
            <v>01</v>
          </cell>
          <cell r="E1673" t="str">
            <v>PUNO</v>
          </cell>
          <cell r="F1673" t="str">
            <v>MOHO</v>
          </cell>
          <cell r="G1673" t="str">
            <v>MOHO</v>
          </cell>
          <cell r="H1673" t="str">
            <v>011686</v>
          </cell>
          <cell r="I1673" t="str">
            <v>1</v>
          </cell>
        </row>
        <row r="1674">
          <cell r="A1674" t="str">
            <v>PUNOMOHOCONIMA</v>
          </cell>
          <cell r="B1674" t="str">
            <v>21</v>
          </cell>
          <cell r="C1674" t="str">
            <v>09</v>
          </cell>
          <cell r="D1674" t="str">
            <v>02</v>
          </cell>
          <cell r="E1674" t="str">
            <v>PUNO</v>
          </cell>
          <cell r="F1674" t="str">
            <v>MOHO</v>
          </cell>
          <cell r="G1674" t="str">
            <v>CONIMA</v>
          </cell>
          <cell r="H1674" t="str">
            <v>011687</v>
          </cell>
          <cell r="I1674" t="str">
            <v>2</v>
          </cell>
        </row>
        <row r="1675">
          <cell r="A1675" t="str">
            <v>PUNOMOHOHUAYRAPATA</v>
          </cell>
          <cell r="B1675" t="str">
            <v>21</v>
          </cell>
          <cell r="C1675" t="str">
            <v>09</v>
          </cell>
          <cell r="D1675" t="str">
            <v>03</v>
          </cell>
          <cell r="E1675" t="str">
            <v>PUNO</v>
          </cell>
          <cell r="F1675" t="str">
            <v>MOHO</v>
          </cell>
          <cell r="G1675" t="str">
            <v>HUAYRAPATA</v>
          </cell>
          <cell r="H1675" t="str">
            <v>011688</v>
          </cell>
          <cell r="I1675" t="str">
            <v>2</v>
          </cell>
        </row>
        <row r="1676">
          <cell r="A1676" t="str">
            <v>PUNOMOHOTILALI</v>
          </cell>
          <cell r="B1676" t="str">
            <v>21</v>
          </cell>
          <cell r="C1676" t="str">
            <v>09</v>
          </cell>
          <cell r="D1676" t="str">
            <v>04</v>
          </cell>
          <cell r="E1676" t="str">
            <v>PUNO</v>
          </cell>
          <cell r="F1676" t="str">
            <v>MOHO</v>
          </cell>
          <cell r="G1676" t="str">
            <v>TILALI</v>
          </cell>
          <cell r="H1676" t="str">
            <v>011689</v>
          </cell>
          <cell r="I1676" t="str">
            <v>2</v>
          </cell>
        </row>
        <row r="1677">
          <cell r="A1677" t="str">
            <v>PUNOSAN ANTONIO DE PUTINAPUTINA</v>
          </cell>
          <cell r="B1677" t="str">
            <v>21</v>
          </cell>
          <cell r="C1677" t="str">
            <v>10</v>
          </cell>
          <cell r="D1677" t="str">
            <v>01</v>
          </cell>
          <cell r="E1677" t="str">
            <v>PUNO</v>
          </cell>
          <cell r="F1677" t="str">
            <v>SAN ANTONIO DE PUTINA</v>
          </cell>
          <cell r="G1677" t="str">
            <v>PUTINA</v>
          </cell>
          <cell r="H1677" t="str">
            <v>011690</v>
          </cell>
          <cell r="I1677" t="str">
            <v>1</v>
          </cell>
        </row>
        <row r="1678">
          <cell r="A1678" t="str">
            <v>PUNOSAN ANTONIO DE PUTINAANANEA</v>
          </cell>
          <cell r="B1678" t="str">
            <v>21</v>
          </cell>
          <cell r="C1678" t="str">
            <v>10</v>
          </cell>
          <cell r="D1678" t="str">
            <v>02</v>
          </cell>
          <cell r="E1678" t="str">
            <v>PUNO</v>
          </cell>
          <cell r="F1678" t="str">
            <v>SAN ANTONIO DE PUTINA</v>
          </cell>
          <cell r="G1678" t="str">
            <v>ANANEA</v>
          </cell>
          <cell r="H1678" t="str">
            <v>011691</v>
          </cell>
          <cell r="I1678" t="str">
            <v>2</v>
          </cell>
        </row>
        <row r="1679">
          <cell r="A1679" t="str">
            <v>PUNOSAN ANTONIO DE PUTINAPEDRO VILCA APAZA</v>
          </cell>
          <cell r="B1679" t="str">
            <v>21</v>
          </cell>
          <cell r="C1679" t="str">
            <v>10</v>
          </cell>
          <cell r="D1679" t="str">
            <v>03</v>
          </cell>
          <cell r="E1679" t="str">
            <v>PUNO</v>
          </cell>
          <cell r="F1679" t="str">
            <v>SAN ANTONIO DE PUTINA</v>
          </cell>
          <cell r="G1679" t="str">
            <v>PEDRO VILCA APAZA</v>
          </cell>
          <cell r="H1679" t="str">
            <v>011692</v>
          </cell>
          <cell r="I1679" t="str">
            <v>2</v>
          </cell>
        </row>
        <row r="1680">
          <cell r="A1680" t="str">
            <v>PUNOSAN ANTONIO DE PUTINAQUILCAPUNCU</v>
          </cell>
          <cell r="B1680" t="str">
            <v>21</v>
          </cell>
          <cell r="C1680" t="str">
            <v>10</v>
          </cell>
          <cell r="D1680" t="str">
            <v>04</v>
          </cell>
          <cell r="E1680" t="str">
            <v>PUNO</v>
          </cell>
          <cell r="F1680" t="str">
            <v>SAN ANTONIO DE PUTINA</v>
          </cell>
          <cell r="G1680" t="str">
            <v>QUILCAPUNCU</v>
          </cell>
          <cell r="H1680" t="str">
            <v>011693</v>
          </cell>
          <cell r="I1680" t="str">
            <v>2</v>
          </cell>
        </row>
        <row r="1681">
          <cell r="A1681" t="str">
            <v>PUNOSAN ANTONIO DE PUTINASINA</v>
          </cell>
          <cell r="B1681" t="str">
            <v>21</v>
          </cell>
          <cell r="C1681" t="str">
            <v>10</v>
          </cell>
          <cell r="D1681" t="str">
            <v>05</v>
          </cell>
          <cell r="E1681" t="str">
            <v>PUNO</v>
          </cell>
          <cell r="F1681" t="str">
            <v>SAN ANTONIO DE PUTINA</v>
          </cell>
          <cell r="G1681" t="str">
            <v>SINA</v>
          </cell>
          <cell r="H1681" t="str">
            <v>011694</v>
          </cell>
          <cell r="I1681" t="str">
            <v>2</v>
          </cell>
        </row>
        <row r="1682">
          <cell r="A1682" t="str">
            <v>PUNOSAN ROMANJULIACA</v>
          </cell>
          <cell r="B1682" t="str">
            <v>21</v>
          </cell>
          <cell r="C1682" t="str">
            <v>11</v>
          </cell>
          <cell r="D1682" t="str">
            <v>01</v>
          </cell>
          <cell r="E1682" t="str">
            <v>PUNO</v>
          </cell>
          <cell r="F1682" t="str">
            <v>SAN ROMAN</v>
          </cell>
          <cell r="G1682" t="str">
            <v>JULIACA</v>
          </cell>
          <cell r="H1682" t="str">
            <v>011628</v>
          </cell>
          <cell r="I1682" t="str">
            <v>1</v>
          </cell>
        </row>
        <row r="1683">
          <cell r="A1683" t="str">
            <v>PUNOSAN ROMANCABANA</v>
          </cell>
          <cell r="B1683" t="str">
            <v>21</v>
          </cell>
          <cell r="C1683" t="str">
            <v>11</v>
          </cell>
          <cell r="D1683" t="str">
            <v>02</v>
          </cell>
          <cell r="E1683" t="str">
            <v>PUNO</v>
          </cell>
          <cell r="F1683" t="str">
            <v>SAN ROMAN</v>
          </cell>
          <cell r="G1683" t="str">
            <v>CABANA</v>
          </cell>
          <cell r="H1683" t="str">
            <v>011629</v>
          </cell>
          <cell r="I1683" t="str">
            <v>2</v>
          </cell>
        </row>
        <row r="1684">
          <cell r="A1684" t="str">
            <v>PUNOSAN ROMANCABANILLAS</v>
          </cell>
          <cell r="B1684" t="str">
            <v>21</v>
          </cell>
          <cell r="C1684" t="str">
            <v>11</v>
          </cell>
          <cell r="D1684" t="str">
            <v>03</v>
          </cell>
          <cell r="E1684" t="str">
            <v>PUNO</v>
          </cell>
          <cell r="F1684" t="str">
            <v>SAN ROMAN</v>
          </cell>
          <cell r="G1684" t="str">
            <v>CABANILLAS</v>
          </cell>
          <cell r="H1684" t="str">
            <v>011630</v>
          </cell>
          <cell r="I1684" t="str">
            <v>2</v>
          </cell>
        </row>
        <row r="1685">
          <cell r="A1685" t="str">
            <v>PUNOSAN ROMANCARACOTO</v>
          </cell>
          <cell r="B1685" t="str">
            <v>21</v>
          </cell>
          <cell r="C1685" t="str">
            <v>11</v>
          </cell>
          <cell r="D1685" t="str">
            <v>04</v>
          </cell>
          <cell r="E1685" t="str">
            <v>PUNO</v>
          </cell>
          <cell r="F1685" t="str">
            <v>SAN ROMAN</v>
          </cell>
          <cell r="G1685" t="str">
            <v>CARACOTO</v>
          </cell>
          <cell r="H1685" t="str">
            <v>011631</v>
          </cell>
          <cell r="I1685" t="str">
            <v>2</v>
          </cell>
        </row>
        <row r="1686">
          <cell r="A1686" t="str">
            <v>PUNOSANDIASANDIA</v>
          </cell>
          <cell r="B1686" t="str">
            <v>21</v>
          </cell>
          <cell r="C1686" t="str">
            <v>12</v>
          </cell>
          <cell r="D1686" t="str">
            <v>01</v>
          </cell>
          <cell r="E1686" t="str">
            <v>PUNO</v>
          </cell>
          <cell r="F1686" t="str">
            <v>SANDIA</v>
          </cell>
          <cell r="G1686" t="str">
            <v>SANDIA</v>
          </cell>
          <cell r="H1686" t="str">
            <v>012767</v>
          </cell>
          <cell r="I1686" t="str">
            <v>1</v>
          </cell>
        </row>
        <row r="1687">
          <cell r="A1687" t="str">
            <v>PUNOSANDIACUYOCUYO</v>
          </cell>
          <cell r="B1687" t="str">
            <v>21</v>
          </cell>
          <cell r="C1687" t="str">
            <v>12</v>
          </cell>
          <cell r="D1687" t="str">
            <v>02</v>
          </cell>
          <cell r="E1687" t="str">
            <v>PUNO</v>
          </cell>
          <cell r="F1687" t="str">
            <v>SANDIA</v>
          </cell>
          <cell r="G1687" t="str">
            <v>CUYOCUYO</v>
          </cell>
          <cell r="H1687" t="str">
            <v>011696</v>
          </cell>
          <cell r="I1687" t="str">
            <v>2</v>
          </cell>
        </row>
        <row r="1688">
          <cell r="A1688" t="str">
            <v>PUNOSANDIALIMBANI</v>
          </cell>
          <cell r="B1688" t="str">
            <v>21</v>
          </cell>
          <cell r="C1688" t="str">
            <v>12</v>
          </cell>
          <cell r="D1688" t="str">
            <v>03</v>
          </cell>
          <cell r="E1688" t="str">
            <v>PUNO</v>
          </cell>
          <cell r="F1688" t="str">
            <v>SANDIA</v>
          </cell>
          <cell r="G1688" t="str">
            <v>LIMBANI</v>
          </cell>
          <cell r="H1688" t="str">
            <v>011632</v>
          </cell>
          <cell r="I1688" t="str">
            <v>2</v>
          </cell>
        </row>
        <row r="1689">
          <cell r="A1689" t="str">
            <v>PUNOSANDIAPATAMBUCO</v>
          </cell>
          <cell r="B1689" t="str">
            <v>21</v>
          </cell>
          <cell r="C1689" t="str">
            <v>12</v>
          </cell>
          <cell r="D1689" t="str">
            <v>04</v>
          </cell>
          <cell r="E1689" t="str">
            <v>PUNO</v>
          </cell>
          <cell r="F1689" t="str">
            <v>SANDIA</v>
          </cell>
          <cell r="G1689" t="str">
            <v>PATAMBUCO</v>
          </cell>
          <cell r="H1689" t="str">
            <v>011697</v>
          </cell>
          <cell r="I1689" t="str">
            <v>2</v>
          </cell>
        </row>
        <row r="1690">
          <cell r="A1690" t="str">
            <v>PUNOSANDIAPHARA</v>
          </cell>
          <cell r="B1690" t="str">
            <v>21</v>
          </cell>
          <cell r="C1690" t="str">
            <v>12</v>
          </cell>
          <cell r="D1690" t="str">
            <v>05</v>
          </cell>
          <cell r="E1690" t="str">
            <v>PUNO</v>
          </cell>
          <cell r="F1690" t="str">
            <v>SANDIA</v>
          </cell>
          <cell r="G1690" t="str">
            <v>PHARA</v>
          </cell>
          <cell r="H1690" t="str">
            <v>012265</v>
          </cell>
          <cell r="I1690" t="str">
            <v>2</v>
          </cell>
        </row>
        <row r="1691">
          <cell r="A1691" t="str">
            <v>PUNOSANDIAQUIACA</v>
          </cell>
          <cell r="B1691" t="str">
            <v>21</v>
          </cell>
          <cell r="C1691" t="str">
            <v>12</v>
          </cell>
          <cell r="D1691" t="str">
            <v>06</v>
          </cell>
          <cell r="E1691" t="str">
            <v>PUNO</v>
          </cell>
          <cell r="F1691" t="str">
            <v>SANDIA</v>
          </cell>
          <cell r="G1691" t="str">
            <v>QUIACA</v>
          </cell>
          <cell r="H1691" t="str">
            <v>011698</v>
          </cell>
          <cell r="I1691" t="str">
            <v>2</v>
          </cell>
        </row>
        <row r="1692">
          <cell r="A1692" t="str">
            <v>PUNOSANDIASAN JUAN DEL ORO</v>
          </cell>
          <cell r="B1692" t="str">
            <v>21</v>
          </cell>
          <cell r="C1692" t="str">
            <v>12</v>
          </cell>
          <cell r="D1692" t="str">
            <v>07</v>
          </cell>
          <cell r="E1692" t="str">
            <v>PUNO</v>
          </cell>
          <cell r="F1692" t="str">
            <v>SANDIA</v>
          </cell>
          <cell r="G1692" t="str">
            <v>SAN JUAN DEL ORO</v>
          </cell>
          <cell r="H1692" t="str">
            <v>011699</v>
          </cell>
          <cell r="I1692" t="str">
            <v>2</v>
          </cell>
        </row>
        <row r="1693">
          <cell r="A1693" t="str">
            <v>PUNOSANDIAYANAHUAYA</v>
          </cell>
          <cell r="B1693" t="str">
            <v>21</v>
          </cell>
          <cell r="C1693" t="str">
            <v>12</v>
          </cell>
          <cell r="D1693" t="str">
            <v>08</v>
          </cell>
          <cell r="E1693" t="str">
            <v>PUNO</v>
          </cell>
          <cell r="F1693" t="str">
            <v>SANDIA</v>
          </cell>
          <cell r="G1693" t="str">
            <v>YANAHUAYA</v>
          </cell>
          <cell r="H1693" t="str">
            <v>011700</v>
          </cell>
          <cell r="I1693" t="str">
            <v>2</v>
          </cell>
        </row>
        <row r="1694">
          <cell r="A1694" t="str">
            <v>PUNOSANDIAALTO INAMBARI</v>
          </cell>
          <cell r="B1694" t="str">
            <v>21</v>
          </cell>
          <cell r="C1694" t="str">
            <v>12</v>
          </cell>
          <cell r="D1694" t="str">
            <v>09</v>
          </cell>
          <cell r="E1694" t="str">
            <v>PUNO</v>
          </cell>
          <cell r="F1694" t="str">
            <v>SANDIA</v>
          </cell>
          <cell r="G1694" t="str">
            <v>ALTO INAMBARI</v>
          </cell>
          <cell r="H1694" t="str">
            <v>011701</v>
          </cell>
          <cell r="I1694" t="str">
            <v>2</v>
          </cell>
        </row>
        <row r="1695">
          <cell r="A1695" t="str">
            <v>PUNOSANDIASAN PEDRO DE PUTINA PUNCO</v>
          </cell>
          <cell r="B1695" t="str">
            <v>21</v>
          </cell>
          <cell r="C1695" t="str">
            <v>12</v>
          </cell>
          <cell r="D1695" t="str">
            <v>10</v>
          </cell>
          <cell r="E1695" t="str">
            <v>PUNO</v>
          </cell>
          <cell r="F1695" t="str">
            <v>SANDIA</v>
          </cell>
          <cell r="G1695" t="str">
            <v>SAN PEDRO DE PUTINA PUNCO</v>
          </cell>
          <cell r="H1695" t="str">
            <v>012753</v>
          </cell>
          <cell r="I1695" t="str">
            <v>2</v>
          </cell>
        </row>
        <row r="1696">
          <cell r="A1696" t="str">
            <v>PUNOYUNGUYOYUNGUYO</v>
          </cell>
          <cell r="B1696" t="str">
            <v>21</v>
          </cell>
          <cell r="C1696" t="str">
            <v>13</v>
          </cell>
          <cell r="D1696" t="str">
            <v>01</v>
          </cell>
          <cell r="E1696" t="str">
            <v>PUNO</v>
          </cell>
          <cell r="F1696" t="str">
            <v>YUNGUYO</v>
          </cell>
          <cell r="G1696" t="str">
            <v>YUNGUYO</v>
          </cell>
          <cell r="H1696" t="str">
            <v>011621</v>
          </cell>
          <cell r="I1696" t="str">
            <v>1</v>
          </cell>
        </row>
        <row r="1697">
          <cell r="A1697" t="str">
            <v>PUNOYUNGUYOANAPIA</v>
          </cell>
          <cell r="B1697" t="str">
            <v>21</v>
          </cell>
          <cell r="C1697" t="str">
            <v>13</v>
          </cell>
          <cell r="D1697" t="str">
            <v>02</v>
          </cell>
          <cell r="E1697" t="str">
            <v>PUNO</v>
          </cell>
          <cell r="F1697" t="str">
            <v>YUNGUYO</v>
          </cell>
          <cell r="G1697" t="str">
            <v>ANAPIA</v>
          </cell>
          <cell r="H1697" t="str">
            <v>012746</v>
          </cell>
          <cell r="I1697" t="str">
            <v>2</v>
          </cell>
        </row>
        <row r="1698">
          <cell r="A1698" t="str">
            <v>PUNOYUNGUYOCOPANI</v>
          </cell>
          <cell r="B1698" t="str">
            <v>21</v>
          </cell>
          <cell r="C1698" t="str">
            <v>13</v>
          </cell>
          <cell r="D1698" t="str">
            <v>03</v>
          </cell>
          <cell r="E1698" t="str">
            <v>PUNO</v>
          </cell>
          <cell r="F1698" t="str">
            <v>YUNGUYO</v>
          </cell>
          <cell r="G1698" t="str">
            <v>COPANI</v>
          </cell>
          <cell r="H1698" t="str">
            <v>011623</v>
          </cell>
          <cell r="I1698" t="str">
            <v>2</v>
          </cell>
        </row>
        <row r="1699">
          <cell r="A1699" t="str">
            <v>PUNOYUNGUYOCUTURAPI</v>
          </cell>
          <cell r="B1699" t="str">
            <v>21</v>
          </cell>
          <cell r="C1699" t="str">
            <v>13</v>
          </cell>
          <cell r="D1699" t="str">
            <v>04</v>
          </cell>
          <cell r="E1699" t="str">
            <v>PUNO</v>
          </cell>
          <cell r="F1699" t="str">
            <v>YUNGUYO</v>
          </cell>
          <cell r="G1699" t="str">
            <v>CUTURAPI</v>
          </cell>
          <cell r="H1699" t="str">
            <v>012275</v>
          </cell>
          <cell r="I1699" t="str">
            <v>2</v>
          </cell>
        </row>
        <row r="1700">
          <cell r="A1700" t="str">
            <v>PUNOYUNGUYOOLLARAYA</v>
          </cell>
          <cell r="B1700" t="str">
            <v>21</v>
          </cell>
          <cell r="C1700" t="str">
            <v>13</v>
          </cell>
          <cell r="D1700" t="str">
            <v>05</v>
          </cell>
          <cell r="E1700" t="str">
            <v>PUNO</v>
          </cell>
          <cell r="F1700" t="str">
            <v>YUNGUYO</v>
          </cell>
          <cell r="G1700" t="str">
            <v>OLLARAYA</v>
          </cell>
          <cell r="H1700" t="str">
            <v>012752</v>
          </cell>
          <cell r="I1700" t="str">
            <v>2</v>
          </cell>
        </row>
        <row r="1701">
          <cell r="A1701" t="str">
            <v>PUNOYUNGUYOTINICACHI</v>
          </cell>
          <cell r="B1701" t="str">
            <v>21</v>
          </cell>
          <cell r="C1701" t="str">
            <v>13</v>
          </cell>
          <cell r="D1701" t="str">
            <v>06</v>
          </cell>
          <cell r="E1701" t="str">
            <v>PUNO</v>
          </cell>
          <cell r="F1701" t="str">
            <v>YUNGUYO</v>
          </cell>
          <cell r="G1701" t="str">
            <v>TINICACHI</v>
          </cell>
          <cell r="H1701" t="str">
            <v>011626</v>
          </cell>
          <cell r="I1701" t="str">
            <v>2</v>
          </cell>
        </row>
        <row r="1702">
          <cell r="A1702" t="str">
            <v>PUNOYUNGUYOUNICACHI</v>
          </cell>
          <cell r="B1702" t="str">
            <v>21</v>
          </cell>
          <cell r="C1702" t="str">
            <v>13</v>
          </cell>
          <cell r="D1702" t="str">
            <v>07</v>
          </cell>
          <cell r="E1702" t="str">
            <v>PUNO</v>
          </cell>
          <cell r="F1702" t="str">
            <v>YUNGUYO</v>
          </cell>
          <cell r="G1702" t="str">
            <v>UNICACHI</v>
          </cell>
          <cell r="H1702" t="str">
            <v>011627</v>
          </cell>
          <cell r="I1702" t="str">
            <v>2</v>
          </cell>
        </row>
        <row r="1703">
          <cell r="A1703" t="str">
            <v>SAN MARTINMOYOBAMBAMOYOBAMBA</v>
          </cell>
          <cell r="B1703" t="str">
            <v>22</v>
          </cell>
          <cell r="C1703" t="str">
            <v>01</v>
          </cell>
          <cell r="D1703" t="str">
            <v>01</v>
          </cell>
          <cell r="E1703" t="str">
            <v>SAN MARTIN</v>
          </cell>
          <cell r="F1703" t="str">
            <v>MOYOBAMBA</v>
          </cell>
          <cell r="G1703" t="str">
            <v>MOYOBAMBA</v>
          </cell>
          <cell r="H1703" t="str">
            <v>011703</v>
          </cell>
          <cell r="I1703" t="str">
            <v>1</v>
          </cell>
        </row>
        <row r="1704">
          <cell r="A1704" t="str">
            <v>SAN MARTINMOYOBAMBACALZADA</v>
          </cell>
          <cell r="B1704" t="str">
            <v>22</v>
          </cell>
          <cell r="C1704" t="str">
            <v>01</v>
          </cell>
          <cell r="D1704" t="str">
            <v>02</v>
          </cell>
          <cell r="E1704" t="str">
            <v>SAN MARTIN</v>
          </cell>
          <cell r="F1704" t="str">
            <v>MOYOBAMBA</v>
          </cell>
          <cell r="G1704" t="str">
            <v>CALZADA</v>
          </cell>
          <cell r="H1704" t="str">
            <v>011704</v>
          </cell>
          <cell r="I1704" t="str">
            <v>2</v>
          </cell>
        </row>
        <row r="1705">
          <cell r="A1705" t="str">
            <v>SAN MARTINMOYOBAMBAHABANA</v>
          </cell>
          <cell r="B1705" t="str">
            <v>22</v>
          </cell>
          <cell r="C1705" t="str">
            <v>01</v>
          </cell>
          <cell r="D1705" t="str">
            <v>03</v>
          </cell>
          <cell r="E1705" t="str">
            <v>SAN MARTIN</v>
          </cell>
          <cell r="F1705" t="str">
            <v>MOYOBAMBA</v>
          </cell>
          <cell r="G1705" t="str">
            <v>HABANA</v>
          </cell>
          <cell r="H1705" t="str">
            <v>011705</v>
          </cell>
          <cell r="I1705" t="str">
            <v>2</v>
          </cell>
        </row>
        <row r="1706">
          <cell r="A1706" t="str">
            <v>SAN MARTINMOYOBAMBAJEPELACIO</v>
          </cell>
          <cell r="B1706" t="str">
            <v>22</v>
          </cell>
          <cell r="C1706" t="str">
            <v>01</v>
          </cell>
          <cell r="D1706" t="str">
            <v>04</v>
          </cell>
          <cell r="E1706" t="str">
            <v>SAN MARTIN</v>
          </cell>
          <cell r="F1706" t="str">
            <v>MOYOBAMBA</v>
          </cell>
          <cell r="G1706" t="str">
            <v>JEPELACIO</v>
          </cell>
          <cell r="H1706" t="str">
            <v>011706</v>
          </cell>
          <cell r="I1706" t="str">
            <v>2</v>
          </cell>
        </row>
        <row r="1707">
          <cell r="A1707" t="str">
            <v>SAN MARTINMOYOBAMBASORITOR</v>
          </cell>
          <cell r="B1707" t="str">
            <v>22</v>
          </cell>
          <cell r="C1707" t="str">
            <v>01</v>
          </cell>
          <cell r="D1707" t="str">
            <v>05</v>
          </cell>
          <cell r="E1707" t="str">
            <v>SAN MARTIN</v>
          </cell>
          <cell r="F1707" t="str">
            <v>MOYOBAMBA</v>
          </cell>
          <cell r="G1707" t="str">
            <v>SORITOR</v>
          </cell>
          <cell r="H1707" t="str">
            <v>011707</v>
          </cell>
          <cell r="I1707" t="str">
            <v>2</v>
          </cell>
        </row>
        <row r="1708">
          <cell r="A1708" t="str">
            <v>SAN MARTINMOYOBAMBAYANTALO</v>
          </cell>
          <cell r="B1708" t="str">
            <v>22</v>
          </cell>
          <cell r="C1708" t="str">
            <v>01</v>
          </cell>
          <cell r="D1708" t="str">
            <v>06</v>
          </cell>
          <cell r="E1708" t="str">
            <v>SAN MARTIN</v>
          </cell>
          <cell r="F1708" t="str">
            <v>MOYOBAMBA</v>
          </cell>
          <cell r="G1708" t="str">
            <v>YANTALO</v>
          </cell>
          <cell r="H1708" t="str">
            <v>011708</v>
          </cell>
          <cell r="I1708" t="str">
            <v>2</v>
          </cell>
        </row>
        <row r="1709">
          <cell r="A1709" t="str">
            <v>SAN MARTINBELLAVISTABELLAVISTA</v>
          </cell>
          <cell r="B1709" t="str">
            <v>22</v>
          </cell>
          <cell r="C1709" t="str">
            <v>02</v>
          </cell>
          <cell r="D1709" t="str">
            <v>01</v>
          </cell>
          <cell r="E1709" t="str">
            <v>SAN MARTIN</v>
          </cell>
          <cell r="F1709" t="str">
            <v>BELLAVISTA</v>
          </cell>
          <cell r="G1709" t="str">
            <v>BELLAVISTA</v>
          </cell>
          <cell r="H1709" t="str">
            <v>011748</v>
          </cell>
          <cell r="I1709" t="str">
            <v>1</v>
          </cell>
        </row>
        <row r="1710">
          <cell r="A1710" t="str">
            <v>SAN MARTINBELLAVISTAALTO BIAVO</v>
          </cell>
          <cell r="B1710" t="str">
            <v>22</v>
          </cell>
          <cell r="C1710" t="str">
            <v>02</v>
          </cell>
          <cell r="D1710" t="str">
            <v>02</v>
          </cell>
          <cell r="E1710" t="str">
            <v>SAN MARTIN</v>
          </cell>
          <cell r="F1710" t="str">
            <v>BELLAVISTA</v>
          </cell>
          <cell r="G1710" t="str">
            <v>ALTO BIAVO</v>
          </cell>
          <cell r="H1710" t="str">
            <v>011749</v>
          </cell>
          <cell r="I1710" t="str">
            <v>2</v>
          </cell>
        </row>
        <row r="1711">
          <cell r="A1711" t="str">
            <v>SAN MARTINBELLAVISTABAJO BIAVO</v>
          </cell>
          <cell r="B1711" t="str">
            <v>22</v>
          </cell>
          <cell r="C1711" t="str">
            <v>02</v>
          </cell>
          <cell r="D1711" t="str">
            <v>03</v>
          </cell>
          <cell r="E1711" t="str">
            <v>SAN MARTIN</v>
          </cell>
          <cell r="F1711" t="str">
            <v>BELLAVISTA</v>
          </cell>
          <cell r="G1711" t="str">
            <v>BAJO BIAVO</v>
          </cell>
          <cell r="H1711" t="str">
            <v>011750</v>
          </cell>
          <cell r="I1711" t="str">
            <v>2</v>
          </cell>
        </row>
        <row r="1712">
          <cell r="A1712" t="str">
            <v>SAN MARTINBELLAVISTAHUALLAGA</v>
          </cell>
          <cell r="B1712" t="str">
            <v>22</v>
          </cell>
          <cell r="C1712" t="str">
            <v>02</v>
          </cell>
          <cell r="D1712" t="str">
            <v>04</v>
          </cell>
          <cell r="E1712" t="str">
            <v>SAN MARTIN</v>
          </cell>
          <cell r="F1712" t="str">
            <v>BELLAVISTA</v>
          </cell>
          <cell r="G1712" t="str">
            <v>HUALLAGA</v>
          </cell>
          <cell r="H1712" t="str">
            <v>011751</v>
          </cell>
          <cell r="I1712" t="str">
            <v>2</v>
          </cell>
        </row>
        <row r="1713">
          <cell r="A1713" t="str">
            <v>SAN MARTINBELLAVISTASAN PABLO</v>
          </cell>
          <cell r="B1713" t="str">
            <v>22</v>
          </cell>
          <cell r="C1713" t="str">
            <v>02</v>
          </cell>
          <cell r="D1713" t="str">
            <v>05</v>
          </cell>
          <cell r="E1713" t="str">
            <v>SAN MARTIN</v>
          </cell>
          <cell r="F1713" t="str">
            <v>BELLAVISTA</v>
          </cell>
          <cell r="G1713" t="str">
            <v>SAN PABLO</v>
          </cell>
          <cell r="H1713" t="str">
            <v>011752</v>
          </cell>
          <cell r="I1713" t="str">
            <v>2</v>
          </cell>
        </row>
        <row r="1714">
          <cell r="A1714" t="str">
            <v>SAN MARTINBELLAVISTASAN RAFAEL</v>
          </cell>
          <cell r="B1714" t="str">
            <v>22</v>
          </cell>
          <cell r="C1714" t="str">
            <v>02</v>
          </cell>
          <cell r="D1714" t="str">
            <v>06</v>
          </cell>
          <cell r="E1714" t="str">
            <v>SAN MARTIN</v>
          </cell>
          <cell r="F1714" t="str">
            <v>BELLAVISTA</v>
          </cell>
          <cell r="G1714" t="str">
            <v>SAN RAFAEL</v>
          </cell>
          <cell r="H1714" t="str">
            <v>011753</v>
          </cell>
          <cell r="I1714" t="str">
            <v>2</v>
          </cell>
        </row>
        <row r="1715">
          <cell r="A1715" t="str">
            <v>SAN MARTINEL DORADOSAN JOSE DE SISA</v>
          </cell>
          <cell r="B1715" t="str">
            <v>22</v>
          </cell>
          <cell r="C1715" t="str">
            <v>03</v>
          </cell>
          <cell r="D1715" t="str">
            <v>01</v>
          </cell>
          <cell r="E1715" t="str">
            <v>SAN MARTIN</v>
          </cell>
          <cell r="F1715" t="str">
            <v>EL DORADO</v>
          </cell>
          <cell r="G1715" t="str">
            <v>SAN JOSE DE SISA</v>
          </cell>
          <cell r="H1715" t="str">
            <v>011709</v>
          </cell>
          <cell r="I1715" t="str">
            <v>1</v>
          </cell>
        </row>
        <row r="1716">
          <cell r="A1716" t="str">
            <v>SAN MARTINEL DORADOAGUA BLANCA</v>
          </cell>
          <cell r="B1716" t="str">
            <v>22</v>
          </cell>
          <cell r="C1716" t="str">
            <v>03</v>
          </cell>
          <cell r="D1716" t="str">
            <v>02</v>
          </cell>
          <cell r="E1716" t="str">
            <v>SAN MARTIN</v>
          </cell>
          <cell r="F1716" t="str">
            <v>EL DORADO</v>
          </cell>
          <cell r="G1716" t="str">
            <v>AGUA BLANCA</v>
          </cell>
          <cell r="H1716" t="str">
            <v>011710</v>
          </cell>
          <cell r="I1716" t="str">
            <v>2</v>
          </cell>
        </row>
        <row r="1717">
          <cell r="A1717" t="str">
            <v>SAN MARTINEL DORADOSAN MARTIN</v>
          </cell>
          <cell r="B1717" t="str">
            <v>22</v>
          </cell>
          <cell r="C1717" t="str">
            <v>03</v>
          </cell>
          <cell r="D1717" t="str">
            <v>03</v>
          </cell>
          <cell r="E1717" t="str">
            <v>SAN MARTIN</v>
          </cell>
          <cell r="F1717" t="str">
            <v>EL DORADO</v>
          </cell>
          <cell r="G1717" t="str">
            <v>SAN MARTIN</v>
          </cell>
          <cell r="H1717" t="str">
            <v>011711</v>
          </cell>
          <cell r="I1717" t="str">
            <v>2</v>
          </cell>
        </row>
        <row r="1718">
          <cell r="A1718" t="str">
            <v>SAN MARTINEL DORADOSANTA ROSA</v>
          </cell>
          <cell r="B1718" t="str">
            <v>22</v>
          </cell>
          <cell r="C1718" t="str">
            <v>03</v>
          </cell>
          <cell r="D1718" t="str">
            <v>04</v>
          </cell>
          <cell r="E1718" t="str">
            <v>SAN MARTIN</v>
          </cell>
          <cell r="F1718" t="str">
            <v>EL DORADO</v>
          </cell>
          <cell r="G1718" t="str">
            <v>SANTA ROSA</v>
          </cell>
          <cell r="H1718" t="str">
            <v>011712</v>
          </cell>
          <cell r="I1718" t="str">
            <v>2</v>
          </cell>
        </row>
        <row r="1719">
          <cell r="A1719" t="str">
            <v>SAN MARTINEL DORADOSHATOJA</v>
          </cell>
          <cell r="B1719" t="str">
            <v>22</v>
          </cell>
          <cell r="C1719" t="str">
            <v>03</v>
          </cell>
          <cell r="D1719" t="str">
            <v>05</v>
          </cell>
          <cell r="E1719" t="str">
            <v>SAN MARTIN</v>
          </cell>
          <cell r="F1719" t="str">
            <v>EL DORADO</v>
          </cell>
          <cell r="G1719" t="str">
            <v>SHATOJA</v>
          </cell>
          <cell r="H1719" t="str">
            <v>011713</v>
          </cell>
          <cell r="I1719" t="str">
            <v>2</v>
          </cell>
        </row>
        <row r="1720">
          <cell r="A1720" t="str">
            <v>SAN MARTINHUALLAGASAPOSOA</v>
          </cell>
          <cell r="B1720" t="str">
            <v>22</v>
          </cell>
          <cell r="C1720" t="str">
            <v>04</v>
          </cell>
          <cell r="D1720" t="str">
            <v>01</v>
          </cell>
          <cell r="E1720" t="str">
            <v>SAN MARTIN</v>
          </cell>
          <cell r="F1720" t="str">
            <v>HUALLAGA</v>
          </cell>
          <cell r="G1720" t="str">
            <v>SAPOSOA</v>
          </cell>
          <cell r="H1720" t="str">
            <v>011754</v>
          </cell>
          <cell r="I1720" t="str">
            <v>1</v>
          </cell>
        </row>
        <row r="1721">
          <cell r="A1721" t="str">
            <v>SAN MARTINHUALLAGAALTO SAPOSOA</v>
          </cell>
          <cell r="B1721" t="str">
            <v>22</v>
          </cell>
          <cell r="C1721" t="str">
            <v>04</v>
          </cell>
          <cell r="D1721" t="str">
            <v>02</v>
          </cell>
          <cell r="E1721" t="str">
            <v>SAN MARTIN</v>
          </cell>
          <cell r="F1721" t="str">
            <v>HUALLAGA</v>
          </cell>
          <cell r="G1721" t="str">
            <v>ALTO SAPOSOA</v>
          </cell>
          <cell r="H1721" t="str">
            <v>011755</v>
          </cell>
          <cell r="I1721" t="str">
            <v>2</v>
          </cell>
        </row>
        <row r="1722">
          <cell r="A1722" t="str">
            <v>SAN MARTINHUALLAGAEL ESLABON</v>
          </cell>
          <cell r="B1722" t="str">
            <v>22</v>
          </cell>
          <cell r="C1722" t="str">
            <v>04</v>
          </cell>
          <cell r="D1722" t="str">
            <v>03</v>
          </cell>
          <cell r="E1722" t="str">
            <v>SAN MARTIN</v>
          </cell>
          <cell r="F1722" t="str">
            <v>HUALLAGA</v>
          </cell>
          <cell r="G1722" t="str">
            <v>EL ESLABON</v>
          </cell>
          <cell r="H1722" t="str">
            <v>011756</v>
          </cell>
          <cell r="I1722" t="str">
            <v>2</v>
          </cell>
        </row>
        <row r="1723">
          <cell r="A1723" t="str">
            <v>SAN MARTINHUALLAGAPISCOYACU</v>
          </cell>
          <cell r="B1723" t="str">
            <v>22</v>
          </cell>
          <cell r="C1723" t="str">
            <v>04</v>
          </cell>
          <cell r="D1723" t="str">
            <v>04</v>
          </cell>
          <cell r="E1723" t="str">
            <v>SAN MARTIN</v>
          </cell>
          <cell r="F1723" t="str">
            <v>HUALLAGA</v>
          </cell>
          <cell r="G1723" t="str">
            <v>PISCOYACU</v>
          </cell>
          <cell r="H1723" t="str">
            <v>011757</v>
          </cell>
          <cell r="I1723" t="str">
            <v>2</v>
          </cell>
        </row>
        <row r="1724">
          <cell r="A1724" t="str">
            <v>SAN MARTINHUALLAGASACANCHE</v>
          </cell>
          <cell r="B1724" t="str">
            <v>22</v>
          </cell>
          <cell r="C1724" t="str">
            <v>04</v>
          </cell>
          <cell r="D1724" t="str">
            <v>05</v>
          </cell>
          <cell r="E1724" t="str">
            <v>SAN MARTIN</v>
          </cell>
          <cell r="F1724" t="str">
            <v>HUALLAGA</v>
          </cell>
          <cell r="G1724" t="str">
            <v>SACANCHE</v>
          </cell>
          <cell r="H1724" t="str">
            <v>011758</v>
          </cell>
          <cell r="I1724" t="str">
            <v>2</v>
          </cell>
        </row>
        <row r="1725">
          <cell r="A1725" t="str">
            <v>SAN MARTINHUALLAGATINGO DE SAPOSOA</v>
          </cell>
          <cell r="B1725" t="str">
            <v>22</v>
          </cell>
          <cell r="C1725" t="str">
            <v>04</v>
          </cell>
          <cell r="D1725" t="str">
            <v>06</v>
          </cell>
          <cell r="E1725" t="str">
            <v>SAN MARTIN</v>
          </cell>
          <cell r="F1725" t="str">
            <v>HUALLAGA</v>
          </cell>
          <cell r="G1725" t="str">
            <v>TINGO DE SAPOSOA</v>
          </cell>
          <cell r="H1725" t="str">
            <v>011759</v>
          </cell>
          <cell r="I1725" t="str">
            <v>2</v>
          </cell>
        </row>
        <row r="1726">
          <cell r="A1726" t="str">
            <v>SAN MARTINLAMASLAMAS</v>
          </cell>
          <cell r="B1726" t="str">
            <v>22</v>
          </cell>
          <cell r="C1726" t="str">
            <v>05</v>
          </cell>
          <cell r="D1726" t="str">
            <v>01</v>
          </cell>
          <cell r="E1726" t="str">
            <v>SAN MARTIN</v>
          </cell>
          <cell r="F1726" t="str">
            <v>LAMAS</v>
          </cell>
          <cell r="G1726" t="str">
            <v>LAMAS</v>
          </cell>
          <cell r="H1726" t="str">
            <v>011714</v>
          </cell>
          <cell r="I1726" t="str">
            <v>1</v>
          </cell>
        </row>
        <row r="1727">
          <cell r="A1727" t="str">
            <v>SAN MARTINLAMASALONSO DE ALVARADO</v>
          </cell>
          <cell r="B1727" t="str">
            <v>22</v>
          </cell>
          <cell r="C1727" t="str">
            <v>05</v>
          </cell>
          <cell r="D1727" t="str">
            <v>02</v>
          </cell>
          <cell r="E1727" t="str">
            <v>SAN MARTIN</v>
          </cell>
          <cell r="F1727" t="str">
            <v>LAMAS</v>
          </cell>
          <cell r="G1727" t="str">
            <v>ALONSO DE ALVARADO</v>
          </cell>
          <cell r="H1727" t="str">
            <v>011715</v>
          </cell>
          <cell r="I1727" t="str">
            <v>2</v>
          </cell>
        </row>
        <row r="1728">
          <cell r="A1728" t="str">
            <v>SAN MARTINLAMASBARRANQUITA</v>
          </cell>
          <cell r="B1728" t="str">
            <v>22</v>
          </cell>
          <cell r="C1728" t="str">
            <v>05</v>
          </cell>
          <cell r="D1728" t="str">
            <v>03</v>
          </cell>
          <cell r="E1728" t="str">
            <v>SAN MARTIN</v>
          </cell>
          <cell r="F1728" t="str">
            <v>LAMAS</v>
          </cell>
          <cell r="G1728" t="str">
            <v>BARRANQUITA</v>
          </cell>
          <cell r="H1728" t="str">
            <v>011716</v>
          </cell>
          <cell r="I1728" t="str">
            <v>2</v>
          </cell>
        </row>
        <row r="1729">
          <cell r="A1729" t="str">
            <v>SAN MARTINLAMASCAYNARACHI</v>
          </cell>
          <cell r="B1729" t="str">
            <v>22</v>
          </cell>
          <cell r="C1729" t="str">
            <v>05</v>
          </cell>
          <cell r="D1729" t="str">
            <v>04</v>
          </cell>
          <cell r="E1729" t="str">
            <v>SAN MARTIN</v>
          </cell>
          <cell r="F1729" t="str">
            <v>LAMAS</v>
          </cell>
          <cell r="G1729" t="str">
            <v>CAYNARACHI</v>
          </cell>
          <cell r="H1729" t="str">
            <v>011717</v>
          </cell>
          <cell r="I1729" t="str">
            <v>2</v>
          </cell>
        </row>
        <row r="1730">
          <cell r="A1730" t="str">
            <v>SAN MARTINLAMASCUÑUMBUQUI</v>
          </cell>
          <cell r="B1730" t="str">
            <v>22</v>
          </cell>
          <cell r="C1730" t="str">
            <v>05</v>
          </cell>
          <cell r="D1730" t="str">
            <v>05</v>
          </cell>
          <cell r="E1730" t="str">
            <v>SAN MARTIN</v>
          </cell>
          <cell r="F1730" t="str">
            <v>LAMAS</v>
          </cell>
          <cell r="G1730" t="str">
            <v>CUÑUMBUQUI</v>
          </cell>
          <cell r="H1730" t="str">
            <v>011718</v>
          </cell>
          <cell r="I1730" t="str">
            <v>2</v>
          </cell>
        </row>
        <row r="1731">
          <cell r="A1731" t="str">
            <v>SAN MARTINLAMASPINTO RECODO</v>
          </cell>
          <cell r="B1731" t="str">
            <v>22</v>
          </cell>
          <cell r="C1731" t="str">
            <v>05</v>
          </cell>
          <cell r="D1731" t="str">
            <v>06</v>
          </cell>
          <cell r="E1731" t="str">
            <v>SAN MARTIN</v>
          </cell>
          <cell r="F1731" t="str">
            <v>LAMAS</v>
          </cell>
          <cell r="G1731" t="str">
            <v>PINTO RECODO</v>
          </cell>
          <cell r="H1731" t="str">
            <v>011719</v>
          </cell>
          <cell r="I1731" t="str">
            <v>2</v>
          </cell>
        </row>
        <row r="1732">
          <cell r="A1732" t="str">
            <v>SAN MARTINLAMASRUMISAPA</v>
          </cell>
          <cell r="B1732" t="str">
            <v>22</v>
          </cell>
          <cell r="C1732" t="str">
            <v>05</v>
          </cell>
          <cell r="D1732" t="str">
            <v>07</v>
          </cell>
          <cell r="E1732" t="str">
            <v>SAN MARTIN</v>
          </cell>
          <cell r="F1732" t="str">
            <v>LAMAS</v>
          </cell>
          <cell r="G1732" t="str">
            <v>RUMISAPA</v>
          </cell>
          <cell r="H1732" t="str">
            <v>011720</v>
          </cell>
          <cell r="I1732" t="str">
            <v>2</v>
          </cell>
        </row>
        <row r="1733">
          <cell r="A1733" t="str">
            <v>SAN MARTINLAMASSAN ROQUE DE CUMBAZA</v>
          </cell>
          <cell r="B1733" t="str">
            <v>22</v>
          </cell>
          <cell r="C1733" t="str">
            <v>05</v>
          </cell>
          <cell r="D1733" t="str">
            <v>08</v>
          </cell>
          <cell r="E1733" t="str">
            <v>SAN MARTIN</v>
          </cell>
          <cell r="F1733" t="str">
            <v>LAMAS</v>
          </cell>
          <cell r="G1733" t="str">
            <v>SAN ROQUE DE CUMBAZA</v>
          </cell>
          <cell r="H1733" t="str">
            <v>011721</v>
          </cell>
          <cell r="I1733" t="str">
            <v>2</v>
          </cell>
        </row>
        <row r="1734">
          <cell r="A1734" t="str">
            <v>SAN MARTINLAMASSHANAO</v>
          </cell>
          <cell r="B1734" t="str">
            <v>22</v>
          </cell>
          <cell r="C1734" t="str">
            <v>05</v>
          </cell>
          <cell r="D1734" t="str">
            <v>09</v>
          </cell>
          <cell r="E1734" t="str">
            <v>SAN MARTIN</v>
          </cell>
          <cell r="F1734" t="str">
            <v>LAMAS</v>
          </cell>
          <cell r="G1734" t="str">
            <v>SHANAO</v>
          </cell>
          <cell r="H1734" t="str">
            <v>011722</v>
          </cell>
          <cell r="I1734" t="str">
            <v>2</v>
          </cell>
        </row>
        <row r="1735">
          <cell r="A1735" t="str">
            <v>SAN MARTINLAMASTABALOSOS</v>
          </cell>
          <cell r="B1735" t="str">
            <v>22</v>
          </cell>
          <cell r="C1735" t="str">
            <v>05</v>
          </cell>
          <cell r="D1735" t="str">
            <v>10</v>
          </cell>
          <cell r="E1735" t="str">
            <v>SAN MARTIN</v>
          </cell>
          <cell r="F1735" t="str">
            <v>LAMAS</v>
          </cell>
          <cell r="G1735" t="str">
            <v>TABALOSOS</v>
          </cell>
          <cell r="H1735" t="str">
            <v>012301</v>
          </cell>
          <cell r="I1735" t="str">
            <v>2</v>
          </cell>
        </row>
        <row r="1736">
          <cell r="A1736" t="str">
            <v>SAN MARTINLAMASZAPATERO</v>
          </cell>
          <cell r="B1736" t="str">
            <v>22</v>
          </cell>
          <cell r="C1736" t="str">
            <v>05</v>
          </cell>
          <cell r="D1736" t="str">
            <v>11</v>
          </cell>
          <cell r="E1736" t="str">
            <v>SAN MARTIN</v>
          </cell>
          <cell r="F1736" t="str">
            <v>LAMAS</v>
          </cell>
          <cell r="G1736" t="str">
            <v>ZAPATERO</v>
          </cell>
          <cell r="H1736" t="str">
            <v>011724</v>
          </cell>
          <cell r="I1736" t="str">
            <v>2</v>
          </cell>
        </row>
        <row r="1737">
          <cell r="A1737" t="str">
            <v>SAN MARTINMARISCAL CACERESJUANJUI</v>
          </cell>
          <cell r="B1737" t="str">
            <v>22</v>
          </cell>
          <cell r="C1737" t="str">
            <v>06</v>
          </cell>
          <cell r="D1737" t="str">
            <v>01</v>
          </cell>
          <cell r="E1737" t="str">
            <v>SAN MARTIN</v>
          </cell>
          <cell r="F1737" t="str">
            <v>MARISCAL CACERES</v>
          </cell>
          <cell r="G1737" t="str">
            <v>JUANJUI</v>
          </cell>
          <cell r="H1737" t="str">
            <v>011760</v>
          </cell>
          <cell r="I1737" t="str">
            <v>1</v>
          </cell>
        </row>
        <row r="1738">
          <cell r="A1738" t="str">
            <v>SAN MARTINMARISCAL CACERESCAMPANILLA</v>
          </cell>
          <cell r="B1738" t="str">
            <v>22</v>
          </cell>
          <cell r="C1738" t="str">
            <v>06</v>
          </cell>
          <cell r="D1738" t="str">
            <v>02</v>
          </cell>
          <cell r="E1738" t="str">
            <v>SAN MARTIN</v>
          </cell>
          <cell r="F1738" t="str">
            <v>MARISCAL CACERES</v>
          </cell>
          <cell r="G1738" t="str">
            <v>CAMPANILLA</v>
          </cell>
          <cell r="H1738" t="str">
            <v>011761</v>
          </cell>
          <cell r="I1738" t="str">
            <v>2</v>
          </cell>
        </row>
        <row r="1739">
          <cell r="A1739" t="str">
            <v>SAN MARTINMARISCAL CACERESHUICUNGO</v>
          </cell>
          <cell r="B1739" t="str">
            <v>22</v>
          </cell>
          <cell r="C1739" t="str">
            <v>06</v>
          </cell>
          <cell r="D1739" t="str">
            <v>03</v>
          </cell>
          <cell r="E1739" t="str">
            <v>SAN MARTIN</v>
          </cell>
          <cell r="F1739" t="str">
            <v>MARISCAL CACERES</v>
          </cell>
          <cell r="G1739" t="str">
            <v>HUICUNGO</v>
          </cell>
          <cell r="H1739" t="str">
            <v>011762</v>
          </cell>
          <cell r="I1739" t="str">
            <v>2</v>
          </cell>
        </row>
        <row r="1740">
          <cell r="A1740" t="str">
            <v>SAN MARTINMARISCAL CACERESPACHIZA</v>
          </cell>
          <cell r="B1740" t="str">
            <v>22</v>
          </cell>
          <cell r="C1740" t="str">
            <v>06</v>
          </cell>
          <cell r="D1740" t="str">
            <v>04</v>
          </cell>
          <cell r="E1740" t="str">
            <v>SAN MARTIN</v>
          </cell>
          <cell r="F1740" t="str">
            <v>MARISCAL CACERES</v>
          </cell>
          <cell r="G1740" t="str">
            <v>PACHIZA</v>
          </cell>
          <cell r="H1740" t="str">
            <v>011763</v>
          </cell>
          <cell r="I1740" t="str">
            <v>2</v>
          </cell>
        </row>
        <row r="1741">
          <cell r="A1741" t="str">
            <v>SAN MARTINMARISCAL CACERESPAJARILLO</v>
          </cell>
          <cell r="B1741" t="str">
            <v>22</v>
          </cell>
          <cell r="C1741" t="str">
            <v>06</v>
          </cell>
          <cell r="D1741" t="str">
            <v>05</v>
          </cell>
          <cell r="E1741" t="str">
            <v>SAN MARTIN</v>
          </cell>
          <cell r="F1741" t="str">
            <v>MARISCAL CACERES</v>
          </cell>
          <cell r="G1741" t="str">
            <v>PAJARILLO</v>
          </cell>
          <cell r="H1741" t="str">
            <v>011764</v>
          </cell>
          <cell r="I1741" t="str">
            <v>2</v>
          </cell>
        </row>
        <row r="1742">
          <cell r="A1742" t="str">
            <v>SAN MARTINPICOTAPICOTA</v>
          </cell>
          <cell r="B1742" t="str">
            <v>22</v>
          </cell>
          <cell r="C1742" t="str">
            <v>07</v>
          </cell>
          <cell r="D1742" t="str">
            <v>01</v>
          </cell>
          <cell r="E1742" t="str">
            <v>SAN MARTIN</v>
          </cell>
          <cell r="F1742" t="str">
            <v>PICOTA</v>
          </cell>
          <cell r="G1742" t="str">
            <v>PICOTA</v>
          </cell>
          <cell r="H1742" t="str">
            <v>012985</v>
          </cell>
          <cell r="I1742" t="str">
            <v>1</v>
          </cell>
        </row>
        <row r="1743">
          <cell r="A1743" t="str">
            <v>SAN MARTINPICOTABUENOS AIRES</v>
          </cell>
          <cell r="B1743" t="str">
            <v>22</v>
          </cell>
          <cell r="C1743" t="str">
            <v>07</v>
          </cell>
          <cell r="D1743" t="str">
            <v>02</v>
          </cell>
          <cell r="E1743" t="str">
            <v>SAN MARTIN</v>
          </cell>
          <cell r="F1743" t="str">
            <v>PICOTA</v>
          </cell>
          <cell r="G1743" t="str">
            <v>BUENOS AIRES</v>
          </cell>
          <cell r="H1743" t="str">
            <v>011766</v>
          </cell>
          <cell r="I1743" t="str">
            <v>2</v>
          </cell>
        </row>
        <row r="1744">
          <cell r="A1744" t="str">
            <v>SAN MARTINPICOTACASPISAPA</v>
          </cell>
          <cell r="B1744" t="str">
            <v>22</v>
          </cell>
          <cell r="C1744" t="str">
            <v>07</v>
          </cell>
          <cell r="D1744" t="str">
            <v>03</v>
          </cell>
          <cell r="E1744" t="str">
            <v>SAN MARTIN</v>
          </cell>
          <cell r="F1744" t="str">
            <v>PICOTA</v>
          </cell>
          <cell r="G1744" t="str">
            <v>CASPISAPA</v>
          </cell>
          <cell r="H1744" t="str">
            <v>011767</v>
          </cell>
          <cell r="I1744" t="str">
            <v>2</v>
          </cell>
        </row>
        <row r="1745">
          <cell r="A1745" t="str">
            <v>SAN MARTINPICOTAPILLUANA</v>
          </cell>
          <cell r="B1745" t="str">
            <v>22</v>
          </cell>
          <cell r="C1745" t="str">
            <v>07</v>
          </cell>
          <cell r="D1745" t="str">
            <v>04</v>
          </cell>
          <cell r="E1745" t="str">
            <v>SAN MARTIN</v>
          </cell>
          <cell r="F1745" t="str">
            <v>PICOTA</v>
          </cell>
          <cell r="G1745" t="str">
            <v>PILLUANA</v>
          </cell>
          <cell r="H1745" t="str">
            <v>011768</v>
          </cell>
          <cell r="I1745" t="str">
            <v>2</v>
          </cell>
        </row>
        <row r="1746">
          <cell r="A1746" t="str">
            <v>SAN MARTINPICOTAPUCACACA</v>
          </cell>
          <cell r="B1746" t="str">
            <v>22</v>
          </cell>
          <cell r="C1746" t="str">
            <v>07</v>
          </cell>
          <cell r="D1746" t="str">
            <v>05</v>
          </cell>
          <cell r="E1746" t="str">
            <v>SAN MARTIN</v>
          </cell>
          <cell r="F1746" t="str">
            <v>PICOTA</v>
          </cell>
          <cell r="G1746" t="str">
            <v>PUCACACA</v>
          </cell>
          <cell r="H1746" t="str">
            <v>011769</v>
          </cell>
          <cell r="I1746" t="str">
            <v>2</v>
          </cell>
        </row>
        <row r="1747">
          <cell r="A1747" t="str">
            <v>SAN MARTINPICOTASAN CRISTOBAL</v>
          </cell>
          <cell r="B1747" t="str">
            <v>22</v>
          </cell>
          <cell r="C1747" t="str">
            <v>07</v>
          </cell>
          <cell r="D1747" t="str">
            <v>06</v>
          </cell>
          <cell r="E1747" t="str">
            <v>SAN MARTIN</v>
          </cell>
          <cell r="F1747" t="str">
            <v>PICOTA</v>
          </cell>
          <cell r="G1747" t="str">
            <v>SAN CRISTOBAL</v>
          </cell>
          <cell r="H1747" t="str">
            <v>011770</v>
          </cell>
          <cell r="I1747" t="str">
            <v>2</v>
          </cell>
        </row>
        <row r="1748">
          <cell r="A1748" t="str">
            <v>SAN MARTINPICOTASAN HILARION</v>
          </cell>
          <cell r="B1748" t="str">
            <v>22</v>
          </cell>
          <cell r="C1748" t="str">
            <v>07</v>
          </cell>
          <cell r="D1748" t="str">
            <v>07</v>
          </cell>
          <cell r="E1748" t="str">
            <v>SAN MARTIN</v>
          </cell>
          <cell r="F1748" t="str">
            <v>PICOTA</v>
          </cell>
          <cell r="G1748" t="str">
            <v>SAN HILARION</v>
          </cell>
          <cell r="H1748" t="str">
            <v>011771</v>
          </cell>
          <cell r="I1748" t="str">
            <v>2</v>
          </cell>
        </row>
        <row r="1749">
          <cell r="A1749" t="str">
            <v>SAN MARTINPICOTASHAMBOYACU</v>
          </cell>
          <cell r="B1749" t="str">
            <v>22</v>
          </cell>
          <cell r="C1749" t="str">
            <v>07</v>
          </cell>
          <cell r="D1749" t="str">
            <v>08</v>
          </cell>
          <cell r="E1749" t="str">
            <v>SAN MARTIN</v>
          </cell>
          <cell r="F1749" t="str">
            <v>PICOTA</v>
          </cell>
          <cell r="G1749" t="str">
            <v>SHAMBOYACU</v>
          </cell>
          <cell r="H1749" t="str">
            <v>012794</v>
          </cell>
          <cell r="I1749" t="str">
            <v>2</v>
          </cell>
        </row>
        <row r="1750">
          <cell r="A1750" t="str">
            <v>SAN MARTINPICOTATINGO DE PONASA</v>
          </cell>
          <cell r="B1750" t="str">
            <v>22</v>
          </cell>
          <cell r="C1750" t="str">
            <v>07</v>
          </cell>
          <cell r="D1750" t="str">
            <v>09</v>
          </cell>
          <cell r="E1750" t="str">
            <v>SAN MARTIN</v>
          </cell>
          <cell r="F1750" t="str">
            <v>PICOTA</v>
          </cell>
          <cell r="G1750" t="str">
            <v>TINGO DE PONASA</v>
          </cell>
          <cell r="H1750" t="str">
            <v>012282</v>
          </cell>
          <cell r="I1750" t="str">
            <v>2</v>
          </cell>
        </row>
        <row r="1751">
          <cell r="A1751" t="str">
            <v>SAN MARTINPICOTATRES UNIDOS</v>
          </cell>
          <cell r="B1751" t="str">
            <v>22</v>
          </cell>
          <cell r="C1751" t="str">
            <v>07</v>
          </cell>
          <cell r="D1751" t="str">
            <v>10</v>
          </cell>
          <cell r="E1751" t="str">
            <v>SAN MARTIN</v>
          </cell>
          <cell r="F1751" t="str">
            <v>PICOTA</v>
          </cell>
          <cell r="G1751" t="str">
            <v>TRES UNIDOS</v>
          </cell>
          <cell r="H1751" t="str">
            <v>011774</v>
          </cell>
          <cell r="I1751" t="str">
            <v>2</v>
          </cell>
        </row>
        <row r="1752">
          <cell r="A1752" t="str">
            <v>SAN MARTINRIOJARIOJA</v>
          </cell>
          <cell r="B1752" t="str">
            <v>22</v>
          </cell>
          <cell r="C1752" t="str">
            <v>08</v>
          </cell>
          <cell r="D1752" t="str">
            <v>01</v>
          </cell>
          <cell r="E1752" t="str">
            <v>SAN MARTIN</v>
          </cell>
          <cell r="F1752" t="str">
            <v>RIOJA</v>
          </cell>
          <cell r="G1752" t="str">
            <v>RIOJA</v>
          </cell>
          <cell r="H1752" t="str">
            <v>011725</v>
          </cell>
          <cell r="I1752" t="str">
            <v>1</v>
          </cell>
        </row>
        <row r="1753">
          <cell r="A1753" t="str">
            <v>SAN MARTINRIOJAAWAJUN</v>
          </cell>
          <cell r="B1753" t="str">
            <v>22</v>
          </cell>
          <cell r="C1753" t="str">
            <v>08</v>
          </cell>
          <cell r="D1753" t="str">
            <v>02</v>
          </cell>
          <cell r="E1753" t="str">
            <v>SAN MARTIN</v>
          </cell>
          <cell r="F1753" t="str">
            <v>RIOJA</v>
          </cell>
          <cell r="G1753" t="str">
            <v>AWAJUN</v>
          </cell>
          <cell r="H1753" t="str">
            <v>011726</v>
          </cell>
          <cell r="I1753" t="str">
            <v>2</v>
          </cell>
        </row>
        <row r="1754">
          <cell r="A1754" t="str">
            <v>SAN MARTINRIOJAELIAS SOPLIN VARGAS</v>
          </cell>
          <cell r="B1754" t="str">
            <v>22</v>
          </cell>
          <cell r="C1754" t="str">
            <v>08</v>
          </cell>
          <cell r="D1754" t="str">
            <v>03</v>
          </cell>
          <cell r="E1754" t="str">
            <v>SAN MARTIN</v>
          </cell>
          <cell r="F1754" t="str">
            <v>RIOJA</v>
          </cell>
          <cell r="G1754" t="str">
            <v>ELIAS SOPLIN VARGAS</v>
          </cell>
          <cell r="H1754" t="str">
            <v>011727</v>
          </cell>
          <cell r="I1754" t="str">
            <v>2</v>
          </cell>
        </row>
        <row r="1755">
          <cell r="A1755" t="str">
            <v>SAN MARTINRIOJANUEVA CAJAMARCA</v>
          </cell>
          <cell r="B1755" t="str">
            <v>22</v>
          </cell>
          <cell r="C1755" t="str">
            <v>08</v>
          </cell>
          <cell r="D1755" t="str">
            <v>04</v>
          </cell>
          <cell r="E1755" t="str">
            <v>SAN MARTIN</v>
          </cell>
          <cell r="F1755" t="str">
            <v>RIOJA</v>
          </cell>
          <cell r="G1755" t="str">
            <v>NUEVA CAJAMARCA</v>
          </cell>
          <cell r="H1755" t="str">
            <v>011728</v>
          </cell>
          <cell r="I1755" t="str">
            <v>2</v>
          </cell>
        </row>
        <row r="1756">
          <cell r="A1756" t="str">
            <v>SAN MARTINRIOJAPARDO MIGUEL</v>
          </cell>
          <cell r="B1756" t="str">
            <v>22</v>
          </cell>
          <cell r="C1756" t="str">
            <v>08</v>
          </cell>
          <cell r="D1756" t="str">
            <v>05</v>
          </cell>
          <cell r="E1756" t="str">
            <v>SAN MARTIN</v>
          </cell>
          <cell r="F1756" t="str">
            <v>RIOJA</v>
          </cell>
          <cell r="G1756" t="str">
            <v>PARDO MIGUEL</v>
          </cell>
          <cell r="H1756" t="str">
            <v>011729</v>
          </cell>
          <cell r="I1756" t="str">
            <v>2</v>
          </cell>
        </row>
        <row r="1757">
          <cell r="A1757" t="str">
            <v>SAN MARTINRIOJAPOSIC</v>
          </cell>
          <cell r="B1757" t="str">
            <v>22</v>
          </cell>
          <cell r="C1757" t="str">
            <v>08</v>
          </cell>
          <cell r="D1757" t="str">
            <v>06</v>
          </cell>
          <cell r="E1757" t="str">
            <v>SAN MARTIN</v>
          </cell>
          <cell r="F1757" t="str">
            <v>RIOJA</v>
          </cell>
          <cell r="G1757" t="str">
            <v>POSIC</v>
          </cell>
          <cell r="H1757" t="str">
            <v>011730</v>
          </cell>
          <cell r="I1757" t="str">
            <v>2</v>
          </cell>
        </row>
        <row r="1758">
          <cell r="A1758" t="str">
            <v>SAN MARTINRIOJASAN FERNANDO</v>
          </cell>
          <cell r="B1758" t="str">
            <v>22</v>
          </cell>
          <cell r="C1758" t="str">
            <v>08</v>
          </cell>
          <cell r="D1758" t="str">
            <v>07</v>
          </cell>
          <cell r="E1758" t="str">
            <v>SAN MARTIN</v>
          </cell>
          <cell r="F1758" t="str">
            <v>RIOJA</v>
          </cell>
          <cell r="G1758" t="str">
            <v>SAN FERNANDO</v>
          </cell>
          <cell r="H1758" t="str">
            <v>011731</v>
          </cell>
          <cell r="I1758" t="str">
            <v>2</v>
          </cell>
        </row>
        <row r="1759">
          <cell r="A1759" t="str">
            <v>SAN MARTINRIOJAYORONGOS</v>
          </cell>
          <cell r="B1759" t="str">
            <v>22</v>
          </cell>
          <cell r="C1759" t="str">
            <v>08</v>
          </cell>
          <cell r="D1759" t="str">
            <v>08</v>
          </cell>
          <cell r="E1759" t="str">
            <v>SAN MARTIN</v>
          </cell>
          <cell r="F1759" t="str">
            <v>RIOJA</v>
          </cell>
          <cell r="G1759" t="str">
            <v>YORONGOS</v>
          </cell>
          <cell r="H1759" t="str">
            <v>011732</v>
          </cell>
          <cell r="I1759" t="str">
            <v>2</v>
          </cell>
        </row>
        <row r="1760">
          <cell r="A1760" t="str">
            <v>SAN MARTINRIOJAYURACYACU</v>
          </cell>
          <cell r="B1760" t="str">
            <v>22</v>
          </cell>
          <cell r="C1760" t="str">
            <v>08</v>
          </cell>
          <cell r="D1760" t="str">
            <v>09</v>
          </cell>
          <cell r="E1760" t="str">
            <v>SAN MARTIN</v>
          </cell>
          <cell r="F1760" t="str">
            <v>RIOJA</v>
          </cell>
          <cell r="G1760" t="str">
            <v>YURACYACU</v>
          </cell>
          <cell r="H1760" t="str">
            <v>011733</v>
          </cell>
          <cell r="I1760" t="str">
            <v>2</v>
          </cell>
        </row>
        <row r="1761">
          <cell r="A1761" t="str">
            <v>SAN MARTINSAN MARTINTARAPOTO</v>
          </cell>
          <cell r="B1761" t="str">
            <v>22</v>
          </cell>
          <cell r="C1761" t="str">
            <v>09</v>
          </cell>
          <cell r="D1761" t="str">
            <v>01</v>
          </cell>
          <cell r="E1761" t="str">
            <v>SAN MARTIN</v>
          </cell>
          <cell r="F1761" t="str">
            <v>SAN MARTIN</v>
          </cell>
          <cell r="G1761" t="str">
            <v>TARAPOTO</v>
          </cell>
          <cell r="H1761" t="str">
            <v>012785</v>
          </cell>
          <cell r="I1761" t="str">
            <v>1</v>
          </cell>
        </row>
        <row r="1762">
          <cell r="A1762" t="str">
            <v>SAN MARTINSAN MARTINALBERTO LEVEAU</v>
          </cell>
          <cell r="B1762" t="str">
            <v>22</v>
          </cell>
          <cell r="C1762" t="str">
            <v>09</v>
          </cell>
          <cell r="D1762" t="str">
            <v>02</v>
          </cell>
          <cell r="E1762" t="str">
            <v>SAN MARTIN</v>
          </cell>
          <cell r="F1762" t="str">
            <v>SAN MARTIN</v>
          </cell>
          <cell r="G1762" t="str">
            <v>ALBERTO LEVEAU</v>
          </cell>
          <cell r="H1762" t="str">
            <v>013011</v>
          </cell>
          <cell r="I1762" t="str">
            <v>2</v>
          </cell>
        </row>
        <row r="1763">
          <cell r="A1763" t="str">
            <v>SAN MARTINSAN MARTINCACATACHI</v>
          </cell>
          <cell r="B1763" t="str">
            <v>22</v>
          </cell>
          <cell r="C1763" t="str">
            <v>09</v>
          </cell>
          <cell r="D1763" t="str">
            <v>03</v>
          </cell>
          <cell r="E1763" t="str">
            <v>SAN MARTIN</v>
          </cell>
          <cell r="F1763" t="str">
            <v>SAN MARTIN</v>
          </cell>
          <cell r="G1763" t="str">
            <v>CACATACHI</v>
          </cell>
          <cell r="H1763" t="str">
            <v>011735</v>
          </cell>
          <cell r="I1763" t="str">
            <v>2</v>
          </cell>
        </row>
        <row r="1764">
          <cell r="A1764" t="str">
            <v>SAN MARTINSAN MARTINCHAZUTA</v>
          </cell>
          <cell r="B1764" t="str">
            <v>22</v>
          </cell>
          <cell r="C1764" t="str">
            <v>09</v>
          </cell>
          <cell r="D1764" t="str">
            <v>04</v>
          </cell>
          <cell r="E1764" t="str">
            <v>SAN MARTIN</v>
          </cell>
          <cell r="F1764" t="str">
            <v>SAN MARTIN</v>
          </cell>
          <cell r="G1764" t="str">
            <v>CHAZUTA</v>
          </cell>
          <cell r="H1764" t="str">
            <v>011741</v>
          </cell>
          <cell r="I1764" t="str">
            <v>2</v>
          </cell>
        </row>
        <row r="1765">
          <cell r="A1765" t="str">
            <v>SAN MARTINSAN MARTINCHIPURANA</v>
          </cell>
          <cell r="B1765" t="str">
            <v>22</v>
          </cell>
          <cell r="C1765" t="str">
            <v>09</v>
          </cell>
          <cell r="D1765" t="str">
            <v>05</v>
          </cell>
          <cell r="E1765" t="str">
            <v>SAN MARTIN</v>
          </cell>
          <cell r="F1765" t="str">
            <v>SAN MARTIN</v>
          </cell>
          <cell r="G1765" t="str">
            <v>CHIPURANA</v>
          </cell>
          <cell r="H1765" t="str">
            <v>011742</v>
          </cell>
          <cell r="I1765" t="str">
            <v>2</v>
          </cell>
        </row>
        <row r="1766">
          <cell r="A1766" t="str">
            <v>SAN MARTINSAN MARTINEL PORVENIR</v>
          </cell>
          <cell r="B1766" t="str">
            <v>22</v>
          </cell>
          <cell r="C1766" t="str">
            <v>09</v>
          </cell>
          <cell r="D1766" t="str">
            <v>06</v>
          </cell>
          <cell r="E1766" t="str">
            <v>SAN MARTIN</v>
          </cell>
          <cell r="F1766" t="str">
            <v>SAN MARTIN</v>
          </cell>
          <cell r="G1766" t="str">
            <v>EL PORVENIR</v>
          </cell>
          <cell r="H1766" t="str">
            <v>011743</v>
          </cell>
          <cell r="I1766" t="str">
            <v>2</v>
          </cell>
        </row>
        <row r="1767">
          <cell r="A1767" t="str">
            <v>SAN MARTINSAN MARTINHUIMBAYOC</v>
          </cell>
          <cell r="B1767" t="str">
            <v>22</v>
          </cell>
          <cell r="C1767" t="str">
            <v>09</v>
          </cell>
          <cell r="D1767" t="str">
            <v>07</v>
          </cell>
          <cell r="E1767" t="str">
            <v>SAN MARTIN</v>
          </cell>
          <cell r="F1767" t="str">
            <v>SAN MARTIN</v>
          </cell>
          <cell r="G1767" t="str">
            <v>HUIMBAYOC</v>
          </cell>
          <cell r="H1767" t="str">
            <v>011744</v>
          </cell>
          <cell r="I1767" t="str">
            <v>2</v>
          </cell>
        </row>
        <row r="1768">
          <cell r="A1768" t="str">
            <v>SAN MARTINSAN MARTINJUAN GUERRA</v>
          </cell>
          <cell r="B1768" t="str">
            <v>22</v>
          </cell>
          <cell r="C1768" t="str">
            <v>09</v>
          </cell>
          <cell r="D1768" t="str">
            <v>08</v>
          </cell>
          <cell r="E1768" t="str">
            <v>SAN MARTIN</v>
          </cell>
          <cell r="F1768" t="str">
            <v>SAN MARTIN</v>
          </cell>
          <cell r="G1768" t="str">
            <v>JUAN GUERRA</v>
          </cell>
          <cell r="H1768" t="str">
            <v>011736</v>
          </cell>
          <cell r="I1768" t="str">
            <v>2</v>
          </cell>
        </row>
        <row r="1769">
          <cell r="A1769" t="str">
            <v>SAN MARTINSAN MARTINLA BANDA DE SHILCAYO</v>
          </cell>
          <cell r="B1769" t="str">
            <v>22</v>
          </cell>
          <cell r="C1769" t="str">
            <v>09</v>
          </cell>
          <cell r="D1769" t="str">
            <v>09</v>
          </cell>
          <cell r="E1769" t="str">
            <v>SAN MARTIN</v>
          </cell>
          <cell r="F1769" t="str">
            <v>SAN MARTIN</v>
          </cell>
          <cell r="G1769" t="str">
            <v>LA BANDA DE SHILCAYO</v>
          </cell>
          <cell r="H1769" t="str">
            <v>011737</v>
          </cell>
          <cell r="I1769" t="str">
            <v>2</v>
          </cell>
        </row>
        <row r="1770">
          <cell r="A1770" t="str">
            <v>SAN MARTINSAN MARTINMORALES</v>
          </cell>
          <cell r="B1770" t="str">
            <v>22</v>
          </cell>
          <cell r="C1770" t="str">
            <v>09</v>
          </cell>
          <cell r="D1770" t="str">
            <v>10</v>
          </cell>
          <cell r="E1770" t="str">
            <v>SAN MARTIN</v>
          </cell>
          <cell r="F1770" t="str">
            <v>SAN MARTIN</v>
          </cell>
          <cell r="G1770" t="str">
            <v>MORALES</v>
          </cell>
          <cell r="H1770" t="str">
            <v>011738</v>
          </cell>
          <cell r="I1770" t="str">
            <v>2</v>
          </cell>
        </row>
        <row r="1771">
          <cell r="A1771" t="str">
            <v>SAN MARTINSAN MARTINPAPAPLAYA</v>
          </cell>
          <cell r="B1771" t="str">
            <v>22</v>
          </cell>
          <cell r="C1771" t="str">
            <v>09</v>
          </cell>
          <cell r="D1771" t="str">
            <v>11</v>
          </cell>
          <cell r="E1771" t="str">
            <v>SAN MARTIN</v>
          </cell>
          <cell r="F1771" t="str">
            <v>SAN MARTIN</v>
          </cell>
          <cell r="G1771" t="str">
            <v>PAPAPLAYA</v>
          </cell>
          <cell r="H1771" t="str">
            <v>011745</v>
          </cell>
          <cell r="I1771" t="str">
            <v>2</v>
          </cell>
        </row>
        <row r="1772">
          <cell r="A1772" t="str">
            <v>SAN MARTINSAN MARTINSAN ANTONIO</v>
          </cell>
          <cell r="B1772" t="str">
            <v>22</v>
          </cell>
          <cell r="C1772" t="str">
            <v>09</v>
          </cell>
          <cell r="D1772" t="str">
            <v>12</v>
          </cell>
          <cell r="E1772" t="str">
            <v>SAN MARTIN</v>
          </cell>
          <cell r="F1772" t="str">
            <v>SAN MARTIN</v>
          </cell>
          <cell r="G1772" t="str">
            <v>SAN ANTONIO</v>
          </cell>
          <cell r="H1772" t="str">
            <v>011739</v>
          </cell>
          <cell r="I1772" t="str">
            <v>2</v>
          </cell>
        </row>
        <row r="1773">
          <cell r="A1773" t="str">
            <v>SAN MARTINSAN MARTINSAUCE</v>
          </cell>
          <cell r="B1773" t="str">
            <v>22</v>
          </cell>
          <cell r="C1773" t="str">
            <v>09</v>
          </cell>
          <cell r="D1773" t="str">
            <v>13</v>
          </cell>
          <cell r="E1773" t="str">
            <v>SAN MARTIN</v>
          </cell>
          <cell r="F1773" t="str">
            <v>SAN MARTIN</v>
          </cell>
          <cell r="G1773" t="str">
            <v>SAUCE</v>
          </cell>
          <cell r="H1773" t="str">
            <v>011746</v>
          </cell>
          <cell r="I1773" t="str">
            <v>2</v>
          </cell>
        </row>
        <row r="1774">
          <cell r="A1774" t="str">
            <v>SAN MARTINSAN MARTINSHAPAJA</v>
          </cell>
          <cell r="B1774" t="str">
            <v>22</v>
          </cell>
          <cell r="C1774" t="str">
            <v>09</v>
          </cell>
          <cell r="D1774" t="str">
            <v>14</v>
          </cell>
          <cell r="E1774" t="str">
            <v>SAN MARTIN</v>
          </cell>
          <cell r="F1774" t="str">
            <v>SAN MARTIN</v>
          </cell>
          <cell r="G1774" t="str">
            <v>SHAPAJA</v>
          </cell>
          <cell r="H1774" t="str">
            <v>011747</v>
          </cell>
          <cell r="I1774" t="str">
            <v>2</v>
          </cell>
        </row>
        <row r="1775">
          <cell r="A1775" t="str">
            <v>SAN MARTINTOCACHETOCACHE</v>
          </cell>
          <cell r="B1775" t="str">
            <v>22</v>
          </cell>
          <cell r="C1775" t="str">
            <v>10</v>
          </cell>
          <cell r="D1775" t="str">
            <v>01</v>
          </cell>
          <cell r="E1775" t="str">
            <v>SAN MARTIN</v>
          </cell>
          <cell r="F1775" t="str">
            <v>TOCACHE</v>
          </cell>
          <cell r="G1775" t="str">
            <v>TOCACHE</v>
          </cell>
          <cell r="H1775" t="str">
            <v>011775</v>
          </cell>
          <cell r="I1775" t="str">
            <v>1</v>
          </cell>
        </row>
        <row r="1776">
          <cell r="A1776" t="str">
            <v>SAN MARTINTOCACHENUEVO PROGRESO</v>
          </cell>
          <cell r="B1776" t="str">
            <v>22</v>
          </cell>
          <cell r="C1776" t="str">
            <v>10</v>
          </cell>
          <cell r="D1776" t="str">
            <v>02</v>
          </cell>
          <cell r="E1776" t="str">
            <v>SAN MARTIN</v>
          </cell>
          <cell r="F1776" t="str">
            <v>TOCACHE</v>
          </cell>
          <cell r="G1776" t="str">
            <v>NUEVO PROGRESO</v>
          </cell>
          <cell r="H1776" t="str">
            <v>011776</v>
          </cell>
          <cell r="I1776" t="str">
            <v>2</v>
          </cell>
        </row>
        <row r="1777">
          <cell r="A1777" t="str">
            <v>SAN MARTINTOCACHEPOLVORA</v>
          </cell>
          <cell r="B1777" t="str">
            <v>22</v>
          </cell>
          <cell r="C1777" t="str">
            <v>10</v>
          </cell>
          <cell r="D1777" t="str">
            <v>03</v>
          </cell>
          <cell r="E1777" t="str">
            <v>SAN MARTIN</v>
          </cell>
          <cell r="F1777" t="str">
            <v>TOCACHE</v>
          </cell>
          <cell r="G1777" t="str">
            <v>POLVORA</v>
          </cell>
          <cell r="H1777" t="str">
            <v>011777</v>
          </cell>
          <cell r="I1777" t="str">
            <v>2</v>
          </cell>
        </row>
        <row r="1778">
          <cell r="A1778" t="str">
            <v>SAN MARTINTOCACHESHUNTE</v>
          </cell>
          <cell r="B1778" t="str">
            <v>22</v>
          </cell>
          <cell r="C1778" t="str">
            <v>10</v>
          </cell>
          <cell r="D1778" t="str">
            <v>04</v>
          </cell>
          <cell r="E1778" t="str">
            <v>SAN MARTIN</v>
          </cell>
          <cell r="F1778" t="str">
            <v>TOCACHE</v>
          </cell>
          <cell r="G1778" t="str">
            <v>SHUNTE</v>
          </cell>
          <cell r="H1778" t="str">
            <v>012793</v>
          </cell>
          <cell r="I1778" t="str">
            <v>2</v>
          </cell>
        </row>
        <row r="1779">
          <cell r="A1779" t="str">
            <v>SAN MARTINTOCACHEUCHIZA</v>
          </cell>
          <cell r="B1779" t="str">
            <v>22</v>
          </cell>
          <cell r="C1779" t="str">
            <v>10</v>
          </cell>
          <cell r="D1779" t="str">
            <v>05</v>
          </cell>
          <cell r="E1779" t="str">
            <v>SAN MARTIN</v>
          </cell>
          <cell r="F1779" t="str">
            <v>TOCACHE</v>
          </cell>
          <cell r="G1779" t="str">
            <v>UCHIZA</v>
          </cell>
          <cell r="H1779" t="str">
            <v>011779</v>
          </cell>
          <cell r="I1779" t="str">
            <v>2</v>
          </cell>
        </row>
        <row r="1780">
          <cell r="A1780" t="str">
            <v>TACNATACNATACNA</v>
          </cell>
          <cell r="B1780" t="str">
            <v>23</v>
          </cell>
          <cell r="C1780" t="str">
            <v>01</v>
          </cell>
          <cell r="D1780" t="str">
            <v>01</v>
          </cell>
          <cell r="E1780" t="str">
            <v>TACNA</v>
          </cell>
          <cell r="F1780" t="str">
            <v>TACNA</v>
          </cell>
          <cell r="G1780" t="str">
            <v>TACNA</v>
          </cell>
          <cell r="H1780" t="str">
            <v>011780</v>
          </cell>
          <cell r="I1780" t="str">
            <v>1</v>
          </cell>
        </row>
        <row r="1781">
          <cell r="A1781" t="str">
            <v>TACNATACNAALTO DE LA ALIANZA</v>
          </cell>
          <cell r="B1781" t="str">
            <v>23</v>
          </cell>
          <cell r="C1781" t="str">
            <v>01</v>
          </cell>
          <cell r="D1781" t="str">
            <v>02</v>
          </cell>
          <cell r="E1781" t="str">
            <v>TACNA</v>
          </cell>
          <cell r="F1781" t="str">
            <v>TACNA</v>
          </cell>
          <cell r="G1781" t="str">
            <v>ALTO DE LA ALIANZA</v>
          </cell>
          <cell r="H1781" t="str">
            <v>011781</v>
          </cell>
          <cell r="I1781" t="str">
            <v>2</v>
          </cell>
        </row>
        <row r="1782">
          <cell r="A1782" t="str">
            <v>TACNATACNACALANA</v>
          </cell>
          <cell r="B1782" t="str">
            <v>23</v>
          </cell>
          <cell r="C1782" t="str">
            <v>01</v>
          </cell>
          <cell r="D1782" t="str">
            <v>03</v>
          </cell>
          <cell r="E1782" t="str">
            <v>TACNA</v>
          </cell>
          <cell r="F1782" t="str">
            <v>TACNA</v>
          </cell>
          <cell r="G1782" t="str">
            <v>CALANA</v>
          </cell>
          <cell r="H1782" t="str">
            <v>011783</v>
          </cell>
          <cell r="I1782" t="str">
            <v>2</v>
          </cell>
        </row>
        <row r="1783">
          <cell r="A1783" t="str">
            <v>TACNATACNACIUDAD NUEVA</v>
          </cell>
          <cell r="B1783" t="str">
            <v>23</v>
          </cell>
          <cell r="C1783" t="str">
            <v>01</v>
          </cell>
          <cell r="D1783" t="str">
            <v>04</v>
          </cell>
          <cell r="E1783" t="str">
            <v>TACNA</v>
          </cell>
          <cell r="F1783" t="str">
            <v>TACNA</v>
          </cell>
          <cell r="G1783" t="str">
            <v>CIUDAD NUEVA</v>
          </cell>
          <cell r="H1783" t="str">
            <v>011782</v>
          </cell>
          <cell r="I1783" t="str">
            <v>2</v>
          </cell>
        </row>
        <row r="1784">
          <cell r="A1784" t="str">
            <v>TACNATACNAINCLAN</v>
          </cell>
          <cell r="B1784" t="str">
            <v>23</v>
          </cell>
          <cell r="C1784" t="str">
            <v>01</v>
          </cell>
          <cell r="D1784" t="str">
            <v>05</v>
          </cell>
          <cell r="E1784" t="str">
            <v>TACNA</v>
          </cell>
          <cell r="F1784" t="str">
            <v>TACNA</v>
          </cell>
          <cell r="G1784" t="str">
            <v>INCLAN</v>
          </cell>
          <cell r="H1784" t="str">
            <v>011789</v>
          </cell>
          <cell r="I1784" t="str">
            <v>2</v>
          </cell>
        </row>
        <row r="1785">
          <cell r="A1785" t="str">
            <v>TACNATACNAPACHIA</v>
          </cell>
          <cell r="B1785" t="str">
            <v>23</v>
          </cell>
          <cell r="C1785" t="str">
            <v>01</v>
          </cell>
          <cell r="D1785" t="str">
            <v>06</v>
          </cell>
          <cell r="E1785" t="str">
            <v>TACNA</v>
          </cell>
          <cell r="F1785" t="str">
            <v>TACNA</v>
          </cell>
          <cell r="G1785" t="str">
            <v>PACHIA</v>
          </cell>
          <cell r="H1785" t="str">
            <v>011785</v>
          </cell>
          <cell r="I1785" t="str">
            <v>2</v>
          </cell>
        </row>
        <row r="1786">
          <cell r="A1786" t="str">
            <v>TACNATACNAPALCA</v>
          </cell>
          <cell r="B1786" t="str">
            <v>23</v>
          </cell>
          <cell r="C1786" t="str">
            <v>01</v>
          </cell>
          <cell r="D1786" t="str">
            <v>07</v>
          </cell>
          <cell r="E1786" t="str">
            <v>TACNA</v>
          </cell>
          <cell r="F1786" t="str">
            <v>TACNA</v>
          </cell>
          <cell r="G1786" t="str">
            <v>PALCA</v>
          </cell>
          <cell r="H1786" t="str">
            <v>011786</v>
          </cell>
          <cell r="I1786" t="str">
            <v>2</v>
          </cell>
        </row>
        <row r="1787">
          <cell r="A1787" t="str">
            <v>TACNATACNAPOCOLLAY</v>
          </cell>
          <cell r="B1787" t="str">
            <v>23</v>
          </cell>
          <cell r="C1787" t="str">
            <v>01</v>
          </cell>
          <cell r="D1787" t="str">
            <v>08</v>
          </cell>
          <cell r="E1787" t="str">
            <v>TACNA</v>
          </cell>
          <cell r="F1787" t="str">
            <v>TACNA</v>
          </cell>
          <cell r="G1787" t="str">
            <v>POCOLLAY</v>
          </cell>
          <cell r="H1787" t="str">
            <v>011787</v>
          </cell>
          <cell r="I1787" t="str">
            <v>2</v>
          </cell>
        </row>
        <row r="1788">
          <cell r="A1788" t="str">
            <v>TACNATACNASAMA</v>
          </cell>
          <cell r="B1788" t="str">
            <v>23</v>
          </cell>
          <cell r="C1788" t="str">
            <v>01</v>
          </cell>
          <cell r="D1788" t="str">
            <v>09</v>
          </cell>
          <cell r="E1788" t="str">
            <v>TACNA</v>
          </cell>
          <cell r="F1788" t="str">
            <v>TACNA</v>
          </cell>
          <cell r="G1788" t="str">
            <v>SAMA</v>
          </cell>
          <cell r="H1788" t="str">
            <v>011788</v>
          </cell>
          <cell r="I1788" t="str">
            <v>2</v>
          </cell>
        </row>
        <row r="1789">
          <cell r="A1789" t="str">
            <v>TACNATACNACORONEL GREGORIO ALBARRACIN L</v>
          </cell>
          <cell r="B1789" t="str">
            <v>23</v>
          </cell>
          <cell r="C1789" t="str">
            <v>01</v>
          </cell>
          <cell r="D1789" t="str">
            <v>10</v>
          </cell>
          <cell r="E1789" t="str">
            <v>TACNA</v>
          </cell>
          <cell r="F1789" t="str">
            <v>TACNA</v>
          </cell>
          <cell r="G1789" t="str">
            <v>CORONEL GREGORIO ALBARRACIN L</v>
          </cell>
          <cell r="H1789" t="str">
            <v>011784</v>
          </cell>
          <cell r="I1789" t="str">
            <v>2</v>
          </cell>
        </row>
        <row r="1790">
          <cell r="A1790" t="str">
            <v>TACNACANDARAVECANDARAVE</v>
          </cell>
          <cell r="B1790" t="str">
            <v>23</v>
          </cell>
          <cell r="C1790" t="str">
            <v>02</v>
          </cell>
          <cell r="D1790" t="str">
            <v>01</v>
          </cell>
          <cell r="E1790" t="str">
            <v>TACNA</v>
          </cell>
          <cell r="F1790" t="str">
            <v>CANDARAVE</v>
          </cell>
          <cell r="G1790" t="str">
            <v>CANDARAVE</v>
          </cell>
          <cell r="H1790" t="str">
            <v>012308</v>
          </cell>
          <cell r="I1790" t="str">
            <v>1</v>
          </cell>
        </row>
        <row r="1791">
          <cell r="A1791" t="str">
            <v>TACNACANDARAVECAIRANI</v>
          </cell>
          <cell r="B1791" t="str">
            <v>23</v>
          </cell>
          <cell r="C1791" t="str">
            <v>02</v>
          </cell>
          <cell r="D1791" t="str">
            <v>02</v>
          </cell>
          <cell r="E1791" t="str">
            <v>TACNA</v>
          </cell>
          <cell r="F1791" t="str">
            <v>CANDARAVE</v>
          </cell>
          <cell r="G1791" t="str">
            <v>CAIRANI</v>
          </cell>
          <cell r="H1791" t="str">
            <v>011791</v>
          </cell>
          <cell r="I1791" t="str">
            <v>2</v>
          </cell>
        </row>
        <row r="1792">
          <cell r="A1792" t="str">
            <v>TACNACANDARAVECAMILACA</v>
          </cell>
          <cell r="B1792" t="str">
            <v>23</v>
          </cell>
          <cell r="C1792" t="str">
            <v>02</v>
          </cell>
          <cell r="D1792" t="str">
            <v>03</v>
          </cell>
          <cell r="E1792" t="str">
            <v>TACNA</v>
          </cell>
          <cell r="F1792" t="str">
            <v>CANDARAVE</v>
          </cell>
          <cell r="G1792" t="str">
            <v>CAMILACA</v>
          </cell>
          <cell r="H1792" t="str">
            <v>011792</v>
          </cell>
          <cell r="I1792" t="str">
            <v>2</v>
          </cell>
        </row>
        <row r="1793">
          <cell r="A1793" t="str">
            <v>TACNACANDARAVECURIBAYA</v>
          </cell>
          <cell r="B1793" t="str">
            <v>23</v>
          </cell>
          <cell r="C1793" t="str">
            <v>02</v>
          </cell>
          <cell r="D1793" t="str">
            <v>04</v>
          </cell>
          <cell r="E1793" t="str">
            <v>TACNA</v>
          </cell>
          <cell r="F1793" t="str">
            <v>CANDARAVE</v>
          </cell>
          <cell r="G1793" t="str">
            <v>CURIBAYA</v>
          </cell>
          <cell r="H1793" t="str">
            <v>011793</v>
          </cell>
          <cell r="I1793" t="str">
            <v>2</v>
          </cell>
        </row>
        <row r="1794">
          <cell r="A1794" t="str">
            <v>TACNACANDARAVEHUANUARA</v>
          </cell>
          <cell r="B1794" t="str">
            <v>23</v>
          </cell>
          <cell r="C1794" t="str">
            <v>02</v>
          </cell>
          <cell r="D1794" t="str">
            <v>05</v>
          </cell>
          <cell r="E1794" t="str">
            <v>TACNA</v>
          </cell>
          <cell r="F1794" t="str">
            <v>CANDARAVE</v>
          </cell>
          <cell r="G1794" t="str">
            <v>HUANUARA</v>
          </cell>
          <cell r="H1794" t="str">
            <v>011794</v>
          </cell>
          <cell r="I1794" t="str">
            <v>2</v>
          </cell>
        </row>
        <row r="1795">
          <cell r="A1795" t="str">
            <v>TACNACANDARAVEQUILAHUANI</v>
          </cell>
          <cell r="B1795" t="str">
            <v>23</v>
          </cell>
          <cell r="C1795" t="str">
            <v>02</v>
          </cell>
          <cell r="D1795" t="str">
            <v>06</v>
          </cell>
          <cell r="E1795" t="str">
            <v>TACNA</v>
          </cell>
          <cell r="F1795" t="str">
            <v>CANDARAVE</v>
          </cell>
          <cell r="G1795" t="str">
            <v>QUILAHUANI</v>
          </cell>
          <cell r="H1795" t="str">
            <v>012309</v>
          </cell>
          <cell r="I1795" t="str">
            <v>2</v>
          </cell>
        </row>
        <row r="1796">
          <cell r="A1796" t="str">
            <v>TACNAJORGE BASADRELOCUMBA</v>
          </cell>
          <cell r="B1796" t="str">
            <v>23</v>
          </cell>
          <cell r="C1796" t="str">
            <v>03</v>
          </cell>
          <cell r="D1796" t="str">
            <v>01</v>
          </cell>
          <cell r="E1796" t="str">
            <v>TACNA</v>
          </cell>
          <cell r="F1796" t="str">
            <v>JORGE BASADRE</v>
          </cell>
          <cell r="G1796" t="str">
            <v>LOCUMBA</v>
          </cell>
          <cell r="H1796" t="str">
            <v>011796</v>
          </cell>
          <cell r="I1796" t="str">
            <v>1</v>
          </cell>
        </row>
        <row r="1797">
          <cell r="A1797" t="str">
            <v>TACNAJORGE BASADREILABAYA</v>
          </cell>
          <cell r="B1797" t="str">
            <v>23</v>
          </cell>
          <cell r="C1797" t="str">
            <v>03</v>
          </cell>
          <cell r="D1797" t="str">
            <v>02</v>
          </cell>
          <cell r="E1797" t="str">
            <v>TACNA</v>
          </cell>
          <cell r="F1797" t="str">
            <v>JORGE BASADRE</v>
          </cell>
          <cell r="G1797" t="str">
            <v>ILABAYA</v>
          </cell>
          <cell r="H1797" t="str">
            <v>011797</v>
          </cell>
          <cell r="I1797" t="str">
            <v>2</v>
          </cell>
        </row>
        <row r="1798">
          <cell r="A1798" t="str">
            <v>TACNAJORGE BASADREITE</v>
          </cell>
          <cell r="B1798" t="str">
            <v>23</v>
          </cell>
          <cell r="C1798" t="str">
            <v>03</v>
          </cell>
          <cell r="D1798" t="str">
            <v>03</v>
          </cell>
          <cell r="E1798" t="str">
            <v>TACNA</v>
          </cell>
          <cell r="F1798" t="str">
            <v>JORGE BASADRE</v>
          </cell>
          <cell r="G1798" t="str">
            <v>ITE</v>
          </cell>
          <cell r="H1798" t="str">
            <v>012775</v>
          </cell>
          <cell r="I1798" t="str">
            <v>2</v>
          </cell>
        </row>
        <row r="1799">
          <cell r="A1799" t="str">
            <v>TACNATARATATARATA</v>
          </cell>
          <cell r="B1799" t="str">
            <v>23</v>
          </cell>
          <cell r="C1799" t="str">
            <v>04</v>
          </cell>
          <cell r="D1799" t="str">
            <v>01</v>
          </cell>
          <cell r="E1799" t="str">
            <v>TACNA</v>
          </cell>
          <cell r="F1799" t="str">
            <v>TARATA</v>
          </cell>
          <cell r="G1799" t="str">
            <v>TARATA</v>
          </cell>
          <cell r="H1799" t="str">
            <v>011799</v>
          </cell>
          <cell r="I1799" t="str">
            <v>1</v>
          </cell>
        </row>
        <row r="1800">
          <cell r="A1800" t="str">
            <v>TACNATARATACHUCATAMANI</v>
          </cell>
          <cell r="B1800" t="str">
            <v>23</v>
          </cell>
          <cell r="C1800" t="str">
            <v>04</v>
          </cell>
          <cell r="D1800" t="str">
            <v>02</v>
          </cell>
          <cell r="E1800" t="str">
            <v>TACNA</v>
          </cell>
          <cell r="F1800" t="str">
            <v>TARATA</v>
          </cell>
          <cell r="G1800" t="str">
            <v>CHUCATAMANI</v>
          </cell>
          <cell r="H1800" t="str">
            <v>011800</v>
          </cell>
          <cell r="I1800" t="str">
            <v>2</v>
          </cell>
        </row>
        <row r="1801">
          <cell r="A1801" t="str">
            <v>TACNATARATAESTIQUE</v>
          </cell>
          <cell r="B1801" t="str">
            <v>23</v>
          </cell>
          <cell r="C1801" t="str">
            <v>04</v>
          </cell>
          <cell r="D1801" t="str">
            <v>03</v>
          </cell>
          <cell r="E1801" t="str">
            <v>TACNA</v>
          </cell>
          <cell r="F1801" t="str">
            <v>TARATA</v>
          </cell>
          <cell r="G1801" t="str">
            <v>ESTIQUE</v>
          </cell>
          <cell r="H1801" t="str">
            <v>011801</v>
          </cell>
          <cell r="I1801" t="str">
            <v>2</v>
          </cell>
        </row>
        <row r="1802">
          <cell r="A1802" t="str">
            <v>TACNATARATAESTIQUE-PAMPA</v>
          </cell>
          <cell r="B1802" t="str">
            <v>23</v>
          </cell>
          <cell r="C1802" t="str">
            <v>04</v>
          </cell>
          <cell r="D1802" t="str">
            <v>04</v>
          </cell>
          <cell r="E1802" t="str">
            <v>TACNA</v>
          </cell>
          <cell r="F1802" t="str">
            <v>TARATA</v>
          </cell>
          <cell r="G1802" t="str">
            <v>ESTIQUE-PAMPA</v>
          </cell>
          <cell r="H1802" t="str">
            <v>011802</v>
          </cell>
          <cell r="I1802" t="str">
            <v>2</v>
          </cell>
        </row>
        <row r="1803">
          <cell r="A1803" t="str">
            <v>TACNATARATASITAJARA</v>
          </cell>
          <cell r="B1803" t="str">
            <v>23</v>
          </cell>
          <cell r="C1803" t="str">
            <v>04</v>
          </cell>
          <cell r="D1803" t="str">
            <v>05</v>
          </cell>
          <cell r="E1803" t="str">
            <v>TACNA</v>
          </cell>
          <cell r="F1803" t="str">
            <v>TARATA</v>
          </cell>
          <cell r="G1803" t="str">
            <v>SITAJARA</v>
          </cell>
          <cell r="H1803" t="str">
            <v>011803</v>
          </cell>
          <cell r="I1803" t="str">
            <v>2</v>
          </cell>
        </row>
        <row r="1804">
          <cell r="A1804" t="str">
            <v>TACNATARATASUSAPAYA</v>
          </cell>
          <cell r="B1804" t="str">
            <v>23</v>
          </cell>
          <cell r="C1804" t="str">
            <v>04</v>
          </cell>
          <cell r="D1804" t="str">
            <v>06</v>
          </cell>
          <cell r="E1804" t="str">
            <v>TACNA</v>
          </cell>
          <cell r="F1804" t="str">
            <v>TARATA</v>
          </cell>
          <cell r="G1804" t="str">
            <v>SUSAPAYA</v>
          </cell>
          <cell r="H1804" t="str">
            <v>011804</v>
          </cell>
          <cell r="I1804" t="str">
            <v>2</v>
          </cell>
        </row>
        <row r="1805">
          <cell r="A1805" t="str">
            <v>TACNATARATATARUCACHI</v>
          </cell>
          <cell r="B1805" t="str">
            <v>23</v>
          </cell>
          <cell r="C1805" t="str">
            <v>04</v>
          </cell>
          <cell r="D1805" t="str">
            <v>07</v>
          </cell>
          <cell r="E1805" t="str">
            <v>TACNA</v>
          </cell>
          <cell r="F1805" t="str">
            <v>TARATA</v>
          </cell>
          <cell r="G1805" t="str">
            <v>TARUCACHI</v>
          </cell>
          <cell r="H1805" t="str">
            <v>011805</v>
          </cell>
          <cell r="I1805" t="str">
            <v>2</v>
          </cell>
        </row>
        <row r="1806">
          <cell r="A1806" t="str">
            <v>TACNATARATATICACO</v>
          </cell>
          <cell r="B1806" t="str">
            <v>23</v>
          </cell>
          <cell r="C1806" t="str">
            <v>04</v>
          </cell>
          <cell r="D1806" t="str">
            <v>08</v>
          </cell>
          <cell r="E1806" t="str">
            <v>TACNA</v>
          </cell>
          <cell r="F1806" t="str">
            <v>TARATA</v>
          </cell>
          <cell r="G1806" t="str">
            <v>TICACO</v>
          </cell>
          <cell r="H1806" t="str">
            <v>011806</v>
          </cell>
          <cell r="I1806" t="str">
            <v>2</v>
          </cell>
        </row>
        <row r="1807">
          <cell r="A1807" t="str">
            <v>TUMBESTUMBESTUMBES</v>
          </cell>
          <cell r="B1807" t="str">
            <v>24</v>
          </cell>
          <cell r="C1807" t="str">
            <v>01</v>
          </cell>
          <cell r="D1807" t="str">
            <v>01</v>
          </cell>
          <cell r="E1807" t="str">
            <v>TUMBES</v>
          </cell>
          <cell r="F1807" t="str">
            <v>TUMBES</v>
          </cell>
          <cell r="G1807" t="str">
            <v>TUMBES</v>
          </cell>
          <cell r="H1807" t="str">
            <v>011807</v>
          </cell>
          <cell r="I1807" t="str">
            <v>1</v>
          </cell>
        </row>
        <row r="1808">
          <cell r="A1808" t="str">
            <v>TUMBESTUMBESCORRALES</v>
          </cell>
          <cell r="B1808" t="str">
            <v>24</v>
          </cell>
          <cell r="C1808" t="str">
            <v>01</v>
          </cell>
          <cell r="D1808" t="str">
            <v>02</v>
          </cell>
          <cell r="E1808" t="str">
            <v>TUMBES</v>
          </cell>
          <cell r="F1808" t="str">
            <v>TUMBES</v>
          </cell>
          <cell r="G1808" t="str">
            <v>CORRALES</v>
          </cell>
          <cell r="H1808" t="str">
            <v>011808</v>
          </cell>
          <cell r="I1808" t="str">
            <v>2</v>
          </cell>
        </row>
        <row r="1809">
          <cell r="A1809" t="str">
            <v>TUMBESTUMBESLA CRUZ</v>
          </cell>
          <cell r="B1809" t="str">
            <v>24</v>
          </cell>
          <cell r="C1809" t="str">
            <v>01</v>
          </cell>
          <cell r="D1809" t="str">
            <v>03</v>
          </cell>
          <cell r="E1809" t="str">
            <v>TUMBES</v>
          </cell>
          <cell r="F1809" t="str">
            <v>TUMBES</v>
          </cell>
          <cell r="G1809" t="str">
            <v>LA CRUZ</v>
          </cell>
          <cell r="H1809" t="str">
            <v>011809</v>
          </cell>
          <cell r="I1809" t="str">
            <v>2</v>
          </cell>
        </row>
        <row r="1810">
          <cell r="A1810" t="str">
            <v>TUMBESTUMBESPAMPAS DE HOSPITAL</v>
          </cell>
          <cell r="B1810" t="str">
            <v>24</v>
          </cell>
          <cell r="C1810" t="str">
            <v>01</v>
          </cell>
          <cell r="D1810" t="str">
            <v>04</v>
          </cell>
          <cell r="E1810" t="str">
            <v>TUMBES</v>
          </cell>
          <cell r="F1810" t="str">
            <v>TUMBES</v>
          </cell>
          <cell r="G1810" t="str">
            <v>PAMPAS DE HOSPITAL</v>
          </cell>
          <cell r="H1810" t="str">
            <v>011810</v>
          </cell>
          <cell r="I1810" t="str">
            <v>2</v>
          </cell>
        </row>
        <row r="1811">
          <cell r="A1811" t="str">
            <v>TUMBESTUMBESSAN JACINTO</v>
          </cell>
          <cell r="B1811" t="str">
            <v>24</v>
          </cell>
          <cell r="C1811" t="str">
            <v>01</v>
          </cell>
          <cell r="D1811" t="str">
            <v>05</v>
          </cell>
          <cell r="E1811" t="str">
            <v>TUMBES</v>
          </cell>
          <cell r="F1811" t="str">
            <v>TUMBES</v>
          </cell>
          <cell r="G1811" t="str">
            <v>SAN JACINTO</v>
          </cell>
          <cell r="H1811" t="str">
            <v>011811</v>
          </cell>
          <cell r="I1811" t="str">
            <v>2</v>
          </cell>
        </row>
        <row r="1812">
          <cell r="A1812" t="str">
            <v>TUMBESTUMBESSAN JUAN DE LA VIRGEN</v>
          </cell>
          <cell r="B1812" t="str">
            <v>24</v>
          </cell>
          <cell r="C1812" t="str">
            <v>01</v>
          </cell>
          <cell r="D1812" t="str">
            <v>06</v>
          </cell>
          <cell r="E1812" t="str">
            <v>TUMBES</v>
          </cell>
          <cell r="F1812" t="str">
            <v>TUMBES</v>
          </cell>
          <cell r="G1812" t="str">
            <v>SAN JUAN DE LA VIRGEN</v>
          </cell>
          <cell r="H1812" t="str">
            <v>011812</v>
          </cell>
          <cell r="I1812" t="str">
            <v>2</v>
          </cell>
        </row>
        <row r="1813">
          <cell r="A1813" t="str">
            <v>TUMBESCONTRALMIRANTE VILLARZORRITOS</v>
          </cell>
          <cell r="B1813" t="str">
            <v>24</v>
          </cell>
          <cell r="C1813" t="str">
            <v>02</v>
          </cell>
          <cell r="D1813" t="str">
            <v>01</v>
          </cell>
          <cell r="E1813" t="str">
            <v>TUMBES</v>
          </cell>
          <cell r="F1813" t="str">
            <v>CONTRALMIRANTE VILLAR</v>
          </cell>
          <cell r="G1813" t="str">
            <v>ZORRITOS</v>
          </cell>
          <cell r="H1813" t="str">
            <v>012316</v>
          </cell>
          <cell r="I1813" t="str">
            <v>1</v>
          </cell>
        </row>
        <row r="1814">
          <cell r="A1814" t="str">
            <v>TUMBESCONTRALMIRANTE VILLARCASITAS</v>
          </cell>
          <cell r="B1814" t="str">
            <v>24</v>
          </cell>
          <cell r="C1814" t="str">
            <v>02</v>
          </cell>
          <cell r="D1814" t="str">
            <v>02</v>
          </cell>
          <cell r="E1814" t="str">
            <v>TUMBES</v>
          </cell>
          <cell r="F1814" t="str">
            <v>CONTRALMIRANTE VILLAR</v>
          </cell>
          <cell r="G1814" t="str">
            <v>CASITAS</v>
          </cell>
          <cell r="H1814" t="str">
            <v>011814</v>
          </cell>
          <cell r="I1814" t="str">
            <v>2</v>
          </cell>
        </row>
        <row r="1815">
          <cell r="A1815" t="str">
            <v>TUMBESZARUMILLAZARUMILLA</v>
          </cell>
          <cell r="B1815" t="str">
            <v>24</v>
          </cell>
          <cell r="C1815" t="str">
            <v>03</v>
          </cell>
          <cell r="D1815" t="str">
            <v>01</v>
          </cell>
          <cell r="E1815" t="str">
            <v>TUMBES</v>
          </cell>
          <cell r="F1815" t="str">
            <v>ZARUMILLA</v>
          </cell>
          <cell r="G1815" t="str">
            <v>ZARUMILLA</v>
          </cell>
          <cell r="H1815" t="str">
            <v>012707</v>
          </cell>
          <cell r="I1815" t="str">
            <v>1</v>
          </cell>
        </row>
        <row r="1816">
          <cell r="A1816" t="str">
            <v>TUMBESZARUMILLAAGUAS VERDES</v>
          </cell>
          <cell r="B1816" t="str">
            <v>24</v>
          </cell>
          <cell r="C1816" t="str">
            <v>03</v>
          </cell>
          <cell r="D1816" t="str">
            <v>02</v>
          </cell>
          <cell r="E1816" t="str">
            <v>TUMBES</v>
          </cell>
          <cell r="F1816" t="str">
            <v>ZARUMILLA</v>
          </cell>
          <cell r="G1816" t="str">
            <v>AGUAS VERDES</v>
          </cell>
          <cell r="H1816" t="str">
            <v>011816</v>
          </cell>
          <cell r="I1816" t="str">
            <v>2</v>
          </cell>
        </row>
        <row r="1817">
          <cell r="A1817" t="str">
            <v>TUMBESZARUMILLAMATAPALO</v>
          </cell>
          <cell r="B1817" t="str">
            <v>24</v>
          </cell>
          <cell r="C1817" t="str">
            <v>03</v>
          </cell>
          <cell r="D1817" t="str">
            <v>03</v>
          </cell>
          <cell r="E1817" t="str">
            <v>TUMBES</v>
          </cell>
          <cell r="F1817" t="str">
            <v>ZARUMILLA</v>
          </cell>
          <cell r="G1817" t="str">
            <v>MATAPALO</v>
          </cell>
          <cell r="H1817" t="str">
            <v>011817</v>
          </cell>
          <cell r="I1817" t="str">
            <v>2</v>
          </cell>
        </row>
        <row r="1818">
          <cell r="A1818" t="str">
            <v>TUMBESZARUMILLAPAPAYAL</v>
          </cell>
          <cell r="B1818" t="str">
            <v>24</v>
          </cell>
          <cell r="C1818" t="str">
            <v>03</v>
          </cell>
          <cell r="D1818" t="str">
            <v>04</v>
          </cell>
          <cell r="E1818" t="str">
            <v>TUMBES</v>
          </cell>
          <cell r="F1818" t="str">
            <v>ZARUMILLA</v>
          </cell>
          <cell r="G1818" t="str">
            <v>PAPAYAL</v>
          </cell>
          <cell r="H1818" t="str">
            <v>011818</v>
          </cell>
          <cell r="I1818" t="str">
            <v>2</v>
          </cell>
        </row>
        <row r="1819">
          <cell r="A1819" t="str">
            <v>UCAYALICORONEL PORTILLOCALLARIA</v>
          </cell>
          <cell r="B1819" t="str">
            <v>25</v>
          </cell>
          <cell r="C1819" t="str">
            <v>01</v>
          </cell>
          <cell r="D1819" t="str">
            <v>01</v>
          </cell>
          <cell r="E1819" t="str">
            <v>UCAYALI</v>
          </cell>
          <cell r="F1819" t="str">
            <v>CORONEL PORTILLO</v>
          </cell>
          <cell r="G1819" t="str">
            <v>CALLARIA</v>
          </cell>
          <cell r="H1819" t="str">
            <v>011819</v>
          </cell>
          <cell r="I1819" t="str">
            <v>1</v>
          </cell>
        </row>
        <row r="1820">
          <cell r="A1820" t="str">
            <v>UCAYALICORONEL PORTILLOCAMPOVERDE</v>
          </cell>
          <cell r="B1820" t="str">
            <v>25</v>
          </cell>
          <cell r="C1820" t="str">
            <v>01</v>
          </cell>
          <cell r="D1820" t="str">
            <v>02</v>
          </cell>
          <cell r="E1820" t="str">
            <v>UCAYALI</v>
          </cell>
          <cell r="F1820" t="str">
            <v>CORONEL PORTILLO</v>
          </cell>
          <cell r="G1820" t="str">
            <v>CAMPOVERDE</v>
          </cell>
          <cell r="H1820" t="str">
            <v>011821</v>
          </cell>
          <cell r="I1820" t="str">
            <v>2</v>
          </cell>
        </row>
        <row r="1821">
          <cell r="A1821" t="str">
            <v>UCAYALICORONEL PORTILLOIPARIA</v>
          </cell>
          <cell r="B1821" t="str">
            <v>25</v>
          </cell>
          <cell r="C1821" t="str">
            <v>01</v>
          </cell>
          <cell r="D1821" t="str">
            <v>03</v>
          </cell>
          <cell r="E1821" t="str">
            <v>UCAYALI</v>
          </cell>
          <cell r="F1821" t="str">
            <v>CORONEL PORTILLO</v>
          </cell>
          <cell r="G1821" t="str">
            <v>IPARIA</v>
          </cell>
          <cell r="H1821" t="str">
            <v>013003</v>
          </cell>
          <cell r="I1821" t="str">
            <v>2</v>
          </cell>
        </row>
        <row r="1822">
          <cell r="A1822" t="str">
            <v>UCAYALICORONEL PORTILLOMASISEA</v>
          </cell>
          <cell r="B1822" t="str">
            <v>25</v>
          </cell>
          <cell r="C1822" t="str">
            <v>01</v>
          </cell>
          <cell r="D1822" t="str">
            <v>04</v>
          </cell>
          <cell r="E1822" t="str">
            <v>UCAYALI</v>
          </cell>
          <cell r="F1822" t="str">
            <v>CORONEL PORTILLO</v>
          </cell>
          <cell r="G1822" t="str">
            <v>MASISEA</v>
          </cell>
          <cell r="H1822" t="str">
            <v>012326</v>
          </cell>
          <cell r="I1822" t="str">
            <v>2</v>
          </cell>
        </row>
        <row r="1823">
          <cell r="A1823" t="str">
            <v>UCAYALICORONEL PORTILLOYARINACOCHA</v>
          </cell>
          <cell r="B1823" t="str">
            <v>25</v>
          </cell>
          <cell r="C1823" t="str">
            <v>01</v>
          </cell>
          <cell r="D1823" t="str">
            <v>05</v>
          </cell>
          <cell r="E1823" t="str">
            <v>UCAYALI</v>
          </cell>
          <cell r="F1823" t="str">
            <v>CORONEL PORTILLO</v>
          </cell>
          <cell r="G1823" t="str">
            <v>YARINACOCHA</v>
          </cell>
          <cell r="H1823" t="str">
            <v>011820</v>
          </cell>
          <cell r="I1823" t="str">
            <v>2</v>
          </cell>
        </row>
        <row r="1824">
          <cell r="A1824" t="str">
            <v>UCAYALICORONEL PORTILLONUEVA REQUENA</v>
          </cell>
          <cell r="B1824" t="str">
            <v>25</v>
          </cell>
          <cell r="C1824" t="str">
            <v>01</v>
          </cell>
          <cell r="D1824" t="str">
            <v>06</v>
          </cell>
          <cell r="E1824" t="str">
            <v>UCAYALI</v>
          </cell>
          <cell r="F1824" t="str">
            <v>CORONEL PORTILLO</v>
          </cell>
          <cell r="G1824" t="str">
            <v>NUEVA REQUENA</v>
          </cell>
          <cell r="H1824" t="str">
            <v>011824</v>
          </cell>
          <cell r="I1824" t="str">
            <v>2</v>
          </cell>
        </row>
        <row r="1825">
          <cell r="A1825" t="str">
            <v>UCAYALIATALAYARAYMONDI</v>
          </cell>
          <cell r="B1825" t="str">
            <v>25</v>
          </cell>
          <cell r="C1825" t="str">
            <v>02</v>
          </cell>
          <cell r="D1825" t="str">
            <v>01</v>
          </cell>
          <cell r="E1825" t="str">
            <v>UCAYALI</v>
          </cell>
          <cell r="F1825" t="str">
            <v>ATALAYA</v>
          </cell>
          <cell r="G1825" t="str">
            <v>RAYMONDI</v>
          </cell>
          <cell r="H1825" t="str">
            <v>011825</v>
          </cell>
          <cell r="I1825" t="str">
            <v>1</v>
          </cell>
        </row>
        <row r="1826">
          <cell r="A1826" t="str">
            <v>UCAYALIATALAYASEPAHUA</v>
          </cell>
          <cell r="B1826" t="str">
            <v>25</v>
          </cell>
          <cell r="C1826" t="str">
            <v>02</v>
          </cell>
          <cell r="D1826" t="str">
            <v>02</v>
          </cell>
          <cell r="E1826" t="str">
            <v>UCAYALI</v>
          </cell>
          <cell r="F1826" t="str">
            <v>ATALAYA</v>
          </cell>
          <cell r="G1826" t="str">
            <v>SEPAHUA</v>
          </cell>
          <cell r="H1826" t="str">
            <v>011826</v>
          </cell>
          <cell r="I1826" t="str">
            <v>2</v>
          </cell>
        </row>
        <row r="1827">
          <cell r="A1827" t="str">
            <v>UCAYALIATALAYATAHUANIA</v>
          </cell>
          <cell r="B1827" t="str">
            <v>25</v>
          </cell>
          <cell r="C1827" t="str">
            <v>02</v>
          </cell>
          <cell r="D1827" t="str">
            <v>03</v>
          </cell>
          <cell r="E1827" t="str">
            <v>UCAYALI</v>
          </cell>
          <cell r="F1827" t="str">
            <v>ATALAYA</v>
          </cell>
          <cell r="G1827" t="str">
            <v>TAHUANIA</v>
          </cell>
          <cell r="H1827" t="str">
            <v>011827</v>
          </cell>
          <cell r="I1827" t="str">
            <v>2</v>
          </cell>
        </row>
        <row r="1828">
          <cell r="A1828" t="str">
            <v>UCAYALIATALAYAYURUA</v>
          </cell>
          <cell r="B1828" t="str">
            <v>25</v>
          </cell>
          <cell r="C1828" t="str">
            <v>02</v>
          </cell>
          <cell r="D1828" t="str">
            <v>04</v>
          </cell>
          <cell r="E1828" t="str">
            <v>UCAYALI</v>
          </cell>
          <cell r="F1828" t="str">
            <v>ATALAYA</v>
          </cell>
          <cell r="G1828" t="str">
            <v>YURUA</v>
          </cell>
          <cell r="H1828" t="str">
            <v>011828</v>
          </cell>
          <cell r="I1828" t="str">
            <v>2</v>
          </cell>
        </row>
        <row r="1829">
          <cell r="A1829" t="str">
            <v>UCAYALIPADRE ABADPADRE ABAD</v>
          </cell>
          <cell r="B1829" t="str">
            <v>25</v>
          </cell>
          <cell r="C1829" t="str">
            <v>03</v>
          </cell>
          <cell r="D1829" t="str">
            <v>01</v>
          </cell>
          <cell r="E1829" t="str">
            <v>UCAYALI</v>
          </cell>
          <cell r="F1829" t="str">
            <v>PADRE ABAD</v>
          </cell>
          <cell r="G1829" t="str">
            <v>PADRE ABAD</v>
          </cell>
          <cell r="H1829" t="str">
            <v>011829</v>
          </cell>
          <cell r="I1829" t="str">
            <v>1</v>
          </cell>
        </row>
        <row r="1830">
          <cell r="A1830" t="str">
            <v>UCAYALIPADRE ABADIRAZOLA</v>
          </cell>
          <cell r="B1830" t="str">
            <v>25</v>
          </cell>
          <cell r="C1830" t="str">
            <v>03</v>
          </cell>
          <cell r="D1830" t="str">
            <v>02</v>
          </cell>
          <cell r="E1830" t="str">
            <v>UCAYALI</v>
          </cell>
          <cell r="F1830" t="str">
            <v>PADRE ABAD</v>
          </cell>
          <cell r="G1830" t="str">
            <v>IRAZOLA</v>
          </cell>
          <cell r="H1830" t="str">
            <v>012325</v>
          </cell>
          <cell r="I1830" t="str">
            <v>2</v>
          </cell>
        </row>
        <row r="1831">
          <cell r="A1831" t="str">
            <v>UCAYALIPADRE ABADCURIMANA</v>
          </cell>
          <cell r="B1831" t="str">
            <v>25</v>
          </cell>
          <cell r="C1831" t="str">
            <v>03</v>
          </cell>
          <cell r="D1831" t="str">
            <v>03</v>
          </cell>
          <cell r="E1831" t="str">
            <v>UCAYALI</v>
          </cell>
          <cell r="F1831" t="str">
            <v>PADRE ABAD</v>
          </cell>
          <cell r="G1831" t="str">
            <v>CURIMANA</v>
          </cell>
          <cell r="H1831" t="str">
            <v>011831</v>
          </cell>
          <cell r="I1831" t="str">
            <v>2</v>
          </cell>
        </row>
        <row r="1832">
          <cell r="A1832" t="str">
            <v>UCAYALIPURUSPURUS</v>
          </cell>
          <cell r="B1832" t="str">
            <v>25</v>
          </cell>
          <cell r="C1832" t="str">
            <v>04</v>
          </cell>
          <cell r="D1832" t="str">
            <v>01</v>
          </cell>
          <cell r="E1832" t="str">
            <v>UCAYALI</v>
          </cell>
          <cell r="F1832" t="str">
            <v>PURUS</v>
          </cell>
          <cell r="G1832" t="str">
            <v>PURUS</v>
          </cell>
          <cell r="H1832" t="str">
            <v>011832</v>
          </cell>
          <cell r="I1832" t="str">
            <v>1</v>
          </cell>
        </row>
        <row r="1833">
          <cell r="A1833" t="str">
            <v>AMAZONASBAGUABAGUA</v>
          </cell>
          <cell r="B1833" t="str">
            <v>01</v>
          </cell>
          <cell r="C1833" t="str">
            <v>02</v>
          </cell>
          <cell r="D1833" t="str">
            <v>00</v>
          </cell>
          <cell r="E1833" t="str">
            <v>AMAZONAS</v>
          </cell>
          <cell r="F1833" t="str">
            <v>BAGUA</v>
          </cell>
          <cell r="G1833" t="str">
            <v>BAGUA</v>
          </cell>
          <cell r="H1833" t="str">
            <v>012825</v>
          </cell>
          <cell r="I1833" t="str">
            <v>1</v>
          </cell>
        </row>
      </sheetData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17"/>
  <sheetViews>
    <sheetView showGridLines="0" tabSelected="1" zoomScale="110" zoomScaleNormal="110" zoomScaleSheetLayoutView="130" workbookViewId="0">
      <selection activeCell="A6" sqref="A6:O15"/>
    </sheetView>
  </sheetViews>
  <sheetFormatPr baseColWidth="10" defaultColWidth="11.85546875" defaultRowHeight="12.75" x14ac:dyDescent="0.2"/>
  <cols>
    <col min="1" max="1" width="11.7109375" style="207" customWidth="1"/>
    <col min="2" max="4" width="9.7109375" style="207" customWidth="1"/>
    <col min="5" max="5" width="11.5703125" style="207" customWidth="1"/>
    <col min="6" max="6" width="1.7109375" style="207" customWidth="1"/>
    <col min="7" max="9" width="9.7109375" style="207" customWidth="1"/>
    <col min="10" max="10" width="11.5703125" style="207" customWidth="1"/>
    <col min="11" max="11" width="1.7109375" style="207" customWidth="1"/>
    <col min="12" max="14" width="9.7109375" style="207" customWidth="1"/>
    <col min="15" max="15" width="11.5703125" style="207" customWidth="1"/>
    <col min="16" max="16384" width="11.85546875" style="207"/>
  </cols>
  <sheetData>
    <row r="1" spans="1:16" s="43" customFormat="1" ht="12.75" customHeight="1" x14ac:dyDescent="0.3">
      <c r="A1" s="630" t="s">
        <v>0</v>
      </c>
      <c r="B1" s="630"/>
      <c r="C1" s="630"/>
      <c r="D1" s="630"/>
      <c r="E1" s="630"/>
    </row>
    <row r="2" spans="1:16" ht="12.75" customHeight="1" x14ac:dyDescent="0.2"/>
    <row r="3" spans="1:16" ht="12.75" customHeight="1" x14ac:dyDescent="0.2">
      <c r="A3" s="631" t="s">
        <v>452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</row>
    <row r="4" spans="1:16" ht="12.75" customHeight="1" x14ac:dyDescent="0.2">
      <c r="A4" s="632" t="s">
        <v>1</v>
      </c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</row>
    <row r="5" spans="1:16" ht="12.75" customHeight="1" x14ac:dyDescent="0.2">
      <c r="A5" s="267"/>
    </row>
    <row r="6" spans="1:16" ht="21.95" customHeight="1" x14ac:dyDescent="0.2">
      <c r="A6" s="635" t="s">
        <v>2</v>
      </c>
      <c r="B6" s="633">
        <v>2012</v>
      </c>
      <c r="C6" s="634"/>
      <c r="D6" s="634"/>
      <c r="E6" s="634"/>
      <c r="F6" s="268"/>
      <c r="G6" s="634">
        <v>2014</v>
      </c>
      <c r="H6" s="634"/>
      <c r="I6" s="634"/>
      <c r="J6" s="634"/>
      <c r="K6" s="268"/>
      <c r="L6" s="634">
        <v>2019</v>
      </c>
      <c r="M6" s="634"/>
      <c r="N6" s="634"/>
      <c r="O6" s="634"/>
    </row>
    <row r="7" spans="1:16" ht="21" customHeight="1" x14ac:dyDescent="0.2">
      <c r="A7" s="636"/>
      <c r="B7" s="270" t="s">
        <v>3</v>
      </c>
      <c r="C7" s="271" t="s">
        <v>4</v>
      </c>
      <c r="D7" s="271" t="s">
        <v>5</v>
      </c>
      <c r="E7" s="271" t="s">
        <v>6</v>
      </c>
      <c r="F7" s="269"/>
      <c r="G7" s="271" t="s">
        <v>3</v>
      </c>
      <c r="H7" s="271" t="s">
        <v>4</v>
      </c>
      <c r="I7" s="271" t="s">
        <v>5</v>
      </c>
      <c r="J7" s="271" t="s">
        <v>6</v>
      </c>
      <c r="K7" s="269"/>
      <c r="L7" s="271" t="s">
        <v>3</v>
      </c>
      <c r="M7" s="271" t="s">
        <v>4</v>
      </c>
      <c r="N7" s="271" t="s">
        <v>5</v>
      </c>
      <c r="O7" s="271" t="s">
        <v>6</v>
      </c>
    </row>
    <row r="8" spans="1:16" s="208" customFormat="1" ht="3" customHeight="1" x14ac:dyDescent="0.2">
      <c r="A8" s="262"/>
      <c r="B8" s="272"/>
      <c r="C8" s="272"/>
      <c r="D8" s="272"/>
      <c r="E8" s="272"/>
      <c r="F8" s="273"/>
      <c r="G8" s="272"/>
      <c r="H8" s="272"/>
      <c r="I8" s="272"/>
      <c r="J8" s="272"/>
      <c r="K8" s="273"/>
      <c r="L8" s="272"/>
      <c r="M8" s="272"/>
      <c r="N8" s="272"/>
      <c r="O8" s="272"/>
    </row>
    <row r="9" spans="1:16" ht="15.95" customHeight="1" x14ac:dyDescent="0.2">
      <c r="A9" s="263" t="s">
        <v>3</v>
      </c>
      <c r="B9" s="274" t="s">
        <v>397</v>
      </c>
      <c r="C9" s="275">
        <v>100</v>
      </c>
      <c r="D9" s="274" t="s">
        <v>398</v>
      </c>
      <c r="E9" s="274" t="s">
        <v>7</v>
      </c>
      <c r="F9" s="274"/>
      <c r="G9" s="274">
        <f>+I9+J9</f>
        <v>2438353</v>
      </c>
      <c r="H9" s="275">
        <f>+H10+H11+H12</f>
        <v>100</v>
      </c>
      <c r="I9" s="274">
        <f>+I10+I11+I12</f>
        <v>1891623</v>
      </c>
      <c r="J9" s="276">
        <f>+J10+J11+J12</f>
        <v>546730</v>
      </c>
      <c r="K9" s="274"/>
      <c r="L9" s="274">
        <f>+N9+O9</f>
        <v>2482318.9699999997</v>
      </c>
      <c r="M9" s="275">
        <f>+M10+M11+M12</f>
        <v>100</v>
      </c>
      <c r="N9" s="274">
        <f>+N10+N11+N12</f>
        <v>1935588.97</v>
      </c>
      <c r="O9" s="276">
        <f>+O10+O11+O12</f>
        <v>546730</v>
      </c>
      <c r="P9" s="209"/>
    </row>
    <row r="10" spans="1:16" ht="15.95" customHeight="1" x14ac:dyDescent="0.2">
      <c r="A10" s="264" t="s">
        <v>8</v>
      </c>
      <c r="B10" s="277" t="s">
        <v>399</v>
      </c>
      <c r="C10" s="278">
        <v>1.5</v>
      </c>
      <c r="D10" s="277">
        <v>34136</v>
      </c>
      <c r="E10" s="277" t="s">
        <v>9</v>
      </c>
      <c r="F10" s="279"/>
      <c r="G10" s="277">
        <f>+I10+J10</f>
        <v>37262</v>
      </c>
      <c r="H10" s="278">
        <v>1.5</v>
      </c>
      <c r="I10" s="277">
        <v>34138</v>
      </c>
      <c r="J10" s="280">
        <v>3124</v>
      </c>
      <c r="K10" s="279"/>
      <c r="L10" s="277">
        <f>+N10+O10</f>
        <v>37255.97</v>
      </c>
      <c r="M10" s="278">
        <v>1.5</v>
      </c>
      <c r="N10" s="277">
        <v>34131.97</v>
      </c>
      <c r="O10" s="280">
        <v>3124</v>
      </c>
      <c r="P10" s="209"/>
    </row>
    <row r="11" spans="1:16" ht="15.95" customHeight="1" x14ac:dyDescent="0.2">
      <c r="A11" s="264" t="s">
        <v>10</v>
      </c>
      <c r="B11" s="277" t="s">
        <v>400</v>
      </c>
      <c r="C11" s="278">
        <v>98.22</v>
      </c>
      <c r="D11" s="277" t="s">
        <v>401</v>
      </c>
      <c r="E11" s="277" t="s">
        <v>11</v>
      </c>
      <c r="F11" s="279"/>
      <c r="G11" s="277">
        <f>+I11+J11</f>
        <v>2394218</v>
      </c>
      <c r="H11" s="278">
        <v>98.22</v>
      </c>
      <c r="I11" s="277">
        <v>1851226</v>
      </c>
      <c r="J11" s="280">
        <v>542992</v>
      </c>
      <c r="K11" s="279"/>
      <c r="L11" s="277">
        <f>+N11+O11</f>
        <v>2438217</v>
      </c>
      <c r="M11" s="278">
        <v>98.22</v>
      </c>
      <c r="N11" s="277">
        <v>1895225</v>
      </c>
      <c r="O11" s="280">
        <v>542992</v>
      </c>
      <c r="P11" s="209"/>
    </row>
    <row r="12" spans="1:16" ht="15.95" customHeight="1" x14ac:dyDescent="0.2">
      <c r="A12" s="281" t="s">
        <v>12</v>
      </c>
      <c r="B12" s="282" t="s">
        <v>402</v>
      </c>
      <c r="C12" s="283">
        <v>0.28000000000000003</v>
      </c>
      <c r="D12" s="282">
        <v>6259</v>
      </c>
      <c r="E12" s="282">
        <v>614</v>
      </c>
      <c r="F12" s="284"/>
      <c r="G12" s="282">
        <f>+I12+J12</f>
        <v>6873</v>
      </c>
      <c r="H12" s="283">
        <v>0.28000000000000003</v>
      </c>
      <c r="I12" s="282">
        <v>6259</v>
      </c>
      <c r="J12" s="285">
        <v>614</v>
      </c>
      <c r="K12" s="284"/>
      <c r="L12" s="282">
        <f>+N12+O12</f>
        <v>6846</v>
      </c>
      <c r="M12" s="283">
        <v>0.28000000000000003</v>
      </c>
      <c r="N12" s="282">
        <v>6232</v>
      </c>
      <c r="O12" s="285">
        <v>614</v>
      </c>
      <c r="P12" s="209"/>
    </row>
    <row r="13" spans="1:16" s="265" customFormat="1" ht="12" customHeight="1" x14ac:dyDescent="0.2">
      <c r="A13" s="628" t="s">
        <v>437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8"/>
      <c r="N13" s="628"/>
      <c r="O13" s="628"/>
    </row>
    <row r="14" spans="1:16" s="265" customFormat="1" ht="12" customHeight="1" x14ac:dyDescent="0.2">
      <c r="A14" s="266" t="s">
        <v>438</v>
      </c>
      <c r="B14" s="266"/>
      <c r="C14" s="266"/>
      <c r="D14" s="266"/>
      <c r="E14" s="266"/>
      <c r="F14" s="266"/>
      <c r="G14" s="266"/>
      <c r="H14" s="266"/>
      <c r="I14" s="266"/>
      <c r="J14" s="266"/>
      <c r="K14" s="266"/>
    </row>
    <row r="15" spans="1:16" s="265" customFormat="1" ht="12" customHeight="1" x14ac:dyDescent="0.2">
      <c r="A15" s="629" t="s">
        <v>13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29"/>
      <c r="N15" s="629"/>
      <c r="O15" s="629"/>
    </row>
    <row r="16" spans="1:16" ht="12.75" customHeight="1" x14ac:dyDescent="0.2">
      <c r="A16" s="210" t="s">
        <v>14</v>
      </c>
    </row>
    <row r="17" spans="1:9" ht="12.75" customHeight="1" x14ac:dyDescent="0.2">
      <c r="A17" s="211"/>
      <c r="I17" s="212"/>
    </row>
  </sheetData>
  <mergeCells count="9">
    <mergeCell ref="A13:O13"/>
    <mergeCell ref="A15:O15"/>
    <mergeCell ref="A1:E1"/>
    <mergeCell ref="A3:O3"/>
    <mergeCell ref="A4:O4"/>
    <mergeCell ref="B6:E6"/>
    <mergeCell ref="G6:J6"/>
    <mergeCell ref="L6:O6"/>
    <mergeCell ref="A6:A7"/>
  </mergeCells>
  <printOptions horizontalCentered="1"/>
  <pageMargins left="0.78740157480314965" right="0.43307086614173229" top="0.74803149606299213" bottom="0.74803149606299213" header="0.31496062992125984" footer="0.31496062992125984"/>
  <pageSetup paperSize="9" orientation="landscape" r:id="rId1"/>
  <ignoredErrors>
    <ignoredError sqref="B9:G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78"/>
  <sheetViews>
    <sheetView zoomScaleNormal="100" zoomScaleSheetLayoutView="100" workbookViewId="0">
      <selection activeCell="A44" sqref="A44:K78"/>
    </sheetView>
  </sheetViews>
  <sheetFormatPr baseColWidth="10" defaultColWidth="11.28515625" defaultRowHeight="12.75" customHeight="1" x14ac:dyDescent="0.3"/>
  <cols>
    <col min="1" max="1" width="28.85546875" style="57" customWidth="1"/>
    <col min="2" max="2" width="11.28515625" style="57" customWidth="1"/>
    <col min="3" max="3" width="14.140625" style="57" customWidth="1"/>
    <col min="4" max="10" width="11.28515625" style="57" customWidth="1"/>
    <col min="11" max="11" width="10.42578125" style="57" customWidth="1"/>
    <col min="12" max="16384" width="11.28515625" style="57"/>
  </cols>
  <sheetData>
    <row r="1" spans="1:11" s="126" customFormat="1" ht="12.75" customHeight="1" x14ac:dyDescent="0.3">
      <c r="A1" s="637" t="s">
        <v>424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</row>
    <row r="2" spans="1:11" ht="12.75" customHeight="1" x14ac:dyDescent="0.3">
      <c r="A2" s="638" t="s">
        <v>367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</row>
    <row r="3" spans="1:11" ht="12.75" customHeight="1" x14ac:dyDescent="0.3">
      <c r="A3" s="178"/>
      <c r="B3" s="160"/>
      <c r="C3" s="160"/>
      <c r="D3" s="160"/>
      <c r="E3" s="160"/>
      <c r="F3" s="160"/>
      <c r="G3" s="160"/>
      <c r="H3" s="160"/>
      <c r="I3" s="160"/>
      <c r="J3" s="160"/>
      <c r="K3" s="160"/>
    </row>
    <row r="4" spans="1:11" ht="57.75" customHeight="1" x14ac:dyDescent="0.3">
      <c r="A4" s="286" t="s">
        <v>15</v>
      </c>
      <c r="B4" s="287" t="s">
        <v>3</v>
      </c>
      <c r="C4" s="287" t="s">
        <v>16</v>
      </c>
      <c r="D4" s="287" t="s">
        <v>17</v>
      </c>
      <c r="E4" s="287" t="s">
        <v>18</v>
      </c>
      <c r="F4" s="287" t="s">
        <v>19</v>
      </c>
      <c r="G4" s="287" t="s">
        <v>20</v>
      </c>
      <c r="H4" s="287" t="s">
        <v>21</v>
      </c>
      <c r="I4" s="287" t="s">
        <v>22</v>
      </c>
      <c r="J4" s="287" t="s">
        <v>23</v>
      </c>
      <c r="K4" s="287" t="s">
        <v>24</v>
      </c>
    </row>
    <row r="5" spans="1:11" ht="3" customHeight="1" x14ac:dyDescent="0.3">
      <c r="A5" s="288"/>
      <c r="B5" s="289"/>
      <c r="C5" s="289"/>
      <c r="D5" s="289"/>
      <c r="E5" s="289"/>
      <c r="F5" s="289"/>
      <c r="G5" s="289"/>
      <c r="H5" s="289"/>
      <c r="I5" s="289"/>
      <c r="J5" s="289"/>
      <c r="K5" s="289"/>
    </row>
    <row r="6" spans="1:11" ht="15.95" customHeight="1" x14ac:dyDescent="0.3">
      <c r="A6" s="290" t="s">
        <v>3</v>
      </c>
      <c r="B6" s="302">
        <v>1445.75108378</v>
      </c>
      <c r="C6" s="302">
        <v>375.97181422999995</v>
      </c>
      <c r="D6" s="302">
        <v>913.84358165999993</v>
      </c>
      <c r="E6" s="302">
        <v>96.203260270000001</v>
      </c>
      <c r="F6" s="302">
        <v>41.030561180000007</v>
      </c>
      <c r="G6" s="302">
        <v>6.7867895799999989</v>
      </c>
      <c r="H6" s="302">
        <v>0.42371899999999996</v>
      </c>
      <c r="I6" s="302">
        <v>4.9915847199999979</v>
      </c>
      <c r="J6" s="302">
        <v>0.31825186999999999</v>
      </c>
      <c r="K6" s="302">
        <v>6.1815212699999993</v>
      </c>
    </row>
    <row r="7" spans="1:11" ht="15.95" customHeight="1" x14ac:dyDescent="0.3">
      <c r="A7" s="291" t="s">
        <v>8</v>
      </c>
      <c r="B7" s="292">
        <v>1349.93132719</v>
      </c>
      <c r="C7" s="292">
        <v>334.47631313999995</v>
      </c>
      <c r="D7" s="292">
        <v>912.75179269</v>
      </c>
      <c r="E7" s="292">
        <v>51.649966159999998</v>
      </c>
      <c r="F7" s="292">
        <v>37.617122880000004</v>
      </c>
      <c r="G7" s="292">
        <v>5.1808665999999999</v>
      </c>
      <c r="H7" s="292">
        <v>0.36965199999999998</v>
      </c>
      <c r="I7" s="292">
        <v>4.8092282299999978</v>
      </c>
      <c r="J7" s="292">
        <v>0.23453715</v>
      </c>
      <c r="K7" s="292">
        <v>2.8418483399999999</v>
      </c>
    </row>
    <row r="8" spans="1:11" ht="15.95" customHeight="1" x14ac:dyDescent="0.3">
      <c r="A8" s="293" t="s">
        <v>25</v>
      </c>
      <c r="B8" s="292">
        <v>96.709631939999994</v>
      </c>
      <c r="C8" s="303">
        <v>9.4098729900000002</v>
      </c>
      <c r="D8" s="294">
        <v>55.859832779999998</v>
      </c>
      <c r="E8" s="294">
        <v>31.121473170000002</v>
      </c>
      <c r="F8" s="294">
        <v>8.5172999999999999E-2</v>
      </c>
      <c r="G8" s="294" t="s">
        <v>26</v>
      </c>
      <c r="H8" s="294" t="s">
        <v>26</v>
      </c>
      <c r="I8" s="294" t="s">
        <v>26</v>
      </c>
      <c r="J8" s="294" t="s">
        <v>26</v>
      </c>
      <c r="K8" s="294">
        <v>0.23327999999999999</v>
      </c>
    </row>
    <row r="9" spans="1:11" ht="15.95" customHeight="1" x14ac:dyDescent="0.3">
      <c r="A9" s="293" t="s">
        <v>27</v>
      </c>
      <c r="B9" s="292">
        <v>6.3913232300000002</v>
      </c>
      <c r="C9" s="303">
        <v>1.5675372299999999</v>
      </c>
      <c r="D9" s="294" t="s">
        <v>26</v>
      </c>
      <c r="E9" s="294">
        <v>4.8142769999999997</v>
      </c>
      <c r="F9" s="294">
        <v>9.5090000000000001E-3</v>
      </c>
      <c r="G9" s="294" t="s">
        <v>26</v>
      </c>
      <c r="H9" s="294" t="s">
        <v>26</v>
      </c>
      <c r="I9" s="294" t="s">
        <v>26</v>
      </c>
      <c r="J9" s="294" t="s">
        <v>26</v>
      </c>
      <c r="K9" s="294" t="s">
        <v>26</v>
      </c>
    </row>
    <row r="10" spans="1:11" ht="15.95" customHeight="1" x14ac:dyDescent="0.3">
      <c r="A10" s="293" t="s">
        <v>28</v>
      </c>
      <c r="B10" s="292">
        <v>0.79093291999999993</v>
      </c>
      <c r="C10" s="303">
        <v>0.51620635999999998</v>
      </c>
      <c r="D10" s="294">
        <v>0.14684945999999999</v>
      </c>
      <c r="E10" s="294" t="s">
        <v>26</v>
      </c>
      <c r="F10" s="294" t="s">
        <v>26</v>
      </c>
      <c r="G10" s="294" t="s">
        <v>26</v>
      </c>
      <c r="H10" s="294" t="s">
        <v>26</v>
      </c>
      <c r="I10" s="294" t="s">
        <v>26</v>
      </c>
      <c r="J10" s="294" t="s">
        <v>26</v>
      </c>
      <c r="K10" s="295">
        <v>0.12787709999999999</v>
      </c>
    </row>
    <row r="11" spans="1:11" ht="15.95" customHeight="1" x14ac:dyDescent="0.3">
      <c r="A11" s="293" t="s">
        <v>29</v>
      </c>
      <c r="B11" s="292">
        <v>19.357073449999998</v>
      </c>
      <c r="C11" s="303">
        <v>2.2932349700000003</v>
      </c>
      <c r="D11" s="294">
        <v>3.2448469900000001</v>
      </c>
      <c r="E11" s="294">
        <v>9.5450158599999995</v>
      </c>
      <c r="F11" s="294">
        <v>3.9904864500000001</v>
      </c>
      <c r="G11" s="294" t="s">
        <v>26</v>
      </c>
      <c r="H11" s="294" t="s">
        <v>26</v>
      </c>
      <c r="I11" s="294">
        <v>0.1732455</v>
      </c>
      <c r="J11" s="294" t="s">
        <v>26</v>
      </c>
      <c r="K11" s="295">
        <v>0.11024368</v>
      </c>
    </row>
    <row r="12" spans="1:11" ht="15.95" customHeight="1" x14ac:dyDescent="0.3">
      <c r="A12" s="293" t="s">
        <v>30</v>
      </c>
      <c r="B12" s="292">
        <v>0.13033400000000001</v>
      </c>
      <c r="C12" s="303">
        <v>0.08</v>
      </c>
      <c r="D12" s="294">
        <v>0</v>
      </c>
      <c r="E12" s="294">
        <v>1.2500000000000001E-2</v>
      </c>
      <c r="F12" s="294">
        <v>6.5199999999999998E-3</v>
      </c>
      <c r="G12" s="294" t="s">
        <v>26</v>
      </c>
      <c r="H12" s="294" t="s">
        <v>26</v>
      </c>
      <c r="I12" s="294">
        <v>0.03</v>
      </c>
      <c r="J12" s="294" t="s">
        <v>26</v>
      </c>
      <c r="K12" s="294" t="s">
        <v>26</v>
      </c>
    </row>
    <row r="13" spans="1:11" ht="15.95" customHeight="1" x14ac:dyDescent="0.3">
      <c r="A13" s="293" t="s">
        <v>31</v>
      </c>
      <c r="B13" s="292">
        <v>2.6626171100000007</v>
      </c>
      <c r="C13" s="303">
        <v>1.4709068000000001</v>
      </c>
      <c r="D13" s="294">
        <v>1.15808694</v>
      </c>
      <c r="E13" s="294">
        <v>2.166417E-2</v>
      </c>
      <c r="F13" s="294" t="s">
        <v>26</v>
      </c>
      <c r="G13" s="294" t="s">
        <v>26</v>
      </c>
      <c r="H13" s="294" t="s">
        <v>26</v>
      </c>
      <c r="I13" s="294" t="s">
        <v>26</v>
      </c>
      <c r="J13" s="294">
        <v>1.1959200000000001E-2</v>
      </c>
      <c r="K13" s="294" t="s">
        <v>26</v>
      </c>
    </row>
    <row r="14" spans="1:11" ht="15.95" customHeight="1" x14ac:dyDescent="0.3">
      <c r="A14" s="293" t="s">
        <v>32</v>
      </c>
      <c r="B14" s="292">
        <v>2.2456806399999998</v>
      </c>
      <c r="C14" s="303">
        <v>0.11483465</v>
      </c>
      <c r="D14" s="294">
        <v>0.41522185</v>
      </c>
      <c r="E14" s="294">
        <v>9.1244199999999998E-2</v>
      </c>
      <c r="F14" s="294">
        <v>1.6243799399999999</v>
      </c>
      <c r="G14" s="294" t="s">
        <v>26</v>
      </c>
      <c r="H14" s="294" t="s">
        <v>26</v>
      </c>
      <c r="I14" s="294" t="s">
        <v>26</v>
      </c>
      <c r="J14" s="294" t="s">
        <v>26</v>
      </c>
      <c r="K14" s="294" t="s">
        <v>26</v>
      </c>
    </row>
    <row r="15" spans="1:11" ht="15.95" customHeight="1" x14ac:dyDescent="0.3">
      <c r="A15" s="293" t="s">
        <v>33</v>
      </c>
      <c r="B15" s="292">
        <v>11.298365510000002</v>
      </c>
      <c r="C15" s="303">
        <v>0.74800677000000004</v>
      </c>
      <c r="D15" s="294">
        <v>7.6169217900000001</v>
      </c>
      <c r="E15" s="294">
        <v>2.9123726899999998</v>
      </c>
      <c r="F15" s="294">
        <v>1.364726E-2</v>
      </c>
      <c r="G15" s="294" t="s">
        <v>26</v>
      </c>
      <c r="H15" s="294" t="s">
        <v>26</v>
      </c>
      <c r="I15" s="294" t="s">
        <v>26</v>
      </c>
      <c r="J15" s="294" t="s">
        <v>26</v>
      </c>
      <c r="K15" s="295">
        <v>7.417E-3</v>
      </c>
    </row>
    <row r="16" spans="1:11" ht="15.95" customHeight="1" x14ac:dyDescent="0.3">
      <c r="A16" s="293" t="s">
        <v>34</v>
      </c>
      <c r="B16" s="292">
        <v>65.919272960000015</v>
      </c>
      <c r="C16" s="303">
        <v>3.32304982</v>
      </c>
      <c r="D16" s="294">
        <v>60.503494170000003</v>
      </c>
      <c r="E16" s="294">
        <v>1.0462780699999998</v>
      </c>
      <c r="F16" s="294">
        <v>1.0311069799999999</v>
      </c>
      <c r="G16" s="294" t="s">
        <v>26</v>
      </c>
      <c r="H16" s="294" t="s">
        <v>26</v>
      </c>
      <c r="I16" s="294" t="s">
        <v>26</v>
      </c>
      <c r="J16" s="294">
        <v>1.2076799999999999E-2</v>
      </c>
      <c r="K16" s="294" t="s">
        <v>26</v>
      </c>
    </row>
    <row r="17" spans="1:11" ht="15.95" customHeight="1" x14ac:dyDescent="0.3">
      <c r="A17" s="293" t="s">
        <v>35</v>
      </c>
      <c r="B17" s="292">
        <v>148.23545401999999</v>
      </c>
      <c r="C17" s="303">
        <v>26.270571010000001</v>
      </c>
      <c r="D17" s="294">
        <v>121.19957717</v>
      </c>
      <c r="E17" s="294" t="s">
        <v>26</v>
      </c>
      <c r="F17" s="294">
        <v>0.5451373100000001</v>
      </c>
      <c r="G17" s="294" t="s">
        <v>26</v>
      </c>
      <c r="H17" s="294" t="s">
        <v>26</v>
      </c>
      <c r="I17" s="294">
        <v>0.11111664</v>
      </c>
      <c r="J17" s="294" t="s">
        <v>26</v>
      </c>
      <c r="K17" s="295">
        <v>0.10905189</v>
      </c>
    </row>
    <row r="18" spans="1:11" ht="15.95" customHeight="1" x14ac:dyDescent="0.3">
      <c r="A18" s="293" t="s">
        <v>36</v>
      </c>
      <c r="B18" s="292">
        <v>93.29694683000001</v>
      </c>
      <c r="C18" s="303">
        <v>2.736587E-2</v>
      </c>
      <c r="D18" s="294">
        <v>91.635750979999997</v>
      </c>
      <c r="E18" s="294">
        <v>2.4465599999999997E-2</v>
      </c>
      <c r="F18" s="294">
        <v>1.51553268</v>
      </c>
      <c r="G18" s="294" t="s">
        <v>26</v>
      </c>
      <c r="H18" s="294" t="s">
        <v>26</v>
      </c>
      <c r="I18" s="294" t="s">
        <v>26</v>
      </c>
      <c r="J18" s="294">
        <v>8.5947700000000002E-2</v>
      </c>
      <c r="K18" s="295">
        <v>7.8840000000000004E-3</v>
      </c>
    </row>
    <row r="19" spans="1:11" ht="15.95" customHeight="1" x14ac:dyDescent="0.3">
      <c r="A19" s="293" t="s">
        <v>37</v>
      </c>
      <c r="B19" s="292">
        <v>27.536110449999995</v>
      </c>
      <c r="C19" s="303">
        <v>11.53505502</v>
      </c>
      <c r="D19" s="294">
        <v>15.418207689999999</v>
      </c>
      <c r="E19" s="294">
        <v>4.4676E-2</v>
      </c>
      <c r="F19" s="294">
        <v>0.53039574</v>
      </c>
      <c r="G19" s="294" t="s">
        <v>26</v>
      </c>
      <c r="H19" s="294" t="s">
        <v>26</v>
      </c>
      <c r="I19" s="294" t="s">
        <v>26</v>
      </c>
      <c r="J19" s="294" t="s">
        <v>26</v>
      </c>
      <c r="K19" s="295">
        <v>7.7759999999999999E-3</v>
      </c>
    </row>
    <row r="20" spans="1:11" ht="15.95" customHeight="1" x14ac:dyDescent="0.3">
      <c r="A20" s="293" t="s">
        <v>38</v>
      </c>
      <c r="B20" s="292">
        <v>88.817773229999972</v>
      </c>
      <c r="C20" s="303">
        <v>11.191820400000001</v>
      </c>
      <c r="D20" s="294">
        <v>74.12788445999999</v>
      </c>
      <c r="E20" s="294">
        <v>0.222556</v>
      </c>
      <c r="F20" s="294">
        <v>3.2063149700000002</v>
      </c>
      <c r="G20" s="294" t="s">
        <v>26</v>
      </c>
      <c r="H20" s="294" t="s">
        <v>26</v>
      </c>
      <c r="I20" s="294">
        <v>3.4923599999999999E-2</v>
      </c>
      <c r="J20" s="294">
        <v>1.3797E-2</v>
      </c>
      <c r="K20" s="295">
        <v>2.04768E-2</v>
      </c>
    </row>
    <row r="21" spans="1:11" ht="15.95" customHeight="1" x14ac:dyDescent="0.3">
      <c r="A21" s="293" t="s">
        <v>39</v>
      </c>
      <c r="B21" s="292">
        <v>24.60121672</v>
      </c>
      <c r="C21" s="303">
        <v>8.9715012699999992</v>
      </c>
      <c r="D21" s="294">
        <v>8.9921699799999999</v>
      </c>
      <c r="E21" s="294">
        <v>0.67257699999999998</v>
      </c>
      <c r="F21" s="294">
        <v>1.7699914299999999</v>
      </c>
      <c r="G21" s="294" t="s">
        <v>26</v>
      </c>
      <c r="H21" s="294" t="s">
        <v>26</v>
      </c>
      <c r="I21" s="294">
        <v>3.7868203599999997</v>
      </c>
      <c r="J21" s="294" t="s">
        <v>26</v>
      </c>
      <c r="K21" s="295">
        <v>0.40815667999999999</v>
      </c>
    </row>
    <row r="22" spans="1:11" ht="15.95" customHeight="1" x14ac:dyDescent="0.3">
      <c r="A22" s="293" t="s">
        <v>40</v>
      </c>
      <c r="B22" s="292">
        <v>139.83049215999998</v>
      </c>
      <c r="C22" s="303">
        <v>132.68094024999999</v>
      </c>
      <c r="D22" s="294">
        <v>4.9401825300000004</v>
      </c>
      <c r="E22" s="294">
        <v>1.8786000000000001E-2</v>
      </c>
      <c r="F22" s="294">
        <v>1.80671275</v>
      </c>
      <c r="G22" s="294" t="s">
        <v>26</v>
      </c>
      <c r="H22" s="294" t="s">
        <v>26</v>
      </c>
      <c r="I22" s="294">
        <v>0.22991084000000001</v>
      </c>
      <c r="J22" s="294" t="s">
        <v>26</v>
      </c>
      <c r="K22" s="295">
        <v>0.15395979000000001</v>
      </c>
    </row>
    <row r="23" spans="1:11" ht="15.95" customHeight="1" x14ac:dyDescent="0.3">
      <c r="A23" s="293" t="s">
        <v>41</v>
      </c>
      <c r="B23" s="292">
        <v>25.09033462</v>
      </c>
      <c r="C23" s="303">
        <v>8.949145660000001</v>
      </c>
      <c r="D23" s="294">
        <v>11.672098310000001</v>
      </c>
      <c r="E23" s="294">
        <v>0.90324300000000002</v>
      </c>
      <c r="F23" s="294">
        <v>3.5187054</v>
      </c>
      <c r="G23" s="294" t="s">
        <v>26</v>
      </c>
      <c r="H23" s="294" t="s">
        <v>26</v>
      </c>
      <c r="I23" s="294" t="s">
        <v>26</v>
      </c>
      <c r="J23" s="294">
        <v>5.2364500000000001E-3</v>
      </c>
      <c r="K23" s="295">
        <v>4.19058E-2</v>
      </c>
    </row>
    <row r="24" spans="1:11" ht="15.95" customHeight="1" x14ac:dyDescent="0.3">
      <c r="A24" s="293" t="s">
        <v>42</v>
      </c>
      <c r="B24" s="292">
        <v>23.06781625</v>
      </c>
      <c r="C24" s="303">
        <v>15.66115134</v>
      </c>
      <c r="D24" s="294">
        <v>5.2665491399999995</v>
      </c>
      <c r="E24" s="294" t="s">
        <v>26</v>
      </c>
      <c r="F24" s="294">
        <v>1.9371852000000001</v>
      </c>
      <c r="G24" s="294" t="s">
        <v>26</v>
      </c>
      <c r="H24" s="294" t="s">
        <v>26</v>
      </c>
      <c r="I24" s="294">
        <v>0.18780957000000001</v>
      </c>
      <c r="J24" s="294" t="s">
        <v>26</v>
      </c>
      <c r="K24" s="295">
        <v>1.5121000000000001E-2</v>
      </c>
    </row>
    <row r="25" spans="1:11" ht="15.95" customHeight="1" x14ac:dyDescent="0.3">
      <c r="A25" s="293" t="s">
        <v>43</v>
      </c>
      <c r="B25" s="292">
        <v>13.01159625</v>
      </c>
      <c r="C25" s="303">
        <v>0.66084951999999997</v>
      </c>
      <c r="D25" s="294">
        <v>9.7666389700000007</v>
      </c>
      <c r="E25" s="294" t="s">
        <v>26</v>
      </c>
      <c r="F25" s="294">
        <v>2.5605411600000001</v>
      </c>
      <c r="G25" s="294" t="s">
        <v>26</v>
      </c>
      <c r="H25" s="294" t="s">
        <v>26</v>
      </c>
      <c r="I25" s="294">
        <v>1.3825E-2</v>
      </c>
      <c r="J25" s="294" t="s">
        <v>26</v>
      </c>
      <c r="K25" s="295">
        <v>9.7415999999999996E-3</v>
      </c>
    </row>
    <row r="26" spans="1:11" ht="15.95" customHeight="1" x14ac:dyDescent="0.3">
      <c r="A26" s="293" t="s">
        <v>44</v>
      </c>
      <c r="B26" s="292">
        <v>34.043010639999999</v>
      </c>
      <c r="C26" s="303">
        <v>3.5820134300000004</v>
      </c>
      <c r="D26" s="294">
        <v>30.215315829999998</v>
      </c>
      <c r="E26" s="294" t="s">
        <v>26</v>
      </c>
      <c r="F26" s="294">
        <v>0.24547537999999999</v>
      </c>
      <c r="G26" s="294" t="s">
        <v>26</v>
      </c>
      <c r="H26" s="294" t="s">
        <v>26</v>
      </c>
      <c r="I26" s="294" t="s">
        <v>26</v>
      </c>
      <c r="J26" s="294" t="s">
        <v>26</v>
      </c>
      <c r="K26" s="294" t="s">
        <v>26</v>
      </c>
    </row>
    <row r="27" spans="1:11" ht="15.95" customHeight="1" x14ac:dyDescent="0.3">
      <c r="A27" s="293" t="s">
        <v>45</v>
      </c>
      <c r="B27" s="292">
        <v>6.9830100000000006E-2</v>
      </c>
      <c r="C27" s="294" t="s">
        <v>26</v>
      </c>
      <c r="D27" s="294" t="s">
        <v>26</v>
      </c>
      <c r="E27" s="294">
        <v>6.9724100000000011E-2</v>
      </c>
      <c r="F27" s="294" t="s">
        <v>26</v>
      </c>
      <c r="G27" s="294" t="s">
        <v>26</v>
      </c>
      <c r="H27" s="294" t="s">
        <v>26</v>
      </c>
      <c r="I27" s="294" t="s">
        <v>26</v>
      </c>
      <c r="J27" s="294" t="s">
        <v>26</v>
      </c>
      <c r="K27" s="294" t="s">
        <v>26</v>
      </c>
    </row>
    <row r="28" spans="1:11" ht="15.95" customHeight="1" x14ac:dyDescent="0.3">
      <c r="A28" s="293" t="s">
        <v>46</v>
      </c>
      <c r="B28" s="292">
        <v>37.719952989999996</v>
      </c>
      <c r="C28" s="303">
        <v>16.215760509999999</v>
      </c>
      <c r="D28" s="294">
        <v>18.336585399999997</v>
      </c>
      <c r="E28" s="294">
        <v>3.3242399999999998E-2</v>
      </c>
      <c r="F28" s="294">
        <v>3.1118390800000002</v>
      </c>
      <c r="G28" s="294">
        <v>2.0036599999999998E-2</v>
      </c>
      <c r="H28" s="294" t="s">
        <v>26</v>
      </c>
      <c r="I28" s="294" t="s">
        <v>26</v>
      </c>
      <c r="J28" s="294" t="s">
        <v>26</v>
      </c>
      <c r="K28" s="294" t="s">
        <v>26</v>
      </c>
    </row>
    <row r="29" spans="1:11" ht="15.95" customHeight="1" x14ac:dyDescent="0.3">
      <c r="A29" s="293" t="s">
        <v>47</v>
      </c>
      <c r="B29" s="292">
        <v>32.297916560000004</v>
      </c>
      <c r="C29" s="303">
        <v>3.8802219999999998</v>
      </c>
      <c r="D29" s="294">
        <v>24.717372960000002</v>
      </c>
      <c r="E29" s="294" t="s">
        <v>26</v>
      </c>
      <c r="F29" s="294">
        <v>2.9235150000000001</v>
      </c>
      <c r="G29" s="294" t="s">
        <v>26</v>
      </c>
      <c r="H29" s="294" t="s">
        <v>26</v>
      </c>
      <c r="I29" s="294">
        <v>0.124545</v>
      </c>
      <c r="J29" s="294" t="s">
        <v>26</v>
      </c>
      <c r="K29" s="295">
        <v>0.65170159999999999</v>
      </c>
    </row>
    <row r="30" spans="1:11" ht="15.95" customHeight="1" x14ac:dyDescent="0.3">
      <c r="A30" s="293" t="s">
        <v>48</v>
      </c>
      <c r="B30" s="292">
        <v>100.70475483</v>
      </c>
      <c r="C30" s="303">
        <v>2.4851999999999999E-2</v>
      </c>
      <c r="D30" s="294">
        <v>99.296186730000002</v>
      </c>
      <c r="E30" s="294" t="s">
        <v>26</v>
      </c>
      <c r="F30" s="294">
        <v>1.3837161</v>
      </c>
      <c r="G30" s="294" t="s">
        <v>26</v>
      </c>
      <c r="H30" s="294" t="s">
        <v>26</v>
      </c>
      <c r="I30" s="294" t="s">
        <v>26</v>
      </c>
      <c r="J30" s="294" t="s">
        <v>26</v>
      </c>
      <c r="K30" s="294" t="s">
        <v>26</v>
      </c>
    </row>
    <row r="31" spans="1:11" ht="15.95" customHeight="1" x14ac:dyDescent="0.3">
      <c r="A31" s="293" t="s">
        <v>49</v>
      </c>
      <c r="B31" s="292">
        <v>23.584058150000001</v>
      </c>
      <c r="C31" s="303">
        <v>9.93082888</v>
      </c>
      <c r="D31" s="294">
        <v>12.49272534</v>
      </c>
      <c r="E31" s="294">
        <v>9.5664899999999997E-2</v>
      </c>
      <c r="F31" s="294">
        <v>1.04349903</v>
      </c>
      <c r="G31" s="294" t="s">
        <v>26</v>
      </c>
      <c r="H31" s="294">
        <v>1.7468000000000001E-2</v>
      </c>
      <c r="I31" s="294" t="s">
        <v>26</v>
      </c>
      <c r="J31" s="294" t="s">
        <v>26</v>
      </c>
      <c r="K31" s="294" t="s">
        <v>26</v>
      </c>
    </row>
    <row r="32" spans="1:11" ht="15.95" customHeight="1" x14ac:dyDescent="0.3">
      <c r="A32" s="293" t="s">
        <v>50</v>
      </c>
      <c r="B32" s="292">
        <v>6.6672531499999996</v>
      </c>
      <c r="C32" s="303">
        <v>1.6816742</v>
      </c>
      <c r="D32" s="294">
        <v>4.9855789499999998</v>
      </c>
      <c r="E32" s="294" t="s">
        <v>26</v>
      </c>
      <c r="F32" s="294" t="s">
        <v>26</v>
      </c>
      <c r="G32" s="294" t="s">
        <v>26</v>
      </c>
      <c r="H32" s="294" t="s">
        <v>26</v>
      </c>
      <c r="I32" s="294" t="s">
        <v>26</v>
      </c>
      <c r="J32" s="294" t="s">
        <v>26</v>
      </c>
      <c r="K32" s="294" t="s">
        <v>26</v>
      </c>
    </row>
    <row r="33" spans="1:11" ht="15.95" customHeight="1" x14ac:dyDescent="0.3">
      <c r="A33" s="293" t="s">
        <v>51</v>
      </c>
      <c r="B33" s="292">
        <v>24.138963149999999</v>
      </c>
      <c r="C33" s="303">
        <v>15.95481594</v>
      </c>
      <c r="D33" s="294">
        <v>6.0581676199999999</v>
      </c>
      <c r="E33" s="294" t="s">
        <v>26</v>
      </c>
      <c r="F33" s="294">
        <v>1.15440159</v>
      </c>
      <c r="G33" s="294" t="s">
        <v>26</v>
      </c>
      <c r="H33" s="294">
        <v>0.352184</v>
      </c>
      <c r="I33" s="294">
        <v>2.1964000000000001E-2</v>
      </c>
      <c r="J33" s="294">
        <v>9.1895000000000004E-2</v>
      </c>
      <c r="K33" s="295">
        <v>0.50553499999999996</v>
      </c>
    </row>
    <row r="34" spans="1:11" ht="15.95" customHeight="1" x14ac:dyDescent="0.3">
      <c r="A34" s="293" t="s">
        <v>52</v>
      </c>
      <c r="B34" s="292">
        <v>125.01620301</v>
      </c>
      <c r="C34" s="303">
        <v>2.5448846499999997</v>
      </c>
      <c r="D34" s="294">
        <v>120.39255576000001</v>
      </c>
      <c r="E34" s="294" t="s">
        <v>26</v>
      </c>
      <c r="F34" s="294">
        <v>2.0473466</v>
      </c>
      <c r="G34" s="294" t="s">
        <v>26</v>
      </c>
      <c r="H34" s="294" t="s">
        <v>26</v>
      </c>
      <c r="I34" s="294">
        <v>1.5767E-2</v>
      </c>
      <c r="J34" s="294" t="s">
        <v>26</v>
      </c>
      <c r="K34" s="295">
        <v>1.5649E-2</v>
      </c>
    </row>
    <row r="35" spans="1:11" ht="15.95" customHeight="1" x14ac:dyDescent="0.3">
      <c r="A35" s="293" t="s">
        <v>53</v>
      </c>
      <c r="B35" s="292">
        <v>59.639392000000001</v>
      </c>
      <c r="C35" s="303">
        <v>33.434155500000003</v>
      </c>
      <c r="D35" s="294">
        <v>24.959787640000002</v>
      </c>
      <c r="E35" s="294" t="s">
        <v>26</v>
      </c>
      <c r="F35" s="294">
        <v>0.78737586000000004</v>
      </c>
      <c r="G35" s="294" t="s">
        <v>26</v>
      </c>
      <c r="H35" s="294" t="s">
        <v>26</v>
      </c>
      <c r="I35" s="294">
        <v>6.3872999999999999E-2</v>
      </c>
      <c r="J35" s="294" t="s">
        <v>26</v>
      </c>
      <c r="K35" s="295">
        <v>0.39419999999999999</v>
      </c>
    </row>
    <row r="36" spans="1:11" ht="15.95" customHeight="1" x14ac:dyDescent="0.3">
      <c r="A36" s="296" t="s">
        <v>54</v>
      </c>
      <c r="B36" s="292">
        <v>88.418677770000002</v>
      </c>
      <c r="C36" s="303">
        <v>3.9622916400000001</v>
      </c>
      <c r="D36" s="294">
        <v>84.368507129999998</v>
      </c>
      <c r="E36" s="294" t="s">
        <v>26</v>
      </c>
      <c r="F36" s="294">
        <v>8.5907999999999998E-2</v>
      </c>
      <c r="G36" s="294" t="s">
        <v>26</v>
      </c>
      <c r="H36" s="294" t="s">
        <v>26</v>
      </c>
      <c r="I36" s="294" t="s">
        <v>26</v>
      </c>
      <c r="J36" s="294" t="s">
        <v>26</v>
      </c>
      <c r="K36" s="294" t="s">
        <v>26</v>
      </c>
    </row>
    <row r="37" spans="1:11" ht="15.95" customHeight="1" x14ac:dyDescent="0.3">
      <c r="A37" s="293" t="s">
        <v>55</v>
      </c>
      <c r="B37" s="292">
        <v>1.6696584099999998</v>
      </c>
      <c r="C37" s="303">
        <v>0.51475397000000001</v>
      </c>
      <c r="D37" s="294">
        <v>0.92920000000000003</v>
      </c>
      <c r="E37" s="294" t="s">
        <v>26</v>
      </c>
      <c r="F37" s="294">
        <v>0.22570444000000001</v>
      </c>
      <c r="G37" s="294" t="s">
        <v>26</v>
      </c>
      <c r="H37" s="294" t="s">
        <v>26</v>
      </c>
      <c r="I37" s="294" t="s">
        <v>26</v>
      </c>
      <c r="J37" s="294" t="s">
        <v>26</v>
      </c>
      <c r="K37" s="294" t="s">
        <v>26</v>
      </c>
    </row>
    <row r="38" spans="1:11" s="128" customFormat="1" ht="15.95" customHeight="1" x14ac:dyDescent="0.3">
      <c r="A38" s="293" t="s">
        <v>56</v>
      </c>
      <c r="B38" s="292">
        <v>0.85052781999999993</v>
      </c>
      <c r="C38" s="303">
        <v>0.40262948999999998</v>
      </c>
      <c r="D38" s="294">
        <v>0.14303199999999999</v>
      </c>
      <c r="E38" s="294" t="s">
        <v>26</v>
      </c>
      <c r="F38" s="294">
        <v>0.28910132999999999</v>
      </c>
      <c r="G38" s="294" t="s">
        <v>26</v>
      </c>
      <c r="H38" s="294" t="s">
        <v>26</v>
      </c>
      <c r="I38" s="294">
        <v>1.1823E-2</v>
      </c>
      <c r="J38" s="294" t="s">
        <v>26</v>
      </c>
      <c r="K38" s="294" t="s">
        <v>26</v>
      </c>
    </row>
    <row r="39" spans="1:11" ht="15.95" customHeight="1" x14ac:dyDescent="0.3">
      <c r="A39" s="297" t="s">
        <v>57</v>
      </c>
      <c r="B39" s="298">
        <v>26.118156320000001</v>
      </c>
      <c r="C39" s="299">
        <v>6.875381</v>
      </c>
      <c r="D39" s="300">
        <v>13.89246412</v>
      </c>
      <c r="E39" s="300" t="s">
        <v>26</v>
      </c>
      <c r="F39" s="300">
        <v>0.1679012</v>
      </c>
      <c r="G39" s="300">
        <v>5.1608299999999998</v>
      </c>
      <c r="H39" s="300" t="s">
        <v>26</v>
      </c>
      <c r="I39" s="300" t="s">
        <v>26</v>
      </c>
      <c r="J39" s="300">
        <v>1.3065E-2</v>
      </c>
      <c r="K39" s="301">
        <v>8.515E-3</v>
      </c>
    </row>
    <row r="40" spans="1:11" s="218" customFormat="1" ht="12" customHeight="1" x14ac:dyDescent="0.25">
      <c r="A40" s="129"/>
      <c r="B40" s="130"/>
      <c r="C40" s="131"/>
      <c r="D40" s="132"/>
      <c r="E40" s="132"/>
      <c r="F40" s="132"/>
      <c r="G40" s="132"/>
      <c r="H40" s="132"/>
      <c r="I40" s="132"/>
      <c r="J40" s="132"/>
      <c r="K40" s="133" t="s">
        <v>58</v>
      </c>
    </row>
    <row r="41" spans="1:11" s="226" customFormat="1" ht="12.75" customHeight="1" x14ac:dyDescent="0.3">
      <c r="A41" s="637" t="s">
        <v>424</v>
      </c>
      <c r="B41" s="637"/>
      <c r="C41" s="637"/>
      <c r="D41" s="637"/>
      <c r="E41" s="637"/>
      <c r="F41" s="637"/>
      <c r="G41" s="637"/>
      <c r="H41" s="637"/>
      <c r="I41" s="637"/>
      <c r="J41" s="637"/>
      <c r="K41" s="637"/>
    </row>
    <row r="42" spans="1:11" s="226" customFormat="1" ht="12.75" customHeight="1" x14ac:dyDescent="0.3">
      <c r="A42" s="638" t="s">
        <v>367</v>
      </c>
      <c r="B42" s="638"/>
      <c r="C42" s="638"/>
      <c r="D42" s="638"/>
      <c r="E42" s="638"/>
      <c r="F42" s="638"/>
      <c r="G42" s="638"/>
      <c r="H42" s="638"/>
      <c r="I42" s="638"/>
      <c r="J42" s="638"/>
      <c r="K42" s="638"/>
    </row>
    <row r="43" spans="1:11" ht="12.75" customHeight="1" x14ac:dyDescent="0.3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 spans="1:11" s="305" customFormat="1" ht="12" customHeight="1" x14ac:dyDescent="0.25">
      <c r="A44" s="304"/>
      <c r="B44" s="134"/>
      <c r="C44" s="135"/>
      <c r="D44" s="136"/>
      <c r="E44" s="136"/>
      <c r="F44" s="136"/>
      <c r="G44" s="136"/>
      <c r="H44" s="136"/>
      <c r="I44" s="136"/>
      <c r="J44" s="136"/>
      <c r="K44" s="241" t="s">
        <v>59</v>
      </c>
    </row>
    <row r="45" spans="1:11" ht="57.75" customHeight="1" x14ac:dyDescent="0.3">
      <c r="A45" s="286" t="s">
        <v>15</v>
      </c>
      <c r="B45" s="287" t="s">
        <v>3</v>
      </c>
      <c r="C45" s="287" t="s">
        <v>16</v>
      </c>
      <c r="D45" s="287" t="s">
        <v>17</v>
      </c>
      <c r="E45" s="287" t="s">
        <v>18</v>
      </c>
      <c r="F45" s="287" t="s">
        <v>19</v>
      </c>
      <c r="G45" s="287" t="s">
        <v>20</v>
      </c>
      <c r="H45" s="287" t="s">
        <v>21</v>
      </c>
      <c r="I45" s="287" t="s">
        <v>22</v>
      </c>
      <c r="J45" s="287" t="s">
        <v>23</v>
      </c>
      <c r="K45" s="287" t="s">
        <v>24</v>
      </c>
    </row>
    <row r="46" spans="1:11" ht="15.95" customHeight="1" x14ac:dyDescent="0.3">
      <c r="A46" s="306" t="s">
        <v>10</v>
      </c>
      <c r="B46" s="292">
        <v>84.271483719999992</v>
      </c>
      <c r="C46" s="307">
        <v>38.178043909999992</v>
      </c>
      <c r="D46" s="307">
        <v>0.95223497000000001</v>
      </c>
      <c r="E46" s="307">
        <v>36.779636110000006</v>
      </c>
      <c r="F46" s="307">
        <v>3.2570014400000002</v>
      </c>
      <c r="G46" s="307">
        <v>1.4544479799999999</v>
      </c>
      <c r="H46" s="307">
        <v>5.4066999999999997E-2</v>
      </c>
      <c r="I46" s="307">
        <v>0.17550865999999998</v>
      </c>
      <c r="J46" s="307">
        <v>8.3080719999999997E-2</v>
      </c>
      <c r="K46" s="307">
        <v>3.33746293</v>
      </c>
    </row>
    <row r="47" spans="1:11" ht="15.95" customHeight="1" x14ac:dyDescent="0.3">
      <c r="A47" s="293" t="s">
        <v>60</v>
      </c>
      <c r="B47" s="292">
        <v>9.155110000000001E-2</v>
      </c>
      <c r="C47" s="294">
        <v>5.9462620000000001E-2</v>
      </c>
      <c r="D47" s="294">
        <v>3.0931E-2</v>
      </c>
      <c r="E47" s="294" t="s">
        <v>26</v>
      </c>
      <c r="F47" s="294" t="s">
        <v>26</v>
      </c>
      <c r="G47" s="294" t="s">
        <v>26</v>
      </c>
      <c r="H47" s="294" t="s">
        <v>26</v>
      </c>
      <c r="I47" s="294" t="s">
        <v>26</v>
      </c>
      <c r="J47" s="294" t="s">
        <v>26</v>
      </c>
      <c r="K47" s="294" t="s">
        <v>26</v>
      </c>
    </row>
    <row r="48" spans="1:11" ht="15.95" customHeight="1" x14ac:dyDescent="0.3">
      <c r="A48" s="293" t="s">
        <v>61</v>
      </c>
      <c r="B48" s="292">
        <v>1.0446299999999999E-2</v>
      </c>
      <c r="C48" s="295">
        <v>1.0446299999999999E-2</v>
      </c>
      <c r="D48" s="294" t="s">
        <v>26</v>
      </c>
      <c r="E48" s="294" t="s">
        <v>26</v>
      </c>
      <c r="F48" s="294" t="s">
        <v>26</v>
      </c>
      <c r="G48" s="294" t="s">
        <v>26</v>
      </c>
      <c r="H48" s="294" t="s">
        <v>26</v>
      </c>
      <c r="I48" s="294" t="s">
        <v>26</v>
      </c>
      <c r="J48" s="294" t="s">
        <v>26</v>
      </c>
      <c r="K48" s="294" t="s">
        <v>26</v>
      </c>
    </row>
    <row r="49" spans="1:11" ht="15.95" customHeight="1" x14ac:dyDescent="0.3">
      <c r="A49" s="293" t="s">
        <v>62</v>
      </c>
      <c r="B49" s="292">
        <v>0.29578729999999998</v>
      </c>
      <c r="C49" s="295">
        <v>1.1668319999999999E-2</v>
      </c>
      <c r="D49" s="294" t="s">
        <v>26</v>
      </c>
      <c r="E49" s="295">
        <v>0.28411897999999997</v>
      </c>
      <c r="F49" s="294" t="s">
        <v>26</v>
      </c>
      <c r="G49" s="294" t="s">
        <v>26</v>
      </c>
      <c r="H49" s="294" t="s">
        <v>26</v>
      </c>
      <c r="I49" s="294" t="s">
        <v>26</v>
      </c>
      <c r="J49" s="294" t="s">
        <v>26</v>
      </c>
      <c r="K49" s="294" t="s">
        <v>26</v>
      </c>
    </row>
    <row r="50" spans="1:11" ht="15.95" customHeight="1" x14ac:dyDescent="0.3">
      <c r="A50" s="293" t="s">
        <v>63</v>
      </c>
      <c r="B50" s="292">
        <v>3.72005834</v>
      </c>
      <c r="C50" s="295">
        <v>0.30777363000000002</v>
      </c>
      <c r="D50" s="295">
        <v>5.5516999999999997E-3</v>
      </c>
      <c r="E50" s="295">
        <v>2.8632066300000001</v>
      </c>
      <c r="F50" s="295">
        <v>0.20274885999999998</v>
      </c>
      <c r="G50" s="294" t="s">
        <v>26</v>
      </c>
      <c r="H50" s="294" t="s">
        <v>26</v>
      </c>
      <c r="I50" s="294" t="s">
        <v>26</v>
      </c>
      <c r="J50" s="294" t="s">
        <v>26</v>
      </c>
      <c r="K50" s="295">
        <v>0.34077752</v>
      </c>
    </row>
    <row r="51" spans="1:11" ht="15.95" customHeight="1" x14ac:dyDescent="0.3">
      <c r="A51" s="293" t="s">
        <v>64</v>
      </c>
      <c r="B51" s="292">
        <v>0.29816988</v>
      </c>
      <c r="C51" s="295">
        <v>5.4241919999999999E-2</v>
      </c>
      <c r="D51" s="295">
        <v>6.9059300000000002E-3</v>
      </c>
      <c r="E51" s="295">
        <v>0.23702202999999999</v>
      </c>
      <c r="F51" s="294" t="s">
        <v>26</v>
      </c>
      <c r="G51" s="294" t="s">
        <v>26</v>
      </c>
      <c r="H51" s="294" t="s">
        <v>26</v>
      </c>
      <c r="I51" s="294" t="s">
        <v>26</v>
      </c>
      <c r="J51" s="294" t="s">
        <v>26</v>
      </c>
      <c r="K51" s="294" t="s">
        <v>26</v>
      </c>
    </row>
    <row r="52" spans="1:11" ht="15.95" customHeight="1" x14ac:dyDescent="0.3">
      <c r="A52" s="293" t="s">
        <v>65</v>
      </c>
      <c r="B52" s="292">
        <v>0.23075683</v>
      </c>
      <c r="C52" s="294" t="s">
        <v>26</v>
      </c>
      <c r="D52" s="294" t="s">
        <v>26</v>
      </c>
      <c r="E52" s="295">
        <v>0.23075683</v>
      </c>
      <c r="F52" s="294" t="s">
        <v>26</v>
      </c>
      <c r="G52" s="294" t="s">
        <v>26</v>
      </c>
      <c r="H52" s="294" t="s">
        <v>26</v>
      </c>
      <c r="I52" s="294" t="s">
        <v>26</v>
      </c>
      <c r="J52" s="294" t="s">
        <v>26</v>
      </c>
      <c r="K52" s="294" t="s">
        <v>26</v>
      </c>
    </row>
    <row r="53" spans="1:11" ht="15.95" customHeight="1" x14ac:dyDescent="0.3">
      <c r="A53" s="293" t="s">
        <v>66</v>
      </c>
      <c r="B53" s="292">
        <v>2.36407795</v>
      </c>
      <c r="C53" s="294" t="s">
        <v>26</v>
      </c>
      <c r="D53" s="294" t="s">
        <v>26</v>
      </c>
      <c r="E53" s="295">
        <v>2.36407795</v>
      </c>
      <c r="F53" s="294" t="s">
        <v>26</v>
      </c>
      <c r="G53" s="294" t="s">
        <v>26</v>
      </c>
      <c r="H53" s="294" t="s">
        <v>26</v>
      </c>
      <c r="I53" s="294" t="s">
        <v>26</v>
      </c>
      <c r="J53" s="294" t="s">
        <v>26</v>
      </c>
      <c r="K53" s="294" t="s">
        <v>26</v>
      </c>
    </row>
    <row r="54" spans="1:11" ht="15.95" customHeight="1" x14ac:dyDescent="0.3">
      <c r="A54" s="293" t="s">
        <v>67</v>
      </c>
      <c r="B54" s="292">
        <v>1.9361827999999999</v>
      </c>
      <c r="C54" s="295">
        <v>0.23015360000000001</v>
      </c>
      <c r="D54" s="295">
        <v>1.787567E-2</v>
      </c>
      <c r="E54" s="294" t="s">
        <v>26</v>
      </c>
      <c r="F54" s="295">
        <v>0.37106715000000001</v>
      </c>
      <c r="G54" s="295">
        <v>1.1667603999999998</v>
      </c>
      <c r="H54" s="294" t="s">
        <v>26</v>
      </c>
      <c r="I54" s="295">
        <v>3.0096700000000001E-2</v>
      </c>
      <c r="J54" s="294" t="s">
        <v>26</v>
      </c>
      <c r="K54" s="295">
        <v>0.12022927999999999</v>
      </c>
    </row>
    <row r="55" spans="1:11" ht="15.95" customHeight="1" x14ac:dyDescent="0.3">
      <c r="A55" s="293" t="s">
        <v>305</v>
      </c>
      <c r="B55" s="292">
        <v>2.0402150000000001E-2</v>
      </c>
      <c r="C55" s="295">
        <v>7.25327E-3</v>
      </c>
      <c r="D55" s="294" t="s">
        <v>26</v>
      </c>
      <c r="E55" s="294" t="s">
        <v>26</v>
      </c>
      <c r="F55" s="294" t="s">
        <v>26</v>
      </c>
      <c r="G55" s="294" t="s">
        <v>26</v>
      </c>
      <c r="H55" s="294" t="s">
        <v>26</v>
      </c>
      <c r="I55" s="294" t="s">
        <v>26</v>
      </c>
      <c r="J55" s="294" t="s">
        <v>26</v>
      </c>
      <c r="K55" s="295">
        <v>1.314888E-2</v>
      </c>
    </row>
    <row r="56" spans="1:11" ht="15.95" customHeight="1" x14ac:dyDescent="0.3">
      <c r="A56" s="293" t="s">
        <v>68</v>
      </c>
      <c r="B56" s="292">
        <v>0.82119976000000017</v>
      </c>
      <c r="C56" s="295">
        <v>8.990171000000001E-2</v>
      </c>
      <c r="D56" s="295">
        <v>0.62594411999999999</v>
      </c>
      <c r="E56" s="294" t="s">
        <v>26</v>
      </c>
      <c r="F56" s="295">
        <v>3.611839E-2</v>
      </c>
      <c r="G56" s="295">
        <v>4.7303999999999999E-2</v>
      </c>
      <c r="H56" s="294" t="s">
        <v>26</v>
      </c>
      <c r="I56" s="295">
        <v>5.6135000000000004E-3</v>
      </c>
      <c r="J56" s="294" t="s">
        <v>26</v>
      </c>
      <c r="K56" s="295">
        <v>1.4633440000000001E-2</v>
      </c>
    </row>
    <row r="57" spans="1:11" ht="15.95" customHeight="1" x14ac:dyDescent="0.3">
      <c r="A57" s="293" t="s">
        <v>69</v>
      </c>
      <c r="B57" s="292">
        <v>0.30574505000000002</v>
      </c>
      <c r="C57" s="295">
        <v>0.11611655</v>
      </c>
      <c r="D57" s="295">
        <v>2.4278049999999999E-2</v>
      </c>
      <c r="E57" s="294" t="s">
        <v>26</v>
      </c>
      <c r="F57" s="295">
        <v>0.14160942000000001</v>
      </c>
      <c r="G57" s="294" t="s">
        <v>26</v>
      </c>
      <c r="H57" s="294" t="s">
        <v>26</v>
      </c>
      <c r="I57" s="294" t="s">
        <v>26</v>
      </c>
      <c r="J57" s="294" t="s">
        <v>26</v>
      </c>
      <c r="K57" s="295">
        <v>2.3376029999999999E-2</v>
      </c>
    </row>
    <row r="58" spans="1:11" ht="15.95" customHeight="1" x14ac:dyDescent="0.3">
      <c r="A58" s="293" t="s">
        <v>70</v>
      </c>
      <c r="B58" s="292">
        <v>1.24477828</v>
      </c>
      <c r="C58" s="295">
        <v>9.4857070000000002E-2</v>
      </c>
      <c r="D58" s="294" t="s">
        <v>26</v>
      </c>
      <c r="E58" s="294" t="s">
        <v>26</v>
      </c>
      <c r="F58" s="295">
        <v>1.13137891</v>
      </c>
      <c r="G58" s="294" t="s">
        <v>26</v>
      </c>
      <c r="H58" s="294" t="s">
        <v>26</v>
      </c>
      <c r="I58" s="294" t="s">
        <v>26</v>
      </c>
      <c r="J58" s="294" t="s">
        <v>26</v>
      </c>
      <c r="K58" s="295">
        <v>1.8542299999999998E-2</v>
      </c>
    </row>
    <row r="59" spans="1:11" ht="15.95" customHeight="1" x14ac:dyDescent="0.3">
      <c r="A59" s="293" t="s">
        <v>71</v>
      </c>
      <c r="B59" s="292">
        <v>5.5852518299999998</v>
      </c>
      <c r="C59" s="295">
        <v>5.5330706900000006</v>
      </c>
      <c r="D59" s="294" t="s">
        <v>26</v>
      </c>
      <c r="E59" s="294" t="s">
        <v>26</v>
      </c>
      <c r="F59" s="294" t="s">
        <v>26</v>
      </c>
      <c r="G59" s="294" t="s">
        <v>26</v>
      </c>
      <c r="H59" s="294" t="s">
        <v>26</v>
      </c>
      <c r="I59" s="295">
        <v>2.9828500000000001E-2</v>
      </c>
      <c r="J59" s="294" t="s">
        <v>26</v>
      </c>
      <c r="K59" s="295">
        <v>2.0892640000000001E-2</v>
      </c>
    </row>
    <row r="60" spans="1:11" s="128" customFormat="1" ht="15.95" customHeight="1" x14ac:dyDescent="0.3">
      <c r="A60" s="293" t="s">
        <v>72</v>
      </c>
      <c r="B60" s="292">
        <v>0.54393787999999998</v>
      </c>
      <c r="C60" s="295">
        <v>0.45043919999999998</v>
      </c>
      <c r="D60" s="294" t="s">
        <v>26</v>
      </c>
      <c r="E60" s="294" t="s">
        <v>26</v>
      </c>
      <c r="F60" s="295">
        <v>5.9118E-3</v>
      </c>
      <c r="G60" s="294" t="s">
        <v>26</v>
      </c>
      <c r="H60" s="294" t="s">
        <v>26</v>
      </c>
      <c r="I60" s="294" t="s">
        <v>26</v>
      </c>
      <c r="J60" s="294" t="s">
        <v>26</v>
      </c>
      <c r="K60" s="295">
        <v>8.5938550000000002E-2</v>
      </c>
    </row>
    <row r="61" spans="1:11" ht="15.95" customHeight="1" x14ac:dyDescent="0.3">
      <c r="A61" s="293" t="s">
        <v>89</v>
      </c>
      <c r="B61" s="292">
        <v>1.7786614199999999</v>
      </c>
      <c r="C61" s="295">
        <v>0.93376331999999995</v>
      </c>
      <c r="D61" s="295">
        <v>3.9321750000000003E-2</v>
      </c>
      <c r="E61" s="294" t="s">
        <v>26</v>
      </c>
      <c r="F61" s="295">
        <v>0.49105073999999999</v>
      </c>
      <c r="G61" s="294" t="s">
        <v>26</v>
      </c>
      <c r="H61" s="294" t="s">
        <v>26</v>
      </c>
      <c r="I61" s="295">
        <v>7.0022000000000001E-2</v>
      </c>
      <c r="J61" s="294" t="s">
        <v>26</v>
      </c>
      <c r="K61" s="295">
        <v>0.24450360999999998</v>
      </c>
    </row>
    <row r="62" spans="1:11" ht="15.95" customHeight="1" x14ac:dyDescent="0.3">
      <c r="A62" s="293" t="s">
        <v>73</v>
      </c>
      <c r="B62" s="292">
        <v>2.7972E-2</v>
      </c>
      <c r="C62" s="294" t="s">
        <v>26</v>
      </c>
      <c r="D62" s="295">
        <v>2.7972E-2</v>
      </c>
      <c r="E62" s="294" t="s">
        <v>26</v>
      </c>
      <c r="F62" s="294" t="s">
        <v>26</v>
      </c>
      <c r="G62" s="294" t="s">
        <v>26</v>
      </c>
      <c r="H62" s="294" t="s">
        <v>26</v>
      </c>
      <c r="I62" s="294" t="s">
        <v>26</v>
      </c>
      <c r="J62" s="294" t="s">
        <v>26</v>
      </c>
      <c r="K62" s="294" t="s">
        <v>26</v>
      </c>
    </row>
    <row r="63" spans="1:11" ht="15.95" customHeight="1" x14ac:dyDescent="0.3">
      <c r="A63" s="293" t="s">
        <v>74</v>
      </c>
      <c r="B63" s="292">
        <v>0.17509939999999999</v>
      </c>
      <c r="C63" s="294" t="s">
        <v>26</v>
      </c>
      <c r="D63" s="295">
        <v>1.9709999999999998E-2</v>
      </c>
      <c r="E63" s="294" t="s">
        <v>26</v>
      </c>
      <c r="F63" s="295">
        <v>0.12592999999999999</v>
      </c>
      <c r="G63" s="294" t="s">
        <v>26</v>
      </c>
      <c r="H63" s="294" t="s">
        <v>26</v>
      </c>
      <c r="I63" s="295">
        <v>2.94594E-2</v>
      </c>
      <c r="J63" s="294" t="s">
        <v>26</v>
      </c>
      <c r="K63" s="294" t="s">
        <v>26</v>
      </c>
    </row>
    <row r="64" spans="1:11" ht="15.95" customHeight="1" x14ac:dyDescent="0.3">
      <c r="A64" s="293" t="s">
        <v>75</v>
      </c>
      <c r="B64" s="292">
        <v>0.27837708</v>
      </c>
      <c r="C64" s="295">
        <v>0.27537708</v>
      </c>
      <c r="D64" s="294" t="s">
        <v>26</v>
      </c>
      <c r="E64" s="294" t="s">
        <v>26</v>
      </c>
      <c r="F64" s="294" t="s">
        <v>26</v>
      </c>
      <c r="G64" s="294" t="s">
        <v>26</v>
      </c>
      <c r="H64" s="294" t="s">
        <v>26</v>
      </c>
      <c r="I64" s="294" t="s">
        <v>26</v>
      </c>
      <c r="J64" s="294" t="s">
        <v>26</v>
      </c>
      <c r="K64" s="294" t="s">
        <v>26</v>
      </c>
    </row>
    <row r="65" spans="1:11" ht="15.95" customHeight="1" x14ac:dyDescent="0.3">
      <c r="A65" s="293" t="s">
        <v>77</v>
      </c>
      <c r="B65" s="292">
        <v>28.98949322</v>
      </c>
      <c r="C65" s="295">
        <v>13.600292919999999</v>
      </c>
      <c r="D65" s="295">
        <v>9.7372600000000004E-2</v>
      </c>
      <c r="E65" s="295">
        <v>14.933529999999999</v>
      </c>
      <c r="F65" s="295">
        <v>0.34745634000000003</v>
      </c>
      <c r="G65" s="294" t="s">
        <v>26</v>
      </c>
      <c r="H65" s="294" t="s">
        <v>26</v>
      </c>
      <c r="I65" s="295">
        <v>8.4195599999999995E-3</v>
      </c>
      <c r="J65" s="294" t="s">
        <v>26</v>
      </c>
      <c r="K65" s="294" t="s">
        <v>26</v>
      </c>
    </row>
    <row r="66" spans="1:11" ht="15.95" customHeight="1" x14ac:dyDescent="0.3">
      <c r="A66" s="293" t="s">
        <v>78</v>
      </c>
      <c r="B66" s="292">
        <v>2.0366392100000001</v>
      </c>
      <c r="C66" s="294" t="s">
        <v>26</v>
      </c>
      <c r="D66" s="294" t="s">
        <v>26</v>
      </c>
      <c r="E66" s="295">
        <v>2.0366392100000001</v>
      </c>
      <c r="F66" s="294" t="s">
        <v>26</v>
      </c>
      <c r="G66" s="294" t="s">
        <v>26</v>
      </c>
      <c r="H66" s="294" t="s">
        <v>26</v>
      </c>
      <c r="I66" s="294" t="s">
        <v>26</v>
      </c>
      <c r="J66" s="294" t="s">
        <v>26</v>
      </c>
      <c r="K66" s="294" t="s">
        <v>26</v>
      </c>
    </row>
    <row r="67" spans="1:11" ht="15.95" customHeight="1" x14ac:dyDescent="0.3">
      <c r="A67" s="293" t="s">
        <v>79</v>
      </c>
      <c r="B67" s="292">
        <v>14.542134920000001</v>
      </c>
      <c r="C67" s="294" t="s">
        <v>26</v>
      </c>
      <c r="D67" s="294" t="s">
        <v>26</v>
      </c>
      <c r="E67" s="295">
        <v>12.63442292</v>
      </c>
      <c r="F67" s="294" t="s">
        <v>26</v>
      </c>
      <c r="G67" s="294" t="s">
        <v>26</v>
      </c>
      <c r="H67" s="294" t="s">
        <v>26</v>
      </c>
      <c r="I67" s="294" t="s">
        <v>26</v>
      </c>
      <c r="J67" s="294" t="s">
        <v>26</v>
      </c>
      <c r="K67" s="295">
        <v>1.9077120000000001</v>
      </c>
    </row>
    <row r="68" spans="1:11" ht="15.95" customHeight="1" x14ac:dyDescent="0.3">
      <c r="A68" s="293" t="s">
        <v>80</v>
      </c>
      <c r="B68" s="292">
        <v>0.19726171000000001</v>
      </c>
      <c r="C68" s="295">
        <v>0.14319471</v>
      </c>
      <c r="D68" s="294" t="s">
        <v>26</v>
      </c>
      <c r="E68" s="294" t="s">
        <v>26</v>
      </c>
      <c r="F68" s="294" t="s">
        <v>26</v>
      </c>
      <c r="G68" s="294" t="s">
        <v>26</v>
      </c>
      <c r="H68" s="295">
        <v>5.4066999999999997E-2</v>
      </c>
      <c r="I68" s="294" t="s">
        <v>26</v>
      </c>
      <c r="J68" s="294" t="s">
        <v>26</v>
      </c>
      <c r="K68" s="294" t="s">
        <v>26</v>
      </c>
    </row>
    <row r="69" spans="1:11" ht="15.95" customHeight="1" x14ac:dyDescent="0.3">
      <c r="A69" s="293" t="s">
        <v>81</v>
      </c>
      <c r="B69" s="292">
        <v>15.145100900000001</v>
      </c>
      <c r="C69" s="295">
        <v>14.8446721</v>
      </c>
      <c r="D69" s="295">
        <v>3.0005199999999999E-2</v>
      </c>
      <c r="E69" s="294" t="s">
        <v>26</v>
      </c>
      <c r="F69" s="295">
        <v>1.871563E-2</v>
      </c>
      <c r="G69" s="294" t="s">
        <v>26</v>
      </c>
      <c r="H69" s="294" t="s">
        <v>26</v>
      </c>
      <c r="I69" s="294" t="s">
        <v>26</v>
      </c>
      <c r="J69" s="295">
        <v>8.2710119999999998E-2</v>
      </c>
      <c r="K69" s="295">
        <v>0.16729384999999999</v>
      </c>
    </row>
    <row r="70" spans="1:11" ht="15.95" customHeight="1" x14ac:dyDescent="0.3">
      <c r="A70" s="293" t="s">
        <v>82</v>
      </c>
      <c r="B70" s="292">
        <v>2.7997599000000006</v>
      </c>
      <c r="C70" s="295">
        <v>0.99463245</v>
      </c>
      <c r="D70" s="295">
        <v>2.636695E-2</v>
      </c>
      <c r="E70" s="295">
        <v>1.04265685</v>
      </c>
      <c r="F70" s="295">
        <v>0.37970277000000002</v>
      </c>
      <c r="G70" s="294" t="s">
        <v>26</v>
      </c>
      <c r="H70" s="294" t="s">
        <v>26</v>
      </c>
      <c r="I70" s="294" t="s">
        <v>26</v>
      </c>
      <c r="J70" s="294" t="s">
        <v>26</v>
      </c>
      <c r="K70" s="295">
        <v>0.35640088000000003</v>
      </c>
    </row>
    <row r="71" spans="1:11" ht="15.95" customHeight="1" x14ac:dyDescent="0.3">
      <c r="A71" s="293" t="s">
        <v>83</v>
      </c>
      <c r="B71" s="292">
        <v>0.83263851</v>
      </c>
      <c r="C71" s="295">
        <v>0.42072645000000003</v>
      </c>
      <c r="D71" s="294" t="s">
        <v>26</v>
      </c>
      <c r="E71" s="295">
        <v>0.15024238000000001</v>
      </c>
      <c r="F71" s="294" t="s">
        <v>26</v>
      </c>
      <c r="G71" s="295">
        <v>0.24038357999999999</v>
      </c>
      <c r="H71" s="294" t="s">
        <v>26</v>
      </c>
      <c r="I71" s="294" t="s">
        <v>26</v>
      </c>
      <c r="J71" s="294" t="s">
        <v>26</v>
      </c>
      <c r="K71" s="295">
        <v>2.1286099999999999E-2</v>
      </c>
    </row>
    <row r="72" spans="1:11" s="128" customFormat="1" ht="15.95" customHeight="1" x14ac:dyDescent="0.3">
      <c r="A72" s="306" t="s">
        <v>12</v>
      </c>
      <c r="B72" s="292">
        <v>11.548085669999999</v>
      </c>
      <c r="C72" s="308">
        <v>3.3174571799999999</v>
      </c>
      <c r="D72" s="308">
        <v>0.13955400000000001</v>
      </c>
      <c r="E72" s="308">
        <v>7.7736580000000002</v>
      </c>
      <c r="F72" s="308">
        <v>0.15624966000000001</v>
      </c>
      <c r="G72" s="308">
        <v>0.151475</v>
      </c>
      <c r="H72" s="308" t="s">
        <v>26</v>
      </c>
      <c r="I72" s="308">
        <v>6.8478300000000001E-3</v>
      </c>
      <c r="J72" s="308" t="s">
        <v>26</v>
      </c>
      <c r="K72" s="308" t="s">
        <v>26</v>
      </c>
    </row>
    <row r="73" spans="1:11" ht="15.95" customHeight="1" x14ac:dyDescent="0.3">
      <c r="A73" s="293" t="s">
        <v>84</v>
      </c>
      <c r="B73" s="292">
        <v>8.8888280000000002</v>
      </c>
      <c r="C73" s="295">
        <v>1.0551170000000001</v>
      </c>
      <c r="D73" s="295">
        <v>6.1806E-2</v>
      </c>
      <c r="E73" s="295">
        <v>7.7719050000000003</v>
      </c>
      <c r="F73" s="294" t="s">
        <v>26</v>
      </c>
      <c r="G73" s="294" t="s">
        <v>26</v>
      </c>
      <c r="H73" s="294" t="s">
        <v>26</v>
      </c>
      <c r="I73" s="294" t="s">
        <v>26</v>
      </c>
      <c r="J73" s="294" t="s">
        <v>26</v>
      </c>
      <c r="K73" s="294" t="s">
        <v>26</v>
      </c>
    </row>
    <row r="74" spans="1:11" ht="15.95" customHeight="1" x14ac:dyDescent="0.3">
      <c r="A74" s="293" t="s">
        <v>85</v>
      </c>
      <c r="B74" s="292">
        <v>3.4303E-2</v>
      </c>
      <c r="C74" s="295">
        <v>3.4303E-2</v>
      </c>
      <c r="D74" s="294" t="s">
        <v>26</v>
      </c>
      <c r="E74" s="294" t="s">
        <v>26</v>
      </c>
      <c r="F74" s="294" t="s">
        <v>26</v>
      </c>
      <c r="G74" s="294" t="s">
        <v>26</v>
      </c>
      <c r="H74" s="294" t="s">
        <v>26</v>
      </c>
      <c r="I74" s="294" t="s">
        <v>26</v>
      </c>
      <c r="J74" s="294" t="s">
        <v>26</v>
      </c>
      <c r="K74" s="294" t="s">
        <v>26</v>
      </c>
    </row>
    <row r="75" spans="1:11" ht="15.95" customHeight="1" x14ac:dyDescent="0.3">
      <c r="A75" s="293" t="s">
        <v>86</v>
      </c>
      <c r="B75" s="292">
        <v>1.00207114</v>
      </c>
      <c r="C75" s="295">
        <v>0.75897347999999998</v>
      </c>
      <c r="D75" s="295">
        <v>7.7747999999999998E-2</v>
      </c>
      <c r="E75" s="294" t="s">
        <v>26</v>
      </c>
      <c r="F75" s="295">
        <v>0.15624966000000001</v>
      </c>
      <c r="G75" s="294" t="s">
        <v>26</v>
      </c>
      <c r="H75" s="294" t="s">
        <v>26</v>
      </c>
      <c r="I75" s="295">
        <v>5.1370000000000001E-3</v>
      </c>
      <c r="J75" s="294" t="s">
        <v>26</v>
      </c>
      <c r="K75" s="294" t="s">
        <v>26</v>
      </c>
    </row>
    <row r="76" spans="1:11" ht="15.95" customHeight="1" x14ac:dyDescent="0.3">
      <c r="A76" s="297" t="s">
        <v>87</v>
      </c>
      <c r="B76" s="298">
        <v>1.62288353</v>
      </c>
      <c r="C76" s="301">
        <v>1.4690637</v>
      </c>
      <c r="D76" s="301" t="s">
        <v>26</v>
      </c>
      <c r="E76" s="301" t="s">
        <v>26</v>
      </c>
      <c r="F76" s="301" t="s">
        <v>26</v>
      </c>
      <c r="G76" s="301">
        <v>0.151475</v>
      </c>
      <c r="H76" s="301" t="s">
        <v>26</v>
      </c>
      <c r="I76" s="301" t="s">
        <v>26</v>
      </c>
      <c r="J76" s="301" t="s">
        <v>26</v>
      </c>
      <c r="K76" s="301" t="s">
        <v>26</v>
      </c>
    </row>
    <row r="77" spans="1:11" s="218" customFormat="1" ht="12" customHeight="1" x14ac:dyDescent="0.25">
      <c r="A77" s="218" t="s">
        <v>370</v>
      </c>
      <c r="B77" s="228"/>
      <c r="C77" s="228"/>
      <c r="D77" s="228"/>
      <c r="E77" s="228"/>
      <c r="F77" s="228"/>
      <c r="G77" s="228"/>
      <c r="H77" s="228"/>
      <c r="I77" s="228"/>
      <c r="J77" s="228"/>
      <c r="K77" s="228"/>
    </row>
    <row r="78" spans="1:11" s="218" customFormat="1" ht="12" customHeight="1" x14ac:dyDescent="0.25">
      <c r="A78" s="138" t="s">
        <v>88</v>
      </c>
    </row>
  </sheetData>
  <mergeCells count="4">
    <mergeCell ref="A41:K41"/>
    <mergeCell ref="A42:K42"/>
    <mergeCell ref="A1:K1"/>
    <mergeCell ref="A2:K2"/>
  </mergeCells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  <rowBreaks count="1" manualBreakCount="1">
    <brk id="76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69"/>
  <sheetViews>
    <sheetView showGridLines="0" zoomScaleNormal="100" workbookViewId="0">
      <selection activeCell="C3" sqref="C1:C1048576"/>
    </sheetView>
  </sheetViews>
  <sheetFormatPr baseColWidth="10" defaultColWidth="7.28515625" defaultRowHeight="12.75" customHeight="1" x14ac:dyDescent="0.3"/>
  <cols>
    <col min="1" max="1" width="32.140625" style="120" customWidth="1"/>
    <col min="2" max="2" width="18.7109375" style="120" customWidth="1"/>
    <col min="3" max="9" width="9.28515625" style="120" customWidth="1"/>
    <col min="10" max="10" width="7.28515625" style="120"/>
    <col min="11" max="12" width="8.85546875" style="120" bestFit="1" customWidth="1"/>
    <col min="13" max="16384" width="7.28515625" style="120"/>
  </cols>
  <sheetData>
    <row r="1" spans="1:12" ht="12.75" customHeight="1" x14ac:dyDescent="0.3">
      <c r="A1" s="641" t="s">
        <v>377</v>
      </c>
      <c r="B1" s="642"/>
      <c r="C1" s="642"/>
      <c r="D1" s="642"/>
      <c r="E1" s="642"/>
      <c r="F1" s="642"/>
      <c r="G1" s="642"/>
      <c r="H1" s="642"/>
      <c r="I1" s="642"/>
    </row>
    <row r="2" spans="1:12" ht="12.75" customHeight="1" x14ac:dyDescent="0.3">
      <c r="A2" s="643" t="s">
        <v>90</v>
      </c>
      <c r="B2" s="643"/>
      <c r="C2" s="643"/>
      <c r="D2" s="643"/>
      <c r="E2" s="643"/>
      <c r="F2" s="643"/>
      <c r="G2" s="643"/>
      <c r="H2" s="643"/>
      <c r="I2" s="643"/>
    </row>
    <row r="3" spans="1:12" ht="12.75" customHeight="1" x14ac:dyDescent="0.3">
      <c r="A3" s="180"/>
      <c r="B3" s="180"/>
      <c r="C3" s="181"/>
      <c r="D3" s="182"/>
      <c r="E3" s="181"/>
      <c r="F3" s="181"/>
      <c r="G3" s="181"/>
      <c r="H3" s="181"/>
      <c r="I3" s="181"/>
      <c r="L3" s="205"/>
    </row>
    <row r="4" spans="1:12" ht="25.5" customHeight="1" x14ac:dyDescent="0.3">
      <c r="A4" s="309" t="s">
        <v>91</v>
      </c>
      <c r="B4" s="310" t="s">
        <v>92</v>
      </c>
      <c r="C4" s="311">
        <v>2015</v>
      </c>
      <c r="D4" s="311">
        <v>2016</v>
      </c>
      <c r="E4" s="311">
        <v>2017</v>
      </c>
      <c r="F4" s="312">
        <v>2018</v>
      </c>
      <c r="G4" s="311">
        <v>2019</v>
      </c>
      <c r="H4" s="311">
        <v>2020</v>
      </c>
      <c r="I4" s="311" t="s">
        <v>378</v>
      </c>
    </row>
    <row r="5" spans="1:12" s="121" customFormat="1" ht="3" customHeight="1" x14ac:dyDescent="0.3">
      <c r="A5" s="313"/>
      <c r="B5" s="314"/>
      <c r="C5" s="315"/>
      <c r="D5" s="315"/>
      <c r="E5" s="315"/>
      <c r="F5" s="316"/>
      <c r="G5" s="315"/>
      <c r="H5" s="315"/>
      <c r="I5" s="315"/>
    </row>
    <row r="6" spans="1:12" ht="15.95" customHeight="1" x14ac:dyDescent="0.3">
      <c r="A6" s="317" t="s">
        <v>3</v>
      </c>
      <c r="B6" s="318"/>
      <c r="C6" s="319">
        <v>1421219</v>
      </c>
      <c r="D6" s="319">
        <v>1411027</v>
      </c>
      <c r="E6" s="319">
        <v>1406254</v>
      </c>
      <c r="F6" s="320">
        <v>1457968.5820450527</v>
      </c>
      <c r="G6" s="320">
        <v>1485461.7355599995</v>
      </c>
      <c r="H6" s="320">
        <v>1512413.697981057</v>
      </c>
      <c r="I6" s="320">
        <v>1510807.5338083417</v>
      </c>
    </row>
    <row r="7" spans="1:12" ht="32.1" customHeight="1" x14ac:dyDescent="0.3">
      <c r="A7" s="639" t="s">
        <v>93</v>
      </c>
      <c r="B7" s="640"/>
      <c r="C7" s="321"/>
      <c r="D7" s="321"/>
      <c r="E7" s="321"/>
      <c r="F7" s="321"/>
      <c r="G7" s="321"/>
      <c r="H7" s="321"/>
      <c r="I7" s="321"/>
      <c r="K7" s="205"/>
    </row>
    <row r="8" spans="1:12" ht="15.95" customHeight="1" x14ac:dyDescent="0.3">
      <c r="A8" s="322" t="s">
        <v>94</v>
      </c>
      <c r="B8" s="323" t="s">
        <v>95</v>
      </c>
      <c r="C8" s="205">
        <v>713459</v>
      </c>
      <c r="D8" s="205">
        <v>714745</v>
      </c>
      <c r="E8" s="205">
        <v>699010</v>
      </c>
      <c r="F8" s="205">
        <v>729326.49199999997</v>
      </c>
      <c r="G8" s="205">
        <v>748491.598</v>
      </c>
      <c r="H8" s="205">
        <v>757011.24199999997</v>
      </c>
      <c r="I8" s="205">
        <v>749719.87749999994</v>
      </c>
    </row>
    <row r="9" spans="1:12" s="122" customFormat="1" ht="32.1" customHeight="1" x14ac:dyDescent="0.3">
      <c r="A9" s="644" t="s">
        <v>368</v>
      </c>
      <c r="B9" s="645"/>
      <c r="C9" s="205"/>
      <c r="D9" s="205">
        <v>0</v>
      </c>
      <c r="E9" s="205">
        <v>0</v>
      </c>
      <c r="F9" s="205"/>
      <c r="G9" s="205"/>
      <c r="H9" s="205"/>
      <c r="I9" s="205"/>
    </row>
    <row r="10" spans="1:12" ht="15.95" customHeight="1" x14ac:dyDescent="0.3">
      <c r="A10" s="324" t="s">
        <v>97</v>
      </c>
      <c r="B10" s="325" t="s">
        <v>98</v>
      </c>
      <c r="C10" s="205">
        <v>12769</v>
      </c>
      <c r="D10" s="205">
        <v>13416</v>
      </c>
      <c r="E10" s="205">
        <v>13815</v>
      </c>
      <c r="F10" s="205">
        <v>14139.624820000001</v>
      </c>
      <c r="G10" s="205">
        <v>14167.534100000001</v>
      </c>
      <c r="H10" s="205">
        <v>16219.896093333331</v>
      </c>
      <c r="I10" s="205">
        <v>15600.558443124999</v>
      </c>
    </row>
    <row r="11" spans="1:12" ht="15.95" customHeight="1" x14ac:dyDescent="0.3">
      <c r="A11" s="324" t="s">
        <v>369</v>
      </c>
      <c r="B11" s="325" t="s">
        <v>35</v>
      </c>
      <c r="C11" s="205">
        <v>19365</v>
      </c>
      <c r="D11" s="205">
        <v>17950</v>
      </c>
      <c r="E11" s="205">
        <v>16959</v>
      </c>
      <c r="F11" s="205">
        <v>20086.892</v>
      </c>
      <c r="G11" s="205">
        <v>19268.473900000001</v>
      </c>
      <c r="H11" s="205">
        <v>20971.158660000001</v>
      </c>
      <c r="I11" s="205">
        <v>19769.033595000001</v>
      </c>
    </row>
    <row r="12" spans="1:12" ht="15.95" customHeight="1" x14ac:dyDescent="0.3">
      <c r="A12" s="324" t="s">
        <v>99</v>
      </c>
      <c r="B12" s="325" t="s">
        <v>100</v>
      </c>
      <c r="C12" s="205">
        <v>8087</v>
      </c>
      <c r="D12" s="205">
        <v>8284</v>
      </c>
      <c r="E12" s="205">
        <v>8122</v>
      </c>
      <c r="F12" s="205">
        <v>8223.9057799999991</v>
      </c>
      <c r="G12" s="205">
        <v>8309.8354099999997</v>
      </c>
      <c r="H12" s="205">
        <v>8228.5676300000014</v>
      </c>
      <c r="I12" s="205">
        <v>8054.0072700000001</v>
      </c>
    </row>
    <row r="13" spans="1:12" ht="15.95" customHeight="1" x14ac:dyDescent="0.3">
      <c r="A13" s="324" t="s">
        <v>101</v>
      </c>
      <c r="B13" s="325" t="s">
        <v>57</v>
      </c>
      <c r="C13" s="205">
        <v>19354</v>
      </c>
      <c r="D13" s="205">
        <v>19047</v>
      </c>
      <c r="E13" s="205">
        <v>18081</v>
      </c>
      <c r="F13" s="205">
        <v>18018.409110000001</v>
      </c>
      <c r="G13" s="205">
        <v>17691.164700000001</v>
      </c>
      <c r="H13" s="205">
        <v>18116.175583333334</v>
      </c>
      <c r="I13" s="205">
        <v>18339.952400000002</v>
      </c>
    </row>
    <row r="14" spans="1:12" ht="15.95" customHeight="1" x14ac:dyDescent="0.3">
      <c r="A14" s="324" t="s">
        <v>102</v>
      </c>
      <c r="B14" s="326" t="s">
        <v>103</v>
      </c>
      <c r="C14" s="205">
        <v>90042</v>
      </c>
      <c r="D14" s="205">
        <v>78023</v>
      </c>
      <c r="E14" s="205">
        <v>77662</v>
      </c>
      <c r="F14" s="205">
        <v>84100.965149999989</v>
      </c>
      <c r="G14" s="205">
        <v>81730.834600000002</v>
      </c>
      <c r="H14" s="205">
        <v>85705.134860000006</v>
      </c>
      <c r="I14" s="205">
        <v>90028.175843749996</v>
      </c>
    </row>
    <row r="15" spans="1:12" ht="15.95" customHeight="1" x14ac:dyDescent="0.3">
      <c r="A15" s="324" t="s">
        <v>104</v>
      </c>
      <c r="B15" s="326" t="s">
        <v>81</v>
      </c>
      <c r="C15" s="205">
        <v>20657</v>
      </c>
      <c r="D15" s="205">
        <v>21860</v>
      </c>
      <c r="E15" s="205">
        <v>23551</v>
      </c>
      <c r="F15" s="205">
        <v>23351.276819999999</v>
      </c>
      <c r="G15" s="205">
        <v>24145.282200000001</v>
      </c>
      <c r="H15" s="205">
        <v>24353.12283</v>
      </c>
      <c r="I15" s="205">
        <v>24304.112960000002</v>
      </c>
    </row>
    <row r="16" spans="1:12" ht="15.95" customHeight="1" x14ac:dyDescent="0.3">
      <c r="A16" s="324" t="s">
        <v>105</v>
      </c>
      <c r="B16" s="326" t="s">
        <v>106</v>
      </c>
      <c r="C16" s="205">
        <v>34307</v>
      </c>
      <c r="D16" s="205">
        <v>35807</v>
      </c>
      <c r="E16" s="205">
        <v>35437</v>
      </c>
      <c r="F16" s="205">
        <v>34507.998</v>
      </c>
      <c r="G16" s="205">
        <v>36477.614999999998</v>
      </c>
      <c r="H16" s="205">
        <v>37393.758000000002</v>
      </c>
      <c r="I16" s="205">
        <v>37288.148999999998</v>
      </c>
    </row>
    <row r="17" spans="1:9" ht="15.95" customHeight="1" x14ac:dyDescent="0.3">
      <c r="A17" s="324" t="s">
        <v>107</v>
      </c>
      <c r="B17" s="326" t="s">
        <v>108</v>
      </c>
      <c r="C17" s="205">
        <v>20223</v>
      </c>
      <c r="D17" s="205">
        <v>21760</v>
      </c>
      <c r="E17" s="205">
        <v>23773</v>
      </c>
      <c r="F17" s="205">
        <v>23941.89777</v>
      </c>
      <c r="G17" s="205">
        <v>22969.0039</v>
      </c>
      <c r="H17" s="205">
        <v>23055.055619999992</v>
      </c>
      <c r="I17" s="205">
        <v>23174.906348476561</v>
      </c>
    </row>
    <row r="18" spans="1:9" ht="15.95" customHeight="1" x14ac:dyDescent="0.3">
      <c r="A18" s="324" t="s">
        <v>109</v>
      </c>
      <c r="B18" s="326" t="s">
        <v>110</v>
      </c>
      <c r="C18" s="205">
        <v>17498</v>
      </c>
      <c r="D18" s="205">
        <v>18157</v>
      </c>
      <c r="E18" s="205">
        <v>17058</v>
      </c>
      <c r="F18" s="205">
        <v>17192.419999999998</v>
      </c>
      <c r="G18" s="205">
        <v>17597.797999999999</v>
      </c>
      <c r="H18" s="205">
        <v>17854.593666666668</v>
      </c>
      <c r="I18" s="205">
        <v>18212.803</v>
      </c>
    </row>
    <row r="19" spans="1:9" ht="15.95" customHeight="1" x14ac:dyDescent="0.3">
      <c r="A19" s="324" t="s">
        <v>111</v>
      </c>
      <c r="B19" s="326" t="s">
        <v>112</v>
      </c>
      <c r="C19" s="205">
        <v>53646</v>
      </c>
      <c r="D19" s="205">
        <v>52012</v>
      </c>
      <c r="E19" s="205">
        <v>52589</v>
      </c>
      <c r="F19" s="205">
        <v>55398.982694305552</v>
      </c>
      <c r="G19" s="205">
        <v>57768.558499999999</v>
      </c>
      <c r="H19" s="205">
        <v>57900.121427688435</v>
      </c>
      <c r="I19" s="205">
        <v>58252.824160760261</v>
      </c>
    </row>
    <row r="20" spans="1:9" ht="15.95" customHeight="1" x14ac:dyDescent="0.3">
      <c r="A20" s="324" t="s">
        <v>113</v>
      </c>
      <c r="B20" s="326" t="s">
        <v>114</v>
      </c>
      <c r="C20" s="205">
        <v>32251</v>
      </c>
      <c r="D20" s="205">
        <v>30981</v>
      </c>
      <c r="E20" s="205">
        <v>30264</v>
      </c>
      <c r="F20" s="205">
        <v>30912.096079999999</v>
      </c>
      <c r="G20" s="205">
        <v>30425.633699999998</v>
      </c>
      <c r="H20" s="205">
        <v>33673.302520000005</v>
      </c>
      <c r="I20" s="205">
        <v>32080.5457575</v>
      </c>
    </row>
    <row r="21" spans="1:9" ht="15.95" customHeight="1" x14ac:dyDescent="0.3">
      <c r="A21" s="324" t="s">
        <v>115</v>
      </c>
      <c r="B21" s="325" t="s">
        <v>116</v>
      </c>
      <c r="C21" s="205">
        <v>16349</v>
      </c>
      <c r="D21" s="205">
        <v>16319</v>
      </c>
      <c r="E21" s="205">
        <v>16867</v>
      </c>
      <c r="F21" s="205">
        <v>17472.07647</v>
      </c>
      <c r="G21" s="205">
        <v>19976.326000000001</v>
      </c>
      <c r="H21" s="205">
        <v>18986.469960000002</v>
      </c>
      <c r="I21" s="205">
        <v>20211.536578333333</v>
      </c>
    </row>
    <row r="22" spans="1:9" ht="15.95" customHeight="1" x14ac:dyDescent="0.3">
      <c r="A22" s="324" t="s">
        <v>117</v>
      </c>
      <c r="B22" s="326" t="s">
        <v>100</v>
      </c>
      <c r="C22" s="205">
        <v>10641</v>
      </c>
      <c r="D22" s="205">
        <v>10319</v>
      </c>
      <c r="E22" s="205">
        <v>10646</v>
      </c>
      <c r="F22" s="205">
        <v>10886.117</v>
      </c>
      <c r="G22" s="205">
        <v>11241.709000000001</v>
      </c>
      <c r="H22" s="205">
        <v>11281.1965</v>
      </c>
      <c r="I22" s="205">
        <v>11216.351875</v>
      </c>
    </row>
    <row r="23" spans="1:9" ht="15.95" customHeight="1" x14ac:dyDescent="0.3">
      <c r="A23" s="324" t="s">
        <v>118</v>
      </c>
      <c r="B23" s="325" t="s">
        <v>63</v>
      </c>
      <c r="C23" s="205">
        <v>8935</v>
      </c>
      <c r="D23" s="205">
        <v>9375</v>
      </c>
      <c r="E23" s="205">
        <v>9304</v>
      </c>
      <c r="F23" s="205">
        <v>9707.1309999999994</v>
      </c>
      <c r="G23" s="205">
        <v>10301.598</v>
      </c>
      <c r="H23" s="205">
        <v>9959.8590000000004</v>
      </c>
      <c r="I23" s="205">
        <v>10261.525</v>
      </c>
    </row>
    <row r="24" spans="1:9" ht="15.95" customHeight="1" x14ac:dyDescent="0.3">
      <c r="A24" s="324" t="s">
        <v>119</v>
      </c>
      <c r="B24" s="326" t="s">
        <v>120</v>
      </c>
      <c r="C24" s="205">
        <v>56014</v>
      </c>
      <c r="D24" s="205">
        <v>57143</v>
      </c>
      <c r="E24" s="205">
        <v>55169</v>
      </c>
      <c r="F24" s="205">
        <v>55511.697820000009</v>
      </c>
      <c r="G24" s="205">
        <v>56707.605300000003</v>
      </c>
      <c r="H24" s="205">
        <v>58115.722270000006</v>
      </c>
      <c r="I24" s="205">
        <v>58248.885634140635</v>
      </c>
    </row>
    <row r="25" spans="1:9" ht="15.95" customHeight="1" x14ac:dyDescent="0.3">
      <c r="A25" s="324" t="s">
        <v>121</v>
      </c>
      <c r="B25" s="326" t="s">
        <v>122</v>
      </c>
      <c r="C25" s="205">
        <v>28383</v>
      </c>
      <c r="D25" s="205">
        <v>30785</v>
      </c>
      <c r="E25" s="205">
        <v>32046</v>
      </c>
      <c r="F25" s="205">
        <v>31063.360439999997</v>
      </c>
      <c r="G25" s="205">
        <v>29173.917600000001</v>
      </c>
      <c r="H25" s="205">
        <v>30781.93994</v>
      </c>
      <c r="I25" s="205">
        <v>30802.921508349988</v>
      </c>
    </row>
    <row r="26" spans="1:9" ht="15.95" customHeight="1" x14ac:dyDescent="0.3">
      <c r="A26" s="324" t="s">
        <v>123</v>
      </c>
      <c r="B26" s="326" t="s">
        <v>124</v>
      </c>
      <c r="C26" s="205">
        <v>73861</v>
      </c>
      <c r="D26" s="205">
        <v>75398</v>
      </c>
      <c r="E26" s="205">
        <v>71724</v>
      </c>
      <c r="F26" s="205">
        <v>77382.590798333331</v>
      </c>
      <c r="G26" s="205">
        <v>80809.578200000004</v>
      </c>
      <c r="H26" s="205">
        <v>80648.346225253772</v>
      </c>
      <c r="I26" s="205">
        <v>84821.094666640638</v>
      </c>
    </row>
    <row r="27" spans="1:9" ht="15.95" customHeight="1" x14ac:dyDescent="0.3">
      <c r="A27" s="324" t="s">
        <v>125</v>
      </c>
      <c r="B27" s="326" t="s">
        <v>35</v>
      </c>
      <c r="C27" s="205">
        <v>13655</v>
      </c>
      <c r="D27" s="205">
        <v>11341</v>
      </c>
      <c r="E27" s="205">
        <v>14411</v>
      </c>
      <c r="F27" s="205">
        <v>14757.875970000001</v>
      </c>
      <c r="G27" s="205">
        <v>12432.2307</v>
      </c>
      <c r="H27" s="205">
        <v>13012.427282500003</v>
      </c>
      <c r="I27" s="205">
        <v>17085.9248978125</v>
      </c>
    </row>
    <row r="28" spans="1:9" ht="32.1" customHeight="1" x14ac:dyDescent="0.3">
      <c r="A28" s="639" t="s">
        <v>126</v>
      </c>
      <c r="B28" s="640"/>
      <c r="C28" s="205"/>
      <c r="D28" s="205">
        <v>0</v>
      </c>
      <c r="E28" s="205">
        <v>0</v>
      </c>
      <c r="F28" s="205"/>
      <c r="G28" s="205"/>
      <c r="H28" s="205"/>
      <c r="I28" s="205"/>
    </row>
    <row r="29" spans="1:9" ht="15.95" customHeight="1" x14ac:dyDescent="0.3">
      <c r="A29" s="324" t="s">
        <v>127</v>
      </c>
      <c r="B29" s="325" t="s">
        <v>128</v>
      </c>
      <c r="C29" s="205">
        <v>12085</v>
      </c>
      <c r="D29" s="205">
        <v>12612</v>
      </c>
      <c r="E29" s="205">
        <v>12701</v>
      </c>
      <c r="F29" s="205">
        <v>14067.17395</v>
      </c>
      <c r="G29" s="205">
        <v>13673.8717</v>
      </c>
      <c r="H29" s="205">
        <v>13918.859480000001</v>
      </c>
      <c r="I29" s="205">
        <v>13555.008359999998</v>
      </c>
    </row>
    <row r="30" spans="1:9" ht="15.95" customHeight="1" x14ac:dyDescent="0.3">
      <c r="A30" s="324" t="s">
        <v>129</v>
      </c>
      <c r="B30" s="325" t="s">
        <v>128</v>
      </c>
      <c r="C30" s="205">
        <v>7358</v>
      </c>
      <c r="D30" s="205">
        <v>7541</v>
      </c>
      <c r="E30" s="205">
        <v>8152</v>
      </c>
      <c r="F30" s="205">
        <v>7360.4850499999993</v>
      </c>
      <c r="G30" s="205">
        <v>8070.0724700000001</v>
      </c>
      <c r="H30" s="205">
        <v>8311.1244091249991</v>
      </c>
      <c r="I30" s="205">
        <v>8463.3506699999998</v>
      </c>
    </row>
    <row r="31" spans="1:9" ht="15.95" customHeight="1" x14ac:dyDescent="0.3">
      <c r="A31" s="324" t="s">
        <v>130</v>
      </c>
      <c r="B31" s="325" t="s">
        <v>128</v>
      </c>
      <c r="C31" s="205">
        <v>6888</v>
      </c>
      <c r="D31" s="205">
        <v>6656</v>
      </c>
      <c r="E31" s="205">
        <v>6647</v>
      </c>
      <c r="F31" s="205">
        <v>7484.165</v>
      </c>
      <c r="G31" s="205">
        <v>6355.0540000000001</v>
      </c>
      <c r="H31" s="205">
        <v>6287.2169999999996</v>
      </c>
      <c r="I31" s="205">
        <v>6160.152</v>
      </c>
    </row>
    <row r="32" spans="1:9" ht="15.95" customHeight="1" x14ac:dyDescent="0.3">
      <c r="A32" s="324" t="s">
        <v>131</v>
      </c>
      <c r="B32" s="325" t="s">
        <v>98</v>
      </c>
      <c r="C32" s="205">
        <v>3609</v>
      </c>
      <c r="D32" s="205">
        <v>3639</v>
      </c>
      <c r="E32" s="205">
        <v>3809</v>
      </c>
      <c r="F32" s="205">
        <v>3861.6217800000004</v>
      </c>
      <c r="G32" s="205">
        <v>3600.7113100000001</v>
      </c>
      <c r="H32" s="205">
        <v>3650.8712</v>
      </c>
      <c r="I32" s="205">
        <v>3502.1074299999996</v>
      </c>
    </row>
    <row r="33" spans="1:9" ht="15.95" customHeight="1" x14ac:dyDescent="0.3">
      <c r="A33" s="324" t="s">
        <v>132</v>
      </c>
      <c r="B33" s="325" t="s">
        <v>35</v>
      </c>
      <c r="C33" s="205">
        <v>6181</v>
      </c>
      <c r="D33" s="205">
        <v>6391</v>
      </c>
      <c r="E33" s="205">
        <v>8492</v>
      </c>
      <c r="F33" s="205">
        <v>7614.3360000000002</v>
      </c>
      <c r="G33" s="205">
        <v>8340.7960000000003</v>
      </c>
      <c r="H33" s="205">
        <v>8726.1596666666665</v>
      </c>
      <c r="I33" s="205">
        <v>7470.9579999999996</v>
      </c>
    </row>
    <row r="34" spans="1:9" ht="15.95" customHeight="1" x14ac:dyDescent="0.3">
      <c r="A34" s="324" t="s">
        <v>134</v>
      </c>
      <c r="B34" s="325" t="s">
        <v>135</v>
      </c>
      <c r="C34" s="205">
        <v>13684</v>
      </c>
      <c r="D34" s="205">
        <v>12014</v>
      </c>
      <c r="E34" s="205">
        <v>17658</v>
      </c>
      <c r="F34" s="205">
        <v>17488.9954</v>
      </c>
      <c r="G34" s="205">
        <v>17446.5913</v>
      </c>
      <c r="H34" s="205">
        <v>17129.895</v>
      </c>
      <c r="I34" s="205">
        <v>16444.758000000002</v>
      </c>
    </row>
    <row r="35" spans="1:9" ht="15.95" customHeight="1" x14ac:dyDescent="0.3">
      <c r="A35" s="324" t="s">
        <v>136</v>
      </c>
      <c r="B35" s="325" t="s">
        <v>137</v>
      </c>
      <c r="C35" s="205">
        <v>4972</v>
      </c>
      <c r="D35" s="205">
        <v>5285</v>
      </c>
      <c r="E35" s="205">
        <v>5380</v>
      </c>
      <c r="F35" s="205">
        <v>5520.0209999999997</v>
      </c>
      <c r="G35" s="205">
        <v>5774.81</v>
      </c>
      <c r="H35" s="205">
        <v>5761.1</v>
      </c>
      <c r="I35" s="205">
        <v>5494.553942708334</v>
      </c>
    </row>
    <row r="36" spans="1:9" ht="15.95" customHeight="1" x14ac:dyDescent="0.3">
      <c r="A36" s="324" t="s">
        <v>138</v>
      </c>
      <c r="B36" s="325" t="s">
        <v>81</v>
      </c>
      <c r="C36" s="205">
        <v>4407</v>
      </c>
      <c r="D36" s="205">
        <v>3564</v>
      </c>
      <c r="E36" s="205">
        <v>3945</v>
      </c>
      <c r="F36" s="205">
        <v>3918.3579999999993</v>
      </c>
      <c r="G36" s="205">
        <v>4073.5945999999999</v>
      </c>
      <c r="H36" s="205">
        <v>4247.2289000000001</v>
      </c>
      <c r="I36" s="205">
        <v>4161.3586999999998</v>
      </c>
    </row>
    <row r="37" spans="1:9" ht="15.95" customHeight="1" x14ac:dyDescent="0.3">
      <c r="A37" s="324" t="s">
        <v>139</v>
      </c>
      <c r="B37" s="327" t="s">
        <v>140</v>
      </c>
      <c r="C37" s="205">
        <v>5042</v>
      </c>
      <c r="D37" s="205">
        <v>4449</v>
      </c>
      <c r="E37" s="205">
        <v>4523</v>
      </c>
      <c r="F37" s="205">
        <v>4766.1769999999997</v>
      </c>
      <c r="G37" s="205">
        <v>4750.29</v>
      </c>
      <c r="H37" s="205">
        <v>4965.6959999999999</v>
      </c>
      <c r="I37" s="205">
        <v>4862.0509375000001</v>
      </c>
    </row>
    <row r="38" spans="1:9" ht="15.95" customHeight="1" x14ac:dyDescent="0.3">
      <c r="A38" s="324" t="s">
        <v>141</v>
      </c>
      <c r="B38" s="325" t="s">
        <v>114</v>
      </c>
      <c r="C38" s="205">
        <v>10198</v>
      </c>
      <c r="D38" s="205">
        <v>12837</v>
      </c>
      <c r="E38" s="205">
        <v>13658</v>
      </c>
      <c r="F38" s="205">
        <v>14788.44</v>
      </c>
      <c r="G38" s="205">
        <v>15388.124</v>
      </c>
      <c r="H38" s="205">
        <v>15749.584999999999</v>
      </c>
      <c r="I38" s="205">
        <v>15508.731046875</v>
      </c>
    </row>
    <row r="39" spans="1:9" ht="15.95" customHeight="1" x14ac:dyDescent="0.3">
      <c r="A39" s="324" t="s">
        <v>142</v>
      </c>
      <c r="B39" s="325" t="s">
        <v>27</v>
      </c>
      <c r="C39" s="205">
        <v>6617</v>
      </c>
      <c r="D39" s="205">
        <v>6948</v>
      </c>
      <c r="E39" s="205">
        <v>6819</v>
      </c>
      <c r="F39" s="205">
        <v>6984.2370000000001</v>
      </c>
      <c r="G39" s="205">
        <v>6245.2166699999998</v>
      </c>
      <c r="H39" s="205">
        <v>7845.5569999999998</v>
      </c>
      <c r="I39" s="205">
        <v>7427.100625</v>
      </c>
    </row>
    <row r="40" spans="1:9" ht="15.95" customHeight="1" x14ac:dyDescent="0.3">
      <c r="A40" s="324" t="s">
        <v>143</v>
      </c>
      <c r="B40" s="325" t="s">
        <v>122</v>
      </c>
      <c r="C40" s="205">
        <v>11106</v>
      </c>
      <c r="D40" s="205">
        <v>8408</v>
      </c>
      <c r="E40" s="205">
        <v>8852</v>
      </c>
      <c r="F40" s="205">
        <v>8768.4480000000003</v>
      </c>
      <c r="G40" s="205">
        <v>8874.0493999999999</v>
      </c>
      <c r="H40" s="205">
        <v>8914.4930000000004</v>
      </c>
      <c r="I40" s="205">
        <v>9105.2979131250013</v>
      </c>
    </row>
    <row r="41" spans="1:9" ht="15.95" customHeight="1" x14ac:dyDescent="0.3">
      <c r="A41" s="324" t="s">
        <v>144</v>
      </c>
      <c r="B41" s="325" t="s">
        <v>63</v>
      </c>
      <c r="C41" s="205">
        <v>7178</v>
      </c>
      <c r="D41" s="205">
        <v>8194</v>
      </c>
      <c r="E41" s="205">
        <v>8194</v>
      </c>
      <c r="F41" s="205">
        <v>9249.7744999999977</v>
      </c>
      <c r="G41" s="205">
        <v>9978.1096699999998</v>
      </c>
      <c r="H41" s="205">
        <v>9650.0110000000004</v>
      </c>
      <c r="I41" s="205">
        <v>9918.4488125000007</v>
      </c>
    </row>
    <row r="42" spans="1:9" ht="15.95" customHeight="1" x14ac:dyDescent="0.3">
      <c r="A42" s="324" t="s">
        <v>145</v>
      </c>
      <c r="B42" s="325" t="s">
        <v>27</v>
      </c>
      <c r="C42" s="205">
        <v>7605</v>
      </c>
      <c r="D42" s="205">
        <v>7559</v>
      </c>
      <c r="E42" s="205">
        <v>7323</v>
      </c>
      <c r="F42" s="205">
        <v>6667.2735400000001</v>
      </c>
      <c r="G42" s="205">
        <v>6470.68552</v>
      </c>
      <c r="H42" s="205">
        <v>6326.518</v>
      </c>
      <c r="I42" s="205">
        <v>6097.1258531250014</v>
      </c>
    </row>
    <row r="43" spans="1:9" ht="15.95" customHeight="1" x14ac:dyDescent="0.3">
      <c r="A43" s="324" t="s">
        <v>146</v>
      </c>
      <c r="B43" s="325" t="s">
        <v>147</v>
      </c>
      <c r="C43" s="205">
        <v>16912</v>
      </c>
      <c r="D43" s="205">
        <v>18647</v>
      </c>
      <c r="E43" s="205">
        <v>18878</v>
      </c>
      <c r="F43" s="205">
        <v>19118.024799999996</v>
      </c>
      <c r="G43" s="205">
        <v>18893.614000000001</v>
      </c>
      <c r="H43" s="205">
        <v>18676.418226489837</v>
      </c>
      <c r="I43" s="205">
        <v>18009.623923750001</v>
      </c>
    </row>
    <row r="44" spans="1:9" ht="15.95" customHeight="1" x14ac:dyDescent="0.3">
      <c r="A44" s="324" t="s">
        <v>148</v>
      </c>
      <c r="B44" s="325" t="s">
        <v>128</v>
      </c>
      <c r="C44" s="205">
        <v>18047</v>
      </c>
      <c r="D44" s="205">
        <v>9005</v>
      </c>
      <c r="E44" s="205">
        <v>9400</v>
      </c>
      <c r="F44" s="205">
        <v>8761.643</v>
      </c>
      <c r="G44" s="205">
        <v>9059.4359999999997</v>
      </c>
      <c r="H44" s="205">
        <v>8782.634</v>
      </c>
      <c r="I44" s="205">
        <v>8816.3428124999991</v>
      </c>
    </row>
    <row r="45" spans="1:9" ht="32.1" customHeight="1" x14ac:dyDescent="0.3">
      <c r="A45" s="639" t="s">
        <v>149</v>
      </c>
      <c r="B45" s="640"/>
      <c r="C45" s="205"/>
      <c r="D45" s="205">
        <v>0</v>
      </c>
      <c r="E45" s="205">
        <v>0</v>
      </c>
      <c r="F45" s="205"/>
      <c r="G45" s="205"/>
      <c r="H45" s="205"/>
      <c r="I45" s="205"/>
    </row>
    <row r="46" spans="1:9" ht="15.95" customHeight="1" x14ac:dyDescent="0.3">
      <c r="A46" s="324" t="s">
        <v>150</v>
      </c>
      <c r="B46" s="325" t="s">
        <v>151</v>
      </c>
      <c r="C46" s="205">
        <v>3680</v>
      </c>
      <c r="D46" s="205">
        <v>3660</v>
      </c>
      <c r="E46" s="205">
        <v>3888</v>
      </c>
      <c r="F46" s="205">
        <v>3722.9066499999999</v>
      </c>
      <c r="G46" s="205">
        <v>3790.5382500000001</v>
      </c>
      <c r="H46" s="205">
        <v>3816.2704800000001</v>
      </c>
      <c r="I46" s="205">
        <v>3891.561140625</v>
      </c>
    </row>
    <row r="47" spans="1:9" ht="15.95" customHeight="1" x14ac:dyDescent="0.3">
      <c r="A47" s="324" t="s">
        <v>152</v>
      </c>
      <c r="B47" s="325" t="s">
        <v>76</v>
      </c>
      <c r="C47" s="205">
        <v>1973</v>
      </c>
      <c r="D47" s="205">
        <v>1722</v>
      </c>
      <c r="E47" s="205">
        <v>1765</v>
      </c>
      <c r="F47" s="205">
        <v>2134.9316419753086</v>
      </c>
      <c r="G47" s="205">
        <v>2411.7229299999999</v>
      </c>
      <c r="H47" s="205">
        <v>1836.059</v>
      </c>
      <c r="I47" s="205">
        <v>1848.884</v>
      </c>
    </row>
    <row r="48" spans="1:9" ht="15.95" customHeight="1" x14ac:dyDescent="0.3">
      <c r="A48" s="324" t="s">
        <v>153</v>
      </c>
      <c r="B48" s="325" t="s">
        <v>100</v>
      </c>
      <c r="C48" s="205">
        <v>1095</v>
      </c>
      <c r="D48" s="205">
        <v>1041</v>
      </c>
      <c r="E48" s="205">
        <v>1038</v>
      </c>
      <c r="F48" s="205">
        <v>1027.0899999999999</v>
      </c>
      <c r="G48" s="205">
        <v>1109.51875</v>
      </c>
      <c r="H48" s="205">
        <v>1103.0264999999999</v>
      </c>
      <c r="I48" s="205">
        <v>1103.0264999999999</v>
      </c>
    </row>
    <row r="49" spans="1:9" ht="15.95" customHeight="1" x14ac:dyDescent="0.3">
      <c r="A49" s="324" t="s">
        <v>154</v>
      </c>
      <c r="B49" s="325" t="s">
        <v>155</v>
      </c>
      <c r="C49" s="205">
        <v>7069</v>
      </c>
      <c r="D49" s="205">
        <v>2427</v>
      </c>
      <c r="E49" s="205">
        <v>2582</v>
      </c>
      <c r="F49" s="205">
        <v>2700.8939999999998</v>
      </c>
      <c r="G49" s="205">
        <v>3229.2040000000002</v>
      </c>
      <c r="H49" s="205">
        <v>3337.7559999999999</v>
      </c>
      <c r="I49" s="205">
        <v>2926.9462968749999</v>
      </c>
    </row>
    <row r="50" spans="1:9" ht="15.95" customHeight="1" x14ac:dyDescent="0.3">
      <c r="A50" s="324" t="s">
        <v>156</v>
      </c>
      <c r="B50" s="325" t="s">
        <v>35</v>
      </c>
      <c r="C50" s="205">
        <v>2694</v>
      </c>
      <c r="D50" s="205">
        <v>2254</v>
      </c>
      <c r="E50" s="205">
        <v>2314</v>
      </c>
      <c r="F50" s="205">
        <v>1988.2163700000001</v>
      </c>
      <c r="G50" s="205">
        <v>2452.4636700000001</v>
      </c>
      <c r="H50" s="205">
        <v>3001.3174499999996</v>
      </c>
      <c r="I50" s="205">
        <v>2967.7747300000005</v>
      </c>
    </row>
    <row r="51" spans="1:9" ht="15.95" customHeight="1" x14ac:dyDescent="0.3">
      <c r="A51" s="324" t="s">
        <v>157</v>
      </c>
      <c r="B51" s="325" t="s">
        <v>81</v>
      </c>
      <c r="C51" s="205">
        <v>2223</v>
      </c>
      <c r="D51" s="205">
        <v>7709</v>
      </c>
      <c r="E51" s="205">
        <v>7344</v>
      </c>
      <c r="F51" s="205">
        <v>7114.5754999999999</v>
      </c>
      <c r="G51" s="205">
        <v>7401.317</v>
      </c>
      <c r="H51" s="205">
        <v>7486.4620000000004</v>
      </c>
      <c r="I51" s="205">
        <v>7415.0587239583328</v>
      </c>
    </row>
    <row r="52" spans="1:9" ht="15.95" customHeight="1" x14ac:dyDescent="0.3">
      <c r="A52" s="324" t="s">
        <v>158</v>
      </c>
      <c r="B52" s="325" t="s">
        <v>81</v>
      </c>
      <c r="C52" s="328" t="s">
        <v>133</v>
      </c>
      <c r="D52" s="205">
        <v>1514</v>
      </c>
      <c r="E52" s="205">
        <v>1924</v>
      </c>
      <c r="F52" s="205">
        <v>1924.01</v>
      </c>
      <c r="G52" s="205">
        <v>2763.0059999999999</v>
      </c>
      <c r="H52" s="205">
        <v>2895.5650000000001</v>
      </c>
      <c r="I52" s="205">
        <v>2120.6999999999998</v>
      </c>
    </row>
    <row r="53" spans="1:9" ht="15.95" customHeight="1" x14ac:dyDescent="0.3">
      <c r="A53" s="324" t="s">
        <v>159</v>
      </c>
      <c r="B53" s="325" t="s">
        <v>122</v>
      </c>
      <c r="C53" s="205">
        <v>545</v>
      </c>
      <c r="D53" s="205">
        <v>556</v>
      </c>
      <c r="E53" s="205">
        <v>486</v>
      </c>
      <c r="F53" s="205">
        <v>486.15600000000001</v>
      </c>
      <c r="G53" s="205">
        <v>883.77413000000001</v>
      </c>
      <c r="H53" s="205">
        <v>1925.8041600000004</v>
      </c>
      <c r="I53" s="205">
        <v>745.89389856770833</v>
      </c>
    </row>
    <row r="54" spans="1:9" ht="15.95" customHeight="1" x14ac:dyDescent="0.3">
      <c r="A54" s="324" t="s">
        <v>160</v>
      </c>
      <c r="B54" s="325" t="s">
        <v>155</v>
      </c>
      <c r="C54" s="205">
        <v>1749</v>
      </c>
      <c r="D54" s="205">
        <v>1808</v>
      </c>
      <c r="E54" s="205">
        <v>1909</v>
      </c>
      <c r="F54" s="205">
        <v>1921.4123000000002</v>
      </c>
      <c r="G54" s="205">
        <v>2004.1513</v>
      </c>
      <c r="H54" s="205">
        <v>2067.2993000000001</v>
      </c>
      <c r="I54" s="205">
        <v>2394.183</v>
      </c>
    </row>
    <row r="55" spans="1:9" ht="15.95" customHeight="1" x14ac:dyDescent="0.3">
      <c r="A55" s="324" t="s">
        <v>161</v>
      </c>
      <c r="B55" s="325" t="s">
        <v>100</v>
      </c>
      <c r="C55" s="205">
        <v>1394</v>
      </c>
      <c r="D55" s="205">
        <v>1256</v>
      </c>
      <c r="E55" s="205">
        <v>1533</v>
      </c>
      <c r="F55" s="205">
        <v>1496.3435866666666</v>
      </c>
      <c r="G55" s="205">
        <v>1495.9662599999999</v>
      </c>
      <c r="H55" s="205">
        <v>1502.2017199999998</v>
      </c>
      <c r="I55" s="205">
        <v>1502.2017199999996</v>
      </c>
    </row>
    <row r="56" spans="1:9" ht="15.95" customHeight="1" x14ac:dyDescent="0.3">
      <c r="A56" s="324" t="s">
        <v>162</v>
      </c>
      <c r="B56" s="329" t="s">
        <v>163</v>
      </c>
      <c r="C56" s="205">
        <v>1507</v>
      </c>
      <c r="D56" s="205">
        <v>1356</v>
      </c>
      <c r="E56" s="205">
        <v>1364</v>
      </c>
      <c r="F56" s="205">
        <v>1517.64688</v>
      </c>
      <c r="G56" s="205">
        <v>1600.1792</v>
      </c>
      <c r="H56" s="205">
        <v>1515.67724</v>
      </c>
      <c r="I56" s="205">
        <v>1530.1280000000002</v>
      </c>
    </row>
    <row r="57" spans="1:9" ht="15.95" customHeight="1" x14ac:dyDescent="0.3">
      <c r="A57" s="324" t="s">
        <v>164</v>
      </c>
      <c r="B57" s="325" t="s">
        <v>100</v>
      </c>
      <c r="C57" s="205">
        <v>1207</v>
      </c>
      <c r="D57" s="205">
        <v>1203</v>
      </c>
      <c r="E57" s="205">
        <v>1157</v>
      </c>
      <c r="F57" s="205">
        <v>1213.2081337717827</v>
      </c>
      <c r="G57" s="205">
        <v>1146.2136</v>
      </c>
      <c r="H57" s="205">
        <v>1136.309</v>
      </c>
      <c r="I57" s="205">
        <v>1187.1219999999998</v>
      </c>
    </row>
    <row r="58" spans="1:9" ht="15.95" customHeight="1" x14ac:dyDescent="0.3">
      <c r="A58" s="324" t="s">
        <v>165</v>
      </c>
      <c r="B58" s="325" t="s">
        <v>122</v>
      </c>
      <c r="C58" s="205">
        <v>801</v>
      </c>
      <c r="D58" s="205">
        <v>3965</v>
      </c>
      <c r="E58" s="205">
        <v>3941</v>
      </c>
      <c r="F58" s="205">
        <v>3964.3435300000001</v>
      </c>
      <c r="G58" s="205">
        <v>3897.6792</v>
      </c>
      <c r="H58" s="205">
        <v>4008.8471799999998</v>
      </c>
      <c r="I58" s="205">
        <v>3991.8525323437498</v>
      </c>
    </row>
    <row r="59" spans="1:9" ht="15.95" customHeight="1" x14ac:dyDescent="0.3">
      <c r="A59" s="324" t="s">
        <v>166</v>
      </c>
      <c r="B59" s="325" t="s">
        <v>155</v>
      </c>
      <c r="C59" s="205">
        <v>1729</v>
      </c>
      <c r="D59" s="205">
        <v>1997</v>
      </c>
      <c r="E59" s="205">
        <v>2244</v>
      </c>
      <c r="F59" s="205">
        <v>2417.6074599999997</v>
      </c>
      <c r="G59" s="205">
        <v>2492.0858199999998</v>
      </c>
      <c r="H59" s="205">
        <v>2473.6320000000001</v>
      </c>
      <c r="I59" s="205">
        <v>2555.3897999999999</v>
      </c>
    </row>
    <row r="60" spans="1:9" ht="15.95" customHeight="1" x14ac:dyDescent="0.3">
      <c r="A60" s="330" t="s">
        <v>167</v>
      </c>
      <c r="B60" s="331" t="s">
        <v>98</v>
      </c>
      <c r="C60" s="332">
        <v>2168</v>
      </c>
      <c r="D60" s="332">
        <v>2088</v>
      </c>
      <c r="E60" s="332">
        <v>1846</v>
      </c>
      <c r="F60" s="332">
        <v>1938.2560000000001</v>
      </c>
      <c r="G60" s="332">
        <v>2102.5920000000001</v>
      </c>
      <c r="H60" s="332">
        <v>2096.0129999999999</v>
      </c>
      <c r="I60" s="332">
        <v>2156.6559999999995</v>
      </c>
    </row>
    <row r="61" spans="1:9" s="140" customFormat="1" ht="12" customHeight="1" x14ac:dyDescent="0.25">
      <c r="A61" s="333" t="s">
        <v>371</v>
      </c>
      <c r="B61" s="30"/>
      <c r="E61" s="141"/>
      <c r="F61" s="141"/>
      <c r="G61" s="141"/>
      <c r="H61" s="141"/>
      <c r="I61" s="141"/>
    </row>
    <row r="62" spans="1:9" s="140" customFormat="1" ht="12" customHeight="1" x14ac:dyDescent="0.25">
      <c r="A62" s="30" t="s">
        <v>168</v>
      </c>
      <c r="E62" s="141"/>
      <c r="F62" s="141"/>
      <c r="G62" s="141"/>
      <c r="H62" s="141"/>
      <c r="I62" s="141"/>
    </row>
    <row r="63" spans="1:9" ht="12.75" customHeight="1" x14ac:dyDescent="0.3">
      <c r="E63" s="123"/>
      <c r="F63" s="123"/>
      <c r="G63" s="123"/>
      <c r="H63" s="123"/>
      <c r="I63" s="123"/>
    </row>
    <row r="64" spans="1:9" ht="12.75" customHeight="1" x14ac:dyDescent="0.3">
      <c r="C64" s="124"/>
      <c r="D64" s="124"/>
      <c r="E64" s="125"/>
      <c r="F64" s="125"/>
      <c r="G64" s="125"/>
      <c r="H64" s="125"/>
      <c r="I64" s="125"/>
    </row>
    <row r="65" spans="3:9" ht="12.75" customHeight="1" x14ac:dyDescent="0.3">
      <c r="E65" s="123"/>
      <c r="F65" s="123"/>
      <c r="G65" s="123"/>
      <c r="H65" s="123"/>
      <c r="I65" s="123"/>
    </row>
    <row r="66" spans="3:9" ht="12.75" customHeight="1" x14ac:dyDescent="0.3">
      <c r="C66" s="121"/>
    </row>
    <row r="67" spans="3:9" ht="12.75" customHeight="1" x14ac:dyDescent="0.3">
      <c r="C67" s="121"/>
    </row>
    <row r="68" spans="3:9" ht="12.75" customHeight="1" x14ac:dyDescent="0.3">
      <c r="C68" s="121"/>
    </row>
    <row r="69" spans="3:9" ht="12.75" customHeight="1" x14ac:dyDescent="0.3">
      <c r="C69" s="121"/>
    </row>
  </sheetData>
  <mergeCells count="6">
    <mergeCell ref="A45:B45"/>
    <mergeCell ref="A1:I1"/>
    <mergeCell ref="A2:I2"/>
    <mergeCell ref="A7:B7"/>
    <mergeCell ref="A9:B9"/>
    <mergeCell ref="A28:B28"/>
  </mergeCells>
  <conditionalFormatting sqref="A4:A5">
    <cfRule type="cellIs" dxfId="37" priority="2" stopIfTrue="1" operator="equal">
      <formula>"S.I."</formula>
    </cfRule>
  </conditionalFormatting>
  <conditionalFormatting sqref="B4:B5">
    <cfRule type="cellIs" dxfId="36" priority="1" stopIfTrue="1" operator="equal">
      <formula>"S.I."</formula>
    </cfRule>
  </conditionalFormatting>
  <printOptions horizontalCentered="1"/>
  <pageMargins left="0.70866141732283472" right="0.51181102362204722" top="0.55118110236220474" bottom="0.55118110236220474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68"/>
  <sheetViews>
    <sheetView showGridLines="0" showZeros="0" topLeftCell="A43" zoomScaleNormal="100" workbookViewId="0">
      <selection activeCell="A4" sqref="A4:I60"/>
    </sheetView>
  </sheetViews>
  <sheetFormatPr baseColWidth="10" defaultRowHeight="12.75" customHeight="1" x14ac:dyDescent="0.3"/>
  <cols>
    <col min="1" max="1" width="32" style="82" customWidth="1"/>
    <col min="2" max="2" width="17.85546875" style="82" customWidth="1"/>
    <col min="3" max="9" width="9.28515625" style="71" customWidth="1"/>
    <col min="10" max="10" width="6.28515625" style="43" customWidth="1"/>
    <col min="11" max="12" width="5.28515625" style="43" customWidth="1"/>
    <col min="13" max="13" width="5" style="43" customWidth="1"/>
    <col min="14" max="14" width="5.28515625" style="43" customWidth="1"/>
    <col min="15" max="15" width="5.7109375" style="43" customWidth="1"/>
    <col min="16" max="242" width="11.7109375" style="43"/>
    <col min="243" max="243" width="25.28515625" style="43" customWidth="1"/>
    <col min="244" max="244" width="12" style="43" customWidth="1"/>
    <col min="245" max="250" width="5" style="43" customWidth="1"/>
    <col min="251" max="251" width="6.28515625" style="43" customWidth="1"/>
    <col min="252" max="253" width="5.28515625" style="43" customWidth="1"/>
    <col min="254" max="254" width="5" style="43" customWidth="1"/>
    <col min="255" max="255" width="5.28515625" style="43" customWidth="1"/>
    <col min="256" max="256" width="5.7109375" style="43" customWidth="1"/>
    <col min="257" max="498" width="11.7109375" style="43"/>
    <col min="499" max="499" width="25.28515625" style="43" customWidth="1"/>
    <col min="500" max="500" width="12" style="43" customWidth="1"/>
    <col min="501" max="506" width="5" style="43" customWidth="1"/>
    <col min="507" max="507" width="6.28515625" style="43" customWidth="1"/>
    <col min="508" max="509" width="5.28515625" style="43" customWidth="1"/>
    <col min="510" max="510" width="5" style="43" customWidth="1"/>
    <col min="511" max="511" width="5.28515625" style="43" customWidth="1"/>
    <col min="512" max="512" width="5.7109375" style="43" customWidth="1"/>
    <col min="513" max="754" width="11.7109375" style="43"/>
    <col min="755" max="755" width="25.28515625" style="43" customWidth="1"/>
    <col min="756" max="756" width="12" style="43" customWidth="1"/>
    <col min="757" max="762" width="5" style="43" customWidth="1"/>
    <col min="763" max="763" width="6.28515625" style="43" customWidth="1"/>
    <col min="764" max="765" width="5.28515625" style="43" customWidth="1"/>
    <col min="766" max="766" width="5" style="43" customWidth="1"/>
    <col min="767" max="767" width="5.28515625" style="43" customWidth="1"/>
    <col min="768" max="768" width="5.7109375" style="43" customWidth="1"/>
    <col min="769" max="1010" width="11.7109375" style="43"/>
    <col min="1011" max="1011" width="25.28515625" style="43" customWidth="1"/>
    <col min="1012" max="1012" width="12" style="43" customWidth="1"/>
    <col min="1013" max="1018" width="5" style="43" customWidth="1"/>
    <col min="1019" max="1019" width="6.28515625" style="43" customWidth="1"/>
    <col min="1020" max="1021" width="5.28515625" style="43" customWidth="1"/>
    <col min="1022" max="1022" width="5" style="43" customWidth="1"/>
    <col min="1023" max="1023" width="5.28515625" style="43" customWidth="1"/>
    <col min="1024" max="1024" width="5.7109375" style="43" customWidth="1"/>
    <col min="1025" max="1266" width="11.7109375" style="43"/>
    <col min="1267" max="1267" width="25.28515625" style="43" customWidth="1"/>
    <col min="1268" max="1268" width="12" style="43" customWidth="1"/>
    <col min="1269" max="1274" width="5" style="43" customWidth="1"/>
    <col min="1275" max="1275" width="6.28515625" style="43" customWidth="1"/>
    <col min="1276" max="1277" width="5.28515625" style="43" customWidth="1"/>
    <col min="1278" max="1278" width="5" style="43" customWidth="1"/>
    <col min="1279" max="1279" width="5.28515625" style="43" customWidth="1"/>
    <col min="1280" max="1280" width="5.7109375" style="43" customWidth="1"/>
    <col min="1281" max="1522" width="11.7109375" style="43"/>
    <col min="1523" max="1523" width="25.28515625" style="43" customWidth="1"/>
    <col min="1524" max="1524" width="12" style="43" customWidth="1"/>
    <col min="1525" max="1530" width="5" style="43" customWidth="1"/>
    <col min="1531" max="1531" width="6.28515625" style="43" customWidth="1"/>
    <col min="1532" max="1533" width="5.28515625" style="43" customWidth="1"/>
    <col min="1534" max="1534" width="5" style="43" customWidth="1"/>
    <col min="1535" max="1535" width="5.28515625" style="43" customWidth="1"/>
    <col min="1536" max="1536" width="5.7109375" style="43" customWidth="1"/>
    <col min="1537" max="1778" width="11.7109375" style="43"/>
    <col min="1779" max="1779" width="25.28515625" style="43" customWidth="1"/>
    <col min="1780" max="1780" width="12" style="43" customWidth="1"/>
    <col min="1781" max="1786" width="5" style="43" customWidth="1"/>
    <col min="1787" max="1787" width="6.28515625" style="43" customWidth="1"/>
    <col min="1788" max="1789" width="5.28515625" style="43" customWidth="1"/>
    <col min="1790" max="1790" width="5" style="43" customWidth="1"/>
    <col min="1791" max="1791" width="5.28515625" style="43" customWidth="1"/>
    <col min="1792" max="1792" width="5.7109375" style="43" customWidth="1"/>
    <col min="1793" max="2034" width="11.7109375" style="43"/>
    <col min="2035" max="2035" width="25.28515625" style="43" customWidth="1"/>
    <col min="2036" max="2036" width="12" style="43" customWidth="1"/>
    <col min="2037" max="2042" width="5" style="43" customWidth="1"/>
    <col min="2043" max="2043" width="6.28515625" style="43" customWidth="1"/>
    <col min="2044" max="2045" width="5.28515625" style="43" customWidth="1"/>
    <col min="2046" max="2046" width="5" style="43" customWidth="1"/>
    <col min="2047" max="2047" width="5.28515625" style="43" customWidth="1"/>
    <col min="2048" max="2048" width="5.7109375" style="43" customWidth="1"/>
    <col min="2049" max="2290" width="11.7109375" style="43"/>
    <col min="2291" max="2291" width="25.28515625" style="43" customWidth="1"/>
    <col min="2292" max="2292" width="12" style="43" customWidth="1"/>
    <col min="2293" max="2298" width="5" style="43" customWidth="1"/>
    <col min="2299" max="2299" width="6.28515625" style="43" customWidth="1"/>
    <col min="2300" max="2301" width="5.28515625" style="43" customWidth="1"/>
    <col min="2302" max="2302" width="5" style="43" customWidth="1"/>
    <col min="2303" max="2303" width="5.28515625" style="43" customWidth="1"/>
    <col min="2304" max="2304" width="5.7109375" style="43" customWidth="1"/>
    <col min="2305" max="2546" width="11.7109375" style="43"/>
    <col min="2547" max="2547" width="25.28515625" style="43" customWidth="1"/>
    <col min="2548" max="2548" width="12" style="43" customWidth="1"/>
    <col min="2549" max="2554" width="5" style="43" customWidth="1"/>
    <col min="2555" max="2555" width="6.28515625" style="43" customWidth="1"/>
    <col min="2556" max="2557" width="5.28515625" style="43" customWidth="1"/>
    <col min="2558" max="2558" width="5" style="43" customWidth="1"/>
    <col min="2559" max="2559" width="5.28515625" style="43" customWidth="1"/>
    <col min="2560" max="2560" width="5.7109375" style="43" customWidth="1"/>
    <col min="2561" max="2802" width="11.7109375" style="43"/>
    <col min="2803" max="2803" width="25.28515625" style="43" customWidth="1"/>
    <col min="2804" max="2804" width="12" style="43" customWidth="1"/>
    <col min="2805" max="2810" width="5" style="43" customWidth="1"/>
    <col min="2811" max="2811" width="6.28515625" style="43" customWidth="1"/>
    <col min="2812" max="2813" width="5.28515625" style="43" customWidth="1"/>
    <col min="2814" max="2814" width="5" style="43" customWidth="1"/>
    <col min="2815" max="2815" width="5.28515625" style="43" customWidth="1"/>
    <col min="2816" max="2816" width="5.7109375" style="43" customWidth="1"/>
    <col min="2817" max="3058" width="11.7109375" style="43"/>
    <col min="3059" max="3059" width="25.28515625" style="43" customWidth="1"/>
    <col min="3060" max="3060" width="12" style="43" customWidth="1"/>
    <col min="3061" max="3066" width="5" style="43" customWidth="1"/>
    <col min="3067" max="3067" width="6.28515625" style="43" customWidth="1"/>
    <col min="3068" max="3069" width="5.28515625" style="43" customWidth="1"/>
    <col min="3070" max="3070" width="5" style="43" customWidth="1"/>
    <col min="3071" max="3071" width="5.28515625" style="43" customWidth="1"/>
    <col min="3072" max="3072" width="5.7109375" style="43" customWidth="1"/>
    <col min="3073" max="3314" width="11.7109375" style="43"/>
    <col min="3315" max="3315" width="25.28515625" style="43" customWidth="1"/>
    <col min="3316" max="3316" width="12" style="43" customWidth="1"/>
    <col min="3317" max="3322" width="5" style="43" customWidth="1"/>
    <col min="3323" max="3323" width="6.28515625" style="43" customWidth="1"/>
    <col min="3324" max="3325" width="5.28515625" style="43" customWidth="1"/>
    <col min="3326" max="3326" width="5" style="43" customWidth="1"/>
    <col min="3327" max="3327" width="5.28515625" style="43" customWidth="1"/>
    <col min="3328" max="3328" width="5.7109375" style="43" customWidth="1"/>
    <col min="3329" max="3570" width="11.7109375" style="43"/>
    <col min="3571" max="3571" width="25.28515625" style="43" customWidth="1"/>
    <col min="3572" max="3572" width="12" style="43" customWidth="1"/>
    <col min="3573" max="3578" width="5" style="43" customWidth="1"/>
    <col min="3579" max="3579" width="6.28515625" style="43" customWidth="1"/>
    <col min="3580" max="3581" width="5.28515625" style="43" customWidth="1"/>
    <col min="3582" max="3582" width="5" style="43" customWidth="1"/>
    <col min="3583" max="3583" width="5.28515625" style="43" customWidth="1"/>
    <col min="3584" max="3584" width="5.7109375" style="43" customWidth="1"/>
    <col min="3585" max="3826" width="11.7109375" style="43"/>
    <col min="3827" max="3827" width="25.28515625" style="43" customWidth="1"/>
    <col min="3828" max="3828" width="12" style="43" customWidth="1"/>
    <col min="3829" max="3834" width="5" style="43" customWidth="1"/>
    <col min="3835" max="3835" width="6.28515625" style="43" customWidth="1"/>
    <col min="3836" max="3837" width="5.28515625" style="43" customWidth="1"/>
    <col min="3838" max="3838" width="5" style="43" customWidth="1"/>
    <col min="3839" max="3839" width="5.28515625" style="43" customWidth="1"/>
    <col min="3840" max="3840" width="5.7109375" style="43" customWidth="1"/>
    <col min="3841" max="4082" width="11.7109375" style="43"/>
    <col min="4083" max="4083" width="25.28515625" style="43" customWidth="1"/>
    <col min="4084" max="4084" width="12" style="43" customWidth="1"/>
    <col min="4085" max="4090" width="5" style="43" customWidth="1"/>
    <col min="4091" max="4091" width="6.28515625" style="43" customWidth="1"/>
    <col min="4092" max="4093" width="5.28515625" style="43" customWidth="1"/>
    <col min="4094" max="4094" width="5" style="43" customWidth="1"/>
    <col min="4095" max="4095" width="5.28515625" style="43" customWidth="1"/>
    <col min="4096" max="4096" width="5.7109375" style="43" customWidth="1"/>
    <col min="4097" max="4338" width="11.7109375" style="43"/>
    <col min="4339" max="4339" width="25.28515625" style="43" customWidth="1"/>
    <col min="4340" max="4340" width="12" style="43" customWidth="1"/>
    <col min="4341" max="4346" width="5" style="43" customWidth="1"/>
    <col min="4347" max="4347" width="6.28515625" style="43" customWidth="1"/>
    <col min="4348" max="4349" width="5.28515625" style="43" customWidth="1"/>
    <col min="4350" max="4350" width="5" style="43" customWidth="1"/>
    <col min="4351" max="4351" width="5.28515625" style="43" customWidth="1"/>
    <col min="4352" max="4352" width="5.7109375" style="43" customWidth="1"/>
    <col min="4353" max="4594" width="11.7109375" style="43"/>
    <col min="4595" max="4595" width="25.28515625" style="43" customWidth="1"/>
    <col min="4596" max="4596" width="12" style="43" customWidth="1"/>
    <col min="4597" max="4602" width="5" style="43" customWidth="1"/>
    <col min="4603" max="4603" width="6.28515625" style="43" customWidth="1"/>
    <col min="4604" max="4605" width="5.28515625" style="43" customWidth="1"/>
    <col min="4606" max="4606" width="5" style="43" customWidth="1"/>
    <col min="4607" max="4607" width="5.28515625" style="43" customWidth="1"/>
    <col min="4608" max="4608" width="5.7109375" style="43" customWidth="1"/>
    <col min="4609" max="4850" width="11.7109375" style="43"/>
    <col min="4851" max="4851" width="25.28515625" style="43" customWidth="1"/>
    <col min="4852" max="4852" width="12" style="43" customWidth="1"/>
    <col min="4853" max="4858" width="5" style="43" customWidth="1"/>
    <col min="4859" max="4859" width="6.28515625" style="43" customWidth="1"/>
    <col min="4860" max="4861" width="5.28515625" style="43" customWidth="1"/>
    <col min="4862" max="4862" width="5" style="43" customWidth="1"/>
    <col min="4863" max="4863" width="5.28515625" style="43" customWidth="1"/>
    <col min="4864" max="4864" width="5.7109375" style="43" customWidth="1"/>
    <col min="4865" max="5106" width="11.7109375" style="43"/>
    <col min="5107" max="5107" width="25.28515625" style="43" customWidth="1"/>
    <col min="5108" max="5108" width="12" style="43" customWidth="1"/>
    <col min="5109" max="5114" width="5" style="43" customWidth="1"/>
    <col min="5115" max="5115" width="6.28515625" style="43" customWidth="1"/>
    <col min="5116" max="5117" width="5.28515625" style="43" customWidth="1"/>
    <col min="5118" max="5118" width="5" style="43" customWidth="1"/>
    <col min="5119" max="5119" width="5.28515625" style="43" customWidth="1"/>
    <col min="5120" max="5120" width="5.7109375" style="43" customWidth="1"/>
    <col min="5121" max="5362" width="11.7109375" style="43"/>
    <col min="5363" max="5363" width="25.28515625" style="43" customWidth="1"/>
    <col min="5364" max="5364" width="12" style="43" customWidth="1"/>
    <col min="5365" max="5370" width="5" style="43" customWidth="1"/>
    <col min="5371" max="5371" width="6.28515625" style="43" customWidth="1"/>
    <col min="5372" max="5373" width="5.28515625" style="43" customWidth="1"/>
    <col min="5374" max="5374" width="5" style="43" customWidth="1"/>
    <col min="5375" max="5375" width="5.28515625" style="43" customWidth="1"/>
    <col min="5376" max="5376" width="5.7109375" style="43" customWidth="1"/>
    <col min="5377" max="5618" width="11.7109375" style="43"/>
    <col min="5619" max="5619" width="25.28515625" style="43" customWidth="1"/>
    <col min="5620" max="5620" width="12" style="43" customWidth="1"/>
    <col min="5621" max="5626" width="5" style="43" customWidth="1"/>
    <col min="5627" max="5627" width="6.28515625" style="43" customWidth="1"/>
    <col min="5628" max="5629" width="5.28515625" style="43" customWidth="1"/>
    <col min="5630" max="5630" width="5" style="43" customWidth="1"/>
    <col min="5631" max="5631" width="5.28515625" style="43" customWidth="1"/>
    <col min="5632" max="5632" width="5.7109375" style="43" customWidth="1"/>
    <col min="5633" max="5874" width="11.7109375" style="43"/>
    <col min="5875" max="5875" width="25.28515625" style="43" customWidth="1"/>
    <col min="5876" max="5876" width="12" style="43" customWidth="1"/>
    <col min="5877" max="5882" width="5" style="43" customWidth="1"/>
    <col min="5883" max="5883" width="6.28515625" style="43" customWidth="1"/>
    <col min="5884" max="5885" width="5.28515625" style="43" customWidth="1"/>
    <col min="5886" max="5886" width="5" style="43" customWidth="1"/>
    <col min="5887" max="5887" width="5.28515625" style="43" customWidth="1"/>
    <col min="5888" max="5888" width="5.7109375" style="43" customWidth="1"/>
    <col min="5889" max="6130" width="11.7109375" style="43"/>
    <col min="6131" max="6131" width="25.28515625" style="43" customWidth="1"/>
    <col min="6132" max="6132" width="12" style="43" customWidth="1"/>
    <col min="6133" max="6138" width="5" style="43" customWidth="1"/>
    <col min="6139" max="6139" width="6.28515625" style="43" customWidth="1"/>
    <col min="6140" max="6141" width="5.28515625" style="43" customWidth="1"/>
    <col min="6142" max="6142" width="5" style="43" customWidth="1"/>
    <col min="6143" max="6143" width="5.28515625" style="43" customWidth="1"/>
    <col min="6144" max="6144" width="5.7109375" style="43" customWidth="1"/>
    <col min="6145" max="6386" width="11.7109375" style="43"/>
    <col min="6387" max="6387" width="25.28515625" style="43" customWidth="1"/>
    <col min="6388" max="6388" width="12" style="43" customWidth="1"/>
    <col min="6389" max="6394" width="5" style="43" customWidth="1"/>
    <col min="6395" max="6395" width="6.28515625" style="43" customWidth="1"/>
    <col min="6396" max="6397" width="5.28515625" style="43" customWidth="1"/>
    <col min="6398" max="6398" width="5" style="43" customWidth="1"/>
    <col min="6399" max="6399" width="5.28515625" style="43" customWidth="1"/>
    <col min="6400" max="6400" width="5.7109375" style="43" customWidth="1"/>
    <col min="6401" max="6642" width="11.7109375" style="43"/>
    <col min="6643" max="6643" width="25.28515625" style="43" customWidth="1"/>
    <col min="6644" max="6644" width="12" style="43" customWidth="1"/>
    <col min="6645" max="6650" width="5" style="43" customWidth="1"/>
    <col min="6651" max="6651" width="6.28515625" style="43" customWidth="1"/>
    <col min="6652" max="6653" width="5.28515625" style="43" customWidth="1"/>
    <col min="6654" max="6654" width="5" style="43" customWidth="1"/>
    <col min="6655" max="6655" width="5.28515625" style="43" customWidth="1"/>
    <col min="6656" max="6656" width="5.7109375" style="43" customWidth="1"/>
    <col min="6657" max="6898" width="11.7109375" style="43"/>
    <col min="6899" max="6899" width="25.28515625" style="43" customWidth="1"/>
    <col min="6900" max="6900" width="12" style="43" customWidth="1"/>
    <col min="6901" max="6906" width="5" style="43" customWidth="1"/>
    <col min="6907" max="6907" width="6.28515625" style="43" customWidth="1"/>
    <col min="6908" max="6909" width="5.28515625" style="43" customWidth="1"/>
    <col min="6910" max="6910" width="5" style="43" customWidth="1"/>
    <col min="6911" max="6911" width="5.28515625" style="43" customWidth="1"/>
    <col min="6912" max="6912" width="5.7109375" style="43" customWidth="1"/>
    <col min="6913" max="7154" width="11.7109375" style="43"/>
    <col min="7155" max="7155" width="25.28515625" style="43" customWidth="1"/>
    <col min="7156" max="7156" width="12" style="43" customWidth="1"/>
    <col min="7157" max="7162" width="5" style="43" customWidth="1"/>
    <col min="7163" max="7163" width="6.28515625" style="43" customWidth="1"/>
    <col min="7164" max="7165" width="5.28515625" style="43" customWidth="1"/>
    <col min="7166" max="7166" width="5" style="43" customWidth="1"/>
    <col min="7167" max="7167" width="5.28515625" style="43" customWidth="1"/>
    <col min="7168" max="7168" width="5.7109375" style="43" customWidth="1"/>
    <col min="7169" max="7410" width="11.7109375" style="43"/>
    <col min="7411" max="7411" width="25.28515625" style="43" customWidth="1"/>
    <col min="7412" max="7412" width="12" style="43" customWidth="1"/>
    <col min="7413" max="7418" width="5" style="43" customWidth="1"/>
    <col min="7419" max="7419" width="6.28515625" style="43" customWidth="1"/>
    <col min="7420" max="7421" width="5.28515625" style="43" customWidth="1"/>
    <col min="7422" max="7422" width="5" style="43" customWidth="1"/>
    <col min="7423" max="7423" width="5.28515625" style="43" customWidth="1"/>
    <col min="7424" max="7424" width="5.7109375" style="43" customWidth="1"/>
    <col min="7425" max="7666" width="11.7109375" style="43"/>
    <col min="7667" max="7667" width="25.28515625" style="43" customWidth="1"/>
    <col min="7668" max="7668" width="12" style="43" customWidth="1"/>
    <col min="7669" max="7674" width="5" style="43" customWidth="1"/>
    <col min="7675" max="7675" width="6.28515625" style="43" customWidth="1"/>
    <col min="7676" max="7677" width="5.28515625" style="43" customWidth="1"/>
    <col min="7678" max="7678" width="5" style="43" customWidth="1"/>
    <col min="7679" max="7679" width="5.28515625" style="43" customWidth="1"/>
    <col min="7680" max="7680" width="5.7109375" style="43" customWidth="1"/>
    <col min="7681" max="7922" width="11.7109375" style="43"/>
    <col min="7923" max="7923" width="25.28515625" style="43" customWidth="1"/>
    <col min="7924" max="7924" width="12" style="43" customWidth="1"/>
    <col min="7925" max="7930" width="5" style="43" customWidth="1"/>
    <col min="7931" max="7931" width="6.28515625" style="43" customWidth="1"/>
    <col min="7932" max="7933" width="5.28515625" style="43" customWidth="1"/>
    <col min="7934" max="7934" width="5" style="43" customWidth="1"/>
    <col min="7935" max="7935" width="5.28515625" style="43" customWidth="1"/>
    <col min="7936" max="7936" width="5.7109375" style="43" customWidth="1"/>
    <col min="7937" max="8178" width="11.7109375" style="43"/>
    <col min="8179" max="8179" width="25.28515625" style="43" customWidth="1"/>
    <col min="8180" max="8180" width="12" style="43" customWidth="1"/>
    <col min="8181" max="8186" width="5" style="43" customWidth="1"/>
    <col min="8187" max="8187" width="6.28515625" style="43" customWidth="1"/>
    <col min="8188" max="8189" width="5.28515625" style="43" customWidth="1"/>
    <col min="8190" max="8190" width="5" style="43" customWidth="1"/>
    <col min="8191" max="8191" width="5.28515625" style="43" customWidth="1"/>
    <col min="8192" max="8192" width="5.7109375" style="43" customWidth="1"/>
    <col min="8193" max="8434" width="11.7109375" style="43"/>
    <col min="8435" max="8435" width="25.28515625" style="43" customWidth="1"/>
    <col min="8436" max="8436" width="12" style="43" customWidth="1"/>
    <col min="8437" max="8442" width="5" style="43" customWidth="1"/>
    <col min="8443" max="8443" width="6.28515625" style="43" customWidth="1"/>
    <col min="8444" max="8445" width="5.28515625" style="43" customWidth="1"/>
    <col min="8446" max="8446" width="5" style="43" customWidth="1"/>
    <col min="8447" max="8447" width="5.28515625" style="43" customWidth="1"/>
    <col min="8448" max="8448" width="5.7109375" style="43" customWidth="1"/>
    <col min="8449" max="8690" width="11.7109375" style="43"/>
    <col min="8691" max="8691" width="25.28515625" style="43" customWidth="1"/>
    <col min="8692" max="8692" width="12" style="43" customWidth="1"/>
    <col min="8693" max="8698" width="5" style="43" customWidth="1"/>
    <col min="8699" max="8699" width="6.28515625" style="43" customWidth="1"/>
    <col min="8700" max="8701" width="5.28515625" style="43" customWidth="1"/>
    <col min="8702" max="8702" width="5" style="43" customWidth="1"/>
    <col min="8703" max="8703" width="5.28515625" style="43" customWidth="1"/>
    <col min="8704" max="8704" width="5.7109375" style="43" customWidth="1"/>
    <col min="8705" max="8946" width="11.7109375" style="43"/>
    <col min="8947" max="8947" width="25.28515625" style="43" customWidth="1"/>
    <col min="8948" max="8948" width="12" style="43" customWidth="1"/>
    <col min="8949" max="8954" width="5" style="43" customWidth="1"/>
    <col min="8955" max="8955" width="6.28515625" style="43" customWidth="1"/>
    <col min="8956" max="8957" width="5.28515625" style="43" customWidth="1"/>
    <col min="8958" max="8958" width="5" style="43" customWidth="1"/>
    <col min="8959" max="8959" width="5.28515625" style="43" customWidth="1"/>
    <col min="8960" max="8960" width="5.7109375" style="43" customWidth="1"/>
    <col min="8961" max="9202" width="11.7109375" style="43"/>
    <col min="9203" max="9203" width="25.28515625" style="43" customWidth="1"/>
    <col min="9204" max="9204" width="12" style="43" customWidth="1"/>
    <col min="9205" max="9210" width="5" style="43" customWidth="1"/>
    <col min="9211" max="9211" width="6.28515625" style="43" customWidth="1"/>
    <col min="9212" max="9213" width="5.28515625" style="43" customWidth="1"/>
    <col min="9214" max="9214" width="5" style="43" customWidth="1"/>
    <col min="9215" max="9215" width="5.28515625" style="43" customWidth="1"/>
    <col min="9216" max="9216" width="5.7109375" style="43" customWidth="1"/>
    <col min="9217" max="9458" width="11.7109375" style="43"/>
    <col min="9459" max="9459" width="25.28515625" style="43" customWidth="1"/>
    <col min="9460" max="9460" width="12" style="43" customWidth="1"/>
    <col min="9461" max="9466" width="5" style="43" customWidth="1"/>
    <col min="9467" max="9467" width="6.28515625" style="43" customWidth="1"/>
    <col min="9468" max="9469" width="5.28515625" style="43" customWidth="1"/>
    <col min="9470" max="9470" width="5" style="43" customWidth="1"/>
    <col min="9471" max="9471" width="5.28515625" style="43" customWidth="1"/>
    <col min="9472" max="9472" width="5.7109375" style="43" customWidth="1"/>
    <col min="9473" max="9714" width="11.7109375" style="43"/>
    <col min="9715" max="9715" width="25.28515625" style="43" customWidth="1"/>
    <col min="9716" max="9716" width="12" style="43" customWidth="1"/>
    <col min="9717" max="9722" width="5" style="43" customWidth="1"/>
    <col min="9723" max="9723" width="6.28515625" style="43" customWidth="1"/>
    <col min="9724" max="9725" width="5.28515625" style="43" customWidth="1"/>
    <col min="9726" max="9726" width="5" style="43" customWidth="1"/>
    <col min="9727" max="9727" width="5.28515625" style="43" customWidth="1"/>
    <col min="9728" max="9728" width="5.7109375" style="43" customWidth="1"/>
    <col min="9729" max="9970" width="11.7109375" style="43"/>
    <col min="9971" max="9971" width="25.28515625" style="43" customWidth="1"/>
    <col min="9972" max="9972" width="12" style="43" customWidth="1"/>
    <col min="9973" max="9978" width="5" style="43" customWidth="1"/>
    <col min="9979" max="9979" width="6.28515625" style="43" customWidth="1"/>
    <col min="9980" max="9981" width="5.28515625" style="43" customWidth="1"/>
    <col min="9982" max="9982" width="5" style="43" customWidth="1"/>
    <col min="9983" max="9983" width="5.28515625" style="43" customWidth="1"/>
    <col min="9984" max="9984" width="5.7109375" style="43" customWidth="1"/>
    <col min="9985" max="10226" width="11.7109375" style="43"/>
    <col min="10227" max="10227" width="25.28515625" style="43" customWidth="1"/>
    <col min="10228" max="10228" width="12" style="43" customWidth="1"/>
    <col min="10229" max="10234" width="5" style="43" customWidth="1"/>
    <col min="10235" max="10235" width="6.28515625" style="43" customWidth="1"/>
    <col min="10236" max="10237" width="5.28515625" style="43" customWidth="1"/>
    <col min="10238" max="10238" width="5" style="43" customWidth="1"/>
    <col min="10239" max="10239" width="5.28515625" style="43" customWidth="1"/>
    <col min="10240" max="10240" width="5.7109375" style="43" customWidth="1"/>
    <col min="10241" max="10482" width="11.7109375" style="43"/>
    <col min="10483" max="10483" width="25.28515625" style="43" customWidth="1"/>
    <col min="10484" max="10484" width="12" style="43" customWidth="1"/>
    <col min="10485" max="10490" width="5" style="43" customWidth="1"/>
    <col min="10491" max="10491" width="6.28515625" style="43" customWidth="1"/>
    <col min="10492" max="10493" width="5.28515625" style="43" customWidth="1"/>
    <col min="10494" max="10494" width="5" style="43" customWidth="1"/>
    <col min="10495" max="10495" width="5.28515625" style="43" customWidth="1"/>
    <col min="10496" max="10496" width="5.7109375" style="43" customWidth="1"/>
    <col min="10497" max="10738" width="11.7109375" style="43"/>
    <col min="10739" max="10739" width="25.28515625" style="43" customWidth="1"/>
    <col min="10740" max="10740" width="12" style="43" customWidth="1"/>
    <col min="10741" max="10746" width="5" style="43" customWidth="1"/>
    <col min="10747" max="10747" width="6.28515625" style="43" customWidth="1"/>
    <col min="10748" max="10749" width="5.28515625" style="43" customWidth="1"/>
    <col min="10750" max="10750" width="5" style="43" customWidth="1"/>
    <col min="10751" max="10751" width="5.28515625" style="43" customWidth="1"/>
    <col min="10752" max="10752" width="5.7109375" style="43" customWidth="1"/>
    <col min="10753" max="10994" width="11.7109375" style="43"/>
    <col min="10995" max="10995" width="25.28515625" style="43" customWidth="1"/>
    <col min="10996" max="10996" width="12" style="43" customWidth="1"/>
    <col min="10997" max="11002" width="5" style="43" customWidth="1"/>
    <col min="11003" max="11003" width="6.28515625" style="43" customWidth="1"/>
    <col min="11004" max="11005" width="5.28515625" style="43" customWidth="1"/>
    <col min="11006" max="11006" width="5" style="43" customWidth="1"/>
    <col min="11007" max="11007" width="5.28515625" style="43" customWidth="1"/>
    <col min="11008" max="11008" width="5.7109375" style="43" customWidth="1"/>
    <col min="11009" max="11250" width="11.7109375" style="43"/>
    <col min="11251" max="11251" width="25.28515625" style="43" customWidth="1"/>
    <col min="11252" max="11252" width="12" style="43" customWidth="1"/>
    <col min="11253" max="11258" width="5" style="43" customWidth="1"/>
    <col min="11259" max="11259" width="6.28515625" style="43" customWidth="1"/>
    <col min="11260" max="11261" width="5.28515625" style="43" customWidth="1"/>
    <col min="11262" max="11262" width="5" style="43" customWidth="1"/>
    <col min="11263" max="11263" width="5.28515625" style="43" customWidth="1"/>
    <col min="11264" max="11264" width="5.7109375" style="43" customWidth="1"/>
    <col min="11265" max="11506" width="11.7109375" style="43"/>
    <col min="11507" max="11507" width="25.28515625" style="43" customWidth="1"/>
    <col min="11508" max="11508" width="12" style="43" customWidth="1"/>
    <col min="11509" max="11514" width="5" style="43" customWidth="1"/>
    <col min="11515" max="11515" width="6.28515625" style="43" customWidth="1"/>
    <col min="11516" max="11517" width="5.28515625" style="43" customWidth="1"/>
    <col min="11518" max="11518" width="5" style="43" customWidth="1"/>
    <col min="11519" max="11519" width="5.28515625" style="43" customWidth="1"/>
    <col min="11520" max="11520" width="5.7109375" style="43" customWidth="1"/>
    <col min="11521" max="11762" width="11.7109375" style="43"/>
    <col min="11763" max="11763" width="25.28515625" style="43" customWidth="1"/>
    <col min="11764" max="11764" width="12" style="43" customWidth="1"/>
    <col min="11765" max="11770" width="5" style="43" customWidth="1"/>
    <col min="11771" max="11771" width="6.28515625" style="43" customWidth="1"/>
    <col min="11772" max="11773" width="5.28515625" style="43" customWidth="1"/>
    <col min="11774" max="11774" width="5" style="43" customWidth="1"/>
    <col min="11775" max="11775" width="5.28515625" style="43" customWidth="1"/>
    <col min="11776" max="11776" width="5.7109375" style="43" customWidth="1"/>
    <col min="11777" max="12018" width="11.7109375" style="43"/>
    <col min="12019" max="12019" width="25.28515625" style="43" customWidth="1"/>
    <col min="12020" max="12020" width="12" style="43" customWidth="1"/>
    <col min="12021" max="12026" width="5" style="43" customWidth="1"/>
    <col min="12027" max="12027" width="6.28515625" style="43" customWidth="1"/>
    <col min="12028" max="12029" width="5.28515625" style="43" customWidth="1"/>
    <col min="12030" max="12030" width="5" style="43" customWidth="1"/>
    <col min="12031" max="12031" width="5.28515625" style="43" customWidth="1"/>
    <col min="12032" max="12032" width="5.7109375" style="43" customWidth="1"/>
    <col min="12033" max="12274" width="11.7109375" style="43"/>
    <col min="12275" max="12275" width="25.28515625" style="43" customWidth="1"/>
    <col min="12276" max="12276" width="12" style="43" customWidth="1"/>
    <col min="12277" max="12282" width="5" style="43" customWidth="1"/>
    <col min="12283" max="12283" width="6.28515625" style="43" customWidth="1"/>
    <col min="12284" max="12285" width="5.28515625" style="43" customWidth="1"/>
    <col min="12286" max="12286" width="5" style="43" customWidth="1"/>
    <col min="12287" max="12287" width="5.28515625" style="43" customWidth="1"/>
    <col min="12288" max="12288" width="5.7109375" style="43" customWidth="1"/>
    <col min="12289" max="12530" width="11.7109375" style="43"/>
    <col min="12531" max="12531" width="25.28515625" style="43" customWidth="1"/>
    <col min="12532" max="12532" width="12" style="43" customWidth="1"/>
    <col min="12533" max="12538" width="5" style="43" customWidth="1"/>
    <col min="12539" max="12539" width="6.28515625" style="43" customWidth="1"/>
    <col min="12540" max="12541" width="5.28515625" style="43" customWidth="1"/>
    <col min="12542" max="12542" width="5" style="43" customWidth="1"/>
    <col min="12543" max="12543" width="5.28515625" style="43" customWidth="1"/>
    <col min="12544" max="12544" width="5.7109375" style="43" customWidth="1"/>
    <col min="12545" max="12786" width="11.7109375" style="43"/>
    <col min="12787" max="12787" width="25.28515625" style="43" customWidth="1"/>
    <col min="12788" max="12788" width="12" style="43" customWidth="1"/>
    <col min="12789" max="12794" width="5" style="43" customWidth="1"/>
    <col min="12795" max="12795" width="6.28515625" style="43" customWidth="1"/>
    <col min="12796" max="12797" width="5.28515625" style="43" customWidth="1"/>
    <col min="12798" max="12798" width="5" style="43" customWidth="1"/>
    <col min="12799" max="12799" width="5.28515625" style="43" customWidth="1"/>
    <col min="12800" max="12800" width="5.7109375" style="43" customWidth="1"/>
    <col min="12801" max="13042" width="11.7109375" style="43"/>
    <col min="13043" max="13043" width="25.28515625" style="43" customWidth="1"/>
    <col min="13044" max="13044" width="12" style="43" customWidth="1"/>
    <col min="13045" max="13050" width="5" style="43" customWidth="1"/>
    <col min="13051" max="13051" width="6.28515625" style="43" customWidth="1"/>
    <col min="13052" max="13053" width="5.28515625" style="43" customWidth="1"/>
    <col min="13054" max="13054" width="5" style="43" customWidth="1"/>
    <col min="13055" max="13055" width="5.28515625" style="43" customWidth="1"/>
    <col min="13056" max="13056" width="5.7109375" style="43" customWidth="1"/>
    <col min="13057" max="13298" width="11.7109375" style="43"/>
    <col min="13299" max="13299" width="25.28515625" style="43" customWidth="1"/>
    <col min="13300" max="13300" width="12" style="43" customWidth="1"/>
    <col min="13301" max="13306" width="5" style="43" customWidth="1"/>
    <col min="13307" max="13307" width="6.28515625" style="43" customWidth="1"/>
    <col min="13308" max="13309" width="5.28515625" style="43" customWidth="1"/>
    <col min="13310" max="13310" width="5" style="43" customWidth="1"/>
    <col min="13311" max="13311" width="5.28515625" style="43" customWidth="1"/>
    <col min="13312" max="13312" width="5.7109375" style="43" customWidth="1"/>
    <col min="13313" max="13554" width="11.7109375" style="43"/>
    <col min="13555" max="13555" width="25.28515625" style="43" customWidth="1"/>
    <col min="13556" max="13556" width="12" style="43" customWidth="1"/>
    <col min="13557" max="13562" width="5" style="43" customWidth="1"/>
    <col min="13563" max="13563" width="6.28515625" style="43" customWidth="1"/>
    <col min="13564" max="13565" width="5.28515625" style="43" customWidth="1"/>
    <col min="13566" max="13566" width="5" style="43" customWidth="1"/>
    <col min="13567" max="13567" width="5.28515625" style="43" customWidth="1"/>
    <col min="13568" max="13568" width="5.7109375" style="43" customWidth="1"/>
    <col min="13569" max="13810" width="11.7109375" style="43"/>
    <col min="13811" max="13811" width="25.28515625" style="43" customWidth="1"/>
    <col min="13812" max="13812" width="12" style="43" customWidth="1"/>
    <col min="13813" max="13818" width="5" style="43" customWidth="1"/>
    <col min="13819" max="13819" width="6.28515625" style="43" customWidth="1"/>
    <col min="13820" max="13821" width="5.28515625" style="43" customWidth="1"/>
    <col min="13822" max="13822" width="5" style="43" customWidth="1"/>
    <col min="13823" max="13823" width="5.28515625" style="43" customWidth="1"/>
    <col min="13824" max="13824" width="5.7109375" style="43" customWidth="1"/>
    <col min="13825" max="14066" width="11.7109375" style="43"/>
    <col min="14067" max="14067" width="25.28515625" style="43" customWidth="1"/>
    <col min="14068" max="14068" width="12" style="43" customWidth="1"/>
    <col min="14069" max="14074" width="5" style="43" customWidth="1"/>
    <col min="14075" max="14075" width="6.28515625" style="43" customWidth="1"/>
    <col min="14076" max="14077" width="5.28515625" style="43" customWidth="1"/>
    <col min="14078" max="14078" width="5" style="43" customWidth="1"/>
    <col min="14079" max="14079" width="5.28515625" style="43" customWidth="1"/>
    <col min="14080" max="14080" width="5.7109375" style="43" customWidth="1"/>
    <col min="14081" max="14322" width="11.7109375" style="43"/>
    <col min="14323" max="14323" width="25.28515625" style="43" customWidth="1"/>
    <col min="14324" max="14324" width="12" style="43" customWidth="1"/>
    <col min="14325" max="14330" width="5" style="43" customWidth="1"/>
    <col min="14331" max="14331" width="6.28515625" style="43" customWidth="1"/>
    <col min="14332" max="14333" width="5.28515625" style="43" customWidth="1"/>
    <col min="14334" max="14334" width="5" style="43" customWidth="1"/>
    <col min="14335" max="14335" width="5.28515625" style="43" customWidth="1"/>
    <col min="14336" max="14336" width="5.7109375" style="43" customWidth="1"/>
    <col min="14337" max="14578" width="11.7109375" style="43"/>
    <col min="14579" max="14579" width="25.28515625" style="43" customWidth="1"/>
    <col min="14580" max="14580" width="12" style="43" customWidth="1"/>
    <col min="14581" max="14586" width="5" style="43" customWidth="1"/>
    <col min="14587" max="14587" width="6.28515625" style="43" customWidth="1"/>
    <col min="14588" max="14589" width="5.28515625" style="43" customWidth="1"/>
    <col min="14590" max="14590" width="5" style="43" customWidth="1"/>
    <col min="14591" max="14591" width="5.28515625" style="43" customWidth="1"/>
    <col min="14592" max="14592" width="5.7109375" style="43" customWidth="1"/>
    <col min="14593" max="14834" width="11.7109375" style="43"/>
    <col min="14835" max="14835" width="25.28515625" style="43" customWidth="1"/>
    <col min="14836" max="14836" width="12" style="43" customWidth="1"/>
    <col min="14837" max="14842" width="5" style="43" customWidth="1"/>
    <col min="14843" max="14843" width="6.28515625" style="43" customWidth="1"/>
    <col min="14844" max="14845" width="5.28515625" style="43" customWidth="1"/>
    <col min="14846" max="14846" width="5" style="43" customWidth="1"/>
    <col min="14847" max="14847" width="5.28515625" style="43" customWidth="1"/>
    <col min="14848" max="14848" width="5.7109375" style="43" customWidth="1"/>
    <col min="14849" max="15090" width="11.7109375" style="43"/>
    <col min="15091" max="15091" width="25.28515625" style="43" customWidth="1"/>
    <col min="15092" max="15092" width="12" style="43" customWidth="1"/>
    <col min="15093" max="15098" width="5" style="43" customWidth="1"/>
    <col min="15099" max="15099" width="6.28515625" style="43" customWidth="1"/>
    <col min="15100" max="15101" width="5.28515625" style="43" customWidth="1"/>
    <col min="15102" max="15102" width="5" style="43" customWidth="1"/>
    <col min="15103" max="15103" width="5.28515625" style="43" customWidth="1"/>
    <col min="15104" max="15104" width="5.7109375" style="43" customWidth="1"/>
    <col min="15105" max="15346" width="11.7109375" style="43"/>
    <col min="15347" max="15347" width="25.28515625" style="43" customWidth="1"/>
    <col min="15348" max="15348" width="12" style="43" customWidth="1"/>
    <col min="15349" max="15354" width="5" style="43" customWidth="1"/>
    <col min="15355" max="15355" width="6.28515625" style="43" customWidth="1"/>
    <col min="15356" max="15357" width="5.28515625" style="43" customWidth="1"/>
    <col min="15358" max="15358" width="5" style="43" customWidth="1"/>
    <col min="15359" max="15359" width="5.28515625" style="43" customWidth="1"/>
    <col min="15360" max="15360" width="5.7109375" style="43" customWidth="1"/>
    <col min="15361" max="15602" width="11.7109375" style="43"/>
    <col min="15603" max="15603" width="25.28515625" style="43" customWidth="1"/>
    <col min="15604" max="15604" width="12" style="43" customWidth="1"/>
    <col min="15605" max="15610" width="5" style="43" customWidth="1"/>
    <col min="15611" max="15611" width="6.28515625" style="43" customWidth="1"/>
    <col min="15612" max="15613" width="5.28515625" style="43" customWidth="1"/>
    <col min="15614" max="15614" width="5" style="43" customWidth="1"/>
    <col min="15615" max="15615" width="5.28515625" style="43" customWidth="1"/>
    <col min="15616" max="15616" width="5.7109375" style="43" customWidth="1"/>
    <col min="15617" max="15858" width="11.7109375" style="43"/>
    <col min="15859" max="15859" width="25.28515625" style="43" customWidth="1"/>
    <col min="15860" max="15860" width="12" style="43" customWidth="1"/>
    <col min="15861" max="15866" width="5" style="43" customWidth="1"/>
    <col min="15867" max="15867" width="6.28515625" style="43" customWidth="1"/>
    <col min="15868" max="15869" width="5.28515625" style="43" customWidth="1"/>
    <col min="15870" max="15870" width="5" style="43" customWidth="1"/>
    <col min="15871" max="15871" width="5.28515625" style="43" customWidth="1"/>
    <col min="15872" max="15872" width="5.7109375" style="43" customWidth="1"/>
    <col min="15873" max="16114" width="11.7109375" style="43"/>
    <col min="16115" max="16115" width="25.28515625" style="43" customWidth="1"/>
    <col min="16116" max="16116" width="12" style="43" customWidth="1"/>
    <col min="16117" max="16122" width="5" style="43" customWidth="1"/>
    <col min="16123" max="16123" width="6.28515625" style="43" customWidth="1"/>
    <col min="16124" max="16125" width="5.28515625" style="43" customWidth="1"/>
    <col min="16126" max="16126" width="5" style="43" customWidth="1"/>
    <col min="16127" max="16127" width="5.28515625" style="43" customWidth="1"/>
    <col min="16128" max="16128" width="5.7109375" style="43" customWidth="1"/>
    <col min="16129" max="16381" width="11.7109375" style="43"/>
    <col min="16382" max="16384" width="11.28515625" style="43" customWidth="1"/>
  </cols>
  <sheetData>
    <row r="1" spans="1:15" ht="25.7" customHeight="1" x14ac:dyDescent="0.3">
      <c r="A1" s="646" t="s">
        <v>379</v>
      </c>
      <c r="B1" s="646"/>
      <c r="C1" s="646"/>
      <c r="D1" s="646"/>
      <c r="E1" s="646"/>
      <c r="F1" s="646"/>
      <c r="G1" s="646"/>
      <c r="H1" s="646"/>
      <c r="I1" s="646"/>
    </row>
    <row r="2" spans="1:15" ht="12.75" customHeight="1" x14ac:dyDescent="0.3">
      <c r="A2" s="647" t="s">
        <v>169</v>
      </c>
      <c r="B2" s="647"/>
      <c r="C2" s="647"/>
      <c r="D2" s="647"/>
      <c r="E2" s="647"/>
      <c r="F2" s="647"/>
      <c r="G2" s="647"/>
      <c r="H2" s="647"/>
      <c r="I2" s="647"/>
    </row>
    <row r="3" spans="1:15" ht="12.75" customHeight="1" x14ac:dyDescent="0.3">
      <c r="A3" s="30"/>
      <c r="B3" s="30"/>
      <c r="C3" s="2"/>
      <c r="D3" s="2"/>
      <c r="E3" s="2"/>
      <c r="F3" s="2"/>
      <c r="G3" s="2"/>
      <c r="H3" s="2"/>
      <c r="I3" s="2"/>
    </row>
    <row r="4" spans="1:15" ht="25.5" customHeight="1" x14ac:dyDescent="0.3">
      <c r="A4" s="309" t="s">
        <v>91</v>
      </c>
      <c r="B4" s="310" t="s">
        <v>92</v>
      </c>
      <c r="C4" s="311">
        <v>2015</v>
      </c>
      <c r="D4" s="311">
        <v>2016</v>
      </c>
      <c r="E4" s="311">
        <v>2017</v>
      </c>
      <c r="F4" s="312">
        <v>2018</v>
      </c>
      <c r="G4" s="311">
        <v>2019</v>
      </c>
      <c r="H4" s="311">
        <v>2020</v>
      </c>
      <c r="I4" s="311" t="s">
        <v>378</v>
      </c>
      <c r="J4" s="108"/>
      <c r="K4" s="109"/>
      <c r="L4" s="110"/>
      <c r="M4" s="110"/>
      <c r="N4" s="110"/>
      <c r="O4" s="110"/>
    </row>
    <row r="5" spans="1:15" ht="3" customHeight="1" x14ac:dyDescent="0.3">
      <c r="A5" s="334"/>
      <c r="B5" s="335"/>
      <c r="J5" s="111"/>
      <c r="K5" s="109"/>
      <c r="L5" s="109"/>
      <c r="M5" s="109"/>
      <c r="N5" s="109"/>
      <c r="O5" s="109"/>
    </row>
    <row r="6" spans="1:15" ht="32.1" customHeight="1" x14ac:dyDescent="0.3">
      <c r="A6" s="639" t="s">
        <v>93</v>
      </c>
      <c r="B6" s="640"/>
      <c r="J6" s="111"/>
      <c r="K6" s="109"/>
      <c r="L6" s="109"/>
      <c r="M6" s="109"/>
      <c r="N6" s="109"/>
      <c r="O6" s="109"/>
    </row>
    <row r="7" spans="1:15" ht="15.95" customHeight="1" x14ac:dyDescent="0.3">
      <c r="A7" s="322" t="s">
        <v>94</v>
      </c>
      <c r="B7" s="323" t="s">
        <v>95</v>
      </c>
      <c r="C7" s="336">
        <v>226.820341145931</v>
      </c>
      <c r="D7" s="336">
        <v>246.006506210406</v>
      </c>
      <c r="E7" s="336">
        <v>214.97893138349312</v>
      </c>
      <c r="F7" s="342">
        <v>234.16210196605084</v>
      </c>
      <c r="G7" s="342">
        <v>236</v>
      </c>
      <c r="H7" s="342">
        <v>239</v>
      </c>
      <c r="I7" s="342">
        <v>232</v>
      </c>
      <c r="J7" s="112"/>
      <c r="K7" s="113"/>
      <c r="L7" s="113"/>
      <c r="M7" s="114"/>
      <c r="N7" s="114"/>
      <c r="O7" s="114"/>
    </row>
    <row r="8" spans="1:15" s="116" customFormat="1" ht="32.1" customHeight="1" x14ac:dyDescent="0.3">
      <c r="A8" s="644" t="s">
        <v>368</v>
      </c>
      <c r="B8" s="645"/>
      <c r="C8" s="343"/>
      <c r="D8" s="343"/>
      <c r="E8" s="343"/>
      <c r="F8" s="343"/>
      <c r="G8" s="343"/>
      <c r="H8" s="343"/>
      <c r="I8" s="343"/>
      <c r="J8" s="115"/>
      <c r="K8" s="113"/>
      <c r="L8" s="113"/>
      <c r="M8" s="114"/>
      <c r="N8" s="114"/>
      <c r="O8" s="114"/>
    </row>
    <row r="9" spans="1:15" ht="15.95" customHeight="1" x14ac:dyDescent="0.3">
      <c r="A9" s="324" t="s">
        <v>97</v>
      </c>
      <c r="B9" s="326" t="s">
        <v>98</v>
      </c>
      <c r="C9" s="344">
        <v>227.90399268457958</v>
      </c>
      <c r="D9" s="344">
        <v>248.18431486197548</v>
      </c>
      <c r="E9" s="344">
        <v>257.34210665998359</v>
      </c>
      <c r="F9" s="342">
        <v>233.47903110720571</v>
      </c>
      <c r="G9" s="342">
        <v>228</v>
      </c>
      <c r="H9" s="342">
        <v>259</v>
      </c>
      <c r="I9" s="342">
        <v>242</v>
      </c>
      <c r="J9" s="117"/>
      <c r="K9" s="113"/>
      <c r="L9" s="113"/>
      <c r="M9" s="118"/>
      <c r="N9" s="118"/>
      <c r="O9" s="118"/>
    </row>
    <row r="10" spans="1:15" ht="15.95" customHeight="1" x14ac:dyDescent="0.3">
      <c r="A10" s="324" t="s">
        <v>170</v>
      </c>
      <c r="B10" s="327" t="s">
        <v>35</v>
      </c>
      <c r="C10" s="344">
        <v>340.74291980687605</v>
      </c>
      <c r="D10" s="344">
        <v>314.27288857050104</v>
      </c>
      <c r="E10" s="337">
        <v>295.39662792894489</v>
      </c>
      <c r="F10" s="342">
        <v>315.91646067823552</v>
      </c>
      <c r="G10" s="342">
        <v>295</v>
      </c>
      <c r="H10" s="342">
        <v>313</v>
      </c>
      <c r="I10" s="342">
        <v>287</v>
      </c>
      <c r="J10" s="117"/>
      <c r="K10" s="113"/>
      <c r="L10" s="113"/>
      <c r="M10" s="118"/>
      <c r="N10" s="118"/>
      <c r="O10" s="118"/>
    </row>
    <row r="11" spans="1:15" ht="15.95" customHeight="1" x14ac:dyDescent="0.3">
      <c r="A11" s="324" t="s">
        <v>99</v>
      </c>
      <c r="B11" s="327" t="s">
        <v>100</v>
      </c>
      <c r="C11" s="336">
        <v>185.91463262430864</v>
      </c>
      <c r="D11" s="336">
        <v>193.09540331122986</v>
      </c>
      <c r="E11" s="336">
        <v>184.35702615039767</v>
      </c>
      <c r="F11" s="342">
        <v>196.20873612633653</v>
      </c>
      <c r="G11" s="342">
        <v>211</v>
      </c>
      <c r="H11" s="342">
        <v>189</v>
      </c>
      <c r="I11" s="342">
        <v>183</v>
      </c>
      <c r="J11" s="117"/>
      <c r="K11" s="113"/>
      <c r="L11" s="113"/>
      <c r="M11" s="118"/>
      <c r="N11" s="118"/>
      <c r="O11" s="118"/>
    </row>
    <row r="12" spans="1:15" ht="15.95" customHeight="1" x14ac:dyDescent="0.3">
      <c r="A12" s="324" t="s">
        <v>101</v>
      </c>
      <c r="B12" s="326" t="s">
        <v>57</v>
      </c>
      <c r="C12" s="344">
        <v>349.8664591687197</v>
      </c>
      <c r="D12" s="344">
        <v>341.27717720710825</v>
      </c>
      <c r="E12" s="344">
        <v>314.54343284931781</v>
      </c>
      <c r="F12" s="342">
        <v>322.72852527867275</v>
      </c>
      <c r="G12" s="342">
        <v>413</v>
      </c>
      <c r="H12" s="342">
        <v>355</v>
      </c>
      <c r="I12" s="342">
        <v>352</v>
      </c>
      <c r="J12" s="117"/>
      <c r="K12" s="113"/>
      <c r="L12" s="113"/>
      <c r="M12" s="118"/>
      <c r="N12" s="118"/>
      <c r="O12" s="118"/>
    </row>
    <row r="13" spans="1:15" ht="15.95" customHeight="1" x14ac:dyDescent="0.3">
      <c r="A13" s="324" t="s">
        <v>102</v>
      </c>
      <c r="B13" s="327" t="s">
        <v>103</v>
      </c>
      <c r="C13" s="336">
        <v>263.82631348680593</v>
      </c>
      <c r="D13" s="336">
        <v>253.69384613542181</v>
      </c>
      <c r="E13" s="336">
        <v>233.25131974139217</v>
      </c>
      <c r="F13" s="342">
        <v>281.0276996210921</v>
      </c>
      <c r="G13" s="342">
        <v>278</v>
      </c>
      <c r="H13" s="342">
        <v>292</v>
      </c>
      <c r="I13" s="342">
        <v>296</v>
      </c>
      <c r="J13" s="117"/>
      <c r="K13" s="113"/>
      <c r="L13" s="113"/>
      <c r="M13" s="118"/>
      <c r="N13" s="118"/>
      <c r="O13" s="118"/>
    </row>
    <row r="14" spans="1:15" ht="15.95" customHeight="1" x14ac:dyDescent="0.3">
      <c r="A14" s="324" t="s">
        <v>104</v>
      </c>
      <c r="B14" s="326" t="s">
        <v>81</v>
      </c>
      <c r="C14" s="344">
        <v>149.30123795820083</v>
      </c>
      <c r="D14" s="344">
        <v>157.78699127310745</v>
      </c>
      <c r="E14" s="337">
        <v>166.2231628940369</v>
      </c>
      <c r="F14" s="342">
        <v>162.05954519547601</v>
      </c>
      <c r="G14" s="342">
        <v>163</v>
      </c>
      <c r="H14" s="342">
        <v>162</v>
      </c>
      <c r="I14" s="342">
        <v>158</v>
      </c>
      <c r="J14" s="117"/>
      <c r="K14" s="113"/>
      <c r="L14" s="113"/>
      <c r="M14" s="118"/>
      <c r="N14" s="118"/>
      <c r="O14" s="118"/>
    </row>
    <row r="15" spans="1:15" ht="15.95" customHeight="1" x14ac:dyDescent="0.3">
      <c r="A15" s="324" t="s">
        <v>105</v>
      </c>
      <c r="B15" s="326" t="s">
        <v>106</v>
      </c>
      <c r="C15" s="345">
        <v>265.40301828142879</v>
      </c>
      <c r="D15" s="345">
        <v>280.76712782952723</v>
      </c>
      <c r="E15" s="345">
        <v>281.05332393342326</v>
      </c>
      <c r="F15" s="345">
        <v>276.30530848280324</v>
      </c>
      <c r="G15" s="345">
        <v>289</v>
      </c>
      <c r="H15" s="345">
        <v>334</v>
      </c>
      <c r="I15" s="345">
        <v>325</v>
      </c>
      <c r="J15" s="117"/>
      <c r="K15" s="113"/>
      <c r="L15" s="113"/>
      <c r="M15" s="118"/>
      <c r="N15" s="118"/>
      <c r="O15" s="118"/>
    </row>
    <row r="16" spans="1:15" ht="15.95" customHeight="1" x14ac:dyDescent="0.3">
      <c r="A16" s="324" t="s">
        <v>107</v>
      </c>
      <c r="B16" s="326" t="s">
        <v>108</v>
      </c>
      <c r="C16" s="336">
        <v>246.94163420609866</v>
      </c>
      <c r="D16" s="336">
        <v>259.64845071350334</v>
      </c>
      <c r="E16" s="336">
        <v>280.00574903791232</v>
      </c>
      <c r="F16" s="342">
        <v>283.37700818513184</v>
      </c>
      <c r="G16" s="342">
        <v>262</v>
      </c>
      <c r="H16" s="342">
        <v>260</v>
      </c>
      <c r="I16" s="342">
        <v>253</v>
      </c>
      <c r="J16" s="117"/>
      <c r="K16" s="113"/>
      <c r="L16" s="113"/>
      <c r="M16" s="118"/>
      <c r="N16" s="118"/>
      <c r="O16" s="118"/>
    </row>
    <row r="17" spans="1:15" ht="15.95" customHeight="1" x14ac:dyDescent="0.3">
      <c r="A17" s="324" t="s">
        <v>109</v>
      </c>
      <c r="B17" s="326" t="s">
        <v>110</v>
      </c>
      <c r="C17" s="344">
        <v>230.27126479118684</v>
      </c>
      <c r="D17" s="344">
        <v>236.53749715579232</v>
      </c>
      <c r="E17" s="344">
        <v>218.65588059893713</v>
      </c>
      <c r="F17" s="342">
        <v>242.50911042708137</v>
      </c>
      <c r="G17" s="342">
        <v>241</v>
      </c>
      <c r="H17" s="342">
        <v>243</v>
      </c>
      <c r="I17" s="342">
        <v>226</v>
      </c>
      <c r="J17" s="117"/>
      <c r="K17" s="113"/>
      <c r="L17" s="113"/>
      <c r="M17" s="118"/>
      <c r="N17" s="118"/>
      <c r="O17" s="118"/>
    </row>
    <row r="18" spans="1:15" ht="15.95" customHeight="1" x14ac:dyDescent="0.3">
      <c r="A18" s="324" t="s">
        <v>111</v>
      </c>
      <c r="B18" s="326" t="s">
        <v>112</v>
      </c>
      <c r="C18" s="344">
        <v>201.04095234488815</v>
      </c>
      <c r="D18" s="344">
        <v>203.85775458590138</v>
      </c>
      <c r="E18" s="344">
        <v>205.94213501953166</v>
      </c>
      <c r="F18" s="342">
        <v>229.94528732410834</v>
      </c>
      <c r="G18" s="342">
        <v>232</v>
      </c>
      <c r="H18" s="342">
        <v>230</v>
      </c>
      <c r="I18" s="342">
        <v>227</v>
      </c>
      <c r="J18" s="117"/>
      <c r="K18" s="113"/>
      <c r="L18" s="113"/>
      <c r="M18" s="118"/>
      <c r="N18" s="118"/>
      <c r="O18" s="118"/>
    </row>
    <row r="19" spans="1:15" s="116" customFormat="1" ht="15.95" customHeight="1" x14ac:dyDescent="0.3">
      <c r="A19" s="324" t="s">
        <v>113</v>
      </c>
      <c r="B19" s="326" t="s">
        <v>114</v>
      </c>
      <c r="C19" s="344">
        <v>234.09821234590089</v>
      </c>
      <c r="D19" s="344">
        <v>226.6228226583261</v>
      </c>
      <c r="E19" s="344">
        <v>221.11626987130956</v>
      </c>
      <c r="F19" s="342">
        <v>229.63501547958865</v>
      </c>
      <c r="G19" s="342">
        <v>219</v>
      </c>
      <c r="H19" s="342">
        <v>243</v>
      </c>
      <c r="I19" s="342">
        <v>227</v>
      </c>
      <c r="J19" s="117"/>
      <c r="K19" s="113"/>
      <c r="L19" s="113"/>
      <c r="M19" s="118"/>
      <c r="N19" s="118"/>
      <c r="O19" s="118"/>
    </row>
    <row r="20" spans="1:15" ht="15.95" customHeight="1" x14ac:dyDescent="0.3">
      <c r="A20" s="324" t="s">
        <v>115</v>
      </c>
      <c r="B20" s="326" t="s">
        <v>116</v>
      </c>
      <c r="C20" s="344">
        <v>235.86877871818504</v>
      </c>
      <c r="D20" s="344">
        <v>234.29628400905472</v>
      </c>
      <c r="E20" s="344">
        <v>235.68497641389482</v>
      </c>
      <c r="F20" s="342">
        <v>242.37007980255652</v>
      </c>
      <c r="G20" s="342">
        <v>277</v>
      </c>
      <c r="H20" s="342">
        <v>262</v>
      </c>
      <c r="I20" s="342">
        <v>270</v>
      </c>
      <c r="J20" s="117"/>
      <c r="K20" s="113"/>
      <c r="L20" s="113"/>
      <c r="M20" s="118"/>
      <c r="N20" s="118"/>
      <c r="O20" s="118"/>
    </row>
    <row r="21" spans="1:15" ht="15.95" customHeight="1" x14ac:dyDescent="0.3">
      <c r="A21" s="324" t="s">
        <v>117</v>
      </c>
      <c r="B21" s="329" t="s">
        <v>100</v>
      </c>
      <c r="C21" s="344">
        <v>156.33752635053855</v>
      </c>
      <c r="D21" s="344">
        <v>160.05233377102689</v>
      </c>
      <c r="E21" s="344">
        <v>161.65554104948123</v>
      </c>
      <c r="F21" s="342">
        <v>182.11712384401517</v>
      </c>
      <c r="G21" s="342">
        <v>181</v>
      </c>
      <c r="H21" s="342">
        <v>181</v>
      </c>
      <c r="I21" s="342">
        <v>174</v>
      </c>
      <c r="J21" s="117"/>
      <c r="K21" s="113"/>
      <c r="L21" s="113"/>
      <c r="M21" s="118"/>
      <c r="N21" s="118"/>
      <c r="O21" s="118"/>
    </row>
    <row r="22" spans="1:15" ht="15.95" customHeight="1" x14ac:dyDescent="0.3">
      <c r="A22" s="324" t="s">
        <v>118</v>
      </c>
      <c r="B22" s="326" t="s">
        <v>63</v>
      </c>
      <c r="C22" s="344">
        <v>168.26786535050758</v>
      </c>
      <c r="D22" s="344">
        <v>167.72862983638765</v>
      </c>
      <c r="E22" s="337">
        <v>163.26060144460095</v>
      </c>
      <c r="F22" s="342">
        <v>171.77958922667855</v>
      </c>
      <c r="G22" s="342">
        <v>178</v>
      </c>
      <c r="H22" s="342">
        <v>172</v>
      </c>
      <c r="I22" s="342">
        <v>172</v>
      </c>
      <c r="J22" s="117"/>
      <c r="K22" s="113"/>
      <c r="L22" s="113"/>
      <c r="M22" s="118"/>
      <c r="N22" s="118"/>
      <c r="O22" s="118"/>
    </row>
    <row r="23" spans="1:15" ht="15.95" customHeight="1" x14ac:dyDescent="0.3">
      <c r="A23" s="324" t="s">
        <v>119</v>
      </c>
      <c r="B23" s="326" t="s">
        <v>120</v>
      </c>
      <c r="C23" s="344">
        <v>197.09211443596854</v>
      </c>
      <c r="D23" s="344">
        <v>199.40718333630991</v>
      </c>
      <c r="E23" s="344">
        <v>188.55014127849137</v>
      </c>
      <c r="F23" s="342">
        <v>185.04596070485087</v>
      </c>
      <c r="G23" s="342">
        <v>189</v>
      </c>
      <c r="H23" s="342">
        <v>192</v>
      </c>
      <c r="I23" s="342">
        <v>189</v>
      </c>
      <c r="J23" s="117"/>
      <c r="K23" s="113"/>
      <c r="L23" s="113"/>
      <c r="M23" s="118"/>
      <c r="N23" s="118"/>
      <c r="O23" s="118"/>
    </row>
    <row r="24" spans="1:15" ht="15.95" customHeight="1" x14ac:dyDescent="0.3">
      <c r="A24" s="324" t="s">
        <v>121</v>
      </c>
      <c r="B24" s="329" t="s">
        <v>122</v>
      </c>
      <c r="C24" s="344">
        <v>271.74259415856983</v>
      </c>
      <c r="D24" s="344">
        <v>280.61775374467391</v>
      </c>
      <c r="E24" s="337">
        <v>291.09104295448134</v>
      </c>
      <c r="F24" s="342">
        <v>282.77125834001242</v>
      </c>
      <c r="G24" s="342">
        <v>261</v>
      </c>
      <c r="H24" s="342">
        <v>275</v>
      </c>
      <c r="I24" s="342">
        <v>272</v>
      </c>
      <c r="J24" s="117"/>
      <c r="K24" s="113"/>
      <c r="L24" s="113"/>
      <c r="M24" s="118"/>
      <c r="N24" s="118"/>
      <c r="O24" s="118"/>
    </row>
    <row r="25" spans="1:15" ht="15.95" customHeight="1" x14ac:dyDescent="0.3">
      <c r="A25" s="324" t="s">
        <v>123</v>
      </c>
      <c r="B25" s="326" t="s">
        <v>124</v>
      </c>
      <c r="C25" s="344">
        <v>224.32957077198807</v>
      </c>
      <c r="D25" s="344">
        <v>232.95585229762659</v>
      </c>
      <c r="E25" s="344">
        <v>230.23047619847085</v>
      </c>
      <c r="F25" s="342">
        <v>223.48515954156517</v>
      </c>
      <c r="G25" s="342">
        <v>235</v>
      </c>
      <c r="H25" s="342">
        <v>239</v>
      </c>
      <c r="I25" s="342">
        <v>204</v>
      </c>
      <c r="J25" s="117"/>
      <c r="K25" s="113"/>
      <c r="L25" s="113"/>
      <c r="M25" s="118"/>
      <c r="N25" s="118"/>
      <c r="O25" s="118"/>
    </row>
    <row r="26" spans="1:15" ht="15.95" customHeight="1" x14ac:dyDescent="0.3">
      <c r="A26" s="324" t="s">
        <v>125</v>
      </c>
      <c r="B26" s="326" t="s">
        <v>35</v>
      </c>
      <c r="C26" s="344">
        <v>305.9991419578073</v>
      </c>
      <c r="D26" s="344">
        <v>256.79758103671162</v>
      </c>
      <c r="E26" s="344">
        <v>326.48375724434032</v>
      </c>
      <c r="F26" s="342">
        <v>335.85497563378368</v>
      </c>
      <c r="G26" s="342">
        <v>262</v>
      </c>
      <c r="H26" s="342">
        <v>259</v>
      </c>
      <c r="I26" s="342">
        <v>318</v>
      </c>
      <c r="J26" s="117"/>
      <c r="K26" s="113"/>
      <c r="L26" s="113"/>
      <c r="M26" s="118"/>
      <c r="N26" s="118"/>
      <c r="O26" s="118"/>
    </row>
    <row r="27" spans="1:15" ht="32.1" customHeight="1" x14ac:dyDescent="0.3">
      <c r="A27" s="639" t="s">
        <v>126</v>
      </c>
      <c r="B27" s="640"/>
      <c r="C27" s="343">
        <v>0</v>
      </c>
      <c r="D27" s="343">
        <v>0</v>
      </c>
      <c r="E27" s="343"/>
      <c r="F27" s="343"/>
      <c r="G27" s="343"/>
      <c r="H27" s="343"/>
      <c r="I27" s="343"/>
      <c r="J27" s="117"/>
      <c r="K27" s="113"/>
      <c r="L27" s="113"/>
      <c r="M27" s="118"/>
      <c r="N27" s="118"/>
      <c r="O27" s="118"/>
    </row>
    <row r="28" spans="1:15" ht="15.95" customHeight="1" x14ac:dyDescent="0.3">
      <c r="A28" s="324" t="s">
        <v>127</v>
      </c>
      <c r="B28" s="327" t="s">
        <v>128</v>
      </c>
      <c r="C28" s="336">
        <v>293.01585979253355</v>
      </c>
      <c r="D28" s="336">
        <v>305.72770510968775</v>
      </c>
      <c r="E28" s="336">
        <v>300.42611913621027</v>
      </c>
      <c r="F28" s="342">
        <v>318.59857328339336</v>
      </c>
      <c r="G28" s="342">
        <v>304</v>
      </c>
      <c r="H28" s="342">
        <v>323</v>
      </c>
      <c r="I28" s="342">
        <v>306</v>
      </c>
      <c r="J28" s="117"/>
      <c r="K28" s="119"/>
      <c r="L28" s="119"/>
      <c r="M28" s="118"/>
      <c r="N28" s="118"/>
      <c r="O28" s="118"/>
    </row>
    <row r="29" spans="1:15" ht="15.95" customHeight="1" x14ac:dyDescent="0.3">
      <c r="A29" s="324" t="s">
        <v>129</v>
      </c>
      <c r="B29" s="327" t="s">
        <v>128</v>
      </c>
      <c r="C29" s="336">
        <v>207.39720377300557</v>
      </c>
      <c r="D29" s="336">
        <v>212.57312680994926</v>
      </c>
      <c r="E29" s="336">
        <v>221.60731920363506</v>
      </c>
      <c r="F29" s="118">
        <v>192.60337721240452</v>
      </c>
      <c r="G29" s="113">
        <v>203</v>
      </c>
      <c r="H29" s="113">
        <v>207</v>
      </c>
      <c r="I29" s="113">
        <v>203</v>
      </c>
      <c r="J29" s="117"/>
      <c r="K29" s="119"/>
      <c r="L29" s="119"/>
      <c r="M29" s="118"/>
      <c r="N29" s="118"/>
      <c r="O29" s="118"/>
    </row>
    <row r="30" spans="1:15" ht="15.95" customHeight="1" x14ac:dyDescent="0.3">
      <c r="A30" s="324" t="s">
        <v>130</v>
      </c>
      <c r="B30" s="326" t="s">
        <v>128</v>
      </c>
      <c r="C30" s="336">
        <v>305.36272241445391</v>
      </c>
      <c r="D30" s="336">
        <v>290.85605394020098</v>
      </c>
      <c r="E30" s="336">
        <v>283.3522864605323</v>
      </c>
      <c r="F30" s="342">
        <v>304.12527711057504</v>
      </c>
      <c r="G30" s="342">
        <v>258</v>
      </c>
      <c r="H30" s="342">
        <v>257</v>
      </c>
      <c r="I30" s="342">
        <v>248</v>
      </c>
      <c r="J30" s="117"/>
      <c r="K30" s="113"/>
      <c r="L30" s="113"/>
      <c r="M30" s="118"/>
      <c r="N30" s="118"/>
      <c r="O30" s="118"/>
    </row>
    <row r="31" spans="1:15" ht="15.95" customHeight="1" x14ac:dyDescent="0.3">
      <c r="A31" s="324" t="s">
        <v>131</v>
      </c>
      <c r="B31" s="327" t="s">
        <v>98</v>
      </c>
      <c r="C31" s="336">
        <v>219.43559494760194</v>
      </c>
      <c r="D31" s="336">
        <v>219.17158654435067</v>
      </c>
      <c r="E31" s="336">
        <v>215.47089907424601</v>
      </c>
      <c r="F31" s="342">
        <v>213.73733692539807</v>
      </c>
      <c r="G31" s="342">
        <v>194</v>
      </c>
      <c r="H31" s="342">
        <v>196</v>
      </c>
      <c r="I31" s="342">
        <v>182</v>
      </c>
      <c r="J31" s="117"/>
      <c r="K31" s="113"/>
      <c r="L31" s="113"/>
      <c r="M31" s="118"/>
      <c r="N31" s="118"/>
      <c r="O31" s="118"/>
    </row>
    <row r="32" spans="1:15" ht="15.95" customHeight="1" x14ac:dyDescent="0.3">
      <c r="A32" s="324" t="s">
        <v>132</v>
      </c>
      <c r="B32" s="327" t="s">
        <v>35</v>
      </c>
      <c r="C32" s="336">
        <v>259.65395468035911</v>
      </c>
      <c r="D32" s="336">
        <v>257.15023899346528</v>
      </c>
      <c r="E32" s="336">
        <v>365.93007500176475</v>
      </c>
      <c r="F32" s="342">
        <v>275.44772322464058</v>
      </c>
      <c r="G32" s="342">
        <v>288</v>
      </c>
      <c r="H32" s="342">
        <v>306</v>
      </c>
      <c r="I32" s="342">
        <v>257</v>
      </c>
      <c r="J32" s="117"/>
      <c r="K32" s="119"/>
      <c r="L32" s="119"/>
      <c r="M32" s="118"/>
      <c r="N32" s="118"/>
      <c r="O32" s="118"/>
    </row>
    <row r="33" spans="1:15" ht="15.95" customHeight="1" x14ac:dyDescent="0.3">
      <c r="A33" s="324" t="s">
        <v>134</v>
      </c>
      <c r="B33" s="325" t="s">
        <v>171</v>
      </c>
      <c r="C33" s="336">
        <v>330.31757087892248</v>
      </c>
      <c r="D33" s="336">
        <v>293.43956465302136</v>
      </c>
      <c r="E33" s="336">
        <v>433.17368360263873</v>
      </c>
      <c r="F33" s="342">
        <v>398.41516196967109</v>
      </c>
      <c r="G33" s="342">
        <v>389</v>
      </c>
      <c r="H33" s="342">
        <v>379</v>
      </c>
      <c r="I33" s="342">
        <v>358</v>
      </c>
      <c r="J33" s="117"/>
      <c r="K33" s="119"/>
      <c r="L33" s="119"/>
      <c r="M33" s="118"/>
      <c r="N33" s="118"/>
      <c r="O33" s="118"/>
    </row>
    <row r="34" spans="1:15" ht="15.95" customHeight="1" x14ac:dyDescent="0.3">
      <c r="A34" s="324" t="s">
        <v>136</v>
      </c>
      <c r="B34" s="327" t="s">
        <v>137</v>
      </c>
      <c r="C34" s="336">
        <v>212.29106986155583</v>
      </c>
      <c r="D34" s="336">
        <v>223.4145301638662</v>
      </c>
      <c r="E34" s="336">
        <v>211.8640925804871</v>
      </c>
      <c r="F34" s="342">
        <v>226.10811839047548</v>
      </c>
      <c r="G34" s="342">
        <v>230</v>
      </c>
      <c r="H34" s="342">
        <v>236</v>
      </c>
      <c r="I34" s="342">
        <v>216</v>
      </c>
      <c r="J34" s="117"/>
      <c r="K34" s="113"/>
      <c r="L34" s="113"/>
      <c r="M34" s="118"/>
      <c r="N34" s="118"/>
      <c r="O34" s="118"/>
    </row>
    <row r="35" spans="1:15" ht="15.95" customHeight="1" x14ac:dyDescent="0.3">
      <c r="A35" s="324" t="s">
        <v>138</v>
      </c>
      <c r="B35" s="326" t="s">
        <v>81</v>
      </c>
      <c r="C35" s="336">
        <v>175.07912536059027</v>
      </c>
      <c r="D35" s="336">
        <v>191.50897724103956</v>
      </c>
      <c r="E35" s="336">
        <v>193.79199952714396</v>
      </c>
      <c r="F35" s="342">
        <v>200.6351496085916</v>
      </c>
      <c r="G35" s="342">
        <v>214</v>
      </c>
      <c r="H35" s="342">
        <v>228</v>
      </c>
      <c r="I35" s="342">
        <v>221</v>
      </c>
      <c r="J35" s="117"/>
      <c r="K35" s="113"/>
      <c r="L35" s="113"/>
      <c r="M35" s="118"/>
      <c r="N35" s="118"/>
      <c r="O35" s="118"/>
    </row>
    <row r="36" spans="1:15" ht="15.95" customHeight="1" x14ac:dyDescent="0.3">
      <c r="A36" s="324" t="s">
        <v>139</v>
      </c>
      <c r="B36" s="327" t="s">
        <v>140</v>
      </c>
      <c r="C36" s="336">
        <v>328.06075819172599</v>
      </c>
      <c r="D36" s="336">
        <v>292.0471787723439</v>
      </c>
      <c r="E36" s="337">
        <v>285.27124636394672</v>
      </c>
      <c r="F36" s="342">
        <v>249.8454073719094</v>
      </c>
      <c r="G36" s="342">
        <v>245</v>
      </c>
      <c r="H36" s="342">
        <v>253</v>
      </c>
      <c r="I36" s="342">
        <v>239</v>
      </c>
      <c r="J36" s="117"/>
      <c r="K36" s="113"/>
      <c r="L36" s="113"/>
      <c r="M36" s="118"/>
      <c r="N36" s="118"/>
      <c r="O36" s="118"/>
    </row>
    <row r="37" spans="1:15" ht="15.95" customHeight="1" x14ac:dyDescent="0.3">
      <c r="A37" s="324" t="s">
        <v>141</v>
      </c>
      <c r="B37" s="327" t="s">
        <v>114</v>
      </c>
      <c r="C37" s="336">
        <v>295.50473524770592</v>
      </c>
      <c r="D37" s="336">
        <v>324.88724325091289</v>
      </c>
      <c r="E37" s="336">
        <v>335.61511306549238</v>
      </c>
      <c r="F37" s="342">
        <v>335.98948878166732</v>
      </c>
      <c r="G37" s="342">
        <v>343</v>
      </c>
      <c r="H37" s="342">
        <v>341</v>
      </c>
      <c r="I37" s="342">
        <v>329</v>
      </c>
      <c r="J37" s="117"/>
      <c r="K37" s="113"/>
      <c r="L37" s="113"/>
      <c r="M37" s="118"/>
      <c r="N37" s="118"/>
      <c r="O37" s="118"/>
    </row>
    <row r="38" spans="1:15" ht="15.95" customHeight="1" x14ac:dyDescent="0.3">
      <c r="A38" s="324" t="s">
        <v>142</v>
      </c>
      <c r="B38" s="327" t="s">
        <v>27</v>
      </c>
      <c r="C38" s="336">
        <v>286.77210597678976</v>
      </c>
      <c r="D38" s="336">
        <v>304.58661269367599</v>
      </c>
      <c r="E38" s="336">
        <v>292.51978840967763</v>
      </c>
      <c r="F38" s="342">
        <v>303.86847678645461</v>
      </c>
      <c r="G38" s="342">
        <v>259</v>
      </c>
      <c r="H38" s="342">
        <v>320</v>
      </c>
      <c r="I38" s="342">
        <v>296</v>
      </c>
      <c r="J38" s="117"/>
      <c r="K38" s="113"/>
      <c r="L38" s="113"/>
      <c r="M38" s="118"/>
      <c r="N38" s="118"/>
      <c r="O38" s="118"/>
    </row>
    <row r="39" spans="1:15" ht="15.95" customHeight="1" x14ac:dyDescent="0.3">
      <c r="A39" s="324" t="s">
        <v>143</v>
      </c>
      <c r="B39" s="327" t="s">
        <v>122</v>
      </c>
      <c r="C39" s="336">
        <v>390.65816542230914</v>
      </c>
      <c r="D39" s="336">
        <v>352.5646818126595</v>
      </c>
      <c r="E39" s="336">
        <v>353.21068380205344</v>
      </c>
      <c r="F39" s="342">
        <v>391.72582988210729</v>
      </c>
      <c r="G39" s="342">
        <v>390</v>
      </c>
      <c r="H39" s="342">
        <v>400</v>
      </c>
      <c r="I39" s="342">
        <v>399</v>
      </c>
      <c r="J39" s="117"/>
      <c r="K39" s="113"/>
      <c r="L39" s="113"/>
      <c r="M39" s="118"/>
      <c r="N39" s="118"/>
      <c r="O39" s="118"/>
    </row>
    <row r="40" spans="1:15" ht="15.95" customHeight="1" x14ac:dyDescent="0.3">
      <c r="A40" s="324" t="s">
        <v>144</v>
      </c>
      <c r="B40" s="327" t="s">
        <v>63</v>
      </c>
      <c r="C40" s="344">
        <v>329.00286843951216</v>
      </c>
      <c r="D40" s="344">
        <v>362.00093343599019</v>
      </c>
      <c r="E40" s="337">
        <v>358.80504352801347</v>
      </c>
      <c r="F40" s="342">
        <v>362.35929517639437</v>
      </c>
      <c r="G40" s="342">
        <v>388</v>
      </c>
      <c r="H40" s="342">
        <v>389</v>
      </c>
      <c r="I40" s="342">
        <v>388</v>
      </c>
      <c r="J40" s="117"/>
      <c r="K40" s="113"/>
      <c r="L40" s="113"/>
      <c r="M40" s="118"/>
      <c r="N40" s="118"/>
      <c r="O40" s="118"/>
    </row>
    <row r="41" spans="1:15" ht="15.95" customHeight="1" x14ac:dyDescent="0.3">
      <c r="A41" s="324" t="s">
        <v>145</v>
      </c>
      <c r="B41" s="327" t="s">
        <v>27</v>
      </c>
      <c r="C41" s="336">
        <v>440.66188888840077</v>
      </c>
      <c r="D41" s="336">
        <v>438.19212497041218</v>
      </c>
      <c r="E41" s="337">
        <v>412.00801570219102</v>
      </c>
      <c r="F41" s="342">
        <v>337.85307714710746</v>
      </c>
      <c r="G41" s="342">
        <v>320</v>
      </c>
      <c r="H41" s="342">
        <v>309</v>
      </c>
      <c r="I41" s="342">
        <v>290</v>
      </c>
      <c r="J41" s="117"/>
      <c r="K41" s="113"/>
      <c r="L41" s="113"/>
      <c r="M41" s="118"/>
      <c r="N41" s="118"/>
      <c r="O41" s="118"/>
    </row>
    <row r="42" spans="1:15" ht="15.95" customHeight="1" x14ac:dyDescent="0.3">
      <c r="A42" s="324" t="s">
        <v>146</v>
      </c>
      <c r="B42" s="327" t="s">
        <v>147</v>
      </c>
      <c r="C42" s="336">
        <v>593.75433467038079</v>
      </c>
      <c r="D42" s="336">
        <v>657.76361287442285</v>
      </c>
      <c r="E42" s="336">
        <v>641.01594685594887</v>
      </c>
      <c r="F42" s="342">
        <v>649.45252266877196</v>
      </c>
      <c r="G42" s="342">
        <v>644</v>
      </c>
      <c r="H42" s="342">
        <v>642</v>
      </c>
      <c r="I42" s="342">
        <v>582</v>
      </c>
      <c r="J42" s="117"/>
      <c r="K42" s="113"/>
      <c r="L42" s="113"/>
      <c r="M42" s="118"/>
      <c r="N42" s="118"/>
      <c r="O42" s="118"/>
    </row>
    <row r="43" spans="1:15" ht="15.95" customHeight="1" x14ac:dyDescent="0.3">
      <c r="A43" s="324" t="s">
        <v>148</v>
      </c>
      <c r="B43" s="326" t="s">
        <v>128</v>
      </c>
      <c r="C43" s="336">
        <v>422.58631271735203</v>
      </c>
      <c r="D43" s="336">
        <v>430.32760631411946</v>
      </c>
      <c r="E43" s="336">
        <v>426.93689529904128</v>
      </c>
      <c r="F43" s="342">
        <v>378.39536266417502</v>
      </c>
      <c r="G43" s="342">
        <v>366</v>
      </c>
      <c r="H43" s="342">
        <v>355</v>
      </c>
      <c r="I43" s="342">
        <v>343</v>
      </c>
      <c r="J43" s="117"/>
      <c r="K43" s="113"/>
      <c r="L43" s="113"/>
      <c r="M43" s="118"/>
      <c r="N43" s="118"/>
      <c r="O43" s="118"/>
    </row>
    <row r="44" spans="1:15" ht="32.1" customHeight="1" x14ac:dyDescent="0.3">
      <c r="A44" s="639" t="s">
        <v>149</v>
      </c>
      <c r="B44" s="640"/>
      <c r="C44" s="346">
        <v>0</v>
      </c>
      <c r="D44" s="346">
        <v>0</v>
      </c>
      <c r="E44" s="346"/>
      <c r="F44" s="346"/>
      <c r="G44" s="346"/>
      <c r="H44" s="346"/>
      <c r="I44" s="346"/>
      <c r="J44" s="117"/>
      <c r="K44" s="113"/>
      <c r="L44" s="113"/>
      <c r="M44" s="118"/>
      <c r="N44" s="118"/>
      <c r="O44" s="118"/>
    </row>
    <row r="45" spans="1:15" ht="15.95" customHeight="1" x14ac:dyDescent="0.3">
      <c r="A45" s="324" t="s">
        <v>150</v>
      </c>
      <c r="B45" s="326" t="s">
        <v>151</v>
      </c>
      <c r="C45" s="336">
        <v>344.53381841080108</v>
      </c>
      <c r="D45" s="336">
        <v>339.45030083523375</v>
      </c>
      <c r="E45" s="337">
        <v>345.92354595423467</v>
      </c>
      <c r="F45" s="342">
        <v>341.79930825484286</v>
      </c>
      <c r="G45" s="342">
        <v>336</v>
      </c>
      <c r="H45" s="342">
        <v>335</v>
      </c>
      <c r="I45" s="342">
        <v>335</v>
      </c>
      <c r="J45" s="117"/>
      <c r="K45" s="113"/>
      <c r="L45" s="113"/>
      <c r="M45" s="118"/>
      <c r="N45" s="118"/>
      <c r="O45" s="118"/>
    </row>
    <row r="46" spans="1:15" ht="15.95" customHeight="1" x14ac:dyDescent="0.3">
      <c r="A46" s="324" t="s">
        <v>152</v>
      </c>
      <c r="B46" s="327" t="s">
        <v>76</v>
      </c>
      <c r="C46" s="336">
        <v>118.13004297072742</v>
      </c>
      <c r="D46" s="336">
        <v>103.20915557540188</v>
      </c>
      <c r="E46" s="336">
        <v>105.33630777429194</v>
      </c>
      <c r="F46" s="342">
        <v>123.36110406562925</v>
      </c>
      <c r="G46" s="342">
        <v>124</v>
      </c>
      <c r="H46" s="342">
        <v>95</v>
      </c>
      <c r="I46" s="342">
        <v>94</v>
      </c>
      <c r="J46" s="117"/>
      <c r="K46" s="113"/>
      <c r="L46" s="113"/>
      <c r="M46" s="118"/>
      <c r="N46" s="118"/>
      <c r="O46" s="118"/>
    </row>
    <row r="47" spans="1:15" ht="15.95" customHeight="1" x14ac:dyDescent="0.3">
      <c r="A47" s="324" t="s">
        <v>153</v>
      </c>
      <c r="B47" s="326" t="s">
        <v>100</v>
      </c>
      <c r="C47" s="336">
        <v>322.81675682399663</v>
      </c>
      <c r="D47" s="336">
        <v>310.85873303863787</v>
      </c>
      <c r="E47" s="336">
        <v>302.09759215080663</v>
      </c>
      <c r="F47" s="342">
        <v>335.88695721780414</v>
      </c>
      <c r="G47" s="342">
        <v>359</v>
      </c>
      <c r="H47" s="342">
        <v>350</v>
      </c>
      <c r="I47" s="342">
        <v>360</v>
      </c>
      <c r="J47" s="117"/>
      <c r="K47" s="113"/>
      <c r="L47" s="113"/>
      <c r="M47" s="118"/>
      <c r="N47" s="118"/>
      <c r="O47" s="118"/>
    </row>
    <row r="48" spans="1:15" ht="15.95" customHeight="1" x14ac:dyDescent="0.3">
      <c r="A48" s="324" t="s">
        <v>154</v>
      </c>
      <c r="B48" s="326" t="s">
        <v>155</v>
      </c>
      <c r="C48" s="336">
        <v>365.3228876083835</v>
      </c>
      <c r="D48" s="336">
        <v>407.0849302388591</v>
      </c>
      <c r="E48" s="337">
        <v>446.12835188336066</v>
      </c>
      <c r="F48" s="342">
        <v>501.82697246474186</v>
      </c>
      <c r="G48" s="342">
        <v>183</v>
      </c>
      <c r="H48" s="342">
        <v>194</v>
      </c>
      <c r="I48" s="342">
        <v>531</v>
      </c>
      <c r="J48" s="117"/>
      <c r="K48" s="113"/>
      <c r="L48" s="113"/>
      <c r="M48" s="118"/>
      <c r="N48" s="118"/>
      <c r="O48" s="118"/>
    </row>
    <row r="49" spans="1:15" ht="15.95" customHeight="1" x14ac:dyDescent="0.3">
      <c r="A49" s="324" t="s">
        <v>156</v>
      </c>
      <c r="B49" s="327" t="s">
        <v>35</v>
      </c>
      <c r="C49" s="336">
        <v>243.5468713483022</v>
      </c>
      <c r="D49" s="336">
        <v>231.08043984905507</v>
      </c>
      <c r="E49" s="337">
        <v>235.16945753313297</v>
      </c>
      <c r="F49" s="342">
        <v>195.39342057667258</v>
      </c>
      <c r="G49" s="342">
        <v>237</v>
      </c>
      <c r="H49" s="342">
        <v>282</v>
      </c>
      <c r="I49" s="342">
        <v>272</v>
      </c>
      <c r="J49" s="117"/>
      <c r="K49" s="113"/>
      <c r="L49" s="113"/>
      <c r="M49" s="118"/>
      <c r="N49" s="118"/>
      <c r="O49" s="118"/>
    </row>
    <row r="50" spans="1:15" ht="15.95" customHeight="1" x14ac:dyDescent="0.3">
      <c r="A50" s="324" t="s">
        <v>157</v>
      </c>
      <c r="B50" s="326" t="s">
        <v>81</v>
      </c>
      <c r="C50" s="336">
        <v>1202.24995648497</v>
      </c>
      <c r="D50" s="336">
        <v>1135.5374811913746</v>
      </c>
      <c r="E50" s="337">
        <v>1059.541730107223</v>
      </c>
      <c r="F50" s="342">
        <v>1131.8676797092767</v>
      </c>
      <c r="G50" s="342">
        <v>1133</v>
      </c>
      <c r="H50" s="342">
        <v>1144</v>
      </c>
      <c r="I50" s="342">
        <v>1122</v>
      </c>
      <c r="J50" s="117"/>
      <c r="K50" s="113"/>
      <c r="L50" s="113"/>
      <c r="M50" s="118"/>
      <c r="N50" s="118"/>
      <c r="O50" s="118"/>
    </row>
    <row r="51" spans="1:15" ht="15.95" customHeight="1" x14ac:dyDescent="0.3">
      <c r="A51" s="324" t="s">
        <v>158</v>
      </c>
      <c r="B51" s="326" t="s">
        <v>81</v>
      </c>
      <c r="C51" s="336">
        <v>486.60066147320231</v>
      </c>
      <c r="D51" s="336">
        <v>522.86287591734447</v>
      </c>
      <c r="E51" s="336">
        <v>636.7700896437583</v>
      </c>
      <c r="F51" s="342">
        <v>570.89552817984236</v>
      </c>
      <c r="G51" s="342">
        <v>770</v>
      </c>
      <c r="H51" s="342">
        <v>804</v>
      </c>
      <c r="I51" s="342">
        <v>520</v>
      </c>
      <c r="J51" s="117"/>
      <c r="K51" s="113"/>
      <c r="L51" s="113"/>
      <c r="M51" s="118"/>
      <c r="N51" s="118"/>
      <c r="O51" s="118"/>
    </row>
    <row r="52" spans="1:15" ht="15.95" customHeight="1" x14ac:dyDescent="0.3">
      <c r="A52" s="324" t="s">
        <v>159</v>
      </c>
      <c r="B52" s="326" t="s">
        <v>122</v>
      </c>
      <c r="C52" s="336">
        <v>161.36089937600681</v>
      </c>
      <c r="D52" s="336">
        <v>164.67147747102911</v>
      </c>
      <c r="E52" s="336">
        <v>145.12006963183845</v>
      </c>
      <c r="F52" s="342">
        <v>137.53578184659833</v>
      </c>
      <c r="G52" s="342">
        <v>251</v>
      </c>
      <c r="H52" s="342">
        <v>546</v>
      </c>
      <c r="I52" s="342">
        <v>201</v>
      </c>
      <c r="J52" s="117"/>
      <c r="K52" s="113"/>
      <c r="L52" s="113"/>
      <c r="M52" s="118"/>
      <c r="N52" s="118"/>
      <c r="O52" s="118"/>
    </row>
    <row r="53" spans="1:15" ht="15.95" customHeight="1" x14ac:dyDescent="0.3">
      <c r="A53" s="324" t="s">
        <v>160</v>
      </c>
      <c r="B53" s="326" t="s">
        <v>155</v>
      </c>
      <c r="C53" s="336">
        <v>203.64455947815281</v>
      </c>
      <c r="D53" s="336">
        <v>209.30155914761886</v>
      </c>
      <c r="E53" s="337">
        <v>211.99596001872868</v>
      </c>
      <c r="F53" s="342">
        <v>177.46825258094205</v>
      </c>
      <c r="G53" s="342">
        <v>178</v>
      </c>
      <c r="H53" s="342">
        <v>182</v>
      </c>
      <c r="I53" s="342">
        <v>205</v>
      </c>
      <c r="J53" s="117"/>
      <c r="K53" s="113"/>
      <c r="L53" s="113"/>
      <c r="M53" s="118"/>
      <c r="N53" s="118"/>
      <c r="O53" s="118"/>
    </row>
    <row r="54" spans="1:15" ht="15.95" customHeight="1" x14ac:dyDescent="0.3">
      <c r="A54" s="324" t="s">
        <v>161</v>
      </c>
      <c r="B54" s="326" t="s">
        <v>100</v>
      </c>
      <c r="C54" s="336">
        <v>195.86545927417617</v>
      </c>
      <c r="D54" s="336">
        <v>176.49301650487482</v>
      </c>
      <c r="E54" s="337">
        <v>217.48471627108023</v>
      </c>
      <c r="F54" s="342">
        <v>237.53427171257496</v>
      </c>
      <c r="G54" s="342">
        <v>233</v>
      </c>
      <c r="H54" s="342">
        <v>234</v>
      </c>
      <c r="I54" s="342">
        <v>236</v>
      </c>
      <c r="J54" s="117"/>
      <c r="K54" s="113"/>
      <c r="L54" s="113"/>
      <c r="M54" s="118"/>
      <c r="N54" s="118"/>
      <c r="O54" s="118"/>
    </row>
    <row r="55" spans="1:15" ht="15.95" customHeight="1" x14ac:dyDescent="0.3">
      <c r="A55" s="324" t="s">
        <v>162</v>
      </c>
      <c r="B55" s="326" t="s">
        <v>163</v>
      </c>
      <c r="C55" s="336">
        <v>256.46109468884026</v>
      </c>
      <c r="D55" s="336">
        <v>188.97002718527418</v>
      </c>
      <c r="E55" s="337">
        <v>191.82844383109472</v>
      </c>
      <c r="F55" s="342">
        <v>202.05706523390833</v>
      </c>
      <c r="G55" s="342">
        <v>209</v>
      </c>
      <c r="H55" s="342">
        <v>197</v>
      </c>
      <c r="I55" s="342">
        <v>194</v>
      </c>
      <c r="J55" s="117"/>
      <c r="K55" s="113"/>
      <c r="L55" s="113"/>
      <c r="M55" s="118"/>
      <c r="N55" s="118"/>
      <c r="O55" s="118"/>
    </row>
    <row r="56" spans="1:15" ht="15.95" customHeight="1" x14ac:dyDescent="0.3">
      <c r="A56" s="324" t="s">
        <v>164</v>
      </c>
      <c r="B56" s="326" t="s">
        <v>100</v>
      </c>
      <c r="C56" s="336">
        <v>172.9689958531834</v>
      </c>
      <c r="D56" s="336">
        <v>171.65176141304642</v>
      </c>
      <c r="E56" s="337">
        <v>140.75009443259009</v>
      </c>
      <c r="F56" s="342">
        <v>163.02442581590117</v>
      </c>
      <c r="G56" s="342">
        <v>147</v>
      </c>
      <c r="H56" s="342">
        <v>147</v>
      </c>
      <c r="I56" s="342">
        <v>145</v>
      </c>
      <c r="J56" s="117"/>
      <c r="K56" s="113"/>
      <c r="L56" s="113"/>
      <c r="M56" s="118"/>
      <c r="N56" s="118"/>
      <c r="O56" s="118"/>
    </row>
    <row r="57" spans="1:15" ht="15.95" customHeight="1" x14ac:dyDescent="0.3">
      <c r="A57" s="324" t="s">
        <v>165</v>
      </c>
      <c r="B57" s="325" t="s">
        <v>122</v>
      </c>
      <c r="C57" s="336">
        <v>291.11664055522755</v>
      </c>
      <c r="D57" s="336">
        <v>277.29097528641631</v>
      </c>
      <c r="E57" s="336">
        <v>257.81901687496816</v>
      </c>
      <c r="F57" s="342">
        <v>289.96715329868715</v>
      </c>
      <c r="G57" s="342">
        <v>289</v>
      </c>
      <c r="H57" s="342">
        <v>301</v>
      </c>
      <c r="I57" s="342">
        <v>296</v>
      </c>
      <c r="J57" s="117"/>
      <c r="K57" s="113"/>
      <c r="L57" s="113"/>
      <c r="M57" s="118"/>
      <c r="N57" s="118"/>
      <c r="O57" s="118"/>
    </row>
    <row r="58" spans="1:15" ht="15.95" customHeight="1" x14ac:dyDescent="0.3">
      <c r="A58" s="324" t="s">
        <v>166</v>
      </c>
      <c r="B58" s="327" t="s">
        <v>155</v>
      </c>
      <c r="C58" s="336">
        <v>215.6753596075288</v>
      </c>
      <c r="D58" s="336">
        <v>221.7476970583825</v>
      </c>
      <c r="E58" s="337">
        <v>241.31274905865271</v>
      </c>
      <c r="F58" s="342">
        <v>259.06340848003043</v>
      </c>
      <c r="G58" s="342">
        <v>242</v>
      </c>
      <c r="H58" s="342">
        <v>231</v>
      </c>
      <c r="I58" s="342">
        <v>234</v>
      </c>
      <c r="J58" s="117"/>
      <c r="K58" s="113"/>
      <c r="L58" s="113"/>
      <c r="M58" s="118"/>
      <c r="N58" s="118"/>
      <c r="O58" s="118"/>
    </row>
    <row r="59" spans="1:15" ht="15.95" customHeight="1" x14ac:dyDescent="0.3">
      <c r="A59" s="330" t="s">
        <v>167</v>
      </c>
      <c r="B59" s="338" t="s">
        <v>98</v>
      </c>
      <c r="C59" s="339">
        <v>212.05821565592069</v>
      </c>
      <c r="D59" s="339">
        <v>320.7213160385075</v>
      </c>
      <c r="E59" s="340">
        <v>275.90149082834358</v>
      </c>
      <c r="F59" s="341">
        <v>262.41889249242178</v>
      </c>
      <c r="G59" s="341">
        <v>279</v>
      </c>
      <c r="H59" s="341">
        <v>289</v>
      </c>
      <c r="I59" s="341">
        <v>279</v>
      </c>
      <c r="J59" s="117"/>
      <c r="K59" s="113"/>
      <c r="L59" s="113"/>
      <c r="M59" s="118"/>
      <c r="N59" s="118"/>
      <c r="O59" s="118"/>
    </row>
    <row r="60" spans="1:15" s="127" customFormat="1" ht="12" customHeight="1" x14ac:dyDescent="0.25">
      <c r="A60" s="30" t="s">
        <v>168</v>
      </c>
      <c r="B60" s="30"/>
      <c r="J60" s="143"/>
      <c r="K60" s="143"/>
      <c r="L60" s="143"/>
      <c r="M60" s="143"/>
      <c r="N60" s="143"/>
      <c r="O60" s="143"/>
    </row>
    <row r="61" spans="1:15" ht="12.75" customHeight="1" x14ac:dyDescent="0.3">
      <c r="J61" s="109"/>
      <c r="K61" s="109"/>
      <c r="L61" s="109"/>
      <c r="M61" s="109"/>
      <c r="N61" s="109"/>
      <c r="O61" s="109"/>
    </row>
    <row r="62" spans="1:15" ht="12.75" customHeight="1" x14ac:dyDescent="0.3">
      <c r="J62" s="109"/>
      <c r="K62" s="109"/>
      <c r="L62" s="109"/>
      <c r="M62" s="109"/>
      <c r="N62" s="109"/>
      <c r="O62" s="109"/>
    </row>
    <row r="63" spans="1:15" ht="12.75" customHeight="1" x14ac:dyDescent="0.3">
      <c r="J63" s="109"/>
      <c r="K63" s="109"/>
      <c r="L63" s="109"/>
      <c r="M63" s="109"/>
      <c r="N63" s="109"/>
      <c r="O63" s="109"/>
    </row>
    <row r="64" spans="1:15" ht="12.75" customHeight="1" x14ac:dyDescent="0.3">
      <c r="J64" s="109"/>
      <c r="K64" s="109"/>
      <c r="L64" s="109"/>
      <c r="M64" s="109"/>
      <c r="N64" s="109"/>
      <c r="O64" s="109"/>
    </row>
    <row r="65" spans="10:15" ht="12.75" customHeight="1" x14ac:dyDescent="0.3">
      <c r="J65" s="109"/>
      <c r="K65" s="109"/>
      <c r="L65" s="109"/>
      <c r="M65" s="109"/>
      <c r="N65" s="109"/>
      <c r="O65" s="109"/>
    </row>
    <row r="66" spans="10:15" ht="12.75" customHeight="1" x14ac:dyDescent="0.3">
      <c r="J66" s="109"/>
      <c r="K66" s="109"/>
      <c r="L66" s="109"/>
      <c r="M66" s="109"/>
      <c r="N66" s="109"/>
      <c r="O66" s="109"/>
    </row>
    <row r="67" spans="10:15" ht="12.75" customHeight="1" x14ac:dyDescent="0.3">
      <c r="J67" s="109"/>
      <c r="K67" s="109"/>
      <c r="L67" s="109"/>
      <c r="M67" s="109"/>
      <c r="N67" s="109"/>
      <c r="O67" s="109"/>
    </row>
    <row r="68" spans="10:15" ht="12.75" customHeight="1" x14ac:dyDescent="0.3">
      <c r="J68" s="109"/>
      <c r="K68" s="109"/>
      <c r="L68" s="109"/>
      <c r="M68" s="109"/>
      <c r="N68" s="109"/>
      <c r="O68" s="109"/>
    </row>
  </sheetData>
  <mergeCells count="6">
    <mergeCell ref="A44:B44"/>
    <mergeCell ref="A1:I1"/>
    <mergeCell ref="A2:I2"/>
    <mergeCell ref="A6:B6"/>
    <mergeCell ref="A8:B8"/>
    <mergeCell ref="A27:B27"/>
  </mergeCells>
  <conditionalFormatting sqref="B4">
    <cfRule type="cellIs" dxfId="35" priority="2" stopIfTrue="1" operator="equal">
      <formula>"S.I."</formula>
    </cfRule>
  </conditionalFormatting>
  <conditionalFormatting sqref="A4">
    <cfRule type="cellIs" dxfId="34" priority="1" stopIfTrue="1" operator="equal">
      <formula>"S.I."</formula>
    </cfRule>
  </conditionalFormatting>
  <printOptions horizontalCentered="1"/>
  <pageMargins left="0.9055118110236221" right="0.70866141732283472" top="0.55118110236220474" bottom="0.55118110236220474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R45"/>
  <sheetViews>
    <sheetView showGridLines="0" zoomScaleNormal="100" workbookViewId="0">
      <pane xSplit="11" ySplit="6" topLeftCell="L28" activePane="bottomRight" state="frozen"/>
      <selection activeCell="X13" sqref="X13"/>
      <selection pane="topRight" activeCell="X13" sqref="X13"/>
      <selection pane="bottomLeft" activeCell="X13" sqref="X13"/>
      <selection pane="bottomRight" activeCell="A4" sqref="A4:R45"/>
    </sheetView>
  </sheetViews>
  <sheetFormatPr baseColWidth="10" defaultColWidth="11.28515625" defaultRowHeight="12.75" customHeight="1" x14ac:dyDescent="0.25"/>
  <cols>
    <col min="1" max="1" width="19.28515625" style="106" customWidth="1"/>
    <col min="2" max="2" width="8.28515625" style="107" hidden="1" customWidth="1"/>
    <col min="3" max="4" width="8.7109375" style="107" hidden="1" customWidth="1"/>
    <col min="5" max="5" width="0.7109375" style="107" hidden="1" customWidth="1"/>
    <col min="6" max="7" width="9" style="107" hidden="1" customWidth="1"/>
    <col min="8" max="8" width="10.7109375" style="107" hidden="1" customWidth="1"/>
    <col min="9" max="9" width="11" style="106" hidden="1" customWidth="1"/>
    <col min="10" max="11" width="11.28515625" style="106" hidden="1" customWidth="1"/>
    <col min="12" max="18" width="11.5703125" style="106" customWidth="1"/>
    <col min="19" max="16384" width="11.28515625" style="106"/>
  </cols>
  <sheetData>
    <row r="1" spans="1:18" s="94" customFormat="1" ht="25.7" customHeight="1" x14ac:dyDescent="0.25">
      <c r="A1" s="646" t="s">
        <v>380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</row>
    <row r="2" spans="1:18" s="98" customFormat="1" ht="12.75" customHeight="1" x14ac:dyDescent="0.25">
      <c r="A2" s="648" t="s">
        <v>172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</row>
    <row r="3" spans="1:18" s="98" customFormat="1" ht="12.75" customHeight="1" x14ac:dyDescent="0.25">
      <c r="A3" s="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4"/>
    </row>
    <row r="4" spans="1:18" s="98" customFormat="1" ht="15.95" customHeight="1" x14ac:dyDescent="0.25">
      <c r="A4" s="347" t="s">
        <v>173</v>
      </c>
      <c r="B4" s="348">
        <v>2004</v>
      </c>
      <c r="C4" s="348">
        <v>2005</v>
      </c>
      <c r="D4" s="348">
        <v>2006</v>
      </c>
      <c r="E4" s="349">
        <v>2007</v>
      </c>
      <c r="F4" s="349">
        <v>2008</v>
      </c>
      <c r="G4" s="349">
        <v>2009</v>
      </c>
      <c r="H4" s="349">
        <v>2010</v>
      </c>
      <c r="I4" s="349">
        <v>2011</v>
      </c>
      <c r="J4" s="349">
        <v>2012</v>
      </c>
      <c r="K4" s="349">
        <v>2013</v>
      </c>
      <c r="L4" s="349">
        <v>2015</v>
      </c>
      <c r="M4" s="349">
        <v>2016</v>
      </c>
      <c r="N4" s="349">
        <v>2017</v>
      </c>
      <c r="O4" s="311">
        <v>2018</v>
      </c>
      <c r="P4" s="311">
        <v>2019</v>
      </c>
      <c r="Q4" s="311">
        <v>2020</v>
      </c>
      <c r="R4" s="311">
        <v>2021</v>
      </c>
    </row>
    <row r="5" spans="1:18" s="98" customFormat="1" ht="3" customHeight="1" x14ac:dyDescent="0.25">
      <c r="A5" s="350"/>
      <c r="B5" s="351"/>
      <c r="C5" s="351"/>
      <c r="D5" s="351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8" s="98" customFormat="1" ht="15.95" customHeight="1" x14ac:dyDescent="0.25">
      <c r="A6" s="352" t="s">
        <v>3</v>
      </c>
      <c r="B6" s="353">
        <v>623148606</v>
      </c>
      <c r="C6" s="353">
        <v>669723555</v>
      </c>
      <c r="D6" s="353">
        <v>664804769</v>
      </c>
      <c r="E6" s="354">
        <v>650762115</v>
      </c>
      <c r="F6" s="354">
        <v>658748824</v>
      </c>
      <c r="G6" s="354">
        <v>671604144</v>
      </c>
      <c r="H6" s="354">
        <v>680818829</v>
      </c>
      <c r="I6" s="355">
        <v>683246155</v>
      </c>
      <c r="J6" s="355">
        <v>682448690</v>
      </c>
      <c r="K6" s="355">
        <v>679940284</v>
      </c>
      <c r="L6" s="355">
        <v>713459163</v>
      </c>
      <c r="M6" s="355">
        <v>714745426.1198349</v>
      </c>
      <c r="N6" s="355">
        <v>699010031</v>
      </c>
      <c r="O6" s="355">
        <v>729326492</v>
      </c>
      <c r="P6" s="355">
        <v>748491598</v>
      </c>
      <c r="Q6" s="355">
        <v>757011242</v>
      </c>
      <c r="R6" s="355">
        <f>SUM(R7:R18)</f>
        <v>754056846.03400004</v>
      </c>
    </row>
    <row r="7" spans="1:18" s="98" customFormat="1" ht="15.95" customHeight="1" x14ac:dyDescent="0.3">
      <c r="A7" s="356" t="s">
        <v>174</v>
      </c>
      <c r="B7" s="357">
        <v>56122692</v>
      </c>
      <c r="C7" s="357">
        <v>59504270</v>
      </c>
      <c r="D7" s="358">
        <v>60120683</v>
      </c>
      <c r="E7" s="358">
        <v>59290432</v>
      </c>
      <c r="F7" s="358">
        <v>57453013</v>
      </c>
      <c r="G7" s="358">
        <v>59658939</v>
      </c>
      <c r="H7" s="358">
        <v>58610807</v>
      </c>
      <c r="I7" s="358">
        <v>60665975</v>
      </c>
      <c r="J7" s="358">
        <v>60342616</v>
      </c>
      <c r="K7" s="358">
        <v>60356894</v>
      </c>
      <c r="L7" s="358">
        <v>61802108</v>
      </c>
      <c r="M7" s="358">
        <v>61923206</v>
      </c>
      <c r="N7" s="358">
        <v>62082086</v>
      </c>
      <c r="O7" s="358">
        <v>63303652</v>
      </c>
      <c r="P7" s="358">
        <v>64573096.600000001</v>
      </c>
      <c r="Q7" s="359">
        <v>66714352.400000006</v>
      </c>
      <c r="R7" s="358">
        <f>R20+R33</f>
        <v>65240863.269999996</v>
      </c>
    </row>
    <row r="8" spans="1:18" s="98" customFormat="1" ht="15.95" customHeight="1" x14ac:dyDescent="0.3">
      <c r="A8" s="356" t="s">
        <v>175</v>
      </c>
      <c r="B8" s="357">
        <v>54951479</v>
      </c>
      <c r="C8" s="357">
        <v>55094015</v>
      </c>
      <c r="D8" s="358">
        <v>55841080</v>
      </c>
      <c r="E8" s="358">
        <v>55464251</v>
      </c>
      <c r="F8" s="358">
        <v>55212635</v>
      </c>
      <c r="G8" s="358">
        <v>54884188</v>
      </c>
      <c r="H8" s="358">
        <v>55324232</v>
      </c>
      <c r="I8" s="358">
        <v>56276605</v>
      </c>
      <c r="J8" s="358">
        <v>57414651</v>
      </c>
      <c r="K8" s="358">
        <v>55834334</v>
      </c>
      <c r="L8" s="358">
        <v>57759702</v>
      </c>
      <c r="M8" s="358">
        <v>60989024</v>
      </c>
      <c r="N8" s="358">
        <v>57421431</v>
      </c>
      <c r="O8" s="358">
        <v>58732059</v>
      </c>
      <c r="P8" s="358">
        <v>61857367.600000001</v>
      </c>
      <c r="Q8" s="359">
        <v>63914862.599999994</v>
      </c>
      <c r="R8" s="358">
        <f t="shared" ref="R8:R14" si="0">R21+R34</f>
        <v>59560691.399999991</v>
      </c>
    </row>
    <row r="9" spans="1:18" s="98" customFormat="1" ht="15.95" customHeight="1" x14ac:dyDescent="0.3">
      <c r="A9" s="356" t="s">
        <v>176</v>
      </c>
      <c r="B9" s="357">
        <v>59512430</v>
      </c>
      <c r="C9" s="357">
        <v>60647688</v>
      </c>
      <c r="D9" s="358">
        <v>61385374.999999985</v>
      </c>
      <c r="E9" s="358">
        <v>60932362</v>
      </c>
      <c r="F9" s="358">
        <v>58962798</v>
      </c>
      <c r="G9" s="358">
        <v>60347908</v>
      </c>
      <c r="H9" s="358">
        <v>61869287</v>
      </c>
      <c r="I9" s="358">
        <v>62229975</v>
      </c>
      <c r="J9" s="358">
        <v>62034685</v>
      </c>
      <c r="K9" s="358">
        <v>61380825</v>
      </c>
      <c r="L9" s="358">
        <v>64146493</v>
      </c>
      <c r="M9" s="358">
        <v>65400955</v>
      </c>
      <c r="N9" s="358">
        <v>58865117</v>
      </c>
      <c r="O9" s="358">
        <v>64789053</v>
      </c>
      <c r="P9" s="358">
        <v>68540626.193399996</v>
      </c>
      <c r="Q9" s="359">
        <v>68260086</v>
      </c>
      <c r="R9" s="358">
        <f t="shared" si="0"/>
        <v>67434916.24000001</v>
      </c>
    </row>
    <row r="10" spans="1:18" s="98" customFormat="1" ht="15.95" customHeight="1" x14ac:dyDescent="0.3">
      <c r="A10" s="356" t="s">
        <v>177</v>
      </c>
      <c r="B10" s="357">
        <v>55828335</v>
      </c>
      <c r="C10" s="357">
        <v>58054933</v>
      </c>
      <c r="D10" s="358">
        <v>56327285</v>
      </c>
      <c r="E10" s="358">
        <v>57574143</v>
      </c>
      <c r="F10" s="358">
        <v>56744793</v>
      </c>
      <c r="G10" s="358">
        <v>57691780</v>
      </c>
      <c r="H10" s="358">
        <v>58586498</v>
      </c>
      <c r="I10" s="358">
        <v>58628168</v>
      </c>
      <c r="J10" s="358">
        <v>58927091</v>
      </c>
      <c r="K10" s="358">
        <v>58299845</v>
      </c>
      <c r="L10" s="358">
        <v>61505561</v>
      </c>
      <c r="M10" s="358">
        <v>62159666</v>
      </c>
      <c r="N10" s="358">
        <v>58404461</v>
      </c>
      <c r="O10" s="358">
        <v>62318914</v>
      </c>
      <c r="P10" s="358">
        <v>64260119.269999996</v>
      </c>
      <c r="Q10" s="359">
        <v>62574071</v>
      </c>
      <c r="R10" s="358">
        <f t="shared" si="0"/>
        <v>62577088.640000001</v>
      </c>
    </row>
    <row r="11" spans="1:18" s="98" customFormat="1" ht="15.95" customHeight="1" x14ac:dyDescent="0.3">
      <c r="A11" s="356" t="s">
        <v>178</v>
      </c>
      <c r="B11" s="357">
        <v>51799588</v>
      </c>
      <c r="C11" s="357">
        <v>56803942</v>
      </c>
      <c r="D11" s="358">
        <v>56272489</v>
      </c>
      <c r="E11" s="358">
        <v>56639621</v>
      </c>
      <c r="F11" s="358">
        <v>54695105</v>
      </c>
      <c r="G11" s="358">
        <v>57373736</v>
      </c>
      <c r="H11" s="358">
        <v>57457136</v>
      </c>
      <c r="I11" s="358">
        <v>58395654</v>
      </c>
      <c r="J11" s="358">
        <v>58644765</v>
      </c>
      <c r="K11" s="358">
        <v>57509150</v>
      </c>
      <c r="L11" s="358">
        <v>61958055</v>
      </c>
      <c r="M11" s="358">
        <v>61287949</v>
      </c>
      <c r="N11" s="358">
        <v>59091747</v>
      </c>
      <c r="O11" s="358">
        <v>62227774</v>
      </c>
      <c r="P11" s="358">
        <v>63638918.780000001</v>
      </c>
      <c r="Q11" s="359">
        <v>63798079</v>
      </c>
      <c r="R11" s="358">
        <f t="shared" si="0"/>
        <v>62399950.960000001</v>
      </c>
    </row>
    <row r="12" spans="1:18" s="98" customFormat="1" ht="15.95" customHeight="1" x14ac:dyDescent="0.3">
      <c r="A12" s="356" t="s">
        <v>179</v>
      </c>
      <c r="B12" s="357">
        <v>48241761</v>
      </c>
      <c r="C12" s="357">
        <v>53343090</v>
      </c>
      <c r="D12" s="358">
        <v>52552054</v>
      </c>
      <c r="E12" s="358">
        <v>52020027</v>
      </c>
      <c r="F12" s="358">
        <v>50875948</v>
      </c>
      <c r="G12" s="358">
        <v>52710600</v>
      </c>
      <c r="H12" s="358">
        <v>54275389</v>
      </c>
      <c r="I12" s="358">
        <v>54787767</v>
      </c>
      <c r="J12" s="358">
        <v>55501089</v>
      </c>
      <c r="K12" s="358">
        <v>53783912</v>
      </c>
      <c r="L12" s="358">
        <v>58177979</v>
      </c>
      <c r="M12" s="358">
        <v>56498224</v>
      </c>
      <c r="N12" s="358">
        <v>55436339</v>
      </c>
      <c r="O12" s="358">
        <v>57457177</v>
      </c>
      <c r="P12" s="358">
        <v>59150609.600000001</v>
      </c>
      <c r="Q12" s="359">
        <v>60681044</v>
      </c>
      <c r="R12" s="358">
        <f t="shared" si="0"/>
        <v>59167348.730000004</v>
      </c>
    </row>
    <row r="13" spans="1:18" s="98" customFormat="1" ht="15.95" customHeight="1" x14ac:dyDescent="0.3">
      <c r="A13" s="356" t="s">
        <v>180</v>
      </c>
      <c r="B13" s="357">
        <v>48247499</v>
      </c>
      <c r="C13" s="357">
        <v>54050392</v>
      </c>
      <c r="D13" s="358">
        <v>52920365</v>
      </c>
      <c r="E13" s="358">
        <v>51433490</v>
      </c>
      <c r="F13" s="358">
        <v>54068914</v>
      </c>
      <c r="G13" s="358">
        <v>53638668</v>
      </c>
      <c r="H13" s="358">
        <v>54460804</v>
      </c>
      <c r="I13" s="358">
        <v>54521494</v>
      </c>
      <c r="J13" s="358">
        <v>55236367</v>
      </c>
      <c r="K13" s="358">
        <v>54470979</v>
      </c>
      <c r="L13" s="358">
        <v>58727834</v>
      </c>
      <c r="M13" s="358">
        <v>56635831</v>
      </c>
      <c r="N13" s="358">
        <v>56560824</v>
      </c>
      <c r="O13" s="358">
        <v>58606036</v>
      </c>
      <c r="P13" s="358">
        <v>59350330.799999997</v>
      </c>
      <c r="Q13" s="359">
        <v>61796701.920000002</v>
      </c>
      <c r="R13" s="358">
        <f t="shared" si="0"/>
        <v>60929105.404000007</v>
      </c>
    </row>
    <row r="14" spans="1:18" s="98" customFormat="1" ht="15.95" customHeight="1" x14ac:dyDescent="0.3">
      <c r="A14" s="356" t="s">
        <v>181</v>
      </c>
      <c r="B14" s="357">
        <v>47703898</v>
      </c>
      <c r="C14" s="357">
        <v>54150450</v>
      </c>
      <c r="D14" s="358">
        <v>52760596.999999985</v>
      </c>
      <c r="E14" s="358">
        <v>49885989</v>
      </c>
      <c r="F14" s="358">
        <v>52698221</v>
      </c>
      <c r="G14" s="358">
        <v>54333357</v>
      </c>
      <c r="H14" s="358">
        <v>55323629</v>
      </c>
      <c r="I14" s="358">
        <v>54129611</v>
      </c>
      <c r="J14" s="358">
        <v>54262351</v>
      </c>
      <c r="K14" s="358">
        <v>54422414</v>
      </c>
      <c r="L14" s="358">
        <v>58423500</v>
      </c>
      <c r="M14" s="358">
        <v>56523500</v>
      </c>
      <c r="N14" s="358">
        <v>55833471</v>
      </c>
      <c r="O14" s="358">
        <v>58678170</v>
      </c>
      <c r="P14" s="358">
        <v>59948366</v>
      </c>
      <c r="Q14" s="359">
        <v>61451818.549999997</v>
      </c>
      <c r="R14" s="358">
        <f t="shared" si="0"/>
        <v>61610163.649999999</v>
      </c>
    </row>
    <row r="15" spans="1:18" s="98" customFormat="1" ht="15.95" customHeight="1" x14ac:dyDescent="0.3">
      <c r="A15" s="356" t="s">
        <v>182</v>
      </c>
      <c r="B15" s="357">
        <v>46788859</v>
      </c>
      <c r="C15" s="357">
        <v>51521785</v>
      </c>
      <c r="D15" s="358">
        <v>51570449.999999993</v>
      </c>
      <c r="E15" s="358">
        <v>49111447.999999993</v>
      </c>
      <c r="F15" s="358">
        <v>52167173</v>
      </c>
      <c r="G15" s="358">
        <v>53173846</v>
      </c>
      <c r="H15" s="358">
        <v>54255851</v>
      </c>
      <c r="I15" s="358">
        <v>53728146</v>
      </c>
      <c r="J15" s="358">
        <v>52904997</v>
      </c>
      <c r="K15" s="358">
        <v>53748975</v>
      </c>
      <c r="L15" s="358">
        <v>56643981</v>
      </c>
      <c r="M15" s="358">
        <v>56252147</v>
      </c>
      <c r="N15" s="358">
        <v>55258157</v>
      </c>
      <c r="O15" s="358">
        <v>58051212</v>
      </c>
      <c r="P15" s="358">
        <v>58858650</v>
      </c>
      <c r="Q15" s="359">
        <v>59844983.030000001</v>
      </c>
      <c r="R15" s="358">
        <f>R28+R41</f>
        <v>60492303.640000001</v>
      </c>
    </row>
    <row r="16" spans="1:18" s="98" customFormat="1" ht="15.95" customHeight="1" x14ac:dyDescent="0.3">
      <c r="A16" s="356" t="s">
        <v>183</v>
      </c>
      <c r="B16" s="357">
        <v>49419212</v>
      </c>
      <c r="C16" s="357">
        <v>54499124</v>
      </c>
      <c r="D16" s="358">
        <v>54167796.999999985</v>
      </c>
      <c r="E16" s="358">
        <v>52333957</v>
      </c>
      <c r="F16" s="358">
        <v>54402285</v>
      </c>
      <c r="G16" s="358">
        <v>55339929</v>
      </c>
      <c r="H16" s="358">
        <v>56118308</v>
      </c>
      <c r="I16" s="358">
        <v>55995901</v>
      </c>
      <c r="J16" s="358">
        <v>54996259</v>
      </c>
      <c r="K16" s="358">
        <v>55882438</v>
      </c>
      <c r="L16" s="358">
        <v>58598692</v>
      </c>
      <c r="M16" s="358">
        <v>58759230</v>
      </c>
      <c r="N16" s="358">
        <v>59477575</v>
      </c>
      <c r="O16" s="358">
        <v>60715261</v>
      </c>
      <c r="P16" s="358">
        <v>61856595.399999999</v>
      </c>
      <c r="Q16" s="359">
        <v>62974629.300000004</v>
      </c>
      <c r="R16" s="358">
        <f>R29+R42</f>
        <v>64359200.75</v>
      </c>
    </row>
    <row r="17" spans="1:18" s="98" customFormat="1" ht="15.95" customHeight="1" x14ac:dyDescent="0.3">
      <c r="A17" s="356" t="s">
        <v>184</v>
      </c>
      <c r="B17" s="357">
        <v>48709359</v>
      </c>
      <c r="C17" s="357">
        <v>53989992</v>
      </c>
      <c r="D17" s="358">
        <v>53760948</v>
      </c>
      <c r="E17" s="358">
        <v>51642617.999999993</v>
      </c>
      <c r="F17" s="358">
        <v>53909585</v>
      </c>
      <c r="G17" s="358">
        <v>54919046</v>
      </c>
      <c r="H17" s="358">
        <v>55310954</v>
      </c>
      <c r="I17" s="358">
        <v>55219190</v>
      </c>
      <c r="J17" s="358">
        <v>54483241</v>
      </c>
      <c r="K17" s="358">
        <v>55027942</v>
      </c>
      <c r="L17" s="358">
        <v>56614179</v>
      </c>
      <c r="M17" s="358">
        <v>57428303</v>
      </c>
      <c r="N17" s="358">
        <v>58705274</v>
      </c>
      <c r="O17" s="358">
        <v>59818288</v>
      </c>
      <c r="P17" s="358">
        <v>61540666.799999997</v>
      </c>
      <c r="Q17" s="359">
        <v>61093155.800000004</v>
      </c>
      <c r="R17" s="358">
        <f>R30+R43</f>
        <v>63466261.090000004</v>
      </c>
    </row>
    <row r="18" spans="1:18" s="98" customFormat="1" ht="15.95" customHeight="1" x14ac:dyDescent="0.3">
      <c r="A18" s="356" t="s">
        <v>185</v>
      </c>
      <c r="B18" s="357">
        <v>55823494</v>
      </c>
      <c r="C18" s="357">
        <v>58063874</v>
      </c>
      <c r="D18" s="358">
        <v>57125646</v>
      </c>
      <c r="E18" s="358">
        <v>54433777</v>
      </c>
      <c r="F18" s="358">
        <v>57558354</v>
      </c>
      <c r="G18" s="358">
        <v>57532147</v>
      </c>
      <c r="H18" s="358">
        <v>59225934</v>
      </c>
      <c r="I18" s="358">
        <v>58667669</v>
      </c>
      <c r="J18" s="358">
        <v>57700578</v>
      </c>
      <c r="K18" s="358">
        <v>59222576</v>
      </c>
      <c r="L18" s="358">
        <v>59101079</v>
      </c>
      <c r="M18" s="358">
        <v>60887391</v>
      </c>
      <c r="N18" s="358">
        <v>61873549</v>
      </c>
      <c r="O18" s="358">
        <v>64628896</v>
      </c>
      <c r="P18" s="358">
        <v>64916251</v>
      </c>
      <c r="Q18" s="359">
        <v>63907458.13000001</v>
      </c>
      <c r="R18" s="358">
        <f>R31+R44</f>
        <v>66818952.259999998</v>
      </c>
    </row>
    <row r="19" spans="1:18" s="98" customFormat="1" ht="15.95" customHeight="1" x14ac:dyDescent="0.25">
      <c r="A19" s="360" t="s">
        <v>186</v>
      </c>
      <c r="B19" s="361">
        <v>448668702</v>
      </c>
      <c r="C19" s="361">
        <v>518380674</v>
      </c>
      <c r="D19" s="361">
        <v>525475424</v>
      </c>
      <c r="E19" s="361">
        <v>545198769</v>
      </c>
      <c r="F19" s="361">
        <v>525386099</v>
      </c>
      <c r="G19" s="362">
        <v>563162319</v>
      </c>
      <c r="H19" s="362">
        <v>562451438</v>
      </c>
      <c r="I19" s="363">
        <v>567443749</v>
      </c>
      <c r="J19" s="363">
        <v>564647956</v>
      </c>
      <c r="K19" s="363">
        <v>558157079</v>
      </c>
      <c r="L19" s="363">
        <v>590662842</v>
      </c>
      <c r="M19" s="363">
        <v>564048978.1198349</v>
      </c>
      <c r="N19" s="363">
        <v>568318468</v>
      </c>
      <c r="O19" s="363">
        <v>585548510</v>
      </c>
      <c r="P19" s="363">
        <v>606422210</v>
      </c>
      <c r="Q19" s="364">
        <v>604549773</v>
      </c>
      <c r="R19" s="363">
        <f>SUM(R20:R31)</f>
        <v>620802047.03399992</v>
      </c>
    </row>
    <row r="20" spans="1:18" s="98" customFormat="1" ht="15.95" customHeight="1" x14ac:dyDescent="0.3">
      <c r="A20" s="356" t="s">
        <v>174</v>
      </c>
      <c r="B20" s="357">
        <v>40240155</v>
      </c>
      <c r="C20" s="357">
        <v>48104740</v>
      </c>
      <c r="D20" s="358">
        <v>45106656</v>
      </c>
      <c r="E20" s="358">
        <v>51659202</v>
      </c>
      <c r="F20" s="358">
        <v>49257641</v>
      </c>
      <c r="G20" s="358">
        <v>50339735</v>
      </c>
      <c r="H20" s="358">
        <v>51752665</v>
      </c>
      <c r="I20" s="365">
        <v>53190575</v>
      </c>
      <c r="J20" s="358">
        <v>51331179</v>
      </c>
      <c r="K20" s="358">
        <v>52870556</v>
      </c>
      <c r="L20" s="358">
        <v>53500168</v>
      </c>
      <c r="M20" s="358">
        <v>47131846</v>
      </c>
      <c r="N20" s="358">
        <v>51401916</v>
      </c>
      <c r="O20" s="358">
        <v>51863452</v>
      </c>
      <c r="P20" s="358">
        <v>52482926.600000001</v>
      </c>
      <c r="Q20" s="365">
        <v>54665599</v>
      </c>
      <c r="R20" s="365">
        <v>56476032.269999996</v>
      </c>
    </row>
    <row r="21" spans="1:18" s="98" customFormat="1" ht="15.95" customHeight="1" x14ac:dyDescent="0.3">
      <c r="A21" s="356" t="s">
        <v>175</v>
      </c>
      <c r="B21" s="357">
        <v>43189889</v>
      </c>
      <c r="C21" s="357">
        <v>45093605</v>
      </c>
      <c r="D21" s="358">
        <v>46802411</v>
      </c>
      <c r="E21" s="358">
        <v>48752163</v>
      </c>
      <c r="F21" s="358">
        <v>48284881</v>
      </c>
      <c r="G21" s="358">
        <v>47725806</v>
      </c>
      <c r="H21" s="358">
        <v>48887307</v>
      </c>
      <c r="I21" s="365">
        <v>49380392</v>
      </c>
      <c r="J21" s="358">
        <v>50041192</v>
      </c>
      <c r="K21" s="358">
        <v>48611111</v>
      </c>
      <c r="L21" s="358">
        <v>49959719</v>
      </c>
      <c r="M21" s="358">
        <v>51761788</v>
      </c>
      <c r="N21" s="358">
        <v>48080890</v>
      </c>
      <c r="O21" s="358">
        <v>49920212</v>
      </c>
      <c r="P21" s="358">
        <v>53466992.600000001</v>
      </c>
      <c r="Q21" s="365">
        <v>54824840</v>
      </c>
      <c r="R21" s="365">
        <v>51131636.399999991</v>
      </c>
    </row>
    <row r="22" spans="1:18" s="98" customFormat="1" ht="15.95" customHeight="1" x14ac:dyDescent="0.3">
      <c r="A22" s="356" t="s">
        <v>176</v>
      </c>
      <c r="B22" s="357">
        <v>48033643</v>
      </c>
      <c r="C22" s="357">
        <v>51390527</v>
      </c>
      <c r="D22" s="358">
        <v>52376402.999999985</v>
      </c>
      <c r="E22" s="358">
        <v>53710710</v>
      </c>
      <c r="F22" s="358">
        <v>51962785</v>
      </c>
      <c r="G22" s="358">
        <v>52260368</v>
      </c>
      <c r="H22" s="358">
        <v>54557702</v>
      </c>
      <c r="I22" s="365">
        <v>54438983</v>
      </c>
      <c r="J22" s="358">
        <v>54100483</v>
      </c>
      <c r="K22" s="358">
        <v>52998717</v>
      </c>
      <c r="L22" s="358">
        <v>55485834</v>
      </c>
      <c r="M22" s="358">
        <v>56067253</v>
      </c>
      <c r="N22" s="358">
        <v>46954644</v>
      </c>
      <c r="O22" s="358">
        <v>56278145</v>
      </c>
      <c r="P22" s="358">
        <v>59051072.193400003</v>
      </c>
      <c r="Q22" s="365">
        <v>58121993</v>
      </c>
      <c r="R22" s="365">
        <v>57455717.24000001</v>
      </c>
    </row>
    <row r="23" spans="1:18" s="98" customFormat="1" ht="15.95" customHeight="1" x14ac:dyDescent="0.3">
      <c r="A23" s="356" t="s">
        <v>177</v>
      </c>
      <c r="B23" s="357">
        <v>44666182</v>
      </c>
      <c r="C23" s="357">
        <v>49054652</v>
      </c>
      <c r="D23" s="358">
        <v>48330486</v>
      </c>
      <c r="E23" s="358">
        <v>50895285</v>
      </c>
      <c r="F23" s="358">
        <v>50248320</v>
      </c>
      <c r="G23" s="358">
        <v>50414510</v>
      </c>
      <c r="H23" s="358">
        <v>51689925</v>
      </c>
      <c r="I23" s="365">
        <v>51252437</v>
      </c>
      <c r="J23" s="358">
        <v>51479762</v>
      </c>
      <c r="K23" s="358">
        <v>50838814</v>
      </c>
      <c r="L23" s="358">
        <v>53663547</v>
      </c>
      <c r="M23" s="358">
        <v>53717643</v>
      </c>
      <c r="N23" s="358">
        <v>49063974</v>
      </c>
      <c r="O23" s="358">
        <v>53808908</v>
      </c>
      <c r="P23" s="358">
        <v>55035202.269999996</v>
      </c>
      <c r="Q23" s="365">
        <v>52977521</v>
      </c>
      <c r="R23" s="365">
        <v>53533721.640000001</v>
      </c>
    </row>
    <row r="24" spans="1:18" s="98" customFormat="1" ht="15.95" customHeight="1" x14ac:dyDescent="0.3">
      <c r="A24" s="356" t="s">
        <v>178</v>
      </c>
      <c r="B24" s="357">
        <v>34533494</v>
      </c>
      <c r="C24" s="357">
        <v>42298281</v>
      </c>
      <c r="D24" s="358">
        <v>46176473</v>
      </c>
      <c r="E24" s="358">
        <v>49474142</v>
      </c>
      <c r="F24" s="358">
        <v>45993170</v>
      </c>
      <c r="G24" s="358">
        <v>50199481</v>
      </c>
      <c r="H24" s="358">
        <v>48043677</v>
      </c>
      <c r="I24" s="365">
        <v>50334852</v>
      </c>
      <c r="J24" s="358">
        <v>50641133</v>
      </c>
      <c r="K24" s="358">
        <v>46701734</v>
      </c>
      <c r="L24" s="358">
        <v>54040166</v>
      </c>
      <c r="M24" s="358">
        <v>47416020</v>
      </c>
      <c r="N24" s="358">
        <v>50050102</v>
      </c>
      <c r="O24" s="358">
        <v>53373306</v>
      </c>
      <c r="P24" s="358">
        <v>54027999.780000001</v>
      </c>
      <c r="Q24" s="365">
        <v>51793198</v>
      </c>
      <c r="R24" s="365">
        <v>51373772.960000001</v>
      </c>
    </row>
    <row r="25" spans="1:18" s="98" customFormat="1" ht="15.95" customHeight="1" x14ac:dyDescent="0.3">
      <c r="A25" s="356" t="s">
        <v>179</v>
      </c>
      <c r="B25" s="357">
        <v>32465298</v>
      </c>
      <c r="C25" s="357">
        <v>40224778</v>
      </c>
      <c r="D25" s="358">
        <v>40360824</v>
      </c>
      <c r="E25" s="358">
        <v>42255258</v>
      </c>
      <c r="F25" s="358">
        <v>40264596</v>
      </c>
      <c r="G25" s="358">
        <v>45229191</v>
      </c>
      <c r="H25" s="358">
        <v>43181086</v>
      </c>
      <c r="I25" s="365">
        <v>43635549</v>
      </c>
      <c r="J25" s="358">
        <v>44321572</v>
      </c>
      <c r="K25" s="358">
        <v>42245237</v>
      </c>
      <c r="L25" s="358">
        <v>46853473</v>
      </c>
      <c r="M25" s="358">
        <v>43565779</v>
      </c>
      <c r="N25" s="358">
        <v>47036282</v>
      </c>
      <c r="O25" s="358">
        <v>45484830</v>
      </c>
      <c r="P25" s="358">
        <v>46315875.600000001</v>
      </c>
      <c r="Q25" s="365">
        <v>45977752</v>
      </c>
      <c r="R25" s="365">
        <v>46622500.730000004</v>
      </c>
    </row>
    <row r="26" spans="1:18" s="98" customFormat="1" ht="15.95" customHeight="1" x14ac:dyDescent="0.3">
      <c r="A26" s="356" t="s">
        <v>180</v>
      </c>
      <c r="B26" s="357">
        <v>33518294</v>
      </c>
      <c r="C26" s="357">
        <v>41119659</v>
      </c>
      <c r="D26" s="358">
        <v>40899621</v>
      </c>
      <c r="E26" s="358">
        <v>41687316</v>
      </c>
      <c r="F26" s="358">
        <v>41610816</v>
      </c>
      <c r="G26" s="358">
        <v>42770532</v>
      </c>
      <c r="H26" s="358">
        <v>43453883</v>
      </c>
      <c r="I26" s="365">
        <v>43197120</v>
      </c>
      <c r="J26" s="358">
        <v>43623677</v>
      </c>
      <c r="K26" s="358">
        <v>43022628</v>
      </c>
      <c r="L26" s="358">
        <v>47085805</v>
      </c>
      <c r="M26" s="358">
        <v>44466411</v>
      </c>
      <c r="N26" s="358">
        <v>45324037</v>
      </c>
      <c r="O26" s="358">
        <v>44972674</v>
      </c>
      <c r="P26" s="358">
        <v>46439538.799999997</v>
      </c>
      <c r="Q26" s="365">
        <v>47528088</v>
      </c>
      <c r="R26" s="365">
        <v>48716383.404000007</v>
      </c>
    </row>
    <row r="27" spans="1:18" s="98" customFormat="1" ht="15.95" customHeight="1" x14ac:dyDescent="0.3">
      <c r="A27" s="356" t="s">
        <v>181</v>
      </c>
      <c r="B27" s="357">
        <v>32201082</v>
      </c>
      <c r="C27" s="357">
        <v>42193750</v>
      </c>
      <c r="D27" s="358">
        <v>41819818.999999985</v>
      </c>
      <c r="E27" s="358">
        <v>40195800</v>
      </c>
      <c r="F27" s="358">
        <v>40657331</v>
      </c>
      <c r="G27" s="358">
        <v>43251226</v>
      </c>
      <c r="H27" s="358">
        <v>44097216</v>
      </c>
      <c r="I27" s="365">
        <v>43050600</v>
      </c>
      <c r="J27" s="358">
        <v>42954214</v>
      </c>
      <c r="K27" s="358">
        <v>42519125</v>
      </c>
      <c r="L27" s="358">
        <v>46917164</v>
      </c>
      <c r="M27" s="358">
        <v>44721444</v>
      </c>
      <c r="N27" s="358">
        <v>42860916</v>
      </c>
      <c r="O27" s="358">
        <v>44607527</v>
      </c>
      <c r="P27" s="358">
        <v>47245648</v>
      </c>
      <c r="Q27" s="365">
        <v>46752806</v>
      </c>
      <c r="R27" s="365">
        <v>49083350.649999999</v>
      </c>
    </row>
    <row r="28" spans="1:18" s="98" customFormat="1" ht="15.95" customHeight="1" x14ac:dyDescent="0.3">
      <c r="A28" s="356" t="s">
        <v>182</v>
      </c>
      <c r="B28" s="357">
        <v>30708143</v>
      </c>
      <c r="C28" s="357">
        <v>39915732</v>
      </c>
      <c r="D28" s="358">
        <v>41173006.999999993</v>
      </c>
      <c r="E28" s="358">
        <v>39457943.999999993</v>
      </c>
      <c r="F28" s="358">
        <v>37288620</v>
      </c>
      <c r="G28" s="358">
        <v>42185884</v>
      </c>
      <c r="H28" s="358">
        <v>43191180</v>
      </c>
      <c r="I28" s="365">
        <v>42406596</v>
      </c>
      <c r="J28" s="358">
        <v>42024744</v>
      </c>
      <c r="K28" s="358">
        <v>41559264</v>
      </c>
      <c r="L28" s="358">
        <v>45405347</v>
      </c>
      <c r="M28" s="358">
        <v>44573674</v>
      </c>
      <c r="N28" s="358">
        <v>42817212</v>
      </c>
      <c r="O28" s="358">
        <v>43667443</v>
      </c>
      <c r="P28" s="358">
        <v>44958331</v>
      </c>
      <c r="Q28" s="365">
        <v>45006886</v>
      </c>
      <c r="R28" s="365">
        <v>48272115.640000001</v>
      </c>
    </row>
    <row r="29" spans="1:18" s="98" customFormat="1" ht="15.95" customHeight="1" x14ac:dyDescent="0.3">
      <c r="A29" s="356" t="s">
        <v>183</v>
      </c>
      <c r="B29" s="357">
        <v>32032006</v>
      </c>
      <c r="C29" s="357">
        <v>40206286</v>
      </c>
      <c r="D29" s="358">
        <v>40236906.999999985</v>
      </c>
      <c r="E29" s="358">
        <v>41940576</v>
      </c>
      <c r="F29" s="358">
        <v>38043612</v>
      </c>
      <c r="G29" s="358">
        <v>43762187</v>
      </c>
      <c r="H29" s="358">
        <v>44467834</v>
      </c>
      <c r="I29" s="365">
        <v>43890761</v>
      </c>
      <c r="J29" s="358">
        <v>43634012</v>
      </c>
      <c r="K29" s="358">
        <v>43889216</v>
      </c>
      <c r="L29" s="358">
        <v>46695088</v>
      </c>
      <c r="M29" s="358">
        <v>45312384</v>
      </c>
      <c r="N29" s="358">
        <v>47019798</v>
      </c>
      <c r="O29" s="358">
        <v>46451717</v>
      </c>
      <c r="P29" s="358">
        <v>46770756.399999999</v>
      </c>
      <c r="Q29" s="365">
        <v>47163057</v>
      </c>
      <c r="R29" s="365">
        <v>51446911.75</v>
      </c>
    </row>
    <row r="30" spans="1:18" s="98" customFormat="1" ht="15.95" customHeight="1" x14ac:dyDescent="0.3">
      <c r="A30" s="356" t="s">
        <v>184</v>
      </c>
      <c r="B30" s="357">
        <v>34244630</v>
      </c>
      <c r="C30" s="357">
        <v>37779224</v>
      </c>
      <c r="D30" s="358">
        <v>38945245</v>
      </c>
      <c r="E30" s="358">
        <v>41343155.999999993</v>
      </c>
      <c r="F30" s="358">
        <v>38816881</v>
      </c>
      <c r="G30" s="358">
        <v>44364584</v>
      </c>
      <c r="H30" s="358">
        <v>41787691</v>
      </c>
      <c r="I30" s="365">
        <v>43411506</v>
      </c>
      <c r="J30" s="358">
        <v>43126668</v>
      </c>
      <c r="K30" s="358">
        <v>43301970</v>
      </c>
      <c r="L30" s="358">
        <v>44455579</v>
      </c>
      <c r="M30" s="358">
        <v>42694697</v>
      </c>
      <c r="N30" s="358">
        <v>47382620</v>
      </c>
      <c r="O30" s="358">
        <v>45382880</v>
      </c>
      <c r="P30" s="358">
        <v>46379342.799999997</v>
      </c>
      <c r="Q30" s="365">
        <v>46057821</v>
      </c>
      <c r="R30" s="365">
        <v>50748926.090000004</v>
      </c>
    </row>
    <row r="31" spans="1:18" s="98" customFormat="1" ht="15.95" customHeight="1" x14ac:dyDescent="0.3">
      <c r="A31" s="356" t="s">
        <v>185</v>
      </c>
      <c r="B31" s="357">
        <v>42835886</v>
      </c>
      <c r="C31" s="357">
        <v>40999440</v>
      </c>
      <c r="D31" s="358">
        <v>43247572</v>
      </c>
      <c r="E31" s="358">
        <v>43827217</v>
      </c>
      <c r="F31" s="358">
        <v>42957446</v>
      </c>
      <c r="G31" s="358">
        <v>50658815</v>
      </c>
      <c r="H31" s="358">
        <v>47341272</v>
      </c>
      <c r="I31" s="365">
        <v>49254378</v>
      </c>
      <c r="J31" s="358">
        <v>47369320</v>
      </c>
      <c r="K31" s="358">
        <v>49598707</v>
      </c>
      <c r="L31" s="358">
        <v>46600952</v>
      </c>
      <c r="M31" s="358">
        <v>42620039</v>
      </c>
      <c r="N31" s="358">
        <v>50326077</v>
      </c>
      <c r="O31" s="358">
        <v>49737416</v>
      </c>
      <c r="P31" s="358">
        <v>54248524</v>
      </c>
      <c r="Q31" s="365">
        <v>53680212</v>
      </c>
      <c r="R31" s="365">
        <v>55940978.259999998</v>
      </c>
    </row>
    <row r="32" spans="1:18" s="98" customFormat="1" ht="15.95" customHeight="1" x14ac:dyDescent="0.25">
      <c r="A32" s="366" t="s">
        <v>187</v>
      </c>
      <c r="B32" s="367">
        <v>174479904</v>
      </c>
      <c r="C32" s="367">
        <v>151342881</v>
      </c>
      <c r="D32" s="367">
        <v>139329345</v>
      </c>
      <c r="E32" s="367">
        <v>105563346</v>
      </c>
      <c r="F32" s="367">
        <v>133362725</v>
      </c>
      <c r="G32" s="362">
        <v>108441825</v>
      </c>
      <c r="H32" s="362">
        <v>118367391</v>
      </c>
      <c r="I32" s="362">
        <v>115802406</v>
      </c>
      <c r="J32" s="363">
        <v>117800734</v>
      </c>
      <c r="K32" s="363">
        <v>121783205</v>
      </c>
      <c r="L32" s="363">
        <v>122796321</v>
      </c>
      <c r="M32" s="363">
        <v>150696448</v>
      </c>
      <c r="N32" s="363">
        <v>130691563</v>
      </c>
      <c r="O32" s="363">
        <v>143777982</v>
      </c>
      <c r="P32" s="362">
        <v>142069388</v>
      </c>
      <c r="Q32" s="368">
        <v>152461469</v>
      </c>
      <c r="R32" s="362">
        <f>SUM(R33:R44)</f>
        <v>133254799</v>
      </c>
    </row>
    <row r="33" spans="1:18" s="98" customFormat="1" ht="15.95" customHeight="1" x14ac:dyDescent="0.3">
      <c r="A33" s="356" t="s">
        <v>174</v>
      </c>
      <c r="B33" s="357">
        <v>15882537</v>
      </c>
      <c r="C33" s="357">
        <v>11399530</v>
      </c>
      <c r="D33" s="358">
        <v>15014027</v>
      </c>
      <c r="E33" s="358">
        <v>7631230</v>
      </c>
      <c r="F33" s="358">
        <v>8195372</v>
      </c>
      <c r="G33" s="358">
        <v>9319204</v>
      </c>
      <c r="H33" s="358">
        <v>6858142</v>
      </c>
      <c r="I33" s="358">
        <v>7475400</v>
      </c>
      <c r="J33" s="358">
        <v>9011437</v>
      </c>
      <c r="K33" s="358">
        <v>7486338</v>
      </c>
      <c r="L33" s="358">
        <v>8301940</v>
      </c>
      <c r="M33" s="358">
        <v>14791360</v>
      </c>
      <c r="N33" s="358">
        <v>10680170</v>
      </c>
      <c r="O33" s="358">
        <v>11440200</v>
      </c>
      <c r="P33" s="358">
        <v>12090170</v>
      </c>
      <c r="Q33" s="365">
        <v>12048753</v>
      </c>
      <c r="R33" s="365">
        <v>8764831</v>
      </c>
    </row>
    <row r="34" spans="1:18" s="98" customFormat="1" ht="15.95" customHeight="1" x14ac:dyDescent="0.3">
      <c r="A34" s="356" t="s">
        <v>175</v>
      </c>
      <c r="B34" s="357">
        <v>11761590</v>
      </c>
      <c r="C34" s="357">
        <v>10000410</v>
      </c>
      <c r="D34" s="358">
        <v>9038669</v>
      </c>
      <c r="E34" s="358">
        <v>6712088</v>
      </c>
      <c r="F34" s="358">
        <v>6927754</v>
      </c>
      <c r="G34" s="358">
        <v>7158382</v>
      </c>
      <c r="H34" s="358">
        <v>6436925</v>
      </c>
      <c r="I34" s="358">
        <v>6896213</v>
      </c>
      <c r="J34" s="358">
        <v>7373459</v>
      </c>
      <c r="K34" s="358">
        <v>7223223</v>
      </c>
      <c r="L34" s="358">
        <v>7799983</v>
      </c>
      <c r="M34" s="358">
        <v>9227236</v>
      </c>
      <c r="N34" s="358">
        <v>9340541</v>
      </c>
      <c r="O34" s="358">
        <v>8811847</v>
      </c>
      <c r="P34" s="358">
        <v>8390375</v>
      </c>
      <c r="Q34" s="365">
        <v>9090023</v>
      </c>
      <c r="R34" s="365">
        <v>8429055</v>
      </c>
    </row>
    <row r="35" spans="1:18" s="98" customFormat="1" ht="15.95" customHeight="1" x14ac:dyDescent="0.3">
      <c r="A35" s="356" t="s">
        <v>176</v>
      </c>
      <c r="B35" s="357">
        <v>11478787</v>
      </c>
      <c r="C35" s="357">
        <v>9257161</v>
      </c>
      <c r="D35" s="358">
        <v>9008972</v>
      </c>
      <c r="E35" s="358">
        <v>7221652</v>
      </c>
      <c r="F35" s="358">
        <v>7000013</v>
      </c>
      <c r="G35" s="358">
        <v>8087540</v>
      </c>
      <c r="H35" s="358">
        <v>7311585</v>
      </c>
      <c r="I35" s="358">
        <v>7790992</v>
      </c>
      <c r="J35" s="358">
        <v>7934202</v>
      </c>
      <c r="K35" s="358">
        <v>8382108</v>
      </c>
      <c r="L35" s="358">
        <v>8660659</v>
      </c>
      <c r="M35" s="358">
        <v>9333702</v>
      </c>
      <c r="N35" s="358">
        <v>11910473</v>
      </c>
      <c r="O35" s="358">
        <v>8510908</v>
      </c>
      <c r="P35" s="358">
        <v>9489554</v>
      </c>
      <c r="Q35" s="365">
        <v>10138093</v>
      </c>
      <c r="R35" s="365">
        <v>9979199</v>
      </c>
    </row>
    <row r="36" spans="1:18" s="98" customFormat="1" ht="15.95" customHeight="1" x14ac:dyDescent="0.3">
      <c r="A36" s="356" t="s">
        <v>177</v>
      </c>
      <c r="B36" s="357">
        <v>11162153</v>
      </c>
      <c r="C36" s="357">
        <v>9000281</v>
      </c>
      <c r="D36" s="358">
        <v>7996799</v>
      </c>
      <c r="E36" s="358">
        <v>6678858</v>
      </c>
      <c r="F36" s="358">
        <v>6496473</v>
      </c>
      <c r="G36" s="358">
        <v>7277270</v>
      </c>
      <c r="H36" s="358">
        <v>6896573</v>
      </c>
      <c r="I36" s="358">
        <v>7375731</v>
      </c>
      <c r="J36" s="358">
        <v>7447329</v>
      </c>
      <c r="K36" s="358">
        <v>7461031</v>
      </c>
      <c r="L36" s="358">
        <v>7842014</v>
      </c>
      <c r="M36" s="358">
        <v>8442023</v>
      </c>
      <c r="N36" s="358">
        <v>9340487</v>
      </c>
      <c r="O36" s="358">
        <v>8510006</v>
      </c>
      <c r="P36" s="358">
        <v>9224917</v>
      </c>
      <c r="Q36" s="365">
        <v>9596550</v>
      </c>
      <c r="R36" s="365">
        <v>9043367</v>
      </c>
    </row>
    <row r="37" spans="1:18" s="98" customFormat="1" ht="15.95" customHeight="1" x14ac:dyDescent="0.3">
      <c r="A37" s="356" t="s">
        <v>178</v>
      </c>
      <c r="B37" s="357">
        <v>17266094</v>
      </c>
      <c r="C37" s="357">
        <v>14505661</v>
      </c>
      <c r="D37" s="358">
        <v>10096016</v>
      </c>
      <c r="E37" s="358">
        <v>7165479</v>
      </c>
      <c r="F37" s="358">
        <v>8701935</v>
      </c>
      <c r="G37" s="358">
        <v>7174255</v>
      </c>
      <c r="H37" s="358">
        <v>9413459</v>
      </c>
      <c r="I37" s="358">
        <v>8060802</v>
      </c>
      <c r="J37" s="358">
        <v>8003632</v>
      </c>
      <c r="K37" s="358">
        <v>10807416</v>
      </c>
      <c r="L37" s="358">
        <v>7917889</v>
      </c>
      <c r="M37" s="358">
        <v>13871928</v>
      </c>
      <c r="N37" s="358">
        <v>9041645</v>
      </c>
      <c r="O37" s="358">
        <v>8854468</v>
      </c>
      <c r="P37" s="358">
        <v>9610919</v>
      </c>
      <c r="Q37" s="365">
        <v>12004881</v>
      </c>
      <c r="R37" s="365">
        <v>11026178</v>
      </c>
    </row>
    <row r="38" spans="1:18" s="98" customFormat="1" ht="15.95" customHeight="1" x14ac:dyDescent="0.3">
      <c r="A38" s="356" t="s">
        <v>179</v>
      </c>
      <c r="B38" s="357">
        <v>15776463</v>
      </c>
      <c r="C38" s="357">
        <v>13118312</v>
      </c>
      <c r="D38" s="358">
        <v>12191230</v>
      </c>
      <c r="E38" s="358">
        <v>9764769</v>
      </c>
      <c r="F38" s="358">
        <v>10611352</v>
      </c>
      <c r="G38" s="358">
        <v>7481409</v>
      </c>
      <c r="H38" s="358">
        <v>11094303</v>
      </c>
      <c r="I38" s="358">
        <v>11152218</v>
      </c>
      <c r="J38" s="358">
        <v>11179517</v>
      </c>
      <c r="K38" s="358">
        <v>11538675</v>
      </c>
      <c r="L38" s="358">
        <v>11324506</v>
      </c>
      <c r="M38" s="358">
        <v>12932445</v>
      </c>
      <c r="N38" s="358">
        <v>8400057</v>
      </c>
      <c r="O38" s="358">
        <v>11972347</v>
      </c>
      <c r="P38" s="358">
        <v>12834734</v>
      </c>
      <c r="Q38" s="365">
        <v>14703292</v>
      </c>
      <c r="R38" s="365">
        <v>12544848</v>
      </c>
    </row>
    <row r="39" spans="1:18" s="98" customFormat="1" ht="15.95" customHeight="1" x14ac:dyDescent="0.3">
      <c r="A39" s="356" t="s">
        <v>180</v>
      </c>
      <c r="B39" s="357">
        <v>14729205</v>
      </c>
      <c r="C39" s="357">
        <v>12930733</v>
      </c>
      <c r="D39" s="358">
        <v>12020744</v>
      </c>
      <c r="E39" s="358">
        <v>9746174</v>
      </c>
      <c r="F39" s="358">
        <v>12458098</v>
      </c>
      <c r="G39" s="358">
        <v>10868136</v>
      </c>
      <c r="H39" s="358">
        <v>11006921</v>
      </c>
      <c r="I39" s="358">
        <v>11324374</v>
      </c>
      <c r="J39" s="358">
        <v>11612690</v>
      </c>
      <c r="K39" s="358">
        <v>11448351</v>
      </c>
      <c r="L39" s="358">
        <v>11642029</v>
      </c>
      <c r="M39" s="358">
        <v>12169420</v>
      </c>
      <c r="N39" s="358">
        <v>11236787</v>
      </c>
      <c r="O39" s="358">
        <v>13633362</v>
      </c>
      <c r="P39" s="358">
        <v>12910792</v>
      </c>
      <c r="Q39" s="365">
        <v>14268614</v>
      </c>
      <c r="R39" s="365">
        <v>12212722</v>
      </c>
    </row>
    <row r="40" spans="1:18" s="98" customFormat="1" ht="15.95" customHeight="1" x14ac:dyDescent="0.3">
      <c r="A40" s="356" t="s">
        <v>181</v>
      </c>
      <c r="B40" s="357">
        <v>15502816</v>
      </c>
      <c r="C40" s="357">
        <v>11956700</v>
      </c>
      <c r="D40" s="358">
        <v>10940778</v>
      </c>
      <c r="E40" s="358">
        <v>9690189</v>
      </c>
      <c r="F40" s="358">
        <v>12040890</v>
      </c>
      <c r="G40" s="358">
        <v>11082131</v>
      </c>
      <c r="H40" s="358">
        <v>11226413</v>
      </c>
      <c r="I40" s="358">
        <v>11079011</v>
      </c>
      <c r="J40" s="358">
        <v>11308137</v>
      </c>
      <c r="K40" s="358">
        <v>11903289</v>
      </c>
      <c r="L40" s="358">
        <v>11506336</v>
      </c>
      <c r="M40" s="358">
        <v>11802057</v>
      </c>
      <c r="N40" s="358">
        <v>12972555</v>
      </c>
      <c r="O40" s="358">
        <v>14070643</v>
      </c>
      <c r="P40" s="358">
        <v>12702718</v>
      </c>
      <c r="Q40" s="365">
        <v>14699013</v>
      </c>
      <c r="R40" s="365">
        <v>12526813</v>
      </c>
    </row>
    <row r="41" spans="1:18" s="98" customFormat="1" ht="15.95" customHeight="1" x14ac:dyDescent="0.3">
      <c r="A41" s="356" t="s">
        <v>182</v>
      </c>
      <c r="B41" s="357">
        <v>16080716</v>
      </c>
      <c r="C41" s="357">
        <v>11606053</v>
      </c>
      <c r="D41" s="358">
        <v>10397443</v>
      </c>
      <c r="E41" s="358">
        <v>9653504</v>
      </c>
      <c r="F41" s="358">
        <v>14878553</v>
      </c>
      <c r="G41" s="358">
        <v>10987962</v>
      </c>
      <c r="H41" s="358">
        <v>11064671</v>
      </c>
      <c r="I41" s="358">
        <v>11321550</v>
      </c>
      <c r="J41" s="358">
        <v>10880253</v>
      </c>
      <c r="K41" s="358">
        <v>12189711</v>
      </c>
      <c r="L41" s="358">
        <v>11238634</v>
      </c>
      <c r="M41" s="358">
        <v>11678473</v>
      </c>
      <c r="N41" s="358">
        <v>12440945</v>
      </c>
      <c r="O41" s="358">
        <v>14383769</v>
      </c>
      <c r="P41" s="358">
        <v>13900319</v>
      </c>
      <c r="Q41" s="365">
        <v>14838097</v>
      </c>
      <c r="R41" s="365">
        <v>12220188</v>
      </c>
    </row>
    <row r="42" spans="1:18" s="98" customFormat="1" ht="15.95" customHeight="1" x14ac:dyDescent="0.3">
      <c r="A42" s="356" t="s">
        <v>183</v>
      </c>
      <c r="B42" s="357">
        <v>17387206</v>
      </c>
      <c r="C42" s="357">
        <v>14292838</v>
      </c>
      <c r="D42" s="358">
        <v>13930890</v>
      </c>
      <c r="E42" s="358">
        <v>10393381</v>
      </c>
      <c r="F42" s="358">
        <v>16358673</v>
      </c>
      <c r="G42" s="358">
        <v>11577742</v>
      </c>
      <c r="H42" s="358">
        <v>11650474</v>
      </c>
      <c r="I42" s="358">
        <v>12105140</v>
      </c>
      <c r="J42" s="358">
        <v>11362247</v>
      </c>
      <c r="K42" s="358">
        <v>11993222</v>
      </c>
      <c r="L42" s="358">
        <v>11903604</v>
      </c>
      <c r="M42" s="358">
        <v>13446846</v>
      </c>
      <c r="N42" s="358">
        <v>12457777</v>
      </c>
      <c r="O42" s="358">
        <v>14263544</v>
      </c>
      <c r="P42" s="358">
        <v>15085839</v>
      </c>
      <c r="Q42" s="365">
        <v>15811572</v>
      </c>
      <c r="R42" s="365">
        <v>12912289</v>
      </c>
    </row>
    <row r="43" spans="1:18" s="98" customFormat="1" ht="15.95" customHeight="1" x14ac:dyDescent="0.3">
      <c r="A43" s="356" t="s">
        <v>184</v>
      </c>
      <c r="B43" s="357">
        <v>14464729</v>
      </c>
      <c r="C43" s="357">
        <v>16210768</v>
      </c>
      <c r="D43" s="358">
        <v>14815703</v>
      </c>
      <c r="E43" s="358">
        <v>10299462</v>
      </c>
      <c r="F43" s="358">
        <v>15092704</v>
      </c>
      <c r="G43" s="358">
        <v>10554462</v>
      </c>
      <c r="H43" s="358">
        <v>13523263</v>
      </c>
      <c r="I43" s="358">
        <v>11807684</v>
      </c>
      <c r="J43" s="358">
        <v>11356573</v>
      </c>
      <c r="K43" s="358">
        <v>11725972</v>
      </c>
      <c r="L43" s="358">
        <v>12158600</v>
      </c>
      <c r="M43" s="358">
        <v>14733606</v>
      </c>
      <c r="N43" s="358">
        <v>11322654</v>
      </c>
      <c r="O43" s="358">
        <v>14435408</v>
      </c>
      <c r="P43" s="358">
        <v>15161324</v>
      </c>
      <c r="Q43" s="365">
        <v>15035335</v>
      </c>
      <c r="R43" s="365">
        <v>12717335</v>
      </c>
    </row>
    <row r="44" spans="1:18" s="98" customFormat="1" ht="15.95" customHeight="1" x14ac:dyDescent="0.3">
      <c r="A44" s="369" t="s">
        <v>185</v>
      </c>
      <c r="B44" s="370">
        <v>12987608</v>
      </c>
      <c r="C44" s="370">
        <v>17064434</v>
      </c>
      <c r="D44" s="371">
        <v>13878074</v>
      </c>
      <c r="E44" s="371">
        <v>10606560</v>
      </c>
      <c r="F44" s="371">
        <v>14600908</v>
      </c>
      <c r="G44" s="371">
        <v>6873332</v>
      </c>
      <c r="H44" s="371">
        <v>11884662</v>
      </c>
      <c r="I44" s="371">
        <v>9413291</v>
      </c>
      <c r="J44" s="371">
        <v>10331258</v>
      </c>
      <c r="K44" s="371">
        <v>9623869</v>
      </c>
      <c r="L44" s="371">
        <v>12500127</v>
      </c>
      <c r="M44" s="371">
        <v>18267352</v>
      </c>
      <c r="N44" s="371">
        <v>11547472</v>
      </c>
      <c r="O44" s="371">
        <v>14891480</v>
      </c>
      <c r="P44" s="371">
        <v>10667727</v>
      </c>
      <c r="Q44" s="372">
        <v>10227246</v>
      </c>
      <c r="R44" s="372">
        <v>10877974</v>
      </c>
    </row>
    <row r="45" spans="1:18" s="4" customFormat="1" ht="12" customHeight="1" x14ac:dyDescent="0.25">
      <c r="A45" s="13" t="s">
        <v>188</v>
      </c>
      <c r="B45" s="5"/>
      <c r="C45" s="5"/>
      <c r="D45" s="5"/>
      <c r="E45" s="6"/>
      <c r="F45" s="6"/>
      <c r="G45" s="6"/>
      <c r="H45" s="6"/>
    </row>
  </sheetData>
  <mergeCells count="2">
    <mergeCell ref="A1:R1"/>
    <mergeCell ref="A2:R2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69"/>
  <sheetViews>
    <sheetView showGridLines="0" zoomScaleNormal="100" workbookViewId="0">
      <pane xSplit="1" ySplit="21" topLeftCell="B22" activePane="bottomRight" state="frozen"/>
      <selection pane="topRight" activeCell="B1" sqref="B1"/>
      <selection pane="bottomLeft" activeCell="A22" sqref="A22"/>
      <selection pane="bottomRight" activeCell="A2" sqref="A2:X2"/>
    </sheetView>
  </sheetViews>
  <sheetFormatPr baseColWidth="10" defaultColWidth="11" defaultRowHeight="12.75" customHeight="1" x14ac:dyDescent="0.25"/>
  <cols>
    <col min="1" max="1" width="6.7109375" style="105" customWidth="1"/>
    <col min="2" max="2" width="9.42578125" style="85" customWidth="1"/>
    <col min="3" max="3" width="6.5703125" style="85" customWidth="1"/>
    <col min="4" max="4" width="1.7109375" style="85" customWidth="1"/>
    <col min="5" max="5" width="9.42578125" style="85" customWidth="1"/>
    <col min="6" max="6" width="6.5703125" style="44" customWidth="1"/>
    <col min="7" max="7" width="1.7109375" style="44" customWidth="1"/>
    <col min="8" max="8" width="9.42578125" style="44" customWidth="1"/>
    <col min="9" max="9" width="6.5703125" style="44" customWidth="1"/>
    <col min="10" max="10" width="1.7109375" style="44" customWidth="1"/>
    <col min="11" max="11" width="9.42578125" style="44" customWidth="1"/>
    <col min="12" max="12" width="6.5703125" style="44" customWidth="1"/>
    <col min="13" max="13" width="1.28515625" style="44" hidden="1" customWidth="1"/>
    <col min="14" max="14" width="7.140625" style="46" hidden="1" customWidth="1"/>
    <col min="15" max="15" width="4.7109375" style="46" hidden="1" customWidth="1"/>
    <col min="16" max="16" width="1.7109375" style="46" customWidth="1"/>
    <col min="17" max="17" width="9.42578125" style="46" customWidth="1"/>
    <col min="18" max="18" width="6.5703125" style="46" customWidth="1"/>
    <col min="19" max="19" width="1.7109375" style="46" customWidth="1"/>
    <col min="20" max="20" width="9.42578125" style="46" customWidth="1"/>
    <col min="21" max="21" width="6.5703125" style="46" customWidth="1"/>
    <col min="22" max="22" width="1.7109375" style="46" customWidth="1"/>
    <col min="23" max="23" width="10.28515625" style="46" customWidth="1"/>
    <col min="24" max="24" width="6.5703125" style="46" customWidth="1"/>
    <col min="25" max="16384" width="11" style="46"/>
  </cols>
  <sheetData>
    <row r="1" spans="1:25" s="405" customFormat="1" ht="12.75" customHeight="1" x14ac:dyDescent="0.25">
      <c r="A1" s="654" t="s">
        <v>381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 s="654"/>
      <c r="U1" s="654"/>
      <c r="V1" s="654"/>
      <c r="W1" s="654"/>
      <c r="X1" s="654"/>
    </row>
    <row r="2" spans="1:25" s="406" customFormat="1" ht="12.75" customHeight="1" x14ac:dyDescent="0.25">
      <c r="A2" s="655" t="s">
        <v>90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</row>
    <row r="3" spans="1:25" ht="12.75" customHeight="1" x14ac:dyDescent="0.25">
      <c r="A3" s="10"/>
      <c r="B3" s="36"/>
      <c r="C3" s="36"/>
      <c r="D3" s="36"/>
      <c r="E3" s="36"/>
      <c r="F3" s="184"/>
      <c r="G3" s="184"/>
      <c r="H3" s="184"/>
      <c r="I3" s="184"/>
      <c r="J3" s="184"/>
      <c r="K3" s="184"/>
      <c r="L3" s="184"/>
      <c r="M3" s="184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5" ht="18" customHeight="1" x14ac:dyDescent="0.25">
      <c r="A4" s="656" t="s">
        <v>189</v>
      </c>
      <c r="B4" s="659" t="s">
        <v>190</v>
      </c>
      <c r="C4" s="659"/>
      <c r="D4" s="373"/>
      <c r="E4" s="661" t="s">
        <v>191</v>
      </c>
      <c r="F4" s="661"/>
      <c r="G4" s="661"/>
      <c r="H4" s="661"/>
      <c r="I4" s="661"/>
      <c r="J4" s="373"/>
      <c r="K4" s="659" t="s">
        <v>439</v>
      </c>
      <c r="L4" s="659"/>
      <c r="M4" s="374"/>
      <c r="N4" s="659" t="s">
        <v>192</v>
      </c>
      <c r="O4" s="659"/>
      <c r="P4" s="375"/>
      <c r="Q4" s="659" t="s">
        <v>440</v>
      </c>
      <c r="R4" s="662"/>
      <c r="S4" s="375"/>
      <c r="T4" s="659" t="s">
        <v>441</v>
      </c>
      <c r="U4" s="662"/>
      <c r="V4" s="375"/>
      <c r="W4" s="664" t="s">
        <v>193</v>
      </c>
      <c r="X4" s="664"/>
    </row>
    <row r="5" spans="1:25" ht="33.75" customHeight="1" x14ac:dyDescent="0.25">
      <c r="A5" s="657"/>
      <c r="B5" s="660"/>
      <c r="C5" s="660"/>
      <c r="D5" s="394"/>
      <c r="E5" s="651" t="s">
        <v>194</v>
      </c>
      <c r="F5" s="651"/>
      <c r="G5" s="397"/>
      <c r="H5" s="651" t="s">
        <v>195</v>
      </c>
      <c r="I5" s="651"/>
      <c r="J5" s="394"/>
      <c r="K5" s="660"/>
      <c r="L5" s="660"/>
      <c r="M5" s="395"/>
      <c r="N5" s="660"/>
      <c r="O5" s="660"/>
      <c r="P5" s="396"/>
      <c r="Q5" s="663"/>
      <c r="R5" s="663"/>
      <c r="S5" s="396"/>
      <c r="T5" s="663"/>
      <c r="U5" s="663"/>
      <c r="V5" s="396"/>
      <c r="W5" s="665"/>
      <c r="X5" s="665"/>
    </row>
    <row r="6" spans="1:25" ht="27.75" customHeight="1" x14ac:dyDescent="0.25">
      <c r="A6" s="658"/>
      <c r="B6" s="376" t="s">
        <v>442</v>
      </c>
      <c r="C6" s="376" t="s">
        <v>443</v>
      </c>
      <c r="D6" s="376"/>
      <c r="E6" s="376" t="s">
        <v>442</v>
      </c>
      <c r="F6" s="376" t="s">
        <v>443</v>
      </c>
      <c r="G6" s="376"/>
      <c r="H6" s="376" t="s">
        <v>442</v>
      </c>
      <c r="I6" s="376" t="s">
        <v>443</v>
      </c>
      <c r="J6" s="376"/>
      <c r="K6" s="376" t="s">
        <v>442</v>
      </c>
      <c r="L6" s="376" t="s">
        <v>443</v>
      </c>
      <c r="M6" s="377"/>
      <c r="N6" s="376" t="s">
        <v>442</v>
      </c>
      <c r="O6" s="376" t="s">
        <v>443</v>
      </c>
      <c r="P6" s="378"/>
      <c r="Q6" s="376" t="s">
        <v>442</v>
      </c>
      <c r="R6" s="376" t="s">
        <v>443</v>
      </c>
      <c r="S6" s="376"/>
      <c r="T6" s="376" t="s">
        <v>442</v>
      </c>
      <c r="U6" s="376" t="s">
        <v>443</v>
      </c>
      <c r="V6" s="378"/>
      <c r="W6" s="376" t="s">
        <v>442</v>
      </c>
      <c r="X6" s="376" t="s">
        <v>443</v>
      </c>
    </row>
    <row r="7" spans="1:25" ht="12.75" hidden="1" customHeight="1" x14ac:dyDescent="0.25">
      <c r="A7" s="379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380"/>
      <c r="N7" s="68"/>
      <c r="O7" s="68"/>
      <c r="P7" s="381"/>
      <c r="Q7" s="381"/>
      <c r="R7" s="381"/>
      <c r="S7" s="381"/>
      <c r="T7" s="381"/>
      <c r="U7" s="381"/>
      <c r="V7" s="381"/>
      <c r="W7" s="68"/>
      <c r="X7" s="68"/>
    </row>
    <row r="8" spans="1:25" ht="12.75" hidden="1" customHeight="1" x14ac:dyDescent="0.25">
      <c r="A8" s="382">
        <v>1991</v>
      </c>
      <c r="B8" s="383">
        <v>631171</v>
      </c>
      <c r="C8" s="384">
        <v>20.010000000000002</v>
      </c>
      <c r="D8" s="385"/>
      <c r="E8" s="383">
        <v>254161</v>
      </c>
      <c r="F8" s="384">
        <v>8.06</v>
      </c>
      <c r="G8" s="385"/>
      <c r="H8" s="383">
        <v>145956</v>
      </c>
      <c r="I8" s="384">
        <v>4.63</v>
      </c>
      <c r="J8" s="385"/>
      <c r="K8" s="385" t="s">
        <v>196</v>
      </c>
      <c r="L8" s="385" t="s">
        <v>196</v>
      </c>
      <c r="M8" s="385"/>
      <c r="N8" s="383">
        <v>4370</v>
      </c>
      <c r="O8" s="384">
        <v>0.14000000000000001</v>
      </c>
      <c r="P8" s="385"/>
      <c r="Q8" s="385" t="s">
        <v>26</v>
      </c>
      <c r="R8" s="385" t="s">
        <v>26</v>
      </c>
      <c r="S8" s="385"/>
      <c r="T8" s="385"/>
      <c r="U8" s="385"/>
      <c r="V8" s="385"/>
      <c r="W8" s="383">
        <v>226684</v>
      </c>
      <c r="X8" s="384">
        <v>7.18</v>
      </c>
    </row>
    <row r="9" spans="1:25" ht="12.75" hidden="1" customHeight="1" x14ac:dyDescent="0.25">
      <c r="A9" s="382">
        <v>1992</v>
      </c>
      <c r="B9" s="383">
        <v>526981</v>
      </c>
      <c r="C9" s="384">
        <v>16.71</v>
      </c>
      <c r="D9" s="385"/>
      <c r="E9" s="383">
        <v>205139</v>
      </c>
      <c r="F9" s="384">
        <v>6.49</v>
      </c>
      <c r="G9" s="385"/>
      <c r="H9" s="383">
        <v>111334</v>
      </c>
      <c r="I9" s="384">
        <v>3.52</v>
      </c>
      <c r="J9" s="385"/>
      <c r="K9" s="385" t="s">
        <v>196</v>
      </c>
      <c r="L9" s="385" t="s">
        <v>196</v>
      </c>
      <c r="M9" s="385"/>
      <c r="N9" s="383">
        <v>3254</v>
      </c>
      <c r="O9" s="384">
        <v>0.1</v>
      </c>
      <c r="P9" s="385"/>
      <c r="Q9" s="385" t="s">
        <v>26</v>
      </c>
      <c r="R9" s="385" t="s">
        <v>26</v>
      </c>
      <c r="S9" s="385"/>
      <c r="T9" s="385"/>
      <c r="U9" s="385"/>
      <c r="V9" s="385"/>
      <c r="W9" s="383">
        <v>207254</v>
      </c>
      <c r="X9" s="384">
        <v>6.6</v>
      </c>
    </row>
    <row r="10" spans="1:25" ht="12.75" hidden="1" customHeight="1" x14ac:dyDescent="0.25">
      <c r="A10" s="382">
        <v>1993</v>
      </c>
      <c r="B10" s="383">
        <v>647424</v>
      </c>
      <c r="C10" s="384">
        <v>20.53</v>
      </c>
      <c r="D10" s="385"/>
      <c r="E10" s="383">
        <v>261039</v>
      </c>
      <c r="F10" s="384">
        <v>8.2799999999999994</v>
      </c>
      <c r="G10" s="385"/>
      <c r="H10" s="383">
        <v>151119</v>
      </c>
      <c r="I10" s="384">
        <v>4.79</v>
      </c>
      <c r="J10" s="385"/>
      <c r="K10" s="385" t="s">
        <v>196</v>
      </c>
      <c r="L10" s="385" t="s">
        <v>196</v>
      </c>
      <c r="M10" s="385"/>
      <c r="N10" s="383">
        <v>5187</v>
      </c>
      <c r="O10" s="384">
        <v>0.16</v>
      </c>
      <c r="P10" s="385"/>
      <c r="Q10" s="385" t="s">
        <v>26</v>
      </c>
      <c r="R10" s="385" t="s">
        <v>26</v>
      </c>
      <c r="S10" s="385"/>
      <c r="T10" s="385"/>
      <c r="U10" s="385"/>
      <c r="V10" s="385"/>
      <c r="W10" s="383">
        <v>230079</v>
      </c>
      <c r="X10" s="384">
        <v>7.3</v>
      </c>
      <c r="Y10" s="102"/>
    </row>
    <row r="11" spans="1:25" ht="12.75" hidden="1" customHeight="1" x14ac:dyDescent="0.25">
      <c r="A11" s="382">
        <v>1994</v>
      </c>
      <c r="B11" s="383">
        <v>729292</v>
      </c>
      <c r="C11" s="384">
        <v>23.13</v>
      </c>
      <c r="D11" s="385"/>
      <c r="E11" s="383">
        <v>264690</v>
      </c>
      <c r="F11" s="384">
        <v>8.39</v>
      </c>
      <c r="G11" s="385"/>
      <c r="H11" s="383">
        <v>225365</v>
      </c>
      <c r="I11" s="384">
        <v>7.15</v>
      </c>
      <c r="J11" s="385"/>
      <c r="K11" s="385" t="s">
        <v>196</v>
      </c>
      <c r="L11" s="385" t="s">
        <v>196</v>
      </c>
      <c r="M11" s="385"/>
      <c r="N11" s="383">
        <v>3849</v>
      </c>
      <c r="O11" s="384">
        <v>0.12</v>
      </c>
      <c r="P11" s="385"/>
      <c r="Q11" s="385" t="s">
        <v>26</v>
      </c>
      <c r="R11" s="385" t="s">
        <v>26</v>
      </c>
      <c r="S11" s="385"/>
      <c r="T11" s="385"/>
      <c r="U11" s="385"/>
      <c r="V11" s="385"/>
      <c r="W11" s="383">
        <v>235388</v>
      </c>
      <c r="X11" s="384">
        <v>7.47</v>
      </c>
    </row>
    <row r="12" spans="1:25" ht="12.75" hidden="1" customHeight="1" x14ac:dyDescent="0.25">
      <c r="A12" s="382">
        <v>1995</v>
      </c>
      <c r="B12" s="383">
        <v>666828</v>
      </c>
      <c r="C12" s="384">
        <v>21.14</v>
      </c>
      <c r="D12" s="385"/>
      <c r="E12" s="383">
        <v>228871</v>
      </c>
      <c r="F12" s="384">
        <v>7.28</v>
      </c>
      <c r="G12" s="385"/>
      <c r="H12" s="383">
        <v>180508</v>
      </c>
      <c r="I12" s="384">
        <v>5.72</v>
      </c>
      <c r="J12" s="385"/>
      <c r="K12" s="385" t="s">
        <v>196</v>
      </c>
      <c r="L12" s="385" t="s">
        <v>196</v>
      </c>
      <c r="M12" s="385"/>
      <c r="N12" s="383">
        <v>3163</v>
      </c>
      <c r="O12" s="384">
        <v>0.1</v>
      </c>
      <c r="P12" s="385"/>
      <c r="Q12" s="385" t="s">
        <v>26</v>
      </c>
      <c r="R12" s="385" t="s">
        <v>26</v>
      </c>
      <c r="S12" s="385"/>
      <c r="T12" s="385"/>
      <c r="U12" s="385"/>
      <c r="V12" s="385"/>
      <c r="W12" s="383">
        <v>254286</v>
      </c>
      <c r="X12" s="384">
        <v>8.0399999999999991</v>
      </c>
    </row>
    <row r="13" spans="1:25" ht="12.75" hidden="1" customHeight="1" x14ac:dyDescent="0.25">
      <c r="A13" s="382">
        <v>1996</v>
      </c>
      <c r="B13" s="383">
        <v>678801</v>
      </c>
      <c r="C13" s="384">
        <v>21.52</v>
      </c>
      <c r="D13" s="385"/>
      <c r="E13" s="383">
        <v>206290</v>
      </c>
      <c r="F13" s="384">
        <v>6.52</v>
      </c>
      <c r="G13" s="385"/>
      <c r="H13" s="383">
        <v>221249</v>
      </c>
      <c r="I13" s="384">
        <v>7</v>
      </c>
      <c r="J13" s="385"/>
      <c r="K13" s="385" t="s">
        <v>196</v>
      </c>
      <c r="L13" s="385" t="s">
        <v>196</v>
      </c>
      <c r="M13" s="385"/>
      <c r="N13" s="383">
        <v>3968</v>
      </c>
      <c r="O13" s="384">
        <v>0.13</v>
      </c>
      <c r="P13" s="385"/>
      <c r="Q13" s="385" t="s">
        <v>26</v>
      </c>
      <c r="R13" s="385" t="s">
        <v>26</v>
      </c>
      <c r="S13" s="385"/>
      <c r="T13" s="385"/>
      <c r="U13" s="385"/>
      <c r="V13" s="385"/>
      <c r="W13" s="383">
        <v>247294</v>
      </c>
      <c r="X13" s="384">
        <v>7.87</v>
      </c>
    </row>
    <row r="14" spans="1:25" ht="12.75" hidden="1" customHeight="1" x14ac:dyDescent="0.25">
      <c r="A14" s="382">
        <v>1997</v>
      </c>
      <c r="B14" s="383">
        <v>642368</v>
      </c>
      <c r="C14" s="384">
        <v>20.37</v>
      </c>
      <c r="D14" s="385"/>
      <c r="E14" s="383">
        <v>196318</v>
      </c>
      <c r="F14" s="384">
        <v>6.23</v>
      </c>
      <c r="G14" s="385"/>
      <c r="H14" s="383">
        <v>180044</v>
      </c>
      <c r="I14" s="384">
        <v>5.71</v>
      </c>
      <c r="J14" s="385"/>
      <c r="K14" s="385" t="s">
        <v>196</v>
      </c>
      <c r="L14" s="385" t="s">
        <v>196</v>
      </c>
      <c r="M14" s="385"/>
      <c r="N14" s="383">
        <v>3681</v>
      </c>
      <c r="O14" s="384">
        <v>0.12</v>
      </c>
      <c r="P14" s="385"/>
      <c r="Q14" s="385" t="s">
        <v>26</v>
      </c>
      <c r="R14" s="385" t="s">
        <v>26</v>
      </c>
      <c r="S14" s="385"/>
      <c r="T14" s="385"/>
      <c r="U14" s="385"/>
      <c r="V14" s="385"/>
      <c r="W14" s="383">
        <v>262325</v>
      </c>
      <c r="X14" s="384">
        <v>8.31</v>
      </c>
    </row>
    <row r="15" spans="1:25" ht="12.75" hidden="1" customHeight="1" x14ac:dyDescent="0.25">
      <c r="A15" s="382">
        <v>1998</v>
      </c>
      <c r="B15" s="383">
        <v>705298</v>
      </c>
      <c r="C15" s="384">
        <v>22.36</v>
      </c>
      <c r="D15" s="385"/>
      <c r="E15" s="383">
        <v>213066</v>
      </c>
      <c r="F15" s="384">
        <v>6.76</v>
      </c>
      <c r="G15" s="385"/>
      <c r="H15" s="383">
        <v>257247</v>
      </c>
      <c r="I15" s="384">
        <v>8.16</v>
      </c>
      <c r="J15" s="385"/>
      <c r="K15" s="385" t="s">
        <v>196</v>
      </c>
      <c r="L15" s="385" t="s">
        <v>196</v>
      </c>
      <c r="M15" s="385"/>
      <c r="N15" s="383">
        <v>2974</v>
      </c>
      <c r="O15" s="384">
        <v>0.09</v>
      </c>
      <c r="P15" s="385"/>
      <c r="Q15" s="385" t="s">
        <v>26</v>
      </c>
      <c r="R15" s="385" t="s">
        <v>26</v>
      </c>
      <c r="S15" s="385"/>
      <c r="T15" s="385"/>
      <c r="U15" s="385"/>
      <c r="V15" s="385"/>
      <c r="W15" s="383">
        <v>232011</v>
      </c>
      <c r="X15" s="384">
        <v>7.35</v>
      </c>
    </row>
    <row r="16" spans="1:25" ht="12.75" hidden="1" customHeight="1" x14ac:dyDescent="0.25">
      <c r="A16" s="382">
        <v>1999</v>
      </c>
      <c r="B16" s="383">
        <v>682509</v>
      </c>
      <c r="C16" s="384">
        <v>21.64</v>
      </c>
      <c r="D16" s="385"/>
      <c r="E16" s="383">
        <v>188267</v>
      </c>
      <c r="F16" s="384">
        <v>5.97</v>
      </c>
      <c r="G16" s="385"/>
      <c r="H16" s="383">
        <v>274139</v>
      </c>
      <c r="I16" s="384">
        <v>8.69</v>
      </c>
      <c r="J16" s="385"/>
      <c r="K16" s="385" t="s">
        <v>196</v>
      </c>
      <c r="L16" s="385" t="s">
        <v>196</v>
      </c>
      <c r="M16" s="385"/>
      <c r="N16" s="383">
        <v>2981</v>
      </c>
      <c r="O16" s="384">
        <v>0.09</v>
      </c>
      <c r="P16" s="385"/>
      <c r="Q16" s="385" t="s">
        <v>26</v>
      </c>
      <c r="R16" s="385" t="s">
        <v>26</v>
      </c>
      <c r="S16" s="385"/>
      <c r="T16" s="385"/>
      <c r="U16" s="385"/>
      <c r="V16" s="385"/>
      <c r="W16" s="383">
        <v>217122</v>
      </c>
      <c r="X16" s="384">
        <v>6.89</v>
      </c>
    </row>
    <row r="17" spans="1:24" ht="12.75" hidden="1" customHeight="1" x14ac:dyDescent="0.25">
      <c r="A17" s="382">
        <v>2000</v>
      </c>
      <c r="B17" s="383">
        <v>677798</v>
      </c>
      <c r="C17" s="384">
        <v>21.49</v>
      </c>
      <c r="D17" s="385"/>
      <c r="E17" s="383">
        <v>216719</v>
      </c>
      <c r="F17" s="384">
        <v>6.87</v>
      </c>
      <c r="G17" s="385"/>
      <c r="H17" s="383">
        <v>268843</v>
      </c>
      <c r="I17" s="384">
        <v>8.52</v>
      </c>
      <c r="J17" s="385"/>
      <c r="K17" s="385" t="s">
        <v>196</v>
      </c>
      <c r="L17" s="385" t="s">
        <v>196</v>
      </c>
      <c r="M17" s="385"/>
      <c r="N17" s="383">
        <v>1921</v>
      </c>
      <c r="O17" s="384">
        <v>0.06</v>
      </c>
      <c r="P17" s="385"/>
      <c r="Q17" s="385" t="s">
        <v>26</v>
      </c>
      <c r="R17" s="385" t="s">
        <v>26</v>
      </c>
      <c r="S17" s="385"/>
      <c r="T17" s="385"/>
      <c r="U17" s="385"/>
      <c r="V17" s="385"/>
      <c r="W17" s="383">
        <v>190315</v>
      </c>
      <c r="X17" s="384">
        <v>6.04</v>
      </c>
    </row>
    <row r="18" spans="1:24" ht="12.75" hidden="1" customHeight="1" x14ac:dyDescent="0.25">
      <c r="A18" s="382">
        <v>2001</v>
      </c>
      <c r="B18" s="383">
        <v>660390</v>
      </c>
      <c r="C18" s="384">
        <v>20.94</v>
      </c>
      <c r="D18" s="385"/>
      <c r="E18" s="383">
        <v>210634</v>
      </c>
      <c r="F18" s="384">
        <v>6.68</v>
      </c>
      <c r="G18" s="385"/>
      <c r="H18" s="383">
        <v>270568</v>
      </c>
      <c r="I18" s="384">
        <v>8.58</v>
      </c>
      <c r="J18" s="385"/>
      <c r="K18" s="385" t="s">
        <v>196</v>
      </c>
      <c r="L18" s="385" t="s">
        <v>196</v>
      </c>
      <c r="M18" s="385"/>
      <c r="N18" s="383">
        <v>2578</v>
      </c>
      <c r="O18" s="384">
        <v>0.08</v>
      </c>
      <c r="P18" s="385"/>
      <c r="Q18" s="385" t="s">
        <v>26</v>
      </c>
      <c r="R18" s="385" t="s">
        <v>26</v>
      </c>
      <c r="S18" s="385"/>
      <c r="T18" s="385"/>
      <c r="U18" s="385"/>
      <c r="V18" s="385"/>
      <c r="W18" s="383">
        <v>176610</v>
      </c>
      <c r="X18" s="384">
        <v>5.6</v>
      </c>
    </row>
    <row r="19" spans="1:24" ht="12.75" hidden="1" customHeight="1" x14ac:dyDescent="0.25">
      <c r="A19" s="382">
        <v>2002</v>
      </c>
      <c r="B19" s="383">
        <v>649023</v>
      </c>
      <c r="C19" s="384">
        <v>20.58</v>
      </c>
      <c r="D19" s="385"/>
      <c r="E19" s="383">
        <v>204471</v>
      </c>
      <c r="F19" s="384">
        <v>6.48</v>
      </c>
      <c r="G19" s="385"/>
      <c r="H19" s="383">
        <v>276813</v>
      </c>
      <c r="I19" s="384">
        <v>8.7799999999999994</v>
      </c>
      <c r="J19" s="385"/>
      <c r="K19" s="386">
        <v>2153</v>
      </c>
      <c r="L19" s="384">
        <v>7.0000000000000007E-2</v>
      </c>
      <c r="M19" s="385"/>
      <c r="N19" s="383">
        <v>1963</v>
      </c>
      <c r="O19" s="384">
        <v>0.06</v>
      </c>
      <c r="P19" s="385"/>
      <c r="Q19" s="385" t="s">
        <v>26</v>
      </c>
      <c r="R19" s="385" t="s">
        <v>26</v>
      </c>
      <c r="S19" s="385"/>
      <c r="T19" s="385"/>
      <c r="U19" s="385"/>
      <c r="V19" s="385"/>
      <c r="W19" s="383">
        <v>163623</v>
      </c>
      <c r="X19" s="384">
        <v>5.19</v>
      </c>
    </row>
    <row r="20" spans="1:24" ht="12.75" hidden="1" customHeight="1" x14ac:dyDescent="0.25">
      <c r="A20" s="382">
        <v>2003</v>
      </c>
      <c r="B20" s="383">
        <v>662351</v>
      </c>
      <c r="C20" s="384">
        <v>21</v>
      </c>
      <c r="D20" s="385"/>
      <c r="E20" s="383">
        <v>232561</v>
      </c>
      <c r="F20" s="384">
        <v>7.37</v>
      </c>
      <c r="G20" s="385"/>
      <c r="H20" s="383">
        <v>283575</v>
      </c>
      <c r="I20" s="384">
        <v>8.99</v>
      </c>
      <c r="J20" s="385"/>
      <c r="K20" s="386">
        <v>17172</v>
      </c>
      <c r="L20" s="384">
        <v>0.54</v>
      </c>
      <c r="M20" s="385"/>
      <c r="N20" s="383">
        <v>1673</v>
      </c>
      <c r="O20" s="384">
        <v>0.05</v>
      </c>
      <c r="P20" s="385"/>
      <c r="Q20" s="385" t="s">
        <v>26</v>
      </c>
      <c r="R20" s="385" t="s">
        <v>26</v>
      </c>
      <c r="S20" s="385"/>
      <c r="T20" s="385"/>
      <c r="U20" s="385"/>
      <c r="V20" s="385"/>
      <c r="W20" s="383">
        <v>127370</v>
      </c>
      <c r="X20" s="384">
        <v>4.05</v>
      </c>
    </row>
    <row r="21" spans="1:24" ht="12.75" hidden="1" customHeight="1" x14ac:dyDescent="0.25">
      <c r="A21" s="382">
        <v>2004</v>
      </c>
      <c r="B21" s="383">
        <v>623149</v>
      </c>
      <c r="C21" s="384">
        <v>19.760000000000002</v>
      </c>
      <c r="D21" s="385"/>
      <c r="E21" s="383">
        <v>182008</v>
      </c>
      <c r="F21" s="384">
        <v>5.77</v>
      </c>
      <c r="G21" s="385"/>
      <c r="H21" s="383">
        <v>251041</v>
      </c>
      <c r="I21" s="384">
        <v>7.96</v>
      </c>
      <c r="J21" s="385"/>
      <c r="K21" s="386">
        <v>14968</v>
      </c>
      <c r="L21" s="384">
        <v>0.47</v>
      </c>
      <c r="M21" s="385"/>
      <c r="N21" s="383">
        <v>652</v>
      </c>
      <c r="O21" s="384">
        <v>0.02</v>
      </c>
      <c r="P21" s="385"/>
      <c r="Q21" s="385" t="s">
        <v>26</v>
      </c>
      <c r="R21" s="385" t="s">
        <v>26</v>
      </c>
      <c r="S21" s="385"/>
      <c r="T21" s="385"/>
      <c r="U21" s="385"/>
      <c r="V21" s="385"/>
      <c r="W21" s="383">
        <v>174480</v>
      </c>
      <c r="X21" s="384">
        <v>5.54</v>
      </c>
    </row>
    <row r="22" spans="1:24" ht="15.95" customHeight="1" x14ac:dyDescent="0.25">
      <c r="A22" s="382">
        <v>2006</v>
      </c>
      <c r="B22" s="383">
        <v>664805</v>
      </c>
      <c r="C22" s="384">
        <v>21.08</v>
      </c>
      <c r="D22" s="385"/>
      <c r="E22" s="383">
        <v>228346</v>
      </c>
      <c r="F22" s="384">
        <v>7.24</v>
      </c>
      <c r="G22" s="385"/>
      <c r="H22" s="383">
        <v>276463</v>
      </c>
      <c r="I22" s="384">
        <v>8.77</v>
      </c>
      <c r="J22" s="385"/>
      <c r="K22" s="386">
        <v>20667</v>
      </c>
      <c r="L22" s="384">
        <v>0.66</v>
      </c>
      <c r="M22" s="385"/>
      <c r="N22" s="383" t="s">
        <v>196</v>
      </c>
      <c r="O22" s="385" t="s">
        <v>196</v>
      </c>
      <c r="P22" s="385"/>
      <c r="Q22" s="385" t="s">
        <v>26</v>
      </c>
      <c r="R22" s="385" t="s">
        <v>26</v>
      </c>
      <c r="S22" s="385"/>
      <c r="T22" s="385"/>
      <c r="U22" s="385"/>
      <c r="V22" s="385"/>
      <c r="W22" s="383">
        <v>139329</v>
      </c>
      <c r="X22" s="384">
        <v>4.41</v>
      </c>
    </row>
    <row r="23" spans="1:24" ht="15.95" customHeight="1" x14ac:dyDescent="0.25">
      <c r="A23" s="382">
        <v>2007</v>
      </c>
      <c r="B23" s="383">
        <v>650762</v>
      </c>
      <c r="C23" s="384">
        <v>20.64</v>
      </c>
      <c r="D23" s="385"/>
      <c r="E23" s="383">
        <v>237926</v>
      </c>
      <c r="F23" s="384">
        <v>7.54</v>
      </c>
      <c r="G23" s="385"/>
      <c r="H23" s="383">
        <v>282007</v>
      </c>
      <c r="I23" s="384">
        <v>8.94</v>
      </c>
      <c r="J23" s="385"/>
      <c r="K23" s="386">
        <v>25266</v>
      </c>
      <c r="L23" s="384">
        <v>1.1599999999999999</v>
      </c>
      <c r="M23" s="385"/>
      <c r="N23" s="383" t="s">
        <v>26</v>
      </c>
      <c r="O23" s="385" t="s">
        <v>26</v>
      </c>
      <c r="P23" s="385"/>
      <c r="Q23" s="385" t="s">
        <v>26</v>
      </c>
      <c r="R23" s="385" t="s">
        <v>26</v>
      </c>
      <c r="S23" s="385"/>
      <c r="T23" s="385"/>
      <c r="U23" s="385"/>
      <c r="V23" s="385"/>
      <c r="W23" s="383">
        <v>105563</v>
      </c>
      <c r="X23" s="384">
        <v>3</v>
      </c>
    </row>
    <row r="24" spans="1:24" ht="15.95" customHeight="1" x14ac:dyDescent="0.25">
      <c r="A24" s="382">
        <v>2008</v>
      </c>
      <c r="B24" s="383">
        <v>658749</v>
      </c>
      <c r="C24" s="384">
        <v>21</v>
      </c>
      <c r="D24" s="385"/>
      <c r="E24" s="383">
        <v>239728</v>
      </c>
      <c r="F24" s="384">
        <v>7.6</v>
      </c>
      <c r="G24" s="385"/>
      <c r="H24" s="383">
        <v>263035</v>
      </c>
      <c r="I24" s="384">
        <v>8.34</v>
      </c>
      <c r="J24" s="385"/>
      <c r="K24" s="386">
        <v>22623</v>
      </c>
      <c r="L24" s="384">
        <v>1.43</v>
      </c>
      <c r="M24" s="385"/>
      <c r="N24" s="383" t="s">
        <v>26</v>
      </c>
      <c r="O24" s="385" t="s">
        <v>26</v>
      </c>
      <c r="P24" s="385"/>
      <c r="Q24" s="385" t="s">
        <v>26</v>
      </c>
      <c r="R24" s="385" t="s">
        <v>26</v>
      </c>
      <c r="S24" s="385"/>
      <c r="T24" s="385"/>
      <c r="U24" s="385"/>
      <c r="V24" s="385"/>
      <c r="W24" s="383">
        <v>133363</v>
      </c>
      <c r="X24" s="384">
        <v>3.63</v>
      </c>
    </row>
    <row r="25" spans="1:24" ht="15.95" customHeight="1" x14ac:dyDescent="0.25">
      <c r="A25" s="382">
        <v>2009</v>
      </c>
      <c r="B25" s="383">
        <v>671604</v>
      </c>
      <c r="C25" s="384">
        <v>21.3</v>
      </c>
      <c r="D25" s="385"/>
      <c r="E25" s="383">
        <v>250917</v>
      </c>
      <c r="F25" s="384">
        <v>7.96</v>
      </c>
      <c r="G25" s="385"/>
      <c r="H25" s="383">
        <v>277604</v>
      </c>
      <c r="I25" s="384">
        <v>8.8000000000000007</v>
      </c>
      <c r="J25" s="385"/>
      <c r="K25" s="386">
        <v>34641</v>
      </c>
      <c r="L25" s="384">
        <v>1.47</v>
      </c>
      <c r="M25" s="385"/>
      <c r="N25" s="383" t="s">
        <v>26</v>
      </c>
      <c r="O25" s="385" t="s">
        <v>26</v>
      </c>
      <c r="P25" s="385"/>
      <c r="Q25" s="385" t="s">
        <v>26</v>
      </c>
      <c r="R25" s="385" t="s">
        <v>26</v>
      </c>
      <c r="S25" s="385"/>
      <c r="T25" s="385"/>
      <c r="U25" s="385"/>
      <c r="V25" s="385"/>
      <c r="W25" s="383">
        <v>108442</v>
      </c>
      <c r="X25" s="384">
        <v>3.07</v>
      </c>
    </row>
    <row r="26" spans="1:24" ht="15.95" customHeight="1" x14ac:dyDescent="0.25">
      <c r="A26" s="382">
        <v>2010</v>
      </c>
      <c r="B26" s="383">
        <v>680819</v>
      </c>
      <c r="C26" s="384">
        <v>22</v>
      </c>
      <c r="D26" s="385"/>
      <c r="E26" s="383">
        <v>254770</v>
      </c>
      <c r="F26" s="384">
        <v>8</v>
      </c>
      <c r="G26" s="385"/>
      <c r="H26" s="383">
        <v>282656</v>
      </c>
      <c r="I26" s="384">
        <v>8.9</v>
      </c>
      <c r="J26" s="385"/>
      <c r="K26" s="386">
        <v>25026</v>
      </c>
      <c r="L26" s="384">
        <v>1.5</v>
      </c>
      <c r="M26" s="385"/>
      <c r="N26" s="383" t="s">
        <v>26</v>
      </c>
      <c r="O26" s="385" t="s">
        <v>26</v>
      </c>
      <c r="P26" s="385"/>
      <c r="Q26" s="385" t="s">
        <v>26</v>
      </c>
      <c r="R26" s="385" t="s">
        <v>26</v>
      </c>
      <c r="S26" s="385"/>
      <c r="T26" s="385"/>
      <c r="U26" s="385"/>
      <c r="V26" s="385"/>
      <c r="W26" s="383">
        <v>118367</v>
      </c>
      <c r="X26" s="384">
        <v>3.6</v>
      </c>
    </row>
    <row r="27" spans="1:24" ht="15.95" customHeight="1" x14ac:dyDescent="0.25">
      <c r="A27" s="382">
        <v>2011</v>
      </c>
      <c r="B27" s="383" t="s">
        <v>197</v>
      </c>
      <c r="C27" s="84">
        <v>21.67</v>
      </c>
      <c r="D27" s="84"/>
      <c r="E27" s="383" t="s">
        <v>198</v>
      </c>
      <c r="F27" s="69">
        <v>8.08</v>
      </c>
      <c r="G27" s="84"/>
      <c r="H27" s="383" t="s">
        <v>199</v>
      </c>
      <c r="I27" s="69">
        <v>8.98</v>
      </c>
      <c r="J27" s="84"/>
      <c r="K27" s="84" t="s">
        <v>200</v>
      </c>
      <c r="L27" s="69">
        <v>1.61</v>
      </c>
      <c r="M27" s="84"/>
      <c r="N27" s="383" t="s">
        <v>26</v>
      </c>
      <c r="O27" s="385" t="s">
        <v>26</v>
      </c>
      <c r="P27" s="84"/>
      <c r="Q27" s="385" t="s">
        <v>26</v>
      </c>
      <c r="R27" s="385" t="s">
        <v>26</v>
      </c>
      <c r="S27" s="385"/>
      <c r="T27" s="385"/>
      <c r="U27" s="385"/>
      <c r="V27" s="84"/>
      <c r="W27" s="383" t="s">
        <v>201</v>
      </c>
      <c r="X27" s="84">
        <v>3.67</v>
      </c>
    </row>
    <row r="28" spans="1:24" ht="15.95" customHeight="1" x14ac:dyDescent="0.25">
      <c r="A28" s="382">
        <v>2012</v>
      </c>
      <c r="B28" s="383">
        <v>682449</v>
      </c>
      <c r="C28" s="84">
        <v>21.58</v>
      </c>
      <c r="D28" s="84"/>
      <c r="E28" s="387">
        <v>253566</v>
      </c>
      <c r="F28" s="69">
        <v>8.02</v>
      </c>
      <c r="G28" s="84"/>
      <c r="H28" s="383">
        <v>283639</v>
      </c>
      <c r="I28" s="69">
        <v>8.9700000000000006</v>
      </c>
      <c r="J28" s="84"/>
      <c r="K28" s="386">
        <v>27442</v>
      </c>
      <c r="L28" s="69">
        <v>1.49</v>
      </c>
      <c r="M28" s="84"/>
      <c r="N28" s="383" t="s">
        <v>26</v>
      </c>
      <c r="O28" s="385" t="s">
        <v>26</v>
      </c>
      <c r="P28" s="84"/>
      <c r="Q28" s="385" t="s">
        <v>26</v>
      </c>
      <c r="R28" s="385" t="s">
        <v>26</v>
      </c>
      <c r="S28" s="385"/>
      <c r="T28" s="385"/>
      <c r="U28" s="385"/>
      <c r="V28" s="84"/>
      <c r="W28" s="383">
        <v>117801</v>
      </c>
      <c r="X28" s="84">
        <v>3.73</v>
      </c>
    </row>
    <row r="29" spans="1:24" ht="15.95" customHeight="1" x14ac:dyDescent="0.25">
      <c r="A29" s="382">
        <v>2013</v>
      </c>
      <c r="B29" s="383">
        <v>679940</v>
      </c>
      <c r="C29" s="84">
        <v>21.56</v>
      </c>
      <c r="D29" s="84"/>
      <c r="E29" s="387">
        <v>250650</v>
      </c>
      <c r="F29" s="69">
        <v>7.95</v>
      </c>
      <c r="G29" s="386"/>
      <c r="H29" s="383">
        <v>281547</v>
      </c>
      <c r="I29" s="69">
        <v>8.93</v>
      </c>
      <c r="J29" s="386"/>
      <c r="K29" s="386">
        <v>25960</v>
      </c>
      <c r="L29" s="69">
        <v>1.65</v>
      </c>
      <c r="M29" s="386"/>
      <c r="N29" s="383" t="s">
        <v>26</v>
      </c>
      <c r="O29" s="385" t="s">
        <v>26</v>
      </c>
      <c r="P29" s="386"/>
      <c r="Q29" s="385" t="s">
        <v>26</v>
      </c>
      <c r="R29" s="385" t="s">
        <v>26</v>
      </c>
      <c r="S29" s="385"/>
      <c r="T29" s="385"/>
      <c r="U29" s="385"/>
      <c r="V29" s="386"/>
      <c r="W29" s="383">
        <v>121783</v>
      </c>
      <c r="X29" s="84">
        <v>3.86</v>
      </c>
    </row>
    <row r="30" spans="1:24" ht="15.95" customHeight="1" x14ac:dyDescent="0.25">
      <c r="A30" s="382">
        <v>2014</v>
      </c>
      <c r="B30" s="383">
        <v>687580</v>
      </c>
      <c r="C30" s="69">
        <v>21.8</v>
      </c>
      <c r="D30" s="84"/>
      <c r="E30" s="383">
        <v>261794</v>
      </c>
      <c r="F30" s="69">
        <v>8.3000000000000007</v>
      </c>
      <c r="G30" s="386"/>
      <c r="H30" s="383">
        <v>269146</v>
      </c>
      <c r="I30" s="69">
        <v>8.5299999999999994</v>
      </c>
      <c r="J30" s="386"/>
      <c r="K30" s="386">
        <v>27215</v>
      </c>
      <c r="L30" s="69">
        <v>1.73</v>
      </c>
      <c r="M30" s="386"/>
      <c r="N30" s="383" t="s">
        <v>26</v>
      </c>
      <c r="O30" s="385" t="s">
        <v>26</v>
      </c>
      <c r="P30" s="386"/>
      <c r="Q30" s="386">
        <v>4617</v>
      </c>
      <c r="R30" s="69">
        <v>0.34924810124667149</v>
      </c>
      <c r="S30" s="69"/>
      <c r="T30" s="69"/>
      <c r="U30" s="69"/>
      <c r="V30" s="386"/>
      <c r="W30" s="383">
        <v>124808</v>
      </c>
      <c r="X30" s="84">
        <v>3.96</v>
      </c>
    </row>
    <row r="31" spans="1:24" ht="15.95" customHeight="1" x14ac:dyDescent="0.25">
      <c r="A31" s="382">
        <v>2015</v>
      </c>
      <c r="B31" s="383">
        <v>713459</v>
      </c>
      <c r="C31" s="69">
        <v>22.62</v>
      </c>
      <c r="D31" s="84"/>
      <c r="E31" s="383">
        <v>255429</v>
      </c>
      <c r="F31" s="69">
        <v>8.1</v>
      </c>
      <c r="G31" s="386"/>
      <c r="H31" s="383">
        <v>278054</v>
      </c>
      <c r="I31" s="69">
        <v>8.82</v>
      </c>
      <c r="J31" s="386"/>
      <c r="K31" s="386">
        <v>27796</v>
      </c>
      <c r="L31" s="69">
        <v>1.77</v>
      </c>
      <c r="M31" s="386"/>
      <c r="N31" s="383" t="s">
        <v>26</v>
      </c>
      <c r="O31" s="385" t="s">
        <v>26</v>
      </c>
      <c r="P31" s="386"/>
      <c r="Q31" s="386">
        <v>29384</v>
      </c>
      <c r="R31" s="69">
        <v>0.93</v>
      </c>
      <c r="S31" s="69"/>
      <c r="T31" s="69"/>
      <c r="U31" s="69"/>
      <c r="V31" s="386"/>
      <c r="W31" s="383">
        <v>122796</v>
      </c>
      <c r="X31" s="84">
        <v>3.89</v>
      </c>
    </row>
    <row r="32" spans="1:24" ht="15.95" customHeight="1" x14ac:dyDescent="0.25">
      <c r="A32" s="382">
        <v>2016</v>
      </c>
      <c r="B32" s="386">
        <v>714745</v>
      </c>
      <c r="C32" s="69">
        <v>22.602504114799473</v>
      </c>
      <c r="D32" s="84"/>
      <c r="E32" s="386">
        <v>243145</v>
      </c>
      <c r="F32" s="69">
        <v>7.6890109795603374</v>
      </c>
      <c r="G32" s="386"/>
      <c r="H32" s="386">
        <v>268215</v>
      </c>
      <c r="I32" s="69">
        <v>8.4817937702320538</v>
      </c>
      <c r="J32" s="69"/>
      <c r="K32" s="386">
        <v>17328</v>
      </c>
      <c r="L32" s="69">
        <v>1.3194516020955163</v>
      </c>
      <c r="M32" s="386"/>
      <c r="N32" s="383" t="s">
        <v>26</v>
      </c>
      <c r="O32" s="385" t="s">
        <v>26</v>
      </c>
      <c r="P32" s="388"/>
      <c r="Q32" s="386">
        <v>35361</v>
      </c>
      <c r="R32" s="69">
        <v>1.1182335306618096</v>
      </c>
      <c r="S32" s="69"/>
      <c r="T32" s="69"/>
      <c r="U32" s="69"/>
      <c r="V32" s="386"/>
      <c r="W32" s="386">
        <v>150696</v>
      </c>
      <c r="X32" s="69">
        <v>4.7654968629832011</v>
      </c>
    </row>
    <row r="33" spans="1:32" ht="15.95" customHeight="1" x14ac:dyDescent="0.25">
      <c r="A33" s="382">
        <v>2017</v>
      </c>
      <c r="B33" s="383">
        <v>699010</v>
      </c>
      <c r="C33" s="69">
        <v>22.17</v>
      </c>
      <c r="D33" s="84"/>
      <c r="E33" s="383">
        <v>246142</v>
      </c>
      <c r="F33" s="69">
        <v>7.81</v>
      </c>
      <c r="G33" s="386"/>
      <c r="H33" s="383">
        <v>273197</v>
      </c>
      <c r="I33" s="69">
        <v>8.66</v>
      </c>
      <c r="J33" s="69"/>
      <c r="K33" s="383">
        <v>30425</v>
      </c>
      <c r="L33" s="69">
        <v>1.66</v>
      </c>
      <c r="M33" s="386"/>
      <c r="N33" s="383" t="s">
        <v>26</v>
      </c>
      <c r="O33" s="385" t="s">
        <v>26</v>
      </c>
      <c r="P33" s="388"/>
      <c r="Q33" s="383">
        <v>18555</v>
      </c>
      <c r="R33" s="69">
        <v>1.18</v>
      </c>
      <c r="S33" s="69"/>
      <c r="T33" s="69"/>
      <c r="U33" s="69"/>
      <c r="V33" s="386"/>
      <c r="W33" s="383">
        <v>130691</v>
      </c>
      <c r="X33" s="69">
        <v>4.1399999999999997</v>
      </c>
    </row>
    <row r="34" spans="1:32" ht="15.95" customHeight="1" x14ac:dyDescent="0.25">
      <c r="A34" s="382">
        <v>2018</v>
      </c>
      <c r="B34" s="386">
        <v>729326.49195569695</v>
      </c>
      <c r="C34" s="69">
        <v>23.126791348163906</v>
      </c>
      <c r="D34" s="386"/>
      <c r="E34" s="386">
        <v>246574.90835999997</v>
      </c>
      <c r="F34" s="69">
        <v>7.8188390525114144</v>
      </c>
      <c r="G34" s="386"/>
      <c r="H34" s="386">
        <v>276841.81559569703</v>
      </c>
      <c r="I34" s="69">
        <v>8.7785963849472672</v>
      </c>
      <c r="J34" s="69"/>
      <c r="K34" s="386">
        <v>25173.738000000001</v>
      </c>
      <c r="L34" s="69">
        <v>1.3743523977987422</v>
      </c>
      <c r="M34" s="385"/>
      <c r="N34" s="383" t="s">
        <v>26</v>
      </c>
      <c r="O34" s="385" t="s">
        <v>26</v>
      </c>
      <c r="P34" s="69"/>
      <c r="Q34" s="383">
        <v>36958.047999999995</v>
      </c>
      <c r="R34" s="69">
        <v>1.1719320142059868</v>
      </c>
      <c r="S34" s="69"/>
      <c r="T34" s="69"/>
      <c r="U34" s="69"/>
      <c r="V34" s="84"/>
      <c r="W34" s="386">
        <v>143777.98199999999</v>
      </c>
      <c r="X34" s="69">
        <v>4.5591699010654487</v>
      </c>
    </row>
    <row r="35" spans="1:32" ht="15.95" customHeight="1" x14ac:dyDescent="0.25">
      <c r="A35" s="382">
        <v>2019</v>
      </c>
      <c r="B35" s="386">
        <v>748492</v>
      </c>
      <c r="C35" s="384">
        <v>23.73</v>
      </c>
      <c r="D35" s="386"/>
      <c r="E35" s="386">
        <v>253802</v>
      </c>
      <c r="F35" s="69">
        <v>8.0399999999999991</v>
      </c>
      <c r="G35" s="386"/>
      <c r="H35" s="386">
        <v>284025</v>
      </c>
      <c r="I35" s="69">
        <v>9.0063664566210022</v>
      </c>
      <c r="J35" s="69"/>
      <c r="K35" s="386">
        <v>27109</v>
      </c>
      <c r="L35" s="69">
        <v>1.4799932848532495</v>
      </c>
      <c r="M35" s="385"/>
      <c r="N35" s="383" t="s">
        <v>26</v>
      </c>
      <c r="O35" s="385" t="s">
        <v>26</v>
      </c>
      <c r="P35" s="69"/>
      <c r="Q35" s="386">
        <v>41487</v>
      </c>
      <c r="R35" s="69">
        <v>1.3155424909119737</v>
      </c>
      <c r="S35" s="69"/>
      <c r="T35" s="69"/>
      <c r="U35" s="69"/>
      <c r="V35" s="84"/>
      <c r="W35" s="386">
        <v>142069</v>
      </c>
      <c r="X35" s="69">
        <v>4.504990740740741</v>
      </c>
    </row>
    <row r="36" spans="1:32" ht="15.95" customHeight="1" x14ac:dyDescent="0.25">
      <c r="A36" s="382">
        <v>2020</v>
      </c>
      <c r="B36" s="389">
        <v>757011.24191739399</v>
      </c>
      <c r="C36" s="390">
        <v>23.939082482986745</v>
      </c>
      <c r="D36" s="389"/>
      <c r="E36" s="389">
        <v>244129.10585539398</v>
      </c>
      <c r="F36" s="391">
        <v>7.7201321169612038</v>
      </c>
      <c r="G36" s="389"/>
      <c r="H36" s="389">
        <v>285954.15931200003</v>
      </c>
      <c r="I36" s="391">
        <v>9.0427721903460849</v>
      </c>
      <c r="J36" s="391"/>
      <c r="K36" s="389">
        <v>24641.581999999999</v>
      </c>
      <c r="L36" s="391">
        <v>1.876338785331384</v>
      </c>
      <c r="M36" s="392"/>
      <c r="N36" s="387"/>
      <c r="O36" s="392"/>
      <c r="P36" s="391"/>
      <c r="Q36" s="389">
        <v>49670.127899999999</v>
      </c>
      <c r="R36" s="391">
        <v>1.5707260644353369</v>
      </c>
      <c r="S36" s="391"/>
      <c r="T36" s="389">
        <v>154.79785000000001</v>
      </c>
      <c r="U36" s="391">
        <v>5.7794896206690566E-2</v>
      </c>
      <c r="V36" s="393"/>
      <c r="W36" s="389">
        <v>152461.46900000001</v>
      </c>
      <c r="X36" s="391">
        <v>4.8213123924812793</v>
      </c>
    </row>
    <row r="37" spans="1:32" ht="15.95" customHeight="1" x14ac:dyDescent="0.25">
      <c r="A37" s="398">
        <v>2021</v>
      </c>
      <c r="B37" s="399">
        <v>754056.84652250656</v>
      </c>
      <c r="C37" s="400">
        <v>23.910985744317614</v>
      </c>
      <c r="D37" s="399"/>
      <c r="E37" s="399">
        <v>247579.78371291561</v>
      </c>
      <c r="F37" s="401">
        <v>7.8507034409219818</v>
      </c>
      <c r="G37" s="399"/>
      <c r="H37" s="399">
        <v>286675.12047959102</v>
      </c>
      <c r="I37" s="401">
        <v>9.0904084373284828</v>
      </c>
      <c r="J37" s="401"/>
      <c r="K37" s="399">
        <v>26456.755000000001</v>
      </c>
      <c r="L37" s="401">
        <v>1.6824859457671957</v>
      </c>
      <c r="M37" s="402"/>
      <c r="N37" s="403"/>
      <c r="O37" s="402"/>
      <c r="P37" s="401"/>
      <c r="Q37" s="399">
        <v>58356.4</v>
      </c>
      <c r="R37" s="401">
        <v>1.8504693049213596</v>
      </c>
      <c r="S37" s="401"/>
      <c r="T37" s="399">
        <v>1733.9883299999999</v>
      </c>
      <c r="U37" s="401">
        <v>5.4984409246575335E-2</v>
      </c>
      <c r="V37" s="404"/>
      <c r="W37" s="399">
        <v>133254.799</v>
      </c>
      <c r="X37" s="401">
        <v>4.2254819571283608</v>
      </c>
      <c r="Y37" s="103"/>
    </row>
    <row r="38" spans="1:32" s="42" customFormat="1" ht="12" customHeight="1" x14ac:dyDescent="0.25">
      <c r="A38" s="652" t="s">
        <v>202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</row>
    <row r="39" spans="1:32" s="42" customFormat="1" ht="12" customHeight="1" x14ac:dyDescent="0.25">
      <c r="A39" s="649" t="s">
        <v>203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</row>
    <row r="40" spans="1:32" s="42" customFormat="1" ht="12" customHeight="1" x14ac:dyDescent="0.25">
      <c r="A40" s="3" t="s">
        <v>204</v>
      </c>
    </row>
    <row r="41" spans="1:32" s="7" customFormat="1" ht="12" customHeight="1" x14ac:dyDescent="0.25">
      <c r="A41" s="10" t="s">
        <v>205</v>
      </c>
      <c r="B41" s="11"/>
      <c r="C41" s="12" t="s">
        <v>206</v>
      </c>
      <c r="D41" s="11"/>
      <c r="E41" s="36"/>
      <c r="F41" s="11"/>
      <c r="G41" s="11"/>
      <c r="H41" s="11"/>
      <c r="I41" s="11"/>
      <c r="J41" s="11"/>
      <c r="K41" s="11"/>
      <c r="L41" s="36"/>
      <c r="P41" s="9"/>
      <c r="Q41" s="9"/>
      <c r="R41" s="9"/>
      <c r="S41" s="9"/>
      <c r="T41" s="9"/>
      <c r="U41" s="9"/>
      <c r="V41" s="9"/>
      <c r="W41" s="8"/>
      <c r="X41" s="36"/>
    </row>
    <row r="42" spans="1:32" s="42" customFormat="1" ht="12" customHeight="1" x14ac:dyDescent="0.25">
      <c r="A42" s="42" t="s">
        <v>429</v>
      </c>
      <c r="AF42" s="242"/>
    </row>
    <row r="43" spans="1:32" s="7" customFormat="1" ht="12" customHeight="1" x14ac:dyDescent="0.25">
      <c r="A43" s="13" t="s">
        <v>207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P43" s="9"/>
      <c r="Q43" s="9"/>
      <c r="R43" s="9"/>
      <c r="S43" s="9"/>
      <c r="T43" s="9"/>
      <c r="U43" s="9"/>
      <c r="V43" s="9"/>
      <c r="X43" s="36"/>
    </row>
    <row r="44" spans="1:32" ht="18" customHeight="1" x14ac:dyDescent="0.25">
      <c r="A44" s="67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46"/>
      <c r="M44" s="46"/>
      <c r="P44" s="69"/>
      <c r="Q44" s="69"/>
      <c r="R44" s="69"/>
      <c r="S44" s="69"/>
      <c r="T44" s="69"/>
      <c r="U44" s="69"/>
      <c r="V44" s="69"/>
      <c r="X44" s="85"/>
    </row>
    <row r="45" spans="1:32" ht="12.75" customHeight="1" x14ac:dyDescent="0.25">
      <c r="A45" s="67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46"/>
      <c r="M45" s="46"/>
      <c r="P45" s="69"/>
      <c r="Q45" s="69"/>
      <c r="R45" s="69"/>
      <c r="S45" s="69"/>
      <c r="T45" s="69"/>
      <c r="U45" s="69"/>
      <c r="V45" s="69"/>
      <c r="X45" s="85"/>
    </row>
    <row r="46" spans="1:32" ht="12.75" customHeight="1" x14ac:dyDescent="0.25">
      <c r="A46" s="67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46"/>
      <c r="M46" s="46"/>
      <c r="P46" s="69"/>
      <c r="Q46" s="69"/>
      <c r="R46" s="69"/>
      <c r="S46" s="69"/>
      <c r="T46" s="69"/>
      <c r="U46" s="69"/>
      <c r="V46" s="69"/>
      <c r="X46" s="85"/>
    </row>
    <row r="47" spans="1:32" ht="12.75" customHeight="1" x14ac:dyDescent="0.25">
      <c r="A47" s="67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46"/>
      <c r="M47" s="46"/>
      <c r="P47" s="69"/>
      <c r="Q47" s="69"/>
      <c r="R47" s="69"/>
      <c r="S47" s="69"/>
      <c r="T47" s="69"/>
      <c r="U47" s="69"/>
      <c r="V47" s="69"/>
      <c r="X47" s="85"/>
    </row>
    <row r="48" spans="1:32" ht="12.75" customHeight="1" x14ac:dyDescent="0.25">
      <c r="A48" s="67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46"/>
      <c r="M48" s="46"/>
      <c r="P48" s="69"/>
      <c r="Q48" s="69"/>
      <c r="R48" s="69"/>
      <c r="S48" s="69"/>
      <c r="T48" s="69"/>
      <c r="U48" s="69"/>
      <c r="V48" s="69"/>
      <c r="X48" s="85"/>
    </row>
    <row r="49" spans="1:24" ht="12.75" customHeight="1" x14ac:dyDescent="0.25">
      <c r="A49" s="67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46"/>
      <c r="M49" s="46"/>
      <c r="P49" s="69"/>
      <c r="Q49" s="69"/>
      <c r="R49" s="69"/>
      <c r="S49" s="69"/>
      <c r="T49" s="69"/>
      <c r="U49" s="69"/>
      <c r="V49" s="69"/>
      <c r="X49" s="85"/>
    </row>
    <row r="50" spans="1:24" ht="12.75" customHeight="1" x14ac:dyDescent="0.25">
      <c r="A50" s="67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46"/>
      <c r="M50" s="46"/>
      <c r="P50" s="69"/>
      <c r="Q50" s="69"/>
      <c r="R50" s="69"/>
      <c r="S50" s="69"/>
      <c r="T50" s="69"/>
      <c r="U50" s="69"/>
      <c r="V50" s="69"/>
      <c r="X50" s="85"/>
    </row>
    <row r="51" spans="1:24" ht="12.75" customHeight="1" x14ac:dyDescent="0.25">
      <c r="A51" s="67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46"/>
      <c r="M51" s="46"/>
      <c r="P51" s="69"/>
      <c r="Q51" s="69"/>
      <c r="R51" s="69"/>
      <c r="S51" s="69"/>
      <c r="T51" s="69"/>
      <c r="U51" s="69"/>
      <c r="V51" s="69"/>
      <c r="X51" s="85"/>
    </row>
    <row r="52" spans="1:24" ht="12.75" customHeight="1" x14ac:dyDescent="0.25">
      <c r="A52" s="67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46"/>
      <c r="M52" s="46"/>
      <c r="P52" s="69"/>
      <c r="Q52" s="69"/>
      <c r="R52" s="69"/>
      <c r="S52" s="69"/>
      <c r="T52" s="69"/>
      <c r="U52" s="69"/>
      <c r="V52" s="69"/>
      <c r="X52" s="85"/>
    </row>
    <row r="53" spans="1:24" ht="12.75" customHeight="1" x14ac:dyDescent="0.25">
      <c r="A53" s="67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46"/>
      <c r="M53" s="46"/>
      <c r="P53" s="69"/>
      <c r="Q53" s="69"/>
      <c r="R53" s="69"/>
      <c r="S53" s="69"/>
      <c r="T53" s="69"/>
      <c r="U53" s="69"/>
      <c r="V53" s="69"/>
      <c r="X53" s="85"/>
    </row>
    <row r="54" spans="1:24" ht="12.75" customHeight="1" x14ac:dyDescent="0.25">
      <c r="A54" s="67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46"/>
      <c r="M54" s="46"/>
      <c r="P54" s="69"/>
      <c r="Q54" s="69"/>
      <c r="R54" s="69"/>
      <c r="S54" s="69"/>
      <c r="T54" s="69"/>
      <c r="U54" s="69"/>
      <c r="V54" s="69"/>
      <c r="X54" s="85"/>
    </row>
    <row r="55" spans="1:24" ht="12.75" customHeight="1" x14ac:dyDescent="0.25">
      <c r="A55" s="67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46"/>
      <c r="M55" s="46"/>
      <c r="X55" s="85"/>
    </row>
    <row r="56" spans="1:24" ht="12.75" customHeight="1" x14ac:dyDescent="0.25">
      <c r="A56" s="67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46"/>
      <c r="M56" s="46"/>
      <c r="X56" s="85"/>
    </row>
    <row r="57" spans="1:24" ht="12.75" customHeight="1" x14ac:dyDescent="0.25">
      <c r="A57" s="67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46"/>
      <c r="M57" s="104"/>
      <c r="P57" s="69"/>
      <c r="Q57" s="69"/>
      <c r="R57" s="69"/>
      <c r="S57" s="69"/>
      <c r="T57" s="69"/>
      <c r="U57" s="69"/>
      <c r="V57" s="69"/>
      <c r="X57" s="85"/>
    </row>
    <row r="58" spans="1:24" ht="12.75" customHeight="1" x14ac:dyDescent="0.25">
      <c r="A58" s="67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46"/>
      <c r="M58" s="104"/>
      <c r="P58" s="69"/>
      <c r="Q58" s="69"/>
      <c r="R58" s="69"/>
      <c r="S58" s="69"/>
      <c r="T58" s="69"/>
      <c r="U58" s="69"/>
      <c r="V58" s="69"/>
      <c r="X58" s="85"/>
    </row>
    <row r="59" spans="1:24" ht="12.75" customHeight="1" x14ac:dyDescent="0.25">
      <c r="A59" s="67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46"/>
      <c r="M59" s="104"/>
      <c r="P59" s="69"/>
      <c r="Q59" s="69"/>
      <c r="R59" s="69"/>
      <c r="S59" s="69"/>
      <c r="T59" s="69"/>
      <c r="U59" s="69"/>
      <c r="V59" s="69"/>
      <c r="X59" s="85"/>
    </row>
    <row r="60" spans="1:24" ht="12.75" customHeight="1" x14ac:dyDescent="0.25">
      <c r="A60" s="67"/>
      <c r="H60" s="67"/>
      <c r="I60" s="67"/>
      <c r="J60" s="67"/>
      <c r="K60" s="67"/>
      <c r="L60" s="46"/>
      <c r="M60" s="46"/>
    </row>
    <row r="61" spans="1:24" ht="12.75" customHeight="1" x14ac:dyDescent="0.25">
      <c r="A61" s="67"/>
      <c r="F61" s="46"/>
      <c r="G61" s="46"/>
      <c r="H61" s="46"/>
      <c r="I61" s="46"/>
      <c r="J61" s="46"/>
      <c r="K61" s="46"/>
      <c r="L61" s="46"/>
      <c r="M61" s="46"/>
    </row>
    <row r="62" spans="1:24" ht="12.75" customHeight="1" x14ac:dyDescent="0.25">
      <c r="A62" s="67"/>
      <c r="F62" s="46"/>
      <c r="G62" s="46"/>
      <c r="H62" s="46"/>
      <c r="I62" s="46"/>
      <c r="J62" s="46"/>
      <c r="K62" s="46"/>
      <c r="L62" s="46"/>
      <c r="M62" s="46"/>
    </row>
    <row r="63" spans="1:24" s="98" customFormat="1" ht="12.75" customHeight="1" x14ac:dyDescent="0.25">
      <c r="A63" s="89"/>
      <c r="B63" s="94"/>
      <c r="C63" s="94"/>
      <c r="D63" s="94"/>
      <c r="E63" s="94"/>
    </row>
    <row r="66" spans="2:13" ht="12.75" customHeight="1" x14ac:dyDescent="0.25"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</row>
    <row r="67" spans="2:13" ht="12.75" customHeight="1" x14ac:dyDescent="0.25"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</row>
    <row r="68" spans="2:13" ht="12.75" customHeight="1" x14ac:dyDescent="0.25"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 spans="2:13" ht="12.75" customHeight="1" x14ac:dyDescent="0.25"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</row>
  </sheetData>
  <mergeCells count="14">
    <mergeCell ref="A39:X39"/>
    <mergeCell ref="H5:I5"/>
    <mergeCell ref="A38:X38"/>
    <mergeCell ref="A1:X1"/>
    <mergeCell ref="A2:X2"/>
    <mergeCell ref="A4:A6"/>
    <mergeCell ref="B4:C5"/>
    <mergeCell ref="E4:I4"/>
    <mergeCell ref="K4:L5"/>
    <mergeCell ref="N4:O5"/>
    <mergeCell ref="Q4:R5"/>
    <mergeCell ref="W4:X5"/>
    <mergeCell ref="E5:F5"/>
    <mergeCell ref="T4:U5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0" orientation="portrait" r:id="rId1"/>
  <ignoredErrors>
    <ignoredError sqref="B27:X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61"/>
  <sheetViews>
    <sheetView showGridLines="0" zoomScaleNormal="100" workbookViewId="0">
      <selection activeCell="P30" sqref="P30"/>
    </sheetView>
  </sheetViews>
  <sheetFormatPr baseColWidth="10" defaultColWidth="11" defaultRowHeight="12.75" customHeight="1" x14ac:dyDescent="0.25"/>
  <cols>
    <col min="1" max="1" width="10.7109375" style="44" customWidth="1"/>
    <col min="2" max="2" width="11.28515625" style="85" customWidth="1"/>
    <col min="3" max="3" width="1.7109375" style="85" customWidth="1"/>
    <col min="4" max="4" width="8.140625" style="85" customWidth="1"/>
    <col min="5" max="5" width="7.42578125" style="85" customWidth="1"/>
    <col min="6" max="6" width="1.7109375" style="85" customWidth="1"/>
    <col min="7" max="7" width="8.7109375" style="85" customWidth="1"/>
    <col min="8" max="8" width="7.5703125" style="44" customWidth="1"/>
    <col min="9" max="9" width="12.85546875" style="44" customWidth="1"/>
    <col min="10" max="10" width="1.7109375" style="44" customWidth="1"/>
    <col min="11" max="11" width="9.5703125" style="44" customWidth="1"/>
    <col min="12" max="12" width="10" style="44" customWidth="1"/>
    <col min="13" max="13" width="7" style="44" customWidth="1"/>
    <col min="14" max="20" width="8.7109375" style="46" customWidth="1"/>
    <col min="21" max="30" width="7.28515625" style="46" customWidth="1"/>
    <col min="31" max="47" width="9.28515625" style="46" customWidth="1"/>
    <col min="48" max="16384" width="11" style="46"/>
  </cols>
  <sheetData>
    <row r="1" spans="1:18" s="47" customFormat="1" ht="25.7" customHeight="1" x14ac:dyDescent="0.25">
      <c r="A1" s="654" t="s">
        <v>382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83"/>
      <c r="O1" s="85"/>
    </row>
    <row r="2" spans="1:18" ht="12.75" customHeight="1" x14ac:dyDescent="0.25">
      <c r="A2" s="655" t="s">
        <v>90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</row>
    <row r="3" spans="1:18" ht="12.75" customHeight="1" x14ac:dyDescent="0.25">
      <c r="A3" s="187"/>
      <c r="B3" s="187"/>
      <c r="C3" s="36"/>
      <c r="D3" s="36"/>
      <c r="E3" s="36"/>
      <c r="F3" s="36"/>
      <c r="G3" s="36"/>
      <c r="H3" s="184"/>
      <c r="I3" s="184"/>
      <c r="J3" s="184"/>
      <c r="K3" s="184"/>
      <c r="L3" s="184"/>
    </row>
    <row r="4" spans="1:18" ht="15" customHeight="1" x14ac:dyDescent="0.25">
      <c r="A4" s="670" t="s">
        <v>189</v>
      </c>
      <c r="B4" s="664" t="s">
        <v>208</v>
      </c>
      <c r="C4" s="407"/>
      <c r="D4" s="408"/>
      <c r="E4" s="311"/>
      <c r="F4" s="311"/>
      <c r="G4" s="651" t="s">
        <v>209</v>
      </c>
      <c r="H4" s="651"/>
      <c r="I4" s="651"/>
      <c r="J4" s="397"/>
      <c r="K4" s="408"/>
      <c r="L4" s="408"/>
      <c r="M4" s="68"/>
      <c r="N4" s="666"/>
      <c r="O4" s="666"/>
      <c r="P4" s="85"/>
    </row>
    <row r="5" spans="1:18" ht="15" customHeight="1" x14ac:dyDescent="0.25">
      <c r="A5" s="671"/>
      <c r="B5" s="673"/>
      <c r="C5" s="394"/>
      <c r="D5" s="667" t="s">
        <v>210</v>
      </c>
      <c r="E5" s="667"/>
      <c r="F5" s="410"/>
      <c r="G5" s="667" t="s">
        <v>211</v>
      </c>
      <c r="H5" s="667"/>
      <c r="I5" s="667"/>
      <c r="J5" s="410"/>
      <c r="K5" s="667" t="s">
        <v>212</v>
      </c>
      <c r="L5" s="667"/>
      <c r="M5" s="68"/>
      <c r="N5" s="85"/>
      <c r="O5" s="85"/>
      <c r="P5" s="85"/>
    </row>
    <row r="6" spans="1:18" ht="39.75" customHeight="1" x14ac:dyDescent="0.25">
      <c r="A6" s="672"/>
      <c r="B6" s="674"/>
      <c r="C6" s="376"/>
      <c r="D6" s="376" t="s">
        <v>213</v>
      </c>
      <c r="E6" s="376" t="s">
        <v>214</v>
      </c>
      <c r="F6" s="376"/>
      <c r="G6" s="376" t="s">
        <v>215</v>
      </c>
      <c r="H6" s="376" t="s">
        <v>216</v>
      </c>
      <c r="I6" s="376" t="s">
        <v>217</v>
      </c>
      <c r="J6" s="376"/>
      <c r="K6" s="376" t="s">
        <v>218</v>
      </c>
      <c r="L6" s="376" t="s">
        <v>219</v>
      </c>
      <c r="M6" s="87"/>
      <c r="N6" s="85"/>
      <c r="O6" s="85"/>
      <c r="P6" s="85"/>
    </row>
    <row r="7" spans="1:18" ht="12.75" hidden="1" customHeight="1" x14ac:dyDescent="0.25">
      <c r="A7" s="409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87"/>
      <c r="N7" s="85"/>
      <c r="O7" s="85"/>
      <c r="P7" s="85"/>
    </row>
    <row r="8" spans="1:18" ht="12.75" hidden="1" customHeight="1" x14ac:dyDescent="0.25">
      <c r="A8" s="382">
        <v>1990</v>
      </c>
      <c r="B8" s="386">
        <v>214621</v>
      </c>
      <c r="C8" s="386"/>
      <c r="D8" s="386">
        <v>64328</v>
      </c>
      <c r="E8" s="386">
        <v>50229</v>
      </c>
      <c r="F8" s="386"/>
      <c r="G8" s="386">
        <v>45949</v>
      </c>
      <c r="H8" s="386">
        <v>20307</v>
      </c>
      <c r="I8" s="386" t="s">
        <v>133</v>
      </c>
      <c r="J8" s="386"/>
      <c r="K8" s="386">
        <v>29639</v>
      </c>
      <c r="L8" s="386">
        <v>4169</v>
      </c>
      <c r="M8" s="88"/>
      <c r="N8" s="87"/>
      <c r="O8" s="86"/>
      <c r="P8" s="69"/>
    </row>
    <row r="9" spans="1:18" ht="12.75" hidden="1" customHeight="1" x14ac:dyDescent="0.25">
      <c r="A9" s="382">
        <v>1991</v>
      </c>
      <c r="B9" s="386">
        <v>226684</v>
      </c>
      <c r="C9" s="386"/>
      <c r="D9" s="386">
        <v>63240</v>
      </c>
      <c r="E9" s="386">
        <v>54238</v>
      </c>
      <c r="F9" s="386"/>
      <c r="G9" s="386">
        <v>61753</v>
      </c>
      <c r="H9" s="386">
        <v>17644</v>
      </c>
      <c r="I9" s="386" t="s">
        <v>133</v>
      </c>
      <c r="J9" s="386"/>
      <c r="K9" s="386">
        <v>26047</v>
      </c>
      <c r="L9" s="386">
        <v>3762</v>
      </c>
      <c r="M9" s="88"/>
      <c r="N9" s="87"/>
      <c r="O9" s="86"/>
      <c r="P9" s="69"/>
      <c r="Q9" s="100"/>
      <c r="R9" s="86"/>
    </row>
    <row r="10" spans="1:18" ht="12.75" hidden="1" customHeight="1" x14ac:dyDescent="0.25">
      <c r="A10" s="382">
        <v>1992</v>
      </c>
      <c r="B10" s="386">
        <v>207254</v>
      </c>
      <c r="C10" s="386"/>
      <c r="D10" s="386">
        <v>59312</v>
      </c>
      <c r="E10" s="386">
        <v>43536</v>
      </c>
      <c r="F10" s="386"/>
      <c r="G10" s="386">
        <v>55454</v>
      </c>
      <c r="H10" s="386">
        <v>18213</v>
      </c>
      <c r="I10" s="386" t="s">
        <v>133</v>
      </c>
      <c r="J10" s="386"/>
      <c r="K10" s="386">
        <v>27016</v>
      </c>
      <c r="L10" s="386">
        <v>3723</v>
      </c>
      <c r="M10" s="88"/>
      <c r="N10" s="87"/>
      <c r="O10" s="86"/>
      <c r="P10" s="69"/>
      <c r="Q10" s="100"/>
      <c r="R10" s="86"/>
    </row>
    <row r="11" spans="1:18" ht="12.75" hidden="1" customHeight="1" x14ac:dyDescent="0.25">
      <c r="A11" s="382">
        <v>1993</v>
      </c>
      <c r="B11" s="386">
        <v>230079</v>
      </c>
      <c r="C11" s="386"/>
      <c r="D11" s="386">
        <v>66611</v>
      </c>
      <c r="E11" s="386">
        <v>48062</v>
      </c>
      <c r="F11" s="386"/>
      <c r="G11" s="386">
        <v>48051</v>
      </c>
      <c r="H11" s="386">
        <v>23710</v>
      </c>
      <c r="I11" s="386" t="s">
        <v>133</v>
      </c>
      <c r="J11" s="386"/>
      <c r="K11" s="386">
        <v>38838</v>
      </c>
      <c r="L11" s="386">
        <v>4807</v>
      </c>
      <c r="M11" s="88"/>
      <c r="N11" s="87"/>
      <c r="O11" s="86"/>
      <c r="P11" s="69"/>
      <c r="Q11" s="100"/>
      <c r="R11" s="86"/>
    </row>
    <row r="12" spans="1:18" ht="12.75" hidden="1" customHeight="1" x14ac:dyDescent="0.25">
      <c r="A12" s="382">
        <v>1994</v>
      </c>
      <c r="B12" s="386">
        <v>235388</v>
      </c>
      <c r="C12" s="386"/>
      <c r="D12" s="386">
        <v>63958</v>
      </c>
      <c r="E12" s="386">
        <v>46389</v>
      </c>
      <c r="F12" s="386"/>
      <c r="G12" s="386">
        <v>63969</v>
      </c>
      <c r="H12" s="386">
        <v>23024</v>
      </c>
      <c r="I12" s="386" t="s">
        <v>133</v>
      </c>
      <c r="J12" s="386"/>
      <c r="K12" s="386">
        <v>33806</v>
      </c>
      <c r="L12" s="386">
        <v>4242</v>
      </c>
      <c r="M12" s="88"/>
      <c r="N12" s="87"/>
      <c r="O12" s="86"/>
      <c r="P12" s="69"/>
      <c r="Q12" s="100"/>
      <c r="R12" s="86"/>
    </row>
    <row r="13" spans="1:18" ht="12.75" hidden="1" customHeight="1" x14ac:dyDescent="0.25">
      <c r="A13" s="382">
        <v>1995</v>
      </c>
      <c r="B13" s="386">
        <v>254286</v>
      </c>
      <c r="C13" s="386"/>
      <c r="D13" s="386">
        <v>67294</v>
      </c>
      <c r="E13" s="386">
        <v>46371</v>
      </c>
      <c r="F13" s="386"/>
      <c r="G13" s="386">
        <v>55632</v>
      </c>
      <c r="H13" s="386">
        <v>22425</v>
      </c>
      <c r="I13" s="386">
        <v>23853</v>
      </c>
      <c r="J13" s="386"/>
      <c r="K13" s="386">
        <v>34507</v>
      </c>
      <c r="L13" s="386">
        <v>4204</v>
      </c>
      <c r="M13" s="88"/>
      <c r="N13" s="100"/>
      <c r="O13" s="86"/>
      <c r="P13" s="69"/>
      <c r="Q13" s="100"/>
      <c r="R13" s="86"/>
    </row>
    <row r="14" spans="1:18" ht="12.75" hidden="1" customHeight="1" x14ac:dyDescent="0.25">
      <c r="A14" s="382">
        <v>1996</v>
      </c>
      <c r="B14" s="386">
        <v>247294</v>
      </c>
      <c r="C14" s="386"/>
      <c r="D14" s="386">
        <v>59330</v>
      </c>
      <c r="E14" s="386">
        <v>50494</v>
      </c>
      <c r="F14" s="386"/>
      <c r="G14" s="386">
        <v>67467</v>
      </c>
      <c r="H14" s="386">
        <v>20800</v>
      </c>
      <c r="I14" s="386">
        <v>13943</v>
      </c>
      <c r="J14" s="386"/>
      <c r="K14" s="386">
        <v>30860</v>
      </c>
      <c r="L14" s="386">
        <v>4400</v>
      </c>
      <c r="M14" s="88"/>
      <c r="N14" s="100"/>
      <c r="O14" s="86"/>
      <c r="P14" s="69"/>
      <c r="Q14" s="100"/>
      <c r="R14" s="86"/>
    </row>
    <row r="15" spans="1:18" ht="12.75" hidden="1" customHeight="1" x14ac:dyDescent="0.25">
      <c r="A15" s="382">
        <v>1997</v>
      </c>
      <c r="B15" s="386">
        <v>262325</v>
      </c>
      <c r="C15" s="386"/>
      <c r="D15" s="386">
        <v>61378</v>
      </c>
      <c r="E15" s="386">
        <v>56599</v>
      </c>
      <c r="F15" s="386"/>
      <c r="G15" s="386">
        <v>51820</v>
      </c>
      <c r="H15" s="386">
        <v>21767</v>
      </c>
      <c r="I15" s="386">
        <v>32245</v>
      </c>
      <c r="J15" s="386"/>
      <c r="K15" s="386">
        <v>32220</v>
      </c>
      <c r="L15" s="386">
        <v>6296</v>
      </c>
      <c r="M15" s="88"/>
      <c r="N15" s="100"/>
      <c r="O15" s="86"/>
      <c r="P15" s="69"/>
      <c r="Q15" s="100"/>
      <c r="R15" s="86"/>
    </row>
    <row r="16" spans="1:18" ht="12.75" hidden="1" customHeight="1" x14ac:dyDescent="0.25">
      <c r="A16" s="382">
        <v>1998</v>
      </c>
      <c r="B16" s="386">
        <v>232011</v>
      </c>
      <c r="C16" s="386"/>
      <c r="D16" s="386">
        <v>58279</v>
      </c>
      <c r="E16" s="386">
        <v>56054</v>
      </c>
      <c r="F16" s="386"/>
      <c r="G16" s="386">
        <v>37343</v>
      </c>
      <c r="H16" s="386">
        <v>17699</v>
      </c>
      <c r="I16" s="386">
        <v>29171</v>
      </c>
      <c r="J16" s="386"/>
      <c r="K16" s="386">
        <v>27387</v>
      </c>
      <c r="L16" s="386">
        <v>6078</v>
      </c>
      <c r="M16" s="88"/>
      <c r="N16" s="100"/>
      <c r="O16" s="86"/>
      <c r="P16" s="69"/>
      <c r="Q16" s="100"/>
      <c r="R16" s="86"/>
    </row>
    <row r="17" spans="1:18" ht="12.75" hidden="1" customHeight="1" x14ac:dyDescent="0.25">
      <c r="A17" s="382">
        <v>1999</v>
      </c>
      <c r="B17" s="386">
        <v>217122</v>
      </c>
      <c r="C17" s="386"/>
      <c r="D17" s="386">
        <v>52834</v>
      </c>
      <c r="E17" s="386">
        <v>55800</v>
      </c>
      <c r="F17" s="386"/>
      <c r="G17" s="386">
        <v>37021</v>
      </c>
      <c r="H17" s="386">
        <v>13473</v>
      </c>
      <c r="I17" s="386">
        <v>27756</v>
      </c>
      <c r="J17" s="386"/>
      <c r="K17" s="386">
        <v>22622</v>
      </c>
      <c r="L17" s="386">
        <v>7616</v>
      </c>
      <c r="M17" s="88"/>
      <c r="N17" s="100"/>
      <c r="O17" s="86"/>
      <c r="P17" s="69"/>
      <c r="Q17" s="100"/>
      <c r="R17" s="86"/>
    </row>
    <row r="18" spans="1:18" ht="12.75" hidden="1" customHeight="1" x14ac:dyDescent="0.25">
      <c r="A18" s="382">
        <v>2000</v>
      </c>
      <c r="B18" s="386">
        <v>190315</v>
      </c>
      <c r="C18" s="386"/>
      <c r="D18" s="386">
        <v>43346</v>
      </c>
      <c r="E18" s="386">
        <v>58420</v>
      </c>
      <c r="F18" s="386"/>
      <c r="G18" s="386">
        <v>36729</v>
      </c>
      <c r="H18" s="386">
        <v>4083</v>
      </c>
      <c r="I18" s="386">
        <v>21555</v>
      </c>
      <c r="J18" s="386"/>
      <c r="K18" s="386">
        <v>17735</v>
      </c>
      <c r="L18" s="386">
        <v>8447</v>
      </c>
      <c r="M18" s="88"/>
      <c r="N18" s="100"/>
      <c r="O18" s="86"/>
      <c r="P18" s="69"/>
      <c r="Q18" s="100"/>
      <c r="R18" s="86"/>
    </row>
    <row r="19" spans="1:18" ht="12.75" hidden="1" customHeight="1" x14ac:dyDescent="0.25">
      <c r="A19" s="382">
        <v>2001</v>
      </c>
      <c r="B19" s="386">
        <v>176610</v>
      </c>
      <c r="C19" s="386"/>
      <c r="D19" s="386">
        <v>41364</v>
      </c>
      <c r="E19" s="386">
        <v>52438</v>
      </c>
      <c r="F19" s="386"/>
      <c r="G19" s="386">
        <v>37132</v>
      </c>
      <c r="H19" s="386">
        <v>1615</v>
      </c>
      <c r="I19" s="386">
        <v>21413</v>
      </c>
      <c r="J19" s="386"/>
      <c r="K19" s="386">
        <v>14155</v>
      </c>
      <c r="L19" s="386">
        <v>8493</v>
      </c>
      <c r="M19" s="88"/>
      <c r="N19" s="100"/>
      <c r="O19" s="86"/>
      <c r="P19" s="69"/>
      <c r="Q19" s="100"/>
      <c r="R19" s="86"/>
    </row>
    <row r="20" spans="1:18" ht="12.75" hidden="1" customHeight="1" x14ac:dyDescent="0.25">
      <c r="A20" s="382">
        <v>2002</v>
      </c>
      <c r="B20" s="386">
        <v>163623</v>
      </c>
      <c r="C20" s="386"/>
      <c r="D20" s="386">
        <v>45474</v>
      </c>
      <c r="E20" s="386">
        <v>38028</v>
      </c>
      <c r="F20" s="386"/>
      <c r="G20" s="386">
        <v>37930</v>
      </c>
      <c r="H20" s="386">
        <v>1393</v>
      </c>
      <c r="I20" s="386">
        <v>24462</v>
      </c>
      <c r="J20" s="386"/>
      <c r="K20" s="386">
        <v>8900</v>
      </c>
      <c r="L20" s="386">
        <v>7436</v>
      </c>
      <c r="M20" s="88"/>
      <c r="N20" s="100"/>
      <c r="O20" s="86"/>
      <c r="P20" s="69"/>
      <c r="Q20" s="100"/>
      <c r="R20" s="86"/>
    </row>
    <row r="21" spans="1:18" ht="12.75" hidden="1" customHeight="1" x14ac:dyDescent="0.25">
      <c r="A21" s="382">
        <v>2003</v>
      </c>
      <c r="B21" s="386">
        <v>127370</v>
      </c>
      <c r="C21" s="386"/>
      <c r="D21" s="386">
        <v>34184</v>
      </c>
      <c r="E21" s="386">
        <v>17910</v>
      </c>
      <c r="F21" s="386"/>
      <c r="G21" s="386">
        <v>41551</v>
      </c>
      <c r="H21" s="386">
        <v>963</v>
      </c>
      <c r="I21" s="386">
        <v>22279</v>
      </c>
      <c r="J21" s="386"/>
      <c r="K21" s="386">
        <v>6865</v>
      </c>
      <c r="L21" s="386">
        <v>3618</v>
      </c>
      <c r="M21" s="88"/>
      <c r="N21" s="100"/>
      <c r="O21" s="86"/>
      <c r="P21" s="69"/>
      <c r="Q21" s="100"/>
      <c r="R21" s="86"/>
    </row>
    <row r="22" spans="1:18" ht="12.75" hidden="1" customHeight="1" x14ac:dyDescent="0.25">
      <c r="A22" s="382">
        <v>2004</v>
      </c>
      <c r="B22" s="386">
        <v>174480</v>
      </c>
      <c r="C22" s="386"/>
      <c r="D22" s="386">
        <v>53394</v>
      </c>
      <c r="E22" s="386">
        <v>32986</v>
      </c>
      <c r="F22" s="386"/>
      <c r="G22" s="386">
        <v>43448</v>
      </c>
      <c r="H22" s="386">
        <v>5102</v>
      </c>
      <c r="I22" s="386">
        <v>26467</v>
      </c>
      <c r="J22" s="386"/>
      <c r="K22" s="386">
        <v>9417</v>
      </c>
      <c r="L22" s="386">
        <v>3666</v>
      </c>
      <c r="M22" s="88"/>
      <c r="N22" s="100"/>
      <c r="O22" s="86"/>
      <c r="P22" s="69"/>
      <c r="Q22" s="100"/>
      <c r="R22" s="86"/>
    </row>
    <row r="23" spans="1:18" ht="15.95" customHeight="1" x14ac:dyDescent="0.25">
      <c r="A23" s="382">
        <v>2006</v>
      </c>
      <c r="B23" s="386">
        <v>139329</v>
      </c>
      <c r="C23" s="386"/>
      <c r="D23" s="386">
        <v>33138</v>
      </c>
      <c r="E23" s="386">
        <v>26760</v>
      </c>
      <c r="F23" s="386"/>
      <c r="G23" s="386">
        <v>40474</v>
      </c>
      <c r="H23" s="386">
        <v>3875</v>
      </c>
      <c r="I23" s="386">
        <v>21982</v>
      </c>
      <c r="J23" s="386"/>
      <c r="K23" s="386">
        <v>9170</v>
      </c>
      <c r="L23" s="386">
        <v>3930</v>
      </c>
      <c r="M23" s="88"/>
      <c r="N23" s="100"/>
      <c r="O23" s="91"/>
      <c r="P23" s="86"/>
      <c r="Q23" s="100"/>
      <c r="R23" s="86"/>
    </row>
    <row r="24" spans="1:18" ht="15.95" customHeight="1" x14ac:dyDescent="0.25">
      <c r="A24" s="382">
        <v>2007</v>
      </c>
      <c r="B24" s="386">
        <v>105564</v>
      </c>
      <c r="C24" s="386"/>
      <c r="D24" s="386">
        <v>22562</v>
      </c>
      <c r="E24" s="386">
        <v>13332</v>
      </c>
      <c r="F24" s="386"/>
      <c r="G24" s="386">
        <v>38888</v>
      </c>
      <c r="H24" s="386">
        <v>1302</v>
      </c>
      <c r="I24" s="386">
        <v>20205</v>
      </c>
      <c r="J24" s="386"/>
      <c r="K24" s="386">
        <v>4560</v>
      </c>
      <c r="L24" s="386">
        <v>4715</v>
      </c>
      <c r="M24" s="88"/>
      <c r="N24" s="100"/>
      <c r="O24" s="91"/>
      <c r="P24" s="86"/>
      <c r="Q24" s="100"/>
      <c r="R24" s="86"/>
    </row>
    <row r="25" spans="1:18" ht="15.95" customHeight="1" x14ac:dyDescent="0.25">
      <c r="A25" s="382">
        <v>2008</v>
      </c>
      <c r="B25" s="386">
        <v>133363</v>
      </c>
      <c r="C25" s="386"/>
      <c r="D25" s="386">
        <v>30822</v>
      </c>
      <c r="E25" s="386">
        <v>20533</v>
      </c>
      <c r="F25" s="386"/>
      <c r="G25" s="386">
        <v>42245</v>
      </c>
      <c r="H25" s="386">
        <v>4008</v>
      </c>
      <c r="I25" s="386">
        <v>21576</v>
      </c>
      <c r="J25" s="386"/>
      <c r="K25" s="386">
        <v>8555</v>
      </c>
      <c r="L25" s="386">
        <v>5624</v>
      </c>
      <c r="M25" s="88"/>
      <c r="N25" s="100"/>
      <c r="O25" s="91"/>
      <c r="P25" s="86"/>
      <c r="Q25" s="100"/>
      <c r="R25" s="86"/>
    </row>
    <row r="26" spans="1:18" ht="15.95" customHeight="1" x14ac:dyDescent="0.25">
      <c r="A26" s="382">
        <v>2009</v>
      </c>
      <c r="B26" s="386">
        <v>108442</v>
      </c>
      <c r="C26" s="386"/>
      <c r="D26" s="386">
        <v>18560</v>
      </c>
      <c r="E26" s="386">
        <v>12353</v>
      </c>
      <c r="F26" s="386"/>
      <c r="G26" s="386">
        <v>41194</v>
      </c>
      <c r="H26" s="386">
        <v>567</v>
      </c>
      <c r="I26" s="386">
        <v>23144</v>
      </c>
      <c r="J26" s="386"/>
      <c r="K26" s="386">
        <v>6046</v>
      </c>
      <c r="L26" s="386">
        <v>6578</v>
      </c>
      <c r="M26" s="88"/>
      <c r="N26" s="100"/>
      <c r="O26" s="91"/>
      <c r="P26" s="86"/>
      <c r="Q26" s="100"/>
      <c r="R26" s="86"/>
    </row>
    <row r="27" spans="1:18" ht="15.95" customHeight="1" x14ac:dyDescent="0.25">
      <c r="A27" s="382">
        <v>2010</v>
      </c>
      <c r="B27" s="386">
        <v>118367</v>
      </c>
      <c r="C27" s="386"/>
      <c r="D27" s="386">
        <v>23830</v>
      </c>
      <c r="E27" s="386">
        <v>17824</v>
      </c>
      <c r="F27" s="386"/>
      <c r="G27" s="386">
        <v>41877</v>
      </c>
      <c r="H27" s="386">
        <v>686</v>
      </c>
      <c r="I27" s="386">
        <v>22018</v>
      </c>
      <c r="J27" s="386"/>
      <c r="K27" s="386">
        <v>4731</v>
      </c>
      <c r="L27" s="386">
        <v>7401</v>
      </c>
      <c r="M27" s="88"/>
      <c r="N27" s="100"/>
      <c r="O27" s="91"/>
      <c r="P27" s="86"/>
      <c r="Q27" s="100"/>
      <c r="R27" s="86"/>
    </row>
    <row r="28" spans="1:18" ht="15.95" customHeight="1" x14ac:dyDescent="0.25">
      <c r="A28" s="382">
        <v>2011</v>
      </c>
      <c r="B28" s="386">
        <v>115803</v>
      </c>
      <c r="C28" s="84"/>
      <c r="D28" s="386">
        <v>23227</v>
      </c>
      <c r="E28" s="386">
        <v>16380</v>
      </c>
      <c r="F28" s="386"/>
      <c r="G28" s="386">
        <v>42773</v>
      </c>
      <c r="H28" s="386">
        <v>12</v>
      </c>
      <c r="I28" s="386">
        <v>21011</v>
      </c>
      <c r="J28" s="386"/>
      <c r="K28" s="386">
        <v>4452</v>
      </c>
      <c r="L28" s="386">
        <v>7948</v>
      </c>
      <c r="M28" s="88"/>
      <c r="N28" s="100"/>
      <c r="O28" s="91"/>
      <c r="P28" s="86"/>
      <c r="Q28" s="100"/>
      <c r="R28" s="86"/>
    </row>
    <row r="29" spans="1:18" ht="15.95" customHeight="1" x14ac:dyDescent="0.25">
      <c r="A29" s="382">
        <v>2012</v>
      </c>
      <c r="B29" s="386">
        <v>117801</v>
      </c>
      <c r="C29" s="84"/>
      <c r="D29" s="386">
        <v>24589</v>
      </c>
      <c r="E29" s="386">
        <v>16024</v>
      </c>
      <c r="F29" s="386"/>
      <c r="G29" s="386">
        <v>43297</v>
      </c>
      <c r="H29" s="386">
        <v>4</v>
      </c>
      <c r="I29" s="386">
        <v>21123</v>
      </c>
      <c r="J29" s="386"/>
      <c r="K29" s="386">
        <v>4444</v>
      </c>
      <c r="L29" s="386">
        <v>8320</v>
      </c>
      <c r="M29" s="88"/>
      <c r="N29" s="100"/>
      <c r="O29" s="91"/>
      <c r="P29" s="86"/>
      <c r="Q29" s="100"/>
      <c r="R29" s="86"/>
    </row>
    <row r="30" spans="1:18" ht="15.95" customHeight="1" x14ac:dyDescent="0.25">
      <c r="A30" s="382">
        <v>2013</v>
      </c>
      <c r="B30" s="386">
        <v>121783</v>
      </c>
      <c r="C30" s="386"/>
      <c r="D30" s="386">
        <v>25250</v>
      </c>
      <c r="E30" s="386">
        <v>18400</v>
      </c>
      <c r="F30" s="386"/>
      <c r="G30" s="386">
        <v>43779</v>
      </c>
      <c r="H30" s="386">
        <v>206</v>
      </c>
      <c r="I30" s="386">
        <v>20944</v>
      </c>
      <c r="J30" s="386"/>
      <c r="K30" s="386">
        <v>4535</v>
      </c>
      <c r="L30" s="386">
        <v>8669</v>
      </c>
      <c r="M30" s="88"/>
      <c r="N30" s="100"/>
      <c r="O30" s="91"/>
      <c r="P30" s="86"/>
      <c r="Q30" s="100"/>
      <c r="R30" s="86"/>
    </row>
    <row r="31" spans="1:18" ht="15.95" customHeight="1" x14ac:dyDescent="0.25">
      <c r="A31" s="382">
        <v>2014</v>
      </c>
      <c r="B31" s="386">
        <v>124809</v>
      </c>
      <c r="C31" s="386"/>
      <c r="D31" s="386">
        <v>24213</v>
      </c>
      <c r="E31" s="386">
        <v>19747</v>
      </c>
      <c r="F31" s="386"/>
      <c r="G31" s="386">
        <v>45175</v>
      </c>
      <c r="H31" s="386">
        <v>69</v>
      </c>
      <c r="I31" s="386">
        <v>22178</v>
      </c>
      <c r="J31" s="386"/>
      <c r="K31" s="386">
        <v>4805</v>
      </c>
      <c r="L31" s="386">
        <v>8622</v>
      </c>
      <c r="M31" s="88"/>
      <c r="N31" s="100"/>
      <c r="O31" s="91"/>
      <c r="P31" s="86"/>
      <c r="Q31" s="100"/>
      <c r="R31" s="86"/>
    </row>
    <row r="32" spans="1:18" ht="15.95" customHeight="1" x14ac:dyDescent="0.25">
      <c r="A32" s="382">
        <v>2015</v>
      </c>
      <c r="B32" s="386">
        <v>122796</v>
      </c>
      <c r="C32" s="386"/>
      <c r="D32" s="386">
        <v>17936</v>
      </c>
      <c r="E32" s="386">
        <v>20683</v>
      </c>
      <c r="F32" s="386"/>
      <c r="G32" s="386">
        <v>47401</v>
      </c>
      <c r="H32" s="386">
        <v>347</v>
      </c>
      <c r="I32" s="386">
        <v>22034</v>
      </c>
      <c r="J32" s="386"/>
      <c r="K32" s="386">
        <v>5177</v>
      </c>
      <c r="L32" s="386">
        <v>9218</v>
      </c>
      <c r="M32" s="88"/>
      <c r="N32" s="100"/>
      <c r="O32" s="91"/>
      <c r="P32" s="86"/>
      <c r="Q32" s="100"/>
      <c r="R32" s="86"/>
    </row>
    <row r="33" spans="1:18" ht="15.95" customHeight="1" x14ac:dyDescent="0.3">
      <c r="A33" s="382">
        <v>2016</v>
      </c>
      <c r="B33" s="386">
        <v>150696</v>
      </c>
      <c r="C33" s="411"/>
      <c r="D33" s="386">
        <v>26777</v>
      </c>
      <c r="E33" s="386">
        <v>31987</v>
      </c>
      <c r="F33" s="386"/>
      <c r="G33" s="386">
        <v>49536</v>
      </c>
      <c r="H33" s="386">
        <v>3366</v>
      </c>
      <c r="I33" s="386">
        <v>20640</v>
      </c>
      <c r="J33" s="386"/>
      <c r="K33" s="386">
        <v>8461</v>
      </c>
      <c r="L33" s="386">
        <v>9929</v>
      </c>
      <c r="M33" s="88"/>
      <c r="N33" s="100"/>
      <c r="O33" s="91"/>
      <c r="P33" s="86"/>
      <c r="Q33" s="100"/>
      <c r="R33" s="86"/>
    </row>
    <row r="34" spans="1:18" ht="15.95" customHeight="1" x14ac:dyDescent="0.3">
      <c r="A34" s="382">
        <v>2017</v>
      </c>
      <c r="B34" s="386">
        <v>130692</v>
      </c>
      <c r="C34" s="411"/>
      <c r="D34" s="386">
        <v>22503</v>
      </c>
      <c r="E34" s="386">
        <v>22192</v>
      </c>
      <c r="F34" s="386"/>
      <c r="G34" s="386">
        <v>48524</v>
      </c>
      <c r="H34" s="386">
        <v>736</v>
      </c>
      <c r="I34" s="386">
        <v>20191</v>
      </c>
      <c r="J34" s="386"/>
      <c r="K34" s="386">
        <v>6692</v>
      </c>
      <c r="L34" s="386">
        <v>9854</v>
      </c>
      <c r="M34" s="88"/>
      <c r="N34" s="100"/>
      <c r="O34" s="91"/>
      <c r="P34" s="86"/>
      <c r="Q34" s="100"/>
      <c r="R34" s="86"/>
    </row>
    <row r="35" spans="1:18" ht="15.95" customHeight="1" x14ac:dyDescent="0.25">
      <c r="A35" s="382">
        <v>2018</v>
      </c>
      <c r="B35" s="386">
        <v>143778</v>
      </c>
      <c r="C35" s="386"/>
      <c r="D35" s="386">
        <v>22139</v>
      </c>
      <c r="E35" s="386">
        <v>28958</v>
      </c>
      <c r="F35" s="386"/>
      <c r="G35" s="386">
        <v>50239</v>
      </c>
      <c r="H35" s="386">
        <v>2942</v>
      </c>
      <c r="I35" s="386">
        <v>20371</v>
      </c>
      <c r="J35" s="386"/>
      <c r="K35" s="386">
        <v>9334</v>
      </c>
      <c r="L35" s="386">
        <v>9795</v>
      </c>
      <c r="M35" s="88"/>
      <c r="N35" s="100"/>
      <c r="O35" s="91"/>
      <c r="P35" s="86"/>
      <c r="Q35" s="100"/>
      <c r="R35" s="86"/>
    </row>
    <row r="36" spans="1:18" ht="15.95" customHeight="1" x14ac:dyDescent="0.25">
      <c r="A36" s="382">
        <v>2019</v>
      </c>
      <c r="B36" s="386">
        <v>142069</v>
      </c>
      <c r="C36" s="386"/>
      <c r="D36" s="386">
        <v>22570</v>
      </c>
      <c r="E36" s="386">
        <v>25394</v>
      </c>
      <c r="F36" s="386"/>
      <c r="G36" s="386">
        <v>51385</v>
      </c>
      <c r="H36" s="386">
        <v>1469</v>
      </c>
      <c r="I36" s="386">
        <v>20630</v>
      </c>
      <c r="J36" s="386"/>
      <c r="K36" s="386">
        <v>10807</v>
      </c>
      <c r="L36" s="386">
        <v>9814</v>
      </c>
      <c r="M36" s="88"/>
      <c r="N36" s="101"/>
      <c r="O36" s="91"/>
      <c r="P36" s="86"/>
      <c r="Q36" s="100"/>
      <c r="R36" s="86"/>
    </row>
    <row r="37" spans="1:18" ht="15.95" customHeight="1" x14ac:dyDescent="0.25">
      <c r="A37" s="382">
        <v>2020</v>
      </c>
      <c r="B37" s="386">
        <v>152461</v>
      </c>
      <c r="C37" s="386"/>
      <c r="D37" s="386">
        <v>23864</v>
      </c>
      <c r="E37" s="386">
        <v>33716</v>
      </c>
      <c r="F37" s="386"/>
      <c r="G37" s="386">
        <v>52543</v>
      </c>
      <c r="H37" s="386">
        <v>1564</v>
      </c>
      <c r="I37" s="386">
        <v>21016</v>
      </c>
      <c r="J37" s="386"/>
      <c r="K37" s="386">
        <v>10200</v>
      </c>
      <c r="L37" s="386">
        <v>9558</v>
      </c>
      <c r="M37" s="88"/>
      <c r="N37" s="101"/>
      <c r="O37" s="91"/>
      <c r="P37" s="86"/>
      <c r="Q37" s="100"/>
      <c r="R37" s="86"/>
    </row>
    <row r="38" spans="1:18" ht="15.95" customHeight="1" x14ac:dyDescent="0.25">
      <c r="A38" s="398">
        <v>2021</v>
      </c>
      <c r="B38" s="412">
        <v>133254.799</v>
      </c>
      <c r="C38" s="413"/>
      <c r="D38" s="413">
        <v>21370.976093599755</v>
      </c>
      <c r="E38" s="413">
        <v>24924.665906400249</v>
      </c>
      <c r="F38" s="413"/>
      <c r="G38" s="413">
        <v>50271.451000000001</v>
      </c>
      <c r="H38" s="413">
        <v>626.40800000000002</v>
      </c>
      <c r="I38" s="413">
        <v>19659.218000000001</v>
      </c>
      <c r="J38" s="413"/>
      <c r="K38" s="413">
        <v>8051.5950000000003</v>
      </c>
      <c r="L38" s="413">
        <v>8350.4850000000006</v>
      </c>
      <c r="M38" s="88"/>
      <c r="N38" s="101"/>
      <c r="O38" s="91"/>
      <c r="P38" s="86"/>
      <c r="Q38" s="100"/>
      <c r="R38" s="86"/>
    </row>
    <row r="39" spans="1:18" s="7" customFormat="1" ht="12" customHeight="1" x14ac:dyDescent="0.25">
      <c r="A39" s="668" t="s">
        <v>202</v>
      </c>
      <c r="B39" s="669"/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11"/>
      <c r="N39" s="14"/>
      <c r="P39" s="36"/>
    </row>
    <row r="40" spans="1:18" s="7" customFormat="1" ht="12" customHeight="1" x14ac:dyDescent="0.25">
      <c r="A40" s="144" t="s">
        <v>207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1"/>
      <c r="M40" s="11"/>
      <c r="N40" s="14"/>
      <c r="P40" s="9"/>
      <c r="R40" s="36"/>
    </row>
    <row r="41" spans="1:18" ht="12.75" customHeight="1" x14ac:dyDescent="0.25">
      <c r="A41" s="46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P41" s="69"/>
      <c r="R41" s="85"/>
    </row>
    <row r="42" spans="1:18" ht="12.75" customHeight="1" x14ac:dyDescent="0.25">
      <c r="A42" s="46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P42" s="69"/>
      <c r="R42" s="85"/>
    </row>
    <row r="43" spans="1:18" ht="12.75" customHeight="1" x14ac:dyDescent="0.25">
      <c r="A43" s="46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P43" s="69"/>
      <c r="R43" s="85"/>
    </row>
    <row r="44" spans="1:18" ht="12.75" customHeight="1" x14ac:dyDescent="0.25">
      <c r="A44" s="46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P44" s="69"/>
      <c r="R44" s="85"/>
    </row>
    <row r="45" spans="1:18" ht="12.75" customHeight="1" x14ac:dyDescent="0.25">
      <c r="A45" s="46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P45" s="69"/>
      <c r="R45" s="85"/>
    </row>
    <row r="46" spans="1:18" ht="12.75" customHeight="1" x14ac:dyDescent="0.25">
      <c r="A46" s="46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P46" s="69"/>
      <c r="R46" s="85"/>
    </row>
    <row r="47" spans="1:18" ht="12.75" customHeight="1" x14ac:dyDescent="0.25">
      <c r="A47" s="46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P47" s="69"/>
      <c r="R47" s="85"/>
    </row>
    <row r="48" spans="1:18" ht="12.75" customHeight="1" x14ac:dyDescent="0.25">
      <c r="A48" s="46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P48" s="69"/>
      <c r="R48" s="85"/>
    </row>
    <row r="49" spans="1:18" ht="12.75" customHeight="1" x14ac:dyDescent="0.25">
      <c r="A49" s="46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P49" s="69"/>
      <c r="R49" s="85"/>
    </row>
    <row r="50" spans="1:18" ht="12.75" customHeight="1" x14ac:dyDescent="0.25">
      <c r="A50" s="46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P50" s="69"/>
      <c r="R50" s="85"/>
    </row>
    <row r="51" spans="1:18" ht="12.75" customHeight="1" x14ac:dyDescent="0.25">
      <c r="A51" s="46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P51" s="69"/>
      <c r="R51" s="85"/>
    </row>
    <row r="52" spans="1:18" ht="12.75" customHeight="1" x14ac:dyDescent="0.25">
      <c r="A52" s="46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P52" s="69"/>
      <c r="R52" s="85"/>
    </row>
    <row r="53" spans="1:18" ht="12.75" customHeight="1" x14ac:dyDescent="0.25">
      <c r="A53" s="46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R53" s="85"/>
    </row>
    <row r="54" spans="1:18" ht="12.75" customHeight="1" x14ac:dyDescent="0.25">
      <c r="A54" s="46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R54" s="85"/>
    </row>
    <row r="55" spans="1:18" ht="12.75" customHeight="1" x14ac:dyDescent="0.25">
      <c r="A55" s="46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P55" s="69"/>
      <c r="R55" s="85"/>
    </row>
    <row r="56" spans="1:18" ht="12.75" customHeight="1" x14ac:dyDescent="0.25">
      <c r="A56" s="46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P56" s="69"/>
      <c r="R56" s="85"/>
    </row>
    <row r="57" spans="1:18" ht="12.75" customHeight="1" x14ac:dyDescent="0.25">
      <c r="A57" s="46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P57" s="69"/>
      <c r="R57" s="85"/>
    </row>
    <row r="58" spans="1:18" ht="12.75" customHeight="1" x14ac:dyDescent="0.25">
      <c r="A58" s="46"/>
      <c r="K58" s="67"/>
      <c r="L58" s="67"/>
      <c r="M58" s="67"/>
    </row>
    <row r="59" spans="1:18" ht="12.75" customHeight="1" x14ac:dyDescent="0.25">
      <c r="A59" s="46"/>
      <c r="H59" s="46"/>
      <c r="I59" s="46"/>
      <c r="J59" s="46"/>
      <c r="K59" s="46"/>
      <c r="L59" s="46"/>
      <c r="M59" s="46"/>
    </row>
    <row r="60" spans="1:18" ht="12.75" customHeight="1" x14ac:dyDescent="0.25">
      <c r="A60" s="67"/>
      <c r="H60" s="46"/>
      <c r="I60" s="46"/>
      <c r="J60" s="46"/>
      <c r="K60" s="46"/>
      <c r="L60" s="46"/>
      <c r="M60" s="46"/>
    </row>
    <row r="61" spans="1:18" s="98" customFormat="1" ht="12.75" customHeight="1" x14ac:dyDescent="0.25">
      <c r="A61" s="89"/>
      <c r="B61" s="94"/>
      <c r="C61" s="94"/>
      <c r="D61" s="94"/>
      <c r="E61" s="94"/>
      <c r="F61" s="94"/>
      <c r="G61" s="94"/>
    </row>
  </sheetData>
  <mergeCells count="10">
    <mergeCell ref="A1:L1"/>
    <mergeCell ref="A2:L2"/>
    <mergeCell ref="A4:A6"/>
    <mergeCell ref="B4:B6"/>
    <mergeCell ref="G4:I4"/>
    <mergeCell ref="N4:O4"/>
    <mergeCell ref="D5:E5"/>
    <mergeCell ref="G5:I5"/>
    <mergeCell ref="K5:L5"/>
    <mergeCell ref="A39:L39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65"/>
  <sheetViews>
    <sheetView showGridLines="0" zoomScaleNormal="100" workbookViewId="0">
      <selection activeCell="A4" sqref="A4:XFD4"/>
    </sheetView>
  </sheetViews>
  <sheetFormatPr baseColWidth="10" defaultColWidth="11.28515625" defaultRowHeight="12.75" customHeight="1" x14ac:dyDescent="0.3"/>
  <cols>
    <col min="1" max="1" width="34" style="43" customWidth="1"/>
    <col min="2" max="2" width="20.7109375" style="20" customWidth="1"/>
    <col min="3" max="6" width="7.42578125" style="40" customWidth="1"/>
    <col min="7" max="9" width="7.42578125" style="20" customWidth="1"/>
    <col min="10" max="16384" width="11.28515625" style="20"/>
  </cols>
  <sheetData>
    <row r="1" spans="1:9" ht="25.7" customHeight="1" x14ac:dyDescent="0.3">
      <c r="A1" s="675" t="s">
        <v>383</v>
      </c>
      <c r="B1" s="675"/>
      <c r="C1" s="675"/>
      <c r="D1" s="675"/>
      <c r="E1" s="675"/>
      <c r="F1" s="675"/>
      <c r="G1" s="675"/>
      <c r="H1" s="675"/>
      <c r="I1" s="675"/>
    </row>
    <row r="2" spans="1:9" ht="12.75" customHeight="1" x14ac:dyDescent="0.3">
      <c r="A2" s="643" t="s">
        <v>220</v>
      </c>
      <c r="B2" s="643"/>
      <c r="C2" s="643"/>
      <c r="D2" s="643"/>
      <c r="E2" s="643"/>
      <c r="F2" s="643"/>
      <c r="G2" s="643"/>
      <c r="H2" s="643"/>
      <c r="I2" s="643"/>
    </row>
    <row r="3" spans="1:9" ht="12.75" customHeight="1" x14ac:dyDescent="0.3">
      <c r="A3" s="1"/>
      <c r="B3" s="1"/>
      <c r="C3" s="15"/>
      <c r="D3" s="15"/>
      <c r="E3" s="15"/>
      <c r="F3" s="15"/>
      <c r="G3" s="17"/>
      <c r="H3" s="17"/>
      <c r="I3" s="17"/>
    </row>
    <row r="4" spans="1:9" ht="32.1" customHeight="1" x14ac:dyDescent="0.3">
      <c r="A4" s="414" t="s">
        <v>91</v>
      </c>
      <c r="B4" s="415" t="s">
        <v>92</v>
      </c>
      <c r="C4" s="348">
        <v>2015</v>
      </c>
      <c r="D4" s="311">
        <v>2016</v>
      </c>
      <c r="E4" s="311">
        <v>2017</v>
      </c>
      <c r="F4" s="312">
        <v>2018</v>
      </c>
      <c r="G4" s="311">
        <v>2019</v>
      </c>
      <c r="H4" s="311">
        <v>2020</v>
      </c>
      <c r="I4" s="311" t="s">
        <v>378</v>
      </c>
    </row>
    <row r="5" spans="1:9" ht="3" customHeight="1" x14ac:dyDescent="0.3">
      <c r="A5" s="420"/>
      <c r="B5" s="416"/>
      <c r="C5" s="351"/>
      <c r="D5" s="351"/>
      <c r="E5" s="351"/>
      <c r="F5" s="20"/>
    </row>
    <row r="6" spans="1:9" ht="32.1" customHeight="1" x14ac:dyDescent="0.3">
      <c r="A6" s="639" t="s">
        <v>93</v>
      </c>
      <c r="B6" s="640"/>
      <c r="C6" s="351"/>
      <c r="D6" s="351"/>
      <c r="E6" s="351"/>
      <c r="F6" s="20"/>
    </row>
    <row r="7" spans="1:9" ht="15.95" customHeight="1" x14ac:dyDescent="0.3">
      <c r="A7" s="322" t="s">
        <v>94</v>
      </c>
      <c r="B7" s="323" t="s">
        <v>95</v>
      </c>
      <c r="C7" s="417">
        <v>2.8053519762144048</v>
      </c>
      <c r="D7" s="417">
        <v>2.9824117303959765</v>
      </c>
      <c r="E7" s="417">
        <v>3.1651258888847331</v>
      </c>
      <c r="F7" s="417">
        <v>3.3196322583120974</v>
      </c>
      <c r="G7" s="417">
        <v>3.42</v>
      </c>
      <c r="H7" s="417">
        <v>3.42</v>
      </c>
      <c r="I7" s="417">
        <v>3.5661706797290083</v>
      </c>
    </row>
    <row r="8" spans="1:9" ht="32.1" customHeight="1" x14ac:dyDescent="0.3">
      <c r="A8" s="644" t="s">
        <v>368</v>
      </c>
      <c r="B8" s="645"/>
      <c r="C8" s="417"/>
      <c r="D8" s="417"/>
      <c r="E8" s="417"/>
      <c r="F8" s="417"/>
      <c r="G8" s="417"/>
      <c r="H8" s="417"/>
      <c r="I8" s="417"/>
    </row>
    <row r="9" spans="1:9" ht="15.95" customHeight="1" x14ac:dyDescent="0.3">
      <c r="A9" s="324" t="s">
        <v>97</v>
      </c>
      <c r="B9" s="326" t="s">
        <v>98</v>
      </c>
      <c r="C9" s="417">
        <v>1.4677961246328974</v>
      </c>
      <c r="D9" s="417">
        <v>1.6226050029446983</v>
      </c>
      <c r="E9" s="417">
        <v>1.7296277992338964</v>
      </c>
      <c r="F9" s="417">
        <v>1.7417974147253519</v>
      </c>
      <c r="G9" s="417">
        <v>1.89</v>
      </c>
      <c r="H9" s="417">
        <v>1.94</v>
      </c>
      <c r="I9" s="417">
        <v>2.0720412498531107</v>
      </c>
    </row>
    <row r="10" spans="1:9" ht="15.95" customHeight="1" x14ac:dyDescent="0.3">
      <c r="A10" s="324" t="s">
        <v>170</v>
      </c>
      <c r="B10" s="327" t="s">
        <v>35</v>
      </c>
      <c r="C10" s="417">
        <v>1.1188269396107497</v>
      </c>
      <c r="D10" s="417">
        <v>1.1204103403887458</v>
      </c>
      <c r="E10" s="417">
        <v>1.2484072931810108</v>
      </c>
      <c r="F10" s="417">
        <v>1.3099183232739371</v>
      </c>
      <c r="G10" s="417">
        <v>1.47</v>
      </c>
      <c r="H10" s="417">
        <v>1.9</v>
      </c>
      <c r="I10" s="417">
        <v>1.8466193065470244</v>
      </c>
    </row>
    <row r="11" spans="1:9" ht="15.95" customHeight="1" x14ac:dyDescent="0.3">
      <c r="A11" s="324" t="s">
        <v>99</v>
      </c>
      <c r="B11" s="327" t="s">
        <v>100</v>
      </c>
      <c r="C11" s="417">
        <v>1.8166390794369633</v>
      </c>
      <c r="D11" s="417">
        <v>2.0154714714565287</v>
      </c>
      <c r="E11" s="417">
        <v>2.0946262349162805</v>
      </c>
      <c r="F11" s="417">
        <v>2.1401232960102874</v>
      </c>
      <c r="G11" s="417">
        <v>2.19</v>
      </c>
      <c r="H11" s="417">
        <v>1.92</v>
      </c>
      <c r="I11" s="417">
        <v>1.9713551047628031</v>
      </c>
    </row>
    <row r="12" spans="1:9" ht="15.95" customHeight="1" x14ac:dyDescent="0.3">
      <c r="A12" s="324" t="s">
        <v>101</v>
      </c>
      <c r="B12" s="326" t="s">
        <v>57</v>
      </c>
      <c r="C12" s="417">
        <v>1.8864300830433725</v>
      </c>
      <c r="D12" s="417">
        <v>1.8195720809590223</v>
      </c>
      <c r="E12" s="417">
        <v>1.8429956041906299</v>
      </c>
      <c r="F12" s="417">
        <v>1.8975759447027432</v>
      </c>
      <c r="G12" s="417">
        <v>2.0099999999999998</v>
      </c>
      <c r="H12" s="417">
        <v>1.73</v>
      </c>
      <c r="I12" s="417">
        <v>1.7462497696870782</v>
      </c>
    </row>
    <row r="13" spans="1:9" ht="15.95" customHeight="1" x14ac:dyDescent="0.3">
      <c r="A13" s="324" t="s">
        <v>102</v>
      </c>
      <c r="B13" s="327" t="s">
        <v>103</v>
      </c>
      <c r="C13" s="417">
        <v>2.2409448948045565</v>
      </c>
      <c r="D13" s="417">
        <v>2.2217756299627003</v>
      </c>
      <c r="E13" s="417">
        <v>2.3137145336071345</v>
      </c>
      <c r="F13" s="417">
        <v>2.3833195139131673</v>
      </c>
      <c r="G13" s="417">
        <v>2.5099999999999998</v>
      </c>
      <c r="H13" s="417">
        <v>2.4</v>
      </c>
      <c r="I13" s="417">
        <v>2.5061696930763788</v>
      </c>
    </row>
    <row r="14" spans="1:9" ht="15.95" customHeight="1" x14ac:dyDescent="0.3">
      <c r="A14" s="324" t="s">
        <v>104</v>
      </c>
      <c r="B14" s="326" t="s">
        <v>81</v>
      </c>
      <c r="C14" s="417">
        <v>3.3602766993359352</v>
      </c>
      <c r="D14" s="417">
        <v>3.9234809811313891</v>
      </c>
      <c r="E14" s="417">
        <v>3.8746073462537329</v>
      </c>
      <c r="F14" s="417">
        <v>3.9623064708664764</v>
      </c>
      <c r="G14" s="417">
        <v>3.98</v>
      </c>
      <c r="H14" s="417">
        <v>3.65</v>
      </c>
      <c r="I14" s="417">
        <v>3.9259346280674041</v>
      </c>
    </row>
    <row r="15" spans="1:9" ht="15.95" customHeight="1" x14ac:dyDescent="0.3">
      <c r="A15" s="324" t="s">
        <v>105</v>
      </c>
      <c r="B15" s="326" t="s">
        <v>106</v>
      </c>
      <c r="C15" s="417">
        <v>1.6934910210145888</v>
      </c>
      <c r="D15" s="417">
        <v>1.7471456963345373</v>
      </c>
      <c r="E15" s="417">
        <v>2.065979391472172</v>
      </c>
      <c r="F15" s="417">
        <v>2.0661511284960934</v>
      </c>
      <c r="G15" s="417">
        <v>2.15</v>
      </c>
      <c r="H15" s="417">
        <v>2.2000000000000002</v>
      </c>
      <c r="I15" s="417">
        <v>2.2903716317852094</v>
      </c>
    </row>
    <row r="16" spans="1:9" ht="15.95" customHeight="1" x14ac:dyDescent="0.3">
      <c r="A16" s="324" t="s">
        <v>107</v>
      </c>
      <c r="B16" s="326" t="s">
        <v>108</v>
      </c>
      <c r="C16" s="417">
        <v>1.4813936941167394</v>
      </c>
      <c r="D16" s="417">
        <v>1.6316571619741593</v>
      </c>
      <c r="E16" s="417">
        <v>1.8257269387100112</v>
      </c>
      <c r="F16" s="417">
        <v>1.9745856998728573</v>
      </c>
      <c r="G16" s="417">
        <v>2.2799999999999998</v>
      </c>
      <c r="H16" s="417">
        <v>2.1800000000000002</v>
      </c>
      <c r="I16" s="417">
        <v>2.2022751414909298</v>
      </c>
    </row>
    <row r="17" spans="1:9" ht="15.95" customHeight="1" x14ac:dyDescent="0.3">
      <c r="A17" s="324" t="s">
        <v>109</v>
      </c>
      <c r="B17" s="326" t="s">
        <v>110</v>
      </c>
      <c r="C17" s="417">
        <v>1.1837810739839734</v>
      </c>
      <c r="D17" s="417">
        <v>1.4129784556694418</v>
      </c>
      <c r="E17" s="417">
        <v>1.362584692802489</v>
      </c>
      <c r="F17" s="417">
        <v>1.4592032396337538</v>
      </c>
      <c r="G17" s="417">
        <v>1.57</v>
      </c>
      <c r="H17" s="417">
        <v>1.59</v>
      </c>
      <c r="I17" s="417">
        <v>1.7558866587864892</v>
      </c>
    </row>
    <row r="18" spans="1:9" ht="15.95" customHeight="1" x14ac:dyDescent="0.3">
      <c r="A18" s="324" t="s">
        <v>111</v>
      </c>
      <c r="B18" s="326" t="s">
        <v>112</v>
      </c>
      <c r="C18" s="417">
        <v>2.0039478006327491</v>
      </c>
      <c r="D18" s="417">
        <v>2.0750277654397857</v>
      </c>
      <c r="E18" s="417">
        <v>1.9945570832874147</v>
      </c>
      <c r="F18" s="417">
        <v>2.0543568189553372</v>
      </c>
      <c r="G18" s="417">
        <v>2.12</v>
      </c>
      <c r="H18" s="417">
        <v>2.11</v>
      </c>
      <c r="I18" s="417">
        <v>2.1481315225277866</v>
      </c>
    </row>
    <row r="19" spans="1:9" ht="15.95" customHeight="1" x14ac:dyDescent="0.3">
      <c r="A19" s="324" t="s">
        <v>113</v>
      </c>
      <c r="B19" s="326" t="s">
        <v>114</v>
      </c>
      <c r="C19" s="417">
        <v>1.313958020012318</v>
      </c>
      <c r="D19" s="417">
        <v>1.3789205081927416</v>
      </c>
      <c r="E19" s="417">
        <v>1.4177307892569455</v>
      </c>
      <c r="F19" s="417">
        <v>1.5543048971480535</v>
      </c>
      <c r="G19" s="417">
        <v>1.73</v>
      </c>
      <c r="H19" s="417">
        <v>1.71</v>
      </c>
      <c r="I19" s="417">
        <v>1.8106543229130652</v>
      </c>
    </row>
    <row r="20" spans="1:9" ht="15.95" customHeight="1" x14ac:dyDescent="0.3">
      <c r="A20" s="324" t="s">
        <v>115</v>
      </c>
      <c r="B20" s="326" t="s">
        <v>116</v>
      </c>
      <c r="C20" s="417">
        <v>1.4605496444730304</v>
      </c>
      <c r="D20" s="417">
        <v>1.5170704535872228</v>
      </c>
      <c r="E20" s="417">
        <v>1.5645094820218857</v>
      </c>
      <c r="F20" s="417">
        <v>1.6144522559892545</v>
      </c>
      <c r="G20" s="417">
        <v>1.69</v>
      </c>
      <c r="H20" s="417">
        <v>1.62</v>
      </c>
      <c r="I20" s="417">
        <v>1.785217685608538</v>
      </c>
    </row>
    <row r="21" spans="1:9" ht="15.95" customHeight="1" x14ac:dyDescent="0.3">
      <c r="A21" s="324" t="s">
        <v>117</v>
      </c>
      <c r="B21" s="329" t="s">
        <v>100</v>
      </c>
      <c r="C21" s="417">
        <v>0.89698422342079376</v>
      </c>
      <c r="D21" s="417">
        <v>0.91471624500310733</v>
      </c>
      <c r="E21" s="417">
        <v>0.90297062567223396</v>
      </c>
      <c r="F21" s="417">
        <v>0.91909290802548727</v>
      </c>
      <c r="G21" s="417">
        <v>0.86</v>
      </c>
      <c r="H21" s="417">
        <v>0.84</v>
      </c>
      <c r="I21" s="417">
        <v>0.86771611445572538</v>
      </c>
    </row>
    <row r="22" spans="1:9" ht="15.95" customHeight="1" x14ac:dyDescent="0.3">
      <c r="A22" s="324" t="s">
        <v>118</v>
      </c>
      <c r="B22" s="326" t="s">
        <v>63</v>
      </c>
      <c r="C22" s="417">
        <v>2.3371054503783517</v>
      </c>
      <c r="D22" s="417">
        <v>2.5124727318417848</v>
      </c>
      <c r="E22" s="417">
        <v>2.7099885640099015</v>
      </c>
      <c r="F22" s="417">
        <v>2.7417488091346405</v>
      </c>
      <c r="G22" s="417">
        <v>2.88</v>
      </c>
      <c r="H22" s="417">
        <v>3</v>
      </c>
      <c r="I22" s="417">
        <v>3.4183702010581012</v>
      </c>
    </row>
    <row r="23" spans="1:9" ht="15.95" customHeight="1" x14ac:dyDescent="0.3">
      <c r="A23" s="324" t="s">
        <v>119</v>
      </c>
      <c r="B23" s="326" t="s">
        <v>120</v>
      </c>
      <c r="C23" s="417">
        <v>3.4625322517389492</v>
      </c>
      <c r="D23" s="417">
        <v>3.9072116586981323</v>
      </c>
      <c r="E23" s="417">
        <v>3.9538942491422011</v>
      </c>
      <c r="F23" s="417">
        <v>4.3486316161346341</v>
      </c>
      <c r="G23" s="417">
        <v>4.5599999999999996</v>
      </c>
      <c r="H23" s="417">
        <v>4.3499999999999996</v>
      </c>
      <c r="I23" s="417">
        <v>4.7532352712709613</v>
      </c>
    </row>
    <row r="24" spans="1:9" ht="15.95" customHeight="1" x14ac:dyDescent="0.3">
      <c r="A24" s="324" t="s">
        <v>121</v>
      </c>
      <c r="B24" s="329" t="s">
        <v>122</v>
      </c>
      <c r="C24" s="417">
        <v>1.174829182501482</v>
      </c>
      <c r="D24" s="417">
        <v>1.2452324599428553</v>
      </c>
      <c r="E24" s="417">
        <v>1.3874479599027647</v>
      </c>
      <c r="F24" s="417">
        <v>1.450697036679512</v>
      </c>
      <c r="G24" s="417">
        <v>1.5</v>
      </c>
      <c r="H24" s="417">
        <v>1.47</v>
      </c>
      <c r="I24" s="417">
        <v>1.5134050739197427</v>
      </c>
    </row>
    <row r="25" spans="1:9" ht="15.95" customHeight="1" x14ac:dyDescent="0.3">
      <c r="A25" s="324" t="s">
        <v>123</v>
      </c>
      <c r="B25" s="326" t="s">
        <v>124</v>
      </c>
      <c r="C25" s="417">
        <v>2.2603641449015082</v>
      </c>
      <c r="D25" s="417">
        <v>2.2350232790326534</v>
      </c>
      <c r="E25" s="417">
        <v>2.3993022685099215</v>
      </c>
      <c r="F25" s="417">
        <v>2.3484779110640228</v>
      </c>
      <c r="G25" s="417">
        <v>2.39</v>
      </c>
      <c r="H25" s="417">
        <v>2.1800000000000002</v>
      </c>
      <c r="I25" s="417">
        <v>2.3958004465729079</v>
      </c>
    </row>
    <row r="26" spans="1:9" ht="15.95" customHeight="1" x14ac:dyDescent="0.3">
      <c r="A26" s="324" t="s">
        <v>125</v>
      </c>
      <c r="B26" s="326" t="s">
        <v>35</v>
      </c>
      <c r="C26" s="417">
        <v>1.5930586306708492</v>
      </c>
      <c r="D26" s="417">
        <v>1.6273751713448916</v>
      </c>
      <c r="E26" s="417">
        <v>1.6789874055209193</v>
      </c>
      <c r="F26" s="417">
        <v>1.7049530016316052</v>
      </c>
      <c r="G26" s="417">
        <v>1.83</v>
      </c>
      <c r="H26" s="417">
        <v>1.67</v>
      </c>
      <c r="I26" s="417">
        <v>1.7777591947325344</v>
      </c>
    </row>
    <row r="27" spans="1:9" ht="32.1" customHeight="1" x14ac:dyDescent="0.3">
      <c r="A27" s="639" t="s">
        <v>126</v>
      </c>
      <c r="B27" s="640"/>
      <c r="C27" s="417"/>
      <c r="D27" s="417"/>
      <c r="E27" s="417"/>
      <c r="F27" s="417"/>
      <c r="G27" s="417"/>
      <c r="H27" s="417"/>
      <c r="I27" s="417"/>
    </row>
    <row r="28" spans="1:9" ht="15.95" customHeight="1" x14ac:dyDescent="0.3">
      <c r="A28" s="324" t="s">
        <v>127</v>
      </c>
      <c r="B28" s="327" t="s">
        <v>128</v>
      </c>
      <c r="C28" s="417">
        <v>1.0559757782787562</v>
      </c>
      <c r="D28" s="417">
        <v>1.1032787613733768</v>
      </c>
      <c r="E28" s="417">
        <v>1.3208674942446597</v>
      </c>
      <c r="F28" s="417">
        <v>1.5496647802632859</v>
      </c>
      <c r="G28" s="417">
        <v>1.83</v>
      </c>
      <c r="H28" s="417">
        <v>1.42</v>
      </c>
      <c r="I28" s="417">
        <v>1.4537969702168481</v>
      </c>
    </row>
    <row r="29" spans="1:9" ht="15.95" customHeight="1" x14ac:dyDescent="0.3">
      <c r="A29" s="324" t="s">
        <v>129</v>
      </c>
      <c r="B29" s="327" t="s">
        <v>128</v>
      </c>
      <c r="C29" s="417">
        <v>2.2585714708434654</v>
      </c>
      <c r="D29" s="417">
        <v>2.3193204767252933</v>
      </c>
      <c r="E29" s="417">
        <v>2.4026223972455671</v>
      </c>
      <c r="F29" s="417">
        <v>2.5264025792485909</v>
      </c>
      <c r="G29" s="417">
        <v>2.41</v>
      </c>
      <c r="H29" s="417">
        <v>2.4700000000000002</v>
      </c>
      <c r="I29" s="417">
        <v>2.6917666095749824</v>
      </c>
    </row>
    <row r="30" spans="1:9" ht="15.95" customHeight="1" x14ac:dyDescent="0.3">
      <c r="A30" s="324" t="s">
        <v>130</v>
      </c>
      <c r="B30" s="326" t="s">
        <v>128</v>
      </c>
      <c r="C30" s="417">
        <v>1.4052560629026614</v>
      </c>
      <c r="D30" s="417">
        <v>1.3929149463063741</v>
      </c>
      <c r="E30" s="417">
        <v>1.508036317383608</v>
      </c>
      <c r="F30" s="417">
        <v>1.5004537071043433</v>
      </c>
      <c r="G30" s="417">
        <v>1.62</v>
      </c>
      <c r="H30" s="417">
        <v>1.47</v>
      </c>
      <c r="I30" s="417">
        <v>1.6582616491422426</v>
      </c>
    </row>
    <row r="31" spans="1:9" ht="15.95" customHeight="1" x14ac:dyDescent="0.3">
      <c r="A31" s="324" t="s">
        <v>131</v>
      </c>
      <c r="B31" s="327" t="s">
        <v>98</v>
      </c>
      <c r="C31" s="417">
        <v>2.1124658032408186</v>
      </c>
      <c r="D31" s="417">
        <v>2.1568420252267595</v>
      </c>
      <c r="E31" s="417">
        <v>2.2174240523521531</v>
      </c>
      <c r="F31" s="417">
        <v>2.2641297744756903</v>
      </c>
      <c r="G31" s="417">
        <v>2.3199999999999998</v>
      </c>
      <c r="H31" s="417">
        <v>2.2799999999999998</v>
      </c>
      <c r="I31" s="417">
        <v>2.3728503171269777</v>
      </c>
    </row>
    <row r="32" spans="1:9" ht="15.95" customHeight="1" x14ac:dyDescent="0.3">
      <c r="A32" s="324" t="s">
        <v>132</v>
      </c>
      <c r="B32" s="327" t="s">
        <v>35</v>
      </c>
      <c r="C32" s="417">
        <v>0.99923405597643322</v>
      </c>
      <c r="D32" s="417">
        <v>1.0548847775266859</v>
      </c>
      <c r="E32" s="417">
        <v>1.0714884930258908</v>
      </c>
      <c r="F32" s="417">
        <v>1.1105526555185095</v>
      </c>
      <c r="G32" s="417">
        <v>1.24</v>
      </c>
      <c r="H32" s="417">
        <v>1.25</v>
      </c>
      <c r="I32" s="417">
        <v>1.3169786981276106</v>
      </c>
    </row>
    <row r="33" spans="1:9" ht="15.95" customHeight="1" x14ac:dyDescent="0.3">
      <c r="A33" s="324" t="s">
        <v>134</v>
      </c>
      <c r="B33" s="325" t="s">
        <v>171</v>
      </c>
      <c r="C33" s="417">
        <v>1.2033755189658426</v>
      </c>
      <c r="D33" s="417">
        <v>1.8056078465682099</v>
      </c>
      <c r="E33" s="417">
        <v>1.8331037579796932</v>
      </c>
      <c r="F33" s="417">
        <v>1.9309464685569557</v>
      </c>
      <c r="G33" s="417">
        <v>1.96</v>
      </c>
      <c r="H33" s="417">
        <v>1.92</v>
      </c>
      <c r="I33" s="417">
        <v>1.9687116841467707</v>
      </c>
    </row>
    <row r="34" spans="1:9" ht="15.95" customHeight="1" x14ac:dyDescent="0.3">
      <c r="A34" s="324" t="s">
        <v>136</v>
      </c>
      <c r="B34" s="327" t="s">
        <v>137</v>
      </c>
      <c r="C34" s="417">
        <v>3.1080717134153715</v>
      </c>
      <c r="D34" s="417">
        <v>3.1948076864211199</v>
      </c>
      <c r="E34" s="417">
        <v>3.2959056998514664</v>
      </c>
      <c r="F34" s="417">
        <v>3.6327025532165647</v>
      </c>
      <c r="G34" s="417">
        <v>3.68</v>
      </c>
      <c r="H34" s="417">
        <v>3.88</v>
      </c>
      <c r="I34" s="417">
        <v>4.1194397364345843</v>
      </c>
    </row>
    <row r="35" spans="1:9" ht="15.95" customHeight="1" x14ac:dyDescent="0.3">
      <c r="A35" s="324" t="s">
        <v>138</v>
      </c>
      <c r="B35" s="326" t="s">
        <v>81</v>
      </c>
      <c r="C35" s="417">
        <v>0.89803562682064308</v>
      </c>
      <c r="D35" s="417">
        <v>0.98396873265519769</v>
      </c>
      <c r="E35" s="417">
        <v>0.99707822533279211</v>
      </c>
      <c r="F35" s="417">
        <v>1.0807007918559008</v>
      </c>
      <c r="G35" s="417">
        <v>1.1200000000000001</v>
      </c>
      <c r="H35" s="417">
        <v>1.1200000000000001</v>
      </c>
      <c r="I35" s="417">
        <v>1.2105546537063065</v>
      </c>
    </row>
    <row r="36" spans="1:9" ht="15.95" customHeight="1" x14ac:dyDescent="0.3">
      <c r="A36" s="324" t="s">
        <v>139</v>
      </c>
      <c r="B36" s="327" t="s">
        <v>140</v>
      </c>
      <c r="C36" s="417">
        <v>1.3212817849809699</v>
      </c>
      <c r="D36" s="417">
        <v>1.3219839678961136</v>
      </c>
      <c r="E36" s="417">
        <v>1.2347565965126222</v>
      </c>
      <c r="F36" s="417">
        <v>1.7663732623804123</v>
      </c>
      <c r="G36" s="417">
        <v>1.94</v>
      </c>
      <c r="H36" s="417">
        <v>1.75</v>
      </c>
      <c r="I36" s="417">
        <v>1.7211824311936808</v>
      </c>
    </row>
    <row r="37" spans="1:9" ht="15.95" customHeight="1" x14ac:dyDescent="0.3">
      <c r="A37" s="324" t="s">
        <v>141</v>
      </c>
      <c r="B37" s="327" t="s">
        <v>114</v>
      </c>
      <c r="C37" s="417">
        <v>0.97881454968464399</v>
      </c>
      <c r="D37" s="417">
        <v>1.0307660704771593</v>
      </c>
      <c r="E37" s="417">
        <v>1.0549165419686579</v>
      </c>
      <c r="F37" s="417">
        <v>1.1785384744720708</v>
      </c>
      <c r="G37" s="417">
        <v>1.22</v>
      </c>
      <c r="H37" s="417">
        <v>1.2</v>
      </c>
      <c r="I37" s="417">
        <v>1.277048232221369</v>
      </c>
    </row>
    <row r="38" spans="1:9" ht="15.95" customHeight="1" x14ac:dyDescent="0.3">
      <c r="A38" s="324" t="s">
        <v>142</v>
      </c>
      <c r="B38" s="327" t="s">
        <v>27</v>
      </c>
      <c r="C38" s="417">
        <v>2.6641768769959717</v>
      </c>
      <c r="D38" s="417">
        <v>2.5854857721114852</v>
      </c>
      <c r="E38" s="417">
        <v>2.5914209216715003</v>
      </c>
      <c r="F38" s="417">
        <v>2.6981329622120596</v>
      </c>
      <c r="G38" s="417">
        <v>2.64</v>
      </c>
      <c r="H38" s="417">
        <v>2.56</v>
      </c>
      <c r="I38" s="417">
        <v>2.7441983518485928</v>
      </c>
    </row>
    <row r="39" spans="1:9" ht="15.95" customHeight="1" x14ac:dyDescent="0.3">
      <c r="A39" s="324" t="s">
        <v>143</v>
      </c>
      <c r="B39" s="327" t="s">
        <v>122</v>
      </c>
      <c r="C39" s="417">
        <v>0.7336532260132832</v>
      </c>
      <c r="D39" s="417">
        <v>0.70947362593064756</v>
      </c>
      <c r="E39" s="417">
        <v>0.77319789922588544</v>
      </c>
      <c r="F39" s="417">
        <v>0.89909552769259693</v>
      </c>
      <c r="G39" s="417">
        <v>0.91</v>
      </c>
      <c r="H39" s="417">
        <v>0.88</v>
      </c>
      <c r="I39" s="417">
        <v>0.90308852541616835</v>
      </c>
    </row>
    <row r="40" spans="1:9" ht="15.95" customHeight="1" x14ac:dyDescent="0.3">
      <c r="A40" s="324" t="s">
        <v>144</v>
      </c>
      <c r="B40" s="327" t="s">
        <v>63</v>
      </c>
      <c r="C40" s="418">
        <v>0.92216342488981851</v>
      </c>
      <c r="D40" s="418">
        <v>0.98756076680218408</v>
      </c>
      <c r="E40" s="418">
        <v>1.0669634379571709</v>
      </c>
      <c r="F40" s="417">
        <v>1.2703119400014695</v>
      </c>
      <c r="G40" s="417">
        <v>1.32</v>
      </c>
      <c r="H40" s="417">
        <v>1.35</v>
      </c>
      <c r="I40" s="417">
        <v>1.425036651045571</v>
      </c>
    </row>
    <row r="41" spans="1:9" ht="15.95" customHeight="1" x14ac:dyDescent="0.3">
      <c r="A41" s="324" t="s">
        <v>145</v>
      </c>
      <c r="B41" s="327" t="s">
        <v>27</v>
      </c>
      <c r="C41" s="417">
        <v>1.3954988516748965</v>
      </c>
      <c r="D41" s="417">
        <v>1.4825700897726966</v>
      </c>
      <c r="E41" s="417">
        <v>1.556923663460269</v>
      </c>
      <c r="F41" s="417">
        <v>1.8165418473913599</v>
      </c>
      <c r="G41" s="417">
        <v>1.84</v>
      </c>
      <c r="H41" s="417">
        <v>1.8</v>
      </c>
      <c r="I41" s="417">
        <v>1.9913207595006153</v>
      </c>
    </row>
    <row r="42" spans="1:9" ht="15.95" customHeight="1" x14ac:dyDescent="0.3">
      <c r="A42" s="324" t="s">
        <v>146</v>
      </c>
      <c r="B42" s="327" t="s">
        <v>147</v>
      </c>
      <c r="C42" s="417">
        <v>0.58496583754200715</v>
      </c>
      <c r="D42" s="417">
        <v>0.67192734519715336</v>
      </c>
      <c r="E42" s="417">
        <v>0.70029468523781002</v>
      </c>
      <c r="F42" s="417">
        <v>0.721651320580741</v>
      </c>
      <c r="G42" s="417">
        <v>0.78</v>
      </c>
      <c r="H42" s="417">
        <v>0.8</v>
      </c>
      <c r="I42" s="417">
        <v>0.84938337306984246</v>
      </c>
    </row>
    <row r="43" spans="1:9" ht="15.95" customHeight="1" x14ac:dyDescent="0.3">
      <c r="A43" s="324" t="s">
        <v>148</v>
      </c>
      <c r="B43" s="326" t="s">
        <v>128</v>
      </c>
      <c r="C43" s="417">
        <v>1.3220548432377848</v>
      </c>
      <c r="D43" s="417">
        <v>1.3482483201901025</v>
      </c>
      <c r="E43" s="417">
        <v>1.3820157181498538</v>
      </c>
      <c r="F43" s="417">
        <v>1.4406432028555971</v>
      </c>
      <c r="G43" s="417">
        <v>1.45</v>
      </c>
      <c r="H43" s="417">
        <v>1.48</v>
      </c>
      <c r="I43" s="417">
        <v>1.4916464164184764</v>
      </c>
    </row>
    <row r="44" spans="1:9" ht="32.1" customHeight="1" x14ac:dyDescent="0.3">
      <c r="A44" s="639" t="s">
        <v>149</v>
      </c>
      <c r="B44" s="640"/>
      <c r="C44" s="417"/>
      <c r="D44" s="417"/>
      <c r="E44" s="417"/>
      <c r="F44" s="417"/>
      <c r="G44" s="417"/>
      <c r="H44" s="417"/>
      <c r="I44" s="417"/>
    </row>
    <row r="45" spans="1:9" ht="15.95" customHeight="1" x14ac:dyDescent="0.3">
      <c r="A45" s="324" t="s">
        <v>150</v>
      </c>
      <c r="B45" s="326" t="s">
        <v>151</v>
      </c>
      <c r="C45" s="417">
        <v>1.064168805572586</v>
      </c>
      <c r="D45" s="417">
        <v>1.076195196373285</v>
      </c>
      <c r="E45" s="417">
        <v>1.0759237688780432</v>
      </c>
      <c r="F45" s="417">
        <v>1.0955908445867433</v>
      </c>
      <c r="G45" s="417">
        <v>1.1299999999999999</v>
      </c>
      <c r="H45" s="417">
        <v>1.1000000000000001</v>
      </c>
      <c r="I45" s="417">
        <v>1.1605064352577401</v>
      </c>
    </row>
    <row r="46" spans="1:9" ht="15.95" customHeight="1" x14ac:dyDescent="0.3">
      <c r="A46" s="324" t="s">
        <v>152</v>
      </c>
      <c r="B46" s="327" t="s">
        <v>76</v>
      </c>
      <c r="C46" s="417">
        <v>0.91385963469877984</v>
      </c>
      <c r="D46" s="417">
        <v>0.94752559017265836</v>
      </c>
      <c r="E46" s="417">
        <v>1.0317278566739279</v>
      </c>
      <c r="F46" s="417">
        <v>1.0113700835688928</v>
      </c>
      <c r="G46" s="417">
        <v>1.06</v>
      </c>
      <c r="H46" s="417">
        <v>1.21</v>
      </c>
      <c r="I46" s="417">
        <v>1.2515304576499788</v>
      </c>
    </row>
    <row r="47" spans="1:9" ht="15.95" customHeight="1" x14ac:dyDescent="0.3">
      <c r="A47" s="324" t="s">
        <v>153</v>
      </c>
      <c r="B47" s="326" t="s">
        <v>100</v>
      </c>
      <c r="C47" s="417">
        <v>0.88060207374696875</v>
      </c>
      <c r="D47" s="417">
        <v>0.97355146141068971</v>
      </c>
      <c r="E47" s="417">
        <v>0.97732470082273748</v>
      </c>
      <c r="F47" s="417">
        <v>0.9526031780567038</v>
      </c>
      <c r="G47" s="417">
        <v>0.99</v>
      </c>
      <c r="H47" s="417">
        <v>0.98</v>
      </c>
      <c r="I47" s="417">
        <v>0.97787280912136776</v>
      </c>
    </row>
    <row r="48" spans="1:9" ht="15.95" customHeight="1" x14ac:dyDescent="0.3">
      <c r="A48" s="324" t="s">
        <v>154</v>
      </c>
      <c r="B48" s="326" t="s">
        <v>155</v>
      </c>
      <c r="C48" s="417">
        <v>0.77277494170869288</v>
      </c>
      <c r="D48" s="417">
        <v>0.83231151320039365</v>
      </c>
      <c r="E48" s="417">
        <v>0.80904822655648068</v>
      </c>
      <c r="F48" s="417">
        <v>0.92054964368396208</v>
      </c>
      <c r="G48" s="417">
        <v>0.95</v>
      </c>
      <c r="H48" s="417">
        <v>1.05</v>
      </c>
      <c r="I48" s="417">
        <v>1.0030652581536774</v>
      </c>
    </row>
    <row r="49" spans="1:9" ht="15.95" customHeight="1" x14ac:dyDescent="0.3">
      <c r="A49" s="324" t="s">
        <v>156</v>
      </c>
      <c r="B49" s="327" t="s">
        <v>35</v>
      </c>
      <c r="C49" s="417">
        <v>1.5998250555321654</v>
      </c>
      <c r="D49" s="417">
        <v>1.5042037378638522</v>
      </c>
      <c r="E49" s="417">
        <v>1.5465125372704607</v>
      </c>
      <c r="F49" s="417">
        <v>1.5766917637295617</v>
      </c>
      <c r="G49" s="417">
        <v>1.52</v>
      </c>
      <c r="H49" s="417">
        <v>1.31</v>
      </c>
      <c r="I49" s="417">
        <v>1.3403720929901806</v>
      </c>
    </row>
    <row r="50" spans="1:9" ht="15.95" customHeight="1" x14ac:dyDescent="0.3">
      <c r="A50" s="324" t="s">
        <v>157</v>
      </c>
      <c r="B50" s="326" t="s">
        <v>81</v>
      </c>
      <c r="C50" s="417">
        <v>0.59185736757961049</v>
      </c>
      <c r="D50" s="417">
        <v>0.61083524335679174</v>
      </c>
      <c r="E50" s="417">
        <v>0.69306107594893507</v>
      </c>
      <c r="F50" s="417">
        <v>0.68510481122304867</v>
      </c>
      <c r="G50" s="417">
        <v>0.72</v>
      </c>
      <c r="H50" s="417">
        <v>0.76</v>
      </c>
      <c r="I50" s="417">
        <v>0.77709937945129737</v>
      </c>
    </row>
    <row r="51" spans="1:9" ht="15.95" customHeight="1" x14ac:dyDescent="0.3">
      <c r="A51" s="324" t="s">
        <v>158</v>
      </c>
      <c r="B51" s="326" t="s">
        <v>81</v>
      </c>
      <c r="C51" s="417">
        <v>0.53588698630136988</v>
      </c>
      <c r="D51" s="417">
        <v>0.54583628070484191</v>
      </c>
      <c r="E51" s="417">
        <v>0.4083967526243461</v>
      </c>
      <c r="F51" s="417">
        <v>0.44753329146683601</v>
      </c>
      <c r="G51" s="417">
        <v>0.7</v>
      </c>
      <c r="H51" s="417">
        <v>0.83</v>
      </c>
      <c r="I51" s="417">
        <v>0.70295480775064934</v>
      </c>
    </row>
    <row r="52" spans="1:9" ht="15.95" customHeight="1" x14ac:dyDescent="0.3">
      <c r="A52" s="324" t="s">
        <v>159</v>
      </c>
      <c r="B52" s="326" t="s">
        <v>122</v>
      </c>
      <c r="C52" s="417">
        <v>1.0564490246533356</v>
      </c>
      <c r="D52" s="417">
        <v>1.059604265962921</v>
      </c>
      <c r="E52" s="417">
        <v>1.088702895553749</v>
      </c>
      <c r="F52" s="417">
        <v>1.1429498704686845</v>
      </c>
      <c r="G52" s="417">
        <v>1.18</v>
      </c>
      <c r="H52" s="417">
        <v>1.1499999999999999</v>
      </c>
      <c r="I52" s="417">
        <v>1.224869103732757</v>
      </c>
    </row>
    <row r="53" spans="1:9" ht="15.95" customHeight="1" x14ac:dyDescent="0.3">
      <c r="A53" s="324" t="s">
        <v>160</v>
      </c>
      <c r="B53" s="326" t="s">
        <v>155</v>
      </c>
      <c r="C53" s="417">
        <v>1.7114894811279375</v>
      </c>
      <c r="D53" s="417">
        <v>1.9935993802412451</v>
      </c>
      <c r="E53" s="417">
        <v>2.3576756350205743</v>
      </c>
      <c r="F53" s="417">
        <v>2.3712366396197315</v>
      </c>
      <c r="G53" s="417">
        <v>2.4700000000000002</v>
      </c>
      <c r="H53" s="417">
        <v>2.4300000000000002</v>
      </c>
      <c r="I53" s="417">
        <v>2.6336565466467814</v>
      </c>
    </row>
    <row r="54" spans="1:9" ht="15.95" customHeight="1" x14ac:dyDescent="0.3">
      <c r="A54" s="324" t="s">
        <v>161</v>
      </c>
      <c r="B54" s="326" t="s">
        <v>100</v>
      </c>
      <c r="C54" s="417">
        <v>0.59760368948773723</v>
      </c>
      <c r="D54" s="417">
        <v>0.57937529847097058</v>
      </c>
      <c r="E54" s="417">
        <v>0.68773170441155163</v>
      </c>
      <c r="F54" s="417">
        <v>0.71335862775089653</v>
      </c>
      <c r="G54" s="417">
        <v>0.69</v>
      </c>
      <c r="H54" s="417">
        <v>0.69</v>
      </c>
      <c r="I54" s="417">
        <v>0.66739306705704182</v>
      </c>
    </row>
    <row r="55" spans="1:9" ht="15.95" customHeight="1" x14ac:dyDescent="0.3">
      <c r="A55" s="324" t="s">
        <v>162</v>
      </c>
      <c r="B55" s="326" t="s">
        <v>163</v>
      </c>
      <c r="C55" s="417">
        <v>1.0805548323202205</v>
      </c>
      <c r="D55" s="418">
        <v>1.0297256220371294</v>
      </c>
      <c r="E55" s="418">
        <v>1.1609284450007444</v>
      </c>
      <c r="F55" s="417">
        <v>1.3549600853292956</v>
      </c>
      <c r="G55" s="417">
        <v>1.44</v>
      </c>
      <c r="H55" s="417">
        <v>1.41</v>
      </c>
      <c r="I55" s="417">
        <v>1.4677551616965141</v>
      </c>
    </row>
    <row r="56" spans="1:9" ht="15.95" customHeight="1" x14ac:dyDescent="0.3">
      <c r="A56" s="324" t="s">
        <v>164</v>
      </c>
      <c r="B56" s="326" t="s">
        <v>100</v>
      </c>
      <c r="C56" s="417">
        <v>0.68892392768890609</v>
      </c>
      <c r="D56" s="417">
        <v>0.69606328206841694</v>
      </c>
      <c r="E56" s="417">
        <v>0.68462617385025037</v>
      </c>
      <c r="F56" s="417">
        <v>0.71087623409394263</v>
      </c>
      <c r="G56" s="417">
        <v>0.7</v>
      </c>
      <c r="H56" s="417">
        <v>0.69</v>
      </c>
      <c r="I56" s="417">
        <v>0.6906651182093535</v>
      </c>
    </row>
    <row r="57" spans="1:9" ht="15.95" customHeight="1" x14ac:dyDescent="0.3">
      <c r="A57" s="324" t="s">
        <v>165</v>
      </c>
      <c r="B57" s="325" t="s">
        <v>122</v>
      </c>
      <c r="C57" s="417">
        <v>0.76399857724215137</v>
      </c>
      <c r="D57" s="417">
        <v>0.83101600803766373</v>
      </c>
      <c r="E57" s="417">
        <v>0.81621875411437061</v>
      </c>
      <c r="F57" s="417">
        <v>0.82443359864065047</v>
      </c>
      <c r="G57" s="417">
        <v>1.05</v>
      </c>
      <c r="H57" s="417">
        <v>1</v>
      </c>
      <c r="I57" s="417">
        <v>1.0431396954798502</v>
      </c>
    </row>
    <row r="58" spans="1:9" ht="15.95" customHeight="1" x14ac:dyDescent="0.3">
      <c r="A58" s="324" t="s">
        <v>166</v>
      </c>
      <c r="B58" s="327" t="s">
        <v>155</v>
      </c>
      <c r="C58" s="417">
        <v>1.0605406444045766</v>
      </c>
      <c r="D58" s="417">
        <v>1.1019643537745665</v>
      </c>
      <c r="E58" s="417">
        <v>1.1119956469354595</v>
      </c>
      <c r="F58" s="417">
        <v>1.2747088564111835</v>
      </c>
      <c r="G58" s="417">
        <v>1.57</v>
      </c>
      <c r="H58" s="417">
        <v>1.34</v>
      </c>
      <c r="I58" s="417">
        <v>1.421674964535812</v>
      </c>
    </row>
    <row r="59" spans="1:9" ht="15.95" customHeight="1" x14ac:dyDescent="0.3">
      <c r="A59" s="330" t="s">
        <v>167</v>
      </c>
      <c r="B59" s="338" t="s">
        <v>98</v>
      </c>
      <c r="C59" s="419">
        <v>1.3789755621884636</v>
      </c>
      <c r="D59" s="419">
        <v>1.4240371156369789</v>
      </c>
      <c r="E59" s="419">
        <v>2.2918507184088801</v>
      </c>
      <c r="F59" s="419">
        <v>1.9919143660158978</v>
      </c>
      <c r="G59" s="419">
        <v>2.0299999999999998</v>
      </c>
      <c r="H59" s="419">
        <v>1.85</v>
      </c>
      <c r="I59" s="419">
        <v>2.1898074713844555</v>
      </c>
    </row>
    <row r="60" spans="1:9" s="246" customFormat="1" ht="12.75" hidden="1" customHeight="1" x14ac:dyDescent="0.3">
      <c r="A60" s="243" t="s">
        <v>221</v>
      </c>
      <c r="B60" s="243"/>
      <c r="C60" s="244"/>
      <c r="D60" s="244"/>
      <c r="E60" s="244"/>
      <c r="F60" s="244"/>
      <c r="G60" s="245"/>
      <c r="H60" s="245"/>
      <c r="I60" s="245"/>
    </row>
    <row r="61" spans="1:9" s="246" customFormat="1" ht="12.75" hidden="1" customHeight="1" x14ac:dyDescent="0.3">
      <c r="A61" s="247" t="s">
        <v>222</v>
      </c>
      <c r="B61" s="247"/>
      <c r="C61" s="244"/>
      <c r="D61" s="244"/>
      <c r="E61" s="244"/>
      <c r="F61" s="244"/>
      <c r="G61" s="245"/>
      <c r="H61" s="245"/>
      <c r="I61" s="245"/>
    </row>
    <row r="62" spans="1:9" s="246" customFormat="1" ht="12.75" hidden="1" customHeight="1" x14ac:dyDescent="0.3">
      <c r="A62" s="247" t="s">
        <v>223</v>
      </c>
      <c r="B62" s="247"/>
      <c r="C62" s="244"/>
      <c r="D62" s="244"/>
      <c r="E62" s="244"/>
      <c r="F62" s="244"/>
      <c r="G62" s="245"/>
      <c r="H62" s="245"/>
      <c r="I62" s="245"/>
    </row>
    <row r="63" spans="1:9" s="246" customFormat="1" ht="12.75" hidden="1" customHeight="1" x14ac:dyDescent="0.3">
      <c r="A63" s="247" t="s">
        <v>224</v>
      </c>
      <c r="B63" s="247"/>
      <c r="C63" s="244"/>
      <c r="D63" s="244"/>
      <c r="E63" s="244"/>
      <c r="F63" s="244"/>
      <c r="G63" s="245"/>
      <c r="H63" s="245"/>
      <c r="I63" s="245"/>
    </row>
    <row r="64" spans="1:9" s="246" customFormat="1" ht="12.75" hidden="1" customHeight="1" x14ac:dyDescent="0.3">
      <c r="A64" s="247" t="s">
        <v>225</v>
      </c>
      <c r="B64" s="247"/>
      <c r="C64" s="244"/>
      <c r="D64" s="244"/>
      <c r="E64" s="244"/>
      <c r="F64" s="244"/>
      <c r="G64" s="245"/>
      <c r="H64" s="245"/>
      <c r="I64" s="245"/>
    </row>
    <row r="65" spans="1:6" s="17" customFormat="1" ht="12" customHeight="1" x14ac:dyDescent="0.25">
      <c r="A65" s="16" t="s">
        <v>168</v>
      </c>
      <c r="B65" s="16"/>
      <c r="C65" s="15"/>
      <c r="D65" s="15"/>
      <c r="E65" s="15"/>
      <c r="F65" s="15"/>
    </row>
  </sheetData>
  <mergeCells count="6">
    <mergeCell ref="A44:B44"/>
    <mergeCell ref="A1:I1"/>
    <mergeCell ref="A2:I2"/>
    <mergeCell ref="A6:B6"/>
    <mergeCell ref="A8:B8"/>
    <mergeCell ref="A27:B27"/>
  </mergeCells>
  <conditionalFormatting sqref="A61:B64">
    <cfRule type="cellIs" dxfId="33" priority="4" stopIfTrue="1" operator="equal">
      <formula>"S.I."</formula>
    </cfRule>
  </conditionalFormatting>
  <conditionalFormatting sqref="B54">
    <cfRule type="cellIs" dxfId="32" priority="3" stopIfTrue="1" operator="equal">
      <formula>"S.I."</formula>
    </cfRule>
  </conditionalFormatting>
  <conditionalFormatting sqref="A60:B60">
    <cfRule type="cellIs" dxfId="31" priority="5" stopIfTrue="1" operator="equal">
      <formula>"S.I."</formula>
    </cfRule>
  </conditionalFormatting>
  <conditionalFormatting sqref="A4:A5">
    <cfRule type="cellIs" dxfId="30" priority="2" stopIfTrue="1" operator="equal">
      <formula>"S.I."</formula>
    </cfRule>
  </conditionalFormatting>
  <conditionalFormatting sqref="B4:B5">
    <cfRule type="cellIs" dxfId="29" priority="1" stopIfTrue="1" operator="equal">
      <formula>"S.I."</formula>
    </cfRule>
  </conditionalFormatting>
  <printOptions horizontalCentered="1"/>
  <pageMargins left="0.51181102362204722" right="0.51181102362204722" top="0.55118110236220474" bottom="0.35433070866141736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62"/>
  <sheetViews>
    <sheetView showGridLines="0" zoomScaleNormal="100" workbookViewId="0">
      <selection activeCell="A4" sqref="A4:Q62"/>
    </sheetView>
  </sheetViews>
  <sheetFormatPr baseColWidth="10" defaultColWidth="11" defaultRowHeight="12.75" customHeight="1" x14ac:dyDescent="0.25"/>
  <cols>
    <col min="1" max="1" width="31.7109375" style="44" customWidth="1"/>
    <col min="2" max="2" width="17.5703125" style="44" customWidth="1"/>
    <col min="3" max="3" width="9" style="44" hidden="1" customWidth="1"/>
    <col min="4" max="5" width="9" style="49" hidden="1" customWidth="1"/>
    <col min="6" max="6" width="9" style="99" hidden="1" customWidth="1"/>
    <col min="7" max="7" width="9.28515625" style="49" hidden="1" customWidth="1"/>
    <col min="8" max="9" width="10" style="49" hidden="1" customWidth="1"/>
    <col min="10" max="10" width="10.7109375" style="49" hidden="1" customWidth="1"/>
    <col min="11" max="17" width="9" style="46" customWidth="1"/>
    <col min="18" max="18" width="10.28515625" style="46" customWidth="1"/>
    <col min="19" max="16384" width="11" style="46"/>
  </cols>
  <sheetData>
    <row r="1" spans="1:19" s="47" customFormat="1" ht="25.7" customHeight="1" x14ac:dyDescent="0.25">
      <c r="A1" s="641" t="s">
        <v>384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</row>
    <row r="2" spans="1:19" s="47" customFormat="1" ht="12.75" customHeight="1" x14ac:dyDescent="0.25">
      <c r="A2" s="643" t="s">
        <v>90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19" ht="12.75" customHeight="1" x14ac:dyDescent="0.25">
      <c r="A3" s="10"/>
      <c r="B3" s="10"/>
      <c r="C3" s="10"/>
      <c r="D3" s="188"/>
      <c r="E3" s="188"/>
      <c r="F3" s="188"/>
      <c r="G3" s="188"/>
      <c r="H3" s="188"/>
      <c r="I3" s="189"/>
      <c r="J3" s="189"/>
      <c r="K3" s="7"/>
      <c r="L3" s="7"/>
      <c r="M3" s="7"/>
      <c r="N3" s="7"/>
      <c r="O3" s="7"/>
      <c r="P3" s="7"/>
      <c r="Q3" s="7"/>
    </row>
    <row r="4" spans="1:19" ht="20.100000000000001" customHeight="1" x14ac:dyDescent="0.25">
      <c r="A4" s="309" t="s">
        <v>91</v>
      </c>
      <c r="B4" s="310" t="s">
        <v>92</v>
      </c>
      <c r="C4" s="309" t="s">
        <v>226</v>
      </c>
      <c r="D4" s="311">
        <v>2007</v>
      </c>
      <c r="E4" s="422">
        <v>2008</v>
      </c>
      <c r="F4" s="422">
        <v>2009</v>
      </c>
      <c r="G4" s="422">
        <v>2010</v>
      </c>
      <c r="H4" s="422">
        <v>2011</v>
      </c>
      <c r="I4" s="422">
        <v>2012</v>
      </c>
      <c r="J4" s="422">
        <v>2013</v>
      </c>
      <c r="K4" s="422">
        <v>2015</v>
      </c>
      <c r="L4" s="311">
        <v>2016</v>
      </c>
      <c r="M4" s="311">
        <v>2017</v>
      </c>
      <c r="N4" s="312">
        <v>2018</v>
      </c>
      <c r="O4" s="311">
        <v>2019</v>
      </c>
      <c r="P4" s="311">
        <v>2020</v>
      </c>
      <c r="Q4" s="311" t="s">
        <v>378</v>
      </c>
    </row>
    <row r="5" spans="1:19" ht="3" customHeight="1" x14ac:dyDescent="0.25">
      <c r="A5" s="423"/>
      <c r="B5" s="379"/>
      <c r="C5" s="423"/>
      <c r="D5" s="68"/>
      <c r="E5" s="424"/>
      <c r="F5" s="424"/>
      <c r="G5" s="424"/>
      <c r="H5" s="424"/>
      <c r="I5" s="424"/>
      <c r="J5" s="424"/>
      <c r="K5" s="424"/>
      <c r="L5" s="424"/>
      <c r="M5" s="424"/>
    </row>
    <row r="6" spans="1:19" ht="15.95" customHeight="1" x14ac:dyDescent="0.25">
      <c r="A6" s="425" t="s">
        <v>3</v>
      </c>
      <c r="B6" s="435"/>
      <c r="C6" s="425"/>
      <c r="D6" s="426">
        <v>286028</v>
      </c>
      <c r="E6" s="426">
        <v>288769</v>
      </c>
      <c r="F6" s="426">
        <v>297062</v>
      </c>
      <c r="G6" s="426">
        <v>297178</v>
      </c>
      <c r="H6" s="426">
        <v>270228</v>
      </c>
      <c r="I6" s="426">
        <v>154095</v>
      </c>
      <c r="J6" s="426">
        <v>242472</v>
      </c>
      <c r="K6" s="426">
        <v>503115.57671160001</v>
      </c>
      <c r="L6" s="426">
        <v>490052.90128381009</v>
      </c>
      <c r="M6" s="426">
        <v>485703.5799999999</v>
      </c>
      <c r="N6" s="426">
        <v>513706.19958729984</v>
      </c>
      <c r="O6" s="426">
        <v>521237.09570289438</v>
      </c>
      <c r="P6" s="426">
        <v>530782.82553327922</v>
      </c>
      <c r="Q6" s="426">
        <v>549190.48269333516</v>
      </c>
    </row>
    <row r="7" spans="1:19" ht="32.1" customHeight="1" x14ac:dyDescent="0.25">
      <c r="A7" s="639" t="s">
        <v>93</v>
      </c>
      <c r="B7" s="640"/>
      <c r="C7" s="46"/>
      <c r="D7" s="383">
        <v>244021</v>
      </c>
      <c r="E7" s="383">
        <v>246913</v>
      </c>
      <c r="F7" s="427">
        <v>258894</v>
      </c>
      <c r="G7" s="427">
        <v>259858</v>
      </c>
      <c r="H7" s="427">
        <v>238918</v>
      </c>
      <c r="I7" s="427">
        <v>118237</v>
      </c>
      <c r="J7" s="427">
        <v>197041</v>
      </c>
      <c r="K7" s="427"/>
      <c r="L7" s="428"/>
      <c r="M7" s="428"/>
      <c r="N7" s="429"/>
      <c r="O7" s="429"/>
      <c r="P7" s="429"/>
      <c r="Q7" s="429"/>
    </row>
    <row r="8" spans="1:19" s="47" customFormat="1" ht="15.95" customHeight="1" x14ac:dyDescent="0.3">
      <c r="A8" s="322" t="s">
        <v>94</v>
      </c>
      <c r="B8" s="323" t="s">
        <v>95</v>
      </c>
      <c r="C8" s="80" t="s">
        <v>227</v>
      </c>
      <c r="D8" s="383">
        <v>1504</v>
      </c>
      <c r="E8" s="383">
        <v>1695</v>
      </c>
      <c r="F8" s="427">
        <v>2021</v>
      </c>
      <c r="G8" s="427">
        <v>2203</v>
      </c>
      <c r="H8" s="427">
        <v>2306</v>
      </c>
      <c r="I8" s="427">
        <v>2220</v>
      </c>
      <c r="J8" s="427">
        <v>2429</v>
      </c>
      <c r="K8" s="427">
        <v>212420.1893</v>
      </c>
      <c r="L8" s="428">
        <v>200017.63879999999</v>
      </c>
      <c r="M8" s="428">
        <v>179118.82</v>
      </c>
      <c r="N8" s="429">
        <v>202743.402</v>
      </c>
      <c r="O8" s="429">
        <v>212158.75599999999</v>
      </c>
      <c r="P8" s="429">
        <v>200607.97912999999</v>
      </c>
      <c r="Q8" s="429">
        <v>223155.7371433333</v>
      </c>
      <c r="R8" s="206"/>
      <c r="S8" s="206"/>
    </row>
    <row r="9" spans="1:19" s="47" customFormat="1" ht="32.1" customHeight="1" x14ac:dyDescent="0.3">
      <c r="A9" s="644" t="s">
        <v>96</v>
      </c>
      <c r="B9" s="645"/>
      <c r="C9" s="80" t="s">
        <v>227</v>
      </c>
      <c r="D9" s="383">
        <v>20332</v>
      </c>
      <c r="E9" s="383">
        <v>19566</v>
      </c>
      <c r="F9" s="427">
        <v>18743</v>
      </c>
      <c r="G9" s="427">
        <v>18495</v>
      </c>
      <c r="H9" s="427">
        <v>14213</v>
      </c>
      <c r="I9" s="427">
        <v>17867</v>
      </c>
      <c r="J9" s="427">
        <v>22631</v>
      </c>
      <c r="K9" s="427"/>
      <c r="L9" s="428"/>
      <c r="M9" s="428"/>
      <c r="N9" s="429"/>
      <c r="O9" s="429"/>
      <c r="P9" s="429"/>
      <c r="Q9" s="429"/>
    </row>
    <row r="10" spans="1:19" ht="15.95" customHeight="1" x14ac:dyDescent="0.3">
      <c r="A10" s="324" t="s">
        <v>101</v>
      </c>
      <c r="B10" s="325" t="s">
        <v>57</v>
      </c>
      <c r="C10" s="80" t="s">
        <v>227</v>
      </c>
      <c r="D10" s="383">
        <v>10497</v>
      </c>
      <c r="E10" s="383">
        <v>9344</v>
      </c>
      <c r="F10" s="427">
        <v>7086</v>
      </c>
      <c r="G10" s="427">
        <v>6352</v>
      </c>
      <c r="H10" s="427">
        <v>5994</v>
      </c>
      <c r="I10" s="427">
        <v>6895</v>
      </c>
      <c r="J10" s="427">
        <v>7403</v>
      </c>
      <c r="K10" s="427">
        <v>13195.702600000001</v>
      </c>
      <c r="L10" s="428">
        <v>12842.052439999999</v>
      </c>
      <c r="M10" s="428">
        <v>12494.61</v>
      </c>
      <c r="N10" s="429">
        <v>12303.589470000001</v>
      </c>
      <c r="O10" s="429">
        <v>12344.568979999996</v>
      </c>
      <c r="P10" s="429">
        <v>12086.416983333333</v>
      </c>
      <c r="Q10" s="429">
        <v>11755.215480000001</v>
      </c>
    </row>
    <row r="11" spans="1:19" ht="15.95" customHeight="1" x14ac:dyDescent="0.3">
      <c r="A11" s="324" t="s">
        <v>97</v>
      </c>
      <c r="B11" s="325" t="s">
        <v>98</v>
      </c>
      <c r="C11" s="80" t="s">
        <v>228</v>
      </c>
      <c r="D11" s="383">
        <v>892</v>
      </c>
      <c r="E11" s="383">
        <v>1206</v>
      </c>
      <c r="F11" s="427">
        <v>1184</v>
      </c>
      <c r="G11" s="427">
        <v>1263</v>
      </c>
      <c r="H11" s="427">
        <v>288</v>
      </c>
      <c r="I11" s="427">
        <v>1649</v>
      </c>
      <c r="J11" s="427">
        <v>1923</v>
      </c>
      <c r="K11" s="427">
        <v>3936.0814999999998</v>
      </c>
      <c r="L11" s="428">
        <v>4228.9803609999999</v>
      </c>
      <c r="M11" s="428">
        <v>4443.76</v>
      </c>
      <c r="N11" s="429">
        <v>4402.3228200000003</v>
      </c>
      <c r="O11" s="429">
        <v>4189.9711000000016</v>
      </c>
      <c r="P11" s="429">
        <v>5950.2610933333317</v>
      </c>
      <c r="Q11" s="429">
        <v>5316.0535542361104</v>
      </c>
    </row>
    <row r="12" spans="1:19" ht="15.95" customHeight="1" x14ac:dyDescent="0.3">
      <c r="A12" s="324" t="s">
        <v>369</v>
      </c>
      <c r="B12" s="326" t="s">
        <v>35</v>
      </c>
      <c r="C12" s="80" t="s">
        <v>228</v>
      </c>
      <c r="D12" s="383">
        <v>3739</v>
      </c>
      <c r="E12" s="383">
        <v>3984</v>
      </c>
      <c r="F12" s="427">
        <v>3476</v>
      </c>
      <c r="G12" s="427">
        <v>3705</v>
      </c>
      <c r="H12" s="427">
        <v>3199</v>
      </c>
      <c r="I12" s="427">
        <v>2797</v>
      </c>
      <c r="J12" s="427">
        <v>6108</v>
      </c>
      <c r="K12" s="383">
        <v>5586.098</v>
      </c>
      <c r="L12" s="428">
        <v>3985.9982500000001</v>
      </c>
      <c r="M12" s="428">
        <v>3632.56</v>
      </c>
      <c r="N12" s="429">
        <v>5200.6442500000003</v>
      </c>
      <c r="O12" s="429">
        <v>4685.8338499999982</v>
      </c>
      <c r="P12" s="429">
        <v>9392.3166600000004</v>
      </c>
      <c r="Q12" s="429">
        <v>8477.944951652953</v>
      </c>
    </row>
    <row r="13" spans="1:19" ht="15.95" customHeight="1" x14ac:dyDescent="0.3">
      <c r="A13" s="324" t="s">
        <v>99</v>
      </c>
      <c r="B13" s="325" t="s">
        <v>100</v>
      </c>
      <c r="C13" s="80" t="s">
        <v>229</v>
      </c>
      <c r="D13" s="383">
        <v>433</v>
      </c>
      <c r="E13" s="383">
        <v>327</v>
      </c>
      <c r="F13" s="383">
        <v>479</v>
      </c>
      <c r="G13" s="383">
        <v>448</v>
      </c>
      <c r="H13" s="383">
        <v>525</v>
      </c>
      <c r="I13" s="383">
        <v>644</v>
      </c>
      <c r="J13" s="383">
        <v>525</v>
      </c>
      <c r="K13" s="427">
        <v>3135.7801850000001</v>
      </c>
      <c r="L13" s="428">
        <v>3259.5326700000001</v>
      </c>
      <c r="M13" s="428">
        <v>3083.12</v>
      </c>
      <c r="N13" s="429">
        <v>3106.8707800000002</v>
      </c>
      <c r="O13" s="429">
        <v>3099.3156100000015</v>
      </c>
      <c r="P13" s="429">
        <v>3425.3773300000021</v>
      </c>
      <c r="Q13" s="429">
        <v>3316.0567033333341</v>
      </c>
    </row>
    <row r="14" spans="1:19" ht="15.95" customHeight="1" x14ac:dyDescent="0.3">
      <c r="A14" s="324" t="s">
        <v>102</v>
      </c>
      <c r="B14" s="326" t="s">
        <v>103</v>
      </c>
      <c r="C14" s="80" t="s">
        <v>229</v>
      </c>
      <c r="D14" s="383">
        <v>1396</v>
      </c>
      <c r="E14" s="383">
        <v>1785</v>
      </c>
      <c r="F14" s="427">
        <v>1660</v>
      </c>
      <c r="G14" s="427">
        <v>1205</v>
      </c>
      <c r="H14" s="427">
        <v>1313</v>
      </c>
      <c r="I14" s="427">
        <v>490</v>
      </c>
      <c r="J14" s="427">
        <v>1418</v>
      </c>
      <c r="K14" s="427">
        <v>42393.2863</v>
      </c>
      <c r="L14" s="428">
        <v>38356.271549999998</v>
      </c>
      <c r="M14" s="428">
        <v>39353.449999999997</v>
      </c>
      <c r="N14" s="429">
        <v>43513.155200000001</v>
      </c>
      <c r="O14" s="429">
        <v>41156.073620000003</v>
      </c>
      <c r="P14" s="429">
        <v>46322.046860000002</v>
      </c>
      <c r="Q14" s="429">
        <v>50185.320177083333</v>
      </c>
    </row>
    <row r="15" spans="1:19" ht="15.95" customHeight="1" x14ac:dyDescent="0.3">
      <c r="A15" s="324" t="s">
        <v>105</v>
      </c>
      <c r="B15" s="326" t="s">
        <v>106</v>
      </c>
      <c r="C15" s="80" t="s">
        <v>229</v>
      </c>
      <c r="D15" s="383">
        <v>1718</v>
      </c>
      <c r="E15" s="383">
        <v>2526</v>
      </c>
      <c r="F15" s="427">
        <v>2420</v>
      </c>
      <c r="G15" s="427">
        <v>2357</v>
      </c>
      <c r="H15" s="427">
        <v>2124</v>
      </c>
      <c r="I15" s="427">
        <v>1908</v>
      </c>
      <c r="J15" s="427">
        <v>1690</v>
      </c>
      <c r="K15" s="427">
        <v>18942.815999999999</v>
      </c>
      <c r="L15" s="428">
        <v>20218.811379999999</v>
      </c>
      <c r="M15" s="428">
        <v>21292.62</v>
      </c>
      <c r="N15" s="429">
        <v>20231.563999999998</v>
      </c>
      <c r="O15" s="429">
        <v>21671.080999999998</v>
      </c>
      <c r="P15" s="429">
        <v>21261.241000000002</v>
      </c>
      <c r="Q15" s="429">
        <v>20941.816666666669</v>
      </c>
    </row>
    <row r="16" spans="1:19" ht="15.95" customHeight="1" x14ac:dyDescent="0.3">
      <c r="A16" s="324" t="s">
        <v>125</v>
      </c>
      <c r="B16" s="326" t="s">
        <v>35</v>
      </c>
      <c r="C16" s="80"/>
      <c r="D16" s="383"/>
      <c r="E16" s="383"/>
      <c r="F16" s="427"/>
      <c r="G16" s="427"/>
      <c r="H16" s="427"/>
      <c r="I16" s="427"/>
      <c r="J16" s="427"/>
      <c r="K16" s="427">
        <v>5891.1483200000002</v>
      </c>
      <c r="L16" s="428">
        <v>3716.0252399999999</v>
      </c>
      <c r="M16" s="428">
        <v>6600.99</v>
      </c>
      <c r="N16" s="429">
        <v>6713.3266100000001</v>
      </c>
      <c r="O16" s="429">
        <v>3876.1060624182651</v>
      </c>
      <c r="P16" s="429">
        <v>2837.4612825000027</v>
      </c>
      <c r="Q16" s="429">
        <v>5373.6755644791683</v>
      </c>
    </row>
    <row r="17" spans="1:17" ht="15.95" customHeight="1" x14ac:dyDescent="0.3">
      <c r="A17" s="324" t="s">
        <v>107</v>
      </c>
      <c r="B17" s="326" t="s">
        <v>108</v>
      </c>
      <c r="C17" s="80"/>
      <c r="D17" s="383"/>
      <c r="E17" s="383"/>
      <c r="F17" s="427"/>
      <c r="G17" s="427"/>
      <c r="H17" s="427"/>
      <c r="I17" s="427"/>
      <c r="J17" s="427"/>
      <c r="K17" s="427">
        <v>6028.1805700000004</v>
      </c>
      <c r="L17" s="428">
        <v>6730.9917100000002</v>
      </c>
      <c r="M17" s="428">
        <v>8773.76</v>
      </c>
      <c r="N17" s="429">
        <v>7562.6727700000001</v>
      </c>
      <c r="O17" s="429">
        <v>6632.569859999996</v>
      </c>
      <c r="P17" s="429">
        <v>7022.717619999994</v>
      </c>
      <c r="Q17" s="429">
        <v>6961.2952373654507</v>
      </c>
    </row>
    <row r="18" spans="1:17" ht="15.95" customHeight="1" x14ac:dyDescent="0.3">
      <c r="A18" s="324" t="s">
        <v>111</v>
      </c>
      <c r="B18" s="326" t="s">
        <v>112</v>
      </c>
      <c r="C18" s="80"/>
      <c r="D18" s="383"/>
      <c r="E18" s="383"/>
      <c r="F18" s="427"/>
      <c r="G18" s="427"/>
      <c r="H18" s="427"/>
      <c r="I18" s="427"/>
      <c r="J18" s="427"/>
      <c r="K18" s="427">
        <v>22871.29639</v>
      </c>
      <c r="L18" s="428">
        <v>23008.340370000002</v>
      </c>
      <c r="M18" s="428">
        <v>24396.06</v>
      </c>
      <c r="N18" s="429">
        <v>27260.163700000001</v>
      </c>
      <c r="O18" s="429">
        <v>29099.332816666658</v>
      </c>
      <c r="P18" s="429">
        <v>28417.643427688436</v>
      </c>
      <c r="Q18" s="429">
        <v>27355.163605204703</v>
      </c>
    </row>
    <row r="19" spans="1:17" ht="15.95" customHeight="1" x14ac:dyDescent="0.3">
      <c r="A19" s="324" t="s">
        <v>109</v>
      </c>
      <c r="B19" s="326" t="s">
        <v>110</v>
      </c>
      <c r="C19" s="80"/>
      <c r="D19" s="383"/>
      <c r="E19" s="383"/>
      <c r="F19" s="427"/>
      <c r="G19" s="427"/>
      <c r="H19" s="427"/>
      <c r="I19" s="427"/>
      <c r="J19" s="427"/>
      <c r="K19" s="427">
        <v>6479.3320000000003</v>
      </c>
      <c r="L19" s="428">
        <v>6398.8549999999996</v>
      </c>
      <c r="M19" s="428">
        <v>4832.05</v>
      </c>
      <c r="N19" s="429">
        <v>4734.2353300000004</v>
      </c>
      <c r="O19" s="429">
        <v>4921.9080000000004</v>
      </c>
      <c r="P19" s="429">
        <v>5001.5026666666681</v>
      </c>
      <c r="Q19" s="429">
        <v>5208.866</v>
      </c>
    </row>
    <row r="20" spans="1:17" ht="15.95" customHeight="1" x14ac:dyDescent="0.3">
      <c r="A20" s="324" t="s">
        <v>115</v>
      </c>
      <c r="B20" s="325" t="s">
        <v>116</v>
      </c>
      <c r="C20" s="80"/>
      <c r="D20" s="383"/>
      <c r="E20" s="383"/>
      <c r="F20" s="427"/>
      <c r="G20" s="427"/>
      <c r="H20" s="427"/>
      <c r="I20" s="427"/>
      <c r="J20" s="427"/>
      <c r="K20" s="427">
        <v>6025.0514810000004</v>
      </c>
      <c r="L20" s="428">
        <v>5550.8514139999997</v>
      </c>
      <c r="M20" s="428">
        <v>5954.87</v>
      </c>
      <c r="N20" s="429">
        <v>6179.6024699999998</v>
      </c>
      <c r="O20" s="429">
        <v>8231.2945425651615</v>
      </c>
      <c r="P20" s="429">
        <v>7508.316960000001</v>
      </c>
      <c r="Q20" s="429">
        <v>8869.0569487037046</v>
      </c>
    </row>
    <row r="21" spans="1:17" ht="15.95" customHeight="1" x14ac:dyDescent="0.3">
      <c r="A21" s="324" t="s">
        <v>118</v>
      </c>
      <c r="B21" s="325" t="s">
        <v>63</v>
      </c>
      <c r="C21" s="80"/>
      <c r="D21" s="383"/>
      <c r="E21" s="383"/>
      <c r="F21" s="427"/>
      <c r="G21" s="427"/>
      <c r="H21" s="427"/>
      <c r="I21" s="427"/>
      <c r="J21" s="427"/>
      <c r="K21" s="427">
        <v>2216.7371670000002</v>
      </c>
      <c r="L21" s="428">
        <v>2228.0700000000002</v>
      </c>
      <c r="M21" s="428">
        <v>2114.0100000000002</v>
      </c>
      <c r="N21" s="429">
        <v>2310.4090000000001</v>
      </c>
      <c r="O21" s="429">
        <v>2480.3449999999998</v>
      </c>
      <c r="P21" s="429">
        <v>2570.5386666666659</v>
      </c>
      <c r="Q21" s="429">
        <v>3498.654</v>
      </c>
    </row>
    <row r="22" spans="1:17" ht="15.95" customHeight="1" x14ac:dyDescent="0.3">
      <c r="A22" s="324" t="s">
        <v>113</v>
      </c>
      <c r="B22" s="326" t="s">
        <v>114</v>
      </c>
      <c r="C22" s="80"/>
      <c r="D22" s="383"/>
      <c r="E22" s="383"/>
      <c r="F22" s="427"/>
      <c r="G22" s="427"/>
      <c r="H22" s="427"/>
      <c r="I22" s="427"/>
      <c r="J22" s="427"/>
      <c r="K22" s="427">
        <v>14369.306</v>
      </c>
      <c r="L22" s="428">
        <v>12855.2358</v>
      </c>
      <c r="M22" s="428">
        <v>12523.46</v>
      </c>
      <c r="N22" s="429">
        <v>12580.4061</v>
      </c>
      <c r="O22" s="429">
        <v>11835.721690000002</v>
      </c>
      <c r="P22" s="429">
        <v>15211.738186666671</v>
      </c>
      <c r="Q22" s="429">
        <v>13289.197090833333</v>
      </c>
    </row>
    <row r="23" spans="1:17" ht="15.95" customHeight="1" x14ac:dyDescent="0.3">
      <c r="A23" s="324" t="s">
        <v>104</v>
      </c>
      <c r="B23" s="326" t="s">
        <v>81</v>
      </c>
      <c r="C23" s="80"/>
      <c r="D23" s="383"/>
      <c r="E23" s="383"/>
      <c r="F23" s="427"/>
      <c r="G23" s="427"/>
      <c r="H23" s="427"/>
      <c r="I23" s="427"/>
      <c r="J23" s="427"/>
      <c r="K23" s="427">
        <v>7327.9885800000002</v>
      </c>
      <c r="L23" s="428">
        <v>8264.4663700000001</v>
      </c>
      <c r="M23" s="428">
        <v>9184.0499999999993</v>
      </c>
      <c r="N23" s="429">
        <v>8438.2508199999993</v>
      </c>
      <c r="O23" s="429">
        <v>8720.7751500000068</v>
      </c>
      <c r="P23" s="429">
        <v>10744.000830000003</v>
      </c>
      <c r="Q23" s="429">
        <v>10795.854293333336</v>
      </c>
    </row>
    <row r="24" spans="1:17" ht="15.95" customHeight="1" x14ac:dyDescent="0.3">
      <c r="A24" s="324" t="s">
        <v>117</v>
      </c>
      <c r="B24" s="326" t="s">
        <v>100</v>
      </c>
      <c r="C24" s="80"/>
      <c r="D24" s="383"/>
      <c r="E24" s="383"/>
      <c r="F24" s="427"/>
      <c r="G24" s="427"/>
      <c r="H24" s="427"/>
      <c r="I24" s="427"/>
      <c r="J24" s="427"/>
      <c r="K24" s="427">
        <v>1728.5260000000001</v>
      </c>
      <c r="L24" s="428">
        <v>1092.625</v>
      </c>
      <c r="M24" s="428">
        <v>934.37</v>
      </c>
      <c r="N24" s="429">
        <v>675.22299999999996</v>
      </c>
      <c r="O24" s="429">
        <v>652.84799999999996</v>
      </c>
      <c r="P24" s="429">
        <v>474.38859999999966</v>
      </c>
      <c r="Q24" s="429">
        <v>249.7383935185168</v>
      </c>
    </row>
    <row r="25" spans="1:17" ht="15.95" customHeight="1" x14ac:dyDescent="0.3">
      <c r="A25" s="324" t="s">
        <v>119</v>
      </c>
      <c r="B25" s="326" t="s">
        <v>120</v>
      </c>
      <c r="C25" s="80"/>
      <c r="D25" s="383"/>
      <c r="E25" s="383"/>
      <c r="F25" s="427"/>
      <c r="G25" s="427"/>
      <c r="H25" s="427"/>
      <c r="I25" s="427"/>
      <c r="J25" s="427"/>
      <c r="K25" s="427">
        <v>27135.012920000001</v>
      </c>
      <c r="L25" s="428">
        <v>27698.428950000001</v>
      </c>
      <c r="M25" s="428">
        <v>27447.69</v>
      </c>
      <c r="N25" s="429">
        <v>27539.4738</v>
      </c>
      <c r="O25" s="429">
        <v>27722.452319999993</v>
      </c>
      <c r="P25" s="429">
        <v>28362.121270000003</v>
      </c>
      <c r="Q25" s="429">
        <v>27598.388134140634</v>
      </c>
    </row>
    <row r="26" spans="1:17" ht="15.95" customHeight="1" x14ac:dyDescent="0.3">
      <c r="A26" s="324" t="s">
        <v>121</v>
      </c>
      <c r="B26" s="326" t="s">
        <v>122</v>
      </c>
      <c r="C26" s="80"/>
      <c r="D26" s="383"/>
      <c r="E26" s="383"/>
      <c r="F26" s="427"/>
      <c r="G26" s="427"/>
      <c r="H26" s="427"/>
      <c r="I26" s="427"/>
      <c r="J26" s="427"/>
      <c r="K26" s="427">
        <v>10181.32699</v>
      </c>
      <c r="L26" s="428">
        <v>10976.88366</v>
      </c>
      <c r="M26" s="428">
        <v>12243.99</v>
      </c>
      <c r="N26" s="429">
        <v>11713.602800000001</v>
      </c>
      <c r="O26" s="429">
        <v>9573.6190979629646</v>
      </c>
      <c r="P26" s="429">
        <v>10803.75760666667</v>
      </c>
      <c r="Q26" s="429">
        <v>10899.014286127765</v>
      </c>
    </row>
    <row r="27" spans="1:17" ht="15.95" customHeight="1" x14ac:dyDescent="0.3">
      <c r="A27" s="324" t="s">
        <v>123</v>
      </c>
      <c r="B27" s="326" t="s">
        <v>124</v>
      </c>
      <c r="C27" s="80"/>
      <c r="D27" s="383"/>
      <c r="E27" s="383"/>
      <c r="F27" s="427"/>
      <c r="G27" s="427"/>
      <c r="H27" s="427"/>
      <c r="I27" s="427"/>
      <c r="J27" s="427"/>
      <c r="K27" s="427">
        <v>25062.40337</v>
      </c>
      <c r="L27" s="428">
        <v>25735.409919999998</v>
      </c>
      <c r="M27" s="428">
        <v>23261.759999999998</v>
      </c>
      <c r="N27" s="429">
        <v>23090.6253</v>
      </c>
      <c r="O27" s="429">
        <v>24723.112493333334</v>
      </c>
      <c r="P27" s="429">
        <v>25749.080225253776</v>
      </c>
      <c r="Q27" s="429">
        <v>28376.686666640639</v>
      </c>
    </row>
    <row r="28" spans="1:17" ht="32.1" customHeight="1" x14ac:dyDescent="0.3">
      <c r="A28" s="639" t="s">
        <v>126</v>
      </c>
      <c r="B28" s="640"/>
      <c r="C28" s="80"/>
      <c r="D28" s="383"/>
      <c r="E28" s="383"/>
      <c r="F28" s="427"/>
      <c r="G28" s="427"/>
      <c r="H28" s="427"/>
      <c r="I28" s="427"/>
      <c r="J28" s="427"/>
      <c r="K28" s="427"/>
      <c r="L28" s="428"/>
      <c r="M28" s="428"/>
      <c r="N28" s="429"/>
      <c r="O28" s="429"/>
      <c r="P28" s="429"/>
      <c r="Q28" s="429"/>
    </row>
    <row r="29" spans="1:17" ht="15.95" customHeight="1" x14ac:dyDescent="0.3">
      <c r="A29" s="324" t="s">
        <v>127</v>
      </c>
      <c r="B29" s="325" t="s">
        <v>128</v>
      </c>
      <c r="C29" s="80"/>
      <c r="D29" s="383"/>
      <c r="E29" s="383"/>
      <c r="F29" s="427"/>
      <c r="G29" s="427"/>
      <c r="H29" s="427"/>
      <c r="I29" s="427"/>
      <c r="J29" s="427"/>
      <c r="K29" s="427">
        <v>5405.1436729999996</v>
      </c>
      <c r="L29" s="428">
        <v>5573.4907059999996</v>
      </c>
      <c r="M29" s="428">
        <v>5693.48</v>
      </c>
      <c r="N29" s="429">
        <v>7130.2812830000003</v>
      </c>
      <c r="O29" s="429">
        <v>6654.6846499999983</v>
      </c>
      <c r="P29" s="429">
        <v>6667.1674800000001</v>
      </c>
      <c r="Q29" s="429">
        <v>5938.6216933333308</v>
      </c>
    </row>
    <row r="30" spans="1:17" ht="15.95" customHeight="1" x14ac:dyDescent="0.3">
      <c r="A30" s="324" t="s">
        <v>129</v>
      </c>
      <c r="B30" s="325" t="s">
        <v>128</v>
      </c>
      <c r="C30" s="80"/>
      <c r="D30" s="383"/>
      <c r="E30" s="383"/>
      <c r="F30" s="427"/>
      <c r="G30" s="427"/>
      <c r="H30" s="427"/>
      <c r="I30" s="427"/>
      <c r="J30" s="427"/>
      <c r="K30" s="427">
        <v>2440.5539699999999</v>
      </c>
      <c r="L30" s="428">
        <v>2565.8738469999998</v>
      </c>
      <c r="M30" s="428">
        <v>3270.98</v>
      </c>
      <c r="N30" s="429">
        <v>2352.8250499999999</v>
      </c>
      <c r="O30" s="429">
        <v>2473.9174618000006</v>
      </c>
      <c r="P30" s="429">
        <v>2726.4694091249994</v>
      </c>
      <c r="Q30" s="429">
        <v>3308.33959</v>
      </c>
    </row>
    <row r="31" spans="1:17" ht="15.95" customHeight="1" x14ac:dyDescent="0.3">
      <c r="A31" s="324" t="s">
        <v>130</v>
      </c>
      <c r="B31" s="325" t="s">
        <v>128</v>
      </c>
      <c r="C31" s="80"/>
      <c r="D31" s="383"/>
      <c r="E31" s="383"/>
      <c r="F31" s="427"/>
      <c r="G31" s="427"/>
      <c r="H31" s="427"/>
      <c r="I31" s="427"/>
      <c r="J31" s="427"/>
      <c r="K31" s="427">
        <v>2846.0770000000002</v>
      </c>
      <c r="L31" s="428">
        <v>2569.2035000000001</v>
      </c>
      <c r="M31" s="428">
        <v>2492.27</v>
      </c>
      <c r="N31" s="429">
        <v>3247.489</v>
      </c>
      <c r="O31" s="429">
        <v>2226.66</v>
      </c>
      <c r="P31" s="429">
        <v>2343.5153333333328</v>
      </c>
      <c r="Q31" s="429">
        <v>2034.3546666666666</v>
      </c>
    </row>
    <row r="32" spans="1:17" ht="15.95" customHeight="1" x14ac:dyDescent="0.3">
      <c r="A32" s="324" t="s">
        <v>131</v>
      </c>
      <c r="B32" s="325" t="s">
        <v>98</v>
      </c>
      <c r="C32" s="80"/>
      <c r="D32" s="383"/>
      <c r="E32" s="383"/>
      <c r="F32" s="427"/>
      <c r="G32" s="427"/>
      <c r="H32" s="427"/>
      <c r="I32" s="427"/>
      <c r="J32" s="427"/>
      <c r="K32" s="427">
        <v>1556.6272100000001</v>
      </c>
      <c r="L32" s="428">
        <v>1366.5215900000001</v>
      </c>
      <c r="M32" s="428">
        <v>1456.67</v>
      </c>
      <c r="N32" s="429">
        <v>1374.3067799999999</v>
      </c>
      <c r="O32" s="429">
        <v>1115.4443088888888</v>
      </c>
      <c r="P32" s="429">
        <v>1028.8592000000001</v>
      </c>
      <c r="Q32" s="429">
        <v>1055.6924299999996</v>
      </c>
    </row>
    <row r="33" spans="1:17" ht="15.95" customHeight="1" x14ac:dyDescent="0.3">
      <c r="A33" s="324" t="s">
        <v>132</v>
      </c>
      <c r="B33" s="325" t="s">
        <v>35</v>
      </c>
      <c r="C33" s="80"/>
      <c r="D33" s="383"/>
      <c r="E33" s="383"/>
      <c r="F33" s="427"/>
      <c r="G33" s="427"/>
      <c r="H33" s="427"/>
      <c r="I33" s="427"/>
      <c r="J33" s="427"/>
      <c r="K33" s="427">
        <v>1267.4849999999999</v>
      </c>
      <c r="L33" s="428">
        <v>1667.0050000000001</v>
      </c>
      <c r="M33" s="428">
        <v>4241.43</v>
      </c>
      <c r="N33" s="429">
        <v>2953.4760000000001</v>
      </c>
      <c r="O33" s="429">
        <v>3615.7840000000001</v>
      </c>
      <c r="P33" s="429">
        <v>4007.891666666666</v>
      </c>
      <c r="Q33" s="429">
        <v>2688.1390000000001</v>
      </c>
    </row>
    <row r="34" spans="1:17" ht="15.95" customHeight="1" x14ac:dyDescent="0.3">
      <c r="A34" s="324" t="s">
        <v>134</v>
      </c>
      <c r="B34" s="325" t="s">
        <v>135</v>
      </c>
      <c r="C34" s="80"/>
      <c r="D34" s="383"/>
      <c r="E34" s="383"/>
      <c r="F34" s="427"/>
      <c r="G34" s="427"/>
      <c r="H34" s="427"/>
      <c r="I34" s="427"/>
      <c r="J34" s="427"/>
      <c r="K34" s="427">
        <v>441.28</v>
      </c>
      <c r="L34" s="428">
        <v>3453.1329999999998</v>
      </c>
      <c r="M34" s="428">
        <v>8884.74</v>
      </c>
      <c r="N34" s="429">
        <v>9124.8083999999999</v>
      </c>
      <c r="O34" s="429">
        <v>8115.0413333333317</v>
      </c>
      <c r="P34" s="429">
        <v>7879.78</v>
      </c>
      <c r="Q34" s="429">
        <v>7631.5</v>
      </c>
    </row>
    <row r="35" spans="1:17" ht="15.95" customHeight="1" x14ac:dyDescent="0.3">
      <c r="A35" s="324" t="s">
        <v>136</v>
      </c>
      <c r="B35" s="325" t="s">
        <v>137</v>
      </c>
      <c r="C35" s="80"/>
      <c r="D35" s="383"/>
      <c r="E35" s="383"/>
      <c r="F35" s="427"/>
      <c r="G35" s="427"/>
      <c r="H35" s="427"/>
      <c r="I35" s="427"/>
      <c r="J35" s="427"/>
      <c r="K35" s="427">
        <v>1805.3130000000001</v>
      </c>
      <c r="L35" s="428">
        <v>1923.0458000000001</v>
      </c>
      <c r="M35" s="428">
        <v>1869.17</v>
      </c>
      <c r="N35" s="429">
        <v>1871.4860000000001</v>
      </c>
      <c r="O35" s="429">
        <v>1898.8820000000001</v>
      </c>
      <c r="P35" s="429">
        <v>2053.0103333333336</v>
      </c>
      <c r="Q35" s="429">
        <v>1146.487276041667</v>
      </c>
    </row>
    <row r="36" spans="1:17" ht="15.95" customHeight="1" x14ac:dyDescent="0.3">
      <c r="A36" s="324" t="s">
        <v>138</v>
      </c>
      <c r="B36" s="325" t="s">
        <v>81</v>
      </c>
      <c r="C36" s="80"/>
      <c r="D36" s="383"/>
      <c r="E36" s="383"/>
      <c r="F36" s="427"/>
      <c r="G36" s="427"/>
      <c r="H36" s="427"/>
      <c r="I36" s="427"/>
      <c r="J36" s="427"/>
      <c r="K36" s="427">
        <v>1240.18055</v>
      </c>
      <c r="L36" s="428">
        <v>1331.4143200000001</v>
      </c>
      <c r="M36" s="428">
        <v>1915.4</v>
      </c>
      <c r="N36" s="429">
        <v>1889.8955000000001</v>
      </c>
      <c r="O36" s="429">
        <v>2109.3106000000002</v>
      </c>
      <c r="P36" s="429">
        <v>2361.5049000000004</v>
      </c>
      <c r="Q36" s="429">
        <v>2232.6057000000001</v>
      </c>
    </row>
    <row r="37" spans="1:17" ht="15.95" customHeight="1" x14ac:dyDescent="0.3">
      <c r="A37" s="324" t="s">
        <v>139</v>
      </c>
      <c r="B37" s="327" t="s">
        <v>140</v>
      </c>
      <c r="C37" s="80"/>
      <c r="D37" s="383"/>
      <c r="E37" s="383"/>
      <c r="F37" s="427"/>
      <c r="G37" s="427"/>
      <c r="H37" s="427"/>
      <c r="I37" s="427"/>
      <c r="J37" s="427"/>
      <c r="K37" s="427">
        <v>2123.7271300000002</v>
      </c>
      <c r="L37" s="428">
        <v>1533.1203559999999</v>
      </c>
      <c r="M37" s="428">
        <v>1400.95</v>
      </c>
      <c r="N37" s="429">
        <v>1597.33167</v>
      </c>
      <c r="O37" s="429">
        <v>1335.5450000000001</v>
      </c>
      <c r="P37" s="429">
        <v>1694.354</v>
      </c>
      <c r="Q37" s="429">
        <v>1513.3539375</v>
      </c>
    </row>
    <row r="38" spans="1:17" ht="15.95" customHeight="1" x14ac:dyDescent="0.3">
      <c r="A38" s="324" t="s">
        <v>141</v>
      </c>
      <c r="B38" s="325" t="s">
        <v>114</v>
      </c>
      <c r="C38" s="80"/>
      <c r="D38" s="383"/>
      <c r="E38" s="383"/>
      <c r="F38" s="427"/>
      <c r="G38" s="427"/>
      <c r="H38" s="427"/>
      <c r="I38" s="427"/>
      <c r="J38" s="427"/>
      <c r="K38" s="427">
        <v>4685.7775000000001</v>
      </c>
      <c r="L38" s="428">
        <v>5860.3195500000002</v>
      </c>
      <c r="M38" s="428">
        <v>6805.71</v>
      </c>
      <c r="N38" s="429">
        <v>7811.9830000000002</v>
      </c>
      <c r="O38" s="429">
        <v>8001.6279999999997</v>
      </c>
      <c r="P38" s="429">
        <v>8602.009</v>
      </c>
      <c r="Q38" s="429">
        <v>8205.5967135416668</v>
      </c>
    </row>
    <row r="39" spans="1:17" ht="15.95" customHeight="1" x14ac:dyDescent="0.3">
      <c r="A39" s="324" t="s">
        <v>142</v>
      </c>
      <c r="B39" s="325" t="s">
        <v>27</v>
      </c>
      <c r="C39" s="80"/>
      <c r="D39" s="383"/>
      <c r="E39" s="383"/>
      <c r="F39" s="427"/>
      <c r="G39" s="427"/>
      <c r="H39" s="427"/>
      <c r="I39" s="427"/>
      <c r="J39" s="427"/>
      <c r="K39" s="427">
        <v>3263.8679999999999</v>
      </c>
      <c r="L39" s="428">
        <v>3439.43</v>
      </c>
      <c r="M39" s="428">
        <v>3541.49</v>
      </c>
      <c r="N39" s="429">
        <v>3482.7759999999998</v>
      </c>
      <c r="O39" s="429">
        <v>2977.1776666666669</v>
      </c>
      <c r="P39" s="429">
        <v>3809.9290000000001</v>
      </c>
      <c r="Q39" s="429">
        <v>2991.6666990740737</v>
      </c>
    </row>
    <row r="40" spans="1:17" ht="15.95" customHeight="1" x14ac:dyDescent="0.3">
      <c r="A40" s="324" t="s">
        <v>143</v>
      </c>
      <c r="B40" s="325" t="s">
        <v>122</v>
      </c>
      <c r="C40" s="80"/>
      <c r="D40" s="383"/>
      <c r="E40" s="383"/>
      <c r="F40" s="427"/>
      <c r="G40" s="427"/>
      <c r="H40" s="427"/>
      <c r="I40" s="427"/>
      <c r="J40" s="427"/>
      <c r="K40" s="427">
        <v>5216.6621100000002</v>
      </c>
      <c r="L40" s="428">
        <v>4163.7077950000003</v>
      </c>
      <c r="M40" s="428">
        <v>4606.82</v>
      </c>
      <c r="N40" s="429">
        <v>4462.4300400000002</v>
      </c>
      <c r="O40" s="429">
        <v>4570.2064</v>
      </c>
      <c r="P40" s="429">
        <v>4717.2979999999998</v>
      </c>
      <c r="Q40" s="429">
        <v>4719.8233205324086</v>
      </c>
    </row>
    <row r="41" spans="1:17" ht="15.95" customHeight="1" x14ac:dyDescent="0.3">
      <c r="A41" s="324" t="s">
        <v>144</v>
      </c>
      <c r="B41" s="325" t="s">
        <v>63</v>
      </c>
      <c r="C41" s="80"/>
      <c r="D41" s="383"/>
      <c r="E41" s="383"/>
      <c r="F41" s="427"/>
      <c r="G41" s="427"/>
      <c r="H41" s="427"/>
      <c r="I41" s="427"/>
      <c r="J41" s="427"/>
      <c r="K41" s="427">
        <v>3882.459112</v>
      </c>
      <c r="L41" s="428">
        <v>4213.5344999999998</v>
      </c>
      <c r="M41" s="428">
        <v>3827.86</v>
      </c>
      <c r="N41" s="429">
        <v>4581.7934999999998</v>
      </c>
      <c r="O41" s="429">
        <v>5101.2166666666662</v>
      </c>
      <c r="P41" s="429">
        <v>4666.6620000000003</v>
      </c>
      <c r="Q41" s="429">
        <v>3793.1204791666669</v>
      </c>
    </row>
    <row r="42" spans="1:17" ht="15.95" customHeight="1" x14ac:dyDescent="0.3">
      <c r="A42" s="324" t="s">
        <v>145</v>
      </c>
      <c r="B42" s="325" t="s">
        <v>27</v>
      </c>
      <c r="C42" s="80"/>
      <c r="D42" s="383"/>
      <c r="E42" s="383"/>
      <c r="F42" s="427"/>
      <c r="G42" s="427"/>
      <c r="H42" s="427"/>
      <c r="I42" s="427"/>
      <c r="J42" s="427"/>
      <c r="K42" s="427">
        <v>3480.35</v>
      </c>
      <c r="L42" s="428">
        <v>3260.24062</v>
      </c>
      <c r="M42" s="428">
        <v>2951.9</v>
      </c>
      <c r="N42" s="429">
        <v>2214.61771</v>
      </c>
      <c r="O42" s="429">
        <v>1951.0715199999995</v>
      </c>
      <c r="P42" s="429">
        <v>1692.0070000000001</v>
      </c>
      <c r="Q42" s="429">
        <v>1296.1679642361123</v>
      </c>
    </row>
    <row r="43" spans="1:17" ht="15.95" customHeight="1" x14ac:dyDescent="0.3">
      <c r="A43" s="324" t="s">
        <v>146</v>
      </c>
      <c r="B43" s="325" t="s">
        <v>147</v>
      </c>
      <c r="C43" s="80"/>
      <c r="D43" s="383"/>
      <c r="E43" s="383"/>
      <c r="F43" s="427"/>
      <c r="G43" s="427"/>
      <c r="H43" s="427"/>
      <c r="I43" s="427"/>
      <c r="J43" s="427"/>
      <c r="K43" s="427">
        <v>9351.1991600000001</v>
      </c>
      <c r="L43" s="428">
        <v>11247.92965</v>
      </c>
      <c r="M43" s="428">
        <v>11129.38</v>
      </c>
      <c r="N43" s="429">
        <v>11083.9458</v>
      </c>
      <c r="O43" s="429">
        <v>10403.251300000002</v>
      </c>
      <c r="P43" s="429">
        <v>10820.062226489837</v>
      </c>
      <c r="Q43" s="429">
        <v>9703.7022237500023</v>
      </c>
    </row>
    <row r="44" spans="1:17" ht="15.95" customHeight="1" x14ac:dyDescent="0.3">
      <c r="A44" s="324" t="s">
        <v>148</v>
      </c>
      <c r="B44" s="325" t="s">
        <v>128</v>
      </c>
      <c r="C44" s="80"/>
      <c r="D44" s="383"/>
      <c r="E44" s="383"/>
      <c r="F44" s="427"/>
      <c r="G44" s="427"/>
      <c r="H44" s="427"/>
      <c r="I44" s="427"/>
      <c r="J44" s="427"/>
      <c r="K44" s="427">
        <v>5080.3628330000001</v>
      </c>
      <c r="L44" s="428">
        <v>5406.5444980000002</v>
      </c>
      <c r="M44" s="428">
        <v>5643.22</v>
      </c>
      <c r="N44" s="429">
        <v>4700.1923299999999</v>
      </c>
      <c r="O44" s="429">
        <v>4808.9399999999996</v>
      </c>
      <c r="P44" s="429">
        <v>4047.683</v>
      </c>
      <c r="Q44" s="429">
        <v>4308.2943680555554</v>
      </c>
    </row>
    <row r="45" spans="1:17" ht="32.1" customHeight="1" x14ac:dyDescent="0.3">
      <c r="A45" s="639" t="s">
        <v>149</v>
      </c>
      <c r="B45" s="640"/>
      <c r="C45" s="80"/>
      <c r="D45" s="383"/>
      <c r="E45" s="383"/>
      <c r="F45" s="427"/>
      <c r="G45" s="427"/>
      <c r="H45" s="427"/>
      <c r="I45" s="427"/>
      <c r="J45" s="427"/>
      <c r="K45" s="427"/>
      <c r="L45" s="428"/>
      <c r="M45" s="428"/>
      <c r="N45" s="429"/>
      <c r="O45" s="429"/>
      <c r="P45" s="429"/>
      <c r="Q45" s="429"/>
    </row>
    <row r="46" spans="1:17" ht="15.95" customHeight="1" x14ac:dyDescent="0.3">
      <c r="A46" s="324" t="s">
        <v>150</v>
      </c>
      <c r="B46" s="325" t="s">
        <v>151</v>
      </c>
      <c r="C46" s="80"/>
      <c r="D46" s="383"/>
      <c r="E46" s="383"/>
      <c r="F46" s="427"/>
      <c r="G46" s="427"/>
      <c r="H46" s="427"/>
      <c r="I46" s="427"/>
      <c r="J46" s="427"/>
      <c r="K46" s="427">
        <v>1659.1769999999999</v>
      </c>
      <c r="L46" s="428">
        <v>1536.7175</v>
      </c>
      <c r="M46" s="428">
        <v>1664.8</v>
      </c>
      <c r="N46" s="429">
        <v>1412.2736500000001</v>
      </c>
      <c r="O46" s="429">
        <v>1309.4192499999995</v>
      </c>
      <c r="P46" s="429">
        <v>1434.97748</v>
      </c>
      <c r="Q46" s="429">
        <v>1564.2099184027779</v>
      </c>
    </row>
    <row r="47" spans="1:17" ht="15.95" customHeight="1" x14ac:dyDescent="0.3">
      <c r="A47" s="324" t="s">
        <v>152</v>
      </c>
      <c r="B47" s="325" t="s">
        <v>76</v>
      </c>
      <c r="C47" s="80"/>
      <c r="D47" s="383"/>
      <c r="E47" s="383"/>
      <c r="F47" s="427"/>
      <c r="G47" s="427"/>
      <c r="H47" s="427"/>
      <c r="I47" s="427"/>
      <c r="J47" s="427"/>
      <c r="K47" s="427">
        <v>731.89099999999996</v>
      </c>
      <c r="L47" s="428">
        <v>379.86799999999999</v>
      </c>
      <c r="M47" s="428">
        <v>367.09</v>
      </c>
      <c r="N47" s="429">
        <v>305.5507753</v>
      </c>
      <c r="O47" s="429">
        <v>946.7699259259258</v>
      </c>
      <c r="P47" s="429">
        <v>568.21100000000001</v>
      </c>
      <c r="Q47" s="429">
        <v>573.70376954732512</v>
      </c>
    </row>
    <row r="48" spans="1:17" ht="15.95" customHeight="1" x14ac:dyDescent="0.3">
      <c r="A48" s="324" t="s">
        <v>153</v>
      </c>
      <c r="B48" s="325" t="s">
        <v>100</v>
      </c>
      <c r="C48" s="80"/>
      <c r="D48" s="383"/>
      <c r="E48" s="383"/>
      <c r="F48" s="427"/>
      <c r="G48" s="427"/>
      <c r="H48" s="427"/>
      <c r="I48" s="427"/>
      <c r="J48" s="427"/>
      <c r="K48" s="427">
        <v>654.68451300000004</v>
      </c>
      <c r="L48" s="428">
        <v>609.62983499999996</v>
      </c>
      <c r="M48" s="428">
        <v>567.87</v>
      </c>
      <c r="N48" s="429">
        <v>493.93400000000003</v>
      </c>
      <c r="O48" s="429">
        <v>579.90174999999999</v>
      </c>
      <c r="P48" s="429">
        <v>578.07950000000005</v>
      </c>
      <c r="Q48" s="429">
        <v>550.73983333333342</v>
      </c>
    </row>
    <row r="49" spans="1:17" ht="15.95" customHeight="1" x14ac:dyDescent="0.3">
      <c r="A49" s="324" t="s">
        <v>154</v>
      </c>
      <c r="B49" s="325" t="s">
        <v>155</v>
      </c>
      <c r="C49" s="80"/>
      <c r="D49" s="383"/>
      <c r="E49" s="383"/>
      <c r="F49" s="427"/>
      <c r="G49" s="427"/>
      <c r="H49" s="427"/>
      <c r="I49" s="427"/>
      <c r="J49" s="427"/>
      <c r="K49" s="427">
        <v>1028.0835</v>
      </c>
      <c r="L49" s="428">
        <v>1195.913</v>
      </c>
      <c r="M49" s="428">
        <v>1303.04</v>
      </c>
      <c r="N49" s="429">
        <v>1386.2605000000001</v>
      </c>
      <c r="O49" s="429">
        <v>1709.652</v>
      </c>
      <c r="P49" s="429">
        <v>1748.375</v>
      </c>
      <c r="Q49" s="429">
        <v>1291.2732968749999</v>
      </c>
    </row>
    <row r="50" spans="1:17" ht="15.95" customHeight="1" x14ac:dyDescent="0.3">
      <c r="A50" s="324" t="s">
        <v>156</v>
      </c>
      <c r="B50" s="325" t="s">
        <v>35</v>
      </c>
      <c r="C50" s="80"/>
      <c r="D50" s="383"/>
      <c r="E50" s="383"/>
      <c r="F50" s="427"/>
      <c r="G50" s="427"/>
      <c r="H50" s="427"/>
      <c r="I50" s="427"/>
      <c r="J50" s="427"/>
      <c r="K50" s="427">
        <v>748.07114000000001</v>
      </c>
      <c r="L50" s="428">
        <v>423.45362999999998</v>
      </c>
      <c r="M50" s="428">
        <v>480.23</v>
      </c>
      <c r="N50" s="429">
        <v>113.22937</v>
      </c>
      <c r="O50" s="429">
        <v>296.77266999999995</v>
      </c>
      <c r="P50" s="429">
        <v>447.36978333333275</v>
      </c>
      <c r="Q50" s="429">
        <v>153.86324851851865</v>
      </c>
    </row>
    <row r="51" spans="1:17" ht="15.95" customHeight="1" x14ac:dyDescent="0.3">
      <c r="A51" s="324" t="s">
        <v>157</v>
      </c>
      <c r="B51" s="325" t="s">
        <v>81</v>
      </c>
      <c r="C51" s="80"/>
      <c r="D51" s="383"/>
      <c r="E51" s="383"/>
      <c r="F51" s="427"/>
      <c r="G51" s="427"/>
      <c r="H51" s="427"/>
      <c r="I51" s="427"/>
      <c r="J51" s="427"/>
      <c r="K51" s="427">
        <v>4862.6413659999998</v>
      </c>
      <c r="L51" s="428">
        <v>4401.8329999999996</v>
      </c>
      <c r="M51" s="428">
        <v>4413.33</v>
      </c>
      <c r="N51" s="429">
        <v>4016.7838299999999</v>
      </c>
      <c r="O51" s="429">
        <v>4080.91</v>
      </c>
      <c r="P51" s="429">
        <v>4400.5642222222223</v>
      </c>
      <c r="Q51" s="429">
        <v>4211.1888967978393</v>
      </c>
    </row>
    <row r="52" spans="1:17" ht="15.95" customHeight="1" x14ac:dyDescent="0.3">
      <c r="A52" s="324" t="s">
        <v>158</v>
      </c>
      <c r="B52" s="325" t="s">
        <v>81</v>
      </c>
      <c r="C52" s="80"/>
      <c r="D52" s="383"/>
      <c r="E52" s="383"/>
      <c r="F52" s="427"/>
      <c r="G52" s="427"/>
      <c r="H52" s="427"/>
      <c r="I52" s="427"/>
      <c r="J52" s="427"/>
      <c r="K52" s="427">
        <v>588.13199999999995</v>
      </c>
      <c r="L52" s="428">
        <v>627.48098440000001</v>
      </c>
      <c r="M52" s="428">
        <v>1058.08</v>
      </c>
      <c r="N52" s="429">
        <v>1068.9110000000001</v>
      </c>
      <c r="O52" s="429">
        <v>1993.2954999999999</v>
      </c>
      <c r="P52" s="429">
        <v>2168.8649999999998</v>
      </c>
      <c r="Q52" s="429">
        <v>1194.6213633333332</v>
      </c>
    </row>
    <row r="53" spans="1:17" ht="15.95" customHeight="1" x14ac:dyDescent="0.3">
      <c r="A53" s="324" t="s">
        <v>159</v>
      </c>
      <c r="B53" s="325" t="s">
        <v>122</v>
      </c>
      <c r="C53" s="80"/>
      <c r="D53" s="383"/>
      <c r="E53" s="383"/>
      <c r="F53" s="427"/>
      <c r="G53" s="427"/>
      <c r="H53" s="427"/>
      <c r="I53" s="427"/>
      <c r="J53" s="427"/>
      <c r="K53" s="427">
        <v>70.772999999999996</v>
      </c>
      <c r="L53" s="428">
        <v>81.173469409999996</v>
      </c>
      <c r="M53" s="428">
        <v>65.44</v>
      </c>
      <c r="N53" s="429">
        <v>47.652000000000001</v>
      </c>
      <c r="O53" s="429">
        <v>438.97313000000003</v>
      </c>
      <c r="P53" s="429">
        <v>1507.0251600000004</v>
      </c>
      <c r="Q53" s="429">
        <v>341.52789856770835</v>
      </c>
    </row>
    <row r="54" spans="1:17" ht="15.95" customHeight="1" x14ac:dyDescent="0.3">
      <c r="A54" s="324" t="s">
        <v>160</v>
      </c>
      <c r="B54" s="325" t="s">
        <v>155</v>
      </c>
      <c r="C54" s="80"/>
      <c r="D54" s="383"/>
      <c r="E54" s="383"/>
      <c r="F54" s="427"/>
      <c r="G54" s="427"/>
      <c r="H54" s="427"/>
      <c r="I54" s="427"/>
      <c r="J54" s="427"/>
      <c r="K54" s="427">
        <v>346.88105999999999</v>
      </c>
      <c r="L54" s="428">
        <v>280.98291</v>
      </c>
      <c r="M54" s="428">
        <v>390.3</v>
      </c>
      <c r="N54" s="429">
        <v>291.41000000000003</v>
      </c>
      <c r="O54" s="429">
        <v>320.32430000000028</v>
      </c>
      <c r="P54" s="429">
        <v>564.87830000000008</v>
      </c>
      <c r="Q54" s="429">
        <v>704.46299999999997</v>
      </c>
    </row>
    <row r="55" spans="1:17" ht="15.95" customHeight="1" x14ac:dyDescent="0.3">
      <c r="A55" s="324" t="s">
        <v>161</v>
      </c>
      <c r="B55" s="325" t="s">
        <v>100</v>
      </c>
      <c r="C55" s="80"/>
      <c r="D55" s="383"/>
      <c r="E55" s="383"/>
      <c r="F55" s="427"/>
      <c r="G55" s="427"/>
      <c r="H55" s="427"/>
      <c r="I55" s="427"/>
      <c r="J55" s="427"/>
      <c r="K55" s="427">
        <v>68.572000000000003</v>
      </c>
      <c r="L55" s="421" t="s">
        <v>238</v>
      </c>
      <c r="M55" s="428">
        <v>139.35</v>
      </c>
      <c r="N55" s="429">
        <v>135.83258699999999</v>
      </c>
      <c r="O55" s="429">
        <v>149.60126</v>
      </c>
      <c r="P55" s="429">
        <v>135.87771999999973</v>
      </c>
      <c r="Q55" s="429">
        <v>121.42205333333276</v>
      </c>
    </row>
    <row r="56" spans="1:17" ht="15.95" customHeight="1" x14ac:dyDescent="0.3">
      <c r="A56" s="324" t="s">
        <v>162</v>
      </c>
      <c r="B56" s="329" t="s">
        <v>163</v>
      </c>
      <c r="C56" s="80"/>
      <c r="D56" s="383"/>
      <c r="E56" s="383"/>
      <c r="F56" s="427"/>
      <c r="G56" s="427"/>
      <c r="H56" s="427"/>
      <c r="I56" s="427"/>
      <c r="J56" s="427"/>
      <c r="K56" s="427">
        <v>363.97626159999999</v>
      </c>
      <c r="L56" s="428">
        <v>187.12187800000001</v>
      </c>
      <c r="M56" s="428">
        <v>276.25</v>
      </c>
      <c r="N56" s="429">
        <v>424.00137999999998</v>
      </c>
      <c r="O56" s="429">
        <v>470.64819999999997</v>
      </c>
      <c r="P56" s="429">
        <v>484.38123999999999</v>
      </c>
      <c r="Q56" s="429">
        <v>395.36668998628272</v>
      </c>
    </row>
    <row r="57" spans="1:17" ht="15.95" customHeight="1" x14ac:dyDescent="0.3">
      <c r="A57" s="324" t="s">
        <v>164</v>
      </c>
      <c r="B57" s="325" t="s">
        <v>100</v>
      </c>
      <c r="C57" s="80"/>
      <c r="D57" s="383"/>
      <c r="E57" s="383"/>
      <c r="F57" s="427"/>
      <c r="G57" s="427"/>
      <c r="H57" s="427"/>
      <c r="I57" s="427"/>
      <c r="J57" s="427"/>
      <c r="K57" s="427">
        <v>256.23099999999999</v>
      </c>
      <c r="L57" s="428">
        <v>250.9889</v>
      </c>
      <c r="M57" s="428">
        <v>174.47</v>
      </c>
      <c r="N57" s="429">
        <v>188.17062200000001</v>
      </c>
      <c r="O57" s="429">
        <v>123.61960000000009</v>
      </c>
      <c r="P57" s="429">
        <v>132.191</v>
      </c>
      <c r="Q57" s="429">
        <v>140.40279999999981</v>
      </c>
    </row>
    <row r="58" spans="1:17" ht="15.95" customHeight="1" x14ac:dyDescent="0.3">
      <c r="A58" s="324" t="s">
        <v>165</v>
      </c>
      <c r="B58" s="325" t="s">
        <v>122</v>
      </c>
      <c r="C58" s="80"/>
      <c r="D58" s="383"/>
      <c r="E58" s="383"/>
      <c r="F58" s="427"/>
      <c r="G58" s="427"/>
      <c r="H58" s="427"/>
      <c r="I58" s="427"/>
      <c r="J58" s="427"/>
      <c r="K58" s="427">
        <v>1938.4019499999999</v>
      </c>
      <c r="L58" s="428">
        <v>1809.8765599999999</v>
      </c>
      <c r="M58" s="428">
        <v>1958.95</v>
      </c>
      <c r="N58" s="429">
        <v>1931.60653</v>
      </c>
      <c r="O58" s="429">
        <v>1823.6961966666663</v>
      </c>
      <c r="P58" s="429">
        <v>1979.8881799999997</v>
      </c>
      <c r="Q58" s="429">
        <v>1978.9588409857251</v>
      </c>
    </row>
    <row r="59" spans="1:17" ht="15.95" customHeight="1" x14ac:dyDescent="0.3">
      <c r="A59" s="324" t="s">
        <v>166</v>
      </c>
      <c r="B59" s="325" t="s">
        <v>155</v>
      </c>
      <c r="C59" s="80"/>
      <c r="D59" s="383"/>
      <c r="E59" s="383"/>
      <c r="F59" s="427"/>
      <c r="G59" s="427"/>
      <c r="H59" s="427"/>
      <c r="I59" s="427"/>
      <c r="J59" s="427"/>
      <c r="K59" s="427">
        <v>421.21800000000002</v>
      </c>
      <c r="L59" s="428">
        <v>425.005</v>
      </c>
      <c r="M59" s="428">
        <v>605.99</v>
      </c>
      <c r="N59" s="429">
        <v>767.61405999999999</v>
      </c>
      <c r="O59" s="429">
        <v>810.3188200000003</v>
      </c>
      <c r="P59" s="429">
        <v>720.94</v>
      </c>
      <c r="Q59" s="429">
        <v>735.24379999999985</v>
      </c>
    </row>
    <row r="60" spans="1:17" ht="15.95" customHeight="1" x14ac:dyDescent="0.3">
      <c r="A60" s="330" t="s">
        <v>167</v>
      </c>
      <c r="B60" s="331" t="s">
        <v>98</v>
      </c>
      <c r="C60" s="430"/>
      <c r="D60" s="431"/>
      <c r="E60" s="431"/>
      <c r="F60" s="432"/>
      <c r="G60" s="432"/>
      <c r="H60" s="432"/>
      <c r="I60" s="432"/>
      <c r="J60" s="432"/>
      <c r="K60" s="432">
        <v>363.51299999999998</v>
      </c>
      <c r="L60" s="433">
        <v>1102.873</v>
      </c>
      <c r="M60" s="433">
        <v>820.92</v>
      </c>
      <c r="N60" s="434">
        <v>943.79100000000005</v>
      </c>
      <c r="O60" s="434">
        <v>1048.7470000000001</v>
      </c>
      <c r="P60" s="434">
        <v>1044.0930000000001</v>
      </c>
      <c r="Q60" s="434">
        <v>1042.29632510288</v>
      </c>
    </row>
    <row r="61" spans="1:17" s="147" customFormat="1" ht="12" customHeight="1" x14ac:dyDescent="0.25">
      <c r="A61" s="147" t="s">
        <v>372</v>
      </c>
      <c r="G61" s="148"/>
    </row>
    <row r="62" spans="1:17" s="10" customFormat="1" ht="12" customHeight="1" x14ac:dyDescent="0.25">
      <c r="A62" s="146" t="s">
        <v>168</v>
      </c>
      <c r="B62" s="146"/>
      <c r="C62" s="146"/>
      <c r="D62" s="149"/>
      <c r="E62" s="149"/>
      <c r="F62" s="149"/>
      <c r="G62" s="150"/>
      <c r="H62" s="149"/>
      <c r="I62" s="149"/>
      <c r="J62" s="149"/>
      <c r="K62" s="149"/>
      <c r="L62" s="149"/>
      <c r="M62" s="149"/>
      <c r="N62" s="149"/>
    </row>
  </sheetData>
  <mergeCells count="6">
    <mergeCell ref="A45:B45"/>
    <mergeCell ref="A1:Q1"/>
    <mergeCell ref="A2:Q2"/>
    <mergeCell ref="A7:B7"/>
    <mergeCell ref="A9:B9"/>
    <mergeCell ref="A28:B28"/>
  </mergeCells>
  <conditionalFormatting sqref="A4">
    <cfRule type="cellIs" dxfId="28" priority="20" stopIfTrue="1" operator="equal">
      <formula>"S.I."</formula>
    </cfRule>
  </conditionalFormatting>
  <conditionalFormatting sqref="C4">
    <cfRule type="cellIs" dxfId="27" priority="18" stopIfTrue="1" operator="equal">
      <formula>"S.I."</formula>
    </cfRule>
  </conditionalFormatting>
  <conditionalFormatting sqref="B4">
    <cfRule type="cellIs" dxfId="26" priority="19" stopIfTrue="1" operator="equal">
      <formula>"S.I."</formula>
    </cfRule>
  </conditionalFormatting>
  <conditionalFormatting sqref="C8">
    <cfRule type="cellIs" dxfId="25" priority="8" stopIfTrue="1" operator="equal">
      <formula>"S.I."</formula>
    </cfRule>
  </conditionalFormatting>
  <conditionalFormatting sqref="C9">
    <cfRule type="cellIs" dxfId="24" priority="7" stopIfTrue="1" operator="equal">
      <formula>"S.I."</formula>
    </cfRule>
  </conditionalFormatting>
  <conditionalFormatting sqref="C10">
    <cfRule type="cellIs" dxfId="23" priority="6" stopIfTrue="1" operator="equal">
      <formula>"S.I."</formula>
    </cfRule>
  </conditionalFormatting>
  <conditionalFormatting sqref="C11">
    <cfRule type="cellIs" dxfId="22" priority="5" stopIfTrue="1" operator="equal">
      <formula>"S.I."</formula>
    </cfRule>
  </conditionalFormatting>
  <conditionalFormatting sqref="C12">
    <cfRule type="cellIs" dxfId="21" priority="4" stopIfTrue="1" operator="equal">
      <formula>"S.I."</formula>
    </cfRule>
  </conditionalFormatting>
  <conditionalFormatting sqref="C13">
    <cfRule type="cellIs" dxfId="20" priority="3" stopIfTrue="1" operator="equal">
      <formula>"S.I."</formula>
    </cfRule>
  </conditionalFormatting>
  <conditionalFormatting sqref="C14">
    <cfRule type="cellIs" dxfId="19" priority="2" stopIfTrue="1" operator="equal">
      <formula>"S.I."</formula>
    </cfRule>
  </conditionalFormatting>
  <conditionalFormatting sqref="C15:C60">
    <cfRule type="cellIs" dxfId="18" priority="1" stopIfTrue="1" operator="equal">
      <formula>"S.I."</formula>
    </cfRule>
  </conditionalFormatting>
  <printOptions horizontalCentered="1"/>
  <pageMargins left="0.70866141732283472" right="0.51181102362204722" top="0.35433070866141736" bottom="0.35433070866141736" header="0.31496062992125984" footer="0.31496062992125984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J50"/>
  <sheetViews>
    <sheetView showGridLines="0" zoomScaleNormal="100" workbookViewId="0">
      <selection activeCell="F3" sqref="A3:XFD3"/>
    </sheetView>
  </sheetViews>
  <sheetFormatPr baseColWidth="10" defaultColWidth="11" defaultRowHeight="12.75" customHeight="1" x14ac:dyDescent="0.25"/>
  <cols>
    <col min="1" max="1" width="15.7109375" style="44" customWidth="1"/>
    <col min="2" max="2" width="11.28515625" style="84" customWidth="1"/>
    <col min="3" max="3" width="1.7109375" style="85" customWidth="1"/>
    <col min="4" max="5" width="15.85546875" style="85" customWidth="1"/>
    <col min="6" max="6" width="1.7109375" style="85" customWidth="1"/>
    <col min="7" max="7" width="11.28515625" style="86" customWidth="1"/>
    <col min="8" max="8" width="1.7109375" style="86" customWidth="1"/>
    <col min="9" max="10" width="15.85546875" style="86" customWidth="1"/>
    <col min="11" max="24" width="9.28515625" style="46" customWidth="1"/>
    <col min="25" max="16384" width="11" style="46"/>
  </cols>
  <sheetData>
    <row r="1" spans="1:10" s="47" customFormat="1" ht="12.75" customHeight="1" x14ac:dyDescent="0.25">
      <c r="A1" s="641" t="s">
        <v>428</v>
      </c>
      <c r="B1" s="641"/>
      <c r="C1" s="641"/>
      <c r="D1" s="641"/>
      <c r="E1" s="641"/>
      <c r="F1" s="641"/>
      <c r="G1" s="641"/>
      <c r="H1" s="641"/>
      <c r="I1" s="641"/>
      <c r="J1" s="641"/>
    </row>
    <row r="2" spans="1:10" ht="12.75" customHeight="1" x14ac:dyDescent="0.25">
      <c r="A2" s="187"/>
      <c r="B2" s="185"/>
      <c r="C2" s="36"/>
      <c r="D2" s="36"/>
      <c r="E2" s="36"/>
      <c r="F2" s="36"/>
      <c r="G2" s="436"/>
      <c r="H2" s="436"/>
      <c r="I2" s="436"/>
      <c r="J2" s="436"/>
    </row>
    <row r="3" spans="1:10" ht="21.95" customHeight="1" x14ac:dyDescent="0.25">
      <c r="A3" s="676" t="s">
        <v>189</v>
      </c>
      <c r="B3" s="677" t="s">
        <v>3</v>
      </c>
      <c r="C3" s="659"/>
      <c r="D3" s="651" t="s">
        <v>427</v>
      </c>
      <c r="E3" s="651"/>
      <c r="F3" s="397"/>
      <c r="G3" s="678" t="s">
        <v>3</v>
      </c>
      <c r="H3" s="679"/>
      <c r="I3" s="651" t="s">
        <v>417</v>
      </c>
      <c r="J3" s="651"/>
    </row>
    <row r="4" spans="1:10" ht="18" customHeight="1" x14ac:dyDescent="0.25">
      <c r="A4" s="676"/>
      <c r="B4" s="677"/>
      <c r="C4" s="667"/>
      <c r="D4" s="311" t="s">
        <v>425</v>
      </c>
      <c r="E4" s="311" t="s">
        <v>426</v>
      </c>
      <c r="F4" s="311"/>
      <c r="G4" s="678"/>
      <c r="H4" s="680"/>
      <c r="I4" s="311" t="s">
        <v>425</v>
      </c>
      <c r="J4" s="311" t="s">
        <v>426</v>
      </c>
    </row>
    <row r="5" spans="1:10" ht="3" customHeight="1" x14ac:dyDescent="0.25">
      <c r="A5" s="382"/>
      <c r="B5" s="386"/>
      <c r="C5" s="386"/>
      <c r="D5" s="84"/>
      <c r="E5" s="386"/>
      <c r="F5" s="386"/>
      <c r="G5" s="69"/>
      <c r="H5" s="69"/>
      <c r="I5" s="69"/>
      <c r="J5" s="69"/>
    </row>
    <row r="6" spans="1:10" ht="15.95" customHeight="1" x14ac:dyDescent="0.25">
      <c r="A6" s="382">
        <v>2012</v>
      </c>
      <c r="B6" s="386">
        <v>13375</v>
      </c>
      <c r="C6" s="46"/>
      <c r="D6" s="386">
        <v>705.18367000000012</v>
      </c>
      <c r="E6" s="386">
        <v>12669.636782000001</v>
      </c>
      <c r="F6" s="84"/>
      <c r="G6" s="386">
        <f>++I6+J6</f>
        <v>11986.747563999999</v>
      </c>
      <c r="H6" s="84"/>
      <c r="I6" s="386">
        <v>867.40407000000005</v>
      </c>
      <c r="J6" s="386">
        <v>11119.343493999999</v>
      </c>
    </row>
    <row r="7" spans="1:10" ht="15.95" customHeight="1" x14ac:dyDescent="0.25">
      <c r="A7" s="382">
        <v>2013</v>
      </c>
      <c r="B7" s="386">
        <v>13626</v>
      </c>
      <c r="C7" s="46"/>
      <c r="D7" s="386">
        <v>710.35781999999995</v>
      </c>
      <c r="E7" s="386">
        <v>12915.521602000001</v>
      </c>
      <c r="F7" s="84"/>
      <c r="G7" s="386">
        <f t="shared" ref="G7:G15" si="0">++I7+J7</f>
        <v>12244.470034</v>
      </c>
      <c r="H7" s="84"/>
      <c r="I7" s="386">
        <v>884.98252000000002</v>
      </c>
      <c r="J7" s="386">
        <v>11359.487514</v>
      </c>
    </row>
    <row r="8" spans="1:10" ht="15.95" customHeight="1" x14ac:dyDescent="0.25">
      <c r="A8" s="382">
        <v>2014</v>
      </c>
      <c r="B8" s="386">
        <v>13915</v>
      </c>
      <c r="C8" s="46"/>
      <c r="D8" s="386">
        <v>708.86095999999998</v>
      </c>
      <c r="E8" s="386">
        <v>13206.397862</v>
      </c>
      <c r="F8" s="84"/>
      <c r="G8" s="386">
        <f t="shared" si="0"/>
        <v>12560.917684</v>
      </c>
      <c r="H8" s="84"/>
      <c r="I8" s="386">
        <v>917.82269999999994</v>
      </c>
      <c r="J8" s="386">
        <v>11643.094983999999</v>
      </c>
    </row>
    <row r="9" spans="1:10" ht="15.95" customHeight="1" x14ac:dyDescent="0.25">
      <c r="A9" s="382">
        <v>2015</v>
      </c>
      <c r="B9" s="386">
        <v>14360</v>
      </c>
      <c r="C9" s="46"/>
      <c r="D9" s="386">
        <v>726.12323000000015</v>
      </c>
      <c r="E9" s="386">
        <v>13634.370231999999</v>
      </c>
      <c r="F9" s="84"/>
      <c r="G9" s="386">
        <f t="shared" si="0"/>
        <v>13006.010254000001</v>
      </c>
      <c r="H9" s="84"/>
      <c r="I9" s="386">
        <v>935.68444</v>
      </c>
      <c r="J9" s="386">
        <v>12070.325814</v>
      </c>
    </row>
    <row r="10" spans="1:10" ht="15.95" customHeight="1" x14ac:dyDescent="0.25">
      <c r="A10" s="382">
        <v>2016</v>
      </c>
      <c r="B10" s="386">
        <v>14365.570132000003</v>
      </c>
      <c r="C10" s="46"/>
      <c r="D10" s="386">
        <v>727.73365000000013</v>
      </c>
      <c r="E10" s="386">
        <v>13637.836482000002</v>
      </c>
      <c r="F10" s="84"/>
      <c r="G10" s="386">
        <f t="shared" si="0"/>
        <v>12987.612053999999</v>
      </c>
      <c r="H10" s="84"/>
      <c r="I10" s="386">
        <v>934.22413000000006</v>
      </c>
      <c r="J10" s="386">
        <v>12053.387923999999</v>
      </c>
    </row>
    <row r="11" spans="1:10" ht="15.95" customHeight="1" x14ac:dyDescent="0.25">
      <c r="A11" s="382">
        <v>2017</v>
      </c>
      <c r="B11" s="386">
        <v>14619</v>
      </c>
      <c r="C11" s="46"/>
      <c r="D11" s="386">
        <v>754.88494000000003</v>
      </c>
      <c r="E11" s="386">
        <v>13864.508272000003</v>
      </c>
      <c r="F11" s="84"/>
      <c r="G11" s="386">
        <f t="shared" si="0"/>
        <v>13246.601453999998</v>
      </c>
      <c r="H11" s="84"/>
      <c r="I11" s="386">
        <v>937.66753999999992</v>
      </c>
      <c r="J11" s="386">
        <v>12308.933913999997</v>
      </c>
    </row>
    <row r="12" spans="1:10" ht="15.95" customHeight="1" x14ac:dyDescent="0.25">
      <c r="A12" s="382">
        <v>2018</v>
      </c>
      <c r="B12" s="386">
        <v>14772</v>
      </c>
      <c r="C12" s="46"/>
      <c r="D12" s="386">
        <v>755.49648000000002</v>
      </c>
      <c r="E12" s="386">
        <v>14016.632460000001</v>
      </c>
      <c r="F12" s="84"/>
      <c r="G12" s="386">
        <f t="shared" si="0"/>
        <v>13408.49627</v>
      </c>
      <c r="H12" s="84"/>
      <c r="I12" s="386">
        <v>941.66282999999999</v>
      </c>
      <c r="J12" s="386">
        <v>12466.83344</v>
      </c>
    </row>
    <row r="13" spans="1:10" ht="15.95" customHeight="1" x14ac:dyDescent="0.25">
      <c r="A13" s="382">
        <v>2019</v>
      </c>
      <c r="B13" s="386">
        <v>15237</v>
      </c>
      <c r="C13" s="46"/>
      <c r="D13" s="386">
        <v>781.14088000000004</v>
      </c>
      <c r="E13" s="386">
        <v>14456.009910000001</v>
      </c>
      <c r="F13" s="84"/>
      <c r="G13" s="386">
        <f t="shared" si="0"/>
        <v>13837.446520000001</v>
      </c>
      <c r="H13" s="84"/>
      <c r="I13" s="386">
        <v>971.43714</v>
      </c>
      <c r="J13" s="386">
        <v>12866.009380000001</v>
      </c>
    </row>
    <row r="14" spans="1:10" ht="15.95" customHeight="1" x14ac:dyDescent="0.25">
      <c r="A14" s="382">
        <v>2020</v>
      </c>
      <c r="B14" s="386">
        <v>15600</v>
      </c>
      <c r="C14" s="46"/>
      <c r="D14" s="386">
        <v>784.0675</v>
      </c>
      <c r="E14" s="386">
        <v>14815.64214</v>
      </c>
      <c r="F14" s="84"/>
      <c r="G14" s="386">
        <f t="shared" si="0"/>
        <v>14166.146269999999</v>
      </c>
      <c r="H14" s="84"/>
      <c r="I14" s="386">
        <v>1043.92211</v>
      </c>
      <c r="J14" s="386">
        <v>13122.22416</v>
      </c>
    </row>
    <row r="15" spans="1:10" ht="15.95" customHeight="1" x14ac:dyDescent="0.25">
      <c r="A15" s="398">
        <v>2021</v>
      </c>
      <c r="B15" s="412">
        <v>15524</v>
      </c>
      <c r="C15" s="437"/>
      <c r="D15" s="413">
        <v>783.94792000000007</v>
      </c>
      <c r="E15" s="413">
        <v>14739.917220000001</v>
      </c>
      <c r="F15" s="438"/>
      <c r="G15" s="413">
        <f t="shared" si="0"/>
        <v>14173.62608</v>
      </c>
      <c r="H15" s="438"/>
      <c r="I15" s="413">
        <v>1053.4313999999999</v>
      </c>
      <c r="J15" s="413">
        <v>13120.194680000001</v>
      </c>
    </row>
    <row r="16" spans="1:10" s="7" customFormat="1" ht="12" customHeight="1" x14ac:dyDescent="0.25">
      <c r="A16" s="13" t="s">
        <v>230</v>
      </c>
      <c r="B16" s="145"/>
      <c r="C16" s="145"/>
      <c r="D16" s="36"/>
      <c r="E16" s="151"/>
      <c r="F16" s="145"/>
      <c r="G16" s="152"/>
      <c r="H16" s="152"/>
      <c r="I16" s="152"/>
      <c r="J16" s="152"/>
    </row>
    <row r="17" spans="1:6" ht="12.75" customHeight="1" x14ac:dyDescent="0.25">
      <c r="A17" s="46"/>
      <c r="B17" s="90"/>
      <c r="C17" s="90"/>
      <c r="D17" s="91"/>
      <c r="E17" s="91"/>
      <c r="F17" s="90"/>
    </row>
    <row r="18" spans="1:6" ht="12.75" customHeight="1" x14ac:dyDescent="0.25">
      <c r="A18" s="46"/>
      <c r="B18" s="90"/>
      <c r="C18" s="90"/>
      <c r="D18" s="92"/>
      <c r="E18" s="91"/>
      <c r="F18" s="90"/>
    </row>
    <row r="19" spans="1:6" ht="12.75" customHeight="1" x14ac:dyDescent="0.25">
      <c r="A19" s="46"/>
      <c r="B19" s="90"/>
      <c r="C19" s="90"/>
      <c r="D19" s="91"/>
      <c r="E19" s="91"/>
      <c r="F19" s="90"/>
    </row>
    <row r="20" spans="1:6" ht="12.75" customHeight="1" x14ac:dyDescent="0.25">
      <c r="A20" s="46"/>
      <c r="B20" s="90"/>
      <c r="C20" s="90"/>
      <c r="D20" s="91"/>
      <c r="E20" s="91"/>
      <c r="F20" s="90"/>
    </row>
    <row r="21" spans="1:6" ht="12.75" customHeight="1" x14ac:dyDescent="0.25">
      <c r="A21" s="46"/>
      <c r="B21" s="90"/>
      <c r="C21" s="90"/>
      <c r="D21" s="91"/>
      <c r="E21" s="91"/>
      <c r="F21" s="90"/>
    </row>
    <row r="22" spans="1:6" ht="12.75" customHeight="1" x14ac:dyDescent="0.25">
      <c r="A22" s="46"/>
      <c r="B22" s="90"/>
      <c r="C22" s="90"/>
      <c r="D22" s="91"/>
      <c r="E22" s="91"/>
      <c r="F22" s="90"/>
    </row>
    <row r="23" spans="1:6" ht="12.75" customHeight="1" x14ac:dyDescent="0.25">
      <c r="A23" s="46"/>
      <c r="B23" s="90"/>
      <c r="C23" s="90"/>
      <c r="D23" s="91"/>
      <c r="E23" s="91"/>
      <c r="F23" s="90"/>
    </row>
    <row r="24" spans="1:6" ht="12.75" customHeight="1" x14ac:dyDescent="0.25">
      <c r="A24" s="46"/>
      <c r="B24" s="90"/>
      <c r="C24" s="90"/>
      <c r="D24" s="91"/>
      <c r="E24" s="91"/>
      <c r="F24" s="90"/>
    </row>
    <row r="25" spans="1:6" ht="12.75" customHeight="1" x14ac:dyDescent="0.25">
      <c r="A25" s="46"/>
      <c r="B25" s="90"/>
      <c r="C25" s="90"/>
      <c r="D25" s="91"/>
      <c r="E25" s="91"/>
      <c r="F25" s="90"/>
    </row>
    <row r="26" spans="1:6" ht="12.75" customHeight="1" x14ac:dyDescent="0.25">
      <c r="A26" s="46"/>
      <c r="B26" s="90"/>
      <c r="C26" s="90"/>
      <c r="D26" s="91"/>
      <c r="E26" s="91"/>
      <c r="F26" s="90"/>
    </row>
    <row r="27" spans="1:6" ht="12.75" customHeight="1" x14ac:dyDescent="0.25">
      <c r="A27" s="46"/>
      <c r="B27" s="90"/>
      <c r="C27" s="90"/>
      <c r="D27" s="91"/>
      <c r="E27" s="91"/>
      <c r="F27" s="90"/>
    </row>
    <row r="28" spans="1:6" ht="12.75" customHeight="1" x14ac:dyDescent="0.25">
      <c r="A28" s="46"/>
      <c r="B28" s="90"/>
      <c r="C28" s="90"/>
      <c r="D28" s="91"/>
      <c r="E28" s="91"/>
      <c r="F28" s="90"/>
    </row>
    <row r="29" spans="1:6" ht="12.75" customHeight="1" x14ac:dyDescent="0.25">
      <c r="A29" s="46"/>
      <c r="B29" s="90"/>
      <c r="C29" s="90"/>
      <c r="D29" s="91"/>
      <c r="E29" s="91"/>
      <c r="F29" s="90"/>
    </row>
    <row r="30" spans="1:6" ht="12.75" customHeight="1" x14ac:dyDescent="0.25">
      <c r="A30" s="46"/>
      <c r="B30" s="90"/>
      <c r="C30" s="90"/>
      <c r="D30" s="91"/>
      <c r="E30" s="91"/>
      <c r="F30" s="90"/>
    </row>
    <row r="31" spans="1:6" ht="12.75" customHeight="1" x14ac:dyDescent="0.25">
      <c r="A31" s="46"/>
      <c r="B31" s="90"/>
      <c r="C31" s="90"/>
      <c r="D31" s="91"/>
      <c r="E31" s="91"/>
      <c r="F31" s="90"/>
    </row>
    <row r="32" spans="1:6" ht="12.75" customHeight="1" x14ac:dyDescent="0.25">
      <c r="A32" s="46"/>
      <c r="B32" s="90"/>
      <c r="C32" s="90"/>
      <c r="D32" s="91"/>
      <c r="E32" s="91"/>
      <c r="F32" s="90"/>
    </row>
    <row r="33" spans="1:10" ht="12.75" customHeight="1" x14ac:dyDescent="0.25">
      <c r="A33" s="46"/>
      <c r="B33" s="90"/>
      <c r="C33" s="90"/>
      <c r="D33" s="91"/>
      <c r="E33" s="91"/>
      <c r="F33" s="90"/>
    </row>
    <row r="34" spans="1:10" ht="12.75" customHeight="1" x14ac:dyDescent="0.25">
      <c r="A34" s="46"/>
      <c r="B34" s="90"/>
      <c r="C34" s="90"/>
      <c r="D34" s="91"/>
      <c r="E34" s="91"/>
      <c r="F34" s="90"/>
    </row>
    <row r="35" spans="1:10" ht="12.75" customHeight="1" x14ac:dyDescent="0.25">
      <c r="A35" s="46"/>
      <c r="B35" s="90"/>
      <c r="C35" s="90"/>
      <c r="D35" s="91"/>
      <c r="E35" s="91"/>
      <c r="F35" s="90"/>
    </row>
    <row r="36" spans="1:10" ht="12.75" customHeight="1" x14ac:dyDescent="0.25">
      <c r="A36" s="46"/>
      <c r="B36" s="90"/>
      <c r="C36" s="90"/>
      <c r="D36" s="91"/>
      <c r="E36" s="91"/>
      <c r="F36" s="90"/>
    </row>
    <row r="37" spans="1:10" ht="12.75" customHeight="1" x14ac:dyDescent="0.25">
      <c r="A37" s="46"/>
      <c r="B37" s="90"/>
      <c r="C37" s="90"/>
      <c r="D37" s="91"/>
      <c r="E37" s="91"/>
      <c r="F37" s="90"/>
    </row>
    <row r="38" spans="1:10" ht="12.75" customHeight="1" x14ac:dyDescent="0.25">
      <c r="A38" s="46"/>
      <c r="B38" s="90"/>
      <c r="C38" s="90"/>
      <c r="D38" s="91"/>
      <c r="E38" s="91"/>
      <c r="F38" s="90"/>
    </row>
    <row r="39" spans="1:10" ht="12.75" customHeight="1" x14ac:dyDescent="0.25">
      <c r="A39" s="46"/>
      <c r="B39" s="90"/>
      <c r="C39" s="90"/>
      <c r="D39" s="91"/>
      <c r="E39" s="91"/>
      <c r="F39" s="90"/>
    </row>
    <row r="40" spans="1:10" ht="12.75" customHeight="1" x14ac:dyDescent="0.25">
      <c r="A40" s="46"/>
      <c r="B40" s="90"/>
      <c r="C40" s="90"/>
      <c r="D40" s="91"/>
      <c r="E40" s="91"/>
      <c r="F40" s="90"/>
    </row>
    <row r="41" spans="1:10" ht="12.75" customHeight="1" x14ac:dyDescent="0.25">
      <c r="A41" s="46"/>
      <c r="B41" s="90"/>
      <c r="C41" s="90"/>
      <c r="D41" s="91"/>
      <c r="E41" s="91"/>
      <c r="F41" s="90"/>
    </row>
    <row r="42" spans="1:10" ht="12.75" customHeight="1" x14ac:dyDescent="0.25">
      <c r="A42" s="46"/>
      <c r="B42" s="90"/>
      <c r="C42" s="90"/>
      <c r="D42" s="91"/>
      <c r="E42" s="91"/>
      <c r="F42" s="90"/>
    </row>
    <row r="43" spans="1:10" ht="12.75" customHeight="1" x14ac:dyDescent="0.25">
      <c r="A43" s="46"/>
      <c r="B43" s="90"/>
      <c r="C43" s="90"/>
      <c r="D43" s="91"/>
      <c r="E43" s="91"/>
      <c r="F43" s="90"/>
    </row>
    <row r="44" spans="1:10" ht="12.75" customHeight="1" x14ac:dyDescent="0.25">
      <c r="A44" s="46"/>
    </row>
    <row r="45" spans="1:10" ht="12.75" customHeight="1" x14ac:dyDescent="0.25">
      <c r="A45" s="46"/>
    </row>
    <row r="46" spans="1:10" ht="12.75" customHeight="1" x14ac:dyDescent="0.25">
      <c r="A46" s="67"/>
    </row>
    <row r="47" spans="1:10" s="98" customFormat="1" ht="12.75" customHeight="1" x14ac:dyDescent="0.25">
      <c r="A47" s="89"/>
      <c r="B47" s="93"/>
      <c r="C47" s="94"/>
      <c r="D47" s="95"/>
      <c r="E47" s="95"/>
      <c r="F47" s="94"/>
      <c r="G47" s="96"/>
      <c r="H47" s="96"/>
      <c r="I47" s="96"/>
      <c r="J47" s="97"/>
    </row>
    <row r="49" spans="2:10" ht="12.75" customHeight="1" x14ac:dyDescent="0.25">
      <c r="B49" s="46"/>
      <c r="C49" s="46"/>
      <c r="D49" s="46"/>
      <c r="E49" s="46"/>
      <c r="F49" s="46"/>
      <c r="G49" s="46"/>
      <c r="H49" s="46"/>
      <c r="I49" s="46"/>
      <c r="J49" s="46"/>
    </row>
    <row r="50" spans="2:10" ht="12.75" customHeight="1" x14ac:dyDescent="0.25">
      <c r="B50" s="46"/>
      <c r="C50" s="46"/>
      <c r="D50" s="46"/>
      <c r="E50" s="46"/>
      <c r="F50" s="46"/>
      <c r="G50" s="46"/>
      <c r="H50" s="46"/>
      <c r="I50" s="46"/>
      <c r="J50" s="46"/>
    </row>
  </sheetData>
  <mergeCells count="8">
    <mergeCell ref="A1:J1"/>
    <mergeCell ref="A3:A4"/>
    <mergeCell ref="B3:B4"/>
    <mergeCell ref="D3:E3"/>
    <mergeCell ref="G3:G4"/>
    <mergeCell ref="I3:J3"/>
    <mergeCell ref="C3:C4"/>
    <mergeCell ref="H3:H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60"/>
  <sheetViews>
    <sheetView showGridLines="0" zoomScaleNormal="100" workbookViewId="0">
      <selection activeCell="A4" sqref="A4:I60"/>
    </sheetView>
  </sheetViews>
  <sheetFormatPr baseColWidth="10" defaultColWidth="11.28515625" defaultRowHeight="12.75" customHeight="1" x14ac:dyDescent="0.3"/>
  <cols>
    <col min="1" max="1" width="31.28515625" style="82" customWidth="1"/>
    <col min="2" max="2" width="18" style="43" customWidth="1"/>
    <col min="3" max="9" width="7.42578125" style="43" customWidth="1"/>
    <col min="10" max="16384" width="11.28515625" style="43"/>
  </cols>
  <sheetData>
    <row r="1" spans="1:9" ht="25.7" customHeight="1" x14ac:dyDescent="0.3">
      <c r="A1" s="641" t="s">
        <v>385</v>
      </c>
      <c r="B1" s="641"/>
      <c r="C1" s="641"/>
      <c r="D1" s="641"/>
      <c r="E1" s="641"/>
      <c r="F1" s="641"/>
      <c r="G1" s="641"/>
      <c r="H1" s="641"/>
      <c r="I1" s="641"/>
    </row>
    <row r="2" spans="1:9" ht="12.75" customHeight="1" x14ac:dyDescent="0.3">
      <c r="A2" s="643" t="s">
        <v>231</v>
      </c>
      <c r="B2" s="643"/>
      <c r="C2" s="643"/>
      <c r="D2" s="643"/>
      <c r="E2" s="643"/>
      <c r="F2" s="643"/>
      <c r="G2" s="643"/>
      <c r="H2" s="643"/>
      <c r="I2" s="643"/>
    </row>
    <row r="3" spans="1:9" ht="12.75" customHeight="1" x14ac:dyDescent="0.3">
      <c r="A3" s="180"/>
      <c r="B3" s="190"/>
      <c r="C3" s="191"/>
      <c r="D3" s="1"/>
      <c r="E3" s="1"/>
      <c r="F3" s="1"/>
      <c r="G3" s="1"/>
      <c r="H3" s="1"/>
      <c r="I3" s="1"/>
    </row>
    <row r="4" spans="1:9" ht="24" customHeight="1" x14ac:dyDescent="0.3">
      <c r="A4" s="309" t="s">
        <v>91</v>
      </c>
      <c r="B4" s="310" t="s">
        <v>92</v>
      </c>
      <c r="C4" s="311">
        <v>2015</v>
      </c>
      <c r="D4" s="311">
        <v>2016</v>
      </c>
      <c r="E4" s="311">
        <v>2017</v>
      </c>
      <c r="F4" s="311">
        <v>2018</v>
      </c>
      <c r="G4" s="311">
        <v>2019</v>
      </c>
      <c r="H4" s="311">
        <v>2020</v>
      </c>
      <c r="I4" s="311" t="s">
        <v>378</v>
      </c>
    </row>
    <row r="5" spans="1:9" ht="12.75" hidden="1" customHeight="1" x14ac:dyDescent="0.3">
      <c r="A5" s="334"/>
      <c r="B5" s="335"/>
    </row>
    <row r="6" spans="1:9" ht="32.1" customHeight="1" x14ac:dyDescent="0.3">
      <c r="A6" s="639" t="s">
        <v>93</v>
      </c>
      <c r="B6" s="640"/>
    </row>
    <row r="7" spans="1:9" ht="15.95" customHeight="1" x14ac:dyDescent="0.3">
      <c r="A7" s="322" t="s">
        <v>94</v>
      </c>
      <c r="B7" s="439" t="s">
        <v>95</v>
      </c>
      <c r="C7" s="440">
        <v>88.78581938726731</v>
      </c>
      <c r="D7" s="440">
        <v>91.100694505135166</v>
      </c>
      <c r="E7" s="440">
        <v>91.9</v>
      </c>
      <c r="F7" s="440">
        <v>92.541864370647701</v>
      </c>
      <c r="G7" s="440">
        <v>93.204749109585407</v>
      </c>
      <c r="H7" s="440">
        <v>93.051716795217473</v>
      </c>
      <c r="I7" s="440">
        <v>93.3086056841437</v>
      </c>
    </row>
    <row r="8" spans="1:9" ht="32.1" customHeight="1" x14ac:dyDescent="0.3">
      <c r="A8" s="644" t="s">
        <v>368</v>
      </c>
      <c r="B8" s="645"/>
      <c r="C8" s="441"/>
      <c r="D8" s="441"/>
      <c r="E8" s="441"/>
      <c r="F8" s="442"/>
      <c r="G8" s="442"/>
      <c r="H8" s="442"/>
      <c r="I8" s="442"/>
    </row>
    <row r="9" spans="1:9" ht="15.95" customHeight="1" x14ac:dyDescent="0.3">
      <c r="A9" s="324" t="s">
        <v>232</v>
      </c>
      <c r="B9" s="326" t="s">
        <v>57</v>
      </c>
      <c r="C9" s="440">
        <v>76.081767468506172</v>
      </c>
      <c r="D9" s="440">
        <v>77.082283715823976</v>
      </c>
      <c r="E9" s="440">
        <v>80.349408449301933</v>
      </c>
      <c r="F9" s="440">
        <v>81.865603608903712</v>
      </c>
      <c r="G9" s="440">
        <v>81.79967610376363</v>
      </c>
      <c r="H9" s="440">
        <v>81.923660472310402</v>
      </c>
      <c r="I9" s="440">
        <v>81.952761945567644</v>
      </c>
    </row>
    <row r="10" spans="1:9" ht="15.95" customHeight="1" x14ac:dyDescent="0.3">
      <c r="A10" s="324" t="s">
        <v>97</v>
      </c>
      <c r="B10" s="326" t="s">
        <v>98</v>
      </c>
      <c r="C10" s="440">
        <v>91.925400028145702</v>
      </c>
      <c r="D10" s="440">
        <v>91.925574010086962</v>
      </c>
      <c r="E10" s="440">
        <v>92.325118536346977</v>
      </c>
      <c r="F10" s="440">
        <v>93.267686424661036</v>
      </c>
      <c r="G10" s="440">
        <v>93.387840232785805</v>
      </c>
      <c r="H10" s="440">
        <v>93.459876230747909</v>
      </c>
      <c r="I10" s="440">
        <v>93.556126083905411</v>
      </c>
    </row>
    <row r="11" spans="1:9" ht="15.95" customHeight="1" x14ac:dyDescent="0.3">
      <c r="A11" s="324" t="s">
        <v>170</v>
      </c>
      <c r="B11" s="326" t="s">
        <v>35</v>
      </c>
      <c r="C11" s="440">
        <v>90.117024061707696</v>
      </c>
      <c r="D11" s="440">
        <v>89.956653199735598</v>
      </c>
      <c r="E11" s="440">
        <v>90.485387482395694</v>
      </c>
      <c r="F11" s="440">
        <v>90.788845812763469</v>
      </c>
      <c r="G11" s="440">
        <v>91.036943081556316</v>
      </c>
      <c r="H11" s="440">
        <v>91.052867961107665</v>
      </c>
      <c r="I11" s="440">
        <v>91.185239110608904</v>
      </c>
    </row>
    <row r="12" spans="1:9" ht="15.95" customHeight="1" x14ac:dyDescent="0.3">
      <c r="A12" s="324" t="s">
        <v>99</v>
      </c>
      <c r="B12" s="326" t="s">
        <v>100</v>
      </c>
      <c r="C12" s="440">
        <v>91.828518813041754</v>
      </c>
      <c r="D12" s="440">
        <v>91.646905968625205</v>
      </c>
      <c r="E12" s="440">
        <v>92.959841596898272</v>
      </c>
      <c r="F12" s="440">
        <v>94.514114410251807</v>
      </c>
      <c r="G12" s="440">
        <v>96.438526934357526</v>
      </c>
      <c r="H12" s="440">
        <v>96.736652870092342</v>
      </c>
      <c r="I12" s="440">
        <v>97.87096340767016</v>
      </c>
    </row>
    <row r="13" spans="1:9" ht="15.95" customHeight="1" x14ac:dyDescent="0.3">
      <c r="A13" s="324" t="s">
        <v>102</v>
      </c>
      <c r="B13" s="326" t="s">
        <v>103</v>
      </c>
      <c r="C13" s="440">
        <v>87.164429606472538</v>
      </c>
      <c r="D13" s="440">
        <v>91.017221710091945</v>
      </c>
      <c r="E13" s="440">
        <v>88.322337407100235</v>
      </c>
      <c r="F13" s="440">
        <v>86.72571953702716</v>
      </c>
      <c r="G13" s="440">
        <v>87.250245672389212</v>
      </c>
      <c r="H13" s="440">
        <v>88.589137620345468</v>
      </c>
      <c r="I13" s="440">
        <v>87.985388133820493</v>
      </c>
    </row>
    <row r="14" spans="1:9" ht="15.95" customHeight="1" x14ac:dyDescent="0.3">
      <c r="A14" s="324" t="s">
        <v>105</v>
      </c>
      <c r="B14" s="326" t="s">
        <v>106</v>
      </c>
      <c r="C14" s="440">
        <v>93.710079405248337</v>
      </c>
      <c r="D14" s="440">
        <v>91.437611879163796</v>
      </c>
      <c r="E14" s="440">
        <v>92.906652236461355</v>
      </c>
      <c r="F14" s="440">
        <v>93.803321691509709</v>
      </c>
      <c r="G14" s="440">
        <v>84.486745500285181</v>
      </c>
      <c r="H14" s="440">
        <v>85.091284276046764</v>
      </c>
      <c r="I14" s="440">
        <v>81.235164414841222</v>
      </c>
    </row>
    <row r="15" spans="1:9" ht="15.95" customHeight="1" x14ac:dyDescent="0.3">
      <c r="A15" s="324" t="s">
        <v>125</v>
      </c>
      <c r="B15" s="326" t="s">
        <v>35</v>
      </c>
      <c r="C15" s="440">
        <v>85.458703421059298</v>
      </c>
      <c r="D15" s="440">
        <v>85.182942302887326</v>
      </c>
      <c r="E15" s="440">
        <v>85.277566756316077</v>
      </c>
      <c r="F15" s="440">
        <v>85.180920124126089</v>
      </c>
      <c r="G15" s="440">
        <v>86.983645107067161</v>
      </c>
      <c r="H15" s="440">
        <v>89.659329461357075</v>
      </c>
      <c r="I15" s="440">
        <v>91.987079554470213</v>
      </c>
    </row>
    <row r="16" spans="1:9" ht="15.95" customHeight="1" x14ac:dyDescent="0.3">
      <c r="A16" s="324" t="s">
        <v>107</v>
      </c>
      <c r="B16" s="326" t="s">
        <v>108</v>
      </c>
      <c r="C16" s="440">
        <v>94.883485764614548</v>
      </c>
      <c r="D16" s="440">
        <v>94.352422422855852</v>
      </c>
      <c r="E16" s="440">
        <v>94.57752743526224</v>
      </c>
      <c r="F16" s="440">
        <v>94.571687558145229</v>
      </c>
      <c r="G16" s="440">
        <v>94.900420339387821</v>
      </c>
      <c r="H16" s="440">
        <v>94.586505787776716</v>
      </c>
      <c r="I16" s="440">
        <v>94.595248671110795</v>
      </c>
    </row>
    <row r="17" spans="1:9" ht="15.95" customHeight="1" x14ac:dyDescent="0.3">
      <c r="A17" s="324" t="s">
        <v>111</v>
      </c>
      <c r="B17" s="326" t="s">
        <v>112</v>
      </c>
      <c r="C17" s="440">
        <v>85.663427318771951</v>
      </c>
      <c r="D17" s="440">
        <v>85.682117322467676</v>
      </c>
      <c r="E17" s="440">
        <v>85.700215816510706</v>
      </c>
      <c r="F17" s="440">
        <v>85.71777329263729</v>
      </c>
      <c r="G17" s="440">
        <v>86.170474358026155</v>
      </c>
      <c r="H17" s="440">
        <v>86.344018958723439</v>
      </c>
      <c r="I17" s="440">
        <v>86.658971006131566</v>
      </c>
    </row>
    <row r="18" spans="1:9" ht="15.95" customHeight="1" x14ac:dyDescent="0.3">
      <c r="A18" s="324" t="s">
        <v>109</v>
      </c>
      <c r="B18" s="326" t="s">
        <v>110</v>
      </c>
      <c r="C18" s="440">
        <v>89.719879974151681</v>
      </c>
      <c r="D18" s="440">
        <v>89.117209264126743</v>
      </c>
      <c r="E18" s="440">
        <v>92.243097721396708</v>
      </c>
      <c r="F18" s="440">
        <v>92.157072472765222</v>
      </c>
      <c r="G18" s="440">
        <v>92.398174904290727</v>
      </c>
      <c r="H18" s="440">
        <v>90.089307035457196</v>
      </c>
      <c r="I18" s="440">
        <v>89.024875808488488</v>
      </c>
    </row>
    <row r="19" spans="1:9" ht="15.95" customHeight="1" x14ac:dyDescent="0.3">
      <c r="A19" s="324" t="s">
        <v>115</v>
      </c>
      <c r="B19" s="326" t="s">
        <v>116</v>
      </c>
      <c r="C19" s="440">
        <v>80.808534415546973</v>
      </c>
      <c r="D19" s="440">
        <v>81.289854910895315</v>
      </c>
      <c r="E19" s="440">
        <v>79.966641392513125</v>
      </c>
      <c r="F19" s="440">
        <v>78.837710920747554</v>
      </c>
      <c r="G19" s="440">
        <v>76.837931731067087</v>
      </c>
      <c r="H19" s="440">
        <v>77.432338031526456</v>
      </c>
      <c r="I19" s="440">
        <v>76.749892113443423</v>
      </c>
    </row>
    <row r="20" spans="1:9" ht="15.95" customHeight="1" x14ac:dyDescent="0.3">
      <c r="A20" s="324" t="s">
        <v>118</v>
      </c>
      <c r="B20" s="326" t="s">
        <v>63</v>
      </c>
      <c r="C20" s="440">
        <v>88.937353946056845</v>
      </c>
      <c r="D20" s="440">
        <v>89.004714770628638</v>
      </c>
      <c r="E20" s="440">
        <v>89.619786355171499</v>
      </c>
      <c r="F20" s="440">
        <v>89.802180191632914</v>
      </c>
      <c r="G20" s="440">
        <v>90.040568521219228</v>
      </c>
      <c r="H20" s="440">
        <v>90.458617311228096</v>
      </c>
      <c r="I20" s="440">
        <v>90.788678927229498</v>
      </c>
    </row>
    <row r="21" spans="1:9" ht="15.95" customHeight="1" x14ac:dyDescent="0.3">
      <c r="A21" s="324" t="s">
        <v>113</v>
      </c>
      <c r="B21" s="326" t="s">
        <v>114</v>
      </c>
      <c r="C21" s="440">
        <v>96.147862520033883</v>
      </c>
      <c r="D21" s="440">
        <v>96.107607874249823</v>
      </c>
      <c r="E21" s="440">
        <v>96.391135761719525</v>
      </c>
      <c r="F21" s="440">
        <v>96.397420065456672</v>
      </c>
      <c r="G21" s="440">
        <v>97.777568133022982</v>
      </c>
      <c r="H21" s="440">
        <v>97.776979734749972</v>
      </c>
      <c r="I21" s="440">
        <v>98.477615563364694</v>
      </c>
    </row>
    <row r="22" spans="1:9" ht="15.95" customHeight="1" x14ac:dyDescent="0.3">
      <c r="A22" s="324" t="s">
        <v>104</v>
      </c>
      <c r="B22" s="326" t="s">
        <v>81</v>
      </c>
      <c r="C22" s="440">
        <v>95.730606762901999</v>
      </c>
      <c r="D22" s="440">
        <v>95.91668426290758</v>
      </c>
      <c r="E22" s="440">
        <v>95.996862980741369</v>
      </c>
      <c r="F22" s="440">
        <v>96.185052120438016</v>
      </c>
      <c r="G22" s="440">
        <v>96.746878385888436</v>
      </c>
      <c r="H22" s="440">
        <v>96.911904580576717</v>
      </c>
      <c r="I22" s="440">
        <v>97.277546941028021</v>
      </c>
    </row>
    <row r="23" spans="1:9" ht="15.95" customHeight="1" x14ac:dyDescent="0.3">
      <c r="A23" s="324" t="s">
        <v>117</v>
      </c>
      <c r="B23" s="326" t="s">
        <v>100</v>
      </c>
      <c r="C23" s="440">
        <v>88.788506666705118</v>
      </c>
      <c r="D23" s="440">
        <v>86.991950980709319</v>
      </c>
      <c r="E23" s="440">
        <v>89.497799673938985</v>
      </c>
      <c r="F23" s="440">
        <v>90.066907809659455</v>
      </c>
      <c r="G23" s="440">
        <v>88.034733791181409</v>
      </c>
      <c r="H23" s="440">
        <v>89.729780259289086</v>
      </c>
      <c r="I23" s="440">
        <v>89.581338237842473</v>
      </c>
    </row>
    <row r="24" spans="1:9" ht="15.95" customHeight="1" x14ac:dyDescent="0.3">
      <c r="A24" s="324" t="s">
        <v>119</v>
      </c>
      <c r="B24" s="326" t="s">
        <v>120</v>
      </c>
      <c r="C24" s="440">
        <v>83.60833769587363</v>
      </c>
      <c r="D24" s="440">
        <v>83.985096285563486</v>
      </c>
      <c r="E24" s="440">
        <v>84.347803683751408</v>
      </c>
      <c r="F24" s="440">
        <v>84.696110310597774</v>
      </c>
      <c r="G24" s="440">
        <v>84.881209863666427</v>
      </c>
      <c r="H24" s="440">
        <v>84.88593459694826</v>
      </c>
      <c r="I24" s="440">
        <v>84.981050803836183</v>
      </c>
    </row>
    <row r="25" spans="1:9" ht="15.95" customHeight="1" x14ac:dyDescent="0.3">
      <c r="A25" s="324" t="s">
        <v>121</v>
      </c>
      <c r="B25" s="326" t="s">
        <v>122</v>
      </c>
      <c r="C25" s="440">
        <v>73.02008892532082</v>
      </c>
      <c r="D25" s="440">
        <v>72.581914979473922</v>
      </c>
      <c r="E25" s="440">
        <v>78.830408434123541</v>
      </c>
      <c r="F25" s="440">
        <v>81.104453978780171</v>
      </c>
      <c r="G25" s="440">
        <v>81.614069867167473</v>
      </c>
      <c r="H25" s="440">
        <v>81.863064959838354</v>
      </c>
      <c r="I25" s="440">
        <v>82.245122456888851</v>
      </c>
    </row>
    <row r="26" spans="1:9" ht="15.95" customHeight="1" x14ac:dyDescent="0.3">
      <c r="A26" s="324" t="s">
        <v>123</v>
      </c>
      <c r="B26" s="326" t="s">
        <v>124</v>
      </c>
      <c r="C26" s="440">
        <v>93.918500770908949</v>
      </c>
      <c r="D26" s="440">
        <v>86.123105348545707</v>
      </c>
      <c r="E26" s="440">
        <v>90.27</v>
      </c>
      <c r="F26" s="440">
        <v>90.759999999999991</v>
      </c>
      <c r="G26" s="440">
        <v>90.97</v>
      </c>
      <c r="H26" s="440">
        <v>88.9</v>
      </c>
      <c r="I26" s="440">
        <v>87.407354608271419</v>
      </c>
    </row>
    <row r="27" spans="1:9" ht="32.1" customHeight="1" x14ac:dyDescent="0.3">
      <c r="A27" s="639" t="s">
        <v>126</v>
      </c>
      <c r="B27" s="640"/>
      <c r="C27" s="440"/>
      <c r="D27" s="440"/>
      <c r="E27" s="440"/>
      <c r="F27" s="440"/>
      <c r="G27" s="440"/>
      <c r="H27" s="440"/>
      <c r="I27" s="440"/>
    </row>
    <row r="28" spans="1:9" ht="15.95" customHeight="1" x14ac:dyDescent="0.3">
      <c r="A28" s="324" t="s">
        <v>127</v>
      </c>
      <c r="B28" s="326" t="s">
        <v>128</v>
      </c>
      <c r="C28" s="440">
        <v>71.658082190527011</v>
      </c>
      <c r="D28" s="440">
        <v>72.95652941541023</v>
      </c>
      <c r="E28" s="440">
        <v>74.7150346153893</v>
      </c>
      <c r="F28" s="440">
        <v>75.16689167407857</v>
      </c>
      <c r="G28" s="440">
        <v>74.74424388758078</v>
      </c>
      <c r="H28" s="440">
        <v>75.691688150657924</v>
      </c>
      <c r="I28" s="440">
        <v>75.956128035297326</v>
      </c>
    </row>
    <row r="29" spans="1:9" ht="15.95" customHeight="1" x14ac:dyDescent="0.3">
      <c r="A29" s="324" t="s">
        <v>129</v>
      </c>
      <c r="B29" s="326" t="s">
        <v>128</v>
      </c>
      <c r="C29" s="440">
        <v>89.071994400359571</v>
      </c>
      <c r="D29" s="440">
        <v>89.44230983148789</v>
      </c>
      <c r="E29" s="440">
        <v>90.843973385780643</v>
      </c>
      <c r="F29" s="440">
        <v>91.542290211412052</v>
      </c>
      <c r="G29" s="440">
        <v>93.7633512008249</v>
      </c>
      <c r="H29" s="440">
        <v>94.837526190543088</v>
      </c>
      <c r="I29" s="440">
        <v>96.531243860168161</v>
      </c>
    </row>
    <row r="30" spans="1:9" ht="15.95" customHeight="1" x14ac:dyDescent="0.3">
      <c r="A30" s="324" t="s">
        <v>130</v>
      </c>
      <c r="B30" s="326" t="s">
        <v>128</v>
      </c>
      <c r="C30" s="440">
        <v>83.215430538505288</v>
      </c>
      <c r="D30" s="440">
        <v>84.978900943096534</v>
      </c>
      <c r="E30" s="440">
        <v>85.173793916342603</v>
      </c>
      <c r="F30" s="440">
        <v>85.362733945741766</v>
      </c>
      <c r="G30" s="440">
        <v>84.480266798408607</v>
      </c>
      <c r="H30" s="440">
        <v>84.538707574049127</v>
      </c>
      <c r="I30" s="440">
        <v>84.130973932495507</v>
      </c>
    </row>
    <row r="31" spans="1:9" ht="15.95" customHeight="1" x14ac:dyDescent="0.3">
      <c r="A31" s="324" t="s">
        <v>131</v>
      </c>
      <c r="B31" s="326" t="s">
        <v>98</v>
      </c>
      <c r="C31" s="440">
        <v>88.41414605466305</v>
      </c>
      <c r="D31" s="440">
        <v>92.00588726451133</v>
      </c>
      <c r="E31" s="440">
        <v>93.438146206690902</v>
      </c>
      <c r="F31" s="440">
        <v>93.44017597611753</v>
      </c>
      <c r="G31" s="440">
        <v>94.305483791886431</v>
      </c>
      <c r="H31" s="440">
        <v>95.057504306338927</v>
      </c>
      <c r="I31" s="440">
        <v>95.876655569565401</v>
      </c>
    </row>
    <row r="32" spans="1:9" ht="15.95" customHeight="1" x14ac:dyDescent="0.3">
      <c r="A32" s="324" t="s">
        <v>132</v>
      </c>
      <c r="B32" s="326" t="s">
        <v>35</v>
      </c>
      <c r="C32" s="440">
        <v>97.116062427914002</v>
      </c>
      <c r="D32" s="440">
        <v>97.509203915845276</v>
      </c>
      <c r="E32" s="440">
        <v>97.778412394561173</v>
      </c>
      <c r="F32" s="440">
        <v>97.920584464259434</v>
      </c>
      <c r="G32" s="440">
        <v>98.386334913996492</v>
      </c>
      <c r="H32" s="440">
        <v>97.721571840545153</v>
      </c>
      <c r="I32" s="440">
        <v>97.624611234618854</v>
      </c>
    </row>
    <row r="33" spans="1:9" ht="15.95" customHeight="1" x14ac:dyDescent="0.3">
      <c r="A33" s="324" t="s">
        <v>134</v>
      </c>
      <c r="B33" s="326" t="s">
        <v>171</v>
      </c>
      <c r="C33" s="440">
        <v>49.015423781039253</v>
      </c>
      <c r="D33" s="440">
        <v>43.010305145885937</v>
      </c>
      <c r="E33" s="440">
        <v>44.424347008157611</v>
      </c>
      <c r="F33" s="440">
        <v>47.265543698738874</v>
      </c>
      <c r="G33" s="440">
        <v>48.448988991118391</v>
      </c>
      <c r="H33" s="440">
        <v>48.168717275271518</v>
      </c>
      <c r="I33" s="440">
        <v>48.633437774683685</v>
      </c>
    </row>
    <row r="34" spans="1:9" ht="15.95" customHeight="1" x14ac:dyDescent="0.3">
      <c r="A34" s="324" t="s">
        <v>136</v>
      </c>
      <c r="B34" s="326" t="s">
        <v>137</v>
      </c>
      <c r="C34" s="440">
        <v>87.782355595269479</v>
      </c>
      <c r="D34" s="440">
        <v>89.50072854280964</v>
      </c>
      <c r="E34" s="440">
        <v>89.484085222847455</v>
      </c>
      <c r="F34" s="440">
        <v>90.171709469372416</v>
      </c>
      <c r="G34" s="440">
        <v>90.022828855769816</v>
      </c>
      <c r="H34" s="440">
        <v>90.463227030601089</v>
      </c>
      <c r="I34" s="440">
        <v>90.609822381782664</v>
      </c>
    </row>
    <row r="35" spans="1:9" ht="15.95" customHeight="1" x14ac:dyDescent="0.3">
      <c r="A35" s="324" t="s">
        <v>138</v>
      </c>
      <c r="B35" s="326" t="s">
        <v>81</v>
      </c>
      <c r="C35" s="440">
        <v>97.027115033634161</v>
      </c>
      <c r="D35" s="440">
        <v>97.141321309065049</v>
      </c>
      <c r="E35" s="440">
        <v>97.187004916755512</v>
      </c>
      <c r="F35" s="440">
        <v>97.230595574582267</v>
      </c>
      <c r="G35" s="440">
        <v>98.486537034115926</v>
      </c>
      <c r="H35" s="440">
        <v>98.569761348455927</v>
      </c>
      <c r="I35" s="440">
        <v>99.248012553683708</v>
      </c>
    </row>
    <row r="36" spans="1:9" ht="15.95" customHeight="1" x14ac:dyDescent="0.3">
      <c r="A36" s="324" t="s">
        <v>139</v>
      </c>
      <c r="B36" s="326" t="s">
        <v>140</v>
      </c>
      <c r="C36" s="440">
        <v>92.361889029207603</v>
      </c>
      <c r="D36" s="440">
        <v>92.330127720101046</v>
      </c>
      <c r="E36" s="440">
        <v>92.678527695951573</v>
      </c>
      <c r="F36" s="440">
        <v>91.910265125764795</v>
      </c>
      <c r="G36" s="440">
        <v>92.032591065353159</v>
      </c>
      <c r="H36" s="440">
        <v>93.099868535693759</v>
      </c>
      <c r="I36" s="440">
        <v>93.701650345284506</v>
      </c>
    </row>
    <row r="37" spans="1:9" ht="15.95" customHeight="1" x14ac:dyDescent="0.3">
      <c r="A37" s="324" t="s">
        <v>141</v>
      </c>
      <c r="B37" s="326" t="s">
        <v>114</v>
      </c>
      <c r="C37" s="440">
        <v>86.472337776188994</v>
      </c>
      <c r="D37" s="440">
        <v>88.331468370752773</v>
      </c>
      <c r="E37" s="440">
        <v>90.867809610958119</v>
      </c>
      <c r="F37" s="440">
        <v>90.877303351543389</v>
      </c>
      <c r="G37" s="440">
        <v>90.976955973823024</v>
      </c>
      <c r="H37" s="440">
        <v>90.992419444163914</v>
      </c>
      <c r="I37" s="440">
        <v>91.050041150002514</v>
      </c>
    </row>
    <row r="38" spans="1:9" ht="15.95" customHeight="1" x14ac:dyDescent="0.3">
      <c r="A38" s="324" t="s">
        <v>142</v>
      </c>
      <c r="B38" s="326" t="s">
        <v>27</v>
      </c>
      <c r="C38" s="440">
        <v>96.637588273767349</v>
      </c>
      <c r="D38" s="440">
        <v>96.636979592483456</v>
      </c>
      <c r="E38" s="440">
        <v>96.637366807486728</v>
      </c>
      <c r="F38" s="440">
        <v>96.527798343830014</v>
      </c>
      <c r="G38" s="440">
        <v>97.051557997407471</v>
      </c>
      <c r="H38" s="440">
        <v>97.868243905354717</v>
      </c>
      <c r="I38" s="440">
        <v>98.545801647296244</v>
      </c>
    </row>
    <row r="39" spans="1:9" ht="15.95" customHeight="1" x14ac:dyDescent="0.3">
      <c r="A39" s="324" t="s">
        <v>143</v>
      </c>
      <c r="B39" s="326" t="s">
        <v>122</v>
      </c>
      <c r="C39" s="440">
        <v>87.584643778527351</v>
      </c>
      <c r="D39" s="440">
        <v>91.331496999755103</v>
      </c>
      <c r="E39" s="440">
        <v>93.544567383341871</v>
      </c>
      <c r="F39" s="440">
        <v>92.7715427283282</v>
      </c>
      <c r="G39" s="440">
        <v>94.541898646674539</v>
      </c>
      <c r="H39" s="440">
        <v>95.586560406412488</v>
      </c>
      <c r="I39" s="440">
        <v>97.026688588771037</v>
      </c>
    </row>
    <row r="40" spans="1:9" ht="15.95" customHeight="1" x14ac:dyDescent="0.3">
      <c r="A40" s="324" t="s">
        <v>144</v>
      </c>
      <c r="B40" s="326" t="s">
        <v>63</v>
      </c>
      <c r="C40" s="440">
        <v>66.908195451165497</v>
      </c>
      <c r="D40" s="440">
        <v>66.353173232162476</v>
      </c>
      <c r="E40" s="440">
        <v>70.210116631618789</v>
      </c>
      <c r="F40" s="440">
        <v>71.165979257482945</v>
      </c>
      <c r="G40" s="440">
        <v>71.882393968712549</v>
      </c>
      <c r="H40" s="440">
        <v>72.966650854277333</v>
      </c>
      <c r="I40" s="440">
        <v>73.884228283983205</v>
      </c>
    </row>
    <row r="41" spans="1:9" ht="15.95" customHeight="1" x14ac:dyDescent="0.3">
      <c r="A41" s="324" t="s">
        <v>145</v>
      </c>
      <c r="B41" s="326" t="s">
        <v>27</v>
      </c>
      <c r="C41" s="440">
        <v>91.36280050740379</v>
      </c>
      <c r="D41" s="440">
        <v>91.865328324159378</v>
      </c>
      <c r="E41" s="440">
        <v>93.653634734307246</v>
      </c>
      <c r="F41" s="440">
        <v>93.582991211501536</v>
      </c>
      <c r="G41" s="440">
        <v>92.407040878139483</v>
      </c>
      <c r="H41" s="440">
        <v>92.375777956908578</v>
      </c>
      <c r="I41" s="440">
        <v>91.779761451592677</v>
      </c>
    </row>
    <row r="42" spans="1:9" ht="15.95" customHeight="1" x14ac:dyDescent="0.3">
      <c r="A42" s="324" t="s">
        <v>146</v>
      </c>
      <c r="B42" s="326" t="s">
        <v>147</v>
      </c>
      <c r="C42" s="440">
        <v>73.879354510279484</v>
      </c>
      <c r="D42" s="440">
        <v>75.740006959906594</v>
      </c>
      <c r="E42" s="440">
        <v>76.960206447838999</v>
      </c>
      <c r="F42" s="440">
        <v>77.193209123165502</v>
      </c>
      <c r="G42" s="440">
        <v>76.415926000514773</v>
      </c>
      <c r="H42" s="440">
        <v>81.021276832409256</v>
      </c>
      <c r="I42" s="440">
        <v>83.054944999385157</v>
      </c>
    </row>
    <row r="43" spans="1:9" ht="15.95" customHeight="1" x14ac:dyDescent="0.3">
      <c r="A43" s="324" t="s">
        <v>148</v>
      </c>
      <c r="B43" s="326" t="s">
        <v>128</v>
      </c>
      <c r="C43" s="440">
        <v>83.581800571970305</v>
      </c>
      <c r="D43" s="440">
        <v>87.425542813389413</v>
      </c>
      <c r="E43" s="440">
        <v>86.515514573109101</v>
      </c>
      <c r="F43" s="440">
        <v>87.470666584207663</v>
      </c>
      <c r="G43" s="440">
        <v>90.291497473263732</v>
      </c>
      <c r="H43" s="440">
        <v>91.919081898792442</v>
      </c>
      <c r="I43" s="440">
        <v>94.229686182303809</v>
      </c>
    </row>
    <row r="44" spans="1:9" ht="32.1" customHeight="1" x14ac:dyDescent="0.3">
      <c r="A44" s="639" t="s">
        <v>149</v>
      </c>
      <c r="B44" s="640"/>
      <c r="C44" s="440"/>
      <c r="D44" s="440"/>
      <c r="E44" s="440"/>
      <c r="F44" s="440"/>
      <c r="G44" s="440"/>
      <c r="H44" s="440"/>
      <c r="I44" s="440"/>
    </row>
    <row r="45" spans="1:9" ht="15.95" customHeight="1" x14ac:dyDescent="0.3">
      <c r="A45" s="324" t="s">
        <v>150</v>
      </c>
      <c r="B45" s="326" t="s">
        <v>151</v>
      </c>
      <c r="C45" s="440">
        <v>84.587704461435465</v>
      </c>
      <c r="D45" s="440">
        <v>88.062175668171747</v>
      </c>
      <c r="E45" s="440">
        <v>89.678184226367506</v>
      </c>
      <c r="F45" s="440">
        <v>89.407051882374972</v>
      </c>
      <c r="G45" s="440">
        <v>91.565634926444559</v>
      </c>
      <c r="H45" s="440">
        <v>92.631647063281164</v>
      </c>
      <c r="I45" s="440">
        <v>94.289076155880139</v>
      </c>
    </row>
    <row r="46" spans="1:9" ht="15.95" customHeight="1" x14ac:dyDescent="0.3">
      <c r="A46" s="324" t="s">
        <v>152</v>
      </c>
      <c r="B46" s="326" t="s">
        <v>76</v>
      </c>
      <c r="C46" s="440">
        <v>69.325424823843207</v>
      </c>
      <c r="D46" s="440">
        <v>70.273062662771721</v>
      </c>
      <c r="E46" s="440">
        <v>71.977825878369671</v>
      </c>
      <c r="F46" s="440">
        <v>78.317749905999904</v>
      </c>
      <c r="G46" s="440">
        <v>79.469821523772907</v>
      </c>
      <c r="H46" s="440">
        <v>80.131194449687385</v>
      </c>
      <c r="I46" s="440">
        <v>81.053999378420144</v>
      </c>
    </row>
    <row r="47" spans="1:9" ht="15.95" customHeight="1" x14ac:dyDescent="0.3">
      <c r="A47" s="324" t="s">
        <v>153</v>
      </c>
      <c r="B47" s="326" t="s">
        <v>100</v>
      </c>
      <c r="C47" s="440">
        <v>99.595254269464334</v>
      </c>
      <c r="D47" s="440">
        <v>99.335816992219222</v>
      </c>
      <c r="E47" s="440">
        <v>99.333885772565026</v>
      </c>
      <c r="F47" s="440">
        <v>99.333885772565026</v>
      </c>
      <c r="G47" s="440">
        <v>99.6</v>
      </c>
      <c r="H47" s="440">
        <v>99</v>
      </c>
      <c r="I47" s="440">
        <v>99</v>
      </c>
    </row>
    <row r="48" spans="1:9" ht="15.95" customHeight="1" x14ac:dyDescent="0.3">
      <c r="A48" s="324" t="s">
        <v>154</v>
      </c>
      <c r="B48" s="326" t="s">
        <v>155</v>
      </c>
      <c r="C48" s="440">
        <v>64.761143234952939</v>
      </c>
      <c r="D48" s="440">
        <v>65.79773750328927</v>
      </c>
      <c r="E48" s="440">
        <v>67.81162672780809</v>
      </c>
      <c r="F48" s="440">
        <v>68.974355954774779</v>
      </c>
      <c r="G48" s="440">
        <v>68.914303003165386</v>
      </c>
      <c r="H48" s="440">
        <v>70.175442135889497</v>
      </c>
      <c r="I48" s="440">
        <v>70.787001850536242</v>
      </c>
    </row>
    <row r="49" spans="1:9" ht="15.95" customHeight="1" x14ac:dyDescent="0.3">
      <c r="A49" s="324" t="s">
        <v>156</v>
      </c>
      <c r="B49" s="326" t="s">
        <v>35</v>
      </c>
      <c r="C49" s="440">
        <v>77.332248824052598</v>
      </c>
      <c r="D49" s="440">
        <v>77.868550306921122</v>
      </c>
      <c r="E49" s="440">
        <v>77.007785557755909</v>
      </c>
      <c r="F49" s="440">
        <v>79.408581837808669</v>
      </c>
      <c r="G49" s="440">
        <v>77.901919827918974</v>
      </c>
      <c r="H49" s="440">
        <v>77.945388494984485</v>
      </c>
      <c r="I49" s="440">
        <v>77.227809208807898</v>
      </c>
    </row>
    <row r="50" spans="1:9" ht="15.95" customHeight="1" x14ac:dyDescent="0.3">
      <c r="A50" s="324" t="s">
        <v>157</v>
      </c>
      <c r="B50" s="326" t="s">
        <v>81</v>
      </c>
      <c r="C50" s="440">
        <v>76.689128713321139</v>
      </c>
      <c r="D50" s="440">
        <v>80.6034562749863</v>
      </c>
      <c r="E50" s="440">
        <v>83.843691816095372</v>
      </c>
      <c r="F50" s="440">
        <v>84.345149780101224</v>
      </c>
      <c r="G50" s="440">
        <v>87.721380391168054</v>
      </c>
      <c r="H50" s="440">
        <v>88.415515943224776</v>
      </c>
      <c r="I50" s="440">
        <v>90.534911184796968</v>
      </c>
    </row>
    <row r="51" spans="1:9" ht="15.95" customHeight="1" x14ac:dyDescent="0.3">
      <c r="A51" s="324" t="s">
        <v>158</v>
      </c>
      <c r="B51" s="326" t="s">
        <v>81</v>
      </c>
      <c r="C51" s="440">
        <v>79.031291455238161</v>
      </c>
      <c r="D51" s="440">
        <v>77.87926079898719</v>
      </c>
      <c r="E51" s="440">
        <v>86.990112701867474</v>
      </c>
      <c r="F51" s="440">
        <v>86.127636560302861</v>
      </c>
      <c r="G51" s="440">
        <v>89.680006742486356</v>
      </c>
      <c r="H51" s="440">
        <v>90.73303243404682</v>
      </c>
      <c r="I51" s="440">
        <v>93.136888436552894</v>
      </c>
    </row>
    <row r="52" spans="1:9" ht="15.95" customHeight="1" x14ac:dyDescent="0.3">
      <c r="A52" s="324" t="s">
        <v>159</v>
      </c>
      <c r="B52" s="326" t="s">
        <v>122</v>
      </c>
      <c r="C52" s="440">
        <v>40.142500652882774</v>
      </c>
      <c r="D52" s="440">
        <v>41.817274969621501</v>
      </c>
      <c r="E52" s="440">
        <v>45.995227952140105</v>
      </c>
      <c r="F52" s="440">
        <v>48.711556996407602</v>
      </c>
      <c r="G52" s="440">
        <v>49.806339243531369</v>
      </c>
      <c r="H52" s="440">
        <v>53.837184953030601</v>
      </c>
      <c r="I52" s="440">
        <v>56.620708244638308</v>
      </c>
    </row>
    <row r="53" spans="1:9" ht="15.95" customHeight="1" x14ac:dyDescent="0.3">
      <c r="A53" s="324" t="s">
        <v>160</v>
      </c>
      <c r="B53" s="323" t="s">
        <v>155</v>
      </c>
      <c r="C53" s="440">
        <v>97.089765865948763</v>
      </c>
      <c r="D53" s="440">
        <v>98.37603729726851</v>
      </c>
      <c r="E53" s="440">
        <v>98.491069755823403</v>
      </c>
      <c r="F53" s="440">
        <v>98.491069755823403</v>
      </c>
      <c r="G53" s="440">
        <v>98.159549192909694</v>
      </c>
      <c r="H53" s="440">
        <v>97.827829873739162</v>
      </c>
      <c r="I53" s="440">
        <v>97.497886668486458</v>
      </c>
    </row>
    <row r="54" spans="1:9" ht="15.95" customHeight="1" x14ac:dyDescent="0.3">
      <c r="A54" s="324" t="s">
        <v>161</v>
      </c>
      <c r="B54" s="326" t="s">
        <v>100</v>
      </c>
      <c r="C54" s="440">
        <v>89.994097466925339</v>
      </c>
      <c r="D54" s="440">
        <v>87.466548836553557</v>
      </c>
      <c r="E54" s="440">
        <v>89.903602714699147</v>
      </c>
      <c r="F54" s="440">
        <v>89.561391814424738</v>
      </c>
      <c r="G54" s="440">
        <v>90.181843960579982</v>
      </c>
      <c r="H54" s="440">
        <v>90.776901312452992</v>
      </c>
      <c r="I54" s="440">
        <v>91.390829606454545</v>
      </c>
    </row>
    <row r="55" spans="1:9" ht="15.95" customHeight="1" x14ac:dyDescent="0.3">
      <c r="A55" s="324" t="s">
        <v>162</v>
      </c>
      <c r="B55" s="326" t="s">
        <v>163</v>
      </c>
      <c r="C55" s="440">
        <v>61.260677322629533</v>
      </c>
      <c r="D55" s="440">
        <v>59.939661697217453</v>
      </c>
      <c r="E55" s="440">
        <v>62.431646021693986</v>
      </c>
      <c r="F55" s="440">
        <v>63.008981686690781</v>
      </c>
      <c r="G55" s="440">
        <v>63.102703628488023</v>
      </c>
      <c r="H55" s="440">
        <v>63.318963467548386</v>
      </c>
      <c r="I55" s="440">
        <v>63.4745554703007</v>
      </c>
    </row>
    <row r="56" spans="1:9" ht="15.95" customHeight="1" x14ac:dyDescent="0.3">
      <c r="A56" s="324" t="s">
        <v>164</v>
      </c>
      <c r="B56" s="326" t="s">
        <v>100</v>
      </c>
      <c r="C56" s="440">
        <v>99.424047347042176</v>
      </c>
      <c r="D56" s="440">
        <v>99.553685439886365</v>
      </c>
      <c r="E56" s="440">
        <v>99.99</v>
      </c>
      <c r="F56" s="440">
        <v>99.430279389892391</v>
      </c>
      <c r="G56" s="440">
        <v>99.419780391818264</v>
      </c>
      <c r="H56" s="440">
        <v>99.546216711045659</v>
      </c>
      <c r="I56" s="440">
        <v>99.604261239871178</v>
      </c>
    </row>
    <row r="57" spans="1:9" ht="15.95" customHeight="1" x14ac:dyDescent="0.3">
      <c r="A57" s="324" t="s">
        <v>165</v>
      </c>
      <c r="B57" s="326" t="s">
        <v>122</v>
      </c>
      <c r="C57" s="440">
        <v>87.91946970400852</v>
      </c>
      <c r="D57" s="440">
        <v>89.221401635558252</v>
      </c>
      <c r="E57" s="440">
        <v>90.541716529743454</v>
      </c>
      <c r="F57" s="440">
        <v>90.509626022172768</v>
      </c>
      <c r="G57" s="440">
        <v>89.133563182994465</v>
      </c>
      <c r="H57" s="440">
        <v>89.364065003807852</v>
      </c>
      <c r="I57" s="440">
        <v>88.800290803442763</v>
      </c>
    </row>
    <row r="58" spans="1:9" ht="15.95" customHeight="1" x14ac:dyDescent="0.3">
      <c r="A58" s="324" t="s">
        <v>166</v>
      </c>
      <c r="B58" s="326" t="s">
        <v>155</v>
      </c>
      <c r="C58" s="440">
        <v>91.490105169264368</v>
      </c>
      <c r="D58" s="440">
        <v>91.733121410491776</v>
      </c>
      <c r="E58" s="440">
        <v>91.676567094947288</v>
      </c>
      <c r="F58" s="440">
        <v>91.556468035386402</v>
      </c>
      <c r="G58" s="440">
        <v>91.717939365321982</v>
      </c>
      <c r="H58" s="440">
        <v>93.373022551178607</v>
      </c>
      <c r="I58" s="440">
        <v>94.293399463927443</v>
      </c>
    </row>
    <row r="59" spans="1:9" ht="15.95" customHeight="1" x14ac:dyDescent="0.3">
      <c r="A59" s="330" t="s">
        <v>167</v>
      </c>
      <c r="B59" s="338" t="s">
        <v>98</v>
      </c>
      <c r="C59" s="443">
        <v>96.412012079515094</v>
      </c>
      <c r="D59" s="443">
        <v>91.493634861731778</v>
      </c>
      <c r="E59" s="443">
        <v>97.917844297641878</v>
      </c>
      <c r="F59" s="443">
        <v>98.555923005172559</v>
      </c>
      <c r="G59" s="444">
        <v>98.672715113352254</v>
      </c>
      <c r="H59" s="444">
        <v>98.995048691124268</v>
      </c>
      <c r="I59" s="444">
        <v>99.215398206109398</v>
      </c>
    </row>
    <row r="60" spans="1:9" s="142" customFormat="1" ht="12" customHeight="1" x14ac:dyDescent="0.25">
      <c r="A60" s="146" t="s">
        <v>168</v>
      </c>
      <c r="B60" s="146"/>
      <c r="E60" s="153"/>
      <c r="F60" s="153"/>
      <c r="G60" s="153"/>
      <c r="H60" s="153"/>
      <c r="I60" s="153"/>
    </row>
  </sheetData>
  <mergeCells count="6">
    <mergeCell ref="A44:B44"/>
    <mergeCell ref="A1:I1"/>
    <mergeCell ref="A2:I2"/>
    <mergeCell ref="A6:B6"/>
    <mergeCell ref="A8:B8"/>
    <mergeCell ref="A27:B27"/>
  </mergeCells>
  <conditionalFormatting sqref="A4">
    <cfRule type="cellIs" dxfId="17" priority="2" stopIfTrue="1" operator="equal">
      <formula>"S.I."</formula>
    </cfRule>
  </conditionalFormatting>
  <conditionalFormatting sqref="B4">
    <cfRule type="cellIs" dxfId="16" priority="1" stopIfTrue="1" operator="equal">
      <formula>"S.I."</formula>
    </cfRule>
  </conditionalFormatting>
  <printOptions horizontalCentered="1"/>
  <pageMargins left="0.9055118110236221" right="0.70866141732283472" top="0.74803149606299213" bottom="0.39370078740157483" header="0.31496062992125984" footer="0.31496062992125984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64"/>
  <sheetViews>
    <sheetView showGridLines="0" zoomScaleNormal="100" workbookViewId="0">
      <selection activeCell="A4" sqref="A4:I64"/>
    </sheetView>
  </sheetViews>
  <sheetFormatPr baseColWidth="10" defaultColWidth="11.28515625" defaultRowHeight="12.75" customHeight="1" x14ac:dyDescent="0.3"/>
  <cols>
    <col min="1" max="1" width="33" style="43" customWidth="1"/>
    <col min="2" max="2" width="18" style="20" customWidth="1"/>
    <col min="3" max="9" width="9.42578125" style="40" customWidth="1"/>
    <col min="10" max="16384" width="11.28515625" style="20"/>
  </cols>
  <sheetData>
    <row r="1" spans="1:9" ht="25.7" customHeight="1" x14ac:dyDescent="0.3">
      <c r="A1" s="641" t="s">
        <v>386</v>
      </c>
      <c r="B1" s="641"/>
      <c r="C1" s="641"/>
      <c r="D1" s="641"/>
      <c r="E1" s="641"/>
      <c r="F1" s="641"/>
      <c r="G1" s="641"/>
      <c r="H1" s="641"/>
      <c r="I1" s="641"/>
    </row>
    <row r="2" spans="1:9" ht="12.75" customHeight="1" x14ac:dyDescent="0.3">
      <c r="A2" s="643" t="s">
        <v>233</v>
      </c>
      <c r="B2" s="643"/>
      <c r="C2" s="643"/>
      <c r="D2" s="643"/>
      <c r="E2" s="643"/>
      <c r="F2" s="643"/>
      <c r="G2" s="643"/>
      <c r="H2" s="643"/>
      <c r="I2" s="643"/>
    </row>
    <row r="3" spans="1:9" ht="12.75" customHeight="1" x14ac:dyDescent="0.3">
      <c r="A3" s="1"/>
      <c r="B3" s="1"/>
      <c r="C3" s="15"/>
      <c r="D3" s="15"/>
      <c r="E3" s="15"/>
      <c r="F3" s="15"/>
      <c r="G3" s="15"/>
      <c r="H3" s="15"/>
      <c r="I3" s="15"/>
    </row>
    <row r="4" spans="1:9" ht="20.100000000000001" customHeight="1" x14ac:dyDescent="0.3">
      <c r="A4" s="309" t="s">
        <v>91</v>
      </c>
      <c r="B4" s="310" t="s">
        <v>92</v>
      </c>
      <c r="C4" s="445">
        <v>2015</v>
      </c>
      <c r="D4" s="445">
        <v>2016</v>
      </c>
      <c r="E4" s="445">
        <v>2017</v>
      </c>
      <c r="F4" s="445">
        <v>2018</v>
      </c>
      <c r="G4" s="311">
        <v>2019</v>
      </c>
      <c r="H4" s="311">
        <v>2020</v>
      </c>
      <c r="I4" s="311" t="s">
        <v>378</v>
      </c>
    </row>
    <row r="5" spans="1:9" ht="32.1" customHeight="1" x14ac:dyDescent="0.3">
      <c r="A5" s="639" t="s">
        <v>93</v>
      </c>
      <c r="B5" s="640"/>
      <c r="C5" s="446"/>
      <c r="D5" s="446"/>
      <c r="E5" s="446"/>
      <c r="F5" s="446"/>
      <c r="G5" s="446"/>
      <c r="H5" s="446"/>
      <c r="I5" s="446"/>
    </row>
    <row r="6" spans="1:9" ht="15.95" customHeight="1" x14ac:dyDescent="0.3">
      <c r="A6" s="322" t="s">
        <v>94</v>
      </c>
      <c r="B6" s="323" t="s">
        <v>95</v>
      </c>
      <c r="C6" s="447">
        <v>1454405</v>
      </c>
      <c r="D6" s="447">
        <v>1472349</v>
      </c>
      <c r="E6" s="447">
        <v>1518503</v>
      </c>
      <c r="F6" s="447">
        <v>1542124</v>
      </c>
      <c r="G6" s="447">
        <v>1586330</v>
      </c>
      <c r="H6" s="447">
        <v>1602496</v>
      </c>
      <c r="I6" s="447">
        <v>1616488</v>
      </c>
    </row>
    <row r="7" spans="1:9" ht="32.1" customHeight="1" x14ac:dyDescent="0.3">
      <c r="A7" s="644" t="s">
        <v>368</v>
      </c>
      <c r="B7" s="645"/>
      <c r="C7" s="447"/>
      <c r="D7" s="447"/>
      <c r="E7" s="447"/>
      <c r="F7" s="447"/>
      <c r="G7" s="447"/>
      <c r="H7" s="447"/>
      <c r="I7" s="447"/>
    </row>
    <row r="8" spans="1:9" ht="15.95" customHeight="1" x14ac:dyDescent="0.3">
      <c r="A8" s="324" t="s">
        <v>97</v>
      </c>
      <c r="B8" s="326" t="s">
        <v>98</v>
      </c>
      <c r="C8" s="447">
        <v>42654</v>
      </c>
      <c r="D8" s="447">
        <v>46097</v>
      </c>
      <c r="E8" s="447">
        <v>44962</v>
      </c>
      <c r="F8" s="447">
        <v>45920</v>
      </c>
      <c r="G8" s="447">
        <v>50416</v>
      </c>
      <c r="H8" s="447">
        <v>51010</v>
      </c>
      <c r="I8" s="447">
        <v>52039</v>
      </c>
    </row>
    <row r="9" spans="1:9" ht="15.95" customHeight="1" x14ac:dyDescent="0.3">
      <c r="A9" s="324" t="s">
        <v>170</v>
      </c>
      <c r="B9" s="327" t="s">
        <v>35</v>
      </c>
      <c r="C9" s="447">
        <v>52649</v>
      </c>
      <c r="D9" s="447">
        <v>53637</v>
      </c>
      <c r="E9" s="447">
        <v>54615</v>
      </c>
      <c r="F9" s="447">
        <v>56450</v>
      </c>
      <c r="G9" s="447">
        <v>58148</v>
      </c>
      <c r="H9" s="447">
        <v>59158</v>
      </c>
      <c r="I9" s="447">
        <v>59583</v>
      </c>
    </row>
    <row r="10" spans="1:9" ht="15.95" customHeight="1" x14ac:dyDescent="0.3">
      <c r="A10" s="324" t="s">
        <v>99</v>
      </c>
      <c r="B10" s="327" t="s">
        <v>100</v>
      </c>
      <c r="C10" s="447">
        <v>38311</v>
      </c>
      <c r="D10" s="447">
        <v>40188.5</v>
      </c>
      <c r="E10" s="447">
        <v>41342</v>
      </c>
      <c r="F10" s="447">
        <v>42535</v>
      </c>
      <c r="G10" s="447">
        <v>43798</v>
      </c>
      <c r="H10" s="447">
        <v>44845</v>
      </c>
      <c r="I10" s="447">
        <v>46419</v>
      </c>
    </row>
    <row r="11" spans="1:9" ht="15.95" customHeight="1" x14ac:dyDescent="0.3">
      <c r="A11" s="324" t="s">
        <v>232</v>
      </c>
      <c r="B11" s="326" t="s">
        <v>57</v>
      </c>
      <c r="C11" s="447">
        <v>44262</v>
      </c>
      <c r="D11" s="447">
        <v>45123</v>
      </c>
      <c r="E11" s="447">
        <v>45289</v>
      </c>
      <c r="F11" s="447">
        <v>46188</v>
      </c>
      <c r="G11" s="447">
        <v>47522</v>
      </c>
      <c r="H11" s="447">
        <v>48233</v>
      </c>
      <c r="I11" s="447">
        <v>49003</v>
      </c>
    </row>
    <row r="12" spans="1:9" ht="15.95" customHeight="1" x14ac:dyDescent="0.3">
      <c r="A12" s="324" t="s">
        <v>102</v>
      </c>
      <c r="B12" s="327" t="s">
        <v>103</v>
      </c>
      <c r="C12" s="447">
        <v>197103</v>
      </c>
      <c r="D12" s="447">
        <v>213116</v>
      </c>
      <c r="E12" s="447">
        <v>210294</v>
      </c>
      <c r="F12" s="447">
        <v>193767</v>
      </c>
      <c r="G12" s="447">
        <v>227154</v>
      </c>
      <c r="H12" s="447">
        <v>230050</v>
      </c>
      <c r="I12" s="447">
        <v>232794</v>
      </c>
    </row>
    <row r="13" spans="1:9" ht="15.95" customHeight="1" x14ac:dyDescent="0.3">
      <c r="A13" s="324" t="s">
        <v>104</v>
      </c>
      <c r="B13" s="326" t="s">
        <v>81</v>
      </c>
      <c r="C13" s="447">
        <v>77207</v>
      </c>
      <c r="D13" s="447">
        <v>83527</v>
      </c>
      <c r="E13" s="447">
        <v>86710</v>
      </c>
      <c r="F13" s="447">
        <v>89986</v>
      </c>
      <c r="G13" s="447">
        <v>94036</v>
      </c>
      <c r="H13" s="447">
        <v>93572</v>
      </c>
      <c r="I13" s="447">
        <v>99209</v>
      </c>
    </row>
    <row r="14" spans="1:9" ht="15.95" customHeight="1" x14ac:dyDescent="0.3">
      <c r="A14" s="324" t="s">
        <v>105</v>
      </c>
      <c r="B14" s="326" t="s">
        <v>106</v>
      </c>
      <c r="C14" s="447">
        <v>89363</v>
      </c>
      <c r="D14" s="447">
        <v>90883</v>
      </c>
      <c r="E14" s="447">
        <v>92705</v>
      </c>
      <c r="F14" s="447">
        <v>94455</v>
      </c>
      <c r="G14" s="447">
        <v>95358</v>
      </c>
      <c r="H14" s="447">
        <v>96079</v>
      </c>
      <c r="I14" s="447">
        <v>97355</v>
      </c>
    </row>
    <row r="15" spans="1:9" ht="15.95" customHeight="1" x14ac:dyDescent="0.3">
      <c r="A15" s="324" t="s">
        <v>107</v>
      </c>
      <c r="B15" s="326" t="s">
        <v>108</v>
      </c>
      <c r="C15" s="447">
        <v>91677</v>
      </c>
      <c r="D15" s="447">
        <v>92698</v>
      </c>
      <c r="E15" s="447">
        <v>94244</v>
      </c>
      <c r="F15" s="447">
        <v>95498</v>
      </c>
      <c r="G15" s="447">
        <v>97063</v>
      </c>
      <c r="H15" s="447">
        <v>98849</v>
      </c>
      <c r="I15" s="447">
        <v>100605</v>
      </c>
    </row>
    <row r="16" spans="1:9" ht="15.95" customHeight="1" x14ac:dyDescent="0.3">
      <c r="A16" s="324" t="s">
        <v>109</v>
      </c>
      <c r="B16" s="326" t="s">
        <v>110</v>
      </c>
      <c r="C16" s="447">
        <v>55744</v>
      </c>
      <c r="D16" s="447">
        <v>57952</v>
      </c>
      <c r="E16" s="447">
        <v>59747</v>
      </c>
      <c r="F16" s="447">
        <v>61431</v>
      </c>
      <c r="G16" s="447">
        <v>62858</v>
      </c>
      <c r="H16" s="447">
        <v>64951</v>
      </c>
      <c r="I16" s="447">
        <v>67771</v>
      </c>
    </row>
    <row r="17" spans="1:9" ht="15.95" customHeight="1" x14ac:dyDescent="0.3">
      <c r="A17" s="324" t="s">
        <v>111</v>
      </c>
      <c r="B17" s="326" t="s">
        <v>112</v>
      </c>
      <c r="C17" s="447">
        <v>165859</v>
      </c>
      <c r="D17" s="447">
        <v>170638</v>
      </c>
      <c r="E17" s="447">
        <v>175078</v>
      </c>
      <c r="F17" s="447">
        <v>180015</v>
      </c>
      <c r="G17" s="447">
        <v>183939</v>
      </c>
      <c r="H17" s="447">
        <v>185598</v>
      </c>
      <c r="I17" s="447">
        <v>188631</v>
      </c>
    </row>
    <row r="18" spans="1:9" ht="15.95" customHeight="1" x14ac:dyDescent="0.3">
      <c r="A18" s="324" t="s">
        <v>113</v>
      </c>
      <c r="B18" s="326" t="s">
        <v>114</v>
      </c>
      <c r="C18" s="447">
        <v>89157</v>
      </c>
      <c r="D18" s="447">
        <v>91320</v>
      </c>
      <c r="E18" s="447">
        <v>92251</v>
      </c>
      <c r="F18" s="447">
        <v>91719</v>
      </c>
      <c r="G18" s="447">
        <v>92278</v>
      </c>
      <c r="H18" s="447">
        <v>92707</v>
      </c>
      <c r="I18" s="447">
        <v>93289</v>
      </c>
    </row>
    <row r="19" spans="1:9" ht="15.95" customHeight="1" x14ac:dyDescent="0.3">
      <c r="A19" s="324" t="s">
        <v>115</v>
      </c>
      <c r="B19" s="326" t="s">
        <v>116</v>
      </c>
      <c r="C19" s="447">
        <v>42746</v>
      </c>
      <c r="D19" s="447">
        <v>43404</v>
      </c>
      <c r="E19" s="447">
        <v>44088</v>
      </c>
      <c r="F19" s="447">
        <v>44546</v>
      </c>
      <c r="G19" s="447">
        <v>44920</v>
      </c>
      <c r="H19" s="447">
        <v>45995</v>
      </c>
      <c r="I19" s="447">
        <v>46638</v>
      </c>
    </row>
    <row r="20" spans="1:9" ht="15.95" customHeight="1" x14ac:dyDescent="0.3">
      <c r="A20" s="324" t="s">
        <v>117</v>
      </c>
      <c r="B20" s="329" t="s">
        <v>100</v>
      </c>
      <c r="C20" s="447">
        <v>51462</v>
      </c>
      <c r="D20" s="447">
        <v>53627</v>
      </c>
      <c r="E20" s="447">
        <v>55434</v>
      </c>
      <c r="F20" s="447">
        <v>57296</v>
      </c>
      <c r="G20" s="447">
        <v>58986</v>
      </c>
      <c r="H20" s="447">
        <v>59997</v>
      </c>
      <c r="I20" s="447">
        <v>61001</v>
      </c>
    </row>
    <row r="21" spans="1:9" ht="15.95" customHeight="1" x14ac:dyDescent="0.3">
      <c r="A21" s="324" t="s">
        <v>118</v>
      </c>
      <c r="B21" s="326" t="s">
        <v>63</v>
      </c>
      <c r="C21" s="447">
        <v>41472</v>
      </c>
      <c r="D21" s="447">
        <v>42849</v>
      </c>
      <c r="E21" s="447">
        <v>44214</v>
      </c>
      <c r="F21" s="447">
        <v>45261</v>
      </c>
      <c r="G21" s="447">
        <v>46314</v>
      </c>
      <c r="H21" s="447">
        <v>47299</v>
      </c>
      <c r="I21" s="447">
        <v>49167</v>
      </c>
    </row>
    <row r="22" spans="1:9" ht="15.95" customHeight="1" x14ac:dyDescent="0.3">
      <c r="A22" s="324" t="s">
        <v>119</v>
      </c>
      <c r="B22" s="326" t="s">
        <v>120</v>
      </c>
      <c r="C22" s="447">
        <v>175355</v>
      </c>
      <c r="D22" s="447">
        <v>177898</v>
      </c>
      <c r="E22" s="447">
        <v>180052</v>
      </c>
      <c r="F22" s="447">
        <v>185977</v>
      </c>
      <c r="G22" s="447">
        <v>186596</v>
      </c>
      <c r="H22" s="447">
        <v>189859</v>
      </c>
      <c r="I22" s="447">
        <v>192626</v>
      </c>
    </row>
    <row r="23" spans="1:9" ht="15.95" customHeight="1" x14ac:dyDescent="0.3">
      <c r="A23" s="324" t="s">
        <v>121</v>
      </c>
      <c r="B23" s="329" t="s">
        <v>122</v>
      </c>
      <c r="C23" s="447">
        <v>71207</v>
      </c>
      <c r="D23" s="447">
        <v>73553</v>
      </c>
      <c r="E23" s="447">
        <v>78704</v>
      </c>
      <c r="F23" s="447">
        <v>83876</v>
      </c>
      <c r="G23" s="447">
        <v>85532</v>
      </c>
      <c r="H23" s="447">
        <v>94508</v>
      </c>
      <c r="I23" s="447">
        <v>87656</v>
      </c>
    </row>
    <row r="24" spans="1:9" ht="15.95" customHeight="1" x14ac:dyDescent="0.3">
      <c r="A24" s="324" t="s">
        <v>123</v>
      </c>
      <c r="B24" s="326" t="s">
        <v>124</v>
      </c>
      <c r="C24" s="447">
        <v>296125</v>
      </c>
      <c r="D24" s="447">
        <v>305195</v>
      </c>
      <c r="E24" s="447">
        <v>299674</v>
      </c>
      <c r="F24" s="447">
        <v>315419</v>
      </c>
      <c r="G24" s="447">
        <v>323264</v>
      </c>
      <c r="H24" s="447">
        <v>324897</v>
      </c>
      <c r="I24" s="447">
        <v>330244</v>
      </c>
    </row>
    <row r="25" spans="1:9" ht="15.95" customHeight="1" x14ac:dyDescent="0.3">
      <c r="A25" s="324" t="s">
        <v>125</v>
      </c>
      <c r="B25" s="326" t="s">
        <v>35</v>
      </c>
      <c r="C25" s="447">
        <v>46647</v>
      </c>
      <c r="D25" s="447">
        <v>47475</v>
      </c>
      <c r="E25" s="447">
        <v>48257</v>
      </c>
      <c r="F25" s="447">
        <v>49207</v>
      </c>
      <c r="G25" s="447">
        <v>52101</v>
      </c>
      <c r="H25" s="447">
        <v>58610</v>
      </c>
      <c r="I25" s="447">
        <v>59367</v>
      </c>
    </row>
    <row r="26" spans="1:9" ht="32.1" customHeight="1" x14ac:dyDescent="0.3">
      <c r="A26" s="639" t="s">
        <v>126</v>
      </c>
      <c r="B26" s="640"/>
      <c r="C26" s="447"/>
      <c r="D26" s="447"/>
      <c r="E26" s="447"/>
      <c r="F26" s="447"/>
      <c r="G26" s="447"/>
      <c r="H26" s="447"/>
      <c r="I26" s="447"/>
    </row>
    <row r="27" spans="1:9" ht="15.95" customHeight="1" x14ac:dyDescent="0.3">
      <c r="A27" s="324" t="s">
        <v>127</v>
      </c>
      <c r="B27" s="327" t="s">
        <v>128</v>
      </c>
      <c r="C27" s="447">
        <v>34150</v>
      </c>
      <c r="D27" s="447">
        <v>35816</v>
      </c>
      <c r="E27" s="447">
        <v>37126</v>
      </c>
      <c r="F27" s="447">
        <v>37009</v>
      </c>
      <c r="G27" s="447">
        <v>39364</v>
      </c>
      <c r="H27" s="447">
        <v>40715</v>
      </c>
      <c r="I27" s="447">
        <v>43873</v>
      </c>
    </row>
    <row r="28" spans="1:9" ht="15.95" customHeight="1" x14ac:dyDescent="0.3">
      <c r="A28" s="324" t="s">
        <v>129</v>
      </c>
      <c r="B28" s="327" t="s">
        <v>128</v>
      </c>
      <c r="C28" s="447">
        <v>27199</v>
      </c>
      <c r="D28" s="447">
        <v>27645</v>
      </c>
      <c r="E28" s="447">
        <v>28573</v>
      </c>
      <c r="F28" s="447">
        <v>29361</v>
      </c>
      <c r="G28" s="447">
        <v>31505.001199999999</v>
      </c>
      <c r="H28" s="447">
        <v>31958</v>
      </c>
      <c r="I28" s="447">
        <v>32558</v>
      </c>
    </row>
    <row r="29" spans="1:9" ht="15.95" customHeight="1" x14ac:dyDescent="0.3">
      <c r="A29" s="324" t="s">
        <v>130</v>
      </c>
      <c r="B29" s="326" t="s">
        <v>128</v>
      </c>
      <c r="C29" s="447">
        <v>16813</v>
      </c>
      <c r="D29" s="447">
        <v>17311</v>
      </c>
      <c r="E29" s="447">
        <v>17758</v>
      </c>
      <c r="F29" s="447">
        <v>18172</v>
      </c>
      <c r="G29" s="447">
        <v>18716</v>
      </c>
      <c r="H29" s="447">
        <v>18764</v>
      </c>
      <c r="I29" s="447">
        <v>18968</v>
      </c>
    </row>
    <row r="30" spans="1:9" ht="15.95" customHeight="1" x14ac:dyDescent="0.3">
      <c r="A30" s="324" t="s">
        <v>131</v>
      </c>
      <c r="B30" s="327" t="s">
        <v>98</v>
      </c>
      <c r="C30" s="447">
        <v>12547</v>
      </c>
      <c r="D30" s="447">
        <v>13459</v>
      </c>
      <c r="E30" s="447">
        <v>14033</v>
      </c>
      <c r="F30" s="447">
        <v>14526</v>
      </c>
      <c r="G30" s="447">
        <v>15055</v>
      </c>
      <c r="H30" s="447">
        <v>15431</v>
      </c>
      <c r="I30" s="447">
        <v>16001</v>
      </c>
    </row>
    <row r="31" spans="1:9" ht="15.95" customHeight="1" x14ac:dyDescent="0.3">
      <c r="A31" s="324" t="s">
        <v>132</v>
      </c>
      <c r="B31" s="327" t="s">
        <v>35</v>
      </c>
      <c r="C31" s="447">
        <v>24398</v>
      </c>
      <c r="D31" s="447">
        <v>23503</v>
      </c>
      <c r="E31" s="447">
        <v>23891</v>
      </c>
      <c r="F31" s="447">
        <v>24873</v>
      </c>
      <c r="G31" s="447">
        <v>25707</v>
      </c>
      <c r="H31" s="447">
        <v>26127</v>
      </c>
      <c r="I31" s="447">
        <v>26702</v>
      </c>
    </row>
    <row r="32" spans="1:9" ht="15.95" customHeight="1" x14ac:dyDescent="0.3">
      <c r="A32" s="324" t="s">
        <v>134</v>
      </c>
      <c r="B32" s="325" t="s">
        <v>171</v>
      </c>
      <c r="C32" s="447">
        <v>29221</v>
      </c>
      <c r="D32" s="447">
        <v>27936</v>
      </c>
      <c r="E32" s="447">
        <v>28077</v>
      </c>
      <c r="F32" s="447">
        <v>30003</v>
      </c>
      <c r="G32" s="447">
        <v>31772</v>
      </c>
      <c r="H32" s="447">
        <v>32199</v>
      </c>
      <c r="I32" s="447">
        <v>32706</v>
      </c>
    </row>
    <row r="33" spans="1:9" ht="15.95" customHeight="1" x14ac:dyDescent="0.3">
      <c r="A33" s="324" t="s">
        <v>136</v>
      </c>
      <c r="B33" s="327" t="s">
        <v>137</v>
      </c>
      <c r="C33" s="447">
        <v>16935</v>
      </c>
      <c r="D33" s="447">
        <v>17886</v>
      </c>
      <c r="E33" s="447">
        <v>18017</v>
      </c>
      <c r="F33" s="447">
        <v>18691</v>
      </c>
      <c r="G33" s="447">
        <v>19289</v>
      </c>
      <c r="H33" s="447">
        <v>19836</v>
      </c>
      <c r="I33" s="447">
        <v>22612</v>
      </c>
    </row>
    <row r="34" spans="1:9" ht="15.95" customHeight="1" x14ac:dyDescent="0.3">
      <c r="A34" s="324" t="s">
        <v>138</v>
      </c>
      <c r="B34" s="326" t="s">
        <v>81</v>
      </c>
      <c r="C34" s="447">
        <v>14870</v>
      </c>
      <c r="D34" s="447">
        <v>15766</v>
      </c>
      <c r="E34" s="447">
        <v>16316</v>
      </c>
      <c r="F34" s="447">
        <v>16840</v>
      </c>
      <c r="G34" s="447">
        <v>17377</v>
      </c>
      <c r="H34" s="447">
        <v>17695</v>
      </c>
      <c r="I34" s="447">
        <v>18336</v>
      </c>
    </row>
    <row r="35" spans="1:9" ht="15.95" customHeight="1" x14ac:dyDescent="0.3">
      <c r="A35" s="324" t="s">
        <v>139</v>
      </c>
      <c r="B35" s="327" t="s">
        <v>140</v>
      </c>
      <c r="C35" s="447">
        <v>14436</v>
      </c>
      <c r="D35" s="447">
        <v>15094</v>
      </c>
      <c r="E35" s="447">
        <v>15707</v>
      </c>
      <c r="F35" s="447">
        <v>16224</v>
      </c>
      <c r="G35" s="447">
        <v>17087</v>
      </c>
      <c r="H35" s="447">
        <v>17657</v>
      </c>
      <c r="I35" s="447">
        <v>18505</v>
      </c>
    </row>
    <row r="36" spans="1:9" ht="15.95" customHeight="1" x14ac:dyDescent="0.3">
      <c r="A36" s="324" t="s">
        <v>141</v>
      </c>
      <c r="B36" s="327" t="s">
        <v>114</v>
      </c>
      <c r="C36" s="447">
        <v>28131</v>
      </c>
      <c r="D36" s="447">
        <v>29575</v>
      </c>
      <c r="E36" s="447">
        <v>30693</v>
      </c>
      <c r="F36" s="447">
        <v>31664</v>
      </c>
      <c r="G36" s="447">
        <v>32183</v>
      </c>
      <c r="H36" s="447">
        <v>32479</v>
      </c>
      <c r="I36" s="447">
        <v>32979</v>
      </c>
    </row>
    <row r="37" spans="1:9" ht="15.95" customHeight="1" x14ac:dyDescent="0.3">
      <c r="A37" s="324" t="s">
        <v>142</v>
      </c>
      <c r="B37" s="327" t="s">
        <v>27</v>
      </c>
      <c r="C37" s="447">
        <v>25170</v>
      </c>
      <c r="D37" s="447">
        <v>25766</v>
      </c>
      <c r="E37" s="447">
        <v>26127</v>
      </c>
      <c r="F37" s="447">
        <v>26288</v>
      </c>
      <c r="G37" s="447">
        <v>27214</v>
      </c>
      <c r="H37" s="447">
        <v>28138</v>
      </c>
      <c r="I37" s="447">
        <v>28665</v>
      </c>
    </row>
    <row r="38" spans="1:9" ht="15.95" customHeight="1" x14ac:dyDescent="0.3">
      <c r="A38" s="324" t="s">
        <v>143</v>
      </c>
      <c r="B38" s="327" t="s">
        <v>122</v>
      </c>
      <c r="C38" s="447">
        <v>18818</v>
      </c>
      <c r="D38" s="447">
        <v>19546</v>
      </c>
      <c r="E38" s="447">
        <v>20203</v>
      </c>
      <c r="F38" s="447">
        <v>20893</v>
      </c>
      <c r="G38" s="447">
        <v>21587</v>
      </c>
      <c r="H38" s="447">
        <v>22119</v>
      </c>
      <c r="I38" s="447">
        <v>23148</v>
      </c>
    </row>
    <row r="39" spans="1:9" ht="15.95" customHeight="1" x14ac:dyDescent="0.3">
      <c r="A39" s="324" t="s">
        <v>144</v>
      </c>
      <c r="B39" s="327" t="s">
        <v>63</v>
      </c>
      <c r="C39" s="447">
        <v>18256</v>
      </c>
      <c r="D39" s="447">
        <v>19120</v>
      </c>
      <c r="E39" s="447">
        <v>19894</v>
      </c>
      <c r="F39" s="447">
        <v>20519</v>
      </c>
      <c r="G39" s="447">
        <v>21446</v>
      </c>
      <c r="H39" s="447">
        <v>23222</v>
      </c>
      <c r="I39" s="447">
        <v>24248</v>
      </c>
    </row>
    <row r="40" spans="1:9" ht="15.95" customHeight="1" x14ac:dyDescent="0.3">
      <c r="A40" s="324" t="s">
        <v>145</v>
      </c>
      <c r="B40" s="327" t="s">
        <v>27</v>
      </c>
      <c r="C40" s="447">
        <v>21774</v>
      </c>
      <c r="D40" s="447">
        <v>22220</v>
      </c>
      <c r="E40" s="447">
        <v>22467</v>
      </c>
      <c r="F40" s="447">
        <v>22795</v>
      </c>
      <c r="G40" s="447">
        <v>23310</v>
      </c>
      <c r="H40" s="447">
        <v>23323</v>
      </c>
      <c r="I40" s="447">
        <v>24051</v>
      </c>
    </row>
    <row r="41" spans="1:9" ht="15.95" customHeight="1" x14ac:dyDescent="0.3">
      <c r="A41" s="324" t="s">
        <v>146</v>
      </c>
      <c r="B41" s="327" t="s">
        <v>147</v>
      </c>
      <c r="C41" s="447">
        <v>24208</v>
      </c>
      <c r="D41" s="447">
        <v>25068</v>
      </c>
      <c r="E41" s="447">
        <v>25327</v>
      </c>
      <c r="F41" s="447">
        <v>25987</v>
      </c>
      <c r="G41" s="447">
        <v>26902</v>
      </c>
      <c r="H41" s="447">
        <v>28323</v>
      </c>
      <c r="I41" s="447">
        <v>29070</v>
      </c>
    </row>
    <row r="42" spans="1:9" ht="15.95" customHeight="1" x14ac:dyDescent="0.3">
      <c r="A42" s="324" t="s">
        <v>148</v>
      </c>
      <c r="B42" s="326" t="s">
        <v>128</v>
      </c>
      <c r="C42" s="447">
        <v>17409</v>
      </c>
      <c r="D42" s="447">
        <v>17774</v>
      </c>
      <c r="E42" s="447">
        <v>18188</v>
      </c>
      <c r="F42" s="447">
        <v>18674</v>
      </c>
      <c r="G42" s="447">
        <v>19344</v>
      </c>
      <c r="H42" s="447">
        <v>19629</v>
      </c>
      <c r="I42" s="447">
        <v>19971</v>
      </c>
    </row>
    <row r="43" spans="1:9" ht="32.1" customHeight="1" x14ac:dyDescent="0.3">
      <c r="A43" s="639" t="s">
        <v>149</v>
      </c>
      <c r="B43" s="640"/>
      <c r="C43" s="447"/>
      <c r="D43" s="447"/>
      <c r="E43" s="447"/>
      <c r="F43" s="447"/>
      <c r="G43" s="447"/>
      <c r="H43" s="447"/>
      <c r="I43" s="447"/>
    </row>
    <row r="44" spans="1:9" ht="15.95" customHeight="1" x14ac:dyDescent="0.3">
      <c r="A44" s="324" t="s">
        <v>150</v>
      </c>
      <c r="B44" s="326" t="s">
        <v>151</v>
      </c>
      <c r="C44" s="447">
        <v>8982</v>
      </c>
      <c r="D44" s="447">
        <v>9999</v>
      </c>
      <c r="E44" s="447">
        <v>10366</v>
      </c>
      <c r="F44" s="447">
        <v>10590</v>
      </c>
      <c r="G44" s="447">
        <v>10917</v>
      </c>
      <c r="H44" s="447">
        <v>11252</v>
      </c>
      <c r="I44" s="447">
        <v>11462</v>
      </c>
    </row>
    <row r="45" spans="1:9" ht="15.95" customHeight="1" x14ac:dyDescent="0.3">
      <c r="A45" s="324" t="s">
        <v>152</v>
      </c>
      <c r="B45" s="327" t="s">
        <v>76</v>
      </c>
      <c r="C45" s="447">
        <v>11597</v>
      </c>
      <c r="D45" s="447">
        <v>11639</v>
      </c>
      <c r="E45" s="447">
        <v>11732</v>
      </c>
      <c r="F45" s="447">
        <v>12799</v>
      </c>
      <c r="G45" s="447">
        <v>12967</v>
      </c>
      <c r="H45" s="447">
        <v>13095</v>
      </c>
      <c r="I45" s="447">
        <v>13104</v>
      </c>
    </row>
    <row r="46" spans="1:9" s="43" customFormat="1" ht="15.95" customHeight="1" x14ac:dyDescent="0.3">
      <c r="A46" s="324" t="s">
        <v>153</v>
      </c>
      <c r="B46" s="326" t="s">
        <v>100</v>
      </c>
      <c r="C46" s="448">
        <v>5026</v>
      </c>
      <c r="D46" s="448">
        <v>5235</v>
      </c>
      <c r="E46" s="448">
        <v>5316</v>
      </c>
      <c r="F46" s="448">
        <v>5410</v>
      </c>
      <c r="G46" s="448">
        <v>5480</v>
      </c>
      <c r="H46" s="448">
        <v>5578</v>
      </c>
      <c r="I46" s="448">
        <v>5726</v>
      </c>
    </row>
    <row r="47" spans="1:9" ht="15.95" customHeight="1" x14ac:dyDescent="0.3">
      <c r="A47" s="324" t="s">
        <v>154</v>
      </c>
      <c r="B47" s="326" t="s">
        <v>155</v>
      </c>
      <c r="C47" s="447">
        <v>5156</v>
      </c>
      <c r="D47" s="447">
        <v>5251</v>
      </c>
      <c r="E47" s="447">
        <v>5426</v>
      </c>
      <c r="F47" s="447">
        <v>5530</v>
      </c>
      <c r="G47" s="447">
        <v>5580</v>
      </c>
      <c r="H47" s="447">
        <v>5705</v>
      </c>
      <c r="I47" s="447">
        <v>5827</v>
      </c>
    </row>
    <row r="48" spans="1:9" ht="15.95" customHeight="1" x14ac:dyDescent="0.3">
      <c r="A48" s="324" t="s">
        <v>156</v>
      </c>
      <c r="B48" s="327" t="s">
        <v>35</v>
      </c>
      <c r="C48" s="447">
        <v>8955</v>
      </c>
      <c r="D48" s="447">
        <v>9226</v>
      </c>
      <c r="E48" s="447">
        <v>9340</v>
      </c>
      <c r="F48" s="447">
        <v>9504</v>
      </c>
      <c r="G48" s="447">
        <v>9300</v>
      </c>
      <c r="H48" s="447">
        <v>9374</v>
      </c>
      <c r="I48" s="447">
        <v>9461</v>
      </c>
    </row>
    <row r="49" spans="1:9" ht="15.95" customHeight="1" x14ac:dyDescent="0.3">
      <c r="A49" s="324" t="s">
        <v>157</v>
      </c>
      <c r="B49" s="326" t="s">
        <v>81</v>
      </c>
      <c r="C49" s="447">
        <v>7062</v>
      </c>
      <c r="D49" s="447">
        <v>7555</v>
      </c>
      <c r="E49" s="447">
        <v>7879</v>
      </c>
      <c r="F49" s="447">
        <v>8097</v>
      </c>
      <c r="G49" s="447">
        <v>8369</v>
      </c>
      <c r="H49" s="447">
        <v>8891</v>
      </c>
      <c r="I49" s="447">
        <v>9042</v>
      </c>
    </row>
    <row r="50" spans="1:9" ht="15.95" customHeight="1" x14ac:dyDescent="0.3">
      <c r="A50" s="324" t="s">
        <v>158</v>
      </c>
      <c r="B50" s="326" t="s">
        <v>81</v>
      </c>
      <c r="C50" s="447">
        <v>3598</v>
      </c>
      <c r="D50" s="447">
        <v>3900</v>
      </c>
      <c r="E50" s="447">
        <v>3933</v>
      </c>
      <c r="F50" s="447">
        <v>4445</v>
      </c>
      <c r="G50" s="447">
        <v>4560</v>
      </c>
      <c r="H50" s="447">
        <v>4271</v>
      </c>
      <c r="I50" s="447">
        <v>4835</v>
      </c>
    </row>
    <row r="51" spans="1:9" ht="15.95" customHeight="1" x14ac:dyDescent="0.3">
      <c r="A51" s="324" t="s">
        <v>159</v>
      </c>
      <c r="B51" s="326" t="s">
        <v>122</v>
      </c>
      <c r="C51" s="447">
        <v>3320</v>
      </c>
      <c r="D51" s="447">
        <v>3320</v>
      </c>
      <c r="E51" s="447">
        <v>3443</v>
      </c>
      <c r="F51" s="447">
        <v>3493</v>
      </c>
      <c r="G51" s="447">
        <v>3537</v>
      </c>
      <c r="H51" s="447">
        <v>3679</v>
      </c>
      <c r="I51" s="447">
        <v>3709</v>
      </c>
    </row>
    <row r="52" spans="1:9" ht="15.95" customHeight="1" x14ac:dyDescent="0.3">
      <c r="A52" s="324" t="s">
        <v>160</v>
      </c>
      <c r="B52" s="326" t="s">
        <v>155</v>
      </c>
      <c r="C52" s="447">
        <v>7300</v>
      </c>
      <c r="D52" s="447">
        <v>7579</v>
      </c>
      <c r="E52" s="447">
        <v>7840</v>
      </c>
      <c r="F52" s="447">
        <v>8085</v>
      </c>
      <c r="G52" s="447">
        <v>8333</v>
      </c>
      <c r="H52" s="447">
        <v>8640</v>
      </c>
      <c r="I52" s="447">
        <v>8940</v>
      </c>
    </row>
    <row r="53" spans="1:9" ht="15.95" customHeight="1" x14ac:dyDescent="0.3">
      <c r="A53" s="324" t="s">
        <v>161</v>
      </c>
      <c r="B53" s="326" t="s">
        <v>100</v>
      </c>
      <c r="C53" s="449">
        <v>6689</v>
      </c>
      <c r="D53" s="449">
        <v>6689</v>
      </c>
      <c r="E53" s="449">
        <v>7089</v>
      </c>
      <c r="F53" s="449">
        <v>7222</v>
      </c>
      <c r="G53" s="449">
        <v>7407</v>
      </c>
      <c r="H53" s="449">
        <v>7407</v>
      </c>
      <c r="I53" s="449">
        <v>7707</v>
      </c>
    </row>
    <row r="54" spans="1:9" ht="15.95" customHeight="1" x14ac:dyDescent="0.3">
      <c r="A54" s="324" t="s">
        <v>162</v>
      </c>
      <c r="B54" s="326" t="s">
        <v>163</v>
      </c>
      <c r="C54" s="447">
        <v>6664</v>
      </c>
      <c r="D54" s="447">
        <v>5315</v>
      </c>
      <c r="E54" s="447">
        <v>5345</v>
      </c>
      <c r="F54" s="447">
        <v>5512</v>
      </c>
      <c r="G54" s="447">
        <v>5637</v>
      </c>
      <c r="H54" s="447">
        <v>5756</v>
      </c>
      <c r="I54" s="447">
        <v>5805</v>
      </c>
    </row>
    <row r="55" spans="1:9" ht="15.95" customHeight="1" x14ac:dyDescent="0.3">
      <c r="A55" s="324" t="s">
        <v>164</v>
      </c>
      <c r="B55" s="326" t="s">
        <v>100</v>
      </c>
      <c r="C55" s="447">
        <v>9125</v>
      </c>
      <c r="D55" s="447">
        <v>9476</v>
      </c>
      <c r="E55" s="447">
        <v>10254</v>
      </c>
      <c r="F55" s="447">
        <v>10537</v>
      </c>
      <c r="G55" s="447">
        <v>10842</v>
      </c>
      <c r="H55" s="447">
        <v>10133</v>
      </c>
      <c r="I55" s="447">
        <v>11516</v>
      </c>
    </row>
    <row r="56" spans="1:9" ht="15.95" customHeight="1" x14ac:dyDescent="0.3">
      <c r="A56" s="324" t="s">
        <v>165</v>
      </c>
      <c r="B56" s="325" t="s">
        <v>122</v>
      </c>
      <c r="C56" s="447">
        <v>8975</v>
      </c>
      <c r="D56" s="447">
        <v>9114</v>
      </c>
      <c r="E56" s="447">
        <v>9640</v>
      </c>
      <c r="F56" s="447">
        <v>9449</v>
      </c>
      <c r="G56" s="447">
        <v>10064</v>
      </c>
      <c r="H56" s="447">
        <v>9815</v>
      </c>
      <c r="I56" s="447">
        <v>9933</v>
      </c>
    </row>
    <row r="57" spans="1:9" ht="15.95" customHeight="1" x14ac:dyDescent="0.3">
      <c r="A57" s="324" t="s">
        <v>166</v>
      </c>
      <c r="B57" s="327" t="s">
        <v>155</v>
      </c>
      <c r="C57" s="447">
        <v>8610</v>
      </c>
      <c r="D57" s="447">
        <v>8211</v>
      </c>
      <c r="E57" s="447">
        <v>8352</v>
      </c>
      <c r="F57" s="447">
        <v>8631</v>
      </c>
      <c r="G57" s="447">
        <v>8753</v>
      </c>
      <c r="H57" s="447">
        <v>8918</v>
      </c>
      <c r="I57" s="447">
        <v>9174</v>
      </c>
    </row>
    <row r="58" spans="1:9" ht="15.95" customHeight="1" x14ac:dyDescent="0.3">
      <c r="A58" s="330" t="s">
        <v>167</v>
      </c>
      <c r="B58" s="338" t="s">
        <v>98</v>
      </c>
      <c r="C58" s="450">
        <v>6181</v>
      </c>
      <c r="D58" s="450">
        <v>6441</v>
      </c>
      <c r="E58" s="450">
        <v>6655</v>
      </c>
      <c r="F58" s="450">
        <v>6932</v>
      </c>
      <c r="G58" s="450">
        <v>7288</v>
      </c>
      <c r="H58" s="450">
        <v>7661</v>
      </c>
      <c r="I58" s="450">
        <v>7866</v>
      </c>
    </row>
    <row r="59" spans="1:9" s="246" customFormat="1" ht="12.75" hidden="1" customHeight="1" x14ac:dyDescent="0.3">
      <c r="A59" s="243" t="s">
        <v>221</v>
      </c>
      <c r="B59" s="243"/>
      <c r="C59" s="244"/>
      <c r="D59" s="244"/>
      <c r="E59" s="244"/>
      <c r="F59" s="244"/>
      <c r="G59" s="244"/>
      <c r="H59" s="244"/>
      <c r="I59" s="244"/>
    </row>
    <row r="60" spans="1:9" s="250" customFormat="1" ht="12.75" hidden="1" customHeight="1" x14ac:dyDescent="0.25">
      <c r="A60" s="248" t="s">
        <v>234</v>
      </c>
      <c r="B60" s="248"/>
      <c r="C60" s="249"/>
      <c r="D60" s="249"/>
      <c r="E60" s="249"/>
      <c r="F60" s="249"/>
      <c r="G60" s="249"/>
      <c r="H60" s="249"/>
      <c r="I60" s="249"/>
    </row>
    <row r="61" spans="1:9" s="246" customFormat="1" ht="12.75" hidden="1" customHeight="1" x14ac:dyDescent="0.3">
      <c r="A61" s="247" t="s">
        <v>235</v>
      </c>
      <c r="B61" s="247"/>
      <c r="C61" s="244"/>
      <c r="D61" s="244"/>
      <c r="E61" s="244"/>
      <c r="F61" s="244"/>
      <c r="G61" s="244"/>
      <c r="H61" s="244"/>
      <c r="I61" s="244"/>
    </row>
    <row r="62" spans="1:9" s="246" customFormat="1" ht="12.75" hidden="1" customHeight="1" x14ac:dyDescent="0.3">
      <c r="A62" s="247" t="s">
        <v>236</v>
      </c>
      <c r="B62" s="247"/>
      <c r="C62" s="244"/>
      <c r="D62" s="244"/>
      <c r="E62" s="244"/>
      <c r="F62" s="244"/>
      <c r="G62" s="244"/>
      <c r="H62" s="244"/>
      <c r="I62" s="244"/>
    </row>
    <row r="63" spans="1:9" s="246" customFormat="1" ht="12.75" hidden="1" customHeight="1" x14ac:dyDescent="0.3">
      <c r="A63" s="247" t="s">
        <v>237</v>
      </c>
      <c r="B63" s="247"/>
      <c r="C63" s="244"/>
      <c r="D63" s="244"/>
      <c r="E63" s="244"/>
      <c r="F63" s="244"/>
      <c r="G63" s="244"/>
      <c r="H63" s="244"/>
      <c r="I63" s="244"/>
    </row>
    <row r="64" spans="1:9" s="17" customFormat="1" ht="12" customHeight="1" x14ac:dyDescent="0.25">
      <c r="A64" s="18" t="s">
        <v>168</v>
      </c>
      <c r="B64" s="18"/>
      <c r="C64" s="15"/>
      <c r="D64" s="15"/>
      <c r="E64" s="15"/>
      <c r="F64" s="15"/>
      <c r="G64" s="15"/>
      <c r="H64" s="15"/>
      <c r="I64" s="15"/>
    </row>
  </sheetData>
  <mergeCells count="6">
    <mergeCell ref="A43:B43"/>
    <mergeCell ref="A1:I1"/>
    <mergeCell ref="A2:I2"/>
    <mergeCell ref="A5:B5"/>
    <mergeCell ref="A7:B7"/>
    <mergeCell ref="A26:B26"/>
  </mergeCells>
  <conditionalFormatting sqref="A4">
    <cfRule type="cellIs" dxfId="15" priority="4" stopIfTrue="1" operator="equal">
      <formula>"S.I."</formula>
    </cfRule>
  </conditionalFormatting>
  <conditionalFormatting sqref="B4">
    <cfRule type="cellIs" dxfId="14" priority="3" stopIfTrue="1" operator="equal">
      <formula>"S.I."</formula>
    </cfRule>
  </conditionalFormatting>
  <conditionalFormatting sqref="A59:B59">
    <cfRule type="cellIs" dxfId="13" priority="2" stopIfTrue="1" operator="equal">
      <formula>"S.I."</formula>
    </cfRule>
  </conditionalFormatting>
  <conditionalFormatting sqref="A60:B63">
    <cfRule type="cellIs" dxfId="12" priority="1" stopIfTrue="1" operator="equal">
      <formula>"S.I."</formula>
    </cfRule>
  </conditionalFormatting>
  <printOptions horizontalCentered="1"/>
  <pageMargins left="0.70866141732283472" right="0.31496062992125984" top="0.74803149606299213" bottom="0.55118110236220474" header="0.31496062992125984" footer="0.31496062992125984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Q61"/>
  <sheetViews>
    <sheetView showGridLines="0" zoomScaleNormal="100" workbookViewId="0">
      <selection activeCell="A4" sqref="A4:I60"/>
    </sheetView>
  </sheetViews>
  <sheetFormatPr baseColWidth="10" defaultColWidth="11.28515625" defaultRowHeight="12.75" customHeight="1" x14ac:dyDescent="0.3"/>
  <cols>
    <col min="1" max="1" width="31.7109375" style="43" customWidth="1"/>
    <col min="2" max="2" width="18.42578125" style="20" customWidth="1"/>
    <col min="3" max="9" width="8.85546875" style="40" bestFit="1" customWidth="1"/>
    <col min="10" max="16384" width="11.28515625" style="20"/>
  </cols>
  <sheetData>
    <row r="1" spans="1:17" s="455" customFormat="1" ht="25.7" customHeight="1" x14ac:dyDescent="0.3">
      <c r="A1" s="646" t="s">
        <v>387</v>
      </c>
      <c r="B1" s="646"/>
      <c r="C1" s="646"/>
      <c r="D1" s="646"/>
      <c r="E1" s="646"/>
      <c r="F1" s="646"/>
      <c r="G1" s="646"/>
      <c r="H1" s="646"/>
      <c r="I1" s="646"/>
    </row>
    <row r="2" spans="1:17" s="455" customFormat="1" ht="12.75" customHeight="1" x14ac:dyDescent="0.3">
      <c r="A2" s="647" t="s">
        <v>233</v>
      </c>
      <c r="B2" s="647"/>
      <c r="C2" s="647"/>
      <c r="D2" s="647"/>
      <c r="E2" s="647"/>
      <c r="F2" s="647"/>
      <c r="G2" s="647"/>
      <c r="H2" s="647"/>
      <c r="I2" s="647"/>
    </row>
    <row r="3" spans="1:17" ht="12.75" customHeight="1" x14ac:dyDescent="0.3">
      <c r="A3" s="1"/>
      <c r="B3" s="1"/>
      <c r="C3" s="15"/>
      <c r="D3" s="15"/>
      <c r="E3" s="15"/>
      <c r="F3" s="15"/>
      <c r="G3" s="15"/>
      <c r="H3" s="15"/>
      <c r="I3" s="15"/>
    </row>
    <row r="4" spans="1:17" ht="20.100000000000001" customHeight="1" x14ac:dyDescent="0.3">
      <c r="A4" s="309" t="s">
        <v>91</v>
      </c>
      <c r="B4" s="310" t="s">
        <v>92</v>
      </c>
      <c r="C4" s="451">
        <v>2015</v>
      </c>
      <c r="D4" s="451">
        <v>2016</v>
      </c>
      <c r="E4" s="451">
        <v>2017</v>
      </c>
      <c r="F4" s="452">
        <v>2018</v>
      </c>
      <c r="G4" s="311">
        <v>2019</v>
      </c>
      <c r="H4" s="311">
        <v>2020</v>
      </c>
      <c r="I4" s="311" t="s">
        <v>378</v>
      </c>
    </row>
    <row r="5" spans="1:17" ht="32.1" customHeight="1" x14ac:dyDescent="0.3">
      <c r="A5" s="639" t="s">
        <v>93</v>
      </c>
      <c r="B5" s="640"/>
      <c r="C5" s="446"/>
      <c r="D5" s="446"/>
      <c r="E5" s="446"/>
      <c r="F5" s="446"/>
      <c r="G5" s="446"/>
      <c r="H5" s="446"/>
      <c r="I5" s="446"/>
    </row>
    <row r="6" spans="1:17" ht="15.95" customHeight="1" x14ac:dyDescent="0.3">
      <c r="A6" s="322" t="s">
        <v>94</v>
      </c>
      <c r="B6" s="323" t="s">
        <v>95</v>
      </c>
      <c r="C6" s="78">
        <v>1215082</v>
      </c>
      <c r="D6" s="78">
        <v>1273405</v>
      </c>
      <c r="E6" s="78">
        <v>1323603</v>
      </c>
      <c r="F6" s="78">
        <v>1378770</v>
      </c>
      <c r="G6" s="78">
        <v>1393494</v>
      </c>
      <c r="H6" s="78">
        <v>1422512</v>
      </c>
      <c r="I6" s="78">
        <v>1449684</v>
      </c>
      <c r="O6" s="79"/>
      <c r="P6" s="43"/>
      <c r="Q6" s="80"/>
    </row>
    <row r="7" spans="1:17" ht="32.1" customHeight="1" x14ac:dyDescent="0.3">
      <c r="A7" s="644" t="s">
        <v>368</v>
      </c>
      <c r="B7" s="645"/>
      <c r="C7" s="78"/>
      <c r="D7" s="78"/>
      <c r="E7" s="78"/>
      <c r="F7" s="78"/>
      <c r="G7" s="78"/>
      <c r="H7" s="78"/>
      <c r="I7" s="78"/>
    </row>
    <row r="8" spans="1:17" ht="15.95" customHeight="1" x14ac:dyDescent="0.3">
      <c r="A8" s="324" t="s">
        <v>97</v>
      </c>
      <c r="B8" s="326" t="s">
        <v>98</v>
      </c>
      <c r="C8" s="78">
        <v>35200</v>
      </c>
      <c r="D8" s="78">
        <v>36556</v>
      </c>
      <c r="E8" s="78">
        <v>36703</v>
      </c>
      <c r="F8" s="78">
        <v>37729</v>
      </c>
      <c r="G8" s="78">
        <v>39171</v>
      </c>
      <c r="H8" s="78">
        <v>40035</v>
      </c>
      <c r="I8" s="78">
        <v>39711</v>
      </c>
    </row>
    <row r="9" spans="1:17" ht="15.95" customHeight="1" x14ac:dyDescent="0.3">
      <c r="A9" s="324" t="s">
        <v>170</v>
      </c>
      <c r="B9" s="327" t="s">
        <v>35</v>
      </c>
      <c r="C9" s="78">
        <v>5174</v>
      </c>
      <c r="D9" s="78">
        <v>6143</v>
      </c>
      <c r="E9" s="78">
        <v>18911</v>
      </c>
      <c r="F9" s="78">
        <v>23064</v>
      </c>
      <c r="G9" s="78">
        <v>23932</v>
      </c>
      <c r="H9" s="78">
        <v>25380</v>
      </c>
      <c r="I9" s="78">
        <v>25109</v>
      </c>
    </row>
    <row r="10" spans="1:17" ht="15.95" customHeight="1" x14ac:dyDescent="0.3">
      <c r="A10" s="324" t="s">
        <v>99</v>
      </c>
      <c r="B10" s="327" t="s">
        <v>100</v>
      </c>
      <c r="C10" s="78">
        <v>20694</v>
      </c>
      <c r="D10" s="78">
        <v>22715.5</v>
      </c>
      <c r="E10" s="78">
        <v>24599</v>
      </c>
      <c r="F10" s="78">
        <v>30045</v>
      </c>
      <c r="G10" s="78">
        <v>32036</v>
      </c>
      <c r="H10" s="78">
        <v>33180</v>
      </c>
      <c r="I10" s="78">
        <v>34894</v>
      </c>
    </row>
    <row r="11" spans="1:17" ht="15.95" customHeight="1" x14ac:dyDescent="0.3">
      <c r="A11" s="324" t="s">
        <v>232</v>
      </c>
      <c r="B11" s="326" t="s">
        <v>57</v>
      </c>
      <c r="C11" s="78">
        <v>19949</v>
      </c>
      <c r="D11" s="78">
        <v>20008</v>
      </c>
      <c r="E11" s="78">
        <v>19026</v>
      </c>
      <c r="F11" s="78">
        <v>16291</v>
      </c>
      <c r="G11" s="78">
        <v>17167</v>
      </c>
      <c r="H11" s="78">
        <v>17718</v>
      </c>
      <c r="I11" s="78">
        <v>18119</v>
      </c>
    </row>
    <row r="12" spans="1:17" ht="15.95" customHeight="1" x14ac:dyDescent="0.3">
      <c r="A12" s="324" t="s">
        <v>102</v>
      </c>
      <c r="B12" s="327" t="s">
        <v>103</v>
      </c>
      <c r="C12" s="78">
        <v>97835</v>
      </c>
      <c r="D12" s="78">
        <v>118589</v>
      </c>
      <c r="E12" s="78">
        <v>118323</v>
      </c>
      <c r="F12" s="78">
        <v>114308</v>
      </c>
      <c r="G12" s="78">
        <v>107182</v>
      </c>
      <c r="H12" s="78">
        <v>105140</v>
      </c>
      <c r="I12" s="78">
        <v>97662</v>
      </c>
    </row>
    <row r="13" spans="1:17" ht="15.95" customHeight="1" x14ac:dyDescent="0.3">
      <c r="A13" s="324" t="s">
        <v>104</v>
      </c>
      <c r="B13" s="326" t="s">
        <v>81</v>
      </c>
      <c r="C13" s="78">
        <v>67647</v>
      </c>
      <c r="D13" s="78">
        <v>74525</v>
      </c>
      <c r="E13" s="78">
        <v>75734</v>
      </c>
      <c r="F13" s="78">
        <v>77800</v>
      </c>
      <c r="G13" s="78">
        <v>77978</v>
      </c>
      <c r="H13" s="78">
        <v>81493</v>
      </c>
      <c r="I13" s="78">
        <v>87034</v>
      </c>
    </row>
    <row r="14" spans="1:17" ht="15.95" customHeight="1" x14ac:dyDescent="0.3">
      <c r="A14" s="324" t="s">
        <v>105</v>
      </c>
      <c r="B14" s="326" t="s">
        <v>106</v>
      </c>
      <c r="C14" s="78">
        <v>35659</v>
      </c>
      <c r="D14" s="78">
        <v>36288</v>
      </c>
      <c r="E14" s="78">
        <v>35362</v>
      </c>
      <c r="F14" s="78">
        <v>34180</v>
      </c>
      <c r="G14" s="78">
        <v>47384</v>
      </c>
      <c r="H14" s="78">
        <v>48491</v>
      </c>
      <c r="I14" s="78">
        <v>46379</v>
      </c>
    </row>
    <row r="15" spans="1:17" ht="15.95" customHeight="1" x14ac:dyDescent="0.3">
      <c r="A15" s="324" t="s">
        <v>107</v>
      </c>
      <c r="B15" s="326" t="s">
        <v>108</v>
      </c>
      <c r="C15" s="78">
        <v>45655</v>
      </c>
      <c r="D15" s="78">
        <v>47571</v>
      </c>
      <c r="E15" s="78">
        <v>53041</v>
      </c>
      <c r="F15" s="78">
        <v>63370</v>
      </c>
      <c r="G15" s="78">
        <v>67014</v>
      </c>
      <c r="H15" s="78">
        <v>65837</v>
      </c>
      <c r="I15" s="78">
        <v>66799</v>
      </c>
    </row>
    <row r="16" spans="1:17" ht="15.95" customHeight="1" x14ac:dyDescent="0.3">
      <c r="A16" s="324" t="s">
        <v>109</v>
      </c>
      <c r="B16" s="326" t="s">
        <v>110</v>
      </c>
      <c r="C16" s="78">
        <v>38695</v>
      </c>
      <c r="D16" s="78">
        <v>45628</v>
      </c>
      <c r="E16" s="78">
        <v>49479</v>
      </c>
      <c r="F16" s="78">
        <v>52175</v>
      </c>
      <c r="G16" s="78">
        <v>54591</v>
      </c>
      <c r="H16" s="78">
        <v>59084</v>
      </c>
      <c r="I16" s="78">
        <v>61486</v>
      </c>
    </row>
    <row r="17" spans="1:9" ht="15.95" customHeight="1" x14ac:dyDescent="0.3">
      <c r="A17" s="324" t="s">
        <v>111</v>
      </c>
      <c r="B17" s="326" t="s">
        <v>112</v>
      </c>
      <c r="C17" s="78">
        <v>74493</v>
      </c>
      <c r="D17" s="78">
        <v>74699</v>
      </c>
      <c r="E17" s="78">
        <v>75243</v>
      </c>
      <c r="F17" s="78">
        <v>73165</v>
      </c>
      <c r="G17" s="78">
        <v>64520</v>
      </c>
      <c r="H17" s="78">
        <v>61948</v>
      </c>
      <c r="I17" s="78">
        <v>126588</v>
      </c>
    </row>
    <row r="18" spans="1:9" ht="15.95" customHeight="1" x14ac:dyDescent="0.3">
      <c r="A18" s="324" t="s">
        <v>113</v>
      </c>
      <c r="B18" s="326" t="s">
        <v>114</v>
      </c>
      <c r="C18" s="78">
        <v>55510</v>
      </c>
      <c r="D18" s="78">
        <v>59277</v>
      </c>
      <c r="E18" s="78">
        <v>59924</v>
      </c>
      <c r="F18" s="78">
        <v>67957</v>
      </c>
      <c r="G18" s="78">
        <v>69798</v>
      </c>
      <c r="H18" s="78">
        <v>73341</v>
      </c>
      <c r="I18" s="78">
        <v>75222</v>
      </c>
    </row>
    <row r="19" spans="1:9" ht="15.95" customHeight="1" x14ac:dyDescent="0.3">
      <c r="A19" s="324" t="s">
        <v>115</v>
      </c>
      <c r="B19" s="326" t="s">
        <v>116</v>
      </c>
      <c r="C19" s="78">
        <v>35546</v>
      </c>
      <c r="D19" s="78">
        <v>37073</v>
      </c>
      <c r="E19" s="78">
        <v>38591</v>
      </c>
      <c r="F19" s="78">
        <v>39117</v>
      </c>
      <c r="G19" s="78">
        <v>39399</v>
      </c>
      <c r="H19" s="78">
        <v>40944</v>
      </c>
      <c r="I19" s="78">
        <v>40485</v>
      </c>
    </row>
    <row r="20" spans="1:9" ht="15.95" customHeight="1" x14ac:dyDescent="0.3">
      <c r="A20" s="324" t="s">
        <v>117</v>
      </c>
      <c r="B20" s="329" t="s">
        <v>100</v>
      </c>
      <c r="C20" s="78">
        <v>6856</v>
      </c>
      <c r="D20" s="78">
        <v>6113</v>
      </c>
      <c r="E20" s="78">
        <v>5685</v>
      </c>
      <c r="F20" s="78">
        <v>6638</v>
      </c>
      <c r="G20" s="78">
        <v>8341</v>
      </c>
      <c r="H20" s="78">
        <v>9473</v>
      </c>
      <c r="I20" s="78">
        <v>10704</v>
      </c>
    </row>
    <row r="21" spans="1:9" ht="15.95" customHeight="1" x14ac:dyDescent="0.3">
      <c r="A21" s="324" t="s">
        <v>118</v>
      </c>
      <c r="B21" s="326" t="s">
        <v>63</v>
      </c>
      <c r="C21" s="78">
        <v>35367.181818181816</v>
      </c>
      <c r="D21" s="78">
        <v>36142</v>
      </c>
      <c r="E21" s="78">
        <v>38420</v>
      </c>
      <c r="F21" s="78">
        <v>36911</v>
      </c>
      <c r="G21" s="78">
        <v>38725</v>
      </c>
      <c r="H21" s="78">
        <v>39526</v>
      </c>
      <c r="I21" s="78">
        <v>37616</v>
      </c>
    </row>
    <row r="22" spans="1:9" ht="15.95" customHeight="1" x14ac:dyDescent="0.3">
      <c r="A22" s="324" t="s">
        <v>119</v>
      </c>
      <c r="B22" s="326" t="s">
        <v>120</v>
      </c>
      <c r="C22" s="78">
        <v>130124</v>
      </c>
      <c r="D22" s="78">
        <v>146158</v>
      </c>
      <c r="E22" s="78">
        <v>146402</v>
      </c>
      <c r="F22" s="78">
        <v>148454</v>
      </c>
      <c r="G22" s="78">
        <v>146624</v>
      </c>
      <c r="H22" s="78">
        <v>152713</v>
      </c>
      <c r="I22" s="78">
        <v>160824</v>
      </c>
    </row>
    <row r="23" spans="1:9" ht="15.95" customHeight="1" x14ac:dyDescent="0.3">
      <c r="A23" s="324" t="s">
        <v>121</v>
      </c>
      <c r="B23" s="329" t="s">
        <v>122</v>
      </c>
      <c r="C23" s="78">
        <v>25315</v>
      </c>
      <c r="D23" s="78">
        <v>26939</v>
      </c>
      <c r="E23" s="78">
        <v>28226</v>
      </c>
      <c r="F23" s="78">
        <v>29148</v>
      </c>
      <c r="G23" s="78">
        <v>29581</v>
      </c>
      <c r="H23" s="78">
        <v>23272</v>
      </c>
      <c r="I23" s="78">
        <v>30445</v>
      </c>
    </row>
    <row r="24" spans="1:9" ht="15.95" customHeight="1" x14ac:dyDescent="0.3">
      <c r="A24" s="324" t="s">
        <v>123</v>
      </c>
      <c r="B24" s="326" t="s">
        <v>124</v>
      </c>
      <c r="C24" s="78">
        <v>226943</v>
      </c>
      <c r="D24" s="78">
        <v>244309</v>
      </c>
      <c r="E24" s="78">
        <v>248194</v>
      </c>
      <c r="F24" s="78">
        <v>260505</v>
      </c>
      <c r="G24" s="78">
        <v>270758</v>
      </c>
      <c r="H24" s="78">
        <v>275079</v>
      </c>
      <c r="I24" s="78">
        <v>278898</v>
      </c>
    </row>
    <row r="25" spans="1:9" ht="15.95" customHeight="1" x14ac:dyDescent="0.3">
      <c r="A25" s="324" t="s">
        <v>125</v>
      </c>
      <c r="B25" s="326" t="s">
        <v>35</v>
      </c>
      <c r="C25" s="78">
        <v>2898</v>
      </c>
      <c r="D25" s="78">
        <v>2789</v>
      </c>
      <c r="E25" s="78">
        <v>2697</v>
      </c>
      <c r="F25" s="78">
        <v>2772</v>
      </c>
      <c r="G25" s="78">
        <v>3556</v>
      </c>
      <c r="H25" s="78">
        <v>3556</v>
      </c>
      <c r="I25" s="78">
        <v>7130</v>
      </c>
    </row>
    <row r="26" spans="1:9" ht="32.1" customHeight="1" x14ac:dyDescent="0.3">
      <c r="A26" s="639" t="s">
        <v>126</v>
      </c>
      <c r="B26" s="640"/>
      <c r="C26" s="78"/>
      <c r="D26" s="78"/>
      <c r="E26" s="78"/>
      <c r="F26" s="78"/>
      <c r="G26" s="78"/>
      <c r="H26" s="78"/>
      <c r="I26" s="78"/>
    </row>
    <row r="27" spans="1:9" ht="15.95" customHeight="1" x14ac:dyDescent="0.3">
      <c r="A27" s="324" t="s">
        <v>127</v>
      </c>
      <c r="B27" s="327" t="s">
        <v>128</v>
      </c>
      <c r="C27" s="78">
        <v>7391</v>
      </c>
      <c r="D27" s="78">
        <v>8337</v>
      </c>
      <c r="E27" s="78">
        <v>11414</v>
      </c>
      <c r="F27" s="78">
        <v>12871</v>
      </c>
      <c r="G27" s="78">
        <v>15856</v>
      </c>
      <c r="H27" s="78">
        <v>20007</v>
      </c>
      <c r="I27" s="78">
        <v>22739</v>
      </c>
    </row>
    <row r="28" spans="1:9" ht="15.95" customHeight="1" x14ac:dyDescent="0.3">
      <c r="A28" s="324" t="s">
        <v>129</v>
      </c>
      <c r="B28" s="327" t="s">
        <v>128</v>
      </c>
      <c r="C28" s="78">
        <v>20907</v>
      </c>
      <c r="D28" s="78">
        <v>22111</v>
      </c>
      <c r="E28" s="78">
        <v>24198</v>
      </c>
      <c r="F28" s="78">
        <v>24306</v>
      </c>
      <c r="G28" s="78">
        <v>25634.001199999999</v>
      </c>
      <c r="H28" s="78">
        <v>26419</v>
      </c>
      <c r="I28" s="78">
        <v>27751</v>
      </c>
    </row>
    <row r="29" spans="1:9" ht="15.95" customHeight="1" x14ac:dyDescent="0.3">
      <c r="A29" s="324" t="s">
        <v>130</v>
      </c>
      <c r="B29" s="326" t="s">
        <v>128</v>
      </c>
      <c r="C29" s="78">
        <v>4129</v>
      </c>
      <c r="D29" s="78">
        <v>4435</v>
      </c>
      <c r="E29" s="78">
        <v>4903</v>
      </c>
      <c r="F29" s="78">
        <v>5589</v>
      </c>
      <c r="G29" s="78">
        <v>14247</v>
      </c>
      <c r="H29" s="78">
        <v>14158</v>
      </c>
      <c r="I29" s="78">
        <v>14788</v>
      </c>
    </row>
    <row r="30" spans="1:9" ht="15.95" customHeight="1" x14ac:dyDescent="0.3">
      <c r="A30" s="324" t="s">
        <v>131</v>
      </c>
      <c r="B30" s="327" t="s">
        <v>98</v>
      </c>
      <c r="C30" s="78">
        <v>10806</v>
      </c>
      <c r="D30" s="78">
        <v>11656</v>
      </c>
      <c r="E30" s="78">
        <v>12303</v>
      </c>
      <c r="F30" s="78">
        <v>12288</v>
      </c>
      <c r="G30" s="78">
        <v>12856</v>
      </c>
      <c r="H30" s="78">
        <v>13676</v>
      </c>
      <c r="I30" s="78">
        <v>14135</v>
      </c>
    </row>
    <row r="31" spans="1:9" ht="15.95" customHeight="1" x14ac:dyDescent="0.3">
      <c r="A31" s="324" t="s">
        <v>132</v>
      </c>
      <c r="B31" s="327" t="s">
        <v>35</v>
      </c>
      <c r="C31" s="78">
        <v>3275</v>
      </c>
      <c r="D31" s="78">
        <v>5293</v>
      </c>
      <c r="E31" s="78">
        <v>5300</v>
      </c>
      <c r="F31" s="78">
        <v>5231</v>
      </c>
      <c r="G31" s="78">
        <v>6318</v>
      </c>
      <c r="H31" s="78">
        <v>6317</v>
      </c>
      <c r="I31" s="78">
        <v>11659</v>
      </c>
    </row>
    <row r="32" spans="1:9" ht="15.95" customHeight="1" x14ac:dyDescent="0.3">
      <c r="A32" s="324" t="s">
        <v>134</v>
      </c>
      <c r="B32" s="325" t="s">
        <v>171</v>
      </c>
      <c r="C32" s="78">
        <v>828</v>
      </c>
      <c r="D32" s="78">
        <v>4842</v>
      </c>
      <c r="E32" s="78">
        <v>6700</v>
      </c>
      <c r="F32" s="78">
        <v>6704</v>
      </c>
      <c r="G32" s="78">
        <v>16080</v>
      </c>
      <c r="H32" s="78">
        <v>16962</v>
      </c>
      <c r="I32" s="78">
        <v>19042</v>
      </c>
    </row>
    <row r="33" spans="1:12" ht="15.95" customHeight="1" x14ac:dyDescent="0.3">
      <c r="A33" s="324" t="s">
        <v>136</v>
      </c>
      <c r="B33" s="327" t="s">
        <v>137</v>
      </c>
      <c r="C33" s="78">
        <v>16956</v>
      </c>
      <c r="D33" s="78">
        <v>15811</v>
      </c>
      <c r="E33" s="78">
        <v>14974</v>
      </c>
      <c r="F33" s="78">
        <v>15259</v>
      </c>
      <c r="G33" s="78">
        <v>15976</v>
      </c>
      <c r="H33" s="78">
        <v>15767</v>
      </c>
      <c r="I33" s="78">
        <v>22080</v>
      </c>
    </row>
    <row r="34" spans="1:12" ht="15.95" customHeight="1" x14ac:dyDescent="0.3">
      <c r="A34" s="324" t="s">
        <v>138</v>
      </c>
      <c r="B34" s="326" t="s">
        <v>81</v>
      </c>
      <c r="C34" s="78">
        <v>7558</v>
      </c>
      <c r="D34" s="78">
        <v>11934</v>
      </c>
      <c r="E34" s="78">
        <v>12285</v>
      </c>
      <c r="F34" s="78">
        <v>13044</v>
      </c>
      <c r="G34" s="78">
        <v>13461</v>
      </c>
      <c r="H34" s="78">
        <v>12777</v>
      </c>
      <c r="I34" s="78">
        <v>14142</v>
      </c>
    </row>
    <row r="35" spans="1:12" ht="15.95" customHeight="1" x14ac:dyDescent="0.3">
      <c r="A35" s="324" t="s">
        <v>139</v>
      </c>
      <c r="B35" s="327" t="s">
        <v>140</v>
      </c>
      <c r="C35" s="78">
        <v>11874</v>
      </c>
      <c r="D35" s="78">
        <v>12415</v>
      </c>
      <c r="E35" s="78">
        <v>12733</v>
      </c>
      <c r="F35" s="78">
        <v>12930</v>
      </c>
      <c r="G35" s="78">
        <v>13732</v>
      </c>
      <c r="H35" s="78">
        <v>15692</v>
      </c>
      <c r="I35" s="78">
        <v>16145</v>
      </c>
    </row>
    <row r="36" spans="1:12" ht="15.95" customHeight="1" x14ac:dyDescent="0.3">
      <c r="A36" s="324" t="s">
        <v>141</v>
      </c>
      <c r="B36" s="327" t="s">
        <v>114</v>
      </c>
      <c r="C36" s="78">
        <v>22002</v>
      </c>
      <c r="D36" s="78">
        <v>23461</v>
      </c>
      <c r="E36" s="78">
        <v>24349</v>
      </c>
      <c r="F36" s="78">
        <v>24750</v>
      </c>
      <c r="G36" s="78">
        <v>25128</v>
      </c>
      <c r="H36" s="78">
        <v>26386</v>
      </c>
      <c r="I36" s="78">
        <v>26302</v>
      </c>
    </row>
    <row r="37" spans="1:12" ht="15.95" customHeight="1" x14ac:dyDescent="0.3">
      <c r="A37" s="324" t="s">
        <v>142</v>
      </c>
      <c r="B37" s="327" t="s">
        <v>27</v>
      </c>
      <c r="C37" s="78">
        <v>21927</v>
      </c>
      <c r="D37" s="78">
        <v>22817</v>
      </c>
      <c r="E37" s="78">
        <v>21871</v>
      </c>
      <c r="F37" s="78">
        <v>19983</v>
      </c>
      <c r="G37" s="78">
        <v>21653</v>
      </c>
      <c r="H37" s="78">
        <v>23588</v>
      </c>
      <c r="I37" s="78">
        <v>25057</v>
      </c>
    </row>
    <row r="38" spans="1:12" ht="15.95" customHeight="1" x14ac:dyDescent="0.3">
      <c r="A38" s="324" t="s">
        <v>143</v>
      </c>
      <c r="B38" s="327" t="s">
        <v>122</v>
      </c>
      <c r="C38" s="78">
        <v>4093</v>
      </c>
      <c r="D38" s="78">
        <v>4450</v>
      </c>
      <c r="E38" s="78">
        <v>4805</v>
      </c>
      <c r="F38" s="78">
        <v>5069</v>
      </c>
      <c r="G38" s="78">
        <v>5255</v>
      </c>
      <c r="H38" s="78">
        <v>5578</v>
      </c>
      <c r="I38" s="78">
        <v>5660</v>
      </c>
    </row>
    <row r="39" spans="1:12" ht="15.95" customHeight="1" x14ac:dyDescent="0.3">
      <c r="A39" s="324" t="s">
        <v>144</v>
      </c>
      <c r="B39" s="327" t="s">
        <v>63</v>
      </c>
      <c r="C39" s="78">
        <v>15888</v>
      </c>
      <c r="D39" s="78">
        <v>16857</v>
      </c>
      <c r="E39" s="78">
        <v>17638</v>
      </c>
      <c r="F39" s="78">
        <v>18217</v>
      </c>
      <c r="G39" s="78">
        <v>17719</v>
      </c>
      <c r="H39" s="78">
        <v>19077</v>
      </c>
      <c r="I39" s="78">
        <v>21024</v>
      </c>
    </row>
    <row r="40" spans="1:12" ht="15.95" customHeight="1" x14ac:dyDescent="0.3">
      <c r="A40" s="324" t="s">
        <v>145</v>
      </c>
      <c r="B40" s="327" t="s">
        <v>27</v>
      </c>
      <c r="C40" s="78">
        <v>6161</v>
      </c>
      <c r="D40" s="78">
        <v>9188</v>
      </c>
      <c r="E40" s="78">
        <v>14028</v>
      </c>
      <c r="F40" s="78">
        <v>16436</v>
      </c>
      <c r="G40" s="78">
        <v>19483</v>
      </c>
      <c r="H40" s="78">
        <v>20604</v>
      </c>
      <c r="I40" s="78">
        <v>22270</v>
      </c>
    </row>
    <row r="41" spans="1:12" ht="15.95" customHeight="1" x14ac:dyDescent="0.3">
      <c r="A41" s="324" t="s">
        <v>146</v>
      </c>
      <c r="B41" s="327" t="s">
        <v>147</v>
      </c>
      <c r="C41" s="78">
        <v>10999</v>
      </c>
      <c r="D41" s="78">
        <v>11558</v>
      </c>
      <c r="E41" s="78">
        <v>12479</v>
      </c>
      <c r="F41" s="78">
        <v>13948</v>
      </c>
      <c r="G41" s="78">
        <v>14977</v>
      </c>
      <c r="H41" s="78">
        <v>16265</v>
      </c>
      <c r="I41" s="78">
        <v>17993</v>
      </c>
    </row>
    <row r="42" spans="1:12" ht="15.95" customHeight="1" x14ac:dyDescent="0.3">
      <c r="A42" s="324" t="s">
        <v>148</v>
      </c>
      <c r="B42" s="326" t="s">
        <v>128</v>
      </c>
      <c r="C42" s="78">
        <v>2417</v>
      </c>
      <c r="D42" s="78">
        <v>2613</v>
      </c>
      <c r="E42" s="78">
        <v>3041</v>
      </c>
      <c r="F42" s="78">
        <v>3298</v>
      </c>
      <c r="G42" s="78">
        <v>6618</v>
      </c>
      <c r="H42" s="78">
        <v>8573</v>
      </c>
      <c r="I42" s="78">
        <v>8864</v>
      </c>
    </row>
    <row r="43" spans="1:12" ht="32.1" customHeight="1" x14ac:dyDescent="0.3">
      <c r="A43" s="639" t="s">
        <v>149</v>
      </c>
      <c r="B43" s="640"/>
      <c r="C43" s="78"/>
      <c r="D43" s="78"/>
      <c r="E43" s="78"/>
      <c r="F43" s="78"/>
      <c r="G43" s="78"/>
      <c r="H43" s="78"/>
      <c r="I43" s="78"/>
    </row>
    <row r="44" spans="1:12" ht="15.95" customHeight="1" x14ac:dyDescent="0.3">
      <c r="A44" s="324" t="s">
        <v>150</v>
      </c>
      <c r="B44" s="326" t="s">
        <v>151</v>
      </c>
      <c r="C44" s="78">
        <v>6658</v>
      </c>
      <c r="D44" s="78">
        <v>7521</v>
      </c>
      <c r="E44" s="78">
        <v>7950</v>
      </c>
      <c r="F44" s="78">
        <v>7970</v>
      </c>
      <c r="G44" s="78">
        <v>8178</v>
      </c>
      <c r="H44" s="78">
        <v>9925</v>
      </c>
      <c r="I44" s="78">
        <v>10680</v>
      </c>
    </row>
    <row r="45" spans="1:12" ht="15.95" customHeight="1" x14ac:dyDescent="0.3">
      <c r="A45" s="324" t="s">
        <v>152</v>
      </c>
      <c r="B45" s="327" t="s">
        <v>76</v>
      </c>
      <c r="C45" s="78" t="s">
        <v>133</v>
      </c>
      <c r="D45" s="78" t="s">
        <v>133</v>
      </c>
      <c r="E45" s="78" t="s">
        <v>133</v>
      </c>
      <c r="F45" s="78" t="s">
        <v>133</v>
      </c>
      <c r="G45" s="78" t="s">
        <v>133</v>
      </c>
      <c r="H45" s="78" t="s">
        <v>133</v>
      </c>
      <c r="I45" s="78" t="s">
        <v>133</v>
      </c>
      <c r="J45" s="78"/>
      <c r="K45" s="78"/>
      <c r="L45" s="78"/>
    </row>
    <row r="46" spans="1:12" ht="15.95" customHeight="1" x14ac:dyDescent="0.3">
      <c r="A46" s="324" t="s">
        <v>153</v>
      </c>
      <c r="B46" s="326" t="s">
        <v>100</v>
      </c>
      <c r="C46" s="78" t="s">
        <v>133</v>
      </c>
      <c r="D46" s="78" t="s">
        <v>133</v>
      </c>
      <c r="E46" s="78">
        <v>88</v>
      </c>
      <c r="F46" s="78">
        <v>110</v>
      </c>
      <c r="G46" s="78">
        <v>120</v>
      </c>
      <c r="H46" s="78">
        <v>157</v>
      </c>
      <c r="I46" s="78">
        <v>272</v>
      </c>
      <c r="J46" s="78"/>
      <c r="K46" s="78"/>
      <c r="L46" s="78"/>
    </row>
    <row r="47" spans="1:12" ht="15.95" customHeight="1" x14ac:dyDescent="0.3">
      <c r="A47" s="324" t="s">
        <v>154</v>
      </c>
      <c r="B47" s="326" t="s">
        <v>155</v>
      </c>
      <c r="C47" s="78">
        <v>663</v>
      </c>
      <c r="D47" s="78">
        <v>663</v>
      </c>
      <c r="E47" s="78">
        <v>684</v>
      </c>
      <c r="F47" s="78">
        <v>855</v>
      </c>
      <c r="G47" s="78">
        <v>980</v>
      </c>
      <c r="H47" s="78">
        <v>1812</v>
      </c>
      <c r="I47" s="78">
        <v>1955</v>
      </c>
    </row>
    <row r="48" spans="1:12" ht="15.95" customHeight="1" x14ac:dyDescent="0.3">
      <c r="A48" s="324" t="s">
        <v>156</v>
      </c>
      <c r="B48" s="327" t="s">
        <v>35</v>
      </c>
      <c r="C48" s="78">
        <v>86</v>
      </c>
      <c r="D48" s="78">
        <v>79</v>
      </c>
      <c r="E48" s="78">
        <v>87</v>
      </c>
      <c r="F48" s="78">
        <v>85</v>
      </c>
      <c r="G48" s="78">
        <v>550</v>
      </c>
      <c r="H48" s="78">
        <v>726</v>
      </c>
      <c r="I48" s="78">
        <v>1034</v>
      </c>
    </row>
    <row r="49" spans="1:9" ht="15.95" customHeight="1" x14ac:dyDescent="0.3">
      <c r="A49" s="324" t="s">
        <v>157</v>
      </c>
      <c r="B49" s="326" t="s">
        <v>81</v>
      </c>
      <c r="C49" s="78">
        <v>1021</v>
      </c>
      <c r="D49" s="78">
        <v>2210</v>
      </c>
      <c r="E49" s="78">
        <v>2716</v>
      </c>
      <c r="F49" s="78">
        <v>3083</v>
      </c>
      <c r="G49" s="78">
        <v>3471</v>
      </c>
      <c r="H49" s="78">
        <v>4259</v>
      </c>
      <c r="I49" s="78">
        <v>4591</v>
      </c>
    </row>
    <row r="50" spans="1:9" ht="15.95" customHeight="1" x14ac:dyDescent="0.3">
      <c r="A50" s="324" t="s">
        <v>158</v>
      </c>
      <c r="B50" s="326" t="s">
        <v>81</v>
      </c>
      <c r="C50" s="78" t="s">
        <v>133</v>
      </c>
      <c r="D50" s="78" t="s">
        <v>133</v>
      </c>
      <c r="E50" s="78">
        <v>379</v>
      </c>
      <c r="F50" s="78">
        <v>530</v>
      </c>
      <c r="G50" s="78">
        <v>816</v>
      </c>
      <c r="H50" s="78">
        <v>971</v>
      </c>
      <c r="I50" s="78">
        <v>1249</v>
      </c>
    </row>
    <row r="51" spans="1:9" ht="15.95" customHeight="1" x14ac:dyDescent="0.3">
      <c r="A51" s="324" t="s">
        <v>159</v>
      </c>
      <c r="B51" s="326" t="s">
        <v>122</v>
      </c>
      <c r="C51" s="78">
        <v>2381</v>
      </c>
      <c r="D51" s="78">
        <v>2381</v>
      </c>
      <c r="E51" s="78">
        <v>3121</v>
      </c>
      <c r="F51" s="78">
        <v>3157</v>
      </c>
      <c r="G51" s="78">
        <v>3154</v>
      </c>
      <c r="H51" s="78">
        <v>2988</v>
      </c>
      <c r="I51" s="78">
        <v>2982</v>
      </c>
    </row>
    <row r="52" spans="1:9" ht="15.95" customHeight="1" x14ac:dyDescent="0.3">
      <c r="A52" s="324" t="s">
        <v>160</v>
      </c>
      <c r="B52" s="326" t="s">
        <v>155</v>
      </c>
      <c r="C52" s="78">
        <v>6824</v>
      </c>
      <c r="D52" s="78">
        <v>7124</v>
      </c>
      <c r="E52" s="78">
        <v>7330</v>
      </c>
      <c r="F52" s="78">
        <v>7675</v>
      </c>
      <c r="G52" s="78">
        <v>7908</v>
      </c>
      <c r="H52" s="78">
        <v>7906</v>
      </c>
      <c r="I52" s="78">
        <v>8344</v>
      </c>
    </row>
    <row r="53" spans="1:9" ht="15.95" customHeight="1" x14ac:dyDescent="0.3">
      <c r="A53" s="324" t="s">
        <v>161</v>
      </c>
      <c r="B53" s="326" t="s">
        <v>100</v>
      </c>
      <c r="C53" s="78" t="s">
        <v>133</v>
      </c>
      <c r="D53" s="78" t="s">
        <v>133</v>
      </c>
      <c r="E53" s="78">
        <v>162</v>
      </c>
      <c r="F53" s="78">
        <v>290</v>
      </c>
      <c r="G53" s="78">
        <v>545</v>
      </c>
      <c r="H53" s="78">
        <v>290</v>
      </c>
      <c r="I53" s="78">
        <v>642</v>
      </c>
    </row>
    <row r="54" spans="1:9" ht="15.95" customHeight="1" x14ac:dyDescent="0.3">
      <c r="A54" s="324" t="s">
        <v>162</v>
      </c>
      <c r="B54" s="326" t="s">
        <v>163</v>
      </c>
      <c r="C54" s="453">
        <v>4909</v>
      </c>
      <c r="D54" s="78">
        <v>4793</v>
      </c>
      <c r="E54" s="78">
        <v>4935</v>
      </c>
      <c r="F54" s="78">
        <v>5079</v>
      </c>
      <c r="G54" s="78">
        <v>5167</v>
      </c>
      <c r="H54" s="78">
        <v>5359</v>
      </c>
      <c r="I54" s="78">
        <v>5293</v>
      </c>
    </row>
    <row r="55" spans="1:9" ht="15.95" customHeight="1" x14ac:dyDescent="0.3">
      <c r="A55" s="324" t="s">
        <v>164</v>
      </c>
      <c r="B55" s="326" t="s">
        <v>100</v>
      </c>
      <c r="C55" s="78">
        <v>5045</v>
      </c>
      <c r="D55" s="78">
        <v>5143</v>
      </c>
      <c r="E55" s="78">
        <v>6430</v>
      </c>
      <c r="F55" s="78">
        <v>5712</v>
      </c>
      <c r="G55" s="78">
        <v>5868</v>
      </c>
      <c r="H55" s="78">
        <v>6374</v>
      </c>
      <c r="I55" s="78">
        <v>8273</v>
      </c>
    </row>
    <row r="56" spans="1:9" ht="15.95" customHeight="1" x14ac:dyDescent="0.3">
      <c r="A56" s="324" t="s">
        <v>165</v>
      </c>
      <c r="B56" s="325" t="s">
        <v>122</v>
      </c>
      <c r="C56" s="78">
        <v>2794</v>
      </c>
      <c r="D56" s="78">
        <v>2722</v>
      </c>
      <c r="E56" s="78">
        <v>2955</v>
      </c>
      <c r="F56" s="78">
        <v>2723</v>
      </c>
      <c r="G56" s="78">
        <v>3278</v>
      </c>
      <c r="H56" s="78">
        <v>3021</v>
      </c>
      <c r="I56" s="78">
        <v>2932</v>
      </c>
    </row>
    <row r="57" spans="1:9" ht="15.95" customHeight="1" x14ac:dyDescent="0.3">
      <c r="A57" s="324" t="s">
        <v>166</v>
      </c>
      <c r="B57" s="327" t="s">
        <v>155</v>
      </c>
      <c r="C57" s="78" t="s">
        <v>133</v>
      </c>
      <c r="D57" s="78" t="s">
        <v>133</v>
      </c>
      <c r="E57" s="78" t="s">
        <v>133</v>
      </c>
      <c r="F57" s="78" t="s">
        <v>133</v>
      </c>
      <c r="G57" s="78" t="s">
        <v>133</v>
      </c>
      <c r="H57" s="78" t="s">
        <v>133</v>
      </c>
      <c r="I57" s="78">
        <v>3995</v>
      </c>
    </row>
    <row r="58" spans="1:9" ht="15.95" customHeight="1" x14ac:dyDescent="0.3">
      <c r="A58" s="330" t="s">
        <v>167</v>
      </c>
      <c r="B58" s="338" t="s">
        <v>98</v>
      </c>
      <c r="C58" s="454">
        <v>3072</v>
      </c>
      <c r="D58" s="454">
        <v>3820</v>
      </c>
      <c r="E58" s="454">
        <v>4712</v>
      </c>
      <c r="F58" s="454">
        <v>4859</v>
      </c>
      <c r="G58" s="454">
        <v>5232</v>
      </c>
      <c r="H58" s="454">
        <v>5700</v>
      </c>
      <c r="I58" s="454">
        <v>6178</v>
      </c>
    </row>
    <row r="59" spans="1:9" ht="12" customHeight="1" x14ac:dyDescent="0.3">
      <c r="A59" s="681" t="s">
        <v>396</v>
      </c>
      <c r="B59" s="682"/>
      <c r="C59" s="683"/>
      <c r="D59" s="683"/>
      <c r="E59" s="683"/>
      <c r="F59" s="683"/>
      <c r="G59" s="683"/>
      <c r="H59" s="683"/>
      <c r="I59" s="683"/>
    </row>
    <row r="60" spans="1:9" s="156" customFormat="1" ht="12.75" customHeight="1" x14ac:dyDescent="0.25">
      <c r="A60" s="154" t="s">
        <v>168</v>
      </c>
      <c r="B60" s="154"/>
      <c r="C60" s="155"/>
      <c r="D60" s="155"/>
      <c r="E60" s="155"/>
      <c r="F60" s="155"/>
      <c r="G60" s="155"/>
      <c r="H60" s="155"/>
      <c r="I60" s="155"/>
    </row>
    <row r="61" spans="1:9" ht="12.75" customHeight="1" x14ac:dyDescent="0.3">
      <c r="A61" s="81"/>
      <c r="B61" s="81"/>
    </row>
  </sheetData>
  <mergeCells count="7">
    <mergeCell ref="A59:I59"/>
    <mergeCell ref="A1:I1"/>
    <mergeCell ref="A2:I2"/>
    <mergeCell ref="A5:B5"/>
    <mergeCell ref="A7:B7"/>
    <mergeCell ref="A26:B26"/>
    <mergeCell ref="A43:B43"/>
  </mergeCells>
  <conditionalFormatting sqref="A61:B61">
    <cfRule type="cellIs" dxfId="11" priority="8" stopIfTrue="1" operator="equal">
      <formula>"S.I."</formula>
    </cfRule>
  </conditionalFormatting>
  <conditionalFormatting sqref="A4">
    <cfRule type="cellIs" dxfId="10" priority="7" stopIfTrue="1" operator="equal">
      <formula>"S.I."</formula>
    </cfRule>
  </conditionalFormatting>
  <conditionalFormatting sqref="B4">
    <cfRule type="cellIs" dxfId="9" priority="6" stopIfTrue="1" operator="equal">
      <formula>"S.I."</formula>
    </cfRule>
  </conditionalFormatting>
  <conditionalFormatting sqref="Q6">
    <cfRule type="cellIs" dxfId="8" priority="1" stopIfTrue="1" operator="equal">
      <formula>"S.I."</formula>
    </cfRule>
  </conditionalFormatting>
  <conditionalFormatting sqref="A59">
    <cfRule type="cellIs" dxfId="7" priority="2" stopIfTrue="1" operator="equal">
      <formula>"S.I."</formula>
    </cfRule>
  </conditionalFormatting>
  <printOptions horizontalCentered="1"/>
  <pageMargins left="0.70866141732283472" right="0.51181102362204722" top="0.74803149606299213" bottom="0.55118110236220474" header="0.31496062992125984" footer="0.31496062992125984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R79"/>
  <sheetViews>
    <sheetView showGridLines="0" topLeftCell="B1" zoomScaleNormal="100" workbookViewId="0">
      <selection activeCell="S1" sqref="S1:S1048576"/>
    </sheetView>
  </sheetViews>
  <sheetFormatPr baseColWidth="10" defaultColWidth="31.28515625" defaultRowHeight="12.75" customHeight="1" x14ac:dyDescent="0.25"/>
  <cols>
    <col min="1" max="1" width="23.5703125" style="73" hidden="1" customWidth="1"/>
    <col min="2" max="2" width="34.28515625" style="73" customWidth="1"/>
    <col min="3" max="4" width="7.7109375" style="73" hidden="1" customWidth="1"/>
    <col min="5" max="5" width="6.7109375" style="73" hidden="1" customWidth="1"/>
    <col min="6" max="11" width="7.7109375" style="73" hidden="1" customWidth="1"/>
    <col min="12" max="18" width="9.28515625" style="73" customWidth="1"/>
    <col min="19" max="16384" width="31.28515625" style="73"/>
  </cols>
  <sheetData>
    <row r="1" spans="1:18" ht="24.6" customHeight="1" x14ac:dyDescent="0.25">
      <c r="B1" s="684" t="s">
        <v>388</v>
      </c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</row>
    <row r="2" spans="1:18" ht="12.6" customHeight="1" x14ac:dyDescent="0.25">
      <c r="B2" s="685" t="s">
        <v>239</v>
      </c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</row>
    <row r="3" spans="1:18" s="192" customFormat="1" ht="3.6" customHeight="1" x14ac:dyDescent="0.25"/>
    <row r="4" spans="1:18" s="75" customFormat="1" ht="20.100000000000001" customHeight="1" x14ac:dyDescent="0.25">
      <c r="B4" s="456" t="s">
        <v>240</v>
      </c>
      <c r="C4" s="422">
        <v>2006</v>
      </c>
      <c r="D4" s="422">
        <v>2007</v>
      </c>
      <c r="E4" s="422">
        <v>2008</v>
      </c>
      <c r="F4" s="422">
        <v>2009</v>
      </c>
      <c r="G4" s="422">
        <v>2010</v>
      </c>
      <c r="H4" s="422">
        <v>2011</v>
      </c>
      <c r="I4" s="422">
        <v>2012</v>
      </c>
      <c r="J4" s="422">
        <v>2013</v>
      </c>
      <c r="K4" s="422">
        <v>2014</v>
      </c>
      <c r="L4" s="422">
        <v>2015</v>
      </c>
      <c r="M4" s="422">
        <v>2016</v>
      </c>
      <c r="N4" s="422">
        <v>2017</v>
      </c>
      <c r="O4" s="422">
        <v>2018</v>
      </c>
      <c r="P4" s="311">
        <v>2019</v>
      </c>
      <c r="Q4" s="311">
        <v>2020</v>
      </c>
      <c r="R4" s="311">
        <v>2021</v>
      </c>
    </row>
    <row r="5" spans="1:18" s="76" customFormat="1" ht="3" customHeight="1" x14ac:dyDescent="0.25">
      <c r="B5" s="457"/>
      <c r="C5" s="458"/>
      <c r="D5" s="458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</row>
    <row r="6" spans="1:18" s="75" customFormat="1" ht="15.95" customHeight="1" x14ac:dyDescent="0.3">
      <c r="A6" s="234" t="s">
        <v>190</v>
      </c>
      <c r="B6" s="459" t="s">
        <v>190</v>
      </c>
      <c r="C6" s="460">
        <v>1065989</v>
      </c>
      <c r="D6" s="460">
        <v>1090273</v>
      </c>
      <c r="E6" s="460">
        <v>1152150</v>
      </c>
      <c r="F6" s="460">
        <v>1209579</v>
      </c>
      <c r="G6" s="460">
        <v>1240418</v>
      </c>
      <c r="H6" s="460">
        <v>1276291</v>
      </c>
      <c r="I6" s="460">
        <v>1328414</v>
      </c>
      <c r="J6" s="460">
        <v>1353465</v>
      </c>
      <c r="K6" s="460">
        <v>1380403</v>
      </c>
      <c r="L6" s="460">
        <v>1399310</v>
      </c>
      <c r="M6" s="460">
        <v>1415529</v>
      </c>
      <c r="N6" s="460">
        <v>1461603</v>
      </c>
      <c r="O6" s="460">
        <v>1474782</v>
      </c>
      <c r="P6" s="460">
        <v>1509989</v>
      </c>
      <c r="Q6" s="460">
        <v>1540054</v>
      </c>
      <c r="R6" s="460">
        <v>1545645</v>
      </c>
    </row>
    <row r="7" spans="1:18" s="75" customFormat="1" ht="15.95" customHeight="1" x14ac:dyDescent="0.3">
      <c r="A7" s="234" t="s">
        <v>416</v>
      </c>
      <c r="B7" s="461" t="s">
        <v>241</v>
      </c>
      <c r="C7" s="462">
        <v>714</v>
      </c>
      <c r="D7" s="462">
        <v>760</v>
      </c>
      <c r="E7" s="462">
        <v>1058</v>
      </c>
      <c r="F7" s="462">
        <v>1223</v>
      </c>
      <c r="G7" s="462">
        <v>1490</v>
      </c>
      <c r="H7" s="462">
        <v>1571</v>
      </c>
      <c r="I7" s="462">
        <v>1697</v>
      </c>
      <c r="J7" s="462">
        <v>1755</v>
      </c>
      <c r="K7" s="462">
        <v>1740</v>
      </c>
      <c r="L7" s="462">
        <v>1745</v>
      </c>
      <c r="M7" s="462">
        <v>1786</v>
      </c>
      <c r="N7" s="462">
        <v>1871</v>
      </c>
      <c r="O7" s="462">
        <v>1816</v>
      </c>
      <c r="P7" s="462">
        <v>1792</v>
      </c>
      <c r="Q7" s="462">
        <v>1751</v>
      </c>
      <c r="R7" s="462">
        <v>1753</v>
      </c>
    </row>
    <row r="8" spans="1:18" s="75" customFormat="1" ht="15.95" customHeight="1" x14ac:dyDescent="0.3">
      <c r="A8" s="235" t="s">
        <v>335</v>
      </c>
      <c r="B8" s="461" t="s">
        <v>242</v>
      </c>
      <c r="C8" s="462">
        <v>1065275</v>
      </c>
      <c r="D8" s="462">
        <v>1089513</v>
      </c>
      <c r="E8" s="462">
        <v>1151092</v>
      </c>
      <c r="F8" s="462">
        <v>1208356</v>
      </c>
      <c r="G8" s="462">
        <v>1238928</v>
      </c>
      <c r="H8" s="462">
        <v>1274720</v>
      </c>
      <c r="I8" s="462">
        <v>1326717</v>
      </c>
      <c r="J8" s="462">
        <v>1351710</v>
      </c>
      <c r="K8" s="462">
        <v>1378663</v>
      </c>
      <c r="L8" s="462">
        <v>1397565</v>
      </c>
      <c r="M8" s="462">
        <v>1413743</v>
      </c>
      <c r="N8" s="462">
        <v>1459732</v>
      </c>
      <c r="O8" s="462">
        <v>1472966</v>
      </c>
      <c r="P8" s="462">
        <v>1508197</v>
      </c>
      <c r="Q8" s="462">
        <v>1538303</v>
      </c>
      <c r="R8" s="462">
        <v>1543892</v>
      </c>
    </row>
    <row r="9" spans="1:18" s="75" customFormat="1" ht="15.95" customHeight="1" x14ac:dyDescent="0.3">
      <c r="A9" s="235" t="s">
        <v>415</v>
      </c>
      <c r="B9" s="463" t="s">
        <v>243</v>
      </c>
      <c r="C9" s="462">
        <v>10194</v>
      </c>
      <c r="D9" s="462">
        <v>10797</v>
      </c>
      <c r="E9" s="462">
        <v>11057</v>
      </c>
      <c r="F9" s="462">
        <v>11406</v>
      </c>
      <c r="G9" s="462">
        <v>11835</v>
      </c>
      <c r="H9" s="462">
        <v>12171</v>
      </c>
      <c r="I9" s="462">
        <v>12524</v>
      </c>
      <c r="J9" s="462">
        <v>12667</v>
      </c>
      <c r="K9" s="462">
        <v>12855</v>
      </c>
      <c r="L9" s="462">
        <v>13018</v>
      </c>
      <c r="M9" s="462">
        <v>13155</v>
      </c>
      <c r="N9" s="462">
        <v>13211</v>
      </c>
      <c r="O9" s="462">
        <v>13434</v>
      </c>
      <c r="P9" s="462">
        <v>13682</v>
      </c>
      <c r="Q9" s="462">
        <v>14062</v>
      </c>
      <c r="R9" s="462">
        <v>14147</v>
      </c>
    </row>
    <row r="10" spans="1:18" s="75" customFormat="1" ht="15.95" customHeight="1" x14ac:dyDescent="0.3">
      <c r="A10" s="236" t="s">
        <v>244</v>
      </c>
      <c r="B10" s="463" t="s">
        <v>244</v>
      </c>
      <c r="C10" s="462">
        <v>260308</v>
      </c>
      <c r="D10" s="462">
        <v>263369</v>
      </c>
      <c r="E10" s="462">
        <v>286803</v>
      </c>
      <c r="F10" s="462">
        <v>307447</v>
      </c>
      <c r="G10" s="462">
        <v>315634</v>
      </c>
      <c r="H10" s="462">
        <v>327813</v>
      </c>
      <c r="I10" s="462">
        <v>344393</v>
      </c>
      <c r="J10" s="464">
        <v>349742</v>
      </c>
      <c r="K10" s="464">
        <v>364893</v>
      </c>
      <c r="L10" s="464">
        <v>373697</v>
      </c>
      <c r="M10" s="464">
        <v>378703</v>
      </c>
      <c r="N10" s="464">
        <v>388382</v>
      </c>
      <c r="O10" s="464">
        <v>391760</v>
      </c>
      <c r="P10" s="464">
        <v>394447</v>
      </c>
      <c r="Q10" s="464">
        <v>405418</v>
      </c>
      <c r="R10" s="464">
        <v>408709</v>
      </c>
    </row>
    <row r="11" spans="1:18" ht="15.95" customHeight="1" x14ac:dyDescent="0.3">
      <c r="A11" s="237" t="s">
        <v>245</v>
      </c>
      <c r="B11" s="465" t="s">
        <v>245</v>
      </c>
      <c r="C11" s="466">
        <v>19412</v>
      </c>
      <c r="D11" s="466">
        <v>19712</v>
      </c>
      <c r="E11" s="466">
        <v>21142</v>
      </c>
      <c r="F11" s="466">
        <v>30335</v>
      </c>
      <c r="G11" s="466">
        <v>33584</v>
      </c>
      <c r="H11" s="466">
        <v>38795</v>
      </c>
      <c r="I11" s="466">
        <v>37881</v>
      </c>
      <c r="J11" s="467">
        <v>38884</v>
      </c>
      <c r="K11" s="467">
        <v>49170</v>
      </c>
      <c r="L11" s="467">
        <v>51821</v>
      </c>
      <c r="M11" s="467">
        <v>52697</v>
      </c>
      <c r="N11" s="467">
        <v>56009</v>
      </c>
      <c r="O11" s="467">
        <v>56244</v>
      </c>
      <c r="P11" s="467">
        <v>56560</v>
      </c>
      <c r="Q11" s="467">
        <v>60632</v>
      </c>
      <c r="R11" s="467">
        <v>62081</v>
      </c>
    </row>
    <row r="12" spans="1:18" ht="15.95" customHeight="1" x14ac:dyDescent="0.3">
      <c r="A12" s="237" t="s">
        <v>213</v>
      </c>
      <c r="B12" s="465" t="s">
        <v>213</v>
      </c>
      <c r="C12" s="466">
        <v>57914</v>
      </c>
      <c r="D12" s="466">
        <v>58431</v>
      </c>
      <c r="E12" s="466">
        <v>60304</v>
      </c>
      <c r="F12" s="466">
        <v>63368</v>
      </c>
      <c r="G12" s="466">
        <v>64042</v>
      </c>
      <c r="H12" s="466">
        <v>64917</v>
      </c>
      <c r="I12" s="466">
        <v>65933</v>
      </c>
      <c r="J12" s="467">
        <v>66671</v>
      </c>
      <c r="K12" s="467">
        <v>67564</v>
      </c>
      <c r="L12" s="467">
        <v>68737</v>
      </c>
      <c r="M12" s="467">
        <v>69958</v>
      </c>
      <c r="N12" s="467">
        <v>71076</v>
      </c>
      <c r="O12" s="467">
        <v>72089</v>
      </c>
      <c r="P12" s="467">
        <v>72420</v>
      </c>
      <c r="Q12" s="467">
        <v>73418</v>
      </c>
      <c r="R12" s="467">
        <v>73709</v>
      </c>
    </row>
    <row r="13" spans="1:18" ht="15.95" customHeight="1" x14ac:dyDescent="0.3">
      <c r="A13" s="237" t="s">
        <v>404</v>
      </c>
      <c r="B13" s="465" t="s">
        <v>246</v>
      </c>
      <c r="C13" s="466">
        <v>16647</v>
      </c>
      <c r="D13" s="466">
        <v>16838</v>
      </c>
      <c r="E13" s="466">
        <v>34716</v>
      </c>
      <c r="F13" s="466">
        <v>40236</v>
      </c>
      <c r="G13" s="466">
        <v>42019</v>
      </c>
      <c r="H13" s="466">
        <v>45162</v>
      </c>
      <c r="I13" s="466">
        <v>47217</v>
      </c>
      <c r="J13" s="467">
        <v>48457</v>
      </c>
      <c r="K13" s="467">
        <v>50059</v>
      </c>
      <c r="L13" s="467">
        <v>51341</v>
      </c>
      <c r="M13" s="467">
        <v>52399</v>
      </c>
      <c r="N13" s="467">
        <v>54073</v>
      </c>
      <c r="O13" s="467">
        <v>54814</v>
      </c>
      <c r="P13" s="467">
        <v>54186</v>
      </c>
      <c r="Q13" s="467">
        <v>56928</v>
      </c>
      <c r="R13" s="467">
        <v>57249</v>
      </c>
    </row>
    <row r="14" spans="1:18" ht="15.95" customHeight="1" x14ac:dyDescent="0.3">
      <c r="A14" s="237" t="s">
        <v>247</v>
      </c>
      <c r="B14" s="465" t="s">
        <v>247</v>
      </c>
      <c r="C14" s="466">
        <v>23969</v>
      </c>
      <c r="D14" s="466">
        <v>24195</v>
      </c>
      <c r="E14" s="466">
        <v>24872</v>
      </c>
      <c r="F14" s="466">
        <v>25127</v>
      </c>
      <c r="G14" s="466">
        <v>24643</v>
      </c>
      <c r="H14" s="466">
        <v>25118</v>
      </c>
      <c r="I14" s="466">
        <v>25403</v>
      </c>
      <c r="J14" s="467">
        <v>25413</v>
      </c>
      <c r="K14" s="467">
        <v>25736</v>
      </c>
      <c r="L14" s="467">
        <v>25839</v>
      </c>
      <c r="M14" s="467">
        <v>25837</v>
      </c>
      <c r="N14" s="467">
        <v>26069</v>
      </c>
      <c r="O14" s="467">
        <v>26151</v>
      </c>
      <c r="P14" s="467">
        <v>26157</v>
      </c>
      <c r="Q14" s="467">
        <v>26631</v>
      </c>
      <c r="R14" s="467">
        <v>26624</v>
      </c>
    </row>
    <row r="15" spans="1:18" ht="15.95" customHeight="1" x14ac:dyDescent="0.3">
      <c r="A15" s="237" t="s">
        <v>248</v>
      </c>
      <c r="B15" s="465" t="s">
        <v>248</v>
      </c>
      <c r="C15" s="466">
        <v>21446</v>
      </c>
      <c r="D15" s="466">
        <v>21411</v>
      </c>
      <c r="E15" s="466">
        <v>21566</v>
      </c>
      <c r="F15" s="466">
        <v>22750</v>
      </c>
      <c r="G15" s="466">
        <v>23537</v>
      </c>
      <c r="H15" s="466">
        <v>23472</v>
      </c>
      <c r="I15" s="466">
        <v>23472</v>
      </c>
      <c r="J15" s="467">
        <v>23864</v>
      </c>
      <c r="K15" s="467">
        <v>23470</v>
      </c>
      <c r="L15" s="467">
        <v>24325</v>
      </c>
      <c r="M15" s="467">
        <v>24567</v>
      </c>
      <c r="N15" s="467">
        <v>25018</v>
      </c>
      <c r="O15" s="467">
        <v>24462</v>
      </c>
      <c r="P15" s="467">
        <v>26308</v>
      </c>
      <c r="Q15" s="467">
        <v>27016</v>
      </c>
      <c r="R15" s="467">
        <v>26994</v>
      </c>
    </row>
    <row r="16" spans="1:18" ht="15.95" customHeight="1" x14ac:dyDescent="0.3">
      <c r="A16" s="237" t="s">
        <v>405</v>
      </c>
      <c r="B16" s="465" t="s">
        <v>249</v>
      </c>
      <c r="C16" s="466">
        <v>74347</v>
      </c>
      <c r="D16" s="466">
        <v>75584</v>
      </c>
      <c r="E16" s="466">
        <v>76594</v>
      </c>
      <c r="F16" s="466">
        <v>77555</v>
      </c>
      <c r="G16" s="466">
        <v>79490</v>
      </c>
      <c r="H16" s="466">
        <v>81120</v>
      </c>
      <c r="I16" s="466">
        <v>94777</v>
      </c>
      <c r="J16" s="467">
        <v>96412</v>
      </c>
      <c r="K16" s="467">
        <v>98490</v>
      </c>
      <c r="L16" s="467">
        <v>100781</v>
      </c>
      <c r="M16" s="467">
        <v>102039</v>
      </c>
      <c r="N16" s="467">
        <v>104503</v>
      </c>
      <c r="O16" s="467">
        <v>105956</v>
      </c>
      <c r="P16" s="467">
        <v>106530</v>
      </c>
      <c r="Q16" s="467">
        <v>108112</v>
      </c>
      <c r="R16" s="467">
        <v>109452</v>
      </c>
    </row>
    <row r="17" spans="1:18" ht="15.95" customHeight="1" x14ac:dyDescent="0.3">
      <c r="A17" s="237" t="s">
        <v>250</v>
      </c>
      <c r="B17" s="465" t="s">
        <v>250</v>
      </c>
      <c r="C17" s="466">
        <v>46573</v>
      </c>
      <c r="D17" s="466">
        <v>47198</v>
      </c>
      <c r="E17" s="466">
        <v>47609</v>
      </c>
      <c r="F17" s="466">
        <v>48076</v>
      </c>
      <c r="G17" s="466">
        <v>48319</v>
      </c>
      <c r="H17" s="466">
        <v>49229</v>
      </c>
      <c r="I17" s="466">
        <v>49710</v>
      </c>
      <c r="J17" s="467">
        <v>50041</v>
      </c>
      <c r="K17" s="467">
        <v>50404</v>
      </c>
      <c r="L17" s="467">
        <v>50853</v>
      </c>
      <c r="M17" s="467">
        <v>51206</v>
      </c>
      <c r="N17" s="467">
        <v>51634</v>
      </c>
      <c r="O17" s="467">
        <v>52044</v>
      </c>
      <c r="P17" s="467">
        <v>52286</v>
      </c>
      <c r="Q17" s="467">
        <v>52681</v>
      </c>
      <c r="R17" s="467">
        <v>52600</v>
      </c>
    </row>
    <row r="18" spans="1:18" s="75" customFormat="1" ht="15.95" customHeight="1" x14ac:dyDescent="0.3">
      <c r="A18" s="236" t="s">
        <v>407</v>
      </c>
      <c r="B18" s="463" t="s">
        <v>251</v>
      </c>
      <c r="C18" s="462">
        <v>109020</v>
      </c>
      <c r="D18" s="462">
        <v>109756</v>
      </c>
      <c r="E18" s="462">
        <v>117075</v>
      </c>
      <c r="F18" s="462">
        <v>122073</v>
      </c>
      <c r="G18" s="462">
        <v>122488</v>
      </c>
      <c r="H18" s="462">
        <v>123441</v>
      </c>
      <c r="I18" s="462">
        <v>136331</v>
      </c>
      <c r="J18" s="464">
        <v>138178</v>
      </c>
      <c r="K18" s="464">
        <v>139641</v>
      </c>
      <c r="L18" s="464">
        <v>140612</v>
      </c>
      <c r="M18" s="464">
        <v>142874</v>
      </c>
      <c r="N18" s="464">
        <v>171662</v>
      </c>
      <c r="O18" s="464">
        <v>172234</v>
      </c>
      <c r="P18" s="464">
        <v>174672</v>
      </c>
      <c r="Q18" s="464">
        <v>178353</v>
      </c>
      <c r="R18" s="464">
        <v>178984</v>
      </c>
    </row>
    <row r="19" spans="1:18" ht="15.95" customHeight="1" x14ac:dyDescent="0.3">
      <c r="A19" s="237" t="s">
        <v>252</v>
      </c>
      <c r="B19" s="465" t="s">
        <v>252</v>
      </c>
      <c r="C19" s="466">
        <v>5269</v>
      </c>
      <c r="D19" s="466">
        <v>5348</v>
      </c>
      <c r="E19" s="466">
        <v>5510</v>
      </c>
      <c r="F19" s="466">
        <v>5823</v>
      </c>
      <c r="G19" s="466">
        <v>5754</v>
      </c>
      <c r="H19" s="466">
        <v>4807</v>
      </c>
      <c r="I19" s="466">
        <v>5032</v>
      </c>
      <c r="J19" s="467">
        <v>5218</v>
      </c>
      <c r="K19" s="467">
        <v>5429</v>
      </c>
      <c r="L19" s="467">
        <v>5605</v>
      </c>
      <c r="M19" s="467">
        <v>5703</v>
      </c>
      <c r="N19" s="467">
        <v>5604</v>
      </c>
      <c r="O19" s="467">
        <v>6044</v>
      </c>
      <c r="P19" s="467">
        <v>6226</v>
      </c>
      <c r="Q19" s="467">
        <v>6392</v>
      </c>
      <c r="R19" s="467">
        <v>6582</v>
      </c>
    </row>
    <row r="20" spans="1:18" ht="15.95" customHeight="1" x14ac:dyDescent="0.3">
      <c r="A20" s="237" t="s">
        <v>253</v>
      </c>
      <c r="B20" s="465" t="s">
        <v>253</v>
      </c>
      <c r="C20" s="466">
        <v>1479</v>
      </c>
      <c r="D20" s="466">
        <v>1487</v>
      </c>
      <c r="E20" s="466">
        <v>1587</v>
      </c>
      <c r="F20" s="466">
        <v>1576</v>
      </c>
      <c r="G20" s="466">
        <v>1583</v>
      </c>
      <c r="H20" s="466">
        <v>1577</v>
      </c>
      <c r="I20" s="466">
        <v>1605</v>
      </c>
      <c r="J20" s="467">
        <v>2758</v>
      </c>
      <c r="K20" s="467">
        <v>2731</v>
      </c>
      <c r="L20" s="467">
        <v>2735</v>
      </c>
      <c r="M20" s="467">
        <v>2825</v>
      </c>
      <c r="N20" s="467">
        <v>2887</v>
      </c>
      <c r="O20" s="467">
        <v>3424</v>
      </c>
      <c r="P20" s="467">
        <v>3561</v>
      </c>
      <c r="Q20" s="467">
        <v>3746</v>
      </c>
      <c r="R20" s="467">
        <v>3830</v>
      </c>
    </row>
    <row r="21" spans="1:18" ht="15.95" customHeight="1" x14ac:dyDescent="0.3">
      <c r="A21" s="237" t="s">
        <v>214</v>
      </c>
      <c r="B21" s="465" t="s">
        <v>214</v>
      </c>
      <c r="C21" s="466">
        <v>53776</v>
      </c>
      <c r="D21" s="466">
        <v>54097</v>
      </c>
      <c r="E21" s="466">
        <v>55181</v>
      </c>
      <c r="F21" s="466">
        <v>56246</v>
      </c>
      <c r="G21" s="466">
        <v>56769</v>
      </c>
      <c r="H21" s="466">
        <v>57554</v>
      </c>
      <c r="I21" s="466">
        <v>65052</v>
      </c>
      <c r="J21" s="467">
        <v>65392</v>
      </c>
      <c r="K21" s="467">
        <v>65820</v>
      </c>
      <c r="L21" s="467">
        <v>66458</v>
      </c>
      <c r="M21" s="467">
        <v>66879</v>
      </c>
      <c r="N21" s="467">
        <v>67118</v>
      </c>
      <c r="O21" s="467">
        <v>67619</v>
      </c>
      <c r="P21" s="467">
        <v>67934</v>
      </c>
      <c r="Q21" s="467">
        <v>68852</v>
      </c>
      <c r="R21" s="467">
        <v>68989</v>
      </c>
    </row>
    <row r="22" spans="1:18" ht="15.95" customHeight="1" x14ac:dyDescent="0.3">
      <c r="A22" s="237" t="s">
        <v>254</v>
      </c>
      <c r="B22" s="465" t="s">
        <v>254</v>
      </c>
      <c r="C22" s="466">
        <v>10963</v>
      </c>
      <c r="D22" s="466">
        <v>10984</v>
      </c>
      <c r="E22" s="466">
        <v>11124</v>
      </c>
      <c r="F22" s="466">
        <v>11191</v>
      </c>
      <c r="G22" s="466">
        <v>11230</v>
      </c>
      <c r="H22" s="466">
        <v>11347</v>
      </c>
      <c r="I22" s="466">
        <v>11401</v>
      </c>
      <c r="J22" s="467">
        <v>11407</v>
      </c>
      <c r="K22" s="467">
        <v>11488</v>
      </c>
      <c r="L22" s="467">
        <v>11496</v>
      </c>
      <c r="M22" s="467">
        <v>11609</v>
      </c>
      <c r="N22" s="467">
        <v>11698</v>
      </c>
      <c r="O22" s="467">
        <v>11716</v>
      </c>
      <c r="P22" s="467">
        <v>11765</v>
      </c>
      <c r="Q22" s="467">
        <v>11882</v>
      </c>
      <c r="R22" s="467">
        <v>11842</v>
      </c>
    </row>
    <row r="23" spans="1:18" ht="15.95" customHeight="1" x14ac:dyDescent="0.3">
      <c r="A23" s="237" t="s">
        <v>406</v>
      </c>
      <c r="B23" s="465" t="s">
        <v>255</v>
      </c>
      <c r="C23" s="466">
        <v>3394</v>
      </c>
      <c r="D23" s="466">
        <v>3447</v>
      </c>
      <c r="E23" s="466">
        <v>3427</v>
      </c>
      <c r="F23" s="466">
        <v>3484</v>
      </c>
      <c r="G23" s="466">
        <v>3514</v>
      </c>
      <c r="H23" s="466">
        <v>3518</v>
      </c>
      <c r="I23" s="466">
        <v>3526</v>
      </c>
      <c r="J23" s="467">
        <v>3508</v>
      </c>
      <c r="K23" s="467">
        <v>3530</v>
      </c>
      <c r="L23" s="467">
        <v>3582</v>
      </c>
      <c r="M23" s="467">
        <v>3562</v>
      </c>
      <c r="N23" s="467">
        <v>3671</v>
      </c>
      <c r="O23" s="467">
        <v>3708</v>
      </c>
      <c r="P23" s="467">
        <v>3771</v>
      </c>
      <c r="Q23" s="467">
        <v>3814</v>
      </c>
      <c r="R23" s="467">
        <v>3827</v>
      </c>
    </row>
    <row r="24" spans="1:18" ht="15.95" customHeight="1" x14ac:dyDescent="0.3">
      <c r="A24" s="237" t="s">
        <v>256</v>
      </c>
      <c r="B24" s="465" t="s">
        <v>256</v>
      </c>
      <c r="C24" s="466">
        <v>9597</v>
      </c>
      <c r="D24" s="466">
        <v>9596</v>
      </c>
      <c r="E24" s="466">
        <v>9716</v>
      </c>
      <c r="F24" s="466">
        <v>9782</v>
      </c>
      <c r="G24" s="466">
        <v>9806</v>
      </c>
      <c r="H24" s="466">
        <v>9927</v>
      </c>
      <c r="I24" s="466">
        <v>9995</v>
      </c>
      <c r="J24" s="467">
        <v>10016</v>
      </c>
      <c r="K24" s="467">
        <v>10072</v>
      </c>
      <c r="L24" s="467">
        <v>10080</v>
      </c>
      <c r="M24" s="467">
        <v>10185</v>
      </c>
      <c r="N24" s="467">
        <v>10224</v>
      </c>
      <c r="O24" s="467">
        <v>10234</v>
      </c>
      <c r="P24" s="467">
        <v>10271</v>
      </c>
      <c r="Q24" s="467">
        <v>10362</v>
      </c>
      <c r="R24" s="467">
        <v>10343</v>
      </c>
    </row>
    <row r="25" spans="1:18" ht="15.95" customHeight="1" x14ac:dyDescent="0.3">
      <c r="A25" s="237" t="s">
        <v>257</v>
      </c>
      <c r="B25" s="465" t="s">
        <v>257</v>
      </c>
      <c r="C25" s="466">
        <v>1087</v>
      </c>
      <c r="D25" s="466">
        <v>1077</v>
      </c>
      <c r="E25" s="466">
        <v>1084</v>
      </c>
      <c r="F25" s="466">
        <v>1092</v>
      </c>
      <c r="G25" s="466">
        <v>1089</v>
      </c>
      <c r="H25" s="466">
        <v>1092</v>
      </c>
      <c r="I25" s="466">
        <v>1092</v>
      </c>
      <c r="J25" s="467">
        <v>1096</v>
      </c>
      <c r="K25" s="467">
        <v>1096</v>
      </c>
      <c r="L25" s="467">
        <v>1095</v>
      </c>
      <c r="M25" s="467">
        <v>1099</v>
      </c>
      <c r="N25" s="467">
        <v>1097</v>
      </c>
      <c r="O25" s="467">
        <v>1090</v>
      </c>
      <c r="P25" s="467">
        <v>1096</v>
      </c>
      <c r="Q25" s="467">
        <v>1105</v>
      </c>
      <c r="R25" s="467">
        <v>1105</v>
      </c>
    </row>
    <row r="26" spans="1:18" ht="15.95" customHeight="1" x14ac:dyDescent="0.3">
      <c r="A26" s="237" t="s">
        <v>258</v>
      </c>
      <c r="B26" s="465" t="s">
        <v>258</v>
      </c>
      <c r="C26" s="466">
        <v>23455</v>
      </c>
      <c r="D26" s="466">
        <v>23720</v>
      </c>
      <c r="E26" s="466">
        <v>29446</v>
      </c>
      <c r="F26" s="466">
        <v>32879</v>
      </c>
      <c r="G26" s="466">
        <v>32743</v>
      </c>
      <c r="H26" s="466">
        <v>33619</v>
      </c>
      <c r="I26" s="466">
        <v>38628</v>
      </c>
      <c r="J26" s="467">
        <v>38783</v>
      </c>
      <c r="K26" s="467">
        <v>39475</v>
      </c>
      <c r="L26" s="467">
        <v>31208</v>
      </c>
      <c r="M26" s="467">
        <v>32506</v>
      </c>
      <c r="N26" s="467">
        <v>60837</v>
      </c>
      <c r="O26" s="467">
        <v>59886</v>
      </c>
      <c r="P26" s="467">
        <v>61520</v>
      </c>
      <c r="Q26" s="467">
        <v>63542</v>
      </c>
      <c r="R26" s="467">
        <v>63705</v>
      </c>
    </row>
    <row r="27" spans="1:18" ht="15.95" customHeight="1" x14ac:dyDescent="0.3">
      <c r="A27" s="237" t="s">
        <v>259</v>
      </c>
      <c r="B27" s="465" t="s">
        <v>259</v>
      </c>
      <c r="C27" s="468" t="s">
        <v>133</v>
      </c>
      <c r="D27" s="468" t="s">
        <v>133</v>
      </c>
      <c r="E27" s="468" t="s">
        <v>133</v>
      </c>
      <c r="F27" s="468" t="s">
        <v>133</v>
      </c>
      <c r="G27" s="468" t="s">
        <v>133</v>
      </c>
      <c r="H27" s="468" t="s">
        <v>133</v>
      </c>
      <c r="I27" s="468" t="s">
        <v>133</v>
      </c>
      <c r="J27" s="468" t="s">
        <v>133</v>
      </c>
      <c r="K27" s="468"/>
      <c r="L27" s="467">
        <v>8353</v>
      </c>
      <c r="M27" s="467">
        <v>8506</v>
      </c>
      <c r="N27" s="467">
        <v>8526</v>
      </c>
      <c r="O27" s="467">
        <v>8513</v>
      </c>
      <c r="P27" s="467">
        <v>8528</v>
      </c>
      <c r="Q27" s="467">
        <v>8658</v>
      </c>
      <c r="R27" s="467">
        <v>8761</v>
      </c>
    </row>
    <row r="28" spans="1:18" s="75" customFormat="1" ht="15.95" customHeight="1" x14ac:dyDescent="0.3">
      <c r="A28" s="236" t="s">
        <v>260</v>
      </c>
      <c r="B28" s="463" t="s">
        <v>260</v>
      </c>
      <c r="C28" s="462">
        <v>138602</v>
      </c>
      <c r="D28" s="462">
        <v>140997</v>
      </c>
      <c r="E28" s="462">
        <v>143894</v>
      </c>
      <c r="F28" s="462">
        <v>145153</v>
      </c>
      <c r="G28" s="462">
        <v>146477</v>
      </c>
      <c r="H28" s="462">
        <v>148610</v>
      </c>
      <c r="I28" s="462">
        <v>149997</v>
      </c>
      <c r="J28" s="462">
        <v>150750</v>
      </c>
      <c r="K28" s="462">
        <v>151132</v>
      </c>
      <c r="L28" s="462">
        <v>151265</v>
      </c>
      <c r="M28" s="462">
        <v>151861</v>
      </c>
      <c r="N28" s="464">
        <v>152667</v>
      </c>
      <c r="O28" s="464">
        <v>153788</v>
      </c>
      <c r="P28" s="464">
        <v>154307</v>
      </c>
      <c r="Q28" s="464">
        <v>155498</v>
      </c>
      <c r="R28" s="464">
        <v>154443</v>
      </c>
    </row>
    <row r="29" spans="1:18" ht="15.95" customHeight="1" x14ac:dyDescent="0.3">
      <c r="A29" s="237" t="s">
        <v>261</v>
      </c>
      <c r="B29" s="465" t="s">
        <v>261</v>
      </c>
      <c r="C29" s="466">
        <v>47411</v>
      </c>
      <c r="D29" s="466">
        <v>48367</v>
      </c>
      <c r="E29" s="466">
        <v>49638</v>
      </c>
      <c r="F29" s="466">
        <v>50071</v>
      </c>
      <c r="G29" s="466">
        <v>50585</v>
      </c>
      <c r="H29" s="466">
        <v>51519</v>
      </c>
      <c r="I29" s="466">
        <v>52224</v>
      </c>
      <c r="J29" s="466">
        <v>52486</v>
      </c>
      <c r="K29" s="466">
        <v>52639</v>
      </c>
      <c r="L29" s="466">
        <v>52392</v>
      </c>
      <c r="M29" s="466">
        <v>52547</v>
      </c>
      <c r="N29" s="467">
        <v>52927</v>
      </c>
      <c r="O29" s="467">
        <v>53420</v>
      </c>
      <c r="P29" s="467">
        <v>53592</v>
      </c>
      <c r="Q29" s="467">
        <v>54039</v>
      </c>
      <c r="R29" s="467">
        <v>53663</v>
      </c>
    </row>
    <row r="30" spans="1:18" ht="15.95" customHeight="1" x14ac:dyDescent="0.3">
      <c r="A30" s="237" t="s">
        <v>216</v>
      </c>
      <c r="B30" s="465" t="s">
        <v>216</v>
      </c>
      <c r="C30" s="466">
        <v>12412</v>
      </c>
      <c r="D30" s="466">
        <v>12764</v>
      </c>
      <c r="E30" s="466">
        <v>13084</v>
      </c>
      <c r="F30" s="466">
        <v>13198</v>
      </c>
      <c r="G30" s="466">
        <v>13331</v>
      </c>
      <c r="H30" s="466">
        <v>13511</v>
      </c>
      <c r="I30" s="466">
        <v>13609</v>
      </c>
      <c r="J30" s="466">
        <v>13699</v>
      </c>
      <c r="K30" s="466">
        <v>13753</v>
      </c>
      <c r="L30" s="466">
        <v>13869</v>
      </c>
      <c r="M30" s="466">
        <v>13902</v>
      </c>
      <c r="N30" s="467">
        <v>13952</v>
      </c>
      <c r="O30" s="467">
        <v>14075</v>
      </c>
      <c r="P30" s="467">
        <v>14130</v>
      </c>
      <c r="Q30" s="467">
        <v>14271</v>
      </c>
      <c r="R30" s="467">
        <v>14103</v>
      </c>
    </row>
    <row r="31" spans="1:18" ht="15.95" customHeight="1" x14ac:dyDescent="0.3">
      <c r="A31" s="237" t="s">
        <v>262</v>
      </c>
      <c r="B31" s="465" t="s">
        <v>262</v>
      </c>
      <c r="C31" s="466">
        <v>9900</v>
      </c>
      <c r="D31" s="466">
        <v>9991</v>
      </c>
      <c r="E31" s="466">
        <v>10085</v>
      </c>
      <c r="F31" s="466">
        <v>10142</v>
      </c>
      <c r="G31" s="466">
        <v>10212</v>
      </c>
      <c r="H31" s="466">
        <v>10279</v>
      </c>
      <c r="I31" s="466">
        <v>10298</v>
      </c>
      <c r="J31" s="466">
        <v>10315</v>
      </c>
      <c r="K31" s="466">
        <v>10362</v>
      </c>
      <c r="L31" s="466">
        <v>10373</v>
      </c>
      <c r="M31" s="466">
        <v>10454</v>
      </c>
      <c r="N31" s="467">
        <v>10481</v>
      </c>
      <c r="O31" s="467">
        <v>10528</v>
      </c>
      <c r="P31" s="467">
        <v>10531</v>
      </c>
      <c r="Q31" s="467">
        <v>10611</v>
      </c>
      <c r="R31" s="467">
        <v>10498</v>
      </c>
    </row>
    <row r="32" spans="1:18" ht="15.95" customHeight="1" x14ac:dyDescent="0.3">
      <c r="A32" s="237" t="s">
        <v>263</v>
      </c>
      <c r="B32" s="465" t="s">
        <v>263</v>
      </c>
      <c r="C32" s="466">
        <v>27753</v>
      </c>
      <c r="D32" s="466">
        <v>28383</v>
      </c>
      <c r="E32" s="466">
        <v>29055</v>
      </c>
      <c r="F32" s="466">
        <v>29492</v>
      </c>
      <c r="G32" s="466">
        <v>29762</v>
      </c>
      <c r="H32" s="466">
        <v>30331</v>
      </c>
      <c r="I32" s="466">
        <v>30721</v>
      </c>
      <c r="J32" s="466">
        <v>30958</v>
      </c>
      <c r="K32" s="466">
        <v>31022</v>
      </c>
      <c r="L32" s="466">
        <v>31130</v>
      </c>
      <c r="M32" s="466">
        <v>31266</v>
      </c>
      <c r="N32" s="467">
        <v>31490</v>
      </c>
      <c r="O32" s="467">
        <v>31736</v>
      </c>
      <c r="P32" s="467">
        <v>31895</v>
      </c>
      <c r="Q32" s="467">
        <v>32244</v>
      </c>
      <c r="R32" s="467">
        <v>32050</v>
      </c>
    </row>
    <row r="33" spans="1:18" ht="15.95" customHeight="1" x14ac:dyDescent="0.3">
      <c r="A33" s="237" t="s">
        <v>264</v>
      </c>
      <c r="B33" s="465" t="s">
        <v>264</v>
      </c>
      <c r="C33" s="466">
        <v>8235</v>
      </c>
      <c r="D33" s="466">
        <v>8321</v>
      </c>
      <c r="E33" s="466">
        <v>8405</v>
      </c>
      <c r="F33" s="466">
        <v>8404</v>
      </c>
      <c r="G33" s="466">
        <v>8485</v>
      </c>
      <c r="H33" s="466">
        <v>8535</v>
      </c>
      <c r="I33" s="466">
        <v>8522</v>
      </c>
      <c r="J33" s="466">
        <v>8552</v>
      </c>
      <c r="K33" s="466">
        <v>8548</v>
      </c>
      <c r="L33" s="466">
        <v>8613</v>
      </c>
      <c r="M33" s="466">
        <v>8665</v>
      </c>
      <c r="N33" s="467">
        <v>8677</v>
      </c>
      <c r="O33" s="467">
        <v>8703</v>
      </c>
      <c r="P33" s="467">
        <v>8715</v>
      </c>
      <c r="Q33" s="467">
        <v>8747</v>
      </c>
      <c r="R33" s="467">
        <v>8700</v>
      </c>
    </row>
    <row r="34" spans="1:18" ht="15.95" customHeight="1" x14ac:dyDescent="0.3">
      <c r="A34" s="237" t="s">
        <v>265</v>
      </c>
      <c r="B34" s="465" t="s">
        <v>265</v>
      </c>
      <c r="C34" s="466">
        <v>12408</v>
      </c>
      <c r="D34" s="466">
        <v>12476</v>
      </c>
      <c r="E34" s="466">
        <v>12673</v>
      </c>
      <c r="F34" s="466">
        <v>12778</v>
      </c>
      <c r="G34" s="466">
        <v>12906</v>
      </c>
      <c r="H34" s="466">
        <v>12993</v>
      </c>
      <c r="I34" s="466">
        <v>13086</v>
      </c>
      <c r="J34" s="466">
        <v>13126</v>
      </c>
      <c r="K34" s="466">
        <v>13141</v>
      </c>
      <c r="L34" s="466">
        <v>13158</v>
      </c>
      <c r="M34" s="466">
        <v>13210</v>
      </c>
      <c r="N34" s="467">
        <v>13256</v>
      </c>
      <c r="O34" s="467">
        <v>13319</v>
      </c>
      <c r="P34" s="467">
        <v>13322</v>
      </c>
      <c r="Q34" s="467">
        <v>13381</v>
      </c>
      <c r="R34" s="467">
        <v>13277</v>
      </c>
    </row>
    <row r="35" spans="1:18" ht="15.95" customHeight="1" x14ac:dyDescent="0.3">
      <c r="A35" s="237" t="s">
        <v>266</v>
      </c>
      <c r="B35" s="465" t="s">
        <v>266</v>
      </c>
      <c r="C35" s="466">
        <v>20483</v>
      </c>
      <c r="D35" s="466">
        <v>20695</v>
      </c>
      <c r="E35" s="466">
        <v>20954</v>
      </c>
      <c r="F35" s="466">
        <v>21068</v>
      </c>
      <c r="G35" s="466">
        <v>21196</v>
      </c>
      <c r="H35" s="466">
        <v>21442</v>
      </c>
      <c r="I35" s="466">
        <v>21537</v>
      </c>
      <c r="J35" s="466">
        <v>21614</v>
      </c>
      <c r="K35" s="466">
        <v>21667</v>
      </c>
      <c r="L35" s="466">
        <v>21730</v>
      </c>
      <c r="M35" s="466">
        <v>21817</v>
      </c>
      <c r="N35" s="467">
        <v>21884</v>
      </c>
      <c r="O35" s="467">
        <v>22007</v>
      </c>
      <c r="P35" s="467">
        <v>22122</v>
      </c>
      <c r="Q35" s="467">
        <v>22205</v>
      </c>
      <c r="R35" s="467">
        <v>22152</v>
      </c>
    </row>
    <row r="36" spans="1:18" s="75" customFormat="1" ht="15.95" customHeight="1" x14ac:dyDescent="0.3">
      <c r="A36" s="236" t="s">
        <v>409</v>
      </c>
      <c r="B36" s="463" t="s">
        <v>267</v>
      </c>
      <c r="C36" s="462">
        <v>129328</v>
      </c>
      <c r="D36" s="462">
        <v>134600</v>
      </c>
      <c r="E36" s="462">
        <v>148545</v>
      </c>
      <c r="F36" s="462">
        <v>154590</v>
      </c>
      <c r="G36" s="462">
        <v>156815</v>
      </c>
      <c r="H36" s="462">
        <v>163828</v>
      </c>
      <c r="I36" s="462">
        <v>168572</v>
      </c>
      <c r="J36" s="462">
        <v>178918</v>
      </c>
      <c r="K36" s="462">
        <v>182576</v>
      </c>
      <c r="L36" s="462">
        <v>184940</v>
      </c>
      <c r="M36" s="462">
        <v>188208</v>
      </c>
      <c r="N36" s="464">
        <v>190170</v>
      </c>
      <c r="O36" s="464">
        <v>192691</v>
      </c>
      <c r="P36" s="464">
        <v>217784</v>
      </c>
      <c r="Q36" s="464">
        <v>221923</v>
      </c>
      <c r="R36" s="464">
        <v>222834</v>
      </c>
    </row>
    <row r="37" spans="1:18" ht="15.95" customHeight="1" x14ac:dyDescent="0.3">
      <c r="A37" s="237" t="s">
        <v>215</v>
      </c>
      <c r="B37" s="465" t="s">
        <v>215</v>
      </c>
      <c r="C37" s="466">
        <v>48439</v>
      </c>
      <c r="D37" s="466">
        <v>50800</v>
      </c>
      <c r="E37" s="466">
        <v>63114</v>
      </c>
      <c r="F37" s="466">
        <v>66903</v>
      </c>
      <c r="G37" s="466">
        <v>67618</v>
      </c>
      <c r="H37" s="466">
        <v>69137</v>
      </c>
      <c r="I37" s="466">
        <v>72170</v>
      </c>
      <c r="J37" s="466">
        <v>81487</v>
      </c>
      <c r="K37" s="466">
        <v>84036</v>
      </c>
      <c r="L37" s="466">
        <v>85482</v>
      </c>
      <c r="M37" s="466">
        <v>87317</v>
      </c>
      <c r="N37" s="467">
        <v>88591</v>
      </c>
      <c r="O37" s="467">
        <v>89948</v>
      </c>
      <c r="P37" s="467">
        <v>95702</v>
      </c>
      <c r="Q37" s="467">
        <v>97036</v>
      </c>
      <c r="R37" s="467">
        <v>97063</v>
      </c>
    </row>
    <row r="38" spans="1:18" ht="15.95" customHeight="1" x14ac:dyDescent="0.3">
      <c r="A38" s="237" t="s">
        <v>268</v>
      </c>
      <c r="B38" s="465" t="s">
        <v>268</v>
      </c>
      <c r="C38" s="466">
        <v>1827</v>
      </c>
      <c r="D38" s="466">
        <v>2799</v>
      </c>
      <c r="E38" s="466">
        <v>2866</v>
      </c>
      <c r="F38" s="466">
        <v>3021</v>
      </c>
      <c r="G38" s="466">
        <v>3001</v>
      </c>
      <c r="H38" s="466">
        <v>3018</v>
      </c>
      <c r="I38" s="466">
        <v>3069</v>
      </c>
      <c r="J38" s="466">
        <v>3076</v>
      </c>
      <c r="K38" s="466">
        <v>3099</v>
      </c>
      <c r="L38" s="466">
        <v>3097</v>
      </c>
      <c r="M38" s="466">
        <v>3166</v>
      </c>
      <c r="N38" s="467">
        <v>3212</v>
      </c>
      <c r="O38" s="467">
        <v>3252</v>
      </c>
      <c r="P38" s="467">
        <v>3206</v>
      </c>
      <c r="Q38" s="467">
        <v>3308</v>
      </c>
      <c r="R38" s="467">
        <v>3297</v>
      </c>
    </row>
    <row r="39" spans="1:18" ht="15.95" customHeight="1" x14ac:dyDescent="0.3">
      <c r="A39" s="237" t="s">
        <v>269</v>
      </c>
      <c r="B39" s="465" t="s">
        <v>269</v>
      </c>
      <c r="C39" s="466">
        <v>23031</v>
      </c>
      <c r="D39" s="466">
        <v>23397</v>
      </c>
      <c r="E39" s="466">
        <v>23715</v>
      </c>
      <c r="F39" s="466">
        <v>24263</v>
      </c>
      <c r="G39" s="466">
        <v>24664</v>
      </c>
      <c r="H39" s="466">
        <v>25082</v>
      </c>
      <c r="I39" s="466">
        <v>25380</v>
      </c>
      <c r="J39" s="466">
        <v>25601</v>
      </c>
      <c r="K39" s="466">
        <v>25751</v>
      </c>
      <c r="L39" s="466">
        <v>25912</v>
      </c>
      <c r="M39" s="466">
        <v>26065</v>
      </c>
      <c r="N39" s="467">
        <v>26031</v>
      </c>
      <c r="O39" s="467">
        <v>26156</v>
      </c>
      <c r="P39" s="467">
        <v>26307</v>
      </c>
      <c r="Q39" s="467">
        <v>26812</v>
      </c>
      <c r="R39" s="467">
        <v>27008</v>
      </c>
    </row>
    <row r="40" spans="1:18" ht="15.95" customHeight="1" x14ac:dyDescent="0.3">
      <c r="A40" s="237" t="s">
        <v>270</v>
      </c>
      <c r="B40" s="465" t="s">
        <v>270</v>
      </c>
      <c r="C40" s="466">
        <v>24037</v>
      </c>
      <c r="D40" s="466">
        <v>24630</v>
      </c>
      <c r="E40" s="466">
        <v>25320</v>
      </c>
      <c r="F40" s="466">
        <v>25897</v>
      </c>
      <c r="G40" s="466">
        <v>26293</v>
      </c>
      <c r="H40" s="466">
        <v>26743</v>
      </c>
      <c r="I40" s="466">
        <v>27184</v>
      </c>
      <c r="J40" s="466">
        <v>27497</v>
      </c>
      <c r="K40" s="466">
        <v>27717</v>
      </c>
      <c r="L40" s="466">
        <v>27894</v>
      </c>
      <c r="M40" s="466">
        <v>28177</v>
      </c>
      <c r="N40" s="467">
        <v>28332</v>
      </c>
      <c r="O40" s="467">
        <v>28521</v>
      </c>
      <c r="P40" s="467">
        <v>28705</v>
      </c>
      <c r="Q40" s="467">
        <v>28986</v>
      </c>
      <c r="R40" s="467">
        <v>29407</v>
      </c>
    </row>
    <row r="41" spans="1:18" ht="15.95" customHeight="1" x14ac:dyDescent="0.3">
      <c r="A41" s="237" t="s">
        <v>271</v>
      </c>
      <c r="B41" s="465" t="s">
        <v>271</v>
      </c>
      <c r="C41" s="466">
        <v>2402</v>
      </c>
      <c r="D41" s="466">
        <v>2722</v>
      </c>
      <c r="E41" s="466">
        <v>2940</v>
      </c>
      <c r="F41" s="466">
        <v>3451</v>
      </c>
      <c r="G41" s="466">
        <v>3511</v>
      </c>
      <c r="H41" s="466">
        <v>7129</v>
      </c>
      <c r="I41" s="466">
        <v>7647</v>
      </c>
      <c r="J41" s="466">
        <v>7951</v>
      </c>
      <c r="K41" s="466">
        <v>8424</v>
      </c>
      <c r="L41" s="466">
        <v>8769</v>
      </c>
      <c r="M41" s="466">
        <v>9424</v>
      </c>
      <c r="N41" s="467">
        <v>9612</v>
      </c>
      <c r="O41" s="467">
        <v>10077</v>
      </c>
      <c r="P41" s="467">
        <v>21363</v>
      </c>
      <c r="Q41" s="467">
        <v>22337</v>
      </c>
      <c r="R41" s="467">
        <v>22424</v>
      </c>
    </row>
    <row r="42" spans="1:18" ht="15.95" customHeight="1" x14ac:dyDescent="0.3">
      <c r="A42" s="237" t="s">
        <v>272</v>
      </c>
      <c r="B42" s="465" t="s">
        <v>272</v>
      </c>
      <c r="C42" s="466">
        <v>7256</v>
      </c>
      <c r="D42" s="466">
        <v>7312</v>
      </c>
      <c r="E42" s="466">
        <v>7403</v>
      </c>
      <c r="F42" s="466">
        <v>7489</v>
      </c>
      <c r="G42" s="466">
        <v>7526</v>
      </c>
      <c r="H42" s="466">
        <v>7590</v>
      </c>
      <c r="I42" s="466">
        <v>7712</v>
      </c>
      <c r="J42" s="466">
        <v>7723</v>
      </c>
      <c r="K42" s="466">
        <v>7780</v>
      </c>
      <c r="L42" s="466">
        <v>7803</v>
      </c>
      <c r="M42" s="466">
        <v>7838</v>
      </c>
      <c r="N42" s="467">
        <v>7915</v>
      </c>
      <c r="O42" s="467">
        <v>8004</v>
      </c>
      <c r="P42" s="467">
        <v>8059</v>
      </c>
      <c r="Q42" s="467">
        <v>8110</v>
      </c>
      <c r="R42" s="467">
        <v>8091</v>
      </c>
    </row>
    <row r="43" spans="1:18" ht="15.95" customHeight="1" x14ac:dyDescent="0.3">
      <c r="A43" s="237" t="s">
        <v>273</v>
      </c>
      <c r="B43" s="465" t="s">
        <v>273</v>
      </c>
      <c r="C43" s="466">
        <v>1633</v>
      </c>
      <c r="D43" s="466">
        <v>1637</v>
      </c>
      <c r="E43" s="466">
        <v>1685</v>
      </c>
      <c r="F43" s="466">
        <v>1755</v>
      </c>
      <c r="G43" s="466">
        <v>2133</v>
      </c>
      <c r="H43" s="466">
        <v>2906</v>
      </c>
      <c r="I43" s="466">
        <v>2970</v>
      </c>
      <c r="J43" s="466">
        <v>3007</v>
      </c>
      <c r="K43" s="466">
        <v>3091</v>
      </c>
      <c r="L43" s="466">
        <v>3196</v>
      </c>
      <c r="M43" s="466">
        <v>3244</v>
      </c>
      <c r="N43" s="467">
        <v>3255</v>
      </c>
      <c r="O43" s="467">
        <v>3303</v>
      </c>
      <c r="P43" s="467">
        <v>3357</v>
      </c>
      <c r="Q43" s="467">
        <v>3452</v>
      </c>
      <c r="R43" s="467">
        <v>3480</v>
      </c>
    </row>
    <row r="44" spans="1:18" ht="15.95" customHeight="1" x14ac:dyDescent="0.3">
      <c r="A44" s="237" t="s">
        <v>274</v>
      </c>
      <c r="B44" s="465" t="s">
        <v>274</v>
      </c>
      <c r="C44" s="466">
        <v>20703</v>
      </c>
      <c r="D44" s="466">
        <v>21303</v>
      </c>
      <c r="E44" s="466">
        <v>21502</v>
      </c>
      <c r="F44" s="466">
        <v>21811</v>
      </c>
      <c r="G44" s="466">
        <v>22069</v>
      </c>
      <c r="H44" s="466">
        <v>22223</v>
      </c>
      <c r="I44" s="466">
        <v>22440</v>
      </c>
      <c r="J44" s="466">
        <v>22576</v>
      </c>
      <c r="K44" s="466">
        <v>22678</v>
      </c>
      <c r="L44" s="466">
        <v>22787</v>
      </c>
      <c r="M44" s="466">
        <v>22977</v>
      </c>
      <c r="N44" s="467">
        <v>23222</v>
      </c>
      <c r="O44" s="467">
        <v>23430</v>
      </c>
      <c r="P44" s="467">
        <v>23735</v>
      </c>
      <c r="Q44" s="467">
        <v>23889</v>
      </c>
      <c r="R44" s="467">
        <v>23906</v>
      </c>
    </row>
    <row r="45" spans="1:18" ht="15.95" customHeight="1" x14ac:dyDescent="0.3">
      <c r="A45" s="237" t="s">
        <v>408</v>
      </c>
      <c r="B45" s="465" t="s">
        <v>275</v>
      </c>
      <c r="C45" s="466"/>
      <c r="D45" s="466"/>
      <c r="E45" s="466"/>
      <c r="F45" s="466"/>
      <c r="G45" s="466"/>
      <c r="H45" s="466"/>
      <c r="I45" s="466"/>
      <c r="J45" s="468" t="s">
        <v>133</v>
      </c>
      <c r="K45" s="468">
        <v>0</v>
      </c>
      <c r="L45" s="468" t="s">
        <v>133</v>
      </c>
      <c r="M45" s="468" t="s">
        <v>133</v>
      </c>
      <c r="N45" s="468" t="s">
        <v>133</v>
      </c>
      <c r="O45" s="468" t="s">
        <v>133</v>
      </c>
      <c r="P45" s="467">
        <v>7350</v>
      </c>
      <c r="Q45" s="467">
        <v>7993</v>
      </c>
      <c r="R45" s="467">
        <v>8158</v>
      </c>
    </row>
    <row r="46" spans="1:18" s="75" customFormat="1" ht="15.95" customHeight="1" x14ac:dyDescent="0.3">
      <c r="A46" s="236" t="s">
        <v>410</v>
      </c>
      <c r="B46" s="463" t="s">
        <v>276</v>
      </c>
      <c r="C46" s="462">
        <v>108623</v>
      </c>
      <c r="D46" s="462">
        <v>114048</v>
      </c>
      <c r="E46" s="462">
        <v>123280</v>
      </c>
      <c r="F46" s="462">
        <v>135277</v>
      </c>
      <c r="G46" s="462">
        <v>138293</v>
      </c>
      <c r="H46" s="462">
        <v>142118</v>
      </c>
      <c r="I46" s="462">
        <v>144425</v>
      </c>
      <c r="J46" s="462">
        <v>146586</v>
      </c>
      <c r="K46" s="462">
        <v>148946</v>
      </c>
      <c r="L46" s="462">
        <v>150884</v>
      </c>
      <c r="M46" s="462">
        <v>152316</v>
      </c>
      <c r="N46" s="464">
        <v>154117</v>
      </c>
      <c r="O46" s="464">
        <v>156105</v>
      </c>
      <c r="P46" s="464">
        <v>157337</v>
      </c>
      <c r="Q46" s="464">
        <v>164079</v>
      </c>
      <c r="R46" s="464">
        <v>165153</v>
      </c>
    </row>
    <row r="47" spans="1:18" ht="15.95" customHeight="1" x14ac:dyDescent="0.3">
      <c r="A47" s="237" t="s">
        <v>217</v>
      </c>
      <c r="B47" s="465" t="s">
        <v>217</v>
      </c>
      <c r="C47" s="466">
        <v>108623</v>
      </c>
      <c r="D47" s="466">
        <v>114048</v>
      </c>
      <c r="E47" s="466">
        <v>123280</v>
      </c>
      <c r="F47" s="466">
        <v>135277</v>
      </c>
      <c r="G47" s="466">
        <v>138293</v>
      </c>
      <c r="H47" s="466">
        <v>142118</v>
      </c>
      <c r="I47" s="466">
        <v>144425</v>
      </c>
      <c r="J47" s="466">
        <v>146586</v>
      </c>
      <c r="K47" s="466">
        <v>148946</v>
      </c>
      <c r="L47" s="466">
        <v>150884</v>
      </c>
      <c r="M47" s="466">
        <v>152316</v>
      </c>
      <c r="N47" s="467">
        <v>154117</v>
      </c>
      <c r="O47" s="467">
        <v>156105</v>
      </c>
      <c r="P47" s="467">
        <v>157337</v>
      </c>
      <c r="Q47" s="467">
        <v>164079</v>
      </c>
      <c r="R47" s="467">
        <v>165153</v>
      </c>
    </row>
    <row r="48" spans="1:18" s="75" customFormat="1" ht="15.95" customHeight="1" x14ac:dyDescent="0.3">
      <c r="A48" s="236" t="s">
        <v>414</v>
      </c>
      <c r="B48" s="463" t="s">
        <v>277</v>
      </c>
      <c r="C48" s="462">
        <v>156581</v>
      </c>
      <c r="D48" s="462">
        <v>161060</v>
      </c>
      <c r="E48" s="462">
        <v>163186</v>
      </c>
      <c r="F48" s="462">
        <v>173260</v>
      </c>
      <c r="G48" s="462">
        <v>186742</v>
      </c>
      <c r="H48" s="462">
        <v>193687</v>
      </c>
      <c r="I48" s="462">
        <v>205209</v>
      </c>
      <c r="J48" s="462">
        <v>207872</v>
      </c>
      <c r="K48" s="462">
        <v>210527</v>
      </c>
      <c r="L48" s="462">
        <v>214396</v>
      </c>
      <c r="M48" s="462">
        <v>217008</v>
      </c>
      <c r="N48" s="464">
        <v>219114</v>
      </c>
      <c r="O48" s="464">
        <v>221701</v>
      </c>
      <c r="P48" s="464">
        <v>224036</v>
      </c>
      <c r="Q48" s="464">
        <v>226140</v>
      </c>
      <c r="R48" s="464">
        <v>227847</v>
      </c>
    </row>
    <row r="49" spans="1:18" ht="15.95" customHeight="1" x14ac:dyDescent="0.3">
      <c r="A49" s="237" t="s">
        <v>278</v>
      </c>
      <c r="B49" s="465" t="s">
        <v>278</v>
      </c>
      <c r="C49" s="466">
        <v>5371</v>
      </c>
      <c r="D49" s="466">
        <v>6024</v>
      </c>
      <c r="E49" s="466">
        <v>6175</v>
      </c>
      <c r="F49" s="466">
        <v>6397</v>
      </c>
      <c r="G49" s="466">
        <v>6765</v>
      </c>
      <c r="H49" s="466">
        <v>7538</v>
      </c>
      <c r="I49" s="466">
        <v>7737</v>
      </c>
      <c r="J49" s="466">
        <v>8031</v>
      </c>
      <c r="K49" s="466">
        <v>8254</v>
      </c>
      <c r="L49" s="466">
        <v>8496</v>
      </c>
      <c r="M49" s="466">
        <v>8597</v>
      </c>
      <c r="N49" s="467">
        <v>8759</v>
      </c>
      <c r="O49" s="467">
        <v>9028</v>
      </c>
      <c r="P49" s="467">
        <v>9130</v>
      </c>
      <c r="Q49" s="467">
        <v>9261</v>
      </c>
      <c r="R49" s="467">
        <v>9232</v>
      </c>
    </row>
    <row r="50" spans="1:18" ht="15.95" customHeight="1" x14ac:dyDescent="0.3">
      <c r="A50" s="237" t="s">
        <v>411</v>
      </c>
      <c r="B50" s="465" t="s">
        <v>279</v>
      </c>
      <c r="C50" s="466">
        <v>1278</v>
      </c>
      <c r="D50" s="466">
        <v>1320</v>
      </c>
      <c r="E50" s="466">
        <v>1351</v>
      </c>
      <c r="F50" s="466">
        <v>1415</v>
      </c>
      <c r="G50" s="466">
        <v>9234</v>
      </c>
      <c r="H50" s="466">
        <v>10259</v>
      </c>
      <c r="I50" s="466">
        <v>11686</v>
      </c>
      <c r="J50" s="466">
        <v>12127</v>
      </c>
      <c r="K50" s="466">
        <v>12489</v>
      </c>
      <c r="L50" s="466">
        <v>13055</v>
      </c>
      <c r="M50" s="466">
        <v>13397</v>
      </c>
      <c r="N50" s="467">
        <v>13697</v>
      </c>
      <c r="O50" s="467">
        <v>14058</v>
      </c>
      <c r="P50" s="467">
        <v>14286</v>
      </c>
      <c r="Q50" s="467">
        <v>14476</v>
      </c>
      <c r="R50" s="467">
        <v>14558</v>
      </c>
    </row>
    <row r="51" spans="1:18" ht="15.95" customHeight="1" x14ac:dyDescent="0.3">
      <c r="A51" s="237" t="s">
        <v>280</v>
      </c>
      <c r="B51" s="465" t="s">
        <v>280</v>
      </c>
      <c r="C51" s="466">
        <v>1321</v>
      </c>
      <c r="D51" s="466">
        <v>1310</v>
      </c>
      <c r="E51" s="466">
        <v>1309</v>
      </c>
      <c r="F51" s="466">
        <v>1304</v>
      </c>
      <c r="G51" s="466">
        <v>1330</v>
      </c>
      <c r="H51" s="466">
        <v>1397</v>
      </c>
      <c r="I51" s="466">
        <v>1493</v>
      </c>
      <c r="J51" s="466">
        <v>1498</v>
      </c>
      <c r="K51" s="466">
        <v>1500</v>
      </c>
      <c r="L51" s="466">
        <v>1634</v>
      </c>
      <c r="M51" s="466">
        <v>1662</v>
      </c>
      <c r="N51" s="467">
        <v>1678</v>
      </c>
      <c r="O51" s="467">
        <v>1694</v>
      </c>
      <c r="P51" s="467">
        <v>1703</v>
      </c>
      <c r="Q51" s="467">
        <v>1725</v>
      </c>
      <c r="R51" s="467">
        <v>1712</v>
      </c>
    </row>
    <row r="52" spans="1:18" ht="15.95" customHeight="1" x14ac:dyDescent="0.3">
      <c r="A52" s="237" t="s">
        <v>342</v>
      </c>
      <c r="B52" s="465" t="s">
        <v>281</v>
      </c>
      <c r="C52" s="468" t="s">
        <v>133</v>
      </c>
      <c r="D52" s="468" t="s">
        <v>133</v>
      </c>
      <c r="E52" s="468" t="s">
        <v>133</v>
      </c>
      <c r="F52" s="466">
        <v>589</v>
      </c>
      <c r="G52" s="466">
        <v>770</v>
      </c>
      <c r="H52" s="466">
        <v>920</v>
      </c>
      <c r="I52" s="466">
        <v>943</v>
      </c>
      <c r="J52" s="466">
        <v>949</v>
      </c>
      <c r="K52" s="466">
        <v>971</v>
      </c>
      <c r="L52" s="466">
        <v>1038</v>
      </c>
      <c r="M52" s="466">
        <v>1098</v>
      </c>
      <c r="N52" s="467">
        <v>1126</v>
      </c>
      <c r="O52" s="467">
        <v>1121</v>
      </c>
      <c r="P52" s="467">
        <v>1121</v>
      </c>
      <c r="Q52" s="467">
        <v>1144</v>
      </c>
      <c r="R52" s="467">
        <v>1693</v>
      </c>
    </row>
    <row r="53" spans="1:18" ht="15.95" customHeight="1" x14ac:dyDescent="0.3">
      <c r="A53" s="237" t="s">
        <v>343</v>
      </c>
      <c r="B53" s="465" t="s">
        <v>282</v>
      </c>
      <c r="C53" s="468" t="s">
        <v>133</v>
      </c>
      <c r="D53" s="468" t="s">
        <v>133</v>
      </c>
      <c r="E53" s="468" t="s">
        <v>133</v>
      </c>
      <c r="F53" s="466">
        <v>866</v>
      </c>
      <c r="G53" s="466">
        <v>830</v>
      </c>
      <c r="H53" s="466">
        <v>929</v>
      </c>
      <c r="I53" s="466">
        <v>986</v>
      </c>
      <c r="J53" s="466">
        <v>995</v>
      </c>
      <c r="K53" s="466">
        <v>1023</v>
      </c>
      <c r="L53" s="466">
        <v>1112</v>
      </c>
      <c r="M53" s="466">
        <v>1162</v>
      </c>
      <c r="N53" s="467">
        <v>1193</v>
      </c>
      <c r="O53" s="467">
        <v>1205</v>
      </c>
      <c r="P53" s="467">
        <v>1200</v>
      </c>
      <c r="Q53" s="467">
        <v>1232</v>
      </c>
      <c r="R53" s="467">
        <v>1770</v>
      </c>
    </row>
    <row r="54" spans="1:18" ht="15.95" customHeight="1" x14ac:dyDescent="0.3">
      <c r="A54" s="237" t="s">
        <v>344</v>
      </c>
      <c r="B54" s="465" t="s">
        <v>283</v>
      </c>
      <c r="C54" s="468" t="s">
        <v>133</v>
      </c>
      <c r="D54" s="468" t="s">
        <v>133</v>
      </c>
      <c r="E54" s="468" t="s">
        <v>133</v>
      </c>
      <c r="F54" s="466">
        <v>941</v>
      </c>
      <c r="G54" s="466">
        <v>1071</v>
      </c>
      <c r="H54" s="466">
        <v>1205</v>
      </c>
      <c r="I54" s="466">
        <v>1365</v>
      </c>
      <c r="J54" s="466">
        <v>1378</v>
      </c>
      <c r="K54" s="466">
        <v>1508</v>
      </c>
      <c r="L54" s="466">
        <v>1601</v>
      </c>
      <c r="M54" s="466">
        <v>1643</v>
      </c>
      <c r="N54" s="467">
        <v>1663</v>
      </c>
      <c r="O54" s="467">
        <v>1997</v>
      </c>
      <c r="P54" s="467">
        <v>2007</v>
      </c>
      <c r="Q54" s="467">
        <v>2054</v>
      </c>
      <c r="R54" s="467">
        <v>2211</v>
      </c>
    </row>
    <row r="55" spans="1:18" ht="15.95" customHeight="1" x14ac:dyDescent="0.3">
      <c r="A55" s="237" t="s">
        <v>284</v>
      </c>
      <c r="B55" s="465" t="s">
        <v>284</v>
      </c>
      <c r="C55" s="466">
        <v>50892</v>
      </c>
      <c r="D55" s="466">
        <v>51634</v>
      </c>
      <c r="E55" s="466">
        <v>52116</v>
      </c>
      <c r="F55" s="466">
        <v>53461</v>
      </c>
      <c r="G55" s="466">
        <v>53820</v>
      </c>
      <c r="H55" s="466">
        <v>54655</v>
      </c>
      <c r="I55" s="466">
        <v>55832</v>
      </c>
      <c r="J55" s="466">
        <v>56251</v>
      </c>
      <c r="K55" s="466">
        <v>56691</v>
      </c>
      <c r="L55" s="466">
        <v>57254</v>
      </c>
      <c r="M55" s="466">
        <v>57652</v>
      </c>
      <c r="N55" s="467">
        <v>58142</v>
      </c>
      <c r="O55" s="467">
        <v>58475</v>
      </c>
      <c r="P55" s="467">
        <v>58954</v>
      </c>
      <c r="Q55" s="467">
        <v>59286</v>
      </c>
      <c r="R55" s="467">
        <v>59273</v>
      </c>
    </row>
    <row r="56" spans="1:18" ht="15.95" customHeight="1" x14ac:dyDescent="0.3">
      <c r="A56" s="237" t="s">
        <v>412</v>
      </c>
      <c r="B56" s="465" t="s">
        <v>285</v>
      </c>
      <c r="C56" s="466">
        <v>44545</v>
      </c>
      <c r="D56" s="466">
        <v>46923</v>
      </c>
      <c r="E56" s="466">
        <v>47422</v>
      </c>
      <c r="F56" s="466">
        <v>52517</v>
      </c>
      <c r="G56" s="466">
        <v>53915</v>
      </c>
      <c r="H56" s="466">
        <v>55088</v>
      </c>
      <c r="I56" s="466">
        <v>59979</v>
      </c>
      <c r="J56" s="466">
        <v>60793</v>
      </c>
      <c r="K56" s="466">
        <v>61771</v>
      </c>
      <c r="L56" s="466">
        <v>63099</v>
      </c>
      <c r="M56" s="466">
        <v>64140</v>
      </c>
      <c r="N56" s="467">
        <v>64847</v>
      </c>
      <c r="O56" s="467">
        <v>65670</v>
      </c>
      <c r="P56" s="467">
        <v>66219</v>
      </c>
      <c r="Q56" s="467">
        <v>67035</v>
      </c>
      <c r="R56" s="467">
        <v>67227</v>
      </c>
    </row>
    <row r="57" spans="1:18" ht="15.95" customHeight="1" x14ac:dyDescent="0.3">
      <c r="A57" s="237" t="s">
        <v>413</v>
      </c>
      <c r="B57" s="465" t="s">
        <v>413</v>
      </c>
      <c r="I57" s="238" t="s">
        <v>26</v>
      </c>
      <c r="J57" s="238" t="s">
        <v>26</v>
      </c>
      <c r="K57" s="238" t="s">
        <v>26</v>
      </c>
      <c r="L57" s="238" t="s">
        <v>26</v>
      </c>
      <c r="M57" s="238" t="s">
        <v>26</v>
      </c>
      <c r="N57" s="238" t="s">
        <v>26</v>
      </c>
      <c r="O57" s="238" t="s">
        <v>26</v>
      </c>
      <c r="P57" s="238" t="s">
        <v>26</v>
      </c>
      <c r="Q57" s="238" t="s">
        <v>26</v>
      </c>
      <c r="R57" s="467">
        <v>129</v>
      </c>
    </row>
    <row r="58" spans="1:18" s="75" customFormat="1" ht="15.95" customHeight="1" x14ac:dyDescent="0.3">
      <c r="A58" s="237" t="s">
        <v>219</v>
      </c>
      <c r="B58" s="469" t="s">
        <v>219</v>
      </c>
      <c r="C58" s="470">
        <v>53174</v>
      </c>
      <c r="D58" s="470">
        <v>53849</v>
      </c>
      <c r="E58" s="470">
        <v>54813</v>
      </c>
      <c r="F58" s="470">
        <v>55770</v>
      </c>
      <c r="G58" s="470">
        <v>59007</v>
      </c>
      <c r="H58" s="470">
        <v>61696</v>
      </c>
      <c r="I58" s="470">
        <v>65188</v>
      </c>
      <c r="J58" s="470">
        <v>65850</v>
      </c>
      <c r="K58" s="470">
        <v>66320</v>
      </c>
      <c r="L58" s="470">
        <v>67107</v>
      </c>
      <c r="M58" s="470">
        <v>67657</v>
      </c>
      <c r="N58" s="471">
        <v>68009</v>
      </c>
      <c r="O58" s="471">
        <v>68453</v>
      </c>
      <c r="P58" s="471">
        <v>69416</v>
      </c>
      <c r="Q58" s="471">
        <v>69927</v>
      </c>
      <c r="R58" s="471">
        <v>70042</v>
      </c>
    </row>
    <row r="59" spans="1:18" ht="12.6" customHeight="1" x14ac:dyDescent="0.25">
      <c r="A59" s="230"/>
      <c r="B59" s="231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29"/>
      <c r="O59" s="229"/>
      <c r="P59" s="229"/>
      <c r="Q59" s="229"/>
      <c r="R59" s="233" t="s">
        <v>58</v>
      </c>
    </row>
    <row r="60" spans="1:18" s="472" customFormat="1" ht="23.45" customHeight="1" x14ac:dyDescent="0.25">
      <c r="B60" s="686" t="s">
        <v>388</v>
      </c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6"/>
      <c r="N60" s="686"/>
      <c r="O60" s="686"/>
      <c r="P60" s="686"/>
      <c r="Q60" s="686"/>
      <c r="R60" s="686"/>
    </row>
    <row r="61" spans="1:18" s="472" customFormat="1" ht="12.6" customHeight="1" x14ac:dyDescent="0.25">
      <c r="B61" s="687" t="s">
        <v>239</v>
      </c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</row>
    <row r="62" spans="1:18" s="192" customFormat="1" ht="12" customHeight="1" x14ac:dyDescent="0.25">
      <c r="R62" s="233" t="s">
        <v>59</v>
      </c>
    </row>
    <row r="63" spans="1:18" s="75" customFormat="1" ht="20.100000000000001" customHeight="1" x14ac:dyDescent="0.25">
      <c r="B63" s="456" t="s">
        <v>240</v>
      </c>
      <c r="C63" s="422">
        <v>2006</v>
      </c>
      <c r="D63" s="422">
        <v>2007</v>
      </c>
      <c r="E63" s="422">
        <v>2008</v>
      </c>
      <c r="F63" s="422">
        <v>2009</v>
      </c>
      <c r="G63" s="422">
        <v>2010</v>
      </c>
      <c r="H63" s="422">
        <v>2011</v>
      </c>
      <c r="I63" s="422">
        <v>2012</v>
      </c>
      <c r="J63" s="422">
        <v>2013</v>
      </c>
      <c r="K63" s="422">
        <v>2014</v>
      </c>
      <c r="L63" s="422">
        <v>2015</v>
      </c>
      <c r="M63" s="422">
        <v>2016</v>
      </c>
      <c r="N63" s="422">
        <v>2017</v>
      </c>
      <c r="O63" s="422">
        <v>2018</v>
      </c>
      <c r="P63" s="311">
        <v>2019</v>
      </c>
      <c r="Q63" s="311">
        <v>2020</v>
      </c>
      <c r="R63" s="311">
        <v>2021</v>
      </c>
    </row>
    <row r="64" spans="1:18" ht="15.95" customHeight="1" x14ac:dyDescent="0.3">
      <c r="A64" s="236" t="s">
        <v>286</v>
      </c>
      <c r="B64" s="463" t="s">
        <v>286</v>
      </c>
      <c r="C64" s="462">
        <v>152619</v>
      </c>
      <c r="D64" s="462">
        <v>154886</v>
      </c>
      <c r="E64" s="462">
        <v>157252</v>
      </c>
      <c r="F64" s="462">
        <v>159150</v>
      </c>
      <c r="G64" s="462">
        <v>160644</v>
      </c>
      <c r="H64" s="462">
        <v>163052</v>
      </c>
      <c r="I64" s="462">
        <v>165266</v>
      </c>
      <c r="J64" s="462">
        <v>166997</v>
      </c>
      <c r="K64" s="462">
        <v>168093</v>
      </c>
      <c r="L64" s="462">
        <v>168753</v>
      </c>
      <c r="M64" s="462">
        <v>169618</v>
      </c>
      <c r="N64" s="464">
        <v>170409</v>
      </c>
      <c r="O64" s="464">
        <v>171253</v>
      </c>
      <c r="P64" s="464">
        <v>171932</v>
      </c>
      <c r="Q64" s="464">
        <v>172830</v>
      </c>
      <c r="R64" s="464">
        <v>171775</v>
      </c>
    </row>
    <row r="65" spans="1:18" ht="15.95" customHeight="1" x14ac:dyDescent="0.3">
      <c r="A65" s="237" t="s">
        <v>287</v>
      </c>
      <c r="B65" s="465" t="s">
        <v>287</v>
      </c>
      <c r="C65" s="466">
        <v>6093</v>
      </c>
      <c r="D65" s="466">
        <v>6083</v>
      </c>
      <c r="E65" s="466">
        <v>6183</v>
      </c>
      <c r="F65" s="466">
        <v>6192</v>
      </c>
      <c r="G65" s="466">
        <v>6236</v>
      </c>
      <c r="H65" s="466">
        <v>6296</v>
      </c>
      <c r="I65" s="466">
        <v>6432</v>
      </c>
      <c r="J65" s="466">
        <v>6453</v>
      </c>
      <c r="K65" s="466">
        <v>6443</v>
      </c>
      <c r="L65" s="466">
        <v>6467</v>
      </c>
      <c r="M65" s="466">
        <v>6491</v>
      </c>
      <c r="N65" s="467">
        <v>6517</v>
      </c>
      <c r="O65" s="467">
        <v>6526</v>
      </c>
      <c r="P65" s="467">
        <v>6517</v>
      </c>
      <c r="Q65" s="467">
        <v>6587</v>
      </c>
      <c r="R65" s="467">
        <v>6502</v>
      </c>
    </row>
    <row r="66" spans="1:18" ht="15.95" customHeight="1" x14ac:dyDescent="0.3">
      <c r="A66" s="237" t="s">
        <v>288</v>
      </c>
      <c r="B66" s="465" t="s">
        <v>288</v>
      </c>
      <c r="C66" s="466">
        <v>31739</v>
      </c>
      <c r="D66" s="466">
        <v>33031</v>
      </c>
      <c r="E66" s="466">
        <v>34210</v>
      </c>
      <c r="F66" s="466">
        <v>35088</v>
      </c>
      <c r="G66" s="466">
        <v>35990</v>
      </c>
      <c r="H66" s="466">
        <v>37288</v>
      </c>
      <c r="I66" s="466">
        <v>38996</v>
      </c>
      <c r="J66" s="466">
        <v>40141</v>
      </c>
      <c r="K66" s="466">
        <v>40799</v>
      </c>
      <c r="L66" s="466">
        <v>41225</v>
      </c>
      <c r="M66" s="466">
        <v>41720</v>
      </c>
      <c r="N66" s="467">
        <v>42139</v>
      </c>
      <c r="O66" s="467">
        <v>42535</v>
      </c>
      <c r="P66" s="467">
        <v>42883</v>
      </c>
      <c r="Q66" s="467">
        <v>43201</v>
      </c>
      <c r="R66" s="467">
        <v>43126</v>
      </c>
    </row>
    <row r="67" spans="1:18" ht="15.95" customHeight="1" x14ac:dyDescent="0.3">
      <c r="A67" s="237" t="s">
        <v>289</v>
      </c>
      <c r="B67" s="465" t="s">
        <v>289</v>
      </c>
      <c r="C67" s="466">
        <v>9785</v>
      </c>
      <c r="D67" s="466">
        <v>9859</v>
      </c>
      <c r="E67" s="466">
        <v>9965</v>
      </c>
      <c r="F67" s="466">
        <v>9975</v>
      </c>
      <c r="G67" s="466">
        <v>10022</v>
      </c>
      <c r="H67" s="466">
        <v>10117</v>
      </c>
      <c r="I67" s="466">
        <v>10145</v>
      </c>
      <c r="J67" s="466">
        <v>10218</v>
      </c>
      <c r="K67" s="466">
        <v>10260</v>
      </c>
      <c r="L67" s="466">
        <v>10267</v>
      </c>
      <c r="M67" s="466">
        <v>10297</v>
      </c>
      <c r="N67" s="467">
        <v>10309</v>
      </c>
      <c r="O67" s="467">
        <v>10307</v>
      </c>
      <c r="P67" s="467">
        <v>10350</v>
      </c>
      <c r="Q67" s="467">
        <v>10414</v>
      </c>
      <c r="R67" s="467">
        <v>10265</v>
      </c>
    </row>
    <row r="68" spans="1:18" ht="15.95" customHeight="1" x14ac:dyDescent="0.3">
      <c r="A68" s="237" t="s">
        <v>290</v>
      </c>
      <c r="B68" s="465" t="s">
        <v>290</v>
      </c>
      <c r="C68" s="466">
        <v>16042</v>
      </c>
      <c r="D68" s="466">
        <v>16044</v>
      </c>
      <c r="E68" s="466">
        <v>16035</v>
      </c>
      <c r="F68" s="466">
        <v>16102</v>
      </c>
      <c r="G68" s="466">
        <v>16106</v>
      </c>
      <c r="H68" s="466">
        <v>16138</v>
      </c>
      <c r="I68" s="466">
        <v>16159</v>
      </c>
      <c r="J68" s="466">
        <v>16105</v>
      </c>
      <c r="K68" s="466">
        <v>16088</v>
      </c>
      <c r="L68" s="466">
        <v>16026</v>
      </c>
      <c r="M68" s="466">
        <v>16004</v>
      </c>
      <c r="N68" s="467">
        <v>15988</v>
      </c>
      <c r="O68" s="467">
        <v>16015</v>
      </c>
      <c r="P68" s="467">
        <v>15991</v>
      </c>
      <c r="Q68" s="467">
        <v>16058</v>
      </c>
      <c r="R68" s="467">
        <v>15810</v>
      </c>
    </row>
    <row r="69" spans="1:18" ht="15.95" customHeight="1" x14ac:dyDescent="0.3">
      <c r="A69" s="237" t="s">
        <v>291</v>
      </c>
      <c r="B69" s="465" t="s">
        <v>291</v>
      </c>
      <c r="C69" s="466">
        <v>11143</v>
      </c>
      <c r="D69" s="466">
        <v>11308</v>
      </c>
      <c r="E69" s="466">
        <v>11314</v>
      </c>
      <c r="F69" s="466">
        <v>11265</v>
      </c>
      <c r="G69" s="466">
        <v>11226</v>
      </c>
      <c r="H69" s="466">
        <v>11251</v>
      </c>
      <c r="I69" s="466">
        <v>11145</v>
      </c>
      <c r="J69" s="466">
        <v>11160</v>
      </c>
      <c r="K69" s="466">
        <v>11109</v>
      </c>
      <c r="L69" s="466">
        <v>11095</v>
      </c>
      <c r="M69" s="466">
        <v>11061</v>
      </c>
      <c r="N69" s="467">
        <v>11020</v>
      </c>
      <c r="O69" s="467">
        <v>10989</v>
      </c>
      <c r="P69" s="467">
        <v>11006</v>
      </c>
      <c r="Q69" s="467">
        <v>11013</v>
      </c>
      <c r="R69" s="467">
        <v>10867</v>
      </c>
    </row>
    <row r="70" spans="1:18" ht="15.95" customHeight="1" x14ac:dyDescent="0.3">
      <c r="A70" s="237" t="s">
        <v>292</v>
      </c>
      <c r="B70" s="465" t="s">
        <v>292</v>
      </c>
      <c r="C70" s="466">
        <v>40039</v>
      </c>
      <c r="D70" s="466">
        <v>40500</v>
      </c>
      <c r="E70" s="466">
        <v>41099</v>
      </c>
      <c r="F70" s="466">
        <v>41773</v>
      </c>
      <c r="G70" s="466">
        <v>42100</v>
      </c>
      <c r="H70" s="466">
        <v>42607</v>
      </c>
      <c r="I70" s="466">
        <v>42500</v>
      </c>
      <c r="J70" s="466">
        <v>42702</v>
      </c>
      <c r="K70" s="466">
        <v>42962</v>
      </c>
      <c r="L70" s="466">
        <v>43508</v>
      </c>
      <c r="M70" s="466">
        <v>43743</v>
      </c>
      <c r="N70" s="467">
        <v>43901</v>
      </c>
      <c r="O70" s="467">
        <v>44153</v>
      </c>
      <c r="P70" s="467">
        <v>44276</v>
      </c>
      <c r="Q70" s="467">
        <v>44470</v>
      </c>
      <c r="R70" s="467">
        <v>44355</v>
      </c>
    </row>
    <row r="71" spans="1:18" ht="15.95" customHeight="1" x14ac:dyDescent="0.3">
      <c r="A71" s="237" t="s">
        <v>218</v>
      </c>
      <c r="B71" s="465" t="s">
        <v>218</v>
      </c>
      <c r="C71" s="466">
        <v>12348</v>
      </c>
      <c r="D71" s="466">
        <v>12491</v>
      </c>
      <c r="E71" s="466">
        <v>12600</v>
      </c>
      <c r="F71" s="466">
        <v>12711</v>
      </c>
      <c r="G71" s="466">
        <v>12810</v>
      </c>
      <c r="H71" s="466">
        <v>12945</v>
      </c>
      <c r="I71" s="466">
        <v>13076</v>
      </c>
      <c r="J71" s="466">
        <v>13188</v>
      </c>
      <c r="K71" s="466">
        <v>13230</v>
      </c>
      <c r="L71" s="466">
        <v>13297</v>
      </c>
      <c r="M71" s="466">
        <v>13329</v>
      </c>
      <c r="N71" s="467">
        <v>13394</v>
      </c>
      <c r="O71" s="467">
        <v>13491</v>
      </c>
      <c r="P71" s="467">
        <v>13587</v>
      </c>
      <c r="Q71" s="467">
        <v>13646</v>
      </c>
      <c r="R71" s="467">
        <v>13542</v>
      </c>
    </row>
    <row r="72" spans="1:18" ht="15.95" customHeight="1" x14ac:dyDescent="0.3">
      <c r="A72" s="237" t="s">
        <v>293</v>
      </c>
      <c r="B72" s="465" t="s">
        <v>293</v>
      </c>
      <c r="C72" s="466">
        <v>19160</v>
      </c>
      <c r="D72" s="466">
        <v>19181</v>
      </c>
      <c r="E72" s="466">
        <v>19262</v>
      </c>
      <c r="F72" s="466">
        <v>19355</v>
      </c>
      <c r="G72" s="466">
        <v>19378</v>
      </c>
      <c r="H72" s="466">
        <v>19400</v>
      </c>
      <c r="I72" s="466">
        <v>19534</v>
      </c>
      <c r="J72" s="466">
        <v>19629</v>
      </c>
      <c r="K72" s="466">
        <v>19688</v>
      </c>
      <c r="L72" s="466">
        <v>19672</v>
      </c>
      <c r="M72" s="466">
        <v>19717</v>
      </c>
      <c r="N72" s="467">
        <v>19766</v>
      </c>
      <c r="O72" s="467">
        <v>19769</v>
      </c>
      <c r="P72" s="467">
        <v>19781</v>
      </c>
      <c r="Q72" s="467">
        <v>19851</v>
      </c>
      <c r="R72" s="467">
        <v>19744</v>
      </c>
    </row>
    <row r="73" spans="1:18" s="19" customFormat="1" ht="15.95" customHeight="1" x14ac:dyDescent="0.3">
      <c r="A73" s="237" t="s">
        <v>294</v>
      </c>
      <c r="B73" s="469" t="s">
        <v>294</v>
      </c>
      <c r="C73" s="470">
        <v>6270</v>
      </c>
      <c r="D73" s="470">
        <v>6389</v>
      </c>
      <c r="E73" s="470">
        <v>6584</v>
      </c>
      <c r="F73" s="470">
        <v>6689</v>
      </c>
      <c r="G73" s="470">
        <v>6776</v>
      </c>
      <c r="H73" s="470">
        <v>7010</v>
      </c>
      <c r="I73" s="470">
        <v>7279</v>
      </c>
      <c r="J73" s="470">
        <v>7401</v>
      </c>
      <c r="K73" s="470">
        <v>7514</v>
      </c>
      <c r="L73" s="470">
        <v>7196</v>
      </c>
      <c r="M73" s="470">
        <v>7256</v>
      </c>
      <c r="N73" s="471">
        <v>7375</v>
      </c>
      <c r="O73" s="471">
        <v>7468</v>
      </c>
      <c r="P73" s="471">
        <v>7541</v>
      </c>
      <c r="Q73" s="471">
        <v>7590</v>
      </c>
      <c r="R73" s="471">
        <v>7564</v>
      </c>
    </row>
    <row r="74" spans="1:18" ht="12" customHeight="1" x14ac:dyDescent="0.25">
      <c r="B74" s="157" t="s">
        <v>295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7" spans="1:18" ht="12.75" customHeight="1" x14ac:dyDescent="0.3">
      <c r="B77" s="77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</row>
    <row r="79" spans="1:18" ht="12.75" customHeight="1" x14ac:dyDescent="0.25">
      <c r="M79" s="74"/>
      <c r="N79" s="74"/>
      <c r="O79" s="74"/>
      <c r="P79" s="74"/>
      <c r="Q79" s="74"/>
      <c r="R79" s="74"/>
    </row>
  </sheetData>
  <mergeCells count="4">
    <mergeCell ref="B1:R1"/>
    <mergeCell ref="B2:R2"/>
    <mergeCell ref="B60:R60"/>
    <mergeCell ref="B61:R6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N27"/>
  <sheetViews>
    <sheetView showGridLines="0" zoomScaleNormal="100" zoomScaleSheetLayoutView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14" sqref="J14"/>
    </sheetView>
  </sheetViews>
  <sheetFormatPr baseColWidth="10" defaultColWidth="11.28515625" defaultRowHeight="12.75" customHeight="1" x14ac:dyDescent="0.3"/>
  <cols>
    <col min="1" max="1" width="21" style="20" customWidth="1"/>
    <col min="2" max="2" width="15.140625" style="40" customWidth="1"/>
    <col min="3" max="3" width="2.28515625" style="20" hidden="1" customWidth="1"/>
    <col min="4" max="4" width="0.140625" style="20" hidden="1" customWidth="1"/>
    <col min="5" max="5" width="11.140625" style="252" hidden="1" customWidth="1"/>
    <col min="6" max="6" width="2.28515625" style="20" hidden="1" customWidth="1"/>
    <col min="7" max="7" width="13.5703125" style="20" customWidth="1"/>
    <col min="8" max="8" width="16" style="20" customWidth="1"/>
    <col min="9" max="9" width="1.7109375" style="20" customWidth="1"/>
    <col min="10" max="10" width="13.5703125" style="20" customWidth="1"/>
    <col min="11" max="11" width="16" style="20" customWidth="1"/>
    <col min="12" max="12" width="1.7109375" style="20" customWidth="1"/>
    <col min="13" max="13" width="13.5703125" style="20" customWidth="1"/>
    <col min="14" max="14" width="16" style="20" customWidth="1"/>
    <col min="15" max="15" width="5.28515625" style="20" customWidth="1"/>
    <col min="16" max="16" width="5.7109375" style="20" customWidth="1"/>
    <col min="17" max="16384" width="11.28515625" style="20"/>
  </cols>
  <sheetData>
    <row r="1" spans="1:14" ht="12.75" customHeight="1" x14ac:dyDescent="0.3">
      <c r="A1" s="689" t="s">
        <v>389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</row>
    <row r="2" spans="1:14" ht="12.75" customHeight="1" x14ac:dyDescent="0.3">
      <c r="A2" s="690" t="s">
        <v>349</v>
      </c>
      <c r="B2" s="690"/>
      <c r="C2" s="690"/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</row>
    <row r="3" spans="1:14" ht="12.75" customHeight="1" x14ac:dyDescent="0.3">
      <c r="A3" s="41"/>
      <c r="B3" s="193"/>
      <c r="C3" s="193"/>
      <c r="D3" s="17"/>
      <c r="E3" s="251"/>
      <c r="F3" s="17"/>
      <c r="G3" s="17"/>
      <c r="H3" s="17"/>
      <c r="I3" s="17"/>
      <c r="J3" s="17"/>
      <c r="K3" s="17"/>
      <c r="L3" s="17"/>
      <c r="M3" s="17"/>
      <c r="N3" s="17"/>
    </row>
    <row r="4" spans="1:14" ht="33" customHeight="1" x14ac:dyDescent="0.3">
      <c r="A4" s="692" t="s">
        <v>350</v>
      </c>
      <c r="B4" s="473" t="s">
        <v>351</v>
      </c>
      <c r="C4" s="474"/>
      <c r="D4" s="694" t="s">
        <v>444</v>
      </c>
      <c r="E4" s="694"/>
      <c r="F4" s="474"/>
      <c r="G4" s="691" t="s">
        <v>445</v>
      </c>
      <c r="H4" s="691"/>
      <c r="I4" s="474"/>
      <c r="J4" s="691" t="s">
        <v>366</v>
      </c>
      <c r="K4" s="691"/>
      <c r="L4" s="474"/>
      <c r="M4" s="691" t="s">
        <v>390</v>
      </c>
      <c r="N4" s="691"/>
    </row>
    <row r="5" spans="1:14" ht="28.5" customHeight="1" x14ac:dyDescent="0.3">
      <c r="A5" s="693"/>
      <c r="B5" s="475" t="s">
        <v>446</v>
      </c>
      <c r="C5" s="476"/>
      <c r="D5" s="477" t="s">
        <v>352</v>
      </c>
      <c r="E5" s="478" t="s">
        <v>447</v>
      </c>
      <c r="F5" s="476"/>
      <c r="G5" s="479" t="s">
        <v>352</v>
      </c>
      <c r="H5" s="479" t="s">
        <v>448</v>
      </c>
      <c r="I5" s="476"/>
      <c r="J5" s="479" t="s">
        <v>352</v>
      </c>
      <c r="K5" s="479" t="s">
        <v>448</v>
      </c>
      <c r="L5" s="476"/>
      <c r="M5" s="479" t="s">
        <v>352</v>
      </c>
      <c r="N5" s="479" t="s">
        <v>448</v>
      </c>
    </row>
    <row r="6" spans="1:14" ht="12.75" hidden="1" customHeight="1" x14ac:dyDescent="0.3">
      <c r="A6" s="480"/>
      <c r="B6" s="481"/>
      <c r="C6" s="482"/>
      <c r="D6" s="177"/>
      <c r="E6" s="483"/>
      <c r="F6" s="43"/>
      <c r="G6" s="43"/>
      <c r="H6" s="43"/>
      <c r="I6" s="43"/>
      <c r="J6" s="43"/>
      <c r="K6" s="43"/>
      <c r="L6" s="43"/>
      <c r="M6" s="43"/>
      <c r="N6" s="43"/>
    </row>
    <row r="7" spans="1:14" ht="15.95" customHeight="1" x14ac:dyDescent="0.3">
      <c r="A7" s="484" t="s">
        <v>353</v>
      </c>
      <c r="B7" s="485"/>
      <c r="C7" s="486"/>
      <c r="D7" s="487"/>
      <c r="E7" s="488"/>
      <c r="F7" s="43"/>
      <c r="G7" s="43"/>
      <c r="H7" s="43"/>
      <c r="I7" s="43"/>
      <c r="J7" s="43"/>
      <c r="K7" s="43"/>
      <c r="L7" s="43"/>
      <c r="M7" s="43"/>
      <c r="N7" s="43"/>
    </row>
    <row r="8" spans="1:14" ht="15.95" customHeight="1" x14ac:dyDescent="0.3">
      <c r="A8" s="489" t="s">
        <v>354</v>
      </c>
      <c r="B8" s="485" t="s">
        <v>355</v>
      </c>
      <c r="C8" s="485"/>
      <c r="D8" s="490">
        <v>1.2549999999999999</v>
      </c>
      <c r="E8" s="491">
        <v>0.57499999999999996</v>
      </c>
      <c r="F8" s="43"/>
      <c r="G8" s="490">
        <v>1.2729999999999999</v>
      </c>
      <c r="H8" s="490">
        <v>0.59699999999999998</v>
      </c>
      <c r="I8" s="43"/>
      <c r="J8" s="490">
        <v>1.3120000000000001</v>
      </c>
      <c r="K8" s="490">
        <v>0.61499999999999999</v>
      </c>
      <c r="L8" s="492"/>
      <c r="M8" s="490">
        <v>1.464</v>
      </c>
      <c r="N8" s="490">
        <v>0.68600000000000005</v>
      </c>
    </row>
    <row r="9" spans="1:14" ht="15.95" customHeight="1" x14ac:dyDescent="0.3">
      <c r="A9" s="489" t="s">
        <v>356</v>
      </c>
      <c r="B9" s="485" t="s">
        <v>357</v>
      </c>
      <c r="C9" s="485"/>
      <c r="D9" s="490">
        <v>1.2549999999999999</v>
      </c>
      <c r="E9" s="491">
        <v>0.57499999999999996</v>
      </c>
      <c r="F9" s="43"/>
      <c r="G9" s="490">
        <v>1.2729999999999999</v>
      </c>
      <c r="H9" s="490">
        <v>0.59699999999999998</v>
      </c>
      <c r="I9" s="43"/>
      <c r="J9" s="490">
        <v>1.3120000000000001</v>
      </c>
      <c r="K9" s="490">
        <v>0.61499999999999999</v>
      </c>
      <c r="L9" s="492"/>
      <c r="M9" s="490">
        <v>1.464</v>
      </c>
      <c r="N9" s="490">
        <v>0.68600000000000005</v>
      </c>
    </row>
    <row r="10" spans="1:14" ht="15.95" customHeight="1" x14ac:dyDescent="0.3">
      <c r="A10" s="493"/>
      <c r="B10" s="485" t="s">
        <v>358</v>
      </c>
      <c r="C10" s="485"/>
      <c r="D10" s="490">
        <v>1.4</v>
      </c>
      <c r="E10" s="491">
        <v>0.66800000000000004</v>
      </c>
      <c r="F10" s="43"/>
      <c r="G10" s="490">
        <v>1.421</v>
      </c>
      <c r="H10" s="490">
        <v>0.69299999999999995</v>
      </c>
      <c r="I10" s="43"/>
      <c r="J10" s="490">
        <v>1.464</v>
      </c>
      <c r="K10" s="490">
        <v>0.71399999999999997</v>
      </c>
      <c r="L10" s="492"/>
      <c r="M10" s="490">
        <v>1.6339999999999999</v>
      </c>
      <c r="N10" s="490">
        <v>0.79700000000000004</v>
      </c>
    </row>
    <row r="11" spans="1:14" ht="15.95" customHeight="1" x14ac:dyDescent="0.3">
      <c r="A11" s="493"/>
      <c r="B11" s="485" t="s">
        <v>359</v>
      </c>
      <c r="C11" s="485"/>
      <c r="D11" s="490">
        <v>1.478</v>
      </c>
      <c r="E11" s="491">
        <v>0.90100000000000002</v>
      </c>
      <c r="F11" s="43"/>
      <c r="G11" s="490">
        <v>1.4990000000000001</v>
      </c>
      <c r="H11" s="490">
        <v>0.93500000000000005</v>
      </c>
      <c r="I11" s="43"/>
      <c r="J11" s="490">
        <v>1.5449999999999999</v>
      </c>
      <c r="K11" s="490">
        <v>0.96299999999999997</v>
      </c>
      <c r="L11" s="492"/>
      <c r="M11" s="490">
        <v>1.7230000000000001</v>
      </c>
      <c r="N11" s="490">
        <v>1.075</v>
      </c>
    </row>
    <row r="12" spans="1:14" ht="15.95" customHeight="1" x14ac:dyDescent="0.3">
      <c r="A12" s="493"/>
      <c r="B12" s="485" t="s">
        <v>360</v>
      </c>
      <c r="C12" s="485"/>
      <c r="D12" s="490">
        <v>5.36</v>
      </c>
      <c r="E12" s="491">
        <v>2.4990000000000001</v>
      </c>
      <c r="F12" s="43"/>
      <c r="G12" s="490">
        <v>5.4379999999999997</v>
      </c>
      <c r="H12" s="490">
        <v>2.5920000000000001</v>
      </c>
      <c r="I12" s="43"/>
      <c r="J12" s="490">
        <v>5.6040000000000001</v>
      </c>
      <c r="K12" s="490">
        <v>2.6709999999999998</v>
      </c>
      <c r="L12" s="492"/>
      <c r="M12" s="490">
        <v>6.2530000000000001</v>
      </c>
      <c r="N12" s="490">
        <v>2.98</v>
      </c>
    </row>
    <row r="13" spans="1:14" ht="15.95" customHeight="1" x14ac:dyDescent="0.3">
      <c r="A13" s="493"/>
      <c r="B13" s="485"/>
      <c r="C13" s="486"/>
      <c r="D13" s="487"/>
      <c r="E13" s="488"/>
      <c r="F13" s="43"/>
      <c r="G13" s="494"/>
      <c r="H13" s="494"/>
      <c r="I13" s="43"/>
      <c r="J13" s="494"/>
      <c r="K13" s="494"/>
      <c r="L13" s="492"/>
      <c r="M13" s="494"/>
      <c r="N13" s="494"/>
    </row>
    <row r="14" spans="1:14" ht="32.1" customHeight="1" x14ac:dyDescent="0.3">
      <c r="A14" s="489" t="s">
        <v>361</v>
      </c>
      <c r="B14" s="495" t="s">
        <v>362</v>
      </c>
      <c r="C14" s="486"/>
      <c r="D14" s="490">
        <v>1.478</v>
      </c>
      <c r="E14" s="491">
        <v>0.90100000000000002</v>
      </c>
      <c r="F14" s="43"/>
      <c r="G14" s="490">
        <v>1.4990000000000001</v>
      </c>
      <c r="H14" s="490">
        <v>0.93500000000000005</v>
      </c>
      <c r="I14" s="43"/>
      <c r="J14" s="490">
        <v>1.5449999999999999</v>
      </c>
      <c r="K14" s="490">
        <v>0.96299999999999997</v>
      </c>
      <c r="L14" s="492"/>
      <c r="M14" s="490">
        <v>1.7230000000000001</v>
      </c>
      <c r="N14" s="490">
        <v>1.075</v>
      </c>
    </row>
    <row r="15" spans="1:14" ht="15.95" customHeight="1" x14ac:dyDescent="0.3">
      <c r="A15" s="493"/>
      <c r="B15" s="495" t="s">
        <v>359</v>
      </c>
      <c r="C15" s="486"/>
      <c r="D15" s="490">
        <v>2.0979999999999999</v>
      </c>
      <c r="E15" s="491">
        <v>1.262</v>
      </c>
      <c r="F15" s="43"/>
      <c r="G15" s="490">
        <v>2.1280000000000001</v>
      </c>
      <c r="H15" s="490">
        <v>1.3089999999999999</v>
      </c>
      <c r="I15" s="43"/>
      <c r="J15" s="490">
        <v>2.1930000000000001</v>
      </c>
      <c r="K15" s="490">
        <v>1.349</v>
      </c>
      <c r="L15" s="492"/>
      <c r="M15" s="490">
        <v>2.4470000000000001</v>
      </c>
      <c r="N15" s="490">
        <v>1.5049999999999999</v>
      </c>
    </row>
    <row r="16" spans="1:14" ht="15.95" customHeight="1" x14ac:dyDescent="0.3">
      <c r="A16" s="493"/>
      <c r="B16" s="495" t="s">
        <v>360</v>
      </c>
      <c r="C16" s="486"/>
      <c r="D16" s="490">
        <v>5.36</v>
      </c>
      <c r="E16" s="491">
        <v>2.4990000000000001</v>
      </c>
      <c r="F16" s="43"/>
      <c r="G16" s="490">
        <v>5.4379999999999997</v>
      </c>
      <c r="H16" s="490">
        <v>2.5920000000000001</v>
      </c>
      <c r="I16" s="43"/>
      <c r="J16" s="490">
        <v>5.6040000000000001</v>
      </c>
      <c r="K16" s="490">
        <v>2.6709999999999998</v>
      </c>
      <c r="L16" s="492"/>
      <c r="M16" s="490">
        <v>6.2530000000000001</v>
      </c>
      <c r="N16" s="490">
        <v>2.98</v>
      </c>
    </row>
    <row r="17" spans="1:14" ht="15.95" customHeight="1" x14ac:dyDescent="0.3">
      <c r="A17" s="493"/>
      <c r="B17" s="485"/>
      <c r="C17" s="486"/>
      <c r="D17" s="487"/>
      <c r="E17" s="488"/>
      <c r="F17" s="43"/>
      <c r="G17" s="494"/>
      <c r="H17" s="494"/>
      <c r="I17" s="43"/>
      <c r="J17" s="494"/>
      <c r="K17" s="494"/>
      <c r="L17" s="492"/>
      <c r="M17" s="494"/>
      <c r="N17" s="494"/>
    </row>
    <row r="18" spans="1:14" ht="15.95" customHeight="1" x14ac:dyDescent="0.3">
      <c r="A18" s="484" t="s">
        <v>363</v>
      </c>
      <c r="B18" s="485"/>
      <c r="C18" s="486"/>
      <c r="D18" s="487"/>
      <c r="E18" s="488"/>
      <c r="F18" s="43"/>
      <c r="G18" s="494"/>
      <c r="H18" s="494"/>
      <c r="I18" s="43"/>
      <c r="J18" s="494"/>
      <c r="K18" s="494"/>
      <c r="L18" s="492"/>
      <c r="M18" s="494"/>
      <c r="N18" s="494"/>
    </row>
    <row r="19" spans="1:14" ht="15.95" customHeight="1" x14ac:dyDescent="0.3">
      <c r="A19" s="496" t="s">
        <v>325</v>
      </c>
      <c r="B19" s="495" t="s">
        <v>364</v>
      </c>
      <c r="C19" s="495"/>
      <c r="D19" s="490">
        <v>5.36</v>
      </c>
      <c r="E19" s="491">
        <v>2.4990000000000001</v>
      </c>
      <c r="F19" s="43"/>
      <c r="G19" s="490">
        <v>5.4379999999999997</v>
      </c>
      <c r="H19" s="490">
        <v>2.5920000000000001</v>
      </c>
      <c r="I19" s="43"/>
      <c r="J19" s="490">
        <v>5.6040000000000001</v>
      </c>
      <c r="K19" s="490">
        <v>2.6709999999999998</v>
      </c>
      <c r="L19" s="492"/>
      <c r="M19" s="490">
        <v>6.2530000000000001</v>
      </c>
      <c r="N19" s="490">
        <v>2.98</v>
      </c>
    </row>
    <row r="20" spans="1:14" ht="15.95" customHeight="1" x14ac:dyDescent="0.3">
      <c r="A20" s="496"/>
      <c r="B20" s="495" t="s">
        <v>365</v>
      </c>
      <c r="C20" s="495"/>
      <c r="D20" s="490">
        <v>5.7510000000000003</v>
      </c>
      <c r="E20" s="491">
        <v>2.68</v>
      </c>
      <c r="F20" s="43"/>
      <c r="G20" s="490">
        <v>5.8339999999999996</v>
      </c>
      <c r="H20" s="490">
        <v>2.78</v>
      </c>
      <c r="I20" s="43"/>
      <c r="J20" s="490">
        <v>6.0119999999999996</v>
      </c>
      <c r="K20" s="490">
        <v>2.8650000000000002</v>
      </c>
      <c r="L20" s="492"/>
      <c r="M20" s="490">
        <v>6.7080000000000002</v>
      </c>
      <c r="N20" s="490">
        <v>3.1960000000000002</v>
      </c>
    </row>
    <row r="21" spans="1:14" ht="15.95" customHeight="1" x14ac:dyDescent="0.3">
      <c r="A21" s="496"/>
      <c r="B21" s="485"/>
      <c r="C21" s="486"/>
      <c r="D21" s="487"/>
      <c r="E21" s="488"/>
      <c r="F21" s="43"/>
      <c r="G21" s="494"/>
      <c r="H21" s="494"/>
      <c r="I21" s="43"/>
      <c r="J21" s="494"/>
      <c r="K21" s="494"/>
      <c r="L21" s="492"/>
      <c r="M21" s="494"/>
      <c r="N21" s="213"/>
    </row>
    <row r="22" spans="1:14" ht="15.95" customHeight="1" x14ac:dyDescent="0.3">
      <c r="A22" s="496" t="s">
        <v>19</v>
      </c>
      <c r="B22" s="495" t="s">
        <v>355</v>
      </c>
      <c r="C22" s="495"/>
      <c r="D22" s="490">
        <v>5.7510000000000003</v>
      </c>
      <c r="E22" s="491">
        <v>2.68</v>
      </c>
      <c r="F22" s="43"/>
      <c r="G22" s="490">
        <v>5.8339999999999996</v>
      </c>
      <c r="H22" s="490">
        <v>2.78</v>
      </c>
      <c r="I22" s="43"/>
      <c r="J22" s="490">
        <v>6.0119999999999996</v>
      </c>
      <c r="K22" s="490">
        <v>2.8650000000000002</v>
      </c>
      <c r="L22" s="492"/>
      <c r="M22" s="490">
        <v>6.7080000000000002</v>
      </c>
      <c r="N22" s="494">
        <v>3.1960000000000002</v>
      </c>
    </row>
    <row r="23" spans="1:14" ht="15.95" customHeight="1" x14ac:dyDescent="0.3">
      <c r="A23" s="496"/>
      <c r="B23" s="485"/>
      <c r="C23" s="486"/>
      <c r="D23" s="43"/>
      <c r="F23" s="43"/>
      <c r="G23" s="71"/>
      <c r="H23" s="71"/>
      <c r="I23" s="43"/>
      <c r="J23" s="497"/>
      <c r="K23" s="497"/>
      <c r="L23" s="492"/>
      <c r="M23" s="497"/>
      <c r="N23" s="497"/>
    </row>
    <row r="24" spans="1:14" ht="15.95" customHeight="1" x14ac:dyDescent="0.3">
      <c r="A24" s="498" t="s">
        <v>326</v>
      </c>
      <c r="B24" s="499" t="s">
        <v>355</v>
      </c>
      <c r="C24" s="499"/>
      <c r="D24" s="500">
        <v>3.5249999999999999</v>
      </c>
      <c r="E24" s="501">
        <v>1.591</v>
      </c>
      <c r="F24" s="502"/>
      <c r="G24" s="500">
        <v>3.5760000000000001</v>
      </c>
      <c r="H24" s="500">
        <v>1.651</v>
      </c>
      <c r="I24" s="502"/>
      <c r="J24" s="500">
        <v>3.6850000000000001</v>
      </c>
      <c r="K24" s="500">
        <v>1.7010000000000001</v>
      </c>
      <c r="L24" s="503"/>
      <c r="M24" s="500">
        <v>4.1109999999999998</v>
      </c>
      <c r="N24" s="500">
        <v>1.897</v>
      </c>
    </row>
    <row r="25" spans="1:14" s="156" customFormat="1" ht="12" customHeight="1" x14ac:dyDescent="0.25">
      <c r="A25" s="688" t="s">
        <v>373</v>
      </c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</row>
    <row r="26" spans="1:14" s="156" customFormat="1" ht="12" customHeight="1" x14ac:dyDescent="0.25">
      <c r="A26" s="158" t="s">
        <v>374</v>
      </c>
      <c r="B26" s="504"/>
      <c r="C26" s="158"/>
      <c r="D26" s="158"/>
      <c r="E26" s="505"/>
      <c r="F26" s="142"/>
      <c r="G26" s="142"/>
      <c r="H26" s="142"/>
      <c r="I26" s="142"/>
      <c r="J26" s="142"/>
      <c r="K26" s="142"/>
    </row>
    <row r="27" spans="1:14" s="156" customFormat="1" ht="12" customHeight="1" x14ac:dyDescent="0.25">
      <c r="A27" s="139" t="s">
        <v>230</v>
      </c>
      <c r="B27" s="506"/>
      <c r="C27" s="142"/>
      <c r="D27" s="142"/>
      <c r="E27" s="507"/>
      <c r="F27" s="142"/>
      <c r="G27" s="142"/>
      <c r="H27" s="142"/>
      <c r="I27" s="142"/>
      <c r="J27" s="142"/>
      <c r="K27" s="142"/>
    </row>
  </sheetData>
  <mergeCells count="8">
    <mergeCell ref="A25:N25"/>
    <mergeCell ref="A1:N1"/>
    <mergeCell ref="A2:N2"/>
    <mergeCell ref="M4:N4"/>
    <mergeCell ref="G4:H4"/>
    <mergeCell ref="A4:A5"/>
    <mergeCell ref="D4:E4"/>
    <mergeCell ref="J4:K4"/>
  </mergeCells>
  <printOptions horizontalCentered="1"/>
  <pageMargins left="0.70866141732283472" right="0.70866141732283472" top="0.74803149606299213" bottom="0.55118110236220474" header="0.31496062992125984" footer="0.31496062992125984"/>
  <pageSetup paperSize="9" scale="7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28"/>
  <sheetViews>
    <sheetView showGridLines="0" zoomScaleNormal="100" zoomScaleSheetLayoutView="160" workbookViewId="0">
      <selection activeCell="J14" sqref="J14"/>
    </sheetView>
  </sheetViews>
  <sheetFormatPr baseColWidth="10" defaultColWidth="11.28515625" defaultRowHeight="12.75" customHeight="1" x14ac:dyDescent="0.3"/>
  <cols>
    <col min="1" max="1" width="26.7109375" style="43" customWidth="1"/>
    <col min="2" max="6" width="14.28515625" style="71" customWidth="1"/>
    <col min="7" max="7" width="2.28515625" style="43" customWidth="1"/>
    <col min="8" max="12" width="11.28515625" style="43"/>
    <col min="13" max="13" width="22.85546875" style="43" customWidth="1"/>
    <col min="14" max="16384" width="11.28515625" style="43"/>
  </cols>
  <sheetData>
    <row r="1" spans="1:13" ht="12.75" customHeight="1" x14ac:dyDescent="0.3">
      <c r="A1" s="167" t="s">
        <v>296</v>
      </c>
      <c r="B1" s="194"/>
      <c r="C1" s="194"/>
      <c r="D1" s="194"/>
      <c r="E1" s="194"/>
      <c r="F1" s="194"/>
    </row>
    <row r="2" spans="1:13" ht="12.75" customHeight="1" x14ac:dyDescent="0.3">
      <c r="A2" s="195"/>
      <c r="B2" s="194"/>
      <c r="C2" s="194"/>
      <c r="D2" s="194"/>
      <c r="E2" s="194"/>
      <c r="F2" s="194"/>
    </row>
    <row r="3" spans="1:13" s="518" customFormat="1" ht="14.1" customHeight="1" x14ac:dyDescent="0.3">
      <c r="A3" s="696" t="s">
        <v>432</v>
      </c>
      <c r="B3" s="696"/>
      <c r="C3" s="696"/>
      <c r="D3" s="696"/>
      <c r="E3" s="696"/>
      <c r="F3" s="696"/>
      <c r="H3" s="176"/>
      <c r="I3" s="176"/>
      <c r="J3" s="176"/>
      <c r="K3" s="176"/>
      <c r="L3" s="176"/>
      <c r="M3" s="176"/>
    </row>
    <row r="4" spans="1:13" s="518" customFormat="1" ht="14.1" customHeight="1" x14ac:dyDescent="0.3">
      <c r="A4" s="697" t="s">
        <v>297</v>
      </c>
      <c r="B4" s="697"/>
      <c r="C4" s="697"/>
      <c r="D4" s="697"/>
      <c r="E4" s="697"/>
      <c r="F4" s="697"/>
      <c r="H4" s="176"/>
      <c r="I4" s="176"/>
      <c r="J4" s="176"/>
      <c r="K4" s="176"/>
      <c r="L4" s="176"/>
      <c r="M4" s="176"/>
    </row>
    <row r="5" spans="1:13" s="21" customFormat="1" ht="4.1500000000000004" customHeight="1" x14ac:dyDescent="0.3">
      <c r="A5" s="239"/>
      <c r="B5" s="239"/>
      <c r="C5" s="239"/>
      <c r="D5" s="239"/>
      <c r="E5" s="239"/>
      <c r="F5" s="239"/>
      <c r="H5" s="176"/>
      <c r="I5" s="176"/>
      <c r="J5" s="176"/>
      <c r="K5" s="176"/>
      <c r="L5" s="176"/>
      <c r="M5" s="176"/>
    </row>
    <row r="6" spans="1:13" s="253" customFormat="1" ht="44.25" customHeight="1" x14ac:dyDescent="0.15">
      <c r="A6" s="519" t="s">
        <v>298</v>
      </c>
      <c r="B6" s="520" t="s">
        <v>3</v>
      </c>
      <c r="C6" s="520" t="s">
        <v>17</v>
      </c>
      <c r="D6" s="520" t="s">
        <v>19</v>
      </c>
      <c r="E6" s="520" t="s">
        <v>16</v>
      </c>
      <c r="F6" s="520" t="s">
        <v>18</v>
      </c>
    </row>
    <row r="7" spans="1:13" s="253" customFormat="1" ht="3" customHeight="1" x14ac:dyDescent="0.15">
      <c r="A7" s="508"/>
      <c r="B7" s="509"/>
      <c r="C7" s="509"/>
      <c r="D7" s="509"/>
      <c r="E7" s="509"/>
      <c r="F7" s="509"/>
    </row>
    <row r="8" spans="1:13" s="253" customFormat="1" ht="15.95" customHeight="1" x14ac:dyDescent="0.3">
      <c r="A8" s="510" t="s">
        <v>3</v>
      </c>
      <c r="B8" s="511">
        <v>17001.53940246061</v>
      </c>
      <c r="C8" s="511">
        <v>15071.744684800611</v>
      </c>
      <c r="D8" s="511">
        <v>86.078533620000016</v>
      </c>
      <c r="E8" s="511">
        <v>1650.2039572200001</v>
      </c>
      <c r="F8" s="511">
        <v>193.51222682</v>
      </c>
    </row>
    <row r="9" spans="1:13" s="253" customFormat="1" ht="15.95" customHeight="1" x14ac:dyDescent="0.3">
      <c r="A9" s="512" t="s">
        <v>8</v>
      </c>
      <c r="B9" s="513">
        <v>12073.464157778615</v>
      </c>
      <c r="C9" s="513">
        <v>10967.380561808615</v>
      </c>
      <c r="D9" s="513">
        <v>41.86205477</v>
      </c>
      <c r="E9" s="513">
        <v>998.36008745999993</v>
      </c>
      <c r="F9" s="513">
        <v>65.861453740000002</v>
      </c>
    </row>
    <row r="10" spans="1:13" s="254" customFormat="1" ht="15.95" customHeight="1" x14ac:dyDescent="0.3">
      <c r="A10" s="514" t="s">
        <v>25</v>
      </c>
      <c r="B10" s="515">
        <v>378.92237448300205</v>
      </c>
      <c r="C10" s="515">
        <v>344.22263528300203</v>
      </c>
      <c r="D10" s="515" t="s">
        <v>26</v>
      </c>
      <c r="E10" s="515">
        <v>18.935236339999999</v>
      </c>
      <c r="F10" s="515">
        <v>15.764502859999999</v>
      </c>
    </row>
    <row r="11" spans="1:13" s="254" customFormat="1" ht="15.95" customHeight="1" x14ac:dyDescent="0.3">
      <c r="A11" s="514" t="s">
        <v>27</v>
      </c>
      <c r="B11" s="515">
        <v>69.196331252393676</v>
      </c>
      <c r="C11" s="515">
        <v>56.087383332393685</v>
      </c>
      <c r="D11" s="515" t="s">
        <v>26</v>
      </c>
      <c r="E11" s="515">
        <v>12.13483269</v>
      </c>
      <c r="F11" s="515">
        <v>0.97046822999999993</v>
      </c>
    </row>
    <row r="12" spans="1:13" s="254" customFormat="1" ht="15.95" customHeight="1" x14ac:dyDescent="0.3">
      <c r="A12" s="514" t="s">
        <v>28</v>
      </c>
      <c r="B12" s="515">
        <v>458.65812203769906</v>
      </c>
      <c r="C12" s="515">
        <v>451.13498326769906</v>
      </c>
      <c r="D12" s="515">
        <v>0.51492271999999994</v>
      </c>
      <c r="E12" s="515">
        <v>6.8058530999999993</v>
      </c>
      <c r="F12" s="515" t="s">
        <v>26</v>
      </c>
    </row>
    <row r="13" spans="1:13" s="254" customFormat="1" ht="15.95" customHeight="1" x14ac:dyDescent="0.3">
      <c r="A13" s="514" t="s">
        <v>29</v>
      </c>
      <c r="B13" s="515">
        <v>721.2494230850873</v>
      </c>
      <c r="C13" s="515">
        <v>604.01596883508739</v>
      </c>
      <c r="D13" s="515">
        <v>1.0753693500000001</v>
      </c>
      <c r="E13" s="515">
        <v>79.569489900000008</v>
      </c>
      <c r="F13" s="515">
        <v>36.588594999999998</v>
      </c>
    </row>
    <row r="14" spans="1:13" s="254" customFormat="1" ht="15.95" customHeight="1" x14ac:dyDescent="0.3">
      <c r="A14" s="514" t="s">
        <v>30</v>
      </c>
      <c r="B14" s="515">
        <v>529.76977282129531</v>
      </c>
      <c r="C14" s="515">
        <v>522.78514550129535</v>
      </c>
      <c r="D14" s="515">
        <v>1.6557710000000001</v>
      </c>
      <c r="E14" s="515">
        <v>5.2978563200000002</v>
      </c>
      <c r="F14" s="515" t="s">
        <v>26</v>
      </c>
    </row>
    <row r="15" spans="1:13" s="254" customFormat="1" ht="15.95" customHeight="1" x14ac:dyDescent="0.3">
      <c r="A15" s="514" t="s">
        <v>31</v>
      </c>
      <c r="B15" s="515">
        <v>627.85941908999996</v>
      </c>
      <c r="C15" s="515">
        <v>624.19140640000001</v>
      </c>
      <c r="D15" s="515" t="s">
        <v>26</v>
      </c>
      <c r="E15" s="515">
        <v>3.1299930299999996</v>
      </c>
      <c r="F15" s="515">
        <v>0.52894866000000007</v>
      </c>
    </row>
    <row r="16" spans="1:13" s="254" customFormat="1" ht="15.95" customHeight="1" x14ac:dyDescent="0.3">
      <c r="A16" s="514" t="s">
        <v>32</v>
      </c>
      <c r="B16" s="515">
        <v>304.31677608799987</v>
      </c>
      <c r="C16" s="515">
        <v>301.85999740799986</v>
      </c>
      <c r="D16" s="515" t="s">
        <v>26</v>
      </c>
      <c r="E16" s="515">
        <v>2.2924880000000001</v>
      </c>
      <c r="F16" s="515" t="s">
        <v>26</v>
      </c>
    </row>
    <row r="17" spans="1:6" s="254" customFormat="1" ht="15.95" customHeight="1" x14ac:dyDescent="0.3">
      <c r="A17" s="514" t="s">
        <v>33</v>
      </c>
      <c r="B17" s="515">
        <v>97.774079160000028</v>
      </c>
      <c r="C17" s="515">
        <v>94.137511570000029</v>
      </c>
      <c r="D17" s="515" t="s">
        <v>26</v>
      </c>
      <c r="E17" s="515">
        <v>2.8930080199999999</v>
      </c>
      <c r="F17" s="515">
        <v>0.73173774000000003</v>
      </c>
    </row>
    <row r="18" spans="1:6" s="254" customFormat="1" ht="15.95" customHeight="1" x14ac:dyDescent="0.3">
      <c r="A18" s="514" t="s">
        <v>34</v>
      </c>
      <c r="B18" s="515">
        <v>79.6108568585</v>
      </c>
      <c r="C18" s="515">
        <v>77.981694908500003</v>
      </c>
      <c r="D18" s="515" t="s">
        <v>26</v>
      </c>
      <c r="E18" s="515">
        <v>1.5416199799999999</v>
      </c>
      <c r="F18" s="515" t="s">
        <v>26</v>
      </c>
    </row>
    <row r="19" spans="1:6" s="254" customFormat="1" ht="15.95" customHeight="1" x14ac:dyDescent="0.3">
      <c r="A19" s="514" t="s">
        <v>35</v>
      </c>
      <c r="B19" s="515">
        <v>102.32498271197177</v>
      </c>
      <c r="C19" s="515">
        <v>102.26172476197178</v>
      </c>
      <c r="D19" s="515" t="s">
        <v>26</v>
      </c>
      <c r="E19" s="515" t="s">
        <v>26</v>
      </c>
      <c r="F19" s="515" t="s">
        <v>26</v>
      </c>
    </row>
    <row r="20" spans="1:6" s="254" customFormat="1" ht="15.95" customHeight="1" x14ac:dyDescent="0.3">
      <c r="A20" s="514" t="s">
        <v>37</v>
      </c>
      <c r="B20" s="515">
        <v>193.56191380999999</v>
      </c>
      <c r="C20" s="515">
        <v>193.30659299999999</v>
      </c>
      <c r="D20" s="515" t="s">
        <v>26</v>
      </c>
      <c r="E20" s="515" t="s">
        <v>26</v>
      </c>
      <c r="F20" s="515" t="s">
        <v>26</v>
      </c>
    </row>
    <row r="21" spans="1:6" s="254" customFormat="1" ht="15.95" customHeight="1" x14ac:dyDescent="0.3">
      <c r="A21" s="514" t="s">
        <v>38</v>
      </c>
      <c r="B21" s="515">
        <v>94.922106670000019</v>
      </c>
      <c r="C21" s="515">
        <v>94.663438000000014</v>
      </c>
      <c r="D21" s="515" t="s">
        <v>26</v>
      </c>
      <c r="E21" s="515" t="s">
        <v>26</v>
      </c>
      <c r="F21" s="515" t="s">
        <v>26</v>
      </c>
    </row>
    <row r="22" spans="1:6" s="254" customFormat="1" ht="15.95" customHeight="1" x14ac:dyDescent="0.3">
      <c r="A22" s="514" t="s">
        <v>39</v>
      </c>
      <c r="B22" s="515">
        <v>419.07549208000006</v>
      </c>
      <c r="C22" s="515">
        <v>415.47400000000005</v>
      </c>
      <c r="D22" s="515" t="s">
        <v>26</v>
      </c>
      <c r="E22" s="515">
        <v>2.8919320800000001</v>
      </c>
      <c r="F22" s="515">
        <v>0.70955999999999997</v>
      </c>
    </row>
    <row r="23" spans="1:6" s="254" customFormat="1" ht="15.95" customHeight="1" x14ac:dyDescent="0.3">
      <c r="A23" s="514" t="s">
        <v>40</v>
      </c>
      <c r="B23" s="515">
        <v>939.42392633999987</v>
      </c>
      <c r="C23" s="515">
        <v>297.62935820999996</v>
      </c>
      <c r="D23" s="515" t="s">
        <v>26</v>
      </c>
      <c r="E23" s="515">
        <v>635.58187454999995</v>
      </c>
      <c r="F23" s="515">
        <v>5.8153765499999999</v>
      </c>
    </row>
    <row r="24" spans="1:6" s="254" customFormat="1" ht="15.95" customHeight="1" x14ac:dyDescent="0.3">
      <c r="A24" s="514" t="s">
        <v>41</v>
      </c>
      <c r="B24" s="515">
        <v>318.41596614999997</v>
      </c>
      <c r="C24" s="515">
        <v>312.57189696</v>
      </c>
      <c r="D24" s="515" t="s">
        <v>26</v>
      </c>
      <c r="E24" s="515">
        <v>5.0600340300000006</v>
      </c>
      <c r="F24" s="515">
        <v>0.75633523999999996</v>
      </c>
    </row>
    <row r="25" spans="1:6" s="254" customFormat="1" ht="15.95" customHeight="1" x14ac:dyDescent="0.3">
      <c r="A25" s="514" t="s">
        <v>42</v>
      </c>
      <c r="B25" s="515">
        <v>598.01409852000006</v>
      </c>
      <c r="C25" s="515">
        <v>587.70070637000003</v>
      </c>
      <c r="D25" s="515">
        <v>7.5686400000000003</v>
      </c>
      <c r="E25" s="515">
        <v>1.66896939</v>
      </c>
      <c r="F25" s="515">
        <v>1.0757827600000001</v>
      </c>
    </row>
    <row r="26" spans="1:6" s="254" customFormat="1" ht="15.95" customHeight="1" x14ac:dyDescent="0.3">
      <c r="A26" s="514" t="s">
        <v>43</v>
      </c>
      <c r="B26" s="515">
        <v>584.67105215999993</v>
      </c>
      <c r="C26" s="515">
        <v>558.68499999999983</v>
      </c>
      <c r="D26" s="515">
        <v>8.7219871500000004</v>
      </c>
      <c r="E26" s="515">
        <v>17.065004010000003</v>
      </c>
      <c r="F26" s="515" t="s">
        <v>26</v>
      </c>
    </row>
    <row r="27" spans="1:6" s="254" customFormat="1" ht="15.95" customHeight="1" x14ac:dyDescent="0.3">
      <c r="A27" s="514" t="s">
        <v>44</v>
      </c>
      <c r="B27" s="515">
        <v>49.498302508716151</v>
      </c>
      <c r="C27" s="515">
        <v>47.073430958716152</v>
      </c>
      <c r="D27" s="515" t="s">
        <v>26</v>
      </c>
      <c r="E27" s="515">
        <v>2.2628168300000002</v>
      </c>
      <c r="F27" s="515" t="s">
        <v>26</v>
      </c>
    </row>
    <row r="28" spans="1:6" s="254" customFormat="1" ht="15.95" customHeight="1" x14ac:dyDescent="0.3">
      <c r="A28" s="514" t="s">
        <v>45</v>
      </c>
      <c r="B28" s="515">
        <v>98.258962719999985</v>
      </c>
      <c r="C28" s="515">
        <v>65.561501079999971</v>
      </c>
      <c r="D28" s="515" t="s">
        <v>26</v>
      </c>
      <c r="E28" s="515">
        <v>31.37822637</v>
      </c>
      <c r="F28" s="515">
        <v>1.18340256</v>
      </c>
    </row>
    <row r="29" spans="1:6" s="254" customFormat="1" ht="15.95" customHeight="1" x14ac:dyDescent="0.3">
      <c r="A29" s="514" t="s">
        <v>46</v>
      </c>
      <c r="B29" s="515">
        <v>512.91334606999999</v>
      </c>
      <c r="C29" s="515">
        <v>498.76133879000002</v>
      </c>
      <c r="D29" s="515" t="s">
        <v>26</v>
      </c>
      <c r="E29" s="515">
        <v>13.961184660000001</v>
      </c>
      <c r="F29" s="515" t="s">
        <v>26</v>
      </c>
    </row>
    <row r="30" spans="1:6" s="254" customFormat="1" ht="15.95" customHeight="1" x14ac:dyDescent="0.3">
      <c r="A30" s="514" t="s">
        <v>299</v>
      </c>
      <c r="B30" s="515">
        <v>53.856466079999997</v>
      </c>
      <c r="C30" s="515">
        <v>51.532234499999994</v>
      </c>
      <c r="D30" s="515" t="s">
        <v>26</v>
      </c>
      <c r="E30" s="515">
        <v>2.3242315800000002</v>
      </c>
      <c r="F30" s="515" t="s">
        <v>26</v>
      </c>
    </row>
    <row r="31" spans="1:6" s="254" customFormat="1" ht="15.95" customHeight="1" x14ac:dyDescent="0.3">
      <c r="A31" s="514" t="s">
        <v>47</v>
      </c>
      <c r="B31" s="515">
        <v>663.76248822983882</v>
      </c>
      <c r="C31" s="515">
        <v>656.77616982983886</v>
      </c>
      <c r="D31" s="515">
        <v>4.7172684</v>
      </c>
      <c r="E31" s="515">
        <v>2.2688999999999999</v>
      </c>
      <c r="F31" s="515" t="s">
        <v>26</v>
      </c>
    </row>
    <row r="32" spans="1:6" s="254" customFormat="1" ht="15.95" customHeight="1" x14ac:dyDescent="0.3">
      <c r="A32" s="514" t="s">
        <v>48</v>
      </c>
      <c r="B32" s="515">
        <v>403.18250586999994</v>
      </c>
      <c r="C32" s="515">
        <v>399.01705072999994</v>
      </c>
      <c r="D32" s="515">
        <v>1.0748566100000001</v>
      </c>
      <c r="E32" s="515">
        <v>3.0859230499999999</v>
      </c>
      <c r="F32" s="515" t="s">
        <v>26</v>
      </c>
    </row>
    <row r="33" spans="1:6" s="254" customFormat="1" ht="15.95" customHeight="1" x14ac:dyDescent="0.3">
      <c r="A33" s="514" t="s">
        <v>49</v>
      </c>
      <c r="B33" s="515">
        <v>589.92839119210885</v>
      </c>
      <c r="C33" s="515">
        <v>581.23350284210892</v>
      </c>
      <c r="D33" s="515" t="s">
        <v>26</v>
      </c>
      <c r="E33" s="515">
        <v>7.8873500099999996</v>
      </c>
      <c r="F33" s="515">
        <v>0.73595759999999999</v>
      </c>
    </row>
    <row r="34" spans="1:6" s="254" customFormat="1" ht="15.95" customHeight="1" x14ac:dyDescent="0.3">
      <c r="A34" s="514" t="s">
        <v>50</v>
      </c>
      <c r="B34" s="515">
        <v>129.78619550000002</v>
      </c>
      <c r="C34" s="515">
        <v>129.60832880000001</v>
      </c>
      <c r="D34" s="515" t="s">
        <v>26</v>
      </c>
      <c r="E34" s="515" t="s">
        <v>26</v>
      </c>
      <c r="F34" s="515" t="s">
        <v>26</v>
      </c>
    </row>
    <row r="35" spans="1:6" s="254" customFormat="1" ht="15.95" customHeight="1" x14ac:dyDescent="0.3">
      <c r="A35" s="514" t="s">
        <v>51</v>
      </c>
      <c r="B35" s="515">
        <v>805.05973201999996</v>
      </c>
      <c r="C35" s="515">
        <v>736.51842734000002</v>
      </c>
      <c r="D35" s="515">
        <v>12.203891</v>
      </c>
      <c r="E35" s="515">
        <v>56.220077600000003</v>
      </c>
      <c r="F35" s="515" t="s">
        <v>26</v>
      </c>
    </row>
    <row r="36" spans="1:6" s="254" customFormat="1" ht="15.95" customHeight="1" x14ac:dyDescent="0.3">
      <c r="A36" s="514" t="s">
        <v>52</v>
      </c>
      <c r="B36" s="515">
        <v>56.135978099999988</v>
      </c>
      <c r="C36" s="515">
        <v>55.73279999999999</v>
      </c>
      <c r="D36" s="515" t="s">
        <v>26</v>
      </c>
      <c r="E36" s="515" t="s">
        <v>26</v>
      </c>
      <c r="F36" s="515" t="s">
        <v>26</v>
      </c>
    </row>
    <row r="37" spans="1:6" s="254" customFormat="1" ht="15.95" customHeight="1" x14ac:dyDescent="0.3">
      <c r="A37" s="514" t="s">
        <v>53</v>
      </c>
      <c r="B37" s="515">
        <v>502.25404904000004</v>
      </c>
      <c r="C37" s="515">
        <v>483.43489586000004</v>
      </c>
      <c r="D37" s="515" t="s">
        <v>26</v>
      </c>
      <c r="E37" s="515">
        <v>18.819153180000001</v>
      </c>
      <c r="F37" s="515" t="s">
        <v>26</v>
      </c>
    </row>
    <row r="38" spans="1:6" s="254" customFormat="1" ht="15.95" customHeight="1" x14ac:dyDescent="0.3">
      <c r="A38" s="516" t="s">
        <v>300</v>
      </c>
      <c r="B38" s="515">
        <v>224.25880760999999</v>
      </c>
      <c r="C38" s="515">
        <v>220.77470413</v>
      </c>
      <c r="D38" s="515" t="s">
        <v>26</v>
      </c>
      <c r="E38" s="515">
        <v>3.4841034799999999</v>
      </c>
      <c r="F38" s="515" t="s">
        <v>26</v>
      </c>
    </row>
    <row r="39" spans="1:6" s="254" customFormat="1" ht="15.95" customHeight="1" x14ac:dyDescent="0.3">
      <c r="A39" s="514" t="s">
        <v>55</v>
      </c>
      <c r="B39" s="515">
        <v>702.34124893999979</v>
      </c>
      <c r="C39" s="515">
        <v>695.03294117999985</v>
      </c>
      <c r="D39" s="515" t="s">
        <v>26</v>
      </c>
      <c r="E39" s="515">
        <v>7.2867005199999992</v>
      </c>
      <c r="F39" s="515" t="s">
        <v>26</v>
      </c>
    </row>
    <row r="40" spans="1:6" s="254" customFormat="1" ht="15.95" customHeight="1" x14ac:dyDescent="0.3">
      <c r="A40" s="514" t="s">
        <v>56</v>
      </c>
      <c r="B40" s="515">
        <v>640.79016651999996</v>
      </c>
      <c r="C40" s="515">
        <v>596.70379195999999</v>
      </c>
      <c r="D40" s="515">
        <v>3.1787535600000001</v>
      </c>
      <c r="E40" s="515">
        <v>40.907620999999999</v>
      </c>
      <c r="F40" s="515" t="s">
        <v>26</v>
      </c>
    </row>
    <row r="41" spans="1:6" s="254" customFormat="1" ht="15.95" customHeight="1" x14ac:dyDescent="0.3">
      <c r="A41" s="514" t="s">
        <v>57</v>
      </c>
      <c r="B41" s="515">
        <v>123.67082405999999</v>
      </c>
      <c r="C41" s="515">
        <v>110.91</v>
      </c>
      <c r="D41" s="515" t="s">
        <v>26</v>
      </c>
      <c r="E41" s="515">
        <v>12.459043880000001</v>
      </c>
      <c r="F41" s="515" t="s">
        <v>26</v>
      </c>
    </row>
    <row r="42" spans="1:6" s="254" customFormat="1" ht="15.95" customHeight="1" x14ac:dyDescent="0.3">
      <c r="A42" s="517" t="s">
        <v>10</v>
      </c>
      <c r="B42" s="513">
        <v>4464.7130676586739</v>
      </c>
      <c r="C42" s="513">
        <v>3695.3237983286735</v>
      </c>
      <c r="D42" s="513">
        <v>44.104491900000006</v>
      </c>
      <c r="E42" s="513">
        <v>602.48421702999997</v>
      </c>
      <c r="F42" s="513">
        <v>122.80056040000001</v>
      </c>
    </row>
    <row r="43" spans="1:6" s="253" customFormat="1" ht="15.95" customHeight="1" x14ac:dyDescent="0.3">
      <c r="A43" s="514" t="s">
        <v>60</v>
      </c>
      <c r="B43" s="515">
        <v>86.019793025165995</v>
      </c>
      <c r="C43" s="515">
        <v>62.162288005166005</v>
      </c>
      <c r="D43" s="515">
        <v>0.51997608000000006</v>
      </c>
      <c r="E43" s="515">
        <v>23.321760940000001</v>
      </c>
      <c r="F43" s="515" t="s">
        <v>26</v>
      </c>
    </row>
    <row r="44" spans="1:6" s="254" customFormat="1" ht="15.95" customHeight="1" x14ac:dyDescent="0.3">
      <c r="A44" s="514" t="s">
        <v>61</v>
      </c>
      <c r="B44" s="515">
        <v>77.877696570000012</v>
      </c>
      <c r="C44" s="515">
        <v>71.243243000000007</v>
      </c>
      <c r="D44" s="515" t="s">
        <v>26</v>
      </c>
      <c r="E44" s="515">
        <v>6.6203571399999994</v>
      </c>
      <c r="F44" s="515" t="s">
        <v>26</v>
      </c>
    </row>
    <row r="45" spans="1:6" s="254" customFormat="1" ht="15.95" customHeight="1" x14ac:dyDescent="0.3">
      <c r="A45" s="514" t="s">
        <v>301</v>
      </c>
      <c r="B45" s="515">
        <v>388.3238142395478</v>
      </c>
      <c r="C45" s="515">
        <v>375.55386173954776</v>
      </c>
      <c r="D45" s="515" t="s">
        <v>26</v>
      </c>
      <c r="E45" s="515">
        <v>12.7667989</v>
      </c>
      <c r="F45" s="515" t="s">
        <v>26</v>
      </c>
    </row>
    <row r="46" spans="1:6" s="254" customFormat="1" ht="15.95" customHeight="1" x14ac:dyDescent="0.3">
      <c r="A46" s="514" t="s">
        <v>62</v>
      </c>
      <c r="B46" s="515">
        <v>203.2324441500883</v>
      </c>
      <c r="C46" s="515">
        <v>180.25191100008828</v>
      </c>
      <c r="D46" s="515" t="s">
        <v>26</v>
      </c>
      <c r="E46" s="515">
        <v>21.243860640000001</v>
      </c>
      <c r="F46" s="515">
        <v>1.73667251</v>
      </c>
    </row>
    <row r="47" spans="1:6" s="254" customFormat="1" ht="15.95" customHeight="1" x14ac:dyDescent="0.3">
      <c r="A47" s="514" t="s">
        <v>308</v>
      </c>
      <c r="B47" s="515">
        <v>74.264549891999991</v>
      </c>
      <c r="C47" s="515">
        <v>68.502118291999992</v>
      </c>
      <c r="D47" s="515" t="s">
        <v>26</v>
      </c>
      <c r="E47" s="515">
        <v>5.7599836</v>
      </c>
      <c r="F47" s="515" t="s">
        <v>26</v>
      </c>
    </row>
    <row r="48" spans="1:6" s="254" customFormat="1" ht="15.95" customHeight="1" x14ac:dyDescent="0.3">
      <c r="A48" s="514" t="s">
        <v>63</v>
      </c>
      <c r="B48" s="515">
        <v>234.05458981599986</v>
      </c>
      <c r="C48" s="515">
        <v>206.45544854599987</v>
      </c>
      <c r="D48" s="515" t="s">
        <v>26</v>
      </c>
      <c r="E48" s="515">
        <v>22.562531190000001</v>
      </c>
      <c r="F48" s="515">
        <v>4.9724658000000002</v>
      </c>
    </row>
    <row r="49" spans="1:6" s="254" customFormat="1" ht="15.95" customHeight="1" x14ac:dyDescent="0.3">
      <c r="A49" s="514" t="s">
        <v>64</v>
      </c>
      <c r="B49" s="515">
        <v>129.43600839820002</v>
      </c>
      <c r="C49" s="515">
        <v>121.91485897819999</v>
      </c>
      <c r="D49" s="515" t="s">
        <v>26</v>
      </c>
      <c r="E49" s="515">
        <v>7.4130088700000005</v>
      </c>
      <c r="F49" s="515" t="s">
        <v>26</v>
      </c>
    </row>
    <row r="50" spans="1:6" s="254" customFormat="1" ht="15.95" customHeight="1" x14ac:dyDescent="0.3">
      <c r="A50" s="514" t="s">
        <v>65</v>
      </c>
      <c r="B50" s="515">
        <v>63.782713015163402</v>
      </c>
      <c r="C50" s="515">
        <v>48.080697645163404</v>
      </c>
      <c r="D50" s="515" t="s">
        <v>26</v>
      </c>
      <c r="E50" s="515">
        <v>12.05694364</v>
      </c>
      <c r="F50" s="515">
        <v>3.56897273</v>
      </c>
    </row>
    <row r="51" spans="1:6" s="254" customFormat="1" ht="15.95" customHeight="1" x14ac:dyDescent="0.3">
      <c r="A51" s="514" t="s">
        <v>303</v>
      </c>
      <c r="B51" s="515">
        <v>27.799300544399998</v>
      </c>
      <c r="C51" s="515">
        <v>19.572597084399998</v>
      </c>
      <c r="D51" s="515" t="s">
        <v>26</v>
      </c>
      <c r="E51" s="515">
        <v>8.1459206500000008</v>
      </c>
      <c r="F51" s="515" t="s">
        <v>26</v>
      </c>
    </row>
    <row r="52" spans="1:6" s="254" customFormat="1" ht="15.95" customHeight="1" x14ac:dyDescent="0.3">
      <c r="A52" s="514" t="s">
        <v>66</v>
      </c>
      <c r="B52" s="515">
        <v>169.40781055000002</v>
      </c>
      <c r="C52" s="515">
        <v>152.48691044</v>
      </c>
      <c r="D52" s="515" t="s">
        <v>26</v>
      </c>
      <c r="E52" s="515">
        <v>2.1047671400000003</v>
      </c>
      <c r="F52" s="515">
        <v>14.814410789999998</v>
      </c>
    </row>
    <row r="53" spans="1:6" s="254" customFormat="1" ht="15.95" customHeight="1" x14ac:dyDescent="0.3">
      <c r="A53" s="514" t="s">
        <v>304</v>
      </c>
      <c r="B53" s="515">
        <v>49.796899610000004</v>
      </c>
      <c r="C53" s="515">
        <v>43.308004269999998</v>
      </c>
      <c r="D53" s="515">
        <v>1.4799393600000001</v>
      </c>
      <c r="E53" s="515">
        <v>4.5203827099999998</v>
      </c>
      <c r="F53" s="515" t="s">
        <v>26</v>
      </c>
    </row>
    <row r="54" spans="1:6" s="254" customFormat="1" ht="15.95" customHeight="1" x14ac:dyDescent="0.3">
      <c r="A54" s="514" t="s">
        <v>67</v>
      </c>
      <c r="B54" s="515">
        <v>37.891139889999998</v>
      </c>
      <c r="C54" s="515" t="s">
        <v>26</v>
      </c>
      <c r="D54" s="515">
        <v>1.5309572499999999</v>
      </c>
      <c r="E54" s="515">
        <v>36.360182639999998</v>
      </c>
      <c r="F54" s="515" t="s">
        <v>26</v>
      </c>
    </row>
    <row r="55" spans="1:6" s="254" customFormat="1" ht="15.95" customHeight="1" x14ac:dyDescent="0.3">
      <c r="A55" s="514" t="s">
        <v>305</v>
      </c>
      <c r="B55" s="515">
        <v>1.1585503500000001</v>
      </c>
      <c r="C55" s="515" t="s">
        <v>26</v>
      </c>
      <c r="D55" s="515">
        <v>0.8707532</v>
      </c>
      <c r="E55" s="515" t="s">
        <v>26</v>
      </c>
      <c r="F55" s="515" t="s">
        <v>26</v>
      </c>
    </row>
    <row r="56" spans="1:6" s="254" customFormat="1" ht="15.95" customHeight="1" x14ac:dyDescent="0.3">
      <c r="A56" s="514" t="s">
        <v>68</v>
      </c>
      <c r="B56" s="515">
        <v>187.14512360800006</v>
      </c>
      <c r="C56" s="515">
        <v>169.09411361800008</v>
      </c>
      <c r="D56" s="515">
        <v>0.58141699999999996</v>
      </c>
      <c r="E56" s="515">
        <v>17.469592989999999</v>
      </c>
      <c r="F56" s="515" t="s">
        <v>26</v>
      </c>
    </row>
    <row r="57" spans="1:6" s="254" customFormat="1" ht="15.95" customHeight="1" x14ac:dyDescent="0.3">
      <c r="A57" s="514" t="s">
        <v>69</v>
      </c>
      <c r="B57" s="515">
        <v>102.72905374999999</v>
      </c>
      <c r="C57" s="515">
        <v>76.400986529999997</v>
      </c>
      <c r="D57" s="515">
        <v>0.69588565000000002</v>
      </c>
      <c r="E57" s="515">
        <v>25.63218157</v>
      </c>
      <c r="F57" s="515" t="s">
        <v>26</v>
      </c>
    </row>
    <row r="58" spans="1:6" s="254" customFormat="1" ht="15.95" customHeight="1" x14ac:dyDescent="0.3">
      <c r="A58" s="514" t="s">
        <v>70</v>
      </c>
      <c r="B58" s="515">
        <v>520.68169790560592</v>
      </c>
      <c r="C58" s="515">
        <v>509.62871058560597</v>
      </c>
      <c r="D58" s="515" t="s">
        <v>26</v>
      </c>
      <c r="E58" s="515">
        <v>11.018297720000001</v>
      </c>
      <c r="F58" s="515" t="s">
        <v>26</v>
      </c>
    </row>
    <row r="59" spans="1:6" s="254" customFormat="1" ht="15.95" customHeight="1" x14ac:dyDescent="0.3">
      <c r="A59" s="521" t="s">
        <v>71</v>
      </c>
      <c r="B59" s="522">
        <v>18.624040490000002</v>
      </c>
      <c r="C59" s="522">
        <v>11.218031590000001</v>
      </c>
      <c r="D59" s="522" t="s">
        <v>26</v>
      </c>
      <c r="E59" s="522">
        <v>7.2580709400000005</v>
      </c>
      <c r="F59" s="522" t="s">
        <v>26</v>
      </c>
    </row>
    <row r="60" spans="1:6" s="239" customFormat="1" ht="12" customHeight="1" x14ac:dyDescent="0.25">
      <c r="A60" s="129"/>
      <c r="B60" s="137"/>
      <c r="C60" s="159"/>
      <c r="D60" s="159"/>
      <c r="E60" s="159"/>
      <c r="F60" s="160" t="s">
        <v>58</v>
      </c>
    </row>
    <row r="61" spans="1:6" s="254" customFormat="1" ht="12.6" customHeight="1" x14ac:dyDescent="0.15"/>
    <row r="62" spans="1:6" s="254" customFormat="1" ht="12.6" customHeight="1" x14ac:dyDescent="0.15"/>
    <row r="63" spans="1:6" s="254" customFormat="1" ht="12.6" customHeight="1" x14ac:dyDescent="0.15">
      <c r="A63" s="255"/>
      <c r="B63" s="256"/>
      <c r="C63" s="257"/>
      <c r="D63" s="257"/>
      <c r="E63" s="257"/>
      <c r="F63" s="225"/>
    </row>
    <row r="64" spans="1:6" s="254" customFormat="1" ht="12.6" customHeight="1" x14ac:dyDescent="0.15">
      <c r="A64" s="255"/>
      <c r="B64" s="256"/>
      <c r="C64" s="257"/>
      <c r="D64" s="257"/>
      <c r="E64" s="257"/>
      <c r="F64" s="225"/>
    </row>
    <row r="65" spans="1:13" s="254" customFormat="1" ht="12.6" customHeight="1" x14ac:dyDescent="0.15"/>
    <row r="66" spans="1:13" s="254" customFormat="1" ht="12.6" customHeight="1" x14ac:dyDescent="0.15"/>
    <row r="67" spans="1:13" s="39" customFormat="1" ht="12.75" customHeight="1" x14ac:dyDescent="0.3">
      <c r="A67" s="696" t="s">
        <v>432</v>
      </c>
      <c r="B67" s="696"/>
      <c r="C67" s="696"/>
      <c r="D67" s="696"/>
      <c r="E67" s="696"/>
      <c r="F67" s="696"/>
      <c r="H67" s="176"/>
      <c r="I67" s="176"/>
      <c r="J67" s="176"/>
      <c r="K67" s="176"/>
      <c r="L67" s="176"/>
      <c r="M67" s="176"/>
    </row>
    <row r="68" spans="1:13" s="258" customFormat="1" ht="12.6" customHeight="1" x14ac:dyDescent="0.25">
      <c r="A68" s="695" t="s">
        <v>297</v>
      </c>
      <c r="B68" s="695"/>
      <c r="C68" s="695"/>
      <c r="D68" s="695"/>
      <c r="E68" s="695"/>
      <c r="F68" s="695"/>
    </row>
    <row r="69" spans="1:13" s="239" customFormat="1" ht="12" customHeight="1" x14ac:dyDescent="0.25">
      <c r="F69" s="161" t="s">
        <v>59</v>
      </c>
    </row>
    <row r="70" spans="1:13" s="253" customFormat="1" ht="44.25" customHeight="1" x14ac:dyDescent="0.15">
      <c r="A70" s="286" t="s">
        <v>298</v>
      </c>
      <c r="B70" s="520" t="s">
        <v>3</v>
      </c>
      <c r="C70" s="520" t="s">
        <v>17</v>
      </c>
      <c r="D70" s="520" t="s">
        <v>19</v>
      </c>
      <c r="E70" s="520" t="s">
        <v>16</v>
      </c>
      <c r="F70" s="520" t="s">
        <v>18</v>
      </c>
    </row>
    <row r="71" spans="1:13" s="254" customFormat="1" ht="15.95" customHeight="1" x14ac:dyDescent="0.3">
      <c r="A71" s="293" t="s">
        <v>72</v>
      </c>
      <c r="B71" s="523">
        <v>208.91059830861872</v>
      </c>
      <c r="C71" s="523">
        <v>167.21115107861871</v>
      </c>
      <c r="D71" s="515" t="s">
        <v>26</v>
      </c>
      <c r="E71" s="523">
        <v>29.481182620000002</v>
      </c>
      <c r="F71" s="523">
        <v>12.168840210000001</v>
      </c>
    </row>
    <row r="72" spans="1:13" s="254" customFormat="1" ht="15.95" customHeight="1" x14ac:dyDescent="0.3">
      <c r="A72" s="293" t="s">
        <v>89</v>
      </c>
      <c r="B72" s="515">
        <v>79.15588369000001</v>
      </c>
      <c r="C72" s="515">
        <v>66.31047203</v>
      </c>
      <c r="D72" s="515" t="s">
        <v>26</v>
      </c>
      <c r="E72" s="515">
        <v>12.77668866</v>
      </c>
      <c r="F72" s="515" t="s">
        <v>26</v>
      </c>
    </row>
    <row r="73" spans="1:13" s="254" customFormat="1" ht="15.95" customHeight="1" x14ac:dyDescent="0.3">
      <c r="A73" s="293" t="s">
        <v>73</v>
      </c>
      <c r="B73" s="515">
        <v>32.563904650000005</v>
      </c>
      <c r="C73" s="515">
        <v>21.282564000000001</v>
      </c>
      <c r="D73" s="515">
        <v>1.6135923999999999</v>
      </c>
      <c r="E73" s="515">
        <v>9.6677482500000007</v>
      </c>
      <c r="F73" s="515" t="s">
        <v>26</v>
      </c>
    </row>
    <row r="74" spans="1:13" s="254" customFormat="1" ht="15.95" customHeight="1" x14ac:dyDescent="0.3">
      <c r="A74" s="293" t="s">
        <v>74</v>
      </c>
      <c r="B74" s="515">
        <v>25.827975140000003</v>
      </c>
      <c r="C74" s="515" t="s">
        <v>26</v>
      </c>
      <c r="D74" s="515">
        <v>2.5240502</v>
      </c>
      <c r="E74" s="515">
        <v>21.94125438</v>
      </c>
      <c r="F74" s="515">
        <v>1.36267056</v>
      </c>
    </row>
    <row r="75" spans="1:13" s="254" customFormat="1" ht="15.95" customHeight="1" x14ac:dyDescent="0.3">
      <c r="A75" s="293" t="s">
        <v>75</v>
      </c>
      <c r="B75" s="515">
        <v>25.882011259999992</v>
      </c>
      <c r="C75" s="515">
        <v>22.875077189999992</v>
      </c>
      <c r="D75" s="515" t="s">
        <v>26</v>
      </c>
      <c r="E75" s="515">
        <v>3.0069340699999998</v>
      </c>
      <c r="F75" s="515" t="s">
        <v>26</v>
      </c>
    </row>
    <row r="76" spans="1:13" s="254" customFormat="1" ht="15.95" customHeight="1" x14ac:dyDescent="0.3">
      <c r="A76" s="293" t="s">
        <v>76</v>
      </c>
      <c r="B76" s="515">
        <v>45.014016399999996</v>
      </c>
      <c r="C76" s="515">
        <v>5.4774615099999995</v>
      </c>
      <c r="D76" s="515" t="s">
        <v>26</v>
      </c>
      <c r="E76" s="515">
        <v>17.047918899999999</v>
      </c>
      <c r="F76" s="515">
        <v>22.483679989999999</v>
      </c>
    </row>
    <row r="77" spans="1:13" s="254" customFormat="1" ht="15.95" customHeight="1" x14ac:dyDescent="0.3">
      <c r="A77" s="293" t="s">
        <v>77</v>
      </c>
      <c r="B77" s="515">
        <v>468.03106508000002</v>
      </c>
      <c r="C77" s="515">
        <v>280.46163995000001</v>
      </c>
      <c r="D77" s="515">
        <v>32.382054840000002</v>
      </c>
      <c r="E77" s="515">
        <v>121.56068136</v>
      </c>
      <c r="F77" s="515">
        <v>33.62668893</v>
      </c>
    </row>
    <row r="78" spans="1:13" s="254" customFormat="1" ht="15.95" customHeight="1" x14ac:dyDescent="0.3">
      <c r="A78" s="293" t="s">
        <v>151</v>
      </c>
      <c r="B78" s="515">
        <v>204.56643221428567</v>
      </c>
      <c r="C78" s="515">
        <v>180.2205708042857</v>
      </c>
      <c r="D78" s="515">
        <v>0.79163106000000005</v>
      </c>
      <c r="E78" s="515">
        <v>17.059506500000001</v>
      </c>
      <c r="F78" s="515">
        <v>6.4947238499999997</v>
      </c>
    </row>
    <row r="79" spans="1:13" s="254" customFormat="1" ht="15.95" customHeight="1" x14ac:dyDescent="0.3">
      <c r="A79" s="293" t="s">
        <v>110</v>
      </c>
      <c r="B79" s="515">
        <v>397.64274468008227</v>
      </c>
      <c r="C79" s="515">
        <v>365.54289431008226</v>
      </c>
      <c r="D79" s="515" t="s">
        <v>26</v>
      </c>
      <c r="E79" s="515">
        <v>32.086481169999999</v>
      </c>
      <c r="F79" s="515" t="s">
        <v>26</v>
      </c>
    </row>
    <row r="80" spans="1:13" s="254" customFormat="1" ht="15.95" customHeight="1" x14ac:dyDescent="0.3">
      <c r="A80" s="293" t="s">
        <v>306</v>
      </c>
      <c r="B80" s="515">
        <v>165.77271304999999</v>
      </c>
      <c r="C80" s="515">
        <v>140.35447719999999</v>
      </c>
      <c r="D80" s="515" t="s">
        <v>26</v>
      </c>
      <c r="E80" s="515">
        <v>24.583474489999997</v>
      </c>
      <c r="F80" s="515">
        <v>0.78020339999999999</v>
      </c>
    </row>
    <row r="81" spans="1:6" s="254" customFormat="1" ht="15.95" customHeight="1" x14ac:dyDescent="0.3">
      <c r="A81" s="293" t="s">
        <v>78</v>
      </c>
      <c r="B81" s="515">
        <v>85.2352403549</v>
      </c>
      <c r="C81" s="515">
        <v>65.025843174900004</v>
      </c>
      <c r="D81" s="515" t="s">
        <v>26</v>
      </c>
      <c r="E81" s="515">
        <v>17.233999239999999</v>
      </c>
      <c r="F81" s="515">
        <v>2.9753979400000001</v>
      </c>
    </row>
    <row r="82" spans="1:6" s="254" customFormat="1" ht="15.95" customHeight="1" x14ac:dyDescent="0.3">
      <c r="A82" s="293" t="s">
        <v>79</v>
      </c>
      <c r="B82" s="515">
        <v>121.32572302940254</v>
      </c>
      <c r="C82" s="515">
        <v>99.813105599402533</v>
      </c>
      <c r="D82" s="515" t="s">
        <v>26</v>
      </c>
      <c r="E82" s="515">
        <v>6.9818098300000004</v>
      </c>
      <c r="F82" s="515">
        <v>14.492533640000001</v>
      </c>
    </row>
    <row r="83" spans="1:6" s="254" customFormat="1" ht="15.95" customHeight="1" x14ac:dyDescent="0.3">
      <c r="A83" s="293" t="s">
        <v>80</v>
      </c>
      <c r="B83" s="515">
        <v>52.340621884800001</v>
      </c>
      <c r="C83" s="515">
        <v>41.768333714800001</v>
      </c>
      <c r="D83" s="515" t="s">
        <v>26</v>
      </c>
      <c r="E83" s="515">
        <v>10.43545301</v>
      </c>
      <c r="F83" s="515" t="s">
        <v>26</v>
      </c>
    </row>
    <row r="84" spans="1:6" s="254" customFormat="1" ht="15.95" customHeight="1" x14ac:dyDescent="0.3">
      <c r="A84" s="293" t="s">
        <v>81</v>
      </c>
      <c r="B84" s="515">
        <v>46.261958456572692</v>
      </c>
      <c r="C84" s="515">
        <v>12.526187496572689</v>
      </c>
      <c r="D84" s="515" t="s">
        <v>26</v>
      </c>
      <c r="E84" s="515">
        <v>33.338830219999998</v>
      </c>
      <c r="F84" s="515" t="s">
        <v>26</v>
      </c>
    </row>
    <row r="85" spans="1:6" s="254" customFormat="1" ht="15.95" customHeight="1" x14ac:dyDescent="0.3">
      <c r="A85" s="293" t="s">
        <v>307</v>
      </c>
      <c r="B85" s="515">
        <v>101.6170666236725</v>
      </c>
      <c r="C85" s="515">
        <v>94.020106103672504</v>
      </c>
      <c r="D85" s="515" t="s">
        <v>26</v>
      </c>
      <c r="E85" s="515">
        <v>7.5834005199999996</v>
      </c>
      <c r="F85" s="515" t="s">
        <v>26</v>
      </c>
    </row>
    <row r="86" spans="1:6" s="253" customFormat="1" ht="15.95" customHeight="1" x14ac:dyDescent="0.3">
      <c r="A86" s="293" t="s">
        <v>82</v>
      </c>
      <c r="B86" s="515">
        <v>8.7849762900000012</v>
      </c>
      <c r="C86" s="515" t="s">
        <v>26</v>
      </c>
      <c r="D86" s="515" t="s">
        <v>26</v>
      </c>
      <c r="E86" s="515">
        <v>7.9033981100000004</v>
      </c>
      <c r="F86" s="515">
        <v>0.84376068000000004</v>
      </c>
    </row>
    <row r="87" spans="1:6" s="254" customFormat="1" ht="15.95" customHeight="1" x14ac:dyDescent="0.3">
      <c r="A87" s="293" t="s">
        <v>83</v>
      </c>
      <c r="B87" s="515">
        <v>23.554910742168168</v>
      </c>
      <c r="C87" s="515">
        <v>16.544580842168166</v>
      </c>
      <c r="D87" s="515" t="s">
        <v>26</v>
      </c>
      <c r="E87" s="515">
        <v>5.25301727</v>
      </c>
      <c r="F87" s="515">
        <v>1.68531801</v>
      </c>
    </row>
    <row r="88" spans="1:6" s="254" customFormat="1" ht="15.95" customHeight="1" x14ac:dyDescent="0.3">
      <c r="A88" s="306" t="s">
        <v>12</v>
      </c>
      <c r="B88" s="513">
        <v>463.36217702332084</v>
      </c>
      <c r="C88" s="513">
        <v>409.0403246633208</v>
      </c>
      <c r="D88" s="513" t="s">
        <v>26</v>
      </c>
      <c r="E88" s="513">
        <v>49.359652730000001</v>
      </c>
      <c r="F88" s="513">
        <v>4.8502126800000003</v>
      </c>
    </row>
    <row r="89" spans="1:6" s="254" customFormat="1" ht="15.95" customHeight="1" x14ac:dyDescent="0.3">
      <c r="A89" s="293" t="s">
        <v>84</v>
      </c>
      <c r="B89" s="515">
        <v>93.49302902607046</v>
      </c>
      <c r="C89" s="515">
        <v>84.823596026070462</v>
      </c>
      <c r="D89" s="515" t="s">
        <v>26</v>
      </c>
      <c r="E89" s="515">
        <v>5.6270280000000001</v>
      </c>
      <c r="F89" s="515">
        <v>2.9458730000000002</v>
      </c>
    </row>
    <row r="90" spans="1:6" s="254" customFormat="1" ht="15.95" customHeight="1" x14ac:dyDescent="0.3">
      <c r="A90" s="293" t="s">
        <v>85</v>
      </c>
      <c r="B90" s="515">
        <v>46.781803786199973</v>
      </c>
      <c r="C90" s="515">
        <v>40.988202516199969</v>
      </c>
      <c r="D90" s="515" t="s">
        <v>26</v>
      </c>
      <c r="E90" s="515">
        <v>5.0428942300000008</v>
      </c>
      <c r="F90" s="515">
        <v>0.75070703999999999</v>
      </c>
    </row>
    <row r="91" spans="1:6" s="254" customFormat="1" ht="15.95" customHeight="1" x14ac:dyDescent="0.3">
      <c r="A91" s="293" t="s">
        <v>86</v>
      </c>
      <c r="B91" s="515">
        <v>104.64130773799998</v>
      </c>
      <c r="C91" s="515">
        <v>87.027098497999987</v>
      </c>
      <c r="D91" s="515" t="s">
        <v>26</v>
      </c>
      <c r="E91" s="515">
        <v>16.448547600000001</v>
      </c>
      <c r="F91" s="515">
        <v>1.1536326399999999</v>
      </c>
    </row>
    <row r="92" spans="1:6" s="259" customFormat="1" ht="15.95" customHeight="1" x14ac:dyDescent="0.3">
      <c r="A92" s="297" t="s">
        <v>87</v>
      </c>
      <c r="B92" s="522">
        <v>218.44603647305041</v>
      </c>
      <c r="C92" s="522">
        <v>196.20142762305039</v>
      </c>
      <c r="D92" s="522" t="s">
        <v>26</v>
      </c>
      <c r="E92" s="522">
        <v>22.241182899999998</v>
      </c>
      <c r="F92" s="522" t="s">
        <v>26</v>
      </c>
    </row>
    <row r="93" spans="1:6" s="162" customFormat="1" ht="12" customHeight="1" x14ac:dyDescent="0.25">
      <c r="A93" s="260" t="s">
        <v>431</v>
      </c>
      <c r="B93" s="163"/>
      <c r="C93" s="163"/>
      <c r="D93" s="163"/>
      <c r="E93" s="163"/>
      <c r="F93" s="164"/>
    </row>
    <row r="94" spans="1:6" s="162" customFormat="1" ht="12" customHeight="1" x14ac:dyDescent="0.25">
      <c r="A94" s="165" t="s">
        <v>88</v>
      </c>
      <c r="B94" s="166"/>
      <c r="C94" s="166"/>
      <c r="D94" s="166"/>
      <c r="E94" s="166"/>
      <c r="F94" s="166"/>
    </row>
    <row r="95" spans="1:6" s="39" customFormat="1" ht="12.75" customHeight="1" x14ac:dyDescent="0.3">
      <c r="A95" s="43"/>
      <c r="B95" s="71"/>
      <c r="C95" s="71"/>
      <c r="D95" s="71"/>
      <c r="E95" s="71"/>
      <c r="F95" s="71"/>
    </row>
    <row r="96" spans="1:6" s="39" customFormat="1" ht="12.75" customHeight="1" x14ac:dyDescent="0.3">
      <c r="A96" s="43"/>
      <c r="B96" s="71"/>
      <c r="C96" s="71"/>
      <c r="D96" s="71"/>
      <c r="E96" s="71"/>
      <c r="F96" s="71"/>
    </row>
    <row r="97" spans="1:6" s="39" customFormat="1" ht="12.75" customHeight="1" x14ac:dyDescent="0.3">
      <c r="A97" s="43"/>
      <c r="B97" s="71"/>
      <c r="C97" s="71"/>
      <c r="D97" s="71"/>
      <c r="E97" s="71"/>
      <c r="F97" s="71"/>
    </row>
    <row r="98" spans="1:6" s="39" customFormat="1" ht="12.75" customHeight="1" x14ac:dyDescent="0.3">
      <c r="A98" s="43"/>
      <c r="B98" s="71"/>
      <c r="C98" s="71"/>
      <c r="D98" s="71"/>
      <c r="E98" s="71"/>
      <c r="F98" s="71"/>
    </row>
    <row r="99" spans="1:6" s="39" customFormat="1" ht="12.75" customHeight="1" x14ac:dyDescent="0.3">
      <c r="A99" s="43"/>
      <c r="B99" s="71"/>
      <c r="C99" s="71"/>
      <c r="D99" s="71"/>
      <c r="E99" s="71"/>
      <c r="F99" s="71"/>
    </row>
    <row r="100" spans="1:6" s="39" customFormat="1" ht="12.75" customHeight="1" x14ac:dyDescent="0.3">
      <c r="A100" s="43"/>
      <c r="B100" s="71"/>
      <c r="C100" s="71"/>
      <c r="D100" s="71"/>
      <c r="E100" s="71"/>
      <c r="F100" s="71"/>
    </row>
    <row r="101" spans="1:6" s="39" customFormat="1" ht="12.75" customHeight="1" x14ac:dyDescent="0.3">
      <c r="A101" s="43"/>
      <c r="B101" s="71"/>
      <c r="C101" s="71"/>
      <c r="D101" s="71"/>
      <c r="E101" s="71"/>
      <c r="F101" s="71"/>
    </row>
    <row r="102" spans="1:6" s="39" customFormat="1" ht="12.75" customHeight="1" x14ac:dyDescent="0.3">
      <c r="A102" s="43"/>
      <c r="B102" s="71"/>
      <c r="C102" s="71"/>
      <c r="D102" s="71"/>
      <c r="E102" s="71"/>
      <c r="F102" s="71"/>
    </row>
    <row r="103" spans="1:6" s="39" customFormat="1" ht="12.75" customHeight="1" x14ac:dyDescent="0.3">
      <c r="A103" s="43"/>
      <c r="B103" s="71"/>
      <c r="C103" s="71"/>
      <c r="D103" s="71"/>
      <c r="E103" s="71"/>
      <c r="F103" s="71"/>
    </row>
    <row r="104" spans="1:6" s="39" customFormat="1" ht="12.75" customHeight="1" x14ac:dyDescent="0.3">
      <c r="A104" s="43"/>
      <c r="B104" s="71"/>
      <c r="C104" s="71"/>
      <c r="D104" s="71"/>
      <c r="E104" s="71"/>
      <c r="F104" s="71"/>
    </row>
    <row r="105" spans="1:6" s="39" customFormat="1" ht="12.75" customHeight="1" x14ac:dyDescent="0.3">
      <c r="A105" s="43"/>
      <c r="B105" s="71"/>
      <c r="C105" s="71"/>
      <c r="D105" s="71"/>
      <c r="E105" s="71"/>
      <c r="F105" s="71"/>
    </row>
    <row r="106" spans="1:6" s="39" customFormat="1" ht="12.75" customHeight="1" x14ac:dyDescent="0.3">
      <c r="A106" s="43"/>
      <c r="B106" s="71"/>
      <c r="C106" s="71"/>
      <c r="D106" s="71"/>
      <c r="E106" s="71"/>
      <c r="F106" s="71"/>
    </row>
    <row r="107" spans="1:6" s="39" customFormat="1" ht="12.75" customHeight="1" x14ac:dyDescent="0.3">
      <c r="A107" s="43"/>
      <c r="B107" s="71"/>
      <c r="C107" s="71"/>
      <c r="D107" s="71"/>
      <c r="E107" s="71"/>
      <c r="F107" s="71"/>
    </row>
    <row r="108" spans="1:6" s="39" customFormat="1" ht="12.75" customHeight="1" x14ac:dyDescent="0.3">
      <c r="A108" s="43"/>
      <c r="B108" s="71"/>
      <c r="C108" s="71"/>
      <c r="D108" s="71"/>
      <c r="E108" s="71"/>
      <c r="F108" s="71"/>
    </row>
    <row r="109" spans="1:6" s="39" customFormat="1" ht="12.75" customHeight="1" x14ac:dyDescent="0.3">
      <c r="A109" s="43"/>
      <c r="B109" s="71"/>
      <c r="C109" s="71"/>
      <c r="D109" s="71"/>
      <c r="E109" s="71"/>
      <c r="F109" s="71"/>
    </row>
    <row r="110" spans="1:6" s="39" customFormat="1" ht="12.75" customHeight="1" x14ac:dyDescent="0.3">
      <c r="A110" s="43"/>
      <c r="B110" s="71"/>
      <c r="C110" s="71"/>
      <c r="D110" s="71"/>
      <c r="E110" s="71"/>
      <c r="F110" s="71"/>
    </row>
    <row r="111" spans="1:6" s="39" customFormat="1" ht="12.75" customHeight="1" x14ac:dyDescent="0.3">
      <c r="A111" s="43"/>
      <c r="B111" s="71"/>
      <c r="C111" s="71"/>
      <c r="D111" s="71"/>
      <c r="E111" s="71"/>
      <c r="F111" s="71"/>
    </row>
    <row r="112" spans="1:6" s="39" customFormat="1" ht="12.75" customHeight="1" x14ac:dyDescent="0.3">
      <c r="A112" s="43"/>
      <c r="B112" s="71"/>
      <c r="C112" s="71"/>
      <c r="D112" s="71"/>
      <c r="E112" s="71"/>
      <c r="F112" s="71"/>
    </row>
    <row r="113" spans="1:6" s="39" customFormat="1" ht="12.75" customHeight="1" x14ac:dyDescent="0.3">
      <c r="A113" s="43"/>
      <c r="B113" s="71"/>
      <c r="C113" s="71"/>
      <c r="D113" s="71"/>
      <c r="E113" s="71"/>
      <c r="F113" s="71"/>
    </row>
    <row r="114" spans="1:6" s="39" customFormat="1" ht="12.75" customHeight="1" x14ac:dyDescent="0.3">
      <c r="A114" s="43"/>
      <c r="B114" s="71"/>
      <c r="C114" s="71"/>
      <c r="D114" s="71"/>
      <c r="E114" s="71"/>
      <c r="F114" s="71"/>
    </row>
    <row r="115" spans="1:6" s="39" customFormat="1" ht="12.75" customHeight="1" x14ac:dyDescent="0.3">
      <c r="A115" s="43"/>
      <c r="B115" s="71"/>
      <c r="C115" s="71"/>
      <c r="D115" s="71"/>
      <c r="E115" s="71"/>
      <c r="F115" s="71"/>
    </row>
    <row r="116" spans="1:6" s="39" customFormat="1" ht="12.75" customHeight="1" x14ac:dyDescent="0.3">
      <c r="A116" s="43"/>
      <c r="B116" s="71"/>
      <c r="C116" s="71"/>
      <c r="D116" s="71"/>
      <c r="E116" s="71"/>
      <c r="F116" s="71"/>
    </row>
    <row r="117" spans="1:6" s="39" customFormat="1" ht="12.75" customHeight="1" x14ac:dyDescent="0.3">
      <c r="A117" s="43"/>
      <c r="B117" s="71"/>
      <c r="C117" s="71"/>
      <c r="D117" s="71"/>
      <c r="E117" s="71"/>
      <c r="F117" s="71"/>
    </row>
    <row r="118" spans="1:6" s="39" customFormat="1" ht="12.75" customHeight="1" x14ac:dyDescent="0.3">
      <c r="A118" s="43"/>
      <c r="B118" s="71"/>
      <c r="C118" s="71"/>
      <c r="D118" s="71"/>
      <c r="E118" s="71"/>
      <c r="F118" s="71"/>
    </row>
    <row r="119" spans="1:6" s="39" customFormat="1" ht="12.75" customHeight="1" x14ac:dyDescent="0.3">
      <c r="A119" s="43"/>
      <c r="B119" s="71"/>
      <c r="C119" s="71"/>
      <c r="D119" s="71"/>
      <c r="E119" s="71"/>
      <c r="F119" s="71"/>
    </row>
    <row r="120" spans="1:6" s="39" customFormat="1" ht="12.75" customHeight="1" x14ac:dyDescent="0.3">
      <c r="A120" s="43"/>
      <c r="B120" s="71"/>
      <c r="C120" s="71"/>
      <c r="D120" s="71"/>
      <c r="E120" s="71"/>
      <c r="F120" s="71"/>
    </row>
    <row r="121" spans="1:6" s="39" customFormat="1" ht="12.75" customHeight="1" x14ac:dyDescent="0.3">
      <c r="A121" s="43"/>
      <c r="B121" s="71"/>
      <c r="C121" s="71"/>
      <c r="D121" s="71"/>
      <c r="E121" s="71"/>
      <c r="F121" s="71"/>
    </row>
    <row r="122" spans="1:6" s="39" customFormat="1" ht="12.75" customHeight="1" x14ac:dyDescent="0.3">
      <c r="A122" s="43"/>
      <c r="B122" s="71"/>
      <c r="C122" s="71"/>
      <c r="D122" s="71"/>
      <c r="E122" s="71"/>
      <c r="F122" s="71"/>
    </row>
    <row r="123" spans="1:6" s="39" customFormat="1" ht="12.75" customHeight="1" x14ac:dyDescent="0.3">
      <c r="A123" s="43"/>
      <c r="B123" s="71"/>
      <c r="C123" s="71"/>
      <c r="D123" s="71"/>
      <c r="E123" s="71"/>
      <c r="F123" s="71"/>
    </row>
    <row r="124" spans="1:6" s="39" customFormat="1" ht="12.75" customHeight="1" x14ac:dyDescent="0.3">
      <c r="A124" s="43"/>
      <c r="B124" s="71"/>
      <c r="C124" s="71"/>
      <c r="D124" s="71"/>
      <c r="E124" s="71"/>
      <c r="F124" s="71"/>
    </row>
    <row r="125" spans="1:6" s="39" customFormat="1" ht="12.75" customHeight="1" x14ac:dyDescent="0.3">
      <c r="A125" s="43"/>
      <c r="B125" s="71"/>
      <c r="C125" s="71"/>
      <c r="D125" s="71"/>
      <c r="E125" s="71"/>
      <c r="F125" s="71"/>
    </row>
    <row r="126" spans="1:6" s="39" customFormat="1" ht="12.75" customHeight="1" x14ac:dyDescent="0.3">
      <c r="A126" s="43"/>
      <c r="B126" s="71"/>
      <c r="C126" s="71"/>
      <c r="D126" s="71"/>
      <c r="E126" s="71"/>
      <c r="F126" s="71"/>
    </row>
    <row r="127" spans="1:6" s="39" customFormat="1" ht="12.75" customHeight="1" x14ac:dyDescent="0.3">
      <c r="A127" s="43"/>
      <c r="B127" s="71"/>
      <c r="C127" s="71"/>
      <c r="D127" s="71"/>
      <c r="E127" s="71"/>
      <c r="F127" s="71"/>
    </row>
    <row r="128" spans="1:6" s="39" customFormat="1" ht="12.75" customHeight="1" x14ac:dyDescent="0.3">
      <c r="A128" s="43"/>
      <c r="B128" s="71"/>
      <c r="C128" s="71"/>
      <c r="D128" s="71"/>
      <c r="E128" s="71"/>
      <c r="F128" s="71"/>
    </row>
  </sheetData>
  <mergeCells count="4">
    <mergeCell ref="A68:F68"/>
    <mergeCell ref="A3:F3"/>
    <mergeCell ref="A4:F4"/>
    <mergeCell ref="A67:F67"/>
  </mergeCells>
  <printOptions horizontalCentered="1"/>
  <pageMargins left="0.70866141732283472" right="0.70866141732283472" top="0.94488188976377963" bottom="0.55118110236220474" header="0.31496062992125984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12"/>
  <sheetViews>
    <sheetView showGridLines="0" topLeftCell="A49" zoomScaleNormal="100" zoomScaleSheetLayoutView="160" workbookViewId="0">
      <selection sqref="A1:XFD2"/>
    </sheetView>
  </sheetViews>
  <sheetFormatPr baseColWidth="10" defaultColWidth="11.28515625" defaultRowHeight="12.75" customHeight="1" x14ac:dyDescent="0.3"/>
  <cols>
    <col min="1" max="1" width="28" style="43" customWidth="1"/>
    <col min="2" max="6" width="13.140625" style="71" customWidth="1"/>
    <col min="7" max="16384" width="11.28515625" style="43"/>
  </cols>
  <sheetData>
    <row r="1" spans="1:6" s="39" customFormat="1" ht="14.1" customHeight="1" x14ac:dyDescent="0.3">
      <c r="A1" s="696" t="s">
        <v>430</v>
      </c>
      <c r="B1" s="696"/>
      <c r="C1" s="696"/>
      <c r="D1" s="696"/>
      <c r="E1" s="696"/>
      <c r="F1" s="696"/>
    </row>
    <row r="2" spans="1:6" s="21" customFormat="1" ht="14.1" customHeight="1" x14ac:dyDescent="0.3">
      <c r="A2" s="697" t="s">
        <v>297</v>
      </c>
      <c r="B2" s="697"/>
      <c r="C2" s="697"/>
      <c r="D2" s="697"/>
      <c r="E2" s="697"/>
      <c r="F2" s="697"/>
    </row>
    <row r="3" spans="1:6" s="21" customFormat="1" ht="3" customHeight="1" x14ac:dyDescent="0.3">
      <c r="A3" s="239"/>
      <c r="B3" s="239"/>
      <c r="C3" s="239"/>
      <c r="D3" s="239"/>
      <c r="E3" s="239"/>
      <c r="F3" s="239"/>
    </row>
    <row r="4" spans="1:6" s="70" customFormat="1" ht="35.25" customHeight="1" x14ac:dyDescent="0.3">
      <c r="A4" s="286" t="s">
        <v>298</v>
      </c>
      <c r="B4" s="520" t="s">
        <v>3</v>
      </c>
      <c r="C4" s="520" t="s">
        <v>17</v>
      </c>
      <c r="D4" s="520" t="s">
        <v>19</v>
      </c>
      <c r="E4" s="520" t="s">
        <v>16</v>
      </c>
      <c r="F4" s="520" t="s">
        <v>18</v>
      </c>
    </row>
    <row r="5" spans="1:6" s="70" customFormat="1" ht="3.75" customHeight="1" x14ac:dyDescent="0.3">
      <c r="A5" s="524"/>
      <c r="B5" s="509"/>
      <c r="C5" s="509"/>
      <c r="D5" s="509"/>
      <c r="E5" s="509"/>
      <c r="F5" s="509"/>
    </row>
    <row r="6" spans="1:6" s="70" customFormat="1" ht="15.95" customHeight="1" x14ac:dyDescent="0.3">
      <c r="A6" s="525" t="s">
        <v>3</v>
      </c>
      <c r="B6" s="511">
        <v>18105.892823732756</v>
      </c>
      <c r="C6" s="511">
        <v>16139.001942922756</v>
      </c>
      <c r="D6" s="511">
        <v>56.255404920000004</v>
      </c>
      <c r="E6" s="511">
        <v>1730.58593716</v>
      </c>
      <c r="F6" s="511">
        <v>180.04953872999999</v>
      </c>
    </row>
    <row r="7" spans="1:6" s="70" customFormat="1" ht="15.95" customHeight="1" x14ac:dyDescent="0.3">
      <c r="A7" s="526" t="s">
        <v>8</v>
      </c>
      <c r="B7" s="513">
        <v>12870.857133843452</v>
      </c>
      <c r="C7" s="513">
        <v>11728.151758683451</v>
      </c>
      <c r="D7" s="513">
        <v>43.949165280000003</v>
      </c>
      <c r="E7" s="513">
        <v>1032.30418536</v>
      </c>
      <c r="F7" s="513">
        <v>66.452024520000009</v>
      </c>
    </row>
    <row r="8" spans="1:6" s="21" customFormat="1" ht="15.95" customHeight="1" x14ac:dyDescent="0.3">
      <c r="A8" s="293" t="s">
        <v>25</v>
      </c>
      <c r="B8" s="515">
        <v>340.02676873243104</v>
      </c>
      <c r="C8" s="515">
        <v>302.97549676243102</v>
      </c>
      <c r="D8" s="515" t="s">
        <v>26</v>
      </c>
      <c r="E8" s="515">
        <v>21.54816404</v>
      </c>
      <c r="F8" s="515">
        <v>15.503107930000001</v>
      </c>
    </row>
    <row r="9" spans="1:6" s="21" customFormat="1" ht="15.95" customHeight="1" x14ac:dyDescent="0.3">
      <c r="A9" s="293" t="s">
        <v>27</v>
      </c>
      <c r="B9" s="515">
        <v>73.834790726993845</v>
      </c>
      <c r="C9" s="515">
        <v>60.219796186993847</v>
      </c>
      <c r="D9" s="515" t="s">
        <v>26</v>
      </c>
      <c r="E9" s="515">
        <v>12.557769390000001</v>
      </c>
      <c r="F9" s="515">
        <v>1.0534451499999999</v>
      </c>
    </row>
    <row r="10" spans="1:6" s="21" customFormat="1" ht="15.95" customHeight="1" x14ac:dyDescent="0.3">
      <c r="A10" s="293" t="s">
        <v>28</v>
      </c>
      <c r="B10" s="515">
        <v>269.45569837085162</v>
      </c>
      <c r="C10" s="515">
        <v>261.57015528085162</v>
      </c>
      <c r="D10" s="515">
        <v>0.86166192000000008</v>
      </c>
      <c r="E10" s="515">
        <v>6.8741695700000003</v>
      </c>
      <c r="F10" s="515" t="s">
        <v>26</v>
      </c>
    </row>
    <row r="11" spans="1:6" s="21" customFormat="1" ht="15.95" customHeight="1" x14ac:dyDescent="0.3">
      <c r="A11" s="293" t="s">
        <v>29</v>
      </c>
      <c r="B11" s="515">
        <v>705.99967815970012</v>
      </c>
      <c r="C11" s="515">
        <v>582.0864333697001</v>
      </c>
      <c r="D11" s="515">
        <v>1.4664556299999998</v>
      </c>
      <c r="E11" s="515">
        <v>85.855849159999991</v>
      </c>
      <c r="F11" s="515">
        <v>36.590940000000003</v>
      </c>
    </row>
    <row r="12" spans="1:6" s="21" customFormat="1" ht="15.95" customHeight="1" x14ac:dyDescent="0.3">
      <c r="A12" s="293" t="s">
        <v>30</v>
      </c>
      <c r="B12" s="515">
        <v>535.0111611911002</v>
      </c>
      <c r="C12" s="515">
        <v>527.19770019110013</v>
      </c>
      <c r="D12" s="515">
        <v>1.678793</v>
      </c>
      <c r="E12" s="515">
        <v>6.1151679999999997</v>
      </c>
      <c r="F12" s="515" t="s">
        <v>26</v>
      </c>
    </row>
    <row r="13" spans="1:6" s="21" customFormat="1" ht="15.95" customHeight="1" x14ac:dyDescent="0.3">
      <c r="A13" s="293" t="s">
        <v>31</v>
      </c>
      <c r="B13" s="515">
        <v>615.14599118000001</v>
      </c>
      <c r="C13" s="515">
        <v>609.83928923999997</v>
      </c>
      <c r="D13" s="515" t="s">
        <v>26</v>
      </c>
      <c r="E13" s="515">
        <v>4.6055345599999997</v>
      </c>
      <c r="F13" s="515">
        <v>0.68901338000000001</v>
      </c>
    </row>
    <row r="14" spans="1:6" s="21" customFormat="1" ht="15.95" customHeight="1" x14ac:dyDescent="0.3">
      <c r="A14" s="293" t="s">
        <v>32</v>
      </c>
      <c r="B14" s="515">
        <v>313.59072625199991</v>
      </c>
      <c r="C14" s="515">
        <v>310.09490419199989</v>
      </c>
      <c r="D14" s="515" t="s">
        <v>26</v>
      </c>
      <c r="E14" s="515">
        <v>2.7154906099999998</v>
      </c>
      <c r="F14" s="515">
        <v>0.78033144999999993</v>
      </c>
    </row>
    <row r="15" spans="1:6" s="21" customFormat="1" ht="15.95" customHeight="1" x14ac:dyDescent="0.3">
      <c r="A15" s="293" t="s">
        <v>33</v>
      </c>
      <c r="B15" s="515">
        <v>74.468783499999986</v>
      </c>
      <c r="C15" s="515">
        <v>71.250683329999987</v>
      </c>
      <c r="D15" s="515" t="s">
        <v>26</v>
      </c>
      <c r="E15" s="515">
        <v>2.99991589</v>
      </c>
      <c r="F15" s="515" t="s">
        <v>26</v>
      </c>
    </row>
    <row r="16" spans="1:6" s="21" customFormat="1" ht="15.95" customHeight="1" x14ac:dyDescent="0.3">
      <c r="A16" s="293" t="s">
        <v>34</v>
      </c>
      <c r="B16" s="515">
        <v>79.447972632000003</v>
      </c>
      <c r="C16" s="515">
        <v>77.753955891999993</v>
      </c>
      <c r="D16" s="515" t="s">
        <v>26</v>
      </c>
      <c r="E16" s="515">
        <v>1.63326974</v>
      </c>
      <c r="F16" s="515" t="s">
        <v>26</v>
      </c>
    </row>
    <row r="17" spans="1:6" s="21" customFormat="1" ht="15.95" customHeight="1" x14ac:dyDescent="0.3">
      <c r="A17" s="293" t="s">
        <v>35</v>
      </c>
      <c r="B17" s="515">
        <v>92.160306349999956</v>
      </c>
      <c r="C17" s="515">
        <v>92.095926399999968</v>
      </c>
      <c r="D17" s="515" t="s">
        <v>26</v>
      </c>
      <c r="E17" s="515" t="s">
        <v>26</v>
      </c>
      <c r="F17" s="515" t="s">
        <v>26</v>
      </c>
    </row>
    <row r="18" spans="1:6" s="21" customFormat="1" ht="15.95" customHeight="1" x14ac:dyDescent="0.3">
      <c r="A18" s="293" t="s">
        <v>37</v>
      </c>
      <c r="B18" s="515">
        <v>212.90571336999997</v>
      </c>
      <c r="C18" s="515">
        <v>212.64832899999996</v>
      </c>
      <c r="D18" s="515" t="s">
        <v>26</v>
      </c>
      <c r="E18" s="515" t="s">
        <v>26</v>
      </c>
      <c r="F18" s="515" t="s">
        <v>26</v>
      </c>
    </row>
    <row r="19" spans="1:6" s="21" customFormat="1" ht="15.95" customHeight="1" x14ac:dyDescent="0.3">
      <c r="A19" s="293" t="s">
        <v>38</v>
      </c>
      <c r="B19" s="515">
        <v>109.72674066999997</v>
      </c>
      <c r="C19" s="515">
        <v>109.46807199999996</v>
      </c>
      <c r="D19" s="515" t="s">
        <v>26</v>
      </c>
      <c r="E19" s="515" t="s">
        <v>26</v>
      </c>
      <c r="F19" s="515" t="s">
        <v>26</v>
      </c>
    </row>
    <row r="20" spans="1:6" s="21" customFormat="1" ht="15.95" customHeight="1" x14ac:dyDescent="0.3">
      <c r="A20" s="293" t="s">
        <v>39</v>
      </c>
      <c r="B20" s="515">
        <v>400.79555058</v>
      </c>
      <c r="C20" s="515">
        <v>395.49670000000003</v>
      </c>
      <c r="D20" s="515">
        <v>1.2614399999999999</v>
      </c>
      <c r="E20" s="515">
        <v>3.1827845799999999</v>
      </c>
      <c r="F20" s="515">
        <v>0.854626</v>
      </c>
    </row>
    <row r="21" spans="1:6" s="21" customFormat="1" ht="15.95" customHeight="1" x14ac:dyDescent="0.3">
      <c r="A21" s="293" t="s">
        <v>40</v>
      </c>
      <c r="B21" s="515">
        <v>816.0783467117501</v>
      </c>
      <c r="C21" s="515">
        <v>163.43234087175</v>
      </c>
      <c r="D21" s="515" t="s">
        <v>26</v>
      </c>
      <c r="E21" s="515">
        <v>646.77482819000011</v>
      </c>
      <c r="F21" s="515">
        <v>5.6644091699999999</v>
      </c>
    </row>
    <row r="22" spans="1:6" s="21" customFormat="1" ht="15.95" customHeight="1" x14ac:dyDescent="0.3">
      <c r="A22" s="293" t="s">
        <v>41</v>
      </c>
      <c r="B22" s="515">
        <v>335.17768351000001</v>
      </c>
      <c r="C22" s="515">
        <v>329.28186432000001</v>
      </c>
      <c r="D22" s="515" t="s">
        <v>26</v>
      </c>
      <c r="E22" s="515">
        <v>5.1269660300000002</v>
      </c>
      <c r="F22" s="515">
        <v>0.74115323999999994</v>
      </c>
    </row>
    <row r="23" spans="1:6" s="21" customFormat="1" ht="15.95" customHeight="1" x14ac:dyDescent="0.3">
      <c r="A23" s="293" t="s">
        <v>42</v>
      </c>
      <c r="B23" s="515">
        <v>831.01078612000015</v>
      </c>
      <c r="C23" s="515">
        <v>813.15626983000016</v>
      </c>
      <c r="D23" s="515">
        <v>7.5686400000000003</v>
      </c>
      <c r="E23" s="515">
        <v>8.6404612200000006</v>
      </c>
      <c r="F23" s="515">
        <v>1.6454150700000001</v>
      </c>
    </row>
    <row r="24" spans="1:6" s="21" customFormat="1" ht="15.95" customHeight="1" x14ac:dyDescent="0.3">
      <c r="A24" s="293" t="s">
        <v>43</v>
      </c>
      <c r="B24" s="515">
        <v>485.19103555162394</v>
      </c>
      <c r="C24" s="515">
        <v>461.10375985162392</v>
      </c>
      <c r="D24" s="515">
        <v>7.0766912599999996</v>
      </c>
      <c r="E24" s="515">
        <v>16.86811981</v>
      </c>
      <c r="F24" s="515" t="s">
        <v>26</v>
      </c>
    </row>
    <row r="25" spans="1:6" s="21" customFormat="1" ht="15.95" customHeight="1" x14ac:dyDescent="0.3">
      <c r="A25" s="293" t="s">
        <v>44</v>
      </c>
      <c r="B25" s="515">
        <v>108.97081713748334</v>
      </c>
      <c r="C25" s="515">
        <v>107.00765996748333</v>
      </c>
      <c r="D25" s="515" t="s">
        <v>26</v>
      </c>
      <c r="E25" s="515">
        <v>1.798619</v>
      </c>
      <c r="F25" s="515" t="s">
        <v>26</v>
      </c>
    </row>
    <row r="26" spans="1:6" s="21" customFormat="1" ht="15.95" customHeight="1" x14ac:dyDescent="0.3">
      <c r="A26" s="293" t="s">
        <v>45</v>
      </c>
      <c r="B26" s="515">
        <v>96.062479339999967</v>
      </c>
      <c r="C26" s="515">
        <v>63.938913039999967</v>
      </c>
      <c r="D26" s="515" t="s">
        <v>26</v>
      </c>
      <c r="E26" s="515">
        <v>30.745985780000002</v>
      </c>
      <c r="F26" s="515">
        <v>1.26953201</v>
      </c>
    </row>
    <row r="27" spans="1:6" s="21" customFormat="1" ht="15.95" customHeight="1" x14ac:dyDescent="0.3">
      <c r="A27" s="293" t="s">
        <v>46</v>
      </c>
      <c r="B27" s="515">
        <v>573.67227859999991</v>
      </c>
      <c r="C27" s="515">
        <v>560.33791344999986</v>
      </c>
      <c r="D27" s="515" t="s">
        <v>26</v>
      </c>
      <c r="E27" s="515">
        <v>13.038759170000001</v>
      </c>
      <c r="F27" s="515" t="s">
        <v>26</v>
      </c>
    </row>
    <row r="28" spans="1:6" s="21" customFormat="1" ht="15.95" customHeight="1" x14ac:dyDescent="0.3">
      <c r="A28" s="293" t="s">
        <v>299</v>
      </c>
      <c r="B28" s="515">
        <v>65.539273780000002</v>
      </c>
      <c r="C28" s="515">
        <v>63.176040000000008</v>
      </c>
      <c r="D28" s="515" t="s">
        <v>26</v>
      </c>
      <c r="E28" s="515">
        <v>2.3632337799999998</v>
      </c>
      <c r="F28" s="515" t="s">
        <v>26</v>
      </c>
    </row>
    <row r="29" spans="1:6" s="21" customFormat="1" ht="15.95" customHeight="1" x14ac:dyDescent="0.3">
      <c r="A29" s="293" t="s">
        <v>47</v>
      </c>
      <c r="B29" s="515">
        <v>683.12105951145975</v>
      </c>
      <c r="C29" s="515">
        <v>674.70444725145978</v>
      </c>
      <c r="D29" s="515">
        <v>5.2020499999999998</v>
      </c>
      <c r="E29" s="515">
        <v>3.2139822599999999</v>
      </c>
      <c r="F29" s="515" t="s">
        <v>26</v>
      </c>
    </row>
    <row r="30" spans="1:6" s="21" customFormat="1" ht="15.95" customHeight="1" x14ac:dyDescent="0.3">
      <c r="A30" s="293" t="s">
        <v>48</v>
      </c>
      <c r="B30" s="515">
        <v>652.5042926320001</v>
      </c>
      <c r="C30" s="515">
        <v>647.61874380200004</v>
      </c>
      <c r="D30" s="515">
        <v>1.7123328</v>
      </c>
      <c r="E30" s="515">
        <v>3.16857415</v>
      </c>
      <c r="F30" s="515" t="s">
        <v>26</v>
      </c>
    </row>
    <row r="31" spans="1:6" s="21" customFormat="1" ht="15.95" customHeight="1" x14ac:dyDescent="0.3">
      <c r="A31" s="293" t="s">
        <v>49</v>
      </c>
      <c r="B31" s="515">
        <v>808.93447459805657</v>
      </c>
      <c r="C31" s="515">
        <v>800.15033751805652</v>
      </c>
      <c r="D31" s="515" t="s">
        <v>26</v>
      </c>
      <c r="E31" s="515">
        <v>8.00543212</v>
      </c>
      <c r="F31" s="515">
        <v>0.71038495999999995</v>
      </c>
    </row>
    <row r="32" spans="1:6" s="21" customFormat="1" ht="15.95" customHeight="1" x14ac:dyDescent="0.3">
      <c r="A32" s="293" t="s">
        <v>50</v>
      </c>
      <c r="B32" s="515">
        <v>145.45521883600003</v>
      </c>
      <c r="C32" s="515">
        <v>145.25929313600003</v>
      </c>
      <c r="D32" s="515" t="s">
        <v>26</v>
      </c>
      <c r="E32" s="515" t="s">
        <v>26</v>
      </c>
      <c r="F32" s="515" t="s">
        <v>26</v>
      </c>
    </row>
    <row r="33" spans="1:6" s="21" customFormat="1" ht="15.95" customHeight="1" x14ac:dyDescent="0.3">
      <c r="A33" s="293" t="s">
        <v>51</v>
      </c>
      <c r="B33" s="515">
        <v>1049.78285433</v>
      </c>
      <c r="C33" s="515">
        <v>978.81227440999999</v>
      </c>
      <c r="D33" s="515">
        <v>12.880324</v>
      </c>
      <c r="E33" s="515">
        <v>57.933522759999995</v>
      </c>
      <c r="F33" s="515" t="s">
        <v>26</v>
      </c>
    </row>
    <row r="34" spans="1:6" s="21" customFormat="1" ht="15.95" customHeight="1" x14ac:dyDescent="0.3">
      <c r="A34" s="293" t="s">
        <v>52</v>
      </c>
      <c r="B34" s="515">
        <v>87.310353349999986</v>
      </c>
      <c r="C34" s="515">
        <v>86.806574999999981</v>
      </c>
      <c r="D34" s="515" t="s">
        <v>26</v>
      </c>
      <c r="E34" s="515">
        <v>0.50377834999999993</v>
      </c>
      <c r="F34" s="515" t="s">
        <v>26</v>
      </c>
    </row>
    <row r="35" spans="1:6" s="21" customFormat="1" ht="15.95" customHeight="1" x14ac:dyDescent="0.3">
      <c r="A35" s="293" t="s">
        <v>53</v>
      </c>
      <c r="B35" s="515">
        <v>519.96100373999991</v>
      </c>
      <c r="C35" s="515">
        <v>501.64207569999996</v>
      </c>
      <c r="D35" s="515" t="s">
        <v>26</v>
      </c>
      <c r="E35" s="515">
        <v>18.318928039999999</v>
      </c>
      <c r="F35" s="515" t="s">
        <v>26</v>
      </c>
    </row>
    <row r="36" spans="1:6" s="21" customFormat="1" ht="15.95" customHeight="1" x14ac:dyDescent="0.3">
      <c r="A36" s="296" t="s">
        <v>54</v>
      </c>
      <c r="B36" s="515">
        <v>215.89669377999999</v>
      </c>
      <c r="C36" s="515">
        <v>212.5006013</v>
      </c>
      <c r="D36" s="515" t="s">
        <v>26</v>
      </c>
      <c r="E36" s="515">
        <v>3.3960924800000001</v>
      </c>
      <c r="F36" s="515" t="s">
        <v>26</v>
      </c>
    </row>
    <row r="37" spans="1:6" s="21" customFormat="1" ht="15.95" customHeight="1" x14ac:dyDescent="0.3">
      <c r="A37" s="293" t="s">
        <v>55</v>
      </c>
      <c r="B37" s="515">
        <v>751.30851558000006</v>
      </c>
      <c r="C37" s="515">
        <v>744.15384190000009</v>
      </c>
      <c r="D37" s="515" t="s">
        <v>26</v>
      </c>
      <c r="E37" s="515">
        <v>7.1273122199999994</v>
      </c>
      <c r="F37" s="515" t="s">
        <v>26</v>
      </c>
    </row>
    <row r="38" spans="1:6" s="21" customFormat="1" ht="15.95" customHeight="1" x14ac:dyDescent="0.3">
      <c r="A38" s="293" t="s">
        <v>56</v>
      </c>
      <c r="B38" s="515">
        <v>664.96181625999986</v>
      </c>
      <c r="C38" s="515">
        <v>619.46136548999993</v>
      </c>
      <c r="D38" s="515">
        <v>3.1986722699999999</v>
      </c>
      <c r="E38" s="515">
        <v>42.301778499999998</v>
      </c>
      <c r="F38" s="515" t="s">
        <v>26</v>
      </c>
    </row>
    <row r="39" spans="1:6" s="21" customFormat="1" ht="15.95" customHeight="1" x14ac:dyDescent="0.3">
      <c r="A39" s="293" t="s">
        <v>57</v>
      </c>
      <c r="B39" s="515">
        <v>157.34826876</v>
      </c>
      <c r="C39" s="515">
        <v>142.91</v>
      </c>
      <c r="D39" s="515" t="s">
        <v>26</v>
      </c>
      <c r="E39" s="515">
        <v>14.128220000000001</v>
      </c>
      <c r="F39" s="515" t="s">
        <v>26</v>
      </c>
    </row>
    <row r="40" spans="1:6" s="21" customFormat="1" ht="15.95" customHeight="1" x14ac:dyDescent="0.3">
      <c r="A40" s="527" t="s">
        <v>10</v>
      </c>
      <c r="B40" s="513">
        <v>4752.0115101989841</v>
      </c>
      <c r="C40" s="513">
        <v>3986.4562610389839</v>
      </c>
      <c r="D40" s="513">
        <v>12.191128689999999</v>
      </c>
      <c r="E40" s="513">
        <v>646.50918964999994</v>
      </c>
      <c r="F40" s="513">
        <v>106.85493082000001</v>
      </c>
    </row>
    <row r="41" spans="1:6" s="70" customFormat="1" ht="15.95" customHeight="1" x14ac:dyDescent="0.3">
      <c r="A41" s="293" t="s">
        <v>60</v>
      </c>
      <c r="B41" s="515">
        <v>90.405710830399997</v>
      </c>
      <c r="C41" s="515">
        <v>63.838469320400002</v>
      </c>
      <c r="D41" s="515" t="s">
        <v>26</v>
      </c>
      <c r="E41" s="515">
        <v>26.504537429999999</v>
      </c>
      <c r="F41" s="515" t="s">
        <v>26</v>
      </c>
    </row>
    <row r="42" spans="1:6" s="21" customFormat="1" ht="15.95" customHeight="1" x14ac:dyDescent="0.3">
      <c r="A42" s="293" t="s">
        <v>61</v>
      </c>
      <c r="B42" s="515">
        <v>73.559573250000028</v>
      </c>
      <c r="C42" s="515">
        <v>66.783243000000013</v>
      </c>
      <c r="D42" s="515" t="s">
        <v>26</v>
      </c>
      <c r="E42" s="515">
        <v>6.7622338200000005</v>
      </c>
      <c r="F42" s="515" t="s">
        <v>26</v>
      </c>
    </row>
    <row r="43" spans="1:6" s="21" customFormat="1" ht="15.95" customHeight="1" x14ac:dyDescent="0.3">
      <c r="A43" s="293" t="s">
        <v>301</v>
      </c>
      <c r="B43" s="515">
        <v>374.69386804734785</v>
      </c>
      <c r="C43" s="515">
        <v>358.53476820734784</v>
      </c>
      <c r="D43" s="515" t="s">
        <v>26</v>
      </c>
      <c r="E43" s="515">
        <v>16.148062240000002</v>
      </c>
      <c r="F43" s="515" t="s">
        <v>26</v>
      </c>
    </row>
    <row r="44" spans="1:6" s="21" customFormat="1" ht="15.95" customHeight="1" x14ac:dyDescent="0.3">
      <c r="A44" s="293" t="s">
        <v>62</v>
      </c>
      <c r="B44" s="515">
        <v>200.82574954199998</v>
      </c>
      <c r="C44" s="515">
        <v>179.88377992199997</v>
      </c>
      <c r="D44" s="515" t="s">
        <v>26</v>
      </c>
      <c r="E44" s="515">
        <v>19.131594679999999</v>
      </c>
      <c r="F44" s="515">
        <v>1.81037494</v>
      </c>
    </row>
    <row r="45" spans="1:6" s="21" customFormat="1" ht="15.95" customHeight="1" x14ac:dyDescent="0.3">
      <c r="A45" s="293" t="s">
        <v>308</v>
      </c>
      <c r="B45" s="515">
        <v>74.425771092000005</v>
      </c>
      <c r="C45" s="515">
        <v>68.501800291999999</v>
      </c>
      <c r="D45" s="515" t="s">
        <v>26</v>
      </c>
      <c r="E45" s="515">
        <v>5.9239708000000002</v>
      </c>
      <c r="F45" s="515" t="s">
        <v>26</v>
      </c>
    </row>
    <row r="46" spans="1:6" s="21" customFormat="1" ht="15.95" customHeight="1" x14ac:dyDescent="0.3">
      <c r="A46" s="293" t="s">
        <v>63</v>
      </c>
      <c r="B46" s="515">
        <v>231.09021854599982</v>
      </c>
      <c r="C46" s="515">
        <v>206.79971661599984</v>
      </c>
      <c r="D46" s="515" t="s">
        <v>26</v>
      </c>
      <c r="E46" s="515">
        <v>22.922683420000002</v>
      </c>
      <c r="F46" s="515">
        <v>1.16873359</v>
      </c>
    </row>
    <row r="47" spans="1:6" s="21" customFormat="1" ht="15.95" customHeight="1" x14ac:dyDescent="0.3">
      <c r="A47" s="293" t="s">
        <v>64</v>
      </c>
      <c r="B47" s="515">
        <v>127.14935144819999</v>
      </c>
      <c r="C47" s="515">
        <v>119.46437247819999</v>
      </c>
      <c r="D47" s="515" t="s">
        <v>26</v>
      </c>
      <c r="E47" s="515">
        <v>7.4770245199999996</v>
      </c>
      <c r="F47" s="515" t="s">
        <v>26</v>
      </c>
    </row>
    <row r="48" spans="1:6" s="21" customFormat="1" ht="15.95" customHeight="1" x14ac:dyDescent="0.3">
      <c r="A48" s="293" t="s">
        <v>65</v>
      </c>
      <c r="B48" s="515">
        <v>72.352546336682749</v>
      </c>
      <c r="C48" s="515">
        <v>55.129881016682745</v>
      </c>
      <c r="D48" s="515" t="s">
        <v>26</v>
      </c>
      <c r="E48" s="515">
        <v>12.37407473</v>
      </c>
      <c r="F48" s="515">
        <v>4.7816575099999996</v>
      </c>
    </row>
    <row r="49" spans="1:6" s="21" customFormat="1" ht="15.95" customHeight="1" x14ac:dyDescent="0.3">
      <c r="A49" s="293" t="s">
        <v>303</v>
      </c>
      <c r="B49" s="515">
        <v>36.947343314400001</v>
      </c>
      <c r="C49" s="515">
        <v>27.9151763944</v>
      </c>
      <c r="D49" s="515" t="s">
        <v>26</v>
      </c>
      <c r="E49" s="515">
        <v>8.9837420999999988</v>
      </c>
      <c r="F49" s="515" t="s">
        <v>26</v>
      </c>
    </row>
    <row r="50" spans="1:6" s="21" customFormat="1" ht="15.95" customHeight="1" x14ac:dyDescent="0.3">
      <c r="A50" s="293" t="s">
        <v>66</v>
      </c>
      <c r="B50" s="515">
        <v>171.31731889999998</v>
      </c>
      <c r="C50" s="515">
        <v>152.42241459999997</v>
      </c>
      <c r="D50" s="515" t="s">
        <v>26</v>
      </c>
      <c r="E50" s="515">
        <v>2.1020463399999998</v>
      </c>
      <c r="F50" s="515">
        <v>16.662802450000001</v>
      </c>
    </row>
    <row r="51" spans="1:6" s="21" customFormat="1" ht="15.95" customHeight="1" x14ac:dyDescent="0.3">
      <c r="A51" s="293" t="s">
        <v>304</v>
      </c>
      <c r="B51" s="515">
        <v>48.65936018</v>
      </c>
      <c r="C51" s="515">
        <v>42.26474296</v>
      </c>
      <c r="D51" s="515">
        <v>1.4689023999999999</v>
      </c>
      <c r="E51" s="515">
        <v>4.7255770799999999</v>
      </c>
      <c r="F51" s="515" t="s">
        <v>26</v>
      </c>
    </row>
    <row r="52" spans="1:6" s="21" customFormat="1" ht="15.95" customHeight="1" x14ac:dyDescent="0.3">
      <c r="A52" s="293" t="s">
        <v>67</v>
      </c>
      <c r="B52" s="515">
        <v>85.084464620000006</v>
      </c>
      <c r="C52" s="515" t="s">
        <v>26</v>
      </c>
      <c r="D52" s="515">
        <v>1.42756857</v>
      </c>
      <c r="E52" s="515">
        <v>83.65689605</v>
      </c>
      <c r="F52" s="515" t="s">
        <v>26</v>
      </c>
    </row>
    <row r="53" spans="1:6" s="21" customFormat="1" ht="15.95" customHeight="1" x14ac:dyDescent="0.3">
      <c r="A53" s="293" t="s">
        <v>305</v>
      </c>
      <c r="B53" s="515">
        <v>1.3578538500000001</v>
      </c>
      <c r="C53" s="515" t="s">
        <v>26</v>
      </c>
      <c r="D53" s="515">
        <v>0.85641319999999999</v>
      </c>
      <c r="E53" s="515">
        <v>0.50144065000000004</v>
      </c>
      <c r="F53" s="515" t="s">
        <v>26</v>
      </c>
    </row>
    <row r="54" spans="1:6" s="21" customFormat="1" ht="15.95" customHeight="1" x14ac:dyDescent="0.3">
      <c r="A54" s="293" t="s">
        <v>68</v>
      </c>
      <c r="B54" s="515">
        <v>185.86376574800005</v>
      </c>
      <c r="C54" s="515">
        <v>167.31476289800005</v>
      </c>
      <c r="D54" s="515">
        <v>0.58119799999999999</v>
      </c>
      <c r="E54" s="515">
        <v>17.96780485</v>
      </c>
      <c r="F54" s="515" t="s">
        <v>26</v>
      </c>
    </row>
    <row r="55" spans="1:6" s="21" customFormat="1" ht="15.95" customHeight="1" x14ac:dyDescent="0.3">
      <c r="A55" s="293" t="s">
        <v>69</v>
      </c>
      <c r="B55" s="515">
        <v>117.24313999</v>
      </c>
      <c r="C55" s="515">
        <v>90.597705730000001</v>
      </c>
      <c r="D55" s="515">
        <v>0.72450068000000001</v>
      </c>
      <c r="E55" s="515">
        <v>25.92093358</v>
      </c>
      <c r="F55" s="515" t="s">
        <v>26</v>
      </c>
    </row>
    <row r="56" spans="1:6" s="21" customFormat="1" ht="15.95" customHeight="1" x14ac:dyDescent="0.3">
      <c r="A56" s="293" t="s">
        <v>70</v>
      </c>
      <c r="B56" s="515">
        <v>636.89907337067802</v>
      </c>
      <c r="C56" s="515">
        <v>626.11771094067808</v>
      </c>
      <c r="D56" s="515" t="s">
        <v>26</v>
      </c>
      <c r="E56" s="515">
        <v>10.767387429999999</v>
      </c>
      <c r="F56" s="515" t="s">
        <v>26</v>
      </c>
    </row>
    <row r="57" spans="1:6" s="21" customFormat="1" ht="15.95" customHeight="1" x14ac:dyDescent="0.3">
      <c r="A57" s="297" t="s">
        <v>71</v>
      </c>
      <c r="B57" s="522">
        <v>16.939360619999999</v>
      </c>
      <c r="C57" s="522">
        <v>9.4066458700000002</v>
      </c>
      <c r="D57" s="522" t="s">
        <v>26</v>
      </c>
      <c r="E57" s="522">
        <v>7.4260642300000006</v>
      </c>
      <c r="F57" s="522" t="s">
        <v>26</v>
      </c>
    </row>
    <row r="58" spans="1:6" s="239" customFormat="1" ht="12" customHeight="1" x14ac:dyDescent="0.25">
      <c r="A58" s="129"/>
      <c r="B58" s="137"/>
      <c r="C58" s="159"/>
      <c r="D58" s="159"/>
      <c r="E58" s="159"/>
      <c r="F58" s="160" t="s">
        <v>58</v>
      </c>
    </row>
    <row r="59" spans="1:6" s="21" customFormat="1" ht="12.75" customHeight="1" x14ac:dyDescent="0.3">
      <c r="A59" s="239"/>
      <c r="B59" s="239"/>
      <c r="C59" s="239"/>
      <c r="D59" s="239"/>
      <c r="E59" s="239"/>
      <c r="F59" s="239"/>
    </row>
    <row r="60" spans="1:6" s="39" customFormat="1" ht="14.1" customHeight="1" x14ac:dyDescent="0.3">
      <c r="A60" s="696" t="s">
        <v>430</v>
      </c>
      <c r="B60" s="696"/>
      <c r="C60" s="696"/>
      <c r="D60" s="696"/>
      <c r="E60" s="696"/>
      <c r="F60" s="696"/>
    </row>
    <row r="61" spans="1:6" s="21" customFormat="1" ht="14.1" customHeight="1" x14ac:dyDescent="0.3">
      <c r="A61" s="697" t="s">
        <v>297</v>
      </c>
      <c r="B61" s="697"/>
      <c r="C61" s="697"/>
      <c r="D61" s="697"/>
      <c r="E61" s="697"/>
      <c r="F61" s="697"/>
    </row>
    <row r="62" spans="1:6" s="162" customFormat="1" ht="12" customHeight="1" x14ac:dyDescent="0.25">
      <c r="F62" s="161" t="s">
        <v>59</v>
      </c>
    </row>
    <row r="63" spans="1:6" s="70" customFormat="1" ht="35.25" customHeight="1" x14ac:dyDescent="0.3">
      <c r="A63" s="286" t="s">
        <v>298</v>
      </c>
      <c r="B63" s="520" t="s">
        <v>3</v>
      </c>
      <c r="C63" s="520" t="s">
        <v>17</v>
      </c>
      <c r="D63" s="520" t="s">
        <v>19</v>
      </c>
      <c r="E63" s="520" t="s">
        <v>16</v>
      </c>
      <c r="F63" s="520" t="s">
        <v>18</v>
      </c>
    </row>
    <row r="64" spans="1:6" s="21" customFormat="1" ht="15.95" customHeight="1" x14ac:dyDescent="0.3">
      <c r="A64" s="293" t="s">
        <v>72</v>
      </c>
      <c r="B64" s="515">
        <v>185.21059679077487</v>
      </c>
      <c r="C64" s="515">
        <v>147.78409379077488</v>
      </c>
      <c r="D64" s="515" t="s">
        <v>26</v>
      </c>
      <c r="E64" s="515">
        <v>30.241474</v>
      </c>
      <c r="F64" s="515">
        <v>7.1356045999999997</v>
      </c>
    </row>
    <row r="65" spans="1:6" s="21" customFormat="1" ht="15.95" customHeight="1" x14ac:dyDescent="0.3">
      <c r="A65" s="293" t="s">
        <v>89</v>
      </c>
      <c r="B65" s="515">
        <v>4.3982093100000004</v>
      </c>
      <c r="C65" s="515">
        <v>4.3982093100000004</v>
      </c>
      <c r="D65" s="515" t="s">
        <v>26</v>
      </c>
      <c r="E65" s="515" t="s">
        <v>26</v>
      </c>
      <c r="F65" s="515" t="s">
        <v>26</v>
      </c>
    </row>
    <row r="66" spans="1:6" s="21" customFormat="1" ht="15.95" customHeight="1" x14ac:dyDescent="0.3">
      <c r="A66" s="293" t="s">
        <v>73</v>
      </c>
      <c r="B66" s="515">
        <v>21.578176039999999</v>
      </c>
      <c r="C66" s="515">
        <v>10.383564</v>
      </c>
      <c r="D66" s="515">
        <v>1.61800744</v>
      </c>
      <c r="E66" s="515">
        <v>9.5766045999999996</v>
      </c>
      <c r="F66" s="515" t="s">
        <v>26</v>
      </c>
    </row>
    <row r="67" spans="1:6" s="21" customFormat="1" ht="15.95" customHeight="1" x14ac:dyDescent="0.3">
      <c r="A67" s="293" t="s">
        <v>74</v>
      </c>
      <c r="B67" s="515">
        <v>27.459717550000001</v>
      </c>
      <c r="C67" s="515" t="s">
        <v>26</v>
      </c>
      <c r="D67" s="515">
        <v>2.5240502</v>
      </c>
      <c r="E67" s="515">
        <v>23.425749789999998</v>
      </c>
      <c r="F67" s="515">
        <v>1.36267056</v>
      </c>
    </row>
    <row r="68" spans="1:6" s="21" customFormat="1" ht="15.95" customHeight="1" x14ac:dyDescent="0.3">
      <c r="A68" s="293" t="s">
        <v>75</v>
      </c>
      <c r="B68" s="515">
        <v>3.0173409500000004</v>
      </c>
      <c r="C68" s="515" t="s">
        <v>26</v>
      </c>
      <c r="D68" s="515" t="s">
        <v>26</v>
      </c>
      <c r="E68" s="515">
        <v>3.0173409500000004</v>
      </c>
      <c r="F68" s="515" t="s">
        <v>26</v>
      </c>
    </row>
    <row r="69" spans="1:6" s="21" customFormat="1" ht="15.95" customHeight="1" x14ac:dyDescent="0.3">
      <c r="A69" s="293" t="s">
        <v>76</v>
      </c>
      <c r="B69" s="515">
        <v>51.395762759999997</v>
      </c>
      <c r="C69" s="515">
        <v>5.3819218300000005</v>
      </c>
      <c r="D69" s="515" t="s">
        <v>26</v>
      </c>
      <c r="E69" s="515">
        <v>18.84940065</v>
      </c>
      <c r="F69" s="515">
        <v>27.077062699999999</v>
      </c>
    </row>
    <row r="70" spans="1:6" s="21" customFormat="1" ht="15.95" customHeight="1" x14ac:dyDescent="0.3">
      <c r="A70" s="293" t="s">
        <v>77</v>
      </c>
      <c r="B70" s="515">
        <v>704.18401322111117</v>
      </c>
      <c r="C70" s="515">
        <v>562.85256612111118</v>
      </c>
      <c r="D70" s="515">
        <v>1.1084926000000002</v>
      </c>
      <c r="E70" s="515">
        <v>120.30221974</v>
      </c>
      <c r="F70" s="515">
        <v>19.920734760000002</v>
      </c>
    </row>
    <row r="71" spans="1:6" s="21" customFormat="1" ht="15.95" customHeight="1" x14ac:dyDescent="0.3">
      <c r="A71" s="293" t="s">
        <v>151</v>
      </c>
      <c r="B71" s="515">
        <v>199.15604374714283</v>
      </c>
      <c r="C71" s="515">
        <v>174.70142670714284</v>
      </c>
      <c r="D71" s="515">
        <v>0.74273730000000004</v>
      </c>
      <c r="E71" s="515">
        <v>17.19651138</v>
      </c>
      <c r="F71" s="515">
        <v>6.5153683600000001</v>
      </c>
    </row>
    <row r="72" spans="1:6" s="21" customFormat="1" ht="15.95" customHeight="1" x14ac:dyDescent="0.3">
      <c r="A72" s="293" t="s">
        <v>110</v>
      </c>
      <c r="B72" s="515">
        <v>402.54564399008223</v>
      </c>
      <c r="C72" s="515">
        <v>369.85186826008226</v>
      </c>
      <c r="D72" s="515" t="s">
        <v>26</v>
      </c>
      <c r="E72" s="515">
        <v>32.680406529999999</v>
      </c>
      <c r="F72" s="515" t="s">
        <v>26</v>
      </c>
    </row>
    <row r="73" spans="1:6" s="21" customFormat="1" ht="15.95" customHeight="1" x14ac:dyDescent="0.3">
      <c r="A73" s="293" t="s">
        <v>306</v>
      </c>
      <c r="B73" s="515">
        <v>146.32060509999997</v>
      </c>
      <c r="C73" s="515">
        <v>121.27933879999999</v>
      </c>
      <c r="D73" s="515" t="s">
        <v>26</v>
      </c>
      <c r="E73" s="515">
        <v>24.153580340000001</v>
      </c>
      <c r="F73" s="515">
        <v>0.83312799999999998</v>
      </c>
    </row>
    <row r="74" spans="1:6" s="21" customFormat="1" ht="15.95" customHeight="1" x14ac:dyDescent="0.3">
      <c r="A74" s="293" t="s">
        <v>78</v>
      </c>
      <c r="B74" s="515">
        <v>80.513572639000003</v>
      </c>
      <c r="C74" s="515">
        <v>62.285141229000004</v>
      </c>
      <c r="D74" s="515" t="s">
        <v>26</v>
      </c>
      <c r="E74" s="515">
        <v>17.186270589999999</v>
      </c>
      <c r="F74" s="515">
        <v>1.0421608199999999</v>
      </c>
    </row>
    <row r="75" spans="1:6" s="21" customFormat="1" ht="15.95" customHeight="1" x14ac:dyDescent="0.3">
      <c r="A75" s="293" t="s">
        <v>79</v>
      </c>
      <c r="B75" s="515">
        <v>185.69258570940249</v>
      </c>
      <c r="C75" s="515">
        <v>164.10365477940252</v>
      </c>
      <c r="D75" s="515" t="s">
        <v>26</v>
      </c>
      <c r="E75" s="515">
        <v>6.8856839499999998</v>
      </c>
      <c r="F75" s="515">
        <v>14.703246980000001</v>
      </c>
    </row>
    <row r="76" spans="1:6" s="21" customFormat="1" ht="15.95" customHeight="1" x14ac:dyDescent="0.3">
      <c r="A76" s="293" t="s">
        <v>80</v>
      </c>
      <c r="B76" s="515">
        <v>14.668936629999999</v>
      </c>
      <c r="C76" s="515">
        <v>3.7769070899999999</v>
      </c>
      <c r="D76" s="515" t="s">
        <v>26</v>
      </c>
      <c r="E76" s="515">
        <v>10.836172039999999</v>
      </c>
      <c r="F76" s="515" t="s">
        <v>26</v>
      </c>
    </row>
    <row r="77" spans="1:6" s="21" customFormat="1" ht="15.95" customHeight="1" x14ac:dyDescent="0.3">
      <c r="A77" s="293" t="s">
        <v>81</v>
      </c>
      <c r="B77" s="515">
        <v>40.283214329921812</v>
      </c>
      <c r="C77" s="515">
        <v>8.3502199099218064</v>
      </c>
      <c r="D77" s="515" t="s">
        <v>26</v>
      </c>
      <c r="E77" s="515">
        <v>31.602279280000001</v>
      </c>
      <c r="F77" s="515" t="s">
        <v>26</v>
      </c>
    </row>
    <row r="78" spans="1:6" s="21" customFormat="1" ht="15.95" customHeight="1" x14ac:dyDescent="0.3">
      <c r="A78" s="293" t="s">
        <v>307</v>
      </c>
      <c r="B78" s="515">
        <v>102.33672370367249</v>
      </c>
      <c r="C78" s="515">
        <v>94.036464553672488</v>
      </c>
      <c r="D78" s="515" t="s">
        <v>26</v>
      </c>
      <c r="E78" s="515">
        <v>8.2866991500000005</v>
      </c>
      <c r="F78" s="515" t="s">
        <v>26</v>
      </c>
    </row>
    <row r="79" spans="1:6" s="70" customFormat="1" ht="15.95" customHeight="1" x14ac:dyDescent="0.3">
      <c r="A79" s="293" t="s">
        <v>82</v>
      </c>
      <c r="B79" s="515">
        <v>9.1922870500000009</v>
      </c>
      <c r="C79" s="515" t="s">
        <v>26</v>
      </c>
      <c r="D79" s="515" t="s">
        <v>26</v>
      </c>
      <c r="E79" s="515">
        <v>7.99609521</v>
      </c>
      <c r="F79" s="515">
        <v>1.13802234</v>
      </c>
    </row>
    <row r="80" spans="1:6" s="21" customFormat="1" ht="15.95" customHeight="1" x14ac:dyDescent="0.3">
      <c r="A80" s="293" t="s">
        <v>83</v>
      </c>
      <c r="B80" s="515">
        <v>29.243610992168168</v>
      </c>
      <c r="C80" s="515">
        <v>22.132895412168168</v>
      </c>
      <c r="D80" s="515" t="s">
        <v>26</v>
      </c>
      <c r="E80" s="515">
        <v>4.9766275000000002</v>
      </c>
      <c r="F80" s="515">
        <v>2.0620934699999998</v>
      </c>
    </row>
    <row r="81" spans="1:6" s="21" customFormat="1" ht="15.95" customHeight="1" x14ac:dyDescent="0.3">
      <c r="A81" s="306" t="s">
        <v>12</v>
      </c>
      <c r="B81" s="513">
        <v>483.02417969032081</v>
      </c>
      <c r="C81" s="513">
        <v>424.39392320032084</v>
      </c>
      <c r="D81" s="513" t="s">
        <v>26</v>
      </c>
      <c r="E81" s="513">
        <v>51.772562149999999</v>
      </c>
      <c r="F81" s="513">
        <v>6.7425833900000001</v>
      </c>
    </row>
    <row r="82" spans="1:6" s="21" customFormat="1" ht="15.95" customHeight="1" x14ac:dyDescent="0.3">
      <c r="A82" s="293" t="s">
        <v>84</v>
      </c>
      <c r="B82" s="515">
        <v>96.940415026070468</v>
      </c>
      <c r="C82" s="515">
        <v>84.931333026070462</v>
      </c>
      <c r="D82" s="515" t="s">
        <v>26</v>
      </c>
      <c r="E82" s="515">
        <v>7.3813630000000003</v>
      </c>
      <c r="F82" s="515">
        <v>4.5565100000000003</v>
      </c>
    </row>
    <row r="83" spans="1:6" s="21" customFormat="1" ht="15.95" customHeight="1" x14ac:dyDescent="0.3">
      <c r="A83" s="293" t="s">
        <v>85</v>
      </c>
      <c r="B83" s="515">
        <v>54.510498962199982</v>
      </c>
      <c r="C83" s="515">
        <v>48.231393842199978</v>
      </c>
      <c r="D83" s="515" t="s">
        <v>26</v>
      </c>
      <c r="E83" s="515">
        <v>5.2620463300000004</v>
      </c>
      <c r="F83" s="515">
        <v>1.0170587900000001</v>
      </c>
    </row>
    <row r="84" spans="1:6" s="21" customFormat="1" ht="15.95" customHeight="1" x14ac:dyDescent="0.3">
      <c r="A84" s="293" t="s">
        <v>86</v>
      </c>
      <c r="B84" s="515">
        <v>112.56590149899998</v>
      </c>
      <c r="C84" s="515">
        <v>94.860298298999979</v>
      </c>
      <c r="D84" s="515" t="s">
        <v>26</v>
      </c>
      <c r="E84" s="515">
        <v>16.524515600000001</v>
      </c>
      <c r="F84" s="515">
        <v>1.1690146000000001</v>
      </c>
    </row>
    <row r="85" spans="1:6" s="39" customFormat="1" ht="15.95" customHeight="1" x14ac:dyDescent="0.3">
      <c r="A85" s="297" t="s">
        <v>87</v>
      </c>
      <c r="B85" s="522">
        <v>219.0073642030504</v>
      </c>
      <c r="C85" s="522">
        <v>196.37089803305039</v>
      </c>
      <c r="D85" s="522" t="s">
        <v>26</v>
      </c>
      <c r="E85" s="522">
        <v>22.604637219999997</v>
      </c>
      <c r="F85" s="522" t="s">
        <v>26</v>
      </c>
    </row>
    <row r="86" spans="1:6" s="162" customFormat="1" ht="12" customHeight="1" x14ac:dyDescent="0.25">
      <c r="A86" s="218" t="s">
        <v>370</v>
      </c>
      <c r="B86" s="163"/>
      <c r="C86" s="163"/>
      <c r="D86" s="163"/>
      <c r="E86" s="163"/>
      <c r="F86" s="164"/>
    </row>
    <row r="87" spans="1:6" s="162" customFormat="1" ht="12" customHeight="1" x14ac:dyDescent="0.25">
      <c r="A87" s="165" t="s">
        <v>88</v>
      </c>
      <c r="B87" s="166"/>
      <c r="C87" s="166"/>
      <c r="D87" s="166"/>
      <c r="E87" s="166"/>
      <c r="F87" s="166"/>
    </row>
    <row r="88" spans="1:6" s="39" customFormat="1" ht="12.75" customHeight="1" x14ac:dyDescent="0.3">
      <c r="A88" s="162"/>
      <c r="B88" s="166"/>
      <c r="C88" s="166"/>
      <c r="D88" s="166"/>
      <c r="E88" s="166"/>
      <c r="F88" s="166"/>
    </row>
    <row r="89" spans="1:6" s="39" customFormat="1" ht="12.75" customHeight="1" x14ac:dyDescent="0.3">
      <c r="A89" s="696"/>
      <c r="B89" s="696"/>
      <c r="C89" s="696"/>
      <c r="D89" s="696"/>
      <c r="E89" s="696"/>
      <c r="F89" s="696"/>
    </row>
    <row r="90" spans="1:6" s="39" customFormat="1" ht="12.75" customHeight="1" x14ac:dyDescent="0.3">
      <c r="A90" s="697"/>
      <c r="B90" s="697"/>
      <c r="C90" s="697"/>
      <c r="D90" s="697"/>
      <c r="E90" s="697"/>
      <c r="F90" s="697"/>
    </row>
    <row r="91" spans="1:6" s="39" customFormat="1" ht="12.75" customHeight="1" x14ac:dyDescent="0.3">
      <c r="A91" s="162"/>
      <c r="B91" s="162"/>
      <c r="C91" s="162"/>
      <c r="D91" s="162"/>
      <c r="E91" s="162"/>
      <c r="F91" s="161"/>
    </row>
    <row r="92" spans="1:6" s="39" customFormat="1" ht="25.7" customHeight="1" x14ac:dyDescent="0.3">
      <c r="A92" s="240"/>
      <c r="B92" s="161"/>
      <c r="C92" s="161"/>
      <c r="D92" s="161"/>
      <c r="E92" s="161"/>
      <c r="F92" s="161"/>
    </row>
    <row r="93" spans="1:6" s="39" customFormat="1" ht="12.75" customHeight="1" x14ac:dyDescent="0.3">
      <c r="A93" s="43"/>
      <c r="B93" s="71"/>
      <c r="C93" s="71"/>
      <c r="D93" s="71"/>
      <c r="E93" s="71"/>
      <c r="F93" s="71"/>
    </row>
    <row r="94" spans="1:6" s="39" customFormat="1" ht="12.75" customHeight="1" x14ac:dyDescent="0.3">
      <c r="A94" s="43"/>
      <c r="B94" s="71"/>
      <c r="C94" s="71"/>
      <c r="D94" s="71"/>
      <c r="E94" s="71"/>
      <c r="F94" s="71"/>
    </row>
    <row r="95" spans="1:6" s="39" customFormat="1" ht="12.75" customHeight="1" x14ac:dyDescent="0.3">
      <c r="A95" s="43"/>
      <c r="B95" s="71"/>
      <c r="C95" s="71"/>
      <c r="D95" s="71"/>
      <c r="E95" s="71"/>
      <c r="F95" s="71"/>
    </row>
    <row r="96" spans="1:6" s="39" customFormat="1" ht="12.75" customHeight="1" x14ac:dyDescent="0.3">
      <c r="A96" s="43"/>
      <c r="B96" s="71"/>
      <c r="C96" s="71"/>
      <c r="D96" s="71"/>
      <c r="E96" s="71"/>
      <c r="F96" s="71"/>
    </row>
    <row r="97" spans="1:6" s="39" customFormat="1" ht="12.75" customHeight="1" x14ac:dyDescent="0.3">
      <c r="A97" s="43"/>
      <c r="B97" s="71"/>
      <c r="C97" s="71"/>
      <c r="D97" s="71"/>
      <c r="E97" s="71"/>
      <c r="F97" s="71"/>
    </row>
    <row r="98" spans="1:6" s="39" customFormat="1" ht="12.75" customHeight="1" x14ac:dyDescent="0.3">
      <c r="A98" s="43"/>
      <c r="B98" s="71"/>
      <c r="C98" s="71"/>
      <c r="D98" s="71"/>
      <c r="E98" s="71"/>
      <c r="F98" s="71"/>
    </row>
    <row r="99" spans="1:6" s="39" customFormat="1" ht="12.75" customHeight="1" x14ac:dyDescent="0.3">
      <c r="A99" s="43"/>
      <c r="B99" s="71"/>
      <c r="C99" s="71"/>
      <c r="D99" s="71"/>
      <c r="E99" s="71"/>
      <c r="F99" s="71"/>
    </row>
    <row r="100" spans="1:6" s="39" customFormat="1" ht="12.75" customHeight="1" x14ac:dyDescent="0.3">
      <c r="A100" s="43"/>
      <c r="B100" s="71"/>
      <c r="C100" s="71"/>
      <c r="D100" s="71"/>
      <c r="E100" s="71"/>
      <c r="F100" s="71"/>
    </row>
    <row r="101" spans="1:6" s="39" customFormat="1" ht="12.75" customHeight="1" x14ac:dyDescent="0.3">
      <c r="A101" s="43"/>
      <c r="B101" s="71"/>
      <c r="C101" s="71"/>
      <c r="D101" s="71"/>
      <c r="E101" s="71"/>
      <c r="F101" s="71"/>
    </row>
    <row r="102" spans="1:6" s="39" customFormat="1" ht="12.75" customHeight="1" x14ac:dyDescent="0.3">
      <c r="A102" s="43"/>
      <c r="B102" s="71"/>
      <c r="C102" s="71"/>
      <c r="D102" s="71"/>
      <c r="E102" s="71"/>
      <c r="F102" s="71"/>
    </row>
    <row r="103" spans="1:6" s="39" customFormat="1" ht="12.75" customHeight="1" x14ac:dyDescent="0.3">
      <c r="A103" s="43"/>
      <c r="B103" s="71"/>
      <c r="C103" s="71"/>
      <c r="D103" s="71"/>
      <c r="E103" s="71"/>
      <c r="F103" s="71"/>
    </row>
    <row r="104" spans="1:6" s="39" customFormat="1" ht="12.75" customHeight="1" x14ac:dyDescent="0.3">
      <c r="A104" s="43"/>
      <c r="B104" s="71"/>
      <c r="C104" s="71"/>
      <c r="D104" s="71"/>
      <c r="E104" s="71"/>
      <c r="F104" s="71"/>
    </row>
    <row r="105" spans="1:6" s="39" customFormat="1" ht="12.75" customHeight="1" x14ac:dyDescent="0.3">
      <c r="A105" s="43"/>
      <c r="B105" s="71"/>
      <c r="C105" s="71"/>
      <c r="D105" s="71"/>
      <c r="E105" s="71"/>
      <c r="F105" s="71"/>
    </row>
    <row r="106" spans="1:6" s="39" customFormat="1" ht="12.75" customHeight="1" x14ac:dyDescent="0.3">
      <c r="A106" s="43"/>
      <c r="B106" s="71"/>
      <c r="C106" s="71"/>
      <c r="D106" s="71"/>
      <c r="E106" s="71"/>
      <c r="F106" s="71"/>
    </row>
    <row r="107" spans="1:6" s="39" customFormat="1" ht="12.75" customHeight="1" x14ac:dyDescent="0.3">
      <c r="A107" s="43"/>
      <c r="B107" s="71"/>
      <c r="C107" s="71"/>
      <c r="D107" s="71"/>
      <c r="E107" s="71"/>
      <c r="F107" s="71"/>
    </row>
    <row r="108" spans="1:6" s="39" customFormat="1" ht="12.75" customHeight="1" x14ac:dyDescent="0.3">
      <c r="A108" s="43"/>
      <c r="B108" s="71"/>
      <c r="C108" s="71"/>
      <c r="D108" s="71"/>
      <c r="E108" s="71"/>
      <c r="F108" s="71"/>
    </row>
    <row r="109" spans="1:6" s="39" customFormat="1" ht="12.75" customHeight="1" x14ac:dyDescent="0.3">
      <c r="A109" s="43"/>
      <c r="B109" s="71"/>
      <c r="C109" s="71"/>
      <c r="D109" s="71"/>
      <c r="E109" s="71"/>
      <c r="F109" s="71"/>
    </row>
    <row r="110" spans="1:6" s="39" customFormat="1" ht="12.75" customHeight="1" x14ac:dyDescent="0.3">
      <c r="A110" s="43"/>
      <c r="B110" s="71"/>
      <c r="C110" s="71"/>
      <c r="D110" s="71"/>
      <c r="E110" s="71"/>
      <c r="F110" s="71"/>
    </row>
    <row r="111" spans="1:6" s="39" customFormat="1" ht="12.75" customHeight="1" x14ac:dyDescent="0.3">
      <c r="A111" s="43"/>
      <c r="B111" s="71"/>
      <c r="C111" s="71"/>
      <c r="D111" s="71"/>
      <c r="E111" s="71"/>
      <c r="F111" s="71"/>
    </row>
    <row r="112" spans="1:6" s="39" customFormat="1" ht="12.75" customHeight="1" x14ac:dyDescent="0.3">
      <c r="A112" s="43"/>
      <c r="B112" s="71"/>
      <c r="C112" s="71"/>
      <c r="D112" s="71"/>
      <c r="E112" s="71"/>
      <c r="F112" s="71"/>
    </row>
    <row r="113" spans="1:6" s="39" customFormat="1" ht="12.75" customHeight="1" x14ac:dyDescent="0.3">
      <c r="A113" s="43"/>
      <c r="B113" s="71"/>
      <c r="C113" s="71"/>
      <c r="D113" s="71"/>
      <c r="E113" s="71"/>
      <c r="F113" s="71"/>
    </row>
    <row r="114" spans="1:6" s="39" customFormat="1" ht="12.75" customHeight="1" x14ac:dyDescent="0.3">
      <c r="A114" s="43"/>
      <c r="B114" s="71"/>
      <c r="C114" s="71"/>
      <c r="D114" s="71"/>
      <c r="E114" s="71"/>
      <c r="F114" s="71"/>
    </row>
    <row r="115" spans="1:6" s="39" customFormat="1" ht="12.75" customHeight="1" x14ac:dyDescent="0.3">
      <c r="A115" s="43"/>
      <c r="B115" s="71"/>
      <c r="C115" s="71"/>
      <c r="D115" s="71"/>
      <c r="E115" s="71"/>
      <c r="F115" s="71"/>
    </row>
    <row r="116" spans="1:6" s="39" customFormat="1" ht="12.75" customHeight="1" x14ac:dyDescent="0.3">
      <c r="A116" s="43"/>
      <c r="B116" s="71"/>
      <c r="C116" s="71"/>
      <c r="D116" s="71"/>
      <c r="E116" s="71"/>
      <c r="F116" s="71"/>
    </row>
    <row r="117" spans="1:6" s="39" customFormat="1" ht="12.75" customHeight="1" x14ac:dyDescent="0.3">
      <c r="A117" s="43"/>
      <c r="B117" s="71"/>
      <c r="C117" s="71"/>
      <c r="D117" s="71"/>
      <c r="E117" s="71"/>
      <c r="F117" s="71"/>
    </row>
    <row r="118" spans="1:6" s="39" customFormat="1" ht="12.75" customHeight="1" x14ac:dyDescent="0.3">
      <c r="A118" s="43"/>
      <c r="B118" s="71"/>
      <c r="C118" s="71"/>
      <c r="D118" s="71"/>
      <c r="E118" s="71"/>
      <c r="F118" s="71"/>
    </row>
    <row r="119" spans="1:6" s="39" customFormat="1" ht="12.75" customHeight="1" x14ac:dyDescent="0.3">
      <c r="A119" s="43"/>
      <c r="B119" s="71"/>
      <c r="C119" s="71"/>
      <c r="D119" s="71"/>
      <c r="E119" s="71"/>
      <c r="F119" s="71"/>
    </row>
    <row r="120" spans="1:6" s="39" customFormat="1" ht="12.75" customHeight="1" x14ac:dyDescent="0.3">
      <c r="A120" s="43"/>
      <c r="B120" s="71"/>
      <c r="C120" s="71"/>
      <c r="D120" s="71"/>
      <c r="E120" s="71"/>
      <c r="F120" s="71"/>
    </row>
    <row r="121" spans="1:6" s="39" customFormat="1" ht="12.75" customHeight="1" x14ac:dyDescent="0.3">
      <c r="A121" s="43"/>
      <c r="B121" s="71"/>
      <c r="C121" s="71"/>
      <c r="D121" s="71"/>
      <c r="E121" s="71"/>
      <c r="F121" s="71"/>
    </row>
    <row r="122" spans="1:6" s="39" customFormat="1" ht="12.75" customHeight="1" x14ac:dyDescent="0.3">
      <c r="A122" s="43"/>
      <c r="B122" s="71"/>
      <c r="C122" s="71"/>
      <c r="D122" s="71"/>
      <c r="E122" s="71"/>
      <c r="F122" s="71"/>
    </row>
    <row r="123" spans="1:6" s="39" customFormat="1" ht="12.75" customHeight="1" x14ac:dyDescent="0.3">
      <c r="A123" s="43"/>
      <c r="B123" s="71"/>
      <c r="C123" s="71"/>
      <c r="D123" s="71"/>
      <c r="E123" s="71"/>
      <c r="F123" s="71"/>
    </row>
    <row r="124" spans="1:6" s="39" customFormat="1" ht="12.75" customHeight="1" x14ac:dyDescent="0.3">
      <c r="A124" s="43"/>
      <c r="B124" s="71"/>
      <c r="C124" s="71"/>
      <c r="D124" s="71"/>
      <c r="E124" s="71"/>
      <c r="F124" s="71"/>
    </row>
    <row r="125" spans="1:6" s="39" customFormat="1" ht="12.75" customHeight="1" x14ac:dyDescent="0.3">
      <c r="A125" s="43"/>
      <c r="B125" s="71"/>
      <c r="C125" s="71"/>
      <c r="D125" s="71"/>
      <c r="E125" s="71"/>
      <c r="F125" s="71"/>
    </row>
    <row r="126" spans="1:6" s="39" customFormat="1" ht="12.75" customHeight="1" x14ac:dyDescent="0.3">
      <c r="A126" s="43"/>
      <c r="B126" s="71"/>
      <c r="C126" s="71"/>
      <c r="D126" s="71"/>
      <c r="E126" s="71"/>
      <c r="F126" s="71"/>
    </row>
    <row r="127" spans="1:6" s="39" customFormat="1" ht="12.75" customHeight="1" x14ac:dyDescent="0.3">
      <c r="A127" s="43"/>
      <c r="B127" s="71"/>
      <c r="C127" s="71"/>
      <c r="D127" s="71"/>
      <c r="E127" s="71"/>
      <c r="F127" s="71"/>
    </row>
    <row r="128" spans="1:6" s="39" customFormat="1" ht="12.75" customHeight="1" x14ac:dyDescent="0.3">
      <c r="A128" s="43"/>
      <c r="B128" s="71"/>
      <c r="C128" s="71"/>
      <c r="D128" s="71"/>
      <c r="E128" s="71"/>
      <c r="F128" s="71"/>
    </row>
    <row r="129" spans="1:6" s="39" customFormat="1" ht="12.75" customHeight="1" x14ac:dyDescent="0.3">
      <c r="A129" s="43"/>
      <c r="B129" s="71"/>
      <c r="C129" s="71"/>
      <c r="D129" s="71"/>
      <c r="E129" s="71"/>
      <c r="F129" s="71"/>
    </row>
    <row r="130" spans="1:6" s="39" customFormat="1" ht="12.75" customHeight="1" x14ac:dyDescent="0.3">
      <c r="A130" s="43"/>
      <c r="B130" s="71"/>
      <c r="C130" s="71"/>
      <c r="D130" s="71"/>
      <c r="E130" s="71"/>
      <c r="F130" s="71"/>
    </row>
    <row r="131" spans="1:6" s="39" customFormat="1" ht="12.75" customHeight="1" x14ac:dyDescent="0.3">
      <c r="A131" s="43"/>
      <c r="B131" s="71"/>
      <c r="C131" s="71"/>
      <c r="D131" s="71"/>
      <c r="E131" s="71"/>
      <c r="F131" s="71"/>
    </row>
    <row r="132" spans="1:6" s="39" customFormat="1" ht="12.75" customHeight="1" x14ac:dyDescent="0.3">
      <c r="A132" s="43"/>
      <c r="B132" s="71"/>
      <c r="C132" s="71"/>
      <c r="D132" s="71"/>
      <c r="E132" s="71"/>
      <c r="F132" s="71"/>
    </row>
    <row r="133" spans="1:6" s="39" customFormat="1" ht="12.75" customHeight="1" x14ac:dyDescent="0.3">
      <c r="A133" s="43"/>
      <c r="B133" s="71"/>
      <c r="C133" s="71"/>
      <c r="D133" s="71"/>
      <c r="E133" s="71"/>
      <c r="F133" s="71"/>
    </row>
    <row r="134" spans="1:6" s="39" customFormat="1" ht="12.75" customHeight="1" x14ac:dyDescent="0.3">
      <c r="A134" s="43"/>
      <c r="B134" s="71"/>
      <c r="C134" s="71"/>
      <c r="D134" s="71"/>
      <c r="E134" s="71"/>
      <c r="F134" s="71"/>
    </row>
    <row r="135" spans="1:6" s="39" customFormat="1" ht="12.75" customHeight="1" x14ac:dyDescent="0.3">
      <c r="A135" s="43"/>
      <c r="B135" s="71"/>
      <c r="C135" s="71"/>
      <c r="D135" s="71"/>
      <c r="E135" s="71"/>
      <c r="F135" s="71"/>
    </row>
    <row r="136" spans="1:6" s="39" customFormat="1" ht="12.75" customHeight="1" x14ac:dyDescent="0.3">
      <c r="A136" s="43"/>
      <c r="B136" s="71"/>
      <c r="C136" s="71"/>
      <c r="D136" s="71"/>
      <c r="E136" s="71"/>
      <c r="F136" s="71"/>
    </row>
    <row r="137" spans="1:6" s="39" customFormat="1" ht="12.75" customHeight="1" x14ac:dyDescent="0.3">
      <c r="A137" s="43"/>
      <c r="B137" s="71"/>
      <c r="C137" s="71"/>
      <c r="D137" s="71"/>
      <c r="E137" s="71"/>
      <c r="F137" s="71"/>
    </row>
    <row r="138" spans="1:6" s="39" customFormat="1" ht="12.75" customHeight="1" x14ac:dyDescent="0.3">
      <c r="A138" s="43"/>
      <c r="B138" s="71"/>
      <c r="C138" s="71"/>
      <c r="D138" s="71"/>
      <c r="E138" s="71"/>
      <c r="F138" s="71"/>
    </row>
    <row r="139" spans="1:6" s="39" customFormat="1" ht="12.75" customHeight="1" x14ac:dyDescent="0.3">
      <c r="A139" s="43"/>
      <c r="B139" s="71"/>
      <c r="C139" s="71"/>
      <c r="D139" s="71"/>
      <c r="E139" s="71"/>
      <c r="F139" s="71"/>
    </row>
    <row r="140" spans="1:6" s="39" customFormat="1" ht="12.75" customHeight="1" x14ac:dyDescent="0.3">
      <c r="A140" s="43"/>
      <c r="B140" s="71"/>
      <c r="C140" s="71"/>
      <c r="D140" s="71"/>
      <c r="E140" s="71"/>
      <c r="F140" s="71"/>
    </row>
    <row r="141" spans="1:6" s="39" customFormat="1" ht="12.75" customHeight="1" x14ac:dyDescent="0.3">
      <c r="A141" s="43"/>
      <c r="B141" s="71"/>
      <c r="C141" s="71"/>
      <c r="D141" s="71"/>
      <c r="E141" s="71"/>
      <c r="F141" s="71"/>
    </row>
    <row r="142" spans="1:6" s="39" customFormat="1" ht="12.75" customHeight="1" x14ac:dyDescent="0.3">
      <c r="A142" s="43"/>
      <c r="B142" s="71"/>
      <c r="C142" s="71"/>
      <c r="D142" s="71"/>
      <c r="E142" s="71"/>
      <c r="F142" s="71"/>
    </row>
    <row r="143" spans="1:6" s="39" customFormat="1" ht="12.75" customHeight="1" x14ac:dyDescent="0.3">
      <c r="A143" s="43"/>
      <c r="B143" s="71"/>
      <c r="C143" s="71"/>
      <c r="D143" s="71"/>
      <c r="E143" s="71"/>
      <c r="F143" s="71"/>
    </row>
    <row r="144" spans="1:6" s="39" customFormat="1" ht="12.75" customHeight="1" x14ac:dyDescent="0.3">
      <c r="A144" s="43"/>
      <c r="B144" s="71"/>
      <c r="C144" s="71"/>
      <c r="D144" s="71"/>
      <c r="E144" s="71"/>
      <c r="F144" s="71"/>
    </row>
    <row r="145" spans="1:6" s="39" customFormat="1" ht="12.75" customHeight="1" x14ac:dyDescent="0.3">
      <c r="A145" s="43"/>
      <c r="B145" s="71"/>
      <c r="C145" s="71"/>
      <c r="D145" s="71"/>
      <c r="E145" s="71"/>
      <c r="F145" s="71"/>
    </row>
    <row r="146" spans="1:6" s="39" customFormat="1" ht="12.75" customHeight="1" x14ac:dyDescent="0.3">
      <c r="A146" s="43"/>
      <c r="B146" s="71"/>
      <c r="C146" s="71"/>
      <c r="D146" s="71"/>
      <c r="E146" s="71"/>
      <c r="F146" s="71"/>
    </row>
    <row r="147" spans="1:6" s="39" customFormat="1" ht="12.75" customHeight="1" x14ac:dyDescent="0.3">
      <c r="A147" s="43"/>
      <c r="B147" s="71"/>
      <c r="C147" s="71"/>
      <c r="D147" s="71"/>
      <c r="E147" s="71"/>
      <c r="F147" s="71"/>
    </row>
    <row r="148" spans="1:6" s="39" customFormat="1" ht="12.75" customHeight="1" x14ac:dyDescent="0.3">
      <c r="A148" s="43"/>
      <c r="B148" s="71"/>
      <c r="C148" s="71"/>
      <c r="D148" s="71"/>
      <c r="E148" s="71"/>
      <c r="F148" s="71"/>
    </row>
    <row r="149" spans="1:6" s="39" customFormat="1" ht="12.75" customHeight="1" x14ac:dyDescent="0.3">
      <c r="A149" s="43"/>
      <c r="B149" s="71"/>
      <c r="C149" s="71"/>
      <c r="D149" s="71"/>
      <c r="E149" s="71"/>
      <c r="F149" s="71"/>
    </row>
    <row r="150" spans="1:6" s="39" customFormat="1" ht="12.75" customHeight="1" x14ac:dyDescent="0.3">
      <c r="A150" s="43"/>
      <c r="B150" s="71"/>
      <c r="C150" s="71"/>
      <c r="D150" s="71"/>
      <c r="E150" s="71"/>
      <c r="F150" s="71"/>
    </row>
    <row r="151" spans="1:6" s="39" customFormat="1" ht="12.75" customHeight="1" x14ac:dyDescent="0.3">
      <c r="A151" s="43"/>
      <c r="B151" s="71"/>
      <c r="C151" s="71"/>
      <c r="D151" s="71"/>
      <c r="E151" s="71"/>
      <c r="F151" s="71"/>
    </row>
    <row r="152" spans="1:6" s="39" customFormat="1" ht="12.75" customHeight="1" x14ac:dyDescent="0.3">
      <c r="A152" s="43"/>
      <c r="B152" s="71"/>
      <c r="C152" s="71"/>
      <c r="D152" s="71"/>
      <c r="E152" s="71"/>
      <c r="F152" s="71"/>
    </row>
    <row r="153" spans="1:6" s="39" customFormat="1" ht="12.75" customHeight="1" x14ac:dyDescent="0.3">
      <c r="A153" s="43"/>
      <c r="B153" s="71"/>
      <c r="C153" s="71"/>
      <c r="D153" s="71"/>
      <c r="E153" s="71"/>
      <c r="F153" s="71"/>
    </row>
    <row r="154" spans="1:6" s="39" customFormat="1" ht="12.75" customHeight="1" x14ac:dyDescent="0.3">
      <c r="A154" s="43"/>
      <c r="B154" s="71"/>
      <c r="C154" s="71"/>
      <c r="D154" s="71"/>
      <c r="E154" s="71"/>
      <c r="F154" s="71"/>
    </row>
    <row r="155" spans="1:6" s="39" customFormat="1" ht="12.75" customHeight="1" x14ac:dyDescent="0.3">
      <c r="A155" s="43"/>
      <c r="B155" s="71"/>
      <c r="C155" s="71"/>
      <c r="D155" s="71"/>
      <c r="E155" s="71"/>
      <c r="F155" s="71"/>
    </row>
    <row r="156" spans="1:6" s="39" customFormat="1" ht="12.75" customHeight="1" x14ac:dyDescent="0.3">
      <c r="A156" s="43"/>
      <c r="B156" s="71"/>
      <c r="C156" s="71"/>
      <c r="D156" s="71"/>
      <c r="E156" s="71"/>
      <c r="F156" s="71"/>
    </row>
    <row r="157" spans="1:6" s="39" customFormat="1" ht="12.75" customHeight="1" x14ac:dyDescent="0.3">
      <c r="A157" s="43"/>
      <c r="B157" s="71"/>
      <c r="C157" s="71"/>
      <c r="D157" s="71"/>
      <c r="E157" s="71"/>
      <c r="F157" s="71"/>
    </row>
    <row r="158" spans="1:6" s="39" customFormat="1" ht="12.75" customHeight="1" x14ac:dyDescent="0.3">
      <c r="A158" s="43"/>
      <c r="B158" s="71"/>
      <c r="C158" s="71"/>
      <c r="D158" s="71"/>
      <c r="E158" s="71"/>
      <c r="F158" s="71"/>
    </row>
    <row r="159" spans="1:6" s="39" customFormat="1" ht="12.75" customHeight="1" x14ac:dyDescent="0.3">
      <c r="A159" s="43"/>
      <c r="B159" s="71"/>
      <c r="C159" s="71"/>
      <c r="D159" s="71"/>
      <c r="E159" s="71"/>
      <c r="F159" s="71"/>
    </row>
    <row r="160" spans="1:6" s="39" customFormat="1" ht="12.75" customHeight="1" x14ac:dyDescent="0.3">
      <c r="A160" s="43"/>
      <c r="B160" s="71"/>
      <c r="C160" s="71"/>
      <c r="D160" s="71"/>
      <c r="E160" s="71"/>
      <c r="F160" s="71"/>
    </row>
    <row r="161" spans="1:6" s="39" customFormat="1" ht="12.75" customHeight="1" x14ac:dyDescent="0.3">
      <c r="A161" s="43"/>
      <c r="B161" s="71"/>
      <c r="C161" s="71"/>
      <c r="D161" s="71"/>
      <c r="E161" s="71"/>
      <c r="F161" s="71"/>
    </row>
    <row r="162" spans="1:6" s="39" customFormat="1" ht="12.75" customHeight="1" x14ac:dyDescent="0.3">
      <c r="A162" s="43"/>
      <c r="B162" s="71"/>
      <c r="C162" s="71"/>
      <c r="D162" s="71"/>
      <c r="E162" s="71"/>
      <c r="F162" s="71"/>
    </row>
    <row r="163" spans="1:6" s="39" customFormat="1" ht="12.75" customHeight="1" x14ac:dyDescent="0.3">
      <c r="A163" s="43"/>
      <c r="B163" s="71"/>
      <c r="C163" s="71"/>
      <c r="D163" s="71"/>
      <c r="E163" s="71"/>
      <c r="F163" s="71"/>
    </row>
    <row r="164" spans="1:6" s="39" customFormat="1" ht="12.75" customHeight="1" x14ac:dyDescent="0.3">
      <c r="A164" s="43"/>
      <c r="B164" s="71"/>
      <c r="C164" s="71"/>
      <c r="D164" s="71"/>
      <c r="E164" s="71"/>
      <c r="F164" s="71"/>
    </row>
    <row r="165" spans="1:6" s="39" customFormat="1" ht="12.75" customHeight="1" x14ac:dyDescent="0.3">
      <c r="A165" s="43"/>
      <c r="B165" s="71"/>
      <c r="C165" s="71"/>
      <c r="D165" s="71"/>
      <c r="E165" s="71"/>
      <c r="F165" s="71"/>
    </row>
    <row r="166" spans="1:6" s="39" customFormat="1" ht="12.75" customHeight="1" x14ac:dyDescent="0.3">
      <c r="A166" s="43"/>
      <c r="B166" s="71"/>
      <c r="C166" s="71"/>
      <c r="D166" s="71"/>
      <c r="E166" s="71"/>
      <c r="F166" s="71"/>
    </row>
    <row r="167" spans="1:6" s="39" customFormat="1" ht="12.75" customHeight="1" x14ac:dyDescent="0.3">
      <c r="A167" s="43"/>
      <c r="B167" s="71"/>
      <c r="C167" s="71"/>
      <c r="D167" s="71"/>
      <c r="E167" s="71"/>
      <c r="F167" s="71"/>
    </row>
    <row r="168" spans="1:6" s="39" customFormat="1" ht="12.75" customHeight="1" x14ac:dyDescent="0.3">
      <c r="A168" s="43"/>
      <c r="B168" s="71"/>
      <c r="C168" s="71"/>
      <c r="D168" s="71"/>
      <c r="E168" s="71"/>
      <c r="F168" s="71"/>
    </row>
    <row r="169" spans="1:6" s="39" customFormat="1" ht="12.75" customHeight="1" x14ac:dyDescent="0.3">
      <c r="A169" s="43"/>
      <c r="B169" s="71"/>
      <c r="C169" s="71"/>
      <c r="D169" s="71"/>
      <c r="E169" s="71"/>
      <c r="F169" s="71"/>
    </row>
    <row r="170" spans="1:6" s="39" customFormat="1" ht="12.75" customHeight="1" x14ac:dyDescent="0.3">
      <c r="A170" s="43"/>
      <c r="B170" s="71"/>
      <c r="C170" s="71"/>
      <c r="D170" s="71"/>
      <c r="E170" s="71"/>
      <c r="F170" s="71"/>
    </row>
    <row r="171" spans="1:6" s="39" customFormat="1" ht="12.75" customHeight="1" x14ac:dyDescent="0.3">
      <c r="A171" s="43"/>
      <c r="B171" s="71"/>
      <c r="C171" s="71"/>
      <c r="D171" s="71"/>
      <c r="E171" s="71"/>
      <c r="F171" s="71"/>
    </row>
    <row r="172" spans="1:6" s="39" customFormat="1" ht="12.75" customHeight="1" x14ac:dyDescent="0.3">
      <c r="A172" s="43"/>
      <c r="B172" s="71"/>
      <c r="C172" s="71"/>
      <c r="D172" s="71"/>
      <c r="E172" s="71"/>
      <c r="F172" s="71"/>
    </row>
    <row r="173" spans="1:6" s="39" customFormat="1" ht="12.75" customHeight="1" x14ac:dyDescent="0.3">
      <c r="A173" s="43"/>
      <c r="B173" s="71"/>
      <c r="C173" s="71"/>
      <c r="D173" s="71"/>
      <c r="E173" s="71"/>
      <c r="F173" s="71"/>
    </row>
    <row r="174" spans="1:6" s="39" customFormat="1" ht="12.75" customHeight="1" x14ac:dyDescent="0.3">
      <c r="A174" s="43"/>
      <c r="B174" s="71"/>
      <c r="C174" s="71"/>
      <c r="D174" s="71"/>
      <c r="E174" s="71"/>
      <c r="F174" s="71"/>
    </row>
    <row r="175" spans="1:6" s="39" customFormat="1" ht="12.75" customHeight="1" x14ac:dyDescent="0.3">
      <c r="A175" s="43"/>
      <c r="B175" s="71"/>
      <c r="C175" s="71"/>
      <c r="D175" s="71"/>
      <c r="E175" s="71"/>
      <c r="F175" s="71"/>
    </row>
    <row r="176" spans="1:6" s="39" customFormat="1" ht="12.75" customHeight="1" x14ac:dyDescent="0.3">
      <c r="A176" s="43"/>
      <c r="B176" s="71"/>
      <c r="C176" s="71"/>
      <c r="D176" s="71"/>
      <c r="E176" s="71"/>
      <c r="F176" s="71"/>
    </row>
    <row r="177" spans="1:6" s="39" customFormat="1" ht="12.75" customHeight="1" x14ac:dyDescent="0.3">
      <c r="A177" s="43"/>
      <c r="B177" s="71"/>
      <c r="C177" s="71"/>
      <c r="D177" s="71"/>
      <c r="E177" s="71"/>
      <c r="F177" s="71"/>
    </row>
    <row r="178" spans="1:6" s="39" customFormat="1" ht="12.75" customHeight="1" x14ac:dyDescent="0.3">
      <c r="A178" s="43"/>
      <c r="B178" s="71"/>
      <c r="C178" s="71"/>
      <c r="D178" s="71"/>
      <c r="E178" s="71"/>
      <c r="F178" s="71"/>
    </row>
    <row r="179" spans="1:6" s="39" customFormat="1" ht="12.75" customHeight="1" x14ac:dyDescent="0.3">
      <c r="A179" s="43"/>
      <c r="B179" s="71"/>
      <c r="C179" s="71"/>
      <c r="D179" s="71"/>
      <c r="E179" s="71"/>
      <c r="F179" s="71"/>
    </row>
    <row r="180" spans="1:6" s="39" customFormat="1" ht="12.75" customHeight="1" x14ac:dyDescent="0.3">
      <c r="A180" s="43"/>
      <c r="B180" s="71"/>
      <c r="C180" s="71"/>
      <c r="D180" s="71"/>
      <c r="E180" s="71"/>
      <c r="F180" s="71"/>
    </row>
    <row r="181" spans="1:6" s="39" customFormat="1" ht="12.75" customHeight="1" x14ac:dyDescent="0.3">
      <c r="A181" s="43"/>
      <c r="B181" s="71"/>
      <c r="C181" s="71"/>
      <c r="D181" s="71"/>
      <c r="E181" s="71"/>
      <c r="F181" s="71"/>
    </row>
    <row r="182" spans="1:6" s="39" customFormat="1" ht="12.75" customHeight="1" x14ac:dyDescent="0.3">
      <c r="A182" s="43"/>
      <c r="B182" s="71"/>
      <c r="C182" s="71"/>
      <c r="D182" s="71"/>
      <c r="E182" s="71"/>
      <c r="F182" s="71"/>
    </row>
    <row r="183" spans="1:6" s="39" customFormat="1" ht="12.75" customHeight="1" x14ac:dyDescent="0.3">
      <c r="A183" s="43"/>
      <c r="B183" s="71"/>
      <c r="C183" s="71"/>
      <c r="D183" s="71"/>
      <c r="E183" s="71"/>
      <c r="F183" s="71"/>
    </row>
    <row r="184" spans="1:6" s="39" customFormat="1" ht="12.75" customHeight="1" x14ac:dyDescent="0.3">
      <c r="A184" s="43"/>
      <c r="B184" s="71"/>
      <c r="C184" s="71"/>
      <c r="D184" s="71"/>
      <c r="E184" s="71"/>
      <c r="F184" s="71"/>
    </row>
    <row r="185" spans="1:6" s="39" customFormat="1" ht="12.75" customHeight="1" x14ac:dyDescent="0.3">
      <c r="A185" s="43"/>
      <c r="B185" s="71"/>
      <c r="C185" s="71"/>
      <c r="D185" s="71"/>
      <c r="E185" s="71"/>
      <c r="F185" s="71"/>
    </row>
    <row r="186" spans="1:6" s="39" customFormat="1" ht="12.75" customHeight="1" x14ac:dyDescent="0.3">
      <c r="A186" s="43"/>
      <c r="B186" s="71"/>
      <c r="C186" s="71"/>
      <c r="D186" s="71"/>
      <c r="E186" s="71"/>
      <c r="F186" s="71"/>
    </row>
    <row r="187" spans="1:6" s="39" customFormat="1" ht="12.75" customHeight="1" x14ac:dyDescent="0.3">
      <c r="A187" s="43"/>
      <c r="B187" s="71"/>
      <c r="C187" s="71"/>
      <c r="D187" s="71"/>
      <c r="E187" s="71"/>
      <c r="F187" s="71"/>
    </row>
    <row r="188" spans="1:6" s="39" customFormat="1" ht="12.75" customHeight="1" x14ac:dyDescent="0.3">
      <c r="A188" s="43"/>
      <c r="B188" s="71"/>
      <c r="C188" s="71"/>
      <c r="D188" s="71"/>
      <c r="E188" s="71"/>
      <c r="F188" s="71"/>
    </row>
    <row r="189" spans="1:6" s="39" customFormat="1" ht="12.75" customHeight="1" x14ac:dyDescent="0.3">
      <c r="A189" s="43"/>
      <c r="B189" s="71"/>
      <c r="C189" s="71"/>
      <c r="D189" s="71"/>
      <c r="E189" s="71"/>
      <c r="F189" s="71"/>
    </row>
    <row r="190" spans="1:6" s="39" customFormat="1" ht="12.75" customHeight="1" x14ac:dyDescent="0.3">
      <c r="A190" s="43"/>
      <c r="B190" s="71"/>
      <c r="C190" s="71"/>
      <c r="D190" s="71"/>
      <c r="E190" s="71"/>
      <c r="F190" s="71"/>
    </row>
    <row r="191" spans="1:6" s="39" customFormat="1" ht="12.75" customHeight="1" x14ac:dyDescent="0.3">
      <c r="A191" s="43"/>
      <c r="B191" s="71"/>
      <c r="C191" s="71"/>
      <c r="D191" s="71"/>
      <c r="E191" s="71"/>
      <c r="F191" s="71"/>
    </row>
    <row r="192" spans="1:6" s="39" customFormat="1" ht="12.75" customHeight="1" x14ac:dyDescent="0.3">
      <c r="A192" s="43"/>
      <c r="B192" s="71"/>
      <c r="C192" s="71"/>
      <c r="D192" s="71"/>
      <c r="E192" s="71"/>
      <c r="F192" s="71"/>
    </row>
    <row r="193" spans="1:6" s="39" customFormat="1" ht="12.75" customHeight="1" x14ac:dyDescent="0.3">
      <c r="A193" s="43"/>
      <c r="B193" s="71"/>
      <c r="C193" s="71"/>
      <c r="D193" s="71"/>
      <c r="E193" s="71"/>
      <c r="F193" s="71"/>
    </row>
    <row r="194" spans="1:6" s="39" customFormat="1" ht="12.75" customHeight="1" x14ac:dyDescent="0.3">
      <c r="A194" s="43"/>
      <c r="B194" s="71"/>
      <c r="C194" s="71"/>
      <c r="D194" s="71"/>
      <c r="E194" s="71"/>
      <c r="F194" s="71"/>
    </row>
    <row r="195" spans="1:6" s="39" customFormat="1" ht="12.75" customHeight="1" x14ac:dyDescent="0.3">
      <c r="A195" s="43"/>
      <c r="B195" s="71"/>
      <c r="C195" s="71"/>
      <c r="D195" s="71"/>
      <c r="E195" s="71"/>
      <c r="F195" s="71"/>
    </row>
    <row r="196" spans="1:6" s="39" customFormat="1" ht="12.75" customHeight="1" x14ac:dyDescent="0.3">
      <c r="A196" s="43"/>
      <c r="B196" s="71"/>
      <c r="C196" s="71"/>
      <c r="D196" s="71"/>
      <c r="E196" s="71"/>
      <c r="F196" s="71"/>
    </row>
    <row r="197" spans="1:6" s="39" customFormat="1" ht="12.75" customHeight="1" x14ac:dyDescent="0.3">
      <c r="A197" s="43"/>
      <c r="B197" s="71"/>
      <c r="C197" s="71"/>
      <c r="D197" s="71"/>
      <c r="E197" s="71"/>
      <c r="F197" s="71"/>
    </row>
    <row r="198" spans="1:6" s="39" customFormat="1" ht="12.75" customHeight="1" x14ac:dyDescent="0.3">
      <c r="A198" s="43"/>
      <c r="B198" s="71"/>
      <c r="C198" s="71"/>
      <c r="D198" s="71"/>
      <c r="E198" s="71"/>
      <c r="F198" s="71"/>
    </row>
    <row r="199" spans="1:6" s="39" customFormat="1" ht="12.75" customHeight="1" x14ac:dyDescent="0.3">
      <c r="A199" s="43"/>
      <c r="B199" s="71"/>
      <c r="C199" s="71"/>
      <c r="D199" s="71"/>
      <c r="E199" s="71"/>
      <c r="F199" s="71"/>
    </row>
    <row r="200" spans="1:6" s="39" customFormat="1" ht="12.75" customHeight="1" x14ac:dyDescent="0.3">
      <c r="A200" s="43"/>
      <c r="B200" s="71"/>
      <c r="C200" s="71"/>
      <c r="D200" s="71"/>
      <c r="E200" s="71"/>
      <c r="F200" s="71"/>
    </row>
    <row r="201" spans="1:6" s="39" customFormat="1" ht="12.75" customHeight="1" x14ac:dyDescent="0.3">
      <c r="A201" s="43"/>
      <c r="B201" s="71"/>
      <c r="C201" s="71"/>
      <c r="D201" s="71"/>
      <c r="E201" s="71"/>
      <c r="F201" s="71"/>
    </row>
    <row r="202" spans="1:6" s="39" customFormat="1" ht="12.75" customHeight="1" x14ac:dyDescent="0.3">
      <c r="A202" s="43"/>
      <c r="B202" s="71"/>
      <c r="C202" s="71"/>
      <c r="D202" s="71"/>
      <c r="E202" s="71"/>
      <c r="F202" s="71"/>
    </row>
    <row r="203" spans="1:6" s="39" customFormat="1" ht="12.75" customHeight="1" x14ac:dyDescent="0.3">
      <c r="A203" s="43"/>
      <c r="B203" s="71"/>
      <c r="C203" s="71"/>
      <c r="D203" s="71"/>
      <c r="E203" s="71"/>
      <c r="F203" s="71"/>
    </row>
    <row r="204" spans="1:6" s="39" customFormat="1" ht="12.75" customHeight="1" x14ac:dyDescent="0.3">
      <c r="A204" s="43"/>
      <c r="B204" s="71"/>
      <c r="C204" s="71"/>
      <c r="D204" s="71"/>
      <c r="E204" s="71"/>
      <c r="F204" s="71"/>
    </row>
    <row r="205" spans="1:6" s="39" customFormat="1" ht="12.75" customHeight="1" x14ac:dyDescent="0.3">
      <c r="A205" s="43"/>
      <c r="B205" s="71"/>
      <c r="C205" s="71"/>
      <c r="D205" s="71"/>
      <c r="E205" s="71"/>
      <c r="F205" s="71"/>
    </row>
    <row r="206" spans="1:6" s="39" customFormat="1" ht="12.75" customHeight="1" x14ac:dyDescent="0.3">
      <c r="A206" s="43"/>
      <c r="B206" s="71"/>
      <c r="C206" s="71"/>
      <c r="D206" s="71"/>
      <c r="E206" s="71"/>
      <c r="F206" s="71"/>
    </row>
    <row r="207" spans="1:6" s="39" customFormat="1" ht="12.75" customHeight="1" x14ac:dyDescent="0.3">
      <c r="A207" s="43"/>
      <c r="B207" s="71"/>
      <c r="C207" s="71"/>
      <c r="D207" s="71"/>
      <c r="E207" s="71"/>
      <c r="F207" s="71"/>
    </row>
    <row r="208" spans="1:6" s="39" customFormat="1" ht="12.75" customHeight="1" x14ac:dyDescent="0.3">
      <c r="A208" s="43"/>
      <c r="B208" s="71"/>
      <c r="C208" s="71"/>
      <c r="D208" s="71"/>
      <c r="E208" s="71"/>
      <c r="F208" s="71"/>
    </row>
    <row r="209" spans="1:6" s="39" customFormat="1" ht="12.75" customHeight="1" x14ac:dyDescent="0.3">
      <c r="A209" s="43"/>
      <c r="B209" s="71"/>
      <c r="C209" s="71"/>
      <c r="D209" s="71"/>
      <c r="E209" s="71"/>
      <c r="F209" s="71"/>
    </row>
    <row r="210" spans="1:6" s="39" customFormat="1" ht="12.75" customHeight="1" x14ac:dyDescent="0.3">
      <c r="A210" s="43"/>
      <c r="B210" s="71"/>
      <c r="C210" s="71"/>
      <c r="D210" s="71"/>
      <c r="E210" s="71"/>
      <c r="F210" s="71"/>
    </row>
    <row r="211" spans="1:6" s="39" customFormat="1" ht="12.75" customHeight="1" x14ac:dyDescent="0.3">
      <c r="A211" s="43"/>
      <c r="B211" s="71"/>
      <c r="C211" s="71"/>
      <c r="D211" s="71"/>
      <c r="E211" s="71"/>
      <c r="F211" s="71"/>
    </row>
    <row r="212" spans="1:6" s="39" customFormat="1" ht="12.75" customHeight="1" x14ac:dyDescent="0.3">
      <c r="A212" s="43"/>
      <c r="B212" s="71"/>
      <c r="C212" s="71"/>
      <c r="D212" s="71"/>
      <c r="E212" s="71"/>
      <c r="F212" s="71"/>
    </row>
  </sheetData>
  <mergeCells count="6">
    <mergeCell ref="A90:F90"/>
    <mergeCell ref="A1:F1"/>
    <mergeCell ref="A2:F2"/>
    <mergeCell ref="A60:F60"/>
    <mergeCell ref="A61:F61"/>
    <mergeCell ref="A89:F89"/>
  </mergeCells>
  <printOptions horizontalCentered="1"/>
  <pageMargins left="0.70866141732283472" right="0.70866141732283472" top="0.94488188976377963" bottom="0.55118110236220474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86"/>
  <sheetViews>
    <sheetView workbookViewId="0">
      <selection sqref="A1:XFD2"/>
    </sheetView>
  </sheetViews>
  <sheetFormatPr baseColWidth="10" defaultRowHeight="15" x14ac:dyDescent="0.25"/>
  <cols>
    <col min="1" max="1" width="27.42578125" style="258" customWidth="1"/>
    <col min="2" max="7" width="10.140625" style="258" customWidth="1"/>
    <col min="8" max="8" width="11.140625" style="258" customWidth="1"/>
    <col min="9" max="9" width="10.140625" style="258" customWidth="1"/>
    <col min="10" max="16384" width="11.42578125" style="258"/>
  </cols>
  <sheetData>
    <row r="1" spans="1:9" ht="25.9" customHeight="1" x14ac:dyDescent="0.25">
      <c r="A1" s="698" t="s">
        <v>433</v>
      </c>
      <c r="B1" s="698"/>
      <c r="C1" s="698"/>
      <c r="D1" s="698"/>
      <c r="E1" s="698"/>
      <c r="F1" s="698"/>
      <c r="G1" s="698"/>
      <c r="H1" s="698"/>
      <c r="I1" s="698"/>
    </row>
    <row r="2" spans="1:9" x14ac:dyDescent="0.25">
      <c r="A2" s="697" t="s">
        <v>322</v>
      </c>
      <c r="B2" s="697"/>
      <c r="C2" s="697"/>
      <c r="D2" s="697"/>
      <c r="E2" s="697"/>
      <c r="F2" s="697"/>
      <c r="G2" s="697"/>
      <c r="H2" s="697"/>
      <c r="I2" s="697"/>
    </row>
    <row r="3" spans="1:9" ht="3" customHeight="1" x14ac:dyDescent="0.25">
      <c r="A3" s="196"/>
      <c r="B3" s="197"/>
      <c r="C3" s="197"/>
      <c r="D3" s="197"/>
      <c r="E3" s="197"/>
      <c r="F3" s="197"/>
      <c r="G3" s="197"/>
      <c r="H3" s="197"/>
      <c r="I3" s="197"/>
    </row>
    <row r="4" spans="1:9" ht="48.75" customHeight="1" x14ac:dyDescent="0.25">
      <c r="A4" s="286" t="s">
        <v>298</v>
      </c>
      <c r="B4" s="537" t="s">
        <v>190</v>
      </c>
      <c r="C4" s="537" t="s">
        <v>21</v>
      </c>
      <c r="D4" s="287" t="s">
        <v>20</v>
      </c>
      <c r="E4" s="287" t="s">
        <v>309</v>
      </c>
      <c r="F4" s="537" t="s">
        <v>22</v>
      </c>
      <c r="G4" s="537" t="s">
        <v>23</v>
      </c>
      <c r="H4" s="537" t="s">
        <v>310</v>
      </c>
      <c r="I4" s="537" t="s">
        <v>421</v>
      </c>
    </row>
    <row r="5" spans="1:9" ht="3" customHeight="1" x14ac:dyDescent="0.3">
      <c r="A5" s="541"/>
      <c r="B5" s="528"/>
      <c r="C5" s="529"/>
      <c r="D5" s="530"/>
      <c r="E5" s="530"/>
      <c r="F5" s="530"/>
      <c r="G5" s="530"/>
      <c r="H5" s="531"/>
      <c r="I5" s="531"/>
    </row>
    <row r="6" spans="1:9" ht="15.95" customHeight="1" x14ac:dyDescent="0.25">
      <c r="A6" s="542" t="s">
        <v>3</v>
      </c>
      <c r="B6" s="532">
        <v>17729411.509960607</v>
      </c>
      <c r="C6" s="532">
        <v>169.50103000000001</v>
      </c>
      <c r="D6" s="532">
        <v>709507.48983999994</v>
      </c>
      <c r="E6" s="532">
        <v>86078.533620000017</v>
      </c>
      <c r="F6" s="532">
        <v>1650203.9572200002</v>
      </c>
      <c r="G6" s="532">
        <v>18195.11663</v>
      </c>
      <c r="H6" s="532">
        <v>15071744.684800606</v>
      </c>
      <c r="I6" s="532">
        <v>193512.22681999998</v>
      </c>
    </row>
    <row r="7" spans="1:9" ht="15.95" customHeight="1" x14ac:dyDescent="0.25">
      <c r="A7" s="526" t="s">
        <v>8</v>
      </c>
      <c r="B7" s="289">
        <v>12339267.115398614</v>
      </c>
      <c r="C7" s="289">
        <v>140.43012000000002</v>
      </c>
      <c r="D7" s="289">
        <v>263311.36168999999</v>
      </c>
      <c r="E7" s="289">
        <v>41862.054770000002</v>
      </c>
      <c r="F7" s="289">
        <v>998360.08746000018</v>
      </c>
      <c r="G7" s="289">
        <v>2351.16581</v>
      </c>
      <c r="H7" s="289">
        <v>10967380.561808612</v>
      </c>
      <c r="I7" s="289">
        <v>65861.453739999983</v>
      </c>
    </row>
    <row r="8" spans="1:9" ht="15.95" customHeight="1" x14ac:dyDescent="0.3">
      <c r="A8" s="543" t="s">
        <v>311</v>
      </c>
      <c r="B8" s="534">
        <v>378922.37448300206</v>
      </c>
      <c r="C8" s="535" t="s">
        <v>26</v>
      </c>
      <c r="D8" s="535" t="s">
        <v>26</v>
      </c>
      <c r="E8" s="535" t="s">
        <v>26</v>
      </c>
      <c r="F8" s="535">
        <v>18935.236339999999</v>
      </c>
      <c r="G8" s="535" t="s">
        <v>26</v>
      </c>
      <c r="H8" s="535">
        <v>344222.63528300205</v>
      </c>
      <c r="I8" s="535">
        <v>15764.502859999999</v>
      </c>
    </row>
    <row r="9" spans="1:9" ht="15.95" customHeight="1" x14ac:dyDescent="0.3">
      <c r="A9" s="543" t="s">
        <v>27</v>
      </c>
      <c r="B9" s="534">
        <v>69196.331252393691</v>
      </c>
      <c r="C9" s="535" t="s">
        <v>26</v>
      </c>
      <c r="D9" s="535" t="s">
        <v>26</v>
      </c>
      <c r="E9" s="535">
        <v>3.6469999999999998</v>
      </c>
      <c r="F9" s="535">
        <v>12134.832689999999</v>
      </c>
      <c r="G9" s="535" t="s">
        <v>26</v>
      </c>
      <c r="H9" s="535">
        <v>56087.383332393685</v>
      </c>
      <c r="I9" s="535">
        <v>970.46822999999995</v>
      </c>
    </row>
    <row r="10" spans="1:9" ht="15.95" customHeight="1" x14ac:dyDescent="0.3">
      <c r="A10" s="543" t="s">
        <v>312</v>
      </c>
      <c r="B10" s="534">
        <v>459570.92203769903</v>
      </c>
      <c r="C10" s="535" t="s">
        <v>26</v>
      </c>
      <c r="D10" s="535" t="s">
        <v>26</v>
      </c>
      <c r="E10" s="535">
        <v>514.92272000000003</v>
      </c>
      <c r="F10" s="535">
        <v>6805.8530999999994</v>
      </c>
      <c r="G10" s="535">
        <v>912.8</v>
      </c>
      <c r="H10" s="535">
        <v>451134.98326769908</v>
      </c>
      <c r="I10" s="535">
        <v>202.36295000000001</v>
      </c>
    </row>
    <row r="11" spans="1:9" ht="15.95" customHeight="1" x14ac:dyDescent="0.3">
      <c r="A11" s="543" t="s">
        <v>29</v>
      </c>
      <c r="B11" s="534">
        <v>722770.51830508735</v>
      </c>
      <c r="C11" s="535" t="s">
        <v>26</v>
      </c>
      <c r="D11" s="535">
        <v>478.46931999999998</v>
      </c>
      <c r="E11" s="535">
        <v>1075.3693500000002</v>
      </c>
      <c r="F11" s="535">
        <v>79569.4899</v>
      </c>
      <c r="G11" s="535">
        <v>1042.6259</v>
      </c>
      <c r="H11" s="535">
        <v>604015.96883508738</v>
      </c>
      <c r="I11" s="535">
        <v>36588.595000000001</v>
      </c>
    </row>
    <row r="12" spans="1:9" ht="15.95" customHeight="1" x14ac:dyDescent="0.3">
      <c r="A12" s="543" t="s">
        <v>30</v>
      </c>
      <c r="B12" s="534">
        <v>529836.57282129535</v>
      </c>
      <c r="C12" s="535" t="s">
        <v>26</v>
      </c>
      <c r="D12" s="535" t="s">
        <v>26</v>
      </c>
      <c r="E12" s="535">
        <v>1655.771</v>
      </c>
      <c r="F12" s="535">
        <v>5297.8563199999999</v>
      </c>
      <c r="G12" s="535">
        <v>66.8</v>
      </c>
      <c r="H12" s="535">
        <v>522785.14550129534</v>
      </c>
      <c r="I12" s="535">
        <v>31</v>
      </c>
    </row>
    <row r="13" spans="1:9" ht="15.95" customHeight="1" x14ac:dyDescent="0.3">
      <c r="A13" s="543" t="s">
        <v>31</v>
      </c>
      <c r="B13" s="534">
        <v>627859.41908999998</v>
      </c>
      <c r="C13" s="535" t="s">
        <v>26</v>
      </c>
      <c r="D13" s="535" t="s">
        <v>26</v>
      </c>
      <c r="E13" s="535">
        <v>9.0709999999999997</v>
      </c>
      <c r="F13" s="535">
        <v>3129.9930299999996</v>
      </c>
      <c r="G13" s="535" t="s">
        <v>26</v>
      </c>
      <c r="H13" s="535">
        <v>624191.40639999998</v>
      </c>
      <c r="I13" s="535">
        <v>528.94866000000002</v>
      </c>
    </row>
    <row r="14" spans="1:9" ht="15.95" customHeight="1" x14ac:dyDescent="0.3">
      <c r="A14" s="543" t="s">
        <v>32</v>
      </c>
      <c r="B14" s="534">
        <v>304316.77608799987</v>
      </c>
      <c r="C14" s="535" t="s">
        <v>26</v>
      </c>
      <c r="D14" s="535" t="s">
        <v>26</v>
      </c>
      <c r="E14" s="535" t="s">
        <v>26</v>
      </c>
      <c r="F14" s="535">
        <v>2292.4879999999998</v>
      </c>
      <c r="G14" s="535" t="s">
        <v>26</v>
      </c>
      <c r="H14" s="535">
        <v>301859.99740799988</v>
      </c>
      <c r="I14" s="535">
        <v>164.29067999999998</v>
      </c>
    </row>
    <row r="15" spans="1:9" ht="15.95" customHeight="1" x14ac:dyDescent="0.3">
      <c r="A15" s="543" t="s">
        <v>422</v>
      </c>
      <c r="B15" s="534">
        <v>97774.079160000008</v>
      </c>
      <c r="C15" s="535" t="s">
        <v>26</v>
      </c>
      <c r="D15" s="535" t="s">
        <v>26</v>
      </c>
      <c r="E15" s="535">
        <v>11.82183</v>
      </c>
      <c r="F15" s="535">
        <v>2893.0080200000002</v>
      </c>
      <c r="G15" s="535" t="s">
        <v>26</v>
      </c>
      <c r="H15" s="535">
        <v>94137.511570000017</v>
      </c>
      <c r="I15" s="535">
        <v>731.73774000000003</v>
      </c>
    </row>
    <row r="16" spans="1:9" ht="15.95" customHeight="1" x14ac:dyDescent="0.3">
      <c r="A16" s="543" t="s">
        <v>34</v>
      </c>
      <c r="B16" s="534">
        <v>79610.856858500003</v>
      </c>
      <c r="C16" s="535" t="s">
        <v>26</v>
      </c>
      <c r="D16" s="535" t="s">
        <v>26</v>
      </c>
      <c r="E16" s="535" t="s">
        <v>26</v>
      </c>
      <c r="F16" s="535">
        <v>1541.6199799999999</v>
      </c>
      <c r="G16" s="535" t="s">
        <v>26</v>
      </c>
      <c r="H16" s="535">
        <v>77981.694908499994</v>
      </c>
      <c r="I16" s="535">
        <v>87.541970000000006</v>
      </c>
    </row>
    <row r="17" spans="1:9" ht="15.95" customHeight="1" x14ac:dyDescent="0.3">
      <c r="A17" s="543" t="s">
        <v>35</v>
      </c>
      <c r="B17" s="534">
        <v>102324.98271197177</v>
      </c>
      <c r="C17" s="535" t="s">
        <v>26</v>
      </c>
      <c r="D17" s="535" t="s">
        <v>26</v>
      </c>
      <c r="E17" s="535">
        <v>3.1320000000000001</v>
      </c>
      <c r="F17" s="535">
        <v>60.125949999999996</v>
      </c>
      <c r="G17" s="535" t="s">
        <v>26</v>
      </c>
      <c r="H17" s="535">
        <v>102261.72476197177</v>
      </c>
      <c r="I17" s="535">
        <v>0</v>
      </c>
    </row>
    <row r="18" spans="1:9" ht="15.95" customHeight="1" x14ac:dyDescent="0.3">
      <c r="A18" s="543" t="s">
        <v>37</v>
      </c>
      <c r="B18" s="534">
        <v>193561.91381</v>
      </c>
      <c r="C18" s="535" t="s">
        <v>26</v>
      </c>
      <c r="D18" s="535" t="s">
        <v>26</v>
      </c>
      <c r="E18" s="535">
        <v>5.12737</v>
      </c>
      <c r="F18" s="535">
        <v>246.72444000000002</v>
      </c>
      <c r="G18" s="535" t="s">
        <v>26</v>
      </c>
      <c r="H18" s="535">
        <v>193306.59299999999</v>
      </c>
      <c r="I18" s="535">
        <v>3.4689999999999999</v>
      </c>
    </row>
    <row r="19" spans="1:9" ht="15.95" customHeight="1" x14ac:dyDescent="0.3">
      <c r="A19" s="543" t="s">
        <v>38</v>
      </c>
      <c r="B19" s="534">
        <v>94922.106670000008</v>
      </c>
      <c r="C19" s="535" t="s">
        <v>26</v>
      </c>
      <c r="D19" s="535" t="s">
        <v>26</v>
      </c>
      <c r="E19" s="535" t="s">
        <v>26</v>
      </c>
      <c r="F19" s="535">
        <v>258.66867000000002</v>
      </c>
      <c r="G19" s="535" t="s">
        <v>26</v>
      </c>
      <c r="H19" s="535">
        <v>94663.438000000009</v>
      </c>
      <c r="I19" s="535">
        <v>0</v>
      </c>
    </row>
    <row r="20" spans="1:9" ht="15.95" customHeight="1" x14ac:dyDescent="0.3">
      <c r="A20" s="543" t="s">
        <v>39</v>
      </c>
      <c r="B20" s="534">
        <v>424843.46145000006</v>
      </c>
      <c r="C20" s="535" t="s">
        <v>26</v>
      </c>
      <c r="D20" s="535">
        <v>5723.1360000000004</v>
      </c>
      <c r="E20" s="535" t="s">
        <v>26</v>
      </c>
      <c r="F20" s="535">
        <v>2891.93208</v>
      </c>
      <c r="G20" s="535">
        <v>44.833370000000002</v>
      </c>
      <c r="H20" s="535">
        <v>415474.00000000006</v>
      </c>
      <c r="I20" s="535">
        <v>709.56</v>
      </c>
    </row>
    <row r="21" spans="1:9" ht="15.95" customHeight="1" x14ac:dyDescent="0.3">
      <c r="A21" s="543" t="s">
        <v>40</v>
      </c>
      <c r="B21" s="534">
        <v>939430.85634000006</v>
      </c>
      <c r="C21" s="535" t="s">
        <v>26</v>
      </c>
      <c r="D21" s="535" t="s">
        <v>26</v>
      </c>
      <c r="E21" s="535">
        <v>397.31703000000005</v>
      </c>
      <c r="F21" s="535">
        <v>635581.87454999995</v>
      </c>
      <c r="G21" s="535">
        <v>6.93</v>
      </c>
      <c r="H21" s="535">
        <v>297629.35820999998</v>
      </c>
      <c r="I21" s="535">
        <v>5815.37655</v>
      </c>
    </row>
    <row r="22" spans="1:9" ht="15.95" customHeight="1" x14ac:dyDescent="0.3">
      <c r="A22" s="543" t="s">
        <v>41</v>
      </c>
      <c r="B22" s="534">
        <v>318438.86128999997</v>
      </c>
      <c r="C22" s="535" t="s">
        <v>26</v>
      </c>
      <c r="D22" s="535" t="s">
        <v>26</v>
      </c>
      <c r="E22" s="535">
        <v>27.699919999999999</v>
      </c>
      <c r="F22" s="535">
        <v>5060.0340300000007</v>
      </c>
      <c r="G22" s="535">
        <v>22.895139999999998</v>
      </c>
      <c r="H22" s="535">
        <v>312571.89695999998</v>
      </c>
      <c r="I22" s="535">
        <v>756.33524</v>
      </c>
    </row>
    <row r="23" spans="1:9" ht="15.95" customHeight="1" x14ac:dyDescent="0.3">
      <c r="A23" s="543" t="s">
        <v>42</v>
      </c>
      <c r="B23" s="534">
        <v>598014.09852</v>
      </c>
      <c r="C23" s="535" t="s">
        <v>26</v>
      </c>
      <c r="D23" s="535" t="s">
        <v>26</v>
      </c>
      <c r="E23" s="535">
        <v>7568.64</v>
      </c>
      <c r="F23" s="535">
        <v>1668.96939</v>
      </c>
      <c r="G23" s="535" t="s">
        <v>26</v>
      </c>
      <c r="H23" s="535">
        <v>587700.70637000003</v>
      </c>
      <c r="I23" s="535">
        <v>1075.7827600000001</v>
      </c>
    </row>
    <row r="24" spans="1:9" ht="15.95" customHeight="1" x14ac:dyDescent="0.3">
      <c r="A24" s="543" t="s">
        <v>43</v>
      </c>
      <c r="B24" s="534">
        <v>584701.29727999982</v>
      </c>
      <c r="C24" s="535" t="s">
        <v>26</v>
      </c>
      <c r="D24" s="535" t="s">
        <v>26</v>
      </c>
      <c r="E24" s="535">
        <v>8721.9871500000008</v>
      </c>
      <c r="F24" s="535">
        <v>17065.004010000001</v>
      </c>
      <c r="G24" s="535">
        <v>30.09</v>
      </c>
      <c r="H24" s="535">
        <v>558684.99999999988</v>
      </c>
      <c r="I24" s="535">
        <v>199.06100000000001</v>
      </c>
    </row>
    <row r="25" spans="1:9" ht="15.95" customHeight="1" x14ac:dyDescent="0.3">
      <c r="A25" s="543" t="s">
        <v>44</v>
      </c>
      <c r="B25" s="534">
        <v>49498.302508716159</v>
      </c>
      <c r="C25" s="535" t="s">
        <v>26</v>
      </c>
      <c r="D25" s="535" t="s">
        <v>26</v>
      </c>
      <c r="E25" s="535" t="s">
        <v>26</v>
      </c>
      <c r="F25" s="535">
        <v>2262.8168300000002</v>
      </c>
      <c r="G25" s="535" t="s">
        <v>26</v>
      </c>
      <c r="H25" s="535">
        <v>47073.430958716155</v>
      </c>
      <c r="I25" s="535">
        <v>162.05472</v>
      </c>
    </row>
    <row r="26" spans="1:9" ht="15.95" customHeight="1" x14ac:dyDescent="0.3">
      <c r="A26" s="543" t="s">
        <v>45</v>
      </c>
      <c r="B26" s="534">
        <v>135386.04911999995</v>
      </c>
      <c r="C26" s="535" t="s">
        <v>26</v>
      </c>
      <c r="D26" s="535">
        <v>37124.983999999997</v>
      </c>
      <c r="E26" s="535">
        <v>135.83270999999999</v>
      </c>
      <c r="F26" s="535">
        <v>31378.22637</v>
      </c>
      <c r="G26" s="535">
        <v>2.1024000000000003</v>
      </c>
      <c r="H26" s="535">
        <v>65561.501079999973</v>
      </c>
      <c r="I26" s="535">
        <v>1183.40256</v>
      </c>
    </row>
    <row r="27" spans="1:9" ht="15.95" customHeight="1" x14ac:dyDescent="0.3">
      <c r="A27" s="543" t="s">
        <v>313</v>
      </c>
      <c r="B27" s="534">
        <v>512917.63307000004</v>
      </c>
      <c r="C27" s="535" t="s">
        <v>26</v>
      </c>
      <c r="D27" s="535">
        <v>2.5379999999999998</v>
      </c>
      <c r="E27" s="535">
        <v>183.58520000000001</v>
      </c>
      <c r="F27" s="535">
        <v>13961.184660000001</v>
      </c>
      <c r="G27" s="535">
        <v>1.589</v>
      </c>
      <c r="H27" s="535">
        <v>498761.33879000001</v>
      </c>
      <c r="I27" s="535">
        <v>7.2374200000000002</v>
      </c>
    </row>
    <row r="28" spans="1:9" ht="15.95" customHeight="1" x14ac:dyDescent="0.3">
      <c r="A28" s="543" t="s">
        <v>299</v>
      </c>
      <c r="B28" s="534">
        <v>53856.466079999991</v>
      </c>
      <c r="C28" s="535" t="s">
        <v>26</v>
      </c>
      <c r="D28" s="535" t="s">
        <v>26</v>
      </c>
      <c r="E28" s="535" t="s">
        <v>26</v>
      </c>
      <c r="F28" s="535">
        <v>2324.2315800000001</v>
      </c>
      <c r="G28" s="535" t="s">
        <v>26</v>
      </c>
      <c r="H28" s="535">
        <v>51532.234499999991</v>
      </c>
      <c r="I28" s="535" t="s">
        <v>26</v>
      </c>
    </row>
    <row r="29" spans="1:9" ht="15.95" customHeight="1" x14ac:dyDescent="0.3">
      <c r="A29" s="543" t="s">
        <v>47</v>
      </c>
      <c r="B29" s="534">
        <v>663763.9882298389</v>
      </c>
      <c r="C29" s="535" t="s">
        <v>26</v>
      </c>
      <c r="D29" s="535" t="s">
        <v>26</v>
      </c>
      <c r="E29" s="535">
        <v>4717.2683999999999</v>
      </c>
      <c r="F29" s="535">
        <v>2268.9</v>
      </c>
      <c r="G29" s="535">
        <v>1.5</v>
      </c>
      <c r="H29" s="535">
        <v>656776.16982983891</v>
      </c>
      <c r="I29" s="535" t="s">
        <v>26</v>
      </c>
    </row>
    <row r="30" spans="1:9" ht="15.95" customHeight="1" x14ac:dyDescent="0.3">
      <c r="A30" s="543" t="s">
        <v>48</v>
      </c>
      <c r="B30" s="534">
        <v>403182.50586999994</v>
      </c>
      <c r="C30" s="535" t="s">
        <v>26</v>
      </c>
      <c r="D30" s="535" t="s">
        <v>26</v>
      </c>
      <c r="E30" s="535">
        <v>1074.85661</v>
      </c>
      <c r="F30" s="535">
        <v>3085.9230499999999</v>
      </c>
      <c r="G30" s="535" t="s">
        <v>26</v>
      </c>
      <c r="H30" s="535">
        <v>399017.05072999996</v>
      </c>
      <c r="I30" s="535">
        <v>4.6754799999999994</v>
      </c>
    </row>
    <row r="31" spans="1:9" ht="15.95" customHeight="1" x14ac:dyDescent="0.3">
      <c r="A31" s="543" t="s">
        <v>49</v>
      </c>
      <c r="B31" s="534">
        <v>589928.76919210888</v>
      </c>
      <c r="C31" s="535" t="s">
        <v>26</v>
      </c>
      <c r="D31" s="535" t="s">
        <v>26</v>
      </c>
      <c r="E31" s="535">
        <v>71.580740000000006</v>
      </c>
      <c r="F31" s="535">
        <v>7887.3500100000001</v>
      </c>
      <c r="G31" s="535" t="s">
        <v>26</v>
      </c>
      <c r="H31" s="535">
        <v>581233.50284210895</v>
      </c>
      <c r="I31" s="535">
        <v>735.95759999999996</v>
      </c>
    </row>
    <row r="32" spans="1:9" ht="15.95" customHeight="1" x14ac:dyDescent="0.3">
      <c r="A32" s="543" t="s">
        <v>50</v>
      </c>
      <c r="B32" s="534">
        <v>129786.1955</v>
      </c>
      <c r="C32" s="535" t="s">
        <v>26</v>
      </c>
      <c r="D32" s="535" t="s">
        <v>26</v>
      </c>
      <c r="E32" s="535" t="s">
        <v>26</v>
      </c>
      <c r="F32" s="535">
        <v>177.86670000000001</v>
      </c>
      <c r="G32" s="535" t="s">
        <v>26</v>
      </c>
      <c r="H32" s="535">
        <v>129608.3288</v>
      </c>
      <c r="I32" s="535" t="s">
        <v>26</v>
      </c>
    </row>
    <row r="33" spans="1:9" ht="15.95" customHeight="1" x14ac:dyDescent="0.3">
      <c r="A33" s="543" t="s">
        <v>51</v>
      </c>
      <c r="B33" s="534">
        <v>805148.43602000014</v>
      </c>
      <c r="C33" s="535" t="s">
        <v>26</v>
      </c>
      <c r="D33" s="535">
        <v>88.703999999999994</v>
      </c>
      <c r="E33" s="535">
        <v>12203.891</v>
      </c>
      <c r="F33" s="535">
        <v>56220.077600000004</v>
      </c>
      <c r="G33" s="535" t="s">
        <v>26</v>
      </c>
      <c r="H33" s="535">
        <v>736518.42734000005</v>
      </c>
      <c r="I33" s="535">
        <v>117.33608</v>
      </c>
    </row>
    <row r="34" spans="1:9" ht="15.95" customHeight="1" x14ac:dyDescent="0.3">
      <c r="A34" s="543" t="s">
        <v>52</v>
      </c>
      <c r="B34" s="534">
        <v>56135.978099999993</v>
      </c>
      <c r="C34" s="535" t="s">
        <v>26</v>
      </c>
      <c r="D34" s="535" t="s">
        <v>26</v>
      </c>
      <c r="E34" s="535" t="s">
        <v>26</v>
      </c>
      <c r="F34" s="535">
        <v>403.17809999999997</v>
      </c>
      <c r="G34" s="535" t="s">
        <v>26</v>
      </c>
      <c r="H34" s="535">
        <v>55732.799999999996</v>
      </c>
      <c r="I34" s="535" t="s">
        <v>26</v>
      </c>
    </row>
    <row r="35" spans="1:9" ht="15.95" customHeight="1" x14ac:dyDescent="0.3">
      <c r="A35" s="543" t="s">
        <v>53</v>
      </c>
      <c r="B35" s="534">
        <v>550423.23840999999</v>
      </c>
      <c r="C35" s="535" t="s">
        <v>26</v>
      </c>
      <c r="D35" s="535">
        <v>47950.18937</v>
      </c>
      <c r="E35" s="535" t="s">
        <v>26</v>
      </c>
      <c r="F35" s="535">
        <v>18819.153180000001</v>
      </c>
      <c r="G35" s="535">
        <v>219</v>
      </c>
      <c r="H35" s="535">
        <v>483434.89585999999</v>
      </c>
      <c r="I35" s="535" t="s">
        <v>26</v>
      </c>
    </row>
    <row r="36" spans="1:9" ht="15.95" customHeight="1" x14ac:dyDescent="0.3">
      <c r="A36" s="543" t="s">
        <v>423</v>
      </c>
      <c r="B36" s="534">
        <v>224398.92261000001</v>
      </c>
      <c r="C36" s="535">
        <v>140.11500000000001</v>
      </c>
      <c r="D36" s="535" t="s">
        <v>26</v>
      </c>
      <c r="E36" s="535" t="s">
        <v>26</v>
      </c>
      <c r="F36" s="535">
        <v>3484.1034799999998</v>
      </c>
      <c r="G36" s="535" t="s">
        <v>26</v>
      </c>
      <c r="H36" s="535">
        <v>220774.70413</v>
      </c>
      <c r="I36" s="535" t="s">
        <v>26</v>
      </c>
    </row>
    <row r="37" spans="1:9" ht="15.95" customHeight="1" x14ac:dyDescent="0.3">
      <c r="A37" s="543" t="s">
        <v>55</v>
      </c>
      <c r="B37" s="534">
        <v>702341.24893999984</v>
      </c>
      <c r="C37" s="535" t="s">
        <v>26</v>
      </c>
      <c r="D37" s="535" t="s">
        <v>26</v>
      </c>
      <c r="E37" s="535" t="s">
        <v>26</v>
      </c>
      <c r="F37" s="535">
        <v>7286.7005199999994</v>
      </c>
      <c r="G37" s="535" t="s">
        <v>26</v>
      </c>
      <c r="H37" s="535">
        <v>695032.94117999985</v>
      </c>
      <c r="I37" s="535">
        <v>21.607240000000001</v>
      </c>
    </row>
    <row r="38" spans="1:9" ht="15.95" customHeight="1" x14ac:dyDescent="0.3">
      <c r="A38" s="543" t="s">
        <v>56</v>
      </c>
      <c r="B38" s="534">
        <v>776352.48652000003</v>
      </c>
      <c r="C38" s="535" t="s">
        <v>26</v>
      </c>
      <c r="D38" s="535">
        <v>135562.32</v>
      </c>
      <c r="E38" s="535">
        <v>3178.7535600000001</v>
      </c>
      <c r="F38" s="535">
        <v>40907.620999999999</v>
      </c>
      <c r="G38" s="535" t="s">
        <v>26</v>
      </c>
      <c r="H38" s="535">
        <v>596703.79196000006</v>
      </c>
      <c r="I38" s="535" t="s">
        <v>26</v>
      </c>
    </row>
    <row r="39" spans="1:9" ht="15.95" customHeight="1" x14ac:dyDescent="0.3">
      <c r="A39" s="543" t="s">
        <v>57</v>
      </c>
      <c r="B39" s="534">
        <v>160051.46706</v>
      </c>
      <c r="C39" s="535" t="s">
        <v>26</v>
      </c>
      <c r="D39" s="535">
        <v>36380.642999999996</v>
      </c>
      <c r="E39" s="535">
        <v>301.78017999999997</v>
      </c>
      <c r="F39" s="535">
        <v>12459.043880000001</v>
      </c>
      <c r="G39" s="535" t="s">
        <v>26</v>
      </c>
      <c r="H39" s="535">
        <v>110910</v>
      </c>
      <c r="I39" s="535" t="s">
        <v>26</v>
      </c>
    </row>
    <row r="40" spans="1:9" ht="15.95" customHeight="1" x14ac:dyDescent="0.3">
      <c r="A40" s="526" t="s">
        <v>10</v>
      </c>
      <c r="B40" s="289">
        <v>4897671.6256986726</v>
      </c>
      <c r="C40" s="536">
        <v>29.070910000000001</v>
      </c>
      <c r="D40" s="536">
        <v>417398.88530999993</v>
      </c>
      <c r="E40" s="536">
        <v>44104.491900000001</v>
      </c>
      <c r="F40" s="536">
        <v>602484.21703000006</v>
      </c>
      <c r="G40" s="536">
        <v>15530.601820000002</v>
      </c>
      <c r="H40" s="536">
        <v>3695323.798328673</v>
      </c>
      <c r="I40" s="536">
        <v>122800.56039999999</v>
      </c>
    </row>
    <row r="41" spans="1:9" ht="15.95" customHeight="1" x14ac:dyDescent="0.3">
      <c r="A41" s="543" t="s">
        <v>60</v>
      </c>
      <c r="B41" s="534">
        <v>87693.187795165999</v>
      </c>
      <c r="C41" s="535" t="s">
        <v>26</v>
      </c>
      <c r="D41" s="535">
        <v>1641.85877</v>
      </c>
      <c r="E41" s="535">
        <v>519.97608000000002</v>
      </c>
      <c r="F41" s="535">
        <v>23321.76094</v>
      </c>
      <c r="G41" s="535">
        <v>31.536000000000001</v>
      </c>
      <c r="H41" s="535">
        <v>62162.288005166003</v>
      </c>
      <c r="I41" s="535">
        <v>15.768000000000001</v>
      </c>
    </row>
    <row r="42" spans="1:9" ht="15.95" customHeight="1" x14ac:dyDescent="0.3">
      <c r="A42" s="543" t="s">
        <v>61</v>
      </c>
      <c r="B42" s="534">
        <v>78145.095929999996</v>
      </c>
      <c r="C42" s="535" t="s">
        <v>26</v>
      </c>
      <c r="D42" s="535">
        <v>267.39936</v>
      </c>
      <c r="E42" s="535">
        <v>4.32043</v>
      </c>
      <c r="F42" s="535">
        <v>6620.3571400000001</v>
      </c>
      <c r="G42" s="535" t="s">
        <v>26</v>
      </c>
      <c r="H42" s="535">
        <v>71243.243000000002</v>
      </c>
      <c r="I42" s="535">
        <v>9.7759999999999998</v>
      </c>
    </row>
    <row r="43" spans="1:9" ht="15.95" customHeight="1" x14ac:dyDescent="0.3">
      <c r="A43" s="543" t="s">
        <v>301</v>
      </c>
      <c r="B43" s="534">
        <v>393797.83307954774</v>
      </c>
      <c r="C43" s="535" t="s">
        <v>26</v>
      </c>
      <c r="D43" s="535">
        <v>5433.6528399999997</v>
      </c>
      <c r="E43" s="535">
        <v>3.1536</v>
      </c>
      <c r="F43" s="535">
        <v>12766.7989</v>
      </c>
      <c r="G43" s="535">
        <v>40.366</v>
      </c>
      <c r="H43" s="535">
        <v>375553.86173954775</v>
      </c>
      <c r="I43" s="535" t="s">
        <v>26</v>
      </c>
    </row>
    <row r="44" spans="1:9" ht="15.95" customHeight="1" x14ac:dyDescent="0.3">
      <c r="A44" s="543" t="s">
        <v>62</v>
      </c>
      <c r="B44" s="534">
        <v>205859.02265008827</v>
      </c>
      <c r="C44" s="535" t="s">
        <v>26</v>
      </c>
      <c r="D44" s="535">
        <v>2626.5785000000001</v>
      </c>
      <c r="E44" s="535" t="s">
        <v>26</v>
      </c>
      <c r="F44" s="535">
        <v>21243.860639999999</v>
      </c>
      <c r="G44" s="535" t="s">
        <v>26</v>
      </c>
      <c r="H44" s="535">
        <v>180251.91100008826</v>
      </c>
      <c r="I44" s="535">
        <v>1736.6725100000001</v>
      </c>
    </row>
    <row r="45" spans="1:9" ht="15.95" customHeight="1" x14ac:dyDescent="0.3">
      <c r="A45" s="543" t="s">
        <v>302</v>
      </c>
      <c r="B45" s="534">
        <v>74390.69389200001</v>
      </c>
      <c r="C45" s="535" t="s">
        <v>26</v>
      </c>
      <c r="D45" s="535">
        <v>126.14400000000001</v>
      </c>
      <c r="E45" s="535" t="s">
        <v>26</v>
      </c>
      <c r="F45" s="535">
        <v>5759.9835999999996</v>
      </c>
      <c r="G45" s="535" t="s">
        <v>26</v>
      </c>
      <c r="H45" s="535">
        <v>68502.118291999999</v>
      </c>
      <c r="I45" s="535">
        <v>2.448</v>
      </c>
    </row>
    <row r="46" spans="1:9" ht="15.95" customHeight="1" x14ac:dyDescent="0.3">
      <c r="A46" s="543" t="s">
        <v>63</v>
      </c>
      <c r="B46" s="534">
        <v>234054.58981599991</v>
      </c>
      <c r="C46" s="535" t="s">
        <v>26</v>
      </c>
      <c r="D46" s="535" t="s">
        <v>26</v>
      </c>
      <c r="E46" s="535">
        <v>64.144279999999995</v>
      </c>
      <c r="F46" s="535">
        <v>22562.531190000002</v>
      </c>
      <c r="G46" s="535" t="s">
        <v>26</v>
      </c>
      <c r="H46" s="535">
        <v>206455.44854599988</v>
      </c>
      <c r="I46" s="535">
        <v>4972.4657999999999</v>
      </c>
    </row>
    <row r="47" spans="1:9" ht="15.95" customHeight="1" x14ac:dyDescent="0.3">
      <c r="A47" s="543" t="s">
        <v>64</v>
      </c>
      <c r="B47" s="534">
        <v>129767.13639819999</v>
      </c>
      <c r="C47" s="535" t="s">
        <v>26</v>
      </c>
      <c r="D47" s="535">
        <v>331.12799999999999</v>
      </c>
      <c r="E47" s="535" t="s">
        <v>26</v>
      </c>
      <c r="F47" s="535">
        <v>7413.0088699999997</v>
      </c>
      <c r="G47" s="535" t="s">
        <v>26</v>
      </c>
      <c r="H47" s="535">
        <v>121914.85897819999</v>
      </c>
      <c r="I47" s="535">
        <v>107.73058</v>
      </c>
    </row>
    <row r="48" spans="1:9" ht="15.95" customHeight="1" x14ac:dyDescent="0.3">
      <c r="A48" s="543" t="s">
        <v>65</v>
      </c>
      <c r="B48" s="534">
        <v>82540.346415163396</v>
      </c>
      <c r="C48" s="535" t="s">
        <v>26</v>
      </c>
      <c r="D48" s="535">
        <v>18757.633399999999</v>
      </c>
      <c r="E48" s="535">
        <v>76.099000000000004</v>
      </c>
      <c r="F48" s="535">
        <v>12056.943640000001</v>
      </c>
      <c r="G48" s="535" t="s">
        <v>26</v>
      </c>
      <c r="H48" s="535">
        <v>48080.697645163404</v>
      </c>
      <c r="I48" s="535">
        <v>3568.97273</v>
      </c>
    </row>
    <row r="49" spans="1:11" ht="15.95" customHeight="1" x14ac:dyDescent="0.3">
      <c r="A49" s="543" t="s">
        <v>303</v>
      </c>
      <c r="B49" s="534">
        <v>28919.310544399999</v>
      </c>
      <c r="C49" s="535" t="s">
        <v>26</v>
      </c>
      <c r="D49" s="535">
        <v>1120.01</v>
      </c>
      <c r="E49" s="535" t="s">
        <v>26</v>
      </c>
      <c r="F49" s="535">
        <v>8145.92065</v>
      </c>
      <c r="G49" s="535" t="s">
        <v>26</v>
      </c>
      <c r="H49" s="535">
        <v>19572.597084399997</v>
      </c>
      <c r="I49" s="535">
        <v>80.782809999999998</v>
      </c>
    </row>
    <row r="50" spans="1:11" ht="15.95" customHeight="1" x14ac:dyDescent="0.3">
      <c r="A50" s="543" t="s">
        <v>66</v>
      </c>
      <c r="B50" s="534">
        <v>169938.99655000001</v>
      </c>
      <c r="C50" s="535" t="s">
        <v>26</v>
      </c>
      <c r="D50" s="535">
        <v>531.18600000000004</v>
      </c>
      <c r="E50" s="535">
        <v>1.72218</v>
      </c>
      <c r="F50" s="535">
        <v>2104.7671399999999</v>
      </c>
      <c r="G50" s="535" t="s">
        <v>26</v>
      </c>
      <c r="H50" s="535">
        <v>152486.91044000001</v>
      </c>
      <c r="I50" s="535">
        <v>14814.41079</v>
      </c>
    </row>
    <row r="51" spans="1:11" ht="15.95" customHeight="1" x14ac:dyDescent="0.3">
      <c r="A51" s="543" t="s">
        <v>304</v>
      </c>
      <c r="B51" s="534">
        <v>53946.302609999999</v>
      </c>
      <c r="C51" s="535" t="s">
        <v>26</v>
      </c>
      <c r="D51" s="535">
        <v>4149.4030000000002</v>
      </c>
      <c r="E51" s="535">
        <v>1479.9393600000001</v>
      </c>
      <c r="F51" s="535">
        <v>4520.3827099999999</v>
      </c>
      <c r="G51" s="535" t="s">
        <v>26</v>
      </c>
      <c r="H51" s="535">
        <v>43308.004269999998</v>
      </c>
      <c r="I51" s="535">
        <v>488.57327000000004</v>
      </c>
    </row>
    <row r="52" spans="1:11" ht="15.95" customHeight="1" x14ac:dyDescent="0.3">
      <c r="A52" s="543" t="s">
        <v>67</v>
      </c>
      <c r="B52" s="534">
        <v>39879.512770000001</v>
      </c>
      <c r="C52" s="535">
        <v>29.070910000000001</v>
      </c>
      <c r="D52" s="535">
        <v>1959.2654700000001</v>
      </c>
      <c r="E52" s="535">
        <v>1530.9572499999999</v>
      </c>
      <c r="F52" s="535">
        <v>36360.182639999999</v>
      </c>
      <c r="G52" s="535" t="s">
        <v>26</v>
      </c>
      <c r="H52" s="535" t="s">
        <v>26</v>
      </c>
      <c r="I52" s="535" t="s">
        <v>26</v>
      </c>
    </row>
    <row r="53" spans="1:11" ht="15.95" customHeight="1" x14ac:dyDescent="0.3">
      <c r="A53" s="543" t="s">
        <v>305</v>
      </c>
      <c r="B53" s="534">
        <v>1158.55035</v>
      </c>
      <c r="C53" s="535" t="s">
        <v>26</v>
      </c>
      <c r="D53" s="535" t="s">
        <v>26</v>
      </c>
      <c r="E53" s="535">
        <v>870.75319999999999</v>
      </c>
      <c r="F53" s="535">
        <v>287.79715000000004</v>
      </c>
      <c r="G53" s="535" t="s">
        <v>26</v>
      </c>
      <c r="H53" s="535" t="s">
        <v>26</v>
      </c>
      <c r="I53" s="535" t="s">
        <v>26</v>
      </c>
    </row>
    <row r="54" spans="1:11" ht="15.95" customHeight="1" x14ac:dyDescent="0.3">
      <c r="A54" s="543" t="s">
        <v>68</v>
      </c>
      <c r="B54" s="534">
        <v>192707.6167380001</v>
      </c>
      <c r="C54" s="535" t="s">
        <v>26</v>
      </c>
      <c r="D54" s="535">
        <v>5562.4931299999998</v>
      </c>
      <c r="E54" s="535">
        <v>581.41700000000003</v>
      </c>
      <c r="F54" s="535">
        <v>17469.592989999997</v>
      </c>
      <c r="G54" s="535" t="s">
        <v>26</v>
      </c>
      <c r="H54" s="535">
        <v>169094.11361800009</v>
      </c>
      <c r="I54" s="535" t="s">
        <v>26</v>
      </c>
    </row>
    <row r="55" spans="1:11" ht="15.95" customHeight="1" x14ac:dyDescent="0.3">
      <c r="A55" s="543" t="s">
        <v>69</v>
      </c>
      <c r="B55" s="534">
        <v>114106.91679999999</v>
      </c>
      <c r="C55" s="535" t="s">
        <v>26</v>
      </c>
      <c r="D55" s="535">
        <v>11280.26505</v>
      </c>
      <c r="E55" s="535">
        <v>695.88565000000006</v>
      </c>
      <c r="F55" s="535">
        <v>25632.181570000001</v>
      </c>
      <c r="G55" s="535">
        <v>97.597999999999999</v>
      </c>
      <c r="H55" s="535">
        <v>76400.986529999995</v>
      </c>
      <c r="I55" s="535" t="s">
        <v>26</v>
      </c>
    </row>
    <row r="56" spans="1:11" ht="15.95" customHeight="1" x14ac:dyDescent="0.3">
      <c r="A56" s="544" t="s">
        <v>70</v>
      </c>
      <c r="B56" s="539">
        <v>522049.80422560597</v>
      </c>
      <c r="C56" s="540" t="s">
        <v>26</v>
      </c>
      <c r="D56" s="540">
        <v>1318.59421</v>
      </c>
      <c r="E56" s="540" t="s">
        <v>26</v>
      </c>
      <c r="F56" s="540">
        <v>11018.29772</v>
      </c>
      <c r="G56" s="540">
        <v>49.51211</v>
      </c>
      <c r="H56" s="540">
        <v>509628.71058560599</v>
      </c>
      <c r="I56" s="540">
        <v>34.689599999999999</v>
      </c>
    </row>
    <row r="57" spans="1:11" ht="12" customHeight="1" x14ac:dyDescent="0.25">
      <c r="I57" s="133" t="s">
        <v>58</v>
      </c>
    </row>
    <row r="58" spans="1:11" ht="25.9" customHeight="1" x14ac:dyDescent="0.25">
      <c r="A58" s="698" t="s">
        <v>433</v>
      </c>
      <c r="B58" s="698"/>
      <c r="C58" s="698"/>
      <c r="D58" s="698"/>
      <c r="E58" s="698"/>
      <c r="F58" s="698"/>
      <c r="G58" s="698"/>
      <c r="H58" s="698"/>
      <c r="I58" s="698"/>
    </row>
    <row r="59" spans="1:11" ht="14.1" customHeight="1" x14ac:dyDescent="0.3">
      <c r="A59" s="697" t="s">
        <v>322</v>
      </c>
      <c r="B59" s="697"/>
      <c r="C59" s="697"/>
      <c r="D59" s="697"/>
      <c r="E59" s="697"/>
      <c r="F59" s="697"/>
      <c r="G59" s="697"/>
      <c r="H59" s="697"/>
      <c r="I59" s="697"/>
      <c r="K59" s="226"/>
    </row>
    <row r="60" spans="1:11" ht="12" customHeight="1" x14ac:dyDescent="0.3">
      <c r="I60" s="241" t="s">
        <v>59</v>
      </c>
      <c r="K60" s="227"/>
    </row>
    <row r="61" spans="1:11" ht="48.75" customHeight="1" x14ac:dyDescent="0.25">
      <c r="A61" s="286" t="s">
        <v>298</v>
      </c>
      <c r="B61" s="537" t="s">
        <v>190</v>
      </c>
      <c r="C61" s="537" t="s">
        <v>21</v>
      </c>
      <c r="D61" s="287" t="s">
        <v>20</v>
      </c>
      <c r="E61" s="287" t="s">
        <v>309</v>
      </c>
      <c r="F61" s="537" t="s">
        <v>22</v>
      </c>
      <c r="G61" s="537" t="s">
        <v>23</v>
      </c>
      <c r="H61" s="537" t="s">
        <v>310</v>
      </c>
      <c r="I61" s="537" t="s">
        <v>421</v>
      </c>
    </row>
    <row r="62" spans="1:11" ht="15.95" customHeight="1" x14ac:dyDescent="0.3">
      <c r="A62" s="543" t="s">
        <v>71</v>
      </c>
      <c r="B62" s="534">
        <v>19517.121599999999</v>
      </c>
      <c r="C62" s="535" t="s">
        <v>26</v>
      </c>
      <c r="D62" s="535">
        <v>692.7414</v>
      </c>
      <c r="E62" s="535">
        <v>115.40196</v>
      </c>
      <c r="F62" s="535">
        <v>7258.0709400000005</v>
      </c>
      <c r="G62" s="535">
        <v>200.33971</v>
      </c>
      <c r="H62" s="535">
        <v>11218.031590000001</v>
      </c>
      <c r="I62" s="535">
        <v>32.536000000000001</v>
      </c>
    </row>
    <row r="63" spans="1:11" ht="15.95" customHeight="1" x14ac:dyDescent="0.3">
      <c r="A63" s="543" t="s">
        <v>72</v>
      </c>
      <c r="B63" s="534">
        <v>239516.63295861869</v>
      </c>
      <c r="C63" s="535" t="s">
        <v>26</v>
      </c>
      <c r="D63" s="535">
        <v>30592.718649999999</v>
      </c>
      <c r="E63" s="535">
        <v>49.424399999999999</v>
      </c>
      <c r="F63" s="535">
        <v>29481.18262</v>
      </c>
      <c r="G63" s="535">
        <v>13.316000000000001</v>
      </c>
      <c r="H63" s="535">
        <v>167211.15107861871</v>
      </c>
      <c r="I63" s="535">
        <v>12168.84021</v>
      </c>
    </row>
    <row r="64" spans="1:11" ht="15.95" customHeight="1" x14ac:dyDescent="0.3">
      <c r="A64" s="543" t="s">
        <v>89</v>
      </c>
      <c r="B64" s="534">
        <v>79183.255210000003</v>
      </c>
      <c r="C64" s="535" t="s">
        <v>26</v>
      </c>
      <c r="D64" s="535" t="s">
        <v>26</v>
      </c>
      <c r="E64" s="535">
        <v>68.722999999999999</v>
      </c>
      <c r="F64" s="535">
        <v>12776.68866</v>
      </c>
      <c r="G64" s="535">
        <v>27.37152</v>
      </c>
      <c r="H64" s="535">
        <v>66310.472030000004</v>
      </c>
      <c r="I64" s="535" t="s">
        <v>26</v>
      </c>
    </row>
    <row r="65" spans="1:9" ht="15.95" customHeight="1" x14ac:dyDescent="0.3">
      <c r="A65" s="543" t="s">
        <v>73</v>
      </c>
      <c r="B65" s="534">
        <v>32587.556649999999</v>
      </c>
      <c r="C65" s="535" t="s">
        <v>26</v>
      </c>
      <c r="D65" s="535" t="s">
        <v>26</v>
      </c>
      <c r="E65" s="535">
        <v>1613.5924</v>
      </c>
      <c r="F65" s="535">
        <v>9667.7482500000006</v>
      </c>
      <c r="G65" s="535">
        <v>23.652000000000001</v>
      </c>
      <c r="H65" s="535">
        <v>21282.563999999998</v>
      </c>
      <c r="I65" s="535" t="s">
        <v>26</v>
      </c>
    </row>
    <row r="66" spans="1:9" ht="15.95" customHeight="1" x14ac:dyDescent="0.3">
      <c r="A66" s="543" t="s">
        <v>74</v>
      </c>
      <c r="B66" s="534">
        <v>54211.827339999996</v>
      </c>
      <c r="C66" s="535" t="s">
        <v>26</v>
      </c>
      <c r="D66" s="535">
        <v>27037.129199999999</v>
      </c>
      <c r="E66" s="535">
        <v>2524.0502000000001</v>
      </c>
      <c r="F66" s="535">
        <v>21941.254379999998</v>
      </c>
      <c r="G66" s="535">
        <v>1346.723</v>
      </c>
      <c r="H66" s="535" t="s">
        <v>26</v>
      </c>
      <c r="I66" s="535">
        <v>1362.67056</v>
      </c>
    </row>
    <row r="67" spans="1:9" ht="15.95" customHeight="1" x14ac:dyDescent="0.3">
      <c r="A67" s="543" t="s">
        <v>75</v>
      </c>
      <c r="B67" s="534">
        <v>26641.52773999999</v>
      </c>
      <c r="C67" s="535" t="s">
        <v>26</v>
      </c>
      <c r="D67" s="535">
        <v>746.90247999999997</v>
      </c>
      <c r="E67" s="535" t="s">
        <v>26</v>
      </c>
      <c r="F67" s="535">
        <v>3006.9340699999998</v>
      </c>
      <c r="G67" s="535">
        <v>12.614000000000001</v>
      </c>
      <c r="H67" s="535">
        <v>22875.077189999989</v>
      </c>
      <c r="I67" s="535" t="s">
        <v>26</v>
      </c>
    </row>
    <row r="68" spans="1:9" ht="15.95" customHeight="1" x14ac:dyDescent="0.3">
      <c r="A68" s="543" t="s">
        <v>76</v>
      </c>
      <c r="B68" s="534">
        <v>53361.631199999996</v>
      </c>
      <c r="C68" s="535" t="s">
        <v>26</v>
      </c>
      <c r="D68" s="535">
        <v>8347.6147999999994</v>
      </c>
      <c r="E68" s="535">
        <v>4.9560000000000004</v>
      </c>
      <c r="F68" s="535">
        <v>17047.918899999997</v>
      </c>
      <c r="G68" s="535" t="s">
        <v>26</v>
      </c>
      <c r="H68" s="535">
        <v>5477.4615100000001</v>
      </c>
      <c r="I68" s="535">
        <v>22483.679989999997</v>
      </c>
    </row>
    <row r="69" spans="1:9" ht="15.95" customHeight="1" x14ac:dyDescent="0.3">
      <c r="A69" s="543" t="s">
        <v>77</v>
      </c>
      <c r="B69" s="534">
        <v>603876.32973999996</v>
      </c>
      <c r="C69" s="535" t="s">
        <v>26</v>
      </c>
      <c r="D69" s="535">
        <v>122431.04918</v>
      </c>
      <c r="E69" s="535">
        <v>32382.054840000001</v>
      </c>
      <c r="F69" s="535">
        <v>121560.68136</v>
      </c>
      <c r="G69" s="535">
        <v>13414.215480000001</v>
      </c>
      <c r="H69" s="535">
        <v>280461.63994999998</v>
      </c>
      <c r="I69" s="535">
        <v>33626.688929999997</v>
      </c>
    </row>
    <row r="70" spans="1:9" ht="15.95" customHeight="1" x14ac:dyDescent="0.3">
      <c r="A70" s="543" t="s">
        <v>151</v>
      </c>
      <c r="B70" s="534">
        <v>259401.40773428569</v>
      </c>
      <c r="C70" s="535" t="s">
        <v>26</v>
      </c>
      <c r="D70" s="535">
        <v>54834.97552</v>
      </c>
      <c r="E70" s="535">
        <v>791.63106000000005</v>
      </c>
      <c r="F70" s="535">
        <v>17059.5065</v>
      </c>
      <c r="G70" s="535" t="s">
        <v>26</v>
      </c>
      <c r="H70" s="535">
        <v>180220.5708042857</v>
      </c>
      <c r="I70" s="535">
        <v>6494.7238499999994</v>
      </c>
    </row>
    <row r="71" spans="1:9" ht="15.95" customHeight="1" x14ac:dyDescent="0.3">
      <c r="A71" s="543" t="s">
        <v>110</v>
      </c>
      <c r="B71" s="534">
        <v>417411.93932008225</v>
      </c>
      <c r="C71" s="535" t="s">
        <v>26</v>
      </c>
      <c r="D71" s="535">
        <v>19645.890339999998</v>
      </c>
      <c r="E71" s="535">
        <v>13.369200000000001</v>
      </c>
      <c r="F71" s="535">
        <v>32086.481170000003</v>
      </c>
      <c r="G71" s="535">
        <v>123.3043</v>
      </c>
      <c r="H71" s="535">
        <v>365542.89431008225</v>
      </c>
      <c r="I71" s="535" t="s">
        <v>26</v>
      </c>
    </row>
    <row r="72" spans="1:9" ht="15.95" customHeight="1" x14ac:dyDescent="0.3">
      <c r="A72" s="543" t="s">
        <v>306</v>
      </c>
      <c r="B72" s="534">
        <v>165794.02784999998</v>
      </c>
      <c r="C72" s="535" t="s">
        <v>26</v>
      </c>
      <c r="D72" s="535" t="s">
        <v>26</v>
      </c>
      <c r="E72" s="535">
        <v>54.557960000000001</v>
      </c>
      <c r="F72" s="535">
        <v>24583.474489999997</v>
      </c>
      <c r="G72" s="535">
        <v>21.314799999999998</v>
      </c>
      <c r="H72" s="535">
        <v>140354.47719999999</v>
      </c>
      <c r="I72" s="535">
        <v>780.20339999999999</v>
      </c>
    </row>
    <row r="73" spans="1:9" ht="15.95" customHeight="1" x14ac:dyDescent="0.3">
      <c r="A73" s="543" t="s">
        <v>78</v>
      </c>
      <c r="B73" s="534">
        <v>85257.013154899993</v>
      </c>
      <c r="C73" s="535" t="s">
        <v>26</v>
      </c>
      <c r="D73" s="535">
        <v>21.7728</v>
      </c>
      <c r="E73" s="535" t="s">
        <v>26</v>
      </c>
      <c r="F73" s="535">
        <v>17233.999239999997</v>
      </c>
      <c r="G73" s="535" t="s">
        <v>26</v>
      </c>
      <c r="H73" s="535">
        <v>65025.843174900001</v>
      </c>
      <c r="I73" s="535">
        <v>2975.3979399999998</v>
      </c>
    </row>
    <row r="74" spans="1:9" ht="15.95" customHeight="1" x14ac:dyDescent="0.3">
      <c r="A74" s="543" t="s">
        <v>79</v>
      </c>
      <c r="B74" s="534">
        <v>121325.72302940255</v>
      </c>
      <c r="C74" s="535" t="s">
        <v>26</v>
      </c>
      <c r="D74" s="535" t="s">
        <v>26</v>
      </c>
      <c r="E74" s="535">
        <v>38.273960000000002</v>
      </c>
      <c r="F74" s="535">
        <v>6981.8098300000001</v>
      </c>
      <c r="G74" s="535" t="s">
        <v>26</v>
      </c>
      <c r="H74" s="535">
        <v>99813.105599402537</v>
      </c>
      <c r="I74" s="535">
        <v>14492.533640000001</v>
      </c>
    </row>
    <row r="75" spans="1:9" ht="15.95" customHeight="1" x14ac:dyDescent="0.3">
      <c r="A75" s="543" t="s">
        <v>80</v>
      </c>
      <c r="B75" s="534">
        <v>53307.515644799998</v>
      </c>
      <c r="C75" s="535" t="s">
        <v>26</v>
      </c>
      <c r="D75" s="535">
        <v>946.08</v>
      </c>
      <c r="E75" s="535">
        <v>136.52016</v>
      </c>
      <c r="F75" s="535">
        <v>10435.453009999999</v>
      </c>
      <c r="G75" s="535">
        <v>20.813759999999998</v>
      </c>
      <c r="H75" s="535">
        <v>41768.333714799999</v>
      </c>
      <c r="I75" s="535" t="s">
        <v>26</v>
      </c>
    </row>
    <row r="76" spans="1:9" ht="15.95" customHeight="1" x14ac:dyDescent="0.3">
      <c r="A76" s="543" t="s">
        <v>81</v>
      </c>
      <c r="B76" s="534">
        <v>53738.983446572682</v>
      </c>
      <c r="C76" s="535" t="s">
        <v>26</v>
      </c>
      <c r="D76" s="535">
        <v>7475.0627500000001</v>
      </c>
      <c r="E76" s="535">
        <v>375.33864</v>
      </c>
      <c r="F76" s="535">
        <v>33338.830219999996</v>
      </c>
      <c r="G76" s="535">
        <v>1.96224</v>
      </c>
      <c r="H76" s="535">
        <v>12526.187496572687</v>
      </c>
      <c r="I76" s="535">
        <v>21.6021</v>
      </c>
    </row>
    <row r="77" spans="1:9" ht="15.95" customHeight="1" x14ac:dyDescent="0.3">
      <c r="A77" s="543" t="s">
        <v>307</v>
      </c>
      <c r="B77" s="534">
        <v>101617.06662367249</v>
      </c>
      <c r="C77" s="535" t="s">
        <v>26</v>
      </c>
      <c r="D77" s="535" t="s">
        <v>26</v>
      </c>
      <c r="E77" s="535">
        <v>13.56</v>
      </c>
      <c r="F77" s="535">
        <v>7583.4005199999992</v>
      </c>
      <c r="G77" s="535" t="s">
        <v>26</v>
      </c>
      <c r="H77" s="535">
        <v>94020.1061036725</v>
      </c>
      <c r="I77" s="535" t="s">
        <v>26</v>
      </c>
    </row>
    <row r="78" spans="1:9" ht="15.95" customHeight="1" x14ac:dyDescent="0.3">
      <c r="A78" s="543" t="s">
        <v>82</v>
      </c>
      <c r="B78" s="534">
        <v>90232.455219999989</v>
      </c>
      <c r="C78" s="535" t="s">
        <v>26</v>
      </c>
      <c r="D78" s="535">
        <v>81346.282930000001</v>
      </c>
      <c r="E78" s="535">
        <v>22.265499999999999</v>
      </c>
      <c r="F78" s="535">
        <v>7903.3981100000001</v>
      </c>
      <c r="G78" s="535">
        <v>101.196</v>
      </c>
      <c r="H78" s="535">
        <v>15.552</v>
      </c>
      <c r="I78" s="535">
        <v>843.76068000000009</v>
      </c>
    </row>
    <row r="79" spans="1:9" ht="15.95" customHeight="1" x14ac:dyDescent="0.3">
      <c r="A79" s="543" t="s">
        <v>83</v>
      </c>
      <c r="B79" s="534">
        <v>31734.694672168163</v>
      </c>
      <c r="C79" s="535" t="s">
        <v>26</v>
      </c>
      <c r="D79" s="535">
        <v>8175.0535300000001</v>
      </c>
      <c r="E79" s="535">
        <v>71.994619999999998</v>
      </c>
      <c r="F79" s="535">
        <v>5253.0172699999994</v>
      </c>
      <c r="G79" s="535">
        <v>4.7303999999999995</v>
      </c>
      <c r="H79" s="535">
        <v>16544.580842168165</v>
      </c>
      <c r="I79" s="535">
        <v>1685.31801</v>
      </c>
    </row>
    <row r="80" spans="1:9" ht="15.95" customHeight="1" x14ac:dyDescent="0.3">
      <c r="A80" s="526" t="s">
        <v>12</v>
      </c>
      <c r="B80" s="289">
        <v>492472.76886332082</v>
      </c>
      <c r="C80" s="535" t="s">
        <v>26</v>
      </c>
      <c r="D80" s="536">
        <v>28797.242840000003</v>
      </c>
      <c r="E80" s="536">
        <v>111.98694999999999</v>
      </c>
      <c r="F80" s="536">
        <v>49359.652730000002</v>
      </c>
      <c r="G80" s="536">
        <v>313.34899999999999</v>
      </c>
      <c r="H80" s="536">
        <v>409040.32466332079</v>
      </c>
      <c r="I80" s="536">
        <v>4850.2126799999996</v>
      </c>
    </row>
    <row r="81" spans="1:9" ht="15.95" customHeight="1" x14ac:dyDescent="0.3">
      <c r="A81" s="543" t="s">
        <v>84</v>
      </c>
      <c r="B81" s="534">
        <v>117115.87502607047</v>
      </c>
      <c r="C81" s="535" t="s">
        <v>26</v>
      </c>
      <c r="D81" s="535">
        <v>23606.105</v>
      </c>
      <c r="E81" s="535">
        <v>96.531999999999996</v>
      </c>
      <c r="F81" s="535">
        <v>5627.0280000000002</v>
      </c>
      <c r="G81" s="535">
        <v>16.741</v>
      </c>
      <c r="H81" s="535">
        <v>84823.59602607046</v>
      </c>
      <c r="I81" s="535">
        <v>2945.873</v>
      </c>
    </row>
    <row r="82" spans="1:9" ht="15.95" customHeight="1" x14ac:dyDescent="0.3">
      <c r="A82" s="543" t="s">
        <v>85</v>
      </c>
      <c r="B82" s="534">
        <v>47431.810786199974</v>
      </c>
      <c r="C82" s="535" t="s">
        <v>26</v>
      </c>
      <c r="D82" s="535">
        <v>353.399</v>
      </c>
      <c r="E82" s="535" t="s">
        <v>26</v>
      </c>
      <c r="F82" s="535">
        <v>5042.8942300000008</v>
      </c>
      <c r="G82" s="535">
        <v>296.608</v>
      </c>
      <c r="H82" s="535">
        <v>40988.20251619997</v>
      </c>
      <c r="I82" s="535">
        <v>750.70704000000001</v>
      </c>
    </row>
    <row r="83" spans="1:9" ht="15.95" customHeight="1" x14ac:dyDescent="0.3">
      <c r="A83" s="543" t="s">
        <v>86</v>
      </c>
      <c r="B83" s="534">
        <v>104870.25773799997</v>
      </c>
      <c r="C83" s="535" t="s">
        <v>26</v>
      </c>
      <c r="D83" s="535">
        <v>228.95</v>
      </c>
      <c r="E83" s="535">
        <v>12.029</v>
      </c>
      <c r="F83" s="535">
        <v>16448.547599999998</v>
      </c>
      <c r="G83" s="535" t="s">
        <v>26</v>
      </c>
      <c r="H83" s="535">
        <v>87027.098497999978</v>
      </c>
      <c r="I83" s="535">
        <v>1153.6326399999998</v>
      </c>
    </row>
    <row r="84" spans="1:9" ht="15.95" customHeight="1" x14ac:dyDescent="0.3">
      <c r="A84" s="544" t="s">
        <v>87</v>
      </c>
      <c r="B84" s="539">
        <v>223054.82531305042</v>
      </c>
      <c r="C84" s="540" t="s">
        <v>26</v>
      </c>
      <c r="D84" s="540">
        <v>4608.7888400000002</v>
      </c>
      <c r="E84" s="540">
        <v>3.4259499999999998</v>
      </c>
      <c r="F84" s="540">
        <v>22241.1829</v>
      </c>
      <c r="G84" s="540" t="s">
        <v>26</v>
      </c>
      <c r="H84" s="540">
        <v>196201.4276230504</v>
      </c>
      <c r="I84" s="540" t="s">
        <v>26</v>
      </c>
    </row>
    <row r="85" spans="1:9" s="545" customFormat="1" ht="12" customHeight="1" x14ac:dyDescent="0.25">
      <c r="A85" s="261" t="s">
        <v>370</v>
      </c>
      <c r="B85" s="163"/>
      <c r="C85" s="168"/>
      <c r="D85" s="168"/>
      <c r="E85" s="168"/>
      <c r="F85" s="168"/>
      <c r="G85" s="168"/>
      <c r="H85" s="168"/>
      <c r="I85" s="22"/>
    </row>
    <row r="86" spans="1:9" s="545" customFormat="1" ht="12" customHeight="1" x14ac:dyDescent="0.25">
      <c r="A86" s="546" t="s">
        <v>88</v>
      </c>
      <c r="B86" s="163"/>
      <c r="C86" s="547"/>
      <c r="D86" s="547"/>
      <c r="E86" s="547"/>
      <c r="F86" s="547"/>
      <c r="G86" s="548"/>
      <c r="H86" s="547"/>
      <c r="I86" s="549"/>
    </row>
  </sheetData>
  <mergeCells count="4">
    <mergeCell ref="A1:I1"/>
    <mergeCell ref="A2:I2"/>
    <mergeCell ref="A58:I58"/>
    <mergeCell ref="A59:I5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86"/>
  <sheetViews>
    <sheetView workbookViewId="0">
      <selection activeCell="J25" sqref="J25"/>
    </sheetView>
  </sheetViews>
  <sheetFormatPr baseColWidth="10" defaultRowHeight="15" x14ac:dyDescent="0.25"/>
  <cols>
    <col min="1" max="1" width="27.7109375" style="258" customWidth="1"/>
    <col min="2" max="9" width="10.5703125" style="258" customWidth="1"/>
    <col min="10" max="16384" width="11.42578125" style="258"/>
  </cols>
  <sheetData>
    <row r="1" spans="1:9" ht="17.45" customHeight="1" x14ac:dyDescent="0.25">
      <c r="A1" s="698" t="s">
        <v>434</v>
      </c>
      <c r="B1" s="698"/>
      <c r="C1" s="698"/>
      <c r="D1" s="698"/>
      <c r="E1" s="698"/>
      <c r="F1" s="698"/>
      <c r="G1" s="698"/>
      <c r="H1" s="698"/>
      <c r="I1" s="698"/>
    </row>
    <row r="2" spans="1:9" x14ac:dyDescent="0.25">
      <c r="A2" s="697" t="s">
        <v>322</v>
      </c>
      <c r="B2" s="697"/>
      <c r="C2" s="697"/>
      <c r="D2" s="697"/>
      <c r="E2" s="697"/>
      <c r="F2" s="697"/>
      <c r="G2" s="697"/>
      <c r="H2" s="697"/>
      <c r="I2" s="697"/>
    </row>
    <row r="3" spans="1:9" ht="3" customHeight="1" x14ac:dyDescent="0.25">
      <c r="A3" s="196"/>
      <c r="B3" s="197"/>
      <c r="C3" s="197"/>
      <c r="D3" s="197"/>
      <c r="E3" s="197"/>
      <c r="F3" s="197"/>
      <c r="G3" s="197"/>
      <c r="H3" s="197"/>
      <c r="I3" s="197"/>
    </row>
    <row r="4" spans="1:9" ht="37.5" customHeight="1" x14ac:dyDescent="0.25">
      <c r="A4" s="286" t="s">
        <v>298</v>
      </c>
      <c r="B4" s="537" t="s">
        <v>190</v>
      </c>
      <c r="C4" s="537" t="s">
        <v>21</v>
      </c>
      <c r="D4" s="287" t="s">
        <v>20</v>
      </c>
      <c r="E4" s="287" t="s">
        <v>309</v>
      </c>
      <c r="F4" s="537" t="s">
        <v>22</v>
      </c>
      <c r="G4" s="537" t="s">
        <v>23</v>
      </c>
      <c r="H4" s="537" t="s">
        <v>310</v>
      </c>
      <c r="I4" s="537" t="s">
        <v>421</v>
      </c>
    </row>
    <row r="5" spans="1:9" ht="3" customHeight="1" x14ac:dyDescent="0.3">
      <c r="A5" s="541"/>
      <c r="B5" s="528"/>
      <c r="C5" s="529"/>
      <c r="D5" s="530"/>
      <c r="E5" s="530"/>
      <c r="F5" s="530"/>
      <c r="G5" s="530"/>
      <c r="H5" s="531"/>
      <c r="I5" s="531"/>
    </row>
    <row r="6" spans="1:9" ht="15.95" customHeight="1" x14ac:dyDescent="0.25">
      <c r="A6" s="542" t="s">
        <v>3</v>
      </c>
      <c r="B6" s="532">
        <v>18859238.696972754</v>
      </c>
      <c r="C6" s="532">
        <v>179.59316999999999</v>
      </c>
      <c r="D6" s="532">
        <v>735515.75559999992</v>
      </c>
      <c r="E6" s="532">
        <v>56255.404920000001</v>
      </c>
      <c r="F6" s="532">
        <v>1730585.93716</v>
      </c>
      <c r="G6" s="532">
        <v>17650.52447</v>
      </c>
      <c r="H6" s="532">
        <v>16139001.942922752</v>
      </c>
      <c r="I6" s="532">
        <v>180049.53873</v>
      </c>
    </row>
    <row r="7" spans="1:9" ht="15.95" customHeight="1" x14ac:dyDescent="0.25">
      <c r="A7" s="526" t="s">
        <v>8</v>
      </c>
      <c r="B7" s="289">
        <v>13142206.94926345</v>
      </c>
      <c r="C7" s="289">
        <v>140.22036</v>
      </c>
      <c r="D7" s="289">
        <v>268203.3578</v>
      </c>
      <c r="E7" s="289">
        <v>43949.165280000001</v>
      </c>
      <c r="F7" s="289">
        <v>1032304.18536</v>
      </c>
      <c r="G7" s="289">
        <v>3006.2372600000003</v>
      </c>
      <c r="H7" s="289">
        <v>11728151.758683449</v>
      </c>
      <c r="I7" s="289">
        <v>66452.024519999992</v>
      </c>
    </row>
    <row r="8" spans="1:9" ht="15.95" customHeight="1" x14ac:dyDescent="0.3">
      <c r="A8" s="543" t="s">
        <v>311</v>
      </c>
      <c r="B8" s="534">
        <v>340026.76873243105</v>
      </c>
      <c r="C8" s="535" t="s">
        <v>26</v>
      </c>
      <c r="D8" s="535" t="s">
        <v>26</v>
      </c>
      <c r="E8" s="535" t="s">
        <v>26</v>
      </c>
      <c r="F8" s="535">
        <v>21548.16404</v>
      </c>
      <c r="G8" s="535" t="s">
        <v>26</v>
      </c>
      <c r="H8" s="535">
        <v>302975.49676243105</v>
      </c>
      <c r="I8" s="535">
        <v>15503.10793</v>
      </c>
    </row>
    <row r="9" spans="1:9" ht="15.95" customHeight="1" x14ac:dyDescent="0.3">
      <c r="A9" s="543" t="s">
        <v>27</v>
      </c>
      <c r="B9" s="534">
        <v>73834.790726993844</v>
      </c>
      <c r="C9" s="535" t="s">
        <v>26</v>
      </c>
      <c r="D9" s="535" t="s">
        <v>26</v>
      </c>
      <c r="E9" s="535">
        <v>3.78</v>
      </c>
      <c r="F9" s="535">
        <v>12557.769390000001</v>
      </c>
      <c r="G9" s="535" t="s">
        <v>26</v>
      </c>
      <c r="H9" s="535">
        <v>60219.796186993844</v>
      </c>
      <c r="I9" s="535">
        <v>1053.44515</v>
      </c>
    </row>
    <row r="10" spans="1:9" ht="15.95" customHeight="1" x14ac:dyDescent="0.3">
      <c r="A10" s="543" t="s">
        <v>312</v>
      </c>
      <c r="B10" s="534">
        <v>270368.49837085156</v>
      </c>
      <c r="C10" s="535" t="s">
        <v>26</v>
      </c>
      <c r="D10" s="535" t="s">
        <v>26</v>
      </c>
      <c r="E10" s="535">
        <v>861.66192000000001</v>
      </c>
      <c r="F10" s="535">
        <v>6874.16957</v>
      </c>
      <c r="G10" s="535">
        <v>912.8</v>
      </c>
      <c r="H10" s="535">
        <v>261570.15528085161</v>
      </c>
      <c r="I10" s="535">
        <v>149.7116</v>
      </c>
    </row>
    <row r="11" spans="1:9" ht="15.95" customHeight="1" x14ac:dyDescent="0.3">
      <c r="A11" s="543" t="s">
        <v>29</v>
      </c>
      <c r="B11" s="534">
        <v>707486.95930970018</v>
      </c>
      <c r="C11" s="535" t="s">
        <v>26</v>
      </c>
      <c r="D11" s="535" t="s">
        <v>26</v>
      </c>
      <c r="E11" s="535">
        <v>1466.4556299999999</v>
      </c>
      <c r="F11" s="535">
        <v>85855.849159999998</v>
      </c>
      <c r="G11" s="535">
        <v>1487.2811499999998</v>
      </c>
      <c r="H11" s="535">
        <v>582086.4333697001</v>
      </c>
      <c r="I11" s="535">
        <v>36590.94</v>
      </c>
    </row>
    <row r="12" spans="1:9" ht="15.95" customHeight="1" x14ac:dyDescent="0.3">
      <c r="A12" s="543" t="s">
        <v>30</v>
      </c>
      <c r="B12" s="534">
        <v>535076.98119110009</v>
      </c>
      <c r="C12" s="535" t="s">
        <v>26</v>
      </c>
      <c r="D12" s="535" t="s">
        <v>26</v>
      </c>
      <c r="E12" s="535">
        <v>1678.7929999999999</v>
      </c>
      <c r="F12" s="535">
        <v>6115.1679999999997</v>
      </c>
      <c r="G12" s="535">
        <v>65.819999999999993</v>
      </c>
      <c r="H12" s="535">
        <v>527197.70019110013</v>
      </c>
      <c r="I12" s="535">
        <v>19.5</v>
      </c>
    </row>
    <row r="13" spans="1:9" ht="15.95" customHeight="1" x14ac:dyDescent="0.3">
      <c r="A13" s="543" t="s">
        <v>31</v>
      </c>
      <c r="B13" s="534">
        <v>615145.99118000001</v>
      </c>
      <c r="C13" s="535" t="s">
        <v>26</v>
      </c>
      <c r="D13" s="535" t="s">
        <v>26</v>
      </c>
      <c r="E13" s="535">
        <v>12.154</v>
      </c>
      <c r="F13" s="535">
        <v>4605.5345599999991</v>
      </c>
      <c r="G13" s="535" t="s">
        <v>26</v>
      </c>
      <c r="H13" s="535">
        <v>609839.28923999995</v>
      </c>
      <c r="I13" s="535">
        <v>689.01337999999998</v>
      </c>
    </row>
    <row r="14" spans="1:9" ht="15.95" customHeight="1" x14ac:dyDescent="0.3">
      <c r="A14" s="543" t="s">
        <v>32</v>
      </c>
      <c r="B14" s="534">
        <v>313590.72625199991</v>
      </c>
      <c r="C14" s="535" t="s">
        <v>26</v>
      </c>
      <c r="D14" s="535" t="s">
        <v>26</v>
      </c>
      <c r="E14" s="535" t="s">
        <v>26</v>
      </c>
      <c r="F14" s="535">
        <v>2715.4906099999998</v>
      </c>
      <c r="G14" s="535" t="s">
        <v>26</v>
      </c>
      <c r="H14" s="535">
        <v>310094.90419199993</v>
      </c>
      <c r="I14" s="535">
        <v>780.3314499999999</v>
      </c>
    </row>
    <row r="15" spans="1:9" ht="15.95" customHeight="1" x14ac:dyDescent="0.3">
      <c r="A15" s="543" t="s">
        <v>422</v>
      </c>
      <c r="B15" s="534">
        <v>74468.78349999999</v>
      </c>
      <c r="C15" s="535" t="s">
        <v>26</v>
      </c>
      <c r="D15" s="535" t="s">
        <v>26</v>
      </c>
      <c r="E15" s="535" t="s">
        <v>26</v>
      </c>
      <c r="F15" s="535">
        <v>2999.9158900000002</v>
      </c>
      <c r="G15" s="535" t="s">
        <v>26</v>
      </c>
      <c r="H15" s="535">
        <v>71250.683329999985</v>
      </c>
      <c r="I15" s="535">
        <v>218.18428</v>
      </c>
    </row>
    <row r="16" spans="1:9" ht="15.95" customHeight="1" x14ac:dyDescent="0.3">
      <c r="A16" s="543" t="s">
        <v>34</v>
      </c>
      <c r="B16" s="534">
        <v>79447.97263199999</v>
      </c>
      <c r="C16" s="535" t="s">
        <v>26</v>
      </c>
      <c r="D16" s="535" t="s">
        <v>26</v>
      </c>
      <c r="E16" s="535" t="s">
        <v>26</v>
      </c>
      <c r="F16" s="535">
        <v>1633.26974</v>
      </c>
      <c r="G16" s="535" t="s">
        <v>26</v>
      </c>
      <c r="H16" s="535">
        <v>77753.955891999984</v>
      </c>
      <c r="I16" s="535">
        <v>60.747</v>
      </c>
    </row>
    <row r="17" spans="1:9" ht="15.95" customHeight="1" x14ac:dyDescent="0.3">
      <c r="A17" s="543" t="s">
        <v>35</v>
      </c>
      <c r="B17" s="534">
        <v>92160.30634999997</v>
      </c>
      <c r="C17" s="535" t="s">
        <v>26</v>
      </c>
      <c r="D17" s="535" t="s">
        <v>26</v>
      </c>
      <c r="E17" s="535">
        <v>4.2228000000000003</v>
      </c>
      <c r="F17" s="535">
        <v>60.157150000000001</v>
      </c>
      <c r="G17" s="535" t="s">
        <v>26</v>
      </c>
      <c r="H17" s="535">
        <v>92095.926399999968</v>
      </c>
      <c r="I17" s="535" t="s">
        <v>26</v>
      </c>
    </row>
    <row r="18" spans="1:9" ht="15.95" customHeight="1" x14ac:dyDescent="0.3">
      <c r="A18" s="543" t="s">
        <v>37</v>
      </c>
      <c r="B18" s="534">
        <v>212905.71336999998</v>
      </c>
      <c r="C18" s="535" t="s">
        <v>26</v>
      </c>
      <c r="D18" s="535" t="s">
        <v>26</v>
      </c>
      <c r="E18" s="535">
        <v>7.1909300000000007</v>
      </c>
      <c r="F18" s="535">
        <v>246.72444000000002</v>
      </c>
      <c r="G18" s="535" t="s">
        <v>26</v>
      </c>
      <c r="H18" s="535">
        <v>212648.32899999997</v>
      </c>
      <c r="I18" s="535">
        <v>3.4689999999999999</v>
      </c>
    </row>
    <row r="19" spans="1:9" ht="15.95" customHeight="1" x14ac:dyDescent="0.3">
      <c r="A19" s="543" t="s">
        <v>38</v>
      </c>
      <c r="B19" s="534">
        <v>109726.74066999997</v>
      </c>
      <c r="C19" s="535" t="s">
        <v>26</v>
      </c>
      <c r="D19" s="535" t="s">
        <v>26</v>
      </c>
      <c r="E19" s="535" t="s">
        <v>26</v>
      </c>
      <c r="F19" s="535">
        <v>258.66867000000002</v>
      </c>
      <c r="G19" s="535" t="s">
        <v>26</v>
      </c>
      <c r="H19" s="535">
        <v>109468.07199999997</v>
      </c>
      <c r="I19" s="535" t="s">
        <v>26</v>
      </c>
    </row>
    <row r="20" spans="1:9" ht="15.95" customHeight="1" x14ac:dyDescent="0.3">
      <c r="A20" s="543" t="s">
        <v>39</v>
      </c>
      <c r="B20" s="534">
        <v>406563.51995000005</v>
      </c>
      <c r="C20" s="535" t="s">
        <v>26</v>
      </c>
      <c r="D20" s="535">
        <v>5723.1360000000004</v>
      </c>
      <c r="E20" s="535">
        <v>1261.44</v>
      </c>
      <c r="F20" s="535">
        <v>3182.78458</v>
      </c>
      <c r="G20" s="535">
        <v>44.833370000000002</v>
      </c>
      <c r="H20" s="535">
        <v>395496.70000000007</v>
      </c>
      <c r="I20" s="535">
        <v>854.62599999999998</v>
      </c>
    </row>
    <row r="21" spans="1:9" ht="15.95" customHeight="1" x14ac:dyDescent="0.3">
      <c r="A21" s="543" t="s">
        <v>40</v>
      </c>
      <c r="B21" s="534">
        <v>816326.60991175007</v>
      </c>
      <c r="C21" s="535" t="s">
        <v>26</v>
      </c>
      <c r="D21" s="535" t="s">
        <v>26</v>
      </c>
      <c r="E21" s="535">
        <v>206.76848000000001</v>
      </c>
      <c r="F21" s="535">
        <v>646774.82819000003</v>
      </c>
      <c r="G21" s="535">
        <v>248.26320000000001</v>
      </c>
      <c r="H21" s="535">
        <v>163432.34087175</v>
      </c>
      <c r="I21" s="535">
        <v>5664.4091699999999</v>
      </c>
    </row>
    <row r="22" spans="1:9" ht="15.95" customHeight="1" x14ac:dyDescent="0.3">
      <c r="A22" s="543" t="s">
        <v>41</v>
      </c>
      <c r="B22" s="534">
        <v>335200.57864999998</v>
      </c>
      <c r="C22" s="535" t="s">
        <v>26</v>
      </c>
      <c r="D22" s="535" t="s">
        <v>26</v>
      </c>
      <c r="E22" s="535">
        <v>27.699919999999999</v>
      </c>
      <c r="F22" s="535">
        <v>5126.9660300000005</v>
      </c>
      <c r="G22" s="535">
        <v>22.895139999999998</v>
      </c>
      <c r="H22" s="535">
        <v>329281.86431999999</v>
      </c>
      <c r="I22" s="535">
        <v>741.15323999999998</v>
      </c>
    </row>
    <row r="23" spans="1:9" ht="15.95" customHeight="1" x14ac:dyDescent="0.3">
      <c r="A23" s="543" t="s">
        <v>42</v>
      </c>
      <c r="B23" s="534">
        <v>831010.78612000006</v>
      </c>
      <c r="C23" s="535" t="s">
        <v>26</v>
      </c>
      <c r="D23" s="535" t="s">
        <v>26</v>
      </c>
      <c r="E23" s="535">
        <v>7568.64</v>
      </c>
      <c r="F23" s="535">
        <v>8640.461220000001</v>
      </c>
      <c r="G23" s="535" t="s">
        <v>26</v>
      </c>
      <c r="H23" s="535">
        <v>813156.26983000012</v>
      </c>
      <c r="I23" s="535">
        <v>1645.41507</v>
      </c>
    </row>
    <row r="24" spans="1:9" ht="15.95" customHeight="1" x14ac:dyDescent="0.3">
      <c r="A24" s="543" t="s">
        <v>43</v>
      </c>
      <c r="B24" s="534">
        <v>485191.14091162389</v>
      </c>
      <c r="C24" s="535" t="s">
        <v>26</v>
      </c>
      <c r="D24" s="535" t="s">
        <v>26</v>
      </c>
      <c r="E24" s="535">
        <v>7076.6912599999996</v>
      </c>
      <c r="F24" s="535">
        <v>16868.11981</v>
      </c>
      <c r="G24" s="535" t="s">
        <v>26</v>
      </c>
      <c r="H24" s="535">
        <v>461103.75985162391</v>
      </c>
      <c r="I24" s="535">
        <v>142.46463</v>
      </c>
    </row>
    <row r="25" spans="1:9" ht="15.95" customHeight="1" x14ac:dyDescent="0.3">
      <c r="A25" s="543" t="s">
        <v>44</v>
      </c>
      <c r="B25" s="534">
        <v>108970.81713748335</v>
      </c>
      <c r="C25" s="535" t="s">
        <v>26</v>
      </c>
      <c r="D25" s="535" t="s">
        <v>26</v>
      </c>
      <c r="E25" s="535" t="s">
        <v>26</v>
      </c>
      <c r="F25" s="535">
        <v>1798.6189999999999</v>
      </c>
      <c r="G25" s="535" t="s">
        <v>26</v>
      </c>
      <c r="H25" s="535">
        <v>107007.65996748334</v>
      </c>
      <c r="I25" s="535">
        <v>164.53817000000001</v>
      </c>
    </row>
    <row r="26" spans="1:9" ht="15.95" customHeight="1" x14ac:dyDescent="0.3">
      <c r="A26" s="543" t="s">
        <v>45</v>
      </c>
      <c r="B26" s="534">
        <v>133119.56573999996</v>
      </c>
      <c r="C26" s="535" t="s">
        <v>26</v>
      </c>
      <c r="D26" s="535">
        <v>37054.983999999997</v>
      </c>
      <c r="E26" s="535">
        <v>108.04850999999999</v>
      </c>
      <c r="F26" s="535">
        <v>30745.985780000003</v>
      </c>
      <c r="G26" s="535">
        <v>2.1024000000000003</v>
      </c>
      <c r="H26" s="535">
        <v>63938.91303999997</v>
      </c>
      <c r="I26" s="535">
        <v>1269.5320099999999</v>
      </c>
    </row>
    <row r="27" spans="1:9" ht="15.95" customHeight="1" x14ac:dyDescent="0.3">
      <c r="A27" s="543" t="s">
        <v>313</v>
      </c>
      <c r="B27" s="534">
        <v>573675.19779999973</v>
      </c>
      <c r="C27" s="535" t="s">
        <v>26</v>
      </c>
      <c r="D27" s="535">
        <v>1.1772</v>
      </c>
      <c r="E27" s="535">
        <v>293.87099999999998</v>
      </c>
      <c r="F27" s="535">
        <v>13038.759169999999</v>
      </c>
      <c r="G27" s="535">
        <v>1.742</v>
      </c>
      <c r="H27" s="535">
        <v>560337.91344999976</v>
      </c>
      <c r="I27" s="535">
        <v>1.73498</v>
      </c>
    </row>
    <row r="28" spans="1:9" ht="15.95" customHeight="1" x14ac:dyDescent="0.3">
      <c r="A28" s="543" t="s">
        <v>299</v>
      </c>
      <c r="B28" s="534">
        <v>65539.273780000003</v>
      </c>
      <c r="C28" s="535" t="s">
        <v>26</v>
      </c>
      <c r="D28" s="535" t="s">
        <v>26</v>
      </c>
      <c r="E28" s="535" t="s">
        <v>26</v>
      </c>
      <c r="F28" s="535">
        <v>2363.2337799999996</v>
      </c>
      <c r="G28" s="535" t="s">
        <v>26</v>
      </c>
      <c r="H28" s="535">
        <v>63176.040000000008</v>
      </c>
      <c r="I28" s="535" t="s">
        <v>26</v>
      </c>
    </row>
    <row r="29" spans="1:9" ht="15.95" customHeight="1" x14ac:dyDescent="0.3">
      <c r="A29" s="543" t="s">
        <v>47</v>
      </c>
      <c r="B29" s="534">
        <v>683122.55951145978</v>
      </c>
      <c r="C29" s="535" t="s">
        <v>26</v>
      </c>
      <c r="D29" s="535" t="s">
        <v>26</v>
      </c>
      <c r="E29" s="535">
        <v>5202.05</v>
      </c>
      <c r="F29" s="535">
        <v>3213.9822599999998</v>
      </c>
      <c r="G29" s="535">
        <v>1.5</v>
      </c>
      <c r="H29" s="535">
        <v>674704.44725145982</v>
      </c>
      <c r="I29" s="535">
        <v>0.57999999999999996</v>
      </c>
    </row>
    <row r="30" spans="1:9" ht="15.95" customHeight="1" x14ac:dyDescent="0.3">
      <c r="A30" s="543" t="s">
        <v>48</v>
      </c>
      <c r="B30" s="534">
        <v>653828.80463200004</v>
      </c>
      <c r="C30" s="535" t="s">
        <v>26</v>
      </c>
      <c r="D30" s="535">
        <v>1324.5119999999999</v>
      </c>
      <c r="E30" s="535">
        <v>1712.3328000000001</v>
      </c>
      <c r="F30" s="535">
        <v>3168.5741499999999</v>
      </c>
      <c r="G30" s="535" t="s">
        <v>26</v>
      </c>
      <c r="H30" s="535">
        <v>647618.74380200007</v>
      </c>
      <c r="I30" s="535">
        <v>4.6418800000000005</v>
      </c>
    </row>
    <row r="31" spans="1:9" ht="15.95" customHeight="1" x14ac:dyDescent="0.3">
      <c r="A31" s="543" t="s">
        <v>49</v>
      </c>
      <c r="B31" s="534">
        <v>808934.85259805655</v>
      </c>
      <c r="C31" s="535" t="s">
        <v>26</v>
      </c>
      <c r="D31" s="535" t="s">
        <v>26</v>
      </c>
      <c r="E31" s="535">
        <v>68.319999999999993</v>
      </c>
      <c r="F31" s="535">
        <v>8005.4321200000004</v>
      </c>
      <c r="G31" s="535" t="s">
        <v>26</v>
      </c>
      <c r="H31" s="535">
        <v>800150.33751805651</v>
      </c>
      <c r="I31" s="535">
        <v>710.38495999999998</v>
      </c>
    </row>
    <row r="32" spans="1:9" ht="15.95" customHeight="1" x14ac:dyDescent="0.3">
      <c r="A32" s="543" t="s">
        <v>50</v>
      </c>
      <c r="B32" s="534">
        <v>145455.21883600004</v>
      </c>
      <c r="C32" s="535" t="s">
        <v>26</v>
      </c>
      <c r="D32" s="535" t="s">
        <v>26</v>
      </c>
      <c r="E32" s="535" t="s">
        <v>26</v>
      </c>
      <c r="F32" s="535">
        <v>195.92570000000001</v>
      </c>
      <c r="G32" s="535" t="s">
        <v>26</v>
      </c>
      <c r="H32" s="535">
        <v>145259.29313600005</v>
      </c>
      <c r="I32" s="535" t="s">
        <v>26</v>
      </c>
    </row>
    <row r="33" spans="1:9" ht="15.95" customHeight="1" x14ac:dyDescent="0.3">
      <c r="A33" s="543" t="s">
        <v>51</v>
      </c>
      <c r="B33" s="534">
        <v>1049871.5583299999</v>
      </c>
      <c r="C33" s="535" t="s">
        <v>26</v>
      </c>
      <c r="D33" s="535">
        <v>88.703999999999994</v>
      </c>
      <c r="E33" s="535">
        <v>12880.324000000001</v>
      </c>
      <c r="F33" s="535">
        <v>57933.52276</v>
      </c>
      <c r="G33" s="535" t="s">
        <v>26</v>
      </c>
      <c r="H33" s="535">
        <v>978812.27440999995</v>
      </c>
      <c r="I33" s="535">
        <v>156.73316</v>
      </c>
    </row>
    <row r="34" spans="1:9" ht="15.95" customHeight="1" x14ac:dyDescent="0.3">
      <c r="A34" s="543" t="s">
        <v>52</v>
      </c>
      <c r="B34" s="534">
        <v>87310.353349999976</v>
      </c>
      <c r="C34" s="535" t="s">
        <v>26</v>
      </c>
      <c r="D34" s="535" t="s">
        <v>26</v>
      </c>
      <c r="E34" s="535" t="s">
        <v>26</v>
      </c>
      <c r="F34" s="535">
        <v>503.77834999999999</v>
      </c>
      <c r="G34" s="535" t="s">
        <v>26</v>
      </c>
      <c r="H34" s="535">
        <v>86806.574999999983</v>
      </c>
      <c r="I34" s="535" t="s">
        <v>26</v>
      </c>
    </row>
    <row r="35" spans="1:9" ht="15.95" customHeight="1" x14ac:dyDescent="0.3">
      <c r="A35" s="543" t="s">
        <v>53</v>
      </c>
      <c r="B35" s="534">
        <v>553099.15234000003</v>
      </c>
      <c r="C35" s="535" t="s">
        <v>26</v>
      </c>
      <c r="D35" s="535">
        <v>32919.1486</v>
      </c>
      <c r="E35" s="535" t="s">
        <v>26</v>
      </c>
      <c r="F35" s="535">
        <v>18318.928039999999</v>
      </c>
      <c r="G35" s="535">
        <v>219</v>
      </c>
      <c r="H35" s="535">
        <v>501642.07569999999</v>
      </c>
      <c r="I35" s="535" t="s">
        <v>26</v>
      </c>
    </row>
    <row r="36" spans="1:9" ht="15.95" customHeight="1" x14ac:dyDescent="0.3">
      <c r="A36" s="543" t="s">
        <v>423</v>
      </c>
      <c r="B36" s="534">
        <v>216036.80878000002</v>
      </c>
      <c r="C36" s="535">
        <v>140.11500000000001</v>
      </c>
      <c r="D36" s="535" t="s">
        <v>26</v>
      </c>
      <c r="E36" s="535" t="s">
        <v>26</v>
      </c>
      <c r="F36" s="535">
        <v>3396.0924799999998</v>
      </c>
      <c r="G36" s="535" t="s">
        <v>26</v>
      </c>
      <c r="H36" s="535">
        <v>212500.60130000001</v>
      </c>
      <c r="I36" s="535" t="s">
        <v>26</v>
      </c>
    </row>
    <row r="37" spans="1:9" ht="15.95" customHeight="1" x14ac:dyDescent="0.3">
      <c r="A37" s="543" t="s">
        <v>55</v>
      </c>
      <c r="B37" s="534">
        <v>751308.51558000012</v>
      </c>
      <c r="C37" s="535" t="s">
        <v>26</v>
      </c>
      <c r="D37" s="535" t="s">
        <v>26</v>
      </c>
      <c r="E37" s="535" t="s">
        <v>26</v>
      </c>
      <c r="F37" s="535">
        <v>7127.3122199999998</v>
      </c>
      <c r="G37" s="535" t="s">
        <v>26</v>
      </c>
      <c r="H37" s="535">
        <v>744153.84190000012</v>
      </c>
      <c r="I37" s="535">
        <v>27.361459999999997</v>
      </c>
    </row>
    <row r="38" spans="1:9" ht="15.95" customHeight="1" x14ac:dyDescent="0.3">
      <c r="A38" s="543" t="s">
        <v>56</v>
      </c>
      <c r="B38" s="534">
        <v>833058.20025999984</v>
      </c>
      <c r="C38" s="535" t="s">
        <v>26</v>
      </c>
      <c r="D38" s="535">
        <v>168096.38399999999</v>
      </c>
      <c r="E38" s="535">
        <v>3198.67227</v>
      </c>
      <c r="F38" s="535">
        <v>42301.7785</v>
      </c>
      <c r="G38" s="535" t="s">
        <v>26</v>
      </c>
      <c r="H38" s="535">
        <v>619461.36548999988</v>
      </c>
      <c r="I38" s="535" t="s">
        <v>26</v>
      </c>
    </row>
    <row r="39" spans="1:9" ht="15.95" customHeight="1" x14ac:dyDescent="0.3">
      <c r="A39" s="543" t="s">
        <v>57</v>
      </c>
      <c r="B39" s="534">
        <v>180343.20276000001</v>
      </c>
      <c r="C39" s="535" t="s">
        <v>26</v>
      </c>
      <c r="D39" s="535">
        <v>22994.934000000001</v>
      </c>
      <c r="E39" s="535">
        <v>310.04876000000002</v>
      </c>
      <c r="F39" s="535">
        <v>14128.22</v>
      </c>
      <c r="G39" s="535" t="s">
        <v>26</v>
      </c>
      <c r="H39" s="535">
        <v>142910</v>
      </c>
      <c r="I39" s="535" t="s">
        <v>26</v>
      </c>
    </row>
    <row r="40" spans="1:9" ht="15.95" customHeight="1" x14ac:dyDescent="0.3">
      <c r="A40" s="526" t="s">
        <v>10</v>
      </c>
      <c r="B40" s="534">
        <v>5205006.8981789835</v>
      </c>
      <c r="C40" s="535">
        <v>39.372810000000001</v>
      </c>
      <c r="D40" s="535">
        <v>438876.42595999991</v>
      </c>
      <c r="E40" s="535">
        <v>12191.12869</v>
      </c>
      <c r="F40" s="535">
        <v>646509.18964999996</v>
      </c>
      <c r="G40" s="535">
        <v>14079.589209999998</v>
      </c>
      <c r="H40" s="535">
        <v>3986456.2610389837</v>
      </c>
      <c r="I40" s="535">
        <v>106854.93081999998</v>
      </c>
    </row>
    <row r="41" spans="1:9" ht="15.95" customHeight="1" x14ac:dyDescent="0.3">
      <c r="A41" s="543" t="s">
        <v>60</v>
      </c>
      <c r="B41" s="534">
        <v>92077.118830399995</v>
      </c>
      <c r="C41" s="535" t="s">
        <v>26</v>
      </c>
      <c r="D41" s="535">
        <v>1639.8720000000001</v>
      </c>
      <c r="E41" s="535">
        <v>15.400079999999999</v>
      </c>
      <c r="F41" s="535">
        <v>26504.53743</v>
      </c>
      <c r="G41" s="535">
        <v>31.536000000000001</v>
      </c>
      <c r="H41" s="535">
        <v>63838.4693204</v>
      </c>
      <c r="I41" s="535">
        <v>47.304000000000002</v>
      </c>
    </row>
    <row r="42" spans="1:9" ht="15.95" customHeight="1" x14ac:dyDescent="0.3">
      <c r="A42" s="543" t="s">
        <v>61</v>
      </c>
      <c r="B42" s="534">
        <v>73826.972610000012</v>
      </c>
      <c r="C42" s="535" t="s">
        <v>26</v>
      </c>
      <c r="D42" s="535">
        <v>267.39936</v>
      </c>
      <c r="E42" s="535">
        <v>4.32043</v>
      </c>
      <c r="F42" s="535">
        <v>6762.2338200000004</v>
      </c>
      <c r="G42" s="535" t="s">
        <v>26</v>
      </c>
      <c r="H42" s="535">
        <v>66783.243000000017</v>
      </c>
      <c r="I42" s="535">
        <v>9.7759999999999998</v>
      </c>
    </row>
    <row r="43" spans="1:9" ht="15.95" customHeight="1" x14ac:dyDescent="0.3">
      <c r="A43" s="543" t="s">
        <v>301</v>
      </c>
      <c r="B43" s="534">
        <v>380176.85388734785</v>
      </c>
      <c r="C43" s="535">
        <v>8.9670000000000005</v>
      </c>
      <c r="D43" s="535">
        <v>5433.6528399999997</v>
      </c>
      <c r="E43" s="535">
        <v>11.037600000000001</v>
      </c>
      <c r="F43" s="535">
        <v>16148.062240000001</v>
      </c>
      <c r="G43" s="535">
        <v>40.366</v>
      </c>
      <c r="H43" s="535">
        <v>358534.76820734784</v>
      </c>
      <c r="I43" s="535" t="s">
        <v>26</v>
      </c>
    </row>
    <row r="44" spans="1:9" ht="15.95" customHeight="1" x14ac:dyDescent="0.3">
      <c r="A44" s="543" t="s">
        <v>62</v>
      </c>
      <c r="B44" s="534">
        <v>208019.47376199998</v>
      </c>
      <c r="C44" s="535" t="s">
        <v>26</v>
      </c>
      <c r="D44" s="535">
        <v>7193.7242200000001</v>
      </c>
      <c r="E44" s="535" t="s">
        <v>26</v>
      </c>
      <c r="F44" s="535">
        <v>19131.594679999998</v>
      </c>
      <c r="G44" s="535" t="s">
        <v>26</v>
      </c>
      <c r="H44" s="535">
        <v>179883.77992199996</v>
      </c>
      <c r="I44" s="535">
        <v>1810.3749399999999</v>
      </c>
    </row>
    <row r="45" spans="1:9" ht="15.95" customHeight="1" x14ac:dyDescent="0.3">
      <c r="A45" s="543" t="s">
        <v>302</v>
      </c>
      <c r="B45" s="534">
        <v>74551.915091999996</v>
      </c>
      <c r="C45" s="535" t="s">
        <v>26</v>
      </c>
      <c r="D45" s="535">
        <v>126.14400000000001</v>
      </c>
      <c r="E45" s="535" t="s">
        <v>26</v>
      </c>
      <c r="F45" s="535">
        <v>5923.9708000000001</v>
      </c>
      <c r="G45" s="535" t="s">
        <v>26</v>
      </c>
      <c r="H45" s="535">
        <v>68501.800292</v>
      </c>
      <c r="I45" s="535" t="s">
        <v>26</v>
      </c>
    </row>
    <row r="46" spans="1:9" ht="15.95" customHeight="1" x14ac:dyDescent="0.3">
      <c r="A46" s="543" t="s">
        <v>63</v>
      </c>
      <c r="B46" s="534">
        <v>231091.55344599983</v>
      </c>
      <c r="C46" s="535">
        <v>1.3349000000000002</v>
      </c>
      <c r="D46" s="535" t="s">
        <v>26</v>
      </c>
      <c r="E46" s="535">
        <v>199.08492000000001</v>
      </c>
      <c r="F46" s="535">
        <v>22922.683420000001</v>
      </c>
      <c r="G46" s="535" t="s">
        <v>26</v>
      </c>
      <c r="H46" s="535">
        <v>206799.71661599985</v>
      </c>
      <c r="I46" s="535">
        <v>1168.73359</v>
      </c>
    </row>
    <row r="47" spans="1:9" ht="15.95" customHeight="1" x14ac:dyDescent="0.3">
      <c r="A47" s="543" t="s">
        <v>64</v>
      </c>
      <c r="B47" s="534">
        <v>127906.21544819999</v>
      </c>
      <c r="C47" s="535" t="s">
        <v>26</v>
      </c>
      <c r="D47" s="535">
        <v>756.86400000000003</v>
      </c>
      <c r="E47" s="535" t="s">
        <v>26</v>
      </c>
      <c r="F47" s="535">
        <v>7477.0245199999999</v>
      </c>
      <c r="G47" s="535" t="s">
        <v>26</v>
      </c>
      <c r="H47" s="535">
        <v>119464.37247819999</v>
      </c>
      <c r="I47" s="535">
        <v>207.54448000000002</v>
      </c>
    </row>
    <row r="48" spans="1:9" ht="15.95" customHeight="1" x14ac:dyDescent="0.3">
      <c r="A48" s="543" t="s">
        <v>65</v>
      </c>
      <c r="B48" s="534">
        <v>91110.179736682752</v>
      </c>
      <c r="C48" s="535" t="s">
        <v>26</v>
      </c>
      <c r="D48" s="535">
        <v>18757.633399999999</v>
      </c>
      <c r="E48" s="535">
        <v>66.933080000000004</v>
      </c>
      <c r="F48" s="535">
        <v>12374.07473</v>
      </c>
      <c r="G48" s="535" t="s">
        <v>26</v>
      </c>
      <c r="H48" s="535">
        <v>55129.881016682746</v>
      </c>
      <c r="I48" s="535">
        <v>4781.65751</v>
      </c>
    </row>
    <row r="49" spans="1:11" ht="15.95" customHeight="1" x14ac:dyDescent="0.3">
      <c r="A49" s="543" t="s">
        <v>303</v>
      </c>
      <c r="B49" s="534">
        <v>37759.461914400003</v>
      </c>
      <c r="C49" s="535" t="s">
        <v>26</v>
      </c>
      <c r="D49" s="535">
        <v>789.81</v>
      </c>
      <c r="E49" s="535" t="s">
        <v>26</v>
      </c>
      <c r="F49" s="535">
        <v>8983.7420999999995</v>
      </c>
      <c r="G49" s="535">
        <v>22.308599999999998</v>
      </c>
      <c r="H49" s="535">
        <v>27915.176394400001</v>
      </c>
      <c r="I49" s="535">
        <v>48.424819999999997</v>
      </c>
    </row>
    <row r="50" spans="1:11" ht="15.95" customHeight="1" x14ac:dyDescent="0.3">
      <c r="A50" s="543" t="s">
        <v>66</v>
      </c>
      <c r="B50" s="534">
        <v>172951.63417999994</v>
      </c>
      <c r="C50" s="535" t="s">
        <v>26</v>
      </c>
      <c r="D50" s="535">
        <v>1634.31528</v>
      </c>
      <c r="E50" s="535">
        <v>130.05551</v>
      </c>
      <c r="F50" s="535">
        <v>2102.0463399999999</v>
      </c>
      <c r="G50" s="535" t="s">
        <v>26</v>
      </c>
      <c r="H50" s="535">
        <v>152422.41459999996</v>
      </c>
      <c r="I50" s="535">
        <v>16662.802449999999</v>
      </c>
    </row>
    <row r="51" spans="1:11" ht="15.95" customHeight="1" x14ac:dyDescent="0.3">
      <c r="A51" s="543" t="s">
        <v>304</v>
      </c>
      <c r="B51" s="534">
        <v>52808.763180000002</v>
      </c>
      <c r="C51" s="535" t="s">
        <v>26</v>
      </c>
      <c r="D51" s="535">
        <v>4149.4030000000002</v>
      </c>
      <c r="E51" s="535">
        <v>1468.9023999999999</v>
      </c>
      <c r="F51" s="535">
        <v>4725.57708</v>
      </c>
      <c r="G51" s="535" t="s">
        <v>26</v>
      </c>
      <c r="H51" s="535">
        <v>42264.742960000003</v>
      </c>
      <c r="I51" s="535">
        <v>200.13773999999998</v>
      </c>
    </row>
    <row r="52" spans="1:11" ht="15.95" customHeight="1" x14ac:dyDescent="0.3">
      <c r="A52" s="543" t="s">
        <v>67</v>
      </c>
      <c r="B52" s="534">
        <v>87072.837499999994</v>
      </c>
      <c r="C52" s="535">
        <v>29.070910000000001</v>
      </c>
      <c r="D52" s="535">
        <v>1959.2654700000001</v>
      </c>
      <c r="E52" s="535">
        <v>1427.5685700000001</v>
      </c>
      <c r="F52" s="535">
        <v>83656.896049999996</v>
      </c>
      <c r="G52" s="535" t="s">
        <v>26</v>
      </c>
      <c r="H52" s="535" t="s">
        <v>26</v>
      </c>
      <c r="I52" s="535" t="s">
        <v>26</v>
      </c>
    </row>
    <row r="53" spans="1:11" ht="15.95" customHeight="1" x14ac:dyDescent="0.3">
      <c r="A53" s="543" t="s">
        <v>305</v>
      </c>
      <c r="B53" s="534">
        <v>1357.85385</v>
      </c>
      <c r="C53" s="535" t="s">
        <v>26</v>
      </c>
      <c r="D53" s="535" t="s">
        <v>26</v>
      </c>
      <c r="E53" s="535">
        <v>856.41319999999996</v>
      </c>
      <c r="F53" s="535">
        <v>501.44065000000001</v>
      </c>
      <c r="G53" s="535" t="s">
        <v>26</v>
      </c>
      <c r="H53" s="535" t="s">
        <v>26</v>
      </c>
      <c r="I53" s="535" t="s">
        <v>26</v>
      </c>
    </row>
    <row r="54" spans="1:11" ht="15.95" customHeight="1" x14ac:dyDescent="0.3">
      <c r="A54" s="543" t="s">
        <v>68</v>
      </c>
      <c r="B54" s="534">
        <v>191625.93487800006</v>
      </c>
      <c r="C54" s="535" t="s">
        <v>26</v>
      </c>
      <c r="D54" s="535">
        <v>5739.6931299999997</v>
      </c>
      <c r="E54" s="535">
        <v>581.19799999999998</v>
      </c>
      <c r="F54" s="535">
        <v>17967.80485</v>
      </c>
      <c r="G54" s="535">
        <v>22.475999999999999</v>
      </c>
      <c r="H54" s="535">
        <v>167314.76289800007</v>
      </c>
      <c r="I54" s="535" t="s">
        <v>26</v>
      </c>
    </row>
    <row r="55" spans="1:11" ht="15.95" customHeight="1" x14ac:dyDescent="0.3">
      <c r="A55" s="543" t="s">
        <v>69</v>
      </c>
      <c r="B55" s="534">
        <v>128539.99643999999</v>
      </c>
      <c r="C55" s="535" t="s">
        <v>26</v>
      </c>
      <c r="D55" s="535">
        <v>11280.26505</v>
      </c>
      <c r="E55" s="535">
        <v>724.5006800000001</v>
      </c>
      <c r="F55" s="535">
        <v>25920.933579999997</v>
      </c>
      <c r="G55" s="535">
        <v>16.5914</v>
      </c>
      <c r="H55" s="535">
        <v>90597.705730000001</v>
      </c>
      <c r="I55" s="535" t="s">
        <v>26</v>
      </c>
    </row>
    <row r="56" spans="1:11" ht="15.95" customHeight="1" x14ac:dyDescent="0.3">
      <c r="A56" s="544" t="s">
        <v>70</v>
      </c>
      <c r="B56" s="539">
        <v>638267.17969067814</v>
      </c>
      <c r="C56" s="540" t="s">
        <v>26</v>
      </c>
      <c r="D56" s="540">
        <v>1318.59421</v>
      </c>
      <c r="E56" s="540" t="s">
        <v>26</v>
      </c>
      <c r="F56" s="540">
        <v>10767.387429999999</v>
      </c>
      <c r="G56" s="540">
        <v>49.51211</v>
      </c>
      <c r="H56" s="540">
        <v>626117.71094067814</v>
      </c>
      <c r="I56" s="540">
        <v>13.975</v>
      </c>
    </row>
    <row r="57" spans="1:11" ht="12" customHeight="1" x14ac:dyDescent="0.25">
      <c r="I57" s="133" t="s">
        <v>58</v>
      </c>
    </row>
    <row r="58" spans="1:11" ht="14.1" customHeight="1" x14ac:dyDescent="0.25">
      <c r="A58" s="698" t="s">
        <v>434</v>
      </c>
      <c r="B58" s="698"/>
      <c r="C58" s="698"/>
      <c r="D58" s="698"/>
      <c r="E58" s="698"/>
      <c r="F58" s="698"/>
      <c r="G58" s="698"/>
      <c r="H58" s="698"/>
      <c r="I58" s="698"/>
    </row>
    <row r="59" spans="1:11" ht="14.1" customHeight="1" x14ac:dyDescent="0.3">
      <c r="A59" s="697" t="s">
        <v>322</v>
      </c>
      <c r="B59" s="697"/>
      <c r="C59" s="697"/>
      <c r="D59" s="697"/>
      <c r="E59" s="697"/>
      <c r="F59" s="697"/>
      <c r="G59" s="697"/>
      <c r="H59" s="697"/>
      <c r="I59" s="697"/>
      <c r="K59" s="226"/>
    </row>
    <row r="60" spans="1:11" ht="12" customHeight="1" x14ac:dyDescent="0.3">
      <c r="I60" s="241" t="s">
        <v>59</v>
      </c>
      <c r="K60" s="227"/>
    </row>
    <row r="61" spans="1:11" ht="37.5" customHeight="1" x14ac:dyDescent="0.25">
      <c r="A61" s="286" t="s">
        <v>298</v>
      </c>
      <c r="B61" s="537" t="s">
        <v>190</v>
      </c>
      <c r="C61" s="537" t="s">
        <v>21</v>
      </c>
      <c r="D61" s="287" t="s">
        <v>20</v>
      </c>
      <c r="E61" s="287" t="s">
        <v>309</v>
      </c>
      <c r="F61" s="537" t="s">
        <v>22</v>
      </c>
      <c r="G61" s="537" t="s">
        <v>23</v>
      </c>
      <c r="H61" s="537" t="s">
        <v>310</v>
      </c>
      <c r="I61" s="537" t="s">
        <v>421</v>
      </c>
    </row>
    <row r="62" spans="1:11" ht="15.95" customHeight="1" x14ac:dyDescent="0.3">
      <c r="A62" s="543" t="s">
        <v>71</v>
      </c>
      <c r="B62" s="534">
        <v>17723.856730000003</v>
      </c>
      <c r="C62" s="535" t="s">
        <v>26</v>
      </c>
      <c r="D62" s="535">
        <v>583.87740000000008</v>
      </c>
      <c r="E62" s="535">
        <v>14.144920000000001</v>
      </c>
      <c r="F62" s="535">
        <v>7426.0642300000009</v>
      </c>
      <c r="G62" s="535">
        <v>200.61870999999999</v>
      </c>
      <c r="H62" s="535">
        <v>9406.6458700000003</v>
      </c>
      <c r="I62" s="535">
        <v>92.505600000000001</v>
      </c>
    </row>
    <row r="63" spans="1:11" ht="15.95" customHeight="1" x14ac:dyDescent="0.3">
      <c r="A63" s="543" t="s">
        <v>72</v>
      </c>
      <c r="B63" s="534">
        <v>215816.63144077486</v>
      </c>
      <c r="C63" s="535" t="s">
        <v>26</v>
      </c>
      <c r="D63" s="535">
        <v>30592.718649999999</v>
      </c>
      <c r="E63" s="535">
        <v>49.424399999999999</v>
      </c>
      <c r="F63" s="535">
        <v>30241.473999999998</v>
      </c>
      <c r="G63" s="535">
        <v>13.316000000000001</v>
      </c>
      <c r="H63" s="535">
        <v>147784.09379077487</v>
      </c>
      <c r="I63" s="535">
        <v>7135.6045999999997</v>
      </c>
    </row>
    <row r="64" spans="1:11" ht="15.95" customHeight="1" x14ac:dyDescent="0.3">
      <c r="A64" s="543" t="s">
        <v>89</v>
      </c>
      <c r="B64" s="534">
        <v>4398.2093100000002</v>
      </c>
      <c r="C64" s="535" t="s">
        <v>26</v>
      </c>
      <c r="D64" s="535" t="s">
        <v>26</v>
      </c>
      <c r="E64" s="535" t="s">
        <v>26</v>
      </c>
      <c r="F64" s="535" t="s">
        <v>26</v>
      </c>
      <c r="G64" s="535" t="s">
        <v>26</v>
      </c>
      <c r="H64" s="535">
        <v>4398.2093100000002</v>
      </c>
      <c r="I64" s="535" t="s">
        <v>26</v>
      </c>
    </row>
    <row r="65" spans="1:9" ht="15.95" customHeight="1" x14ac:dyDescent="0.3">
      <c r="A65" s="543" t="s">
        <v>73</v>
      </c>
      <c r="B65" s="534">
        <v>21601.82804</v>
      </c>
      <c r="C65" s="535" t="s">
        <v>26</v>
      </c>
      <c r="D65" s="535" t="s">
        <v>26</v>
      </c>
      <c r="E65" s="535">
        <v>1618.0074399999999</v>
      </c>
      <c r="F65" s="535">
        <v>9576.6045999999988</v>
      </c>
      <c r="G65" s="535">
        <v>23.652000000000001</v>
      </c>
      <c r="H65" s="535">
        <v>10383.564</v>
      </c>
      <c r="I65" s="535" t="s">
        <v>26</v>
      </c>
    </row>
    <row r="66" spans="1:9" ht="15.95" customHeight="1" x14ac:dyDescent="0.3">
      <c r="A66" s="543" t="s">
        <v>74</v>
      </c>
      <c r="B66" s="534">
        <v>54582.12975</v>
      </c>
      <c r="C66" s="535" t="s">
        <v>26</v>
      </c>
      <c r="D66" s="535">
        <v>27037.129199999999</v>
      </c>
      <c r="E66" s="535">
        <v>2524.0502000000001</v>
      </c>
      <c r="F66" s="535">
        <v>23425.749789999998</v>
      </c>
      <c r="G66" s="535">
        <v>85.283000000000001</v>
      </c>
      <c r="H66" s="535">
        <v>147.24700000000001</v>
      </c>
      <c r="I66" s="535">
        <v>1362.67056</v>
      </c>
    </row>
    <row r="67" spans="1:9" ht="15.95" customHeight="1" x14ac:dyDescent="0.3">
      <c r="A67" s="543" t="s">
        <v>75</v>
      </c>
      <c r="B67" s="534">
        <v>3713.6277500000001</v>
      </c>
      <c r="C67" s="535" t="s">
        <v>26</v>
      </c>
      <c r="D67" s="535">
        <v>683.67280000000005</v>
      </c>
      <c r="E67" s="535" t="s">
        <v>26</v>
      </c>
      <c r="F67" s="535">
        <v>3017.3409500000002</v>
      </c>
      <c r="G67" s="535">
        <v>12.614000000000001</v>
      </c>
      <c r="H67" s="535" t="s">
        <v>26</v>
      </c>
      <c r="I67" s="535" t="s">
        <v>26</v>
      </c>
    </row>
    <row r="68" spans="1:9" ht="15.95" customHeight="1" x14ac:dyDescent="0.3">
      <c r="A68" s="543" t="s">
        <v>76</v>
      </c>
      <c r="B68" s="534">
        <v>60460.681559999997</v>
      </c>
      <c r="C68" s="535" t="s">
        <v>26</v>
      </c>
      <c r="D68" s="535">
        <v>9064.9188000000013</v>
      </c>
      <c r="E68" s="535">
        <v>87.377579999999995</v>
      </c>
      <c r="F68" s="535">
        <v>18849.40065</v>
      </c>
      <c r="G68" s="535" t="s">
        <v>26</v>
      </c>
      <c r="H68" s="535">
        <v>5381.9218300000002</v>
      </c>
      <c r="I68" s="535">
        <v>27077.062699999999</v>
      </c>
    </row>
    <row r="69" spans="1:9" ht="15.95" customHeight="1" x14ac:dyDescent="0.3">
      <c r="A69" s="543" t="s">
        <v>77</v>
      </c>
      <c r="B69" s="534">
        <v>855286.66868111119</v>
      </c>
      <c r="C69" s="535" t="s">
        <v>26</v>
      </c>
      <c r="D69" s="535">
        <v>137719.70197999998</v>
      </c>
      <c r="E69" s="535">
        <v>1108.4926</v>
      </c>
      <c r="F69" s="535">
        <v>120302.21974</v>
      </c>
      <c r="G69" s="535">
        <v>13382.95348</v>
      </c>
      <c r="H69" s="535">
        <v>562852.56612111116</v>
      </c>
      <c r="I69" s="535">
        <v>19920.734760000003</v>
      </c>
    </row>
    <row r="70" spans="1:9" ht="15.95" customHeight="1" x14ac:dyDescent="0.3">
      <c r="A70" s="543" t="s">
        <v>151</v>
      </c>
      <c r="B70" s="534">
        <v>253991.01926714281</v>
      </c>
      <c r="C70" s="535" t="s">
        <v>26</v>
      </c>
      <c r="D70" s="535">
        <v>54834.97552</v>
      </c>
      <c r="E70" s="535">
        <v>742.7373</v>
      </c>
      <c r="F70" s="535">
        <v>17196.51138</v>
      </c>
      <c r="G70" s="535" t="s">
        <v>26</v>
      </c>
      <c r="H70" s="535">
        <v>174701.42670714282</v>
      </c>
      <c r="I70" s="535">
        <v>6515.3683600000004</v>
      </c>
    </row>
    <row r="71" spans="1:9" ht="15.95" customHeight="1" x14ac:dyDescent="0.3">
      <c r="A71" s="543" t="s">
        <v>110</v>
      </c>
      <c r="B71" s="534">
        <v>422314.83863008226</v>
      </c>
      <c r="C71" s="535" t="s">
        <v>26</v>
      </c>
      <c r="D71" s="535">
        <v>19645.890339999998</v>
      </c>
      <c r="E71" s="535">
        <v>13.369200000000001</v>
      </c>
      <c r="F71" s="535">
        <v>32680.40653</v>
      </c>
      <c r="G71" s="535">
        <v>123.3043</v>
      </c>
      <c r="H71" s="535">
        <v>369851.86826008226</v>
      </c>
      <c r="I71" s="535" t="s">
        <v>26</v>
      </c>
    </row>
    <row r="72" spans="1:9" ht="15.95" customHeight="1" x14ac:dyDescent="0.3">
      <c r="A72" s="543" t="s">
        <v>306</v>
      </c>
      <c r="B72" s="534">
        <v>146341.91990000001</v>
      </c>
      <c r="C72" s="535" t="s">
        <v>26</v>
      </c>
      <c r="D72" s="535" t="s">
        <v>26</v>
      </c>
      <c r="E72" s="535">
        <v>54.557960000000001</v>
      </c>
      <c r="F72" s="535">
        <v>24153.58034</v>
      </c>
      <c r="G72" s="535">
        <v>21.314799999999998</v>
      </c>
      <c r="H72" s="535">
        <v>121279.3388</v>
      </c>
      <c r="I72" s="535">
        <v>833.12800000000004</v>
      </c>
    </row>
    <row r="73" spans="1:9" ht="15.95" customHeight="1" x14ac:dyDescent="0.3">
      <c r="A73" s="543" t="s">
        <v>78</v>
      </c>
      <c r="B73" s="534">
        <v>80513.572639000005</v>
      </c>
      <c r="C73" s="535" t="s">
        <v>26</v>
      </c>
      <c r="D73" s="535" t="s">
        <v>26</v>
      </c>
      <c r="E73" s="535" t="s">
        <v>26</v>
      </c>
      <c r="F73" s="535">
        <v>17186.27059</v>
      </c>
      <c r="G73" s="535" t="s">
        <v>26</v>
      </c>
      <c r="H73" s="535">
        <v>62285.141229000001</v>
      </c>
      <c r="I73" s="535">
        <v>1042.1608200000001</v>
      </c>
    </row>
    <row r="74" spans="1:9" ht="15.95" customHeight="1" x14ac:dyDescent="0.3">
      <c r="A74" s="543" t="s">
        <v>79</v>
      </c>
      <c r="B74" s="534">
        <v>186007.9457094025</v>
      </c>
      <c r="C74" s="535" t="s">
        <v>26</v>
      </c>
      <c r="D74" s="535">
        <v>315.36</v>
      </c>
      <c r="E74" s="535" t="s">
        <v>26</v>
      </c>
      <c r="F74" s="535">
        <v>6885.6839500000006</v>
      </c>
      <c r="G74" s="535" t="s">
        <v>26</v>
      </c>
      <c r="H74" s="535">
        <v>164103.65477940251</v>
      </c>
      <c r="I74" s="535">
        <v>14703.24698</v>
      </c>
    </row>
    <row r="75" spans="1:9" ht="15.95" customHeight="1" x14ac:dyDescent="0.3">
      <c r="A75" s="543" t="s">
        <v>80</v>
      </c>
      <c r="B75" s="534">
        <v>15635.830389999999</v>
      </c>
      <c r="C75" s="535" t="s">
        <v>26</v>
      </c>
      <c r="D75" s="535">
        <v>946.08</v>
      </c>
      <c r="E75" s="535">
        <v>55.857500000000002</v>
      </c>
      <c r="F75" s="535">
        <v>10836.172039999999</v>
      </c>
      <c r="G75" s="535">
        <v>20.813759999999998</v>
      </c>
      <c r="H75" s="535">
        <v>3776.9070899999997</v>
      </c>
      <c r="I75" s="535" t="s">
        <v>26</v>
      </c>
    </row>
    <row r="76" spans="1:9" ht="15.95" customHeight="1" x14ac:dyDescent="0.3">
      <c r="A76" s="543" t="s">
        <v>81</v>
      </c>
      <c r="B76" s="534">
        <v>47762.865879921803</v>
      </c>
      <c r="C76" s="535" t="s">
        <v>26</v>
      </c>
      <c r="D76" s="535">
        <v>7475.0627500000001</v>
      </c>
      <c r="E76" s="535">
        <v>309.11303999999996</v>
      </c>
      <c r="F76" s="535">
        <v>31602.279280000002</v>
      </c>
      <c r="G76" s="535" t="s">
        <v>26</v>
      </c>
      <c r="H76" s="535">
        <v>8350.2199099218069</v>
      </c>
      <c r="I76" s="535">
        <v>21.6021</v>
      </c>
    </row>
    <row r="77" spans="1:9" ht="15.95" customHeight="1" x14ac:dyDescent="0.3">
      <c r="A77" s="543" t="s">
        <v>307</v>
      </c>
      <c r="B77" s="534">
        <v>102336.72370367248</v>
      </c>
      <c r="C77" s="535" t="s">
        <v>26</v>
      </c>
      <c r="D77" s="535" t="s">
        <v>26</v>
      </c>
      <c r="E77" s="535">
        <v>13.56</v>
      </c>
      <c r="F77" s="535">
        <v>8286.6991500000004</v>
      </c>
      <c r="G77" s="535" t="s">
        <v>26</v>
      </c>
      <c r="H77" s="535">
        <v>94036.464553672486</v>
      </c>
      <c r="I77" s="535" t="s">
        <v>26</v>
      </c>
    </row>
    <row r="78" spans="1:9" ht="15.95" customHeight="1" x14ac:dyDescent="0.3">
      <c r="A78" s="543" t="s">
        <v>82</v>
      </c>
      <c r="B78" s="534">
        <v>90306.062859999991</v>
      </c>
      <c r="C78" s="535" t="s">
        <v>26</v>
      </c>
      <c r="D78" s="535">
        <v>81113.775810000006</v>
      </c>
      <c r="E78" s="535">
        <v>42.6175</v>
      </c>
      <c r="F78" s="535">
        <v>7996.0952100000004</v>
      </c>
      <c r="G78" s="535" t="s">
        <v>26</v>
      </c>
      <c r="H78" s="535">
        <v>15.552</v>
      </c>
      <c r="I78" s="535">
        <v>1138.02234</v>
      </c>
    </row>
    <row r="79" spans="1:9" ht="15.95" customHeight="1" x14ac:dyDescent="0.3">
      <c r="A79" s="543" t="s">
        <v>83</v>
      </c>
      <c r="B79" s="534">
        <v>37068.541492168166</v>
      </c>
      <c r="C79" s="535" t="s">
        <v>26</v>
      </c>
      <c r="D79" s="535">
        <v>7816.6267500000004</v>
      </c>
      <c r="E79" s="535">
        <v>71.994609999999994</v>
      </c>
      <c r="F79" s="535">
        <v>4976.6274999999996</v>
      </c>
      <c r="G79" s="535">
        <v>8.3037500000000009</v>
      </c>
      <c r="H79" s="535">
        <v>22132.895412168167</v>
      </c>
      <c r="I79" s="535">
        <v>2062.0934699999998</v>
      </c>
    </row>
    <row r="80" spans="1:9" ht="15.95" customHeight="1" x14ac:dyDescent="0.3">
      <c r="A80" s="526" t="s">
        <v>12</v>
      </c>
      <c r="B80" s="534">
        <v>512024.84953032079</v>
      </c>
      <c r="C80" s="535" t="s">
        <v>26</v>
      </c>
      <c r="D80" s="535">
        <v>28435.971840000002</v>
      </c>
      <c r="E80" s="535">
        <v>115.11095</v>
      </c>
      <c r="F80" s="535">
        <v>51772.562149999998</v>
      </c>
      <c r="G80" s="535">
        <v>564.69799999999998</v>
      </c>
      <c r="H80" s="535">
        <v>424393.9232003208</v>
      </c>
      <c r="I80" s="535">
        <v>6742.5833900000007</v>
      </c>
    </row>
    <row r="81" spans="1:9" ht="15.95" customHeight="1" x14ac:dyDescent="0.3">
      <c r="A81" s="543" t="s">
        <v>84</v>
      </c>
      <c r="B81" s="534">
        <v>120579.86902607046</v>
      </c>
      <c r="C81" s="535" t="s">
        <v>26</v>
      </c>
      <c r="D81" s="535">
        <v>23598.233</v>
      </c>
      <c r="E81" s="535">
        <v>71.209000000000003</v>
      </c>
      <c r="F81" s="535">
        <v>7381.3630000000003</v>
      </c>
      <c r="G81" s="535">
        <v>41.220999999999997</v>
      </c>
      <c r="H81" s="535">
        <v>84931.333026070468</v>
      </c>
      <c r="I81" s="535">
        <v>4556.51</v>
      </c>
    </row>
    <row r="82" spans="1:9" ht="15.95" customHeight="1" x14ac:dyDescent="0.3">
      <c r="A82" s="543" t="s">
        <v>85</v>
      </c>
      <c r="B82" s="534">
        <v>55033.975962199991</v>
      </c>
      <c r="C82" s="535" t="s">
        <v>26</v>
      </c>
      <c r="D82" s="535" t="s">
        <v>26</v>
      </c>
      <c r="E82" s="535" t="s">
        <v>26</v>
      </c>
      <c r="F82" s="535">
        <v>5262.0463300000001</v>
      </c>
      <c r="G82" s="535">
        <v>523.47699999999998</v>
      </c>
      <c r="H82" s="535">
        <v>48231.393842199985</v>
      </c>
      <c r="I82" s="535">
        <v>1017.05879</v>
      </c>
    </row>
    <row r="83" spans="1:9" ht="15.95" customHeight="1" x14ac:dyDescent="0.3">
      <c r="A83" s="543" t="s">
        <v>86</v>
      </c>
      <c r="B83" s="534">
        <v>112794.85149899998</v>
      </c>
      <c r="C83" s="535" t="s">
        <v>26</v>
      </c>
      <c r="D83" s="535">
        <v>228.95</v>
      </c>
      <c r="E83" s="535">
        <v>12.073</v>
      </c>
      <c r="F83" s="535">
        <v>16524.515599999999</v>
      </c>
      <c r="G83" s="535" t="s">
        <v>26</v>
      </c>
      <c r="H83" s="535">
        <v>94860.298298999987</v>
      </c>
      <c r="I83" s="535">
        <v>1169.0146000000002</v>
      </c>
    </row>
    <row r="84" spans="1:9" ht="15.95" customHeight="1" x14ac:dyDescent="0.3">
      <c r="A84" s="544" t="s">
        <v>87</v>
      </c>
      <c r="B84" s="539">
        <v>223616.15304305038</v>
      </c>
      <c r="C84" s="540" t="s">
        <v>26</v>
      </c>
      <c r="D84" s="540">
        <v>4608.7888400000002</v>
      </c>
      <c r="E84" s="540">
        <v>31.828949999999999</v>
      </c>
      <c r="F84" s="540">
        <v>22604.637220000001</v>
      </c>
      <c r="G84" s="540" t="s">
        <v>26</v>
      </c>
      <c r="H84" s="540">
        <v>196370.89803305038</v>
      </c>
      <c r="I84" s="540" t="s">
        <v>26</v>
      </c>
    </row>
    <row r="85" spans="1:9" s="545" customFormat="1" ht="12" customHeight="1" x14ac:dyDescent="0.25">
      <c r="A85" s="261" t="s">
        <v>370</v>
      </c>
      <c r="B85" s="163"/>
      <c r="C85" s="168"/>
      <c r="D85" s="168"/>
      <c r="E85" s="168"/>
      <c r="F85" s="168"/>
      <c r="G85" s="168"/>
      <c r="H85" s="168"/>
      <c r="I85" s="22"/>
    </row>
    <row r="86" spans="1:9" s="545" customFormat="1" ht="12" customHeight="1" x14ac:dyDescent="0.25">
      <c r="A86" s="546" t="s">
        <v>88</v>
      </c>
      <c r="B86" s="163"/>
      <c r="C86" s="547"/>
      <c r="D86" s="547"/>
      <c r="E86" s="547"/>
      <c r="F86" s="547"/>
      <c r="G86" s="548"/>
      <c r="H86" s="547"/>
      <c r="I86" s="549"/>
    </row>
  </sheetData>
  <mergeCells count="4">
    <mergeCell ref="A1:I1"/>
    <mergeCell ref="A2:I2"/>
    <mergeCell ref="A58:I58"/>
    <mergeCell ref="A59:I59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56"/>
  <sheetViews>
    <sheetView showGridLines="0" zoomScaleNormal="100" workbookViewId="0">
      <selection activeCell="L13" sqref="L13"/>
    </sheetView>
  </sheetViews>
  <sheetFormatPr baseColWidth="10" defaultColWidth="23.28515625" defaultRowHeight="16.5" x14ac:dyDescent="0.25"/>
  <cols>
    <col min="1" max="1" width="26.42578125" style="44" customWidth="1"/>
    <col min="2" max="2" width="12.28515625" style="49" hidden="1" customWidth="1"/>
    <col min="3" max="3" width="9.7109375" style="49" hidden="1" customWidth="1"/>
    <col min="4" max="8" width="13.7109375" style="49" customWidth="1"/>
    <col min="9" max="10" width="13.7109375" style="84" customWidth="1"/>
    <col min="11" max="16384" width="23.28515625" style="46"/>
  </cols>
  <sheetData>
    <row r="1" spans="1:10" s="405" customFormat="1" ht="25.7" customHeight="1" x14ac:dyDescent="0.25">
      <c r="A1" s="699" t="s">
        <v>435</v>
      </c>
      <c r="B1" s="699"/>
      <c r="C1" s="699"/>
      <c r="D1" s="699"/>
      <c r="E1" s="699"/>
      <c r="F1" s="699"/>
      <c r="G1" s="699"/>
      <c r="H1" s="699"/>
      <c r="I1" s="699"/>
      <c r="J1" s="699"/>
    </row>
    <row r="2" spans="1:10" s="405" customFormat="1" ht="12.75" customHeight="1" x14ac:dyDescent="0.25">
      <c r="A2" s="647" t="s">
        <v>314</v>
      </c>
      <c r="B2" s="647"/>
      <c r="C2" s="647"/>
      <c r="D2" s="647"/>
      <c r="E2" s="647"/>
      <c r="F2" s="647"/>
      <c r="G2" s="647"/>
      <c r="H2" s="647"/>
      <c r="I2" s="647"/>
      <c r="J2" s="647"/>
    </row>
    <row r="3" spans="1:10" ht="3" customHeight="1" x14ac:dyDescent="0.25">
      <c r="A3" s="10"/>
      <c r="B3" s="198"/>
      <c r="C3" s="198"/>
      <c r="D3" s="198"/>
      <c r="E3" s="189"/>
      <c r="F3" s="189"/>
      <c r="G3" s="189"/>
      <c r="H3" s="189"/>
      <c r="I3" s="185"/>
    </row>
    <row r="4" spans="1:10" s="7" customFormat="1" ht="33" x14ac:dyDescent="0.25">
      <c r="A4" s="519" t="s">
        <v>315</v>
      </c>
      <c r="B4" s="555">
        <v>2013</v>
      </c>
      <c r="C4" s="556" t="s">
        <v>418</v>
      </c>
      <c r="D4" s="557" t="s">
        <v>316</v>
      </c>
      <c r="E4" s="557" t="s">
        <v>317</v>
      </c>
      <c r="F4" s="557" t="s">
        <v>318</v>
      </c>
      <c r="G4" s="557" t="s">
        <v>319</v>
      </c>
      <c r="H4" s="557" t="s">
        <v>320</v>
      </c>
      <c r="I4" s="557" t="s">
        <v>391</v>
      </c>
      <c r="J4" s="557" t="s">
        <v>395</v>
      </c>
    </row>
    <row r="5" spans="1:10" s="7" customFormat="1" ht="3" customHeight="1" x14ac:dyDescent="0.25">
      <c r="A5" s="550"/>
      <c r="B5" s="558"/>
      <c r="C5" s="559"/>
      <c r="D5" s="560"/>
      <c r="E5" s="560"/>
      <c r="F5" s="560"/>
      <c r="G5" s="560"/>
      <c r="H5" s="560"/>
      <c r="I5" s="393"/>
      <c r="J5" s="393"/>
    </row>
    <row r="6" spans="1:10" s="219" customFormat="1" ht="15.95" customHeight="1" x14ac:dyDescent="0.25">
      <c r="A6" s="551" t="s">
        <v>3</v>
      </c>
      <c r="B6" s="561">
        <f t="shared" ref="B6:J6" si="0">+B7+B28</f>
        <v>18944930505</v>
      </c>
      <c r="C6" s="561">
        <f t="shared" si="0"/>
        <v>16603462733</v>
      </c>
      <c r="D6" s="562">
        <f t="shared" si="0"/>
        <v>26423302156.07</v>
      </c>
      <c r="E6" s="562">
        <f t="shared" si="0"/>
        <v>29223470800.989998</v>
      </c>
      <c r="F6" s="562">
        <f t="shared" si="0"/>
        <v>23068060889.989998</v>
      </c>
      <c r="G6" s="562">
        <f t="shared" si="0"/>
        <v>29594794305.490002</v>
      </c>
      <c r="H6" s="562">
        <f t="shared" si="0"/>
        <v>34860769833.209999</v>
      </c>
      <c r="I6" s="562">
        <f t="shared" si="0"/>
        <v>38850347153.729996</v>
      </c>
      <c r="J6" s="562">
        <f t="shared" si="0"/>
        <v>33358452730.52</v>
      </c>
    </row>
    <row r="7" spans="1:10" s="220" customFormat="1" ht="15.95" customHeight="1" x14ac:dyDescent="0.2">
      <c r="A7" s="512" t="s">
        <v>8</v>
      </c>
      <c r="B7" s="561">
        <f>SUM(B8:B27)</f>
        <v>9707339139</v>
      </c>
      <c r="C7" s="561">
        <f t="shared" ref="C7:J7" si="1">SUM(C8:C27)</f>
        <v>4093004877</v>
      </c>
      <c r="D7" s="562">
        <f t="shared" si="1"/>
        <v>12670170012.530001</v>
      </c>
      <c r="E7" s="562">
        <f t="shared" si="1"/>
        <v>13233406491.85</v>
      </c>
      <c r="F7" s="562">
        <f t="shared" si="1"/>
        <v>11833058447.98</v>
      </c>
      <c r="G7" s="562">
        <f t="shared" si="1"/>
        <v>10809931566.650002</v>
      </c>
      <c r="H7" s="562">
        <f t="shared" si="1"/>
        <v>11516251624.139999</v>
      </c>
      <c r="I7" s="562">
        <f t="shared" si="1"/>
        <v>11722579103.360001</v>
      </c>
      <c r="J7" s="562">
        <f t="shared" si="1"/>
        <v>11212697726.59</v>
      </c>
    </row>
    <row r="8" spans="1:10" s="222" customFormat="1" ht="15.95" customHeight="1" x14ac:dyDescent="0.25">
      <c r="A8" s="533" t="s">
        <v>419</v>
      </c>
      <c r="B8" s="563"/>
      <c r="C8" s="563"/>
      <c r="D8" s="389">
        <v>47304000</v>
      </c>
      <c r="E8" s="389">
        <v>47304000</v>
      </c>
      <c r="F8" s="389" t="s">
        <v>133</v>
      </c>
      <c r="G8" s="389" t="s">
        <v>133</v>
      </c>
      <c r="H8" s="389">
        <v>44934373</v>
      </c>
      <c r="I8" s="389">
        <v>44327085</v>
      </c>
      <c r="J8" s="389">
        <v>44592865</v>
      </c>
    </row>
    <row r="9" spans="1:10" s="222" customFormat="1" ht="15.95" customHeight="1" x14ac:dyDescent="0.25">
      <c r="A9" s="533" t="s">
        <v>312</v>
      </c>
      <c r="B9" s="563"/>
      <c r="C9" s="563"/>
      <c r="D9" s="389">
        <v>234890.52</v>
      </c>
      <c r="E9" s="389" t="s">
        <v>133</v>
      </c>
      <c r="F9" s="389" t="s">
        <v>133</v>
      </c>
      <c r="G9" s="389" t="s">
        <v>133</v>
      </c>
      <c r="H9" s="389" t="s">
        <v>133</v>
      </c>
      <c r="I9" s="389">
        <v>465951</v>
      </c>
      <c r="J9" s="389" t="s">
        <v>133</v>
      </c>
    </row>
    <row r="10" spans="1:10" s="222" customFormat="1" ht="15.95" customHeight="1" x14ac:dyDescent="0.25">
      <c r="A10" s="533" t="s">
        <v>30</v>
      </c>
      <c r="B10" s="563">
        <v>57963168</v>
      </c>
      <c r="C10" s="563"/>
      <c r="D10" s="389" t="s">
        <v>133</v>
      </c>
      <c r="E10" s="389" t="s">
        <v>133</v>
      </c>
      <c r="F10" s="389" t="s">
        <v>133</v>
      </c>
      <c r="G10" s="389" t="s">
        <v>133</v>
      </c>
      <c r="H10" s="389" t="s">
        <v>133</v>
      </c>
      <c r="I10" s="389" t="s">
        <v>133</v>
      </c>
      <c r="J10" s="389" t="s">
        <v>133</v>
      </c>
    </row>
    <row r="11" spans="1:10" s="222" customFormat="1" ht="15.95" customHeight="1" x14ac:dyDescent="0.25">
      <c r="A11" s="533" t="s">
        <v>31</v>
      </c>
      <c r="B11" s="563">
        <v>455695200</v>
      </c>
      <c r="C11" s="563"/>
      <c r="D11" s="389" t="s">
        <v>133</v>
      </c>
      <c r="E11" s="389" t="s">
        <v>133</v>
      </c>
      <c r="F11" s="389" t="s">
        <v>133</v>
      </c>
      <c r="G11" s="389" t="s">
        <v>133</v>
      </c>
      <c r="H11" s="389">
        <v>31971199</v>
      </c>
      <c r="I11" s="389">
        <v>71775534</v>
      </c>
      <c r="J11" s="389">
        <v>45094646.409999996</v>
      </c>
    </row>
    <row r="12" spans="1:10" s="222" customFormat="1" ht="15.95" customHeight="1" x14ac:dyDescent="0.25">
      <c r="A12" s="533" t="s">
        <v>34</v>
      </c>
      <c r="B12" s="563"/>
      <c r="C12" s="563"/>
      <c r="D12" s="389" t="s">
        <v>133</v>
      </c>
      <c r="E12" s="389" t="s">
        <v>133</v>
      </c>
      <c r="F12" s="389" t="s">
        <v>133</v>
      </c>
      <c r="G12" s="389">
        <v>567648</v>
      </c>
      <c r="H12" s="389" t="s">
        <v>133</v>
      </c>
      <c r="I12" s="389" t="s">
        <v>133</v>
      </c>
      <c r="J12" s="389" t="s">
        <v>133</v>
      </c>
    </row>
    <row r="13" spans="1:10" s="222" customFormat="1" ht="15.95" customHeight="1" x14ac:dyDescent="0.25">
      <c r="A13" s="533" t="s">
        <v>39</v>
      </c>
      <c r="B13" s="563">
        <v>3670864000</v>
      </c>
      <c r="C13" s="563">
        <v>1437824000</v>
      </c>
      <c r="D13" s="389">
        <v>3670864000</v>
      </c>
      <c r="E13" s="389">
        <v>2516864000</v>
      </c>
      <c r="F13" s="389">
        <v>2516864000</v>
      </c>
      <c r="G13" s="389">
        <v>2516864000</v>
      </c>
      <c r="H13" s="389">
        <v>2516864000</v>
      </c>
      <c r="I13" s="389">
        <v>2516864000</v>
      </c>
      <c r="J13" s="389">
        <v>2516864000</v>
      </c>
    </row>
    <row r="14" spans="1:10" s="222" customFormat="1" ht="15.95" customHeight="1" x14ac:dyDescent="0.25">
      <c r="A14" s="533" t="s">
        <v>40</v>
      </c>
      <c r="B14" s="563" t="s">
        <v>133</v>
      </c>
      <c r="C14" s="563" t="s">
        <v>133</v>
      </c>
      <c r="D14" s="389">
        <v>884055280</v>
      </c>
      <c r="E14" s="389">
        <v>822415250</v>
      </c>
      <c r="F14" s="389">
        <v>855303390</v>
      </c>
      <c r="G14" s="389">
        <v>794286520.19000006</v>
      </c>
      <c r="H14" s="389">
        <v>474076614.97000003</v>
      </c>
      <c r="I14" s="389">
        <v>260657682.65000001</v>
      </c>
      <c r="J14" s="389">
        <v>293365314.57999998</v>
      </c>
    </row>
    <row r="15" spans="1:10" s="222" customFormat="1" ht="15.95" customHeight="1" x14ac:dyDescent="0.25">
      <c r="A15" s="533" t="s">
        <v>41</v>
      </c>
      <c r="B15" s="563">
        <v>416906432</v>
      </c>
      <c r="C15" s="563">
        <v>386203646</v>
      </c>
      <c r="D15" s="389">
        <v>405127121.16000003</v>
      </c>
      <c r="E15" s="389">
        <v>439122609.55000001</v>
      </c>
      <c r="F15" s="389">
        <v>514696896</v>
      </c>
      <c r="G15" s="389">
        <v>279601760</v>
      </c>
      <c r="H15" s="389">
        <v>489600696</v>
      </c>
      <c r="I15" s="389">
        <v>489600696</v>
      </c>
      <c r="J15" s="389">
        <v>489600416</v>
      </c>
    </row>
    <row r="16" spans="1:10" s="222" customFormat="1" ht="15.95" customHeight="1" x14ac:dyDescent="0.25">
      <c r="A16" s="533" t="s">
        <v>42</v>
      </c>
      <c r="B16" s="563">
        <v>512649944</v>
      </c>
      <c r="C16" s="563">
        <v>570564143</v>
      </c>
      <c r="D16" s="389">
        <v>349768156.19999999</v>
      </c>
      <c r="E16" s="389">
        <v>350339536.30000001</v>
      </c>
      <c r="F16" s="389">
        <v>553151277.64999998</v>
      </c>
      <c r="G16" s="389">
        <v>52828036.270000003</v>
      </c>
      <c r="H16" s="389">
        <v>49084936</v>
      </c>
      <c r="I16" s="389" t="s">
        <v>133</v>
      </c>
      <c r="J16" s="389" t="s">
        <v>133</v>
      </c>
    </row>
    <row r="17" spans="1:10" s="222" customFormat="1" ht="15.95" customHeight="1" x14ac:dyDescent="0.25">
      <c r="A17" s="533" t="s">
        <v>43</v>
      </c>
      <c r="B17" s="563"/>
      <c r="C17" s="563"/>
      <c r="D17" s="389" t="s">
        <v>133</v>
      </c>
      <c r="E17" s="389" t="s">
        <v>133</v>
      </c>
      <c r="F17" s="389" t="s">
        <v>133</v>
      </c>
      <c r="G17" s="389" t="s">
        <v>133</v>
      </c>
      <c r="H17" s="389" t="s">
        <v>133</v>
      </c>
      <c r="I17" s="389">
        <v>558056392</v>
      </c>
      <c r="J17" s="389" t="s">
        <v>133</v>
      </c>
    </row>
    <row r="18" spans="1:10" s="222" customFormat="1" ht="15.95" customHeight="1" x14ac:dyDescent="0.25">
      <c r="A18" s="533" t="s">
        <v>45</v>
      </c>
      <c r="B18" s="563">
        <v>2797189324</v>
      </c>
      <c r="C18" s="563">
        <v>7200</v>
      </c>
      <c r="D18" s="389">
        <v>3151143083.6500001</v>
      </c>
      <c r="E18" s="389">
        <v>2112872148</v>
      </c>
      <c r="F18" s="389">
        <v>2277148133.77</v>
      </c>
      <c r="G18" s="389">
        <v>2308304123.54</v>
      </c>
      <c r="H18" s="389">
        <v>2307267897.1999998</v>
      </c>
      <c r="I18" s="389">
        <v>2304733796.1100001</v>
      </c>
      <c r="J18" s="389">
        <v>2432097280</v>
      </c>
    </row>
    <row r="19" spans="1:10" s="222" customFormat="1" ht="15.95" customHeight="1" x14ac:dyDescent="0.25">
      <c r="A19" s="533" t="s">
        <v>313</v>
      </c>
      <c r="B19" s="563">
        <v>74000</v>
      </c>
      <c r="C19" s="563" t="s">
        <v>133</v>
      </c>
      <c r="D19" s="389" t="s">
        <v>133</v>
      </c>
      <c r="E19" s="389" t="s">
        <v>133</v>
      </c>
      <c r="F19" s="389" t="s">
        <v>133</v>
      </c>
      <c r="G19" s="389" t="s">
        <v>133</v>
      </c>
      <c r="H19" s="389" t="s">
        <v>133</v>
      </c>
      <c r="I19" s="389" t="s">
        <v>133</v>
      </c>
      <c r="J19" s="389" t="s">
        <v>133</v>
      </c>
    </row>
    <row r="20" spans="1:10" s="222" customFormat="1" ht="15.95" customHeight="1" x14ac:dyDescent="0.25">
      <c r="A20" s="533" t="s">
        <v>47</v>
      </c>
      <c r="B20" s="563" t="s">
        <v>133</v>
      </c>
      <c r="C20" s="563">
        <v>1372500</v>
      </c>
      <c r="D20" s="389" t="s">
        <v>133</v>
      </c>
      <c r="E20" s="389" t="s">
        <v>133</v>
      </c>
      <c r="F20" s="389" t="s">
        <v>133</v>
      </c>
      <c r="G20" s="389">
        <v>21417329.43</v>
      </c>
      <c r="H20" s="389" t="s">
        <v>133</v>
      </c>
      <c r="I20" s="389" t="s">
        <v>133</v>
      </c>
      <c r="J20" s="389" t="s">
        <v>133</v>
      </c>
    </row>
    <row r="21" spans="1:10" s="222" customFormat="1" ht="15.95" customHeight="1" x14ac:dyDescent="0.25">
      <c r="A21" s="533" t="s">
        <v>49</v>
      </c>
      <c r="B21" s="563">
        <v>20958720</v>
      </c>
      <c r="C21" s="563">
        <v>20958720</v>
      </c>
      <c r="D21" s="389">
        <v>15912960</v>
      </c>
      <c r="E21" s="389">
        <v>649790000</v>
      </c>
      <c r="F21" s="389">
        <v>858262363.55999994</v>
      </c>
      <c r="G21" s="389">
        <v>577913505.22000003</v>
      </c>
      <c r="H21" s="389">
        <v>577912240.25</v>
      </c>
      <c r="I21" s="389">
        <v>577917468</v>
      </c>
      <c r="J21" s="389">
        <v>577917468</v>
      </c>
    </row>
    <row r="22" spans="1:10" s="222" customFormat="1" ht="15.95" customHeight="1" x14ac:dyDescent="0.25">
      <c r="A22" s="533" t="s">
        <v>50</v>
      </c>
      <c r="B22" s="563">
        <v>20959679</v>
      </c>
      <c r="C22" s="563">
        <v>19460980</v>
      </c>
      <c r="D22" s="389">
        <v>19460980</v>
      </c>
      <c r="E22" s="389">
        <v>20890000</v>
      </c>
      <c r="F22" s="389" t="s">
        <v>133</v>
      </c>
      <c r="G22" s="389">
        <v>20886000</v>
      </c>
      <c r="H22" s="389">
        <v>136713561.72</v>
      </c>
      <c r="I22" s="389">
        <v>120944684</v>
      </c>
      <c r="J22" s="389">
        <v>14076225</v>
      </c>
    </row>
    <row r="23" spans="1:10" s="222" customFormat="1" ht="15.95" customHeight="1" x14ac:dyDescent="0.25">
      <c r="A23" s="533" t="s">
        <v>51</v>
      </c>
      <c r="B23" s="563">
        <v>1084747005</v>
      </c>
      <c r="C23" s="563">
        <v>1084747005</v>
      </c>
      <c r="D23" s="389">
        <v>1625994011</v>
      </c>
      <c r="E23" s="389">
        <v>1920350424</v>
      </c>
      <c r="F23" s="389">
        <v>1555050184</v>
      </c>
      <c r="G23" s="389">
        <v>2076590424</v>
      </c>
      <c r="H23" s="389">
        <v>2304940424</v>
      </c>
      <c r="I23" s="389">
        <v>2304950424</v>
      </c>
      <c r="J23" s="389">
        <v>2304740184</v>
      </c>
    </row>
    <row r="24" spans="1:10" s="222" customFormat="1" ht="15.95" customHeight="1" x14ac:dyDescent="0.25">
      <c r="A24" s="533" t="s">
        <v>321</v>
      </c>
      <c r="B24" s="563">
        <v>532732835</v>
      </c>
      <c r="C24" s="563">
        <v>488086661</v>
      </c>
      <c r="D24" s="389">
        <v>636950000</v>
      </c>
      <c r="E24" s="389">
        <v>593440000</v>
      </c>
      <c r="F24" s="389">
        <v>772068399</v>
      </c>
      <c r="G24" s="389">
        <v>489913336</v>
      </c>
      <c r="H24" s="389">
        <v>586258870</v>
      </c>
      <c r="I24" s="389">
        <v>574897480</v>
      </c>
      <c r="J24" s="389">
        <v>516395865.60000002</v>
      </c>
    </row>
    <row r="25" spans="1:10" s="222" customFormat="1" ht="15.95" customHeight="1" x14ac:dyDescent="0.25">
      <c r="A25" s="552" t="s">
        <v>300</v>
      </c>
      <c r="B25" s="563">
        <v>38837232</v>
      </c>
      <c r="C25" s="563" t="s">
        <v>133</v>
      </c>
      <c r="D25" s="389">
        <v>11308642</v>
      </c>
      <c r="E25" s="389">
        <v>11308642</v>
      </c>
      <c r="F25" s="389">
        <v>11308642</v>
      </c>
      <c r="G25" s="389">
        <v>11308642</v>
      </c>
      <c r="H25" s="389">
        <v>11308642</v>
      </c>
      <c r="I25" s="389">
        <v>11308642</v>
      </c>
      <c r="J25" s="389">
        <v>11308642</v>
      </c>
    </row>
    <row r="26" spans="1:10" s="222" customFormat="1" ht="15.95" customHeight="1" x14ac:dyDescent="0.25">
      <c r="A26" s="533" t="s">
        <v>55</v>
      </c>
      <c r="B26" s="563">
        <v>97761600</v>
      </c>
      <c r="C26" s="563">
        <v>81993600</v>
      </c>
      <c r="D26" s="389">
        <v>91803600</v>
      </c>
      <c r="E26" s="389">
        <v>91803600</v>
      </c>
      <c r="F26" s="389">
        <v>65869632</v>
      </c>
      <c r="G26" s="389">
        <v>19991232</v>
      </c>
      <c r="H26" s="389">
        <v>91803600</v>
      </c>
      <c r="I26" s="389">
        <v>91803600</v>
      </c>
      <c r="J26" s="389">
        <v>91803600</v>
      </c>
    </row>
    <row r="27" spans="1:10" s="222" customFormat="1" ht="15.95" customHeight="1" x14ac:dyDescent="0.25">
      <c r="A27" s="533" t="s">
        <v>56</v>
      </c>
      <c r="B27" s="563" t="s">
        <v>133</v>
      </c>
      <c r="C27" s="563">
        <v>1786422</v>
      </c>
      <c r="D27" s="389">
        <v>1760243288</v>
      </c>
      <c r="E27" s="389">
        <v>3656906282</v>
      </c>
      <c r="F27" s="389">
        <v>1853335530</v>
      </c>
      <c r="G27" s="389">
        <v>1639459010</v>
      </c>
      <c r="H27" s="389">
        <v>1893514570</v>
      </c>
      <c r="I27" s="389">
        <v>1794275668.5999999</v>
      </c>
      <c r="J27" s="389">
        <v>1874841220</v>
      </c>
    </row>
    <row r="28" spans="1:10" s="222" customFormat="1" ht="15.95" customHeight="1" x14ac:dyDescent="0.25">
      <c r="A28" s="512" t="s">
        <v>10</v>
      </c>
      <c r="B28" s="564">
        <f>SUM(B29:B54)</f>
        <v>9237591366</v>
      </c>
      <c r="C28" s="564">
        <f t="shared" ref="C28:J28" si="2">SUM(C29:C54)</f>
        <v>12510457856</v>
      </c>
      <c r="D28" s="562">
        <f t="shared" si="2"/>
        <v>13753132143.539999</v>
      </c>
      <c r="E28" s="562">
        <f t="shared" si="2"/>
        <v>15990064309.139999</v>
      </c>
      <c r="F28" s="562">
        <f t="shared" si="2"/>
        <v>11235002442.01</v>
      </c>
      <c r="G28" s="562">
        <f t="shared" si="2"/>
        <v>18784862738.84</v>
      </c>
      <c r="H28" s="562">
        <f t="shared" si="2"/>
        <v>23344518209.07</v>
      </c>
      <c r="I28" s="562">
        <f t="shared" si="2"/>
        <v>27127768050.369999</v>
      </c>
      <c r="J28" s="562">
        <f t="shared" si="2"/>
        <v>22145755003.93</v>
      </c>
    </row>
    <row r="29" spans="1:10" s="222" customFormat="1" ht="15.95" customHeight="1" x14ac:dyDescent="0.25">
      <c r="A29" s="533" t="s">
        <v>60</v>
      </c>
      <c r="B29" s="565">
        <v>63370357</v>
      </c>
      <c r="C29" s="565">
        <v>60625200</v>
      </c>
      <c r="D29" s="389">
        <v>133788720</v>
      </c>
      <c r="E29" s="389">
        <v>133788720</v>
      </c>
      <c r="F29" s="389">
        <v>91313749</v>
      </c>
      <c r="G29" s="389" t="s">
        <v>133</v>
      </c>
      <c r="H29" s="389" t="s">
        <v>133</v>
      </c>
      <c r="I29" s="389">
        <v>153215200</v>
      </c>
      <c r="J29" s="389">
        <v>176394160</v>
      </c>
    </row>
    <row r="30" spans="1:10" s="222" customFormat="1" ht="15.95" customHeight="1" x14ac:dyDescent="0.25">
      <c r="A30" s="533" t="s">
        <v>61</v>
      </c>
      <c r="B30" s="565"/>
      <c r="C30" s="565"/>
      <c r="D30" s="389" t="s">
        <v>133</v>
      </c>
      <c r="E30" s="389">
        <v>177032940.12</v>
      </c>
      <c r="F30" s="389">
        <v>188323120</v>
      </c>
      <c r="G30" s="389">
        <v>111980000</v>
      </c>
      <c r="H30" s="389">
        <v>173733120</v>
      </c>
      <c r="I30" s="389">
        <v>173733120</v>
      </c>
      <c r="J30" s="389">
        <v>173733120</v>
      </c>
    </row>
    <row r="31" spans="1:10" s="222" customFormat="1" ht="15.95" customHeight="1" x14ac:dyDescent="0.25">
      <c r="A31" s="533" t="s">
        <v>420</v>
      </c>
      <c r="B31" s="565"/>
      <c r="C31" s="565"/>
      <c r="D31" s="389" t="s">
        <v>133</v>
      </c>
      <c r="E31" s="389" t="s">
        <v>133</v>
      </c>
      <c r="F31" s="389" t="s">
        <v>133</v>
      </c>
      <c r="G31" s="389" t="s">
        <v>133</v>
      </c>
      <c r="H31" s="389">
        <v>85283426.689999998</v>
      </c>
      <c r="I31" s="389">
        <v>301420288</v>
      </c>
      <c r="J31" s="389">
        <v>301420288</v>
      </c>
    </row>
    <row r="32" spans="1:10" s="222" customFormat="1" ht="15.95" customHeight="1" x14ac:dyDescent="0.25">
      <c r="A32" s="533" t="s">
        <v>62</v>
      </c>
      <c r="B32" s="565"/>
      <c r="C32" s="565">
        <v>67171680</v>
      </c>
      <c r="D32" s="389" t="s">
        <v>133</v>
      </c>
      <c r="E32" s="389" t="s">
        <v>133</v>
      </c>
      <c r="F32" s="389" t="s">
        <v>133</v>
      </c>
      <c r="G32" s="389" t="s">
        <v>133</v>
      </c>
      <c r="H32" s="389" t="s">
        <v>133</v>
      </c>
      <c r="I32" s="389">
        <v>58801280</v>
      </c>
      <c r="J32" s="389">
        <v>35780000</v>
      </c>
    </row>
    <row r="33" spans="1:10" s="222" customFormat="1" ht="15.95" customHeight="1" x14ac:dyDescent="0.25">
      <c r="A33" s="533" t="s">
        <v>308</v>
      </c>
      <c r="B33" s="565"/>
      <c r="C33" s="565"/>
      <c r="D33" s="389" t="s">
        <v>133</v>
      </c>
      <c r="E33" s="389" t="s">
        <v>133</v>
      </c>
      <c r="F33" s="389" t="s">
        <v>133</v>
      </c>
      <c r="G33" s="389" t="s">
        <v>133</v>
      </c>
      <c r="H33" s="389" t="s">
        <v>133</v>
      </c>
      <c r="I33" s="389">
        <v>14000000</v>
      </c>
      <c r="J33" s="389">
        <v>14000000</v>
      </c>
    </row>
    <row r="34" spans="1:10" s="222" customFormat="1" ht="15.95" customHeight="1" x14ac:dyDescent="0.25">
      <c r="A34" s="533" t="s">
        <v>64</v>
      </c>
      <c r="B34" s="565"/>
      <c r="C34" s="565">
        <v>120000</v>
      </c>
      <c r="D34" s="389" t="s">
        <v>133</v>
      </c>
      <c r="E34" s="389" t="s">
        <v>133</v>
      </c>
      <c r="F34" s="389">
        <v>410480000</v>
      </c>
      <c r="G34" s="389">
        <v>411342858</v>
      </c>
      <c r="H34" s="389">
        <v>410480000</v>
      </c>
      <c r="I34" s="389">
        <v>410480000</v>
      </c>
      <c r="J34" s="389">
        <v>410480000</v>
      </c>
    </row>
    <row r="35" spans="1:10" s="222" customFormat="1" ht="15.95" customHeight="1" x14ac:dyDescent="0.25">
      <c r="A35" s="533" t="s">
        <v>65</v>
      </c>
      <c r="B35" s="565"/>
      <c r="C35" s="565"/>
      <c r="D35" s="389">
        <v>960</v>
      </c>
      <c r="E35" s="389" t="s">
        <v>133</v>
      </c>
      <c r="F35" s="389" t="s">
        <v>133</v>
      </c>
      <c r="G35" s="389" t="s">
        <v>133</v>
      </c>
      <c r="H35" s="389" t="s">
        <v>133</v>
      </c>
      <c r="I35" s="389">
        <v>112497864.78</v>
      </c>
      <c r="J35" s="389">
        <v>165370698.28999999</v>
      </c>
    </row>
    <row r="36" spans="1:10" s="222" customFormat="1" ht="15.95" customHeight="1" x14ac:dyDescent="0.25">
      <c r="A36" s="533" t="s">
        <v>303</v>
      </c>
      <c r="B36" s="565"/>
      <c r="C36" s="565"/>
      <c r="D36" s="389" t="s">
        <v>133</v>
      </c>
      <c r="E36" s="389" t="s">
        <v>133</v>
      </c>
      <c r="F36" s="389" t="s">
        <v>133</v>
      </c>
      <c r="G36" s="389" t="s">
        <v>133</v>
      </c>
      <c r="H36" s="389" t="s">
        <v>133</v>
      </c>
      <c r="I36" s="389">
        <v>426526.11</v>
      </c>
      <c r="J36" s="389">
        <v>48615611.109999999</v>
      </c>
    </row>
    <row r="37" spans="1:10" s="222" customFormat="1" ht="15.95" customHeight="1" x14ac:dyDescent="0.25">
      <c r="A37" s="533" t="s">
        <v>66</v>
      </c>
      <c r="B37" s="565">
        <v>25228800</v>
      </c>
      <c r="C37" s="565">
        <v>25228800</v>
      </c>
      <c r="D37" s="389">
        <v>25228800</v>
      </c>
      <c r="E37" s="389" t="s">
        <v>133</v>
      </c>
      <c r="F37" s="562" t="s">
        <v>133</v>
      </c>
      <c r="G37" s="389">
        <v>25228800</v>
      </c>
      <c r="H37" s="389" t="s">
        <v>133</v>
      </c>
      <c r="I37" s="389" t="s">
        <v>133</v>
      </c>
      <c r="J37" s="389" t="s">
        <v>133</v>
      </c>
    </row>
    <row r="38" spans="1:10" s="222" customFormat="1" ht="15.95" customHeight="1" x14ac:dyDescent="0.25">
      <c r="A38" s="533" t="s">
        <v>304</v>
      </c>
      <c r="B38" s="565">
        <v>63114000</v>
      </c>
      <c r="C38" s="566" t="s">
        <v>133</v>
      </c>
      <c r="D38" s="389">
        <v>157897800</v>
      </c>
      <c r="E38" s="389">
        <v>63072000</v>
      </c>
      <c r="F38" s="389">
        <v>155000000</v>
      </c>
      <c r="G38" s="389">
        <v>985417000</v>
      </c>
      <c r="H38" s="389">
        <v>902054000</v>
      </c>
      <c r="I38" s="389">
        <v>935270000</v>
      </c>
      <c r="J38" s="389">
        <v>965310000</v>
      </c>
    </row>
    <row r="39" spans="1:10" s="222" customFormat="1" ht="15.95" customHeight="1" x14ac:dyDescent="0.25">
      <c r="A39" s="533" t="s">
        <v>68</v>
      </c>
      <c r="B39" s="566" t="s">
        <v>133</v>
      </c>
      <c r="C39" s="565">
        <v>248377000</v>
      </c>
      <c r="D39" s="389">
        <v>240493000</v>
      </c>
      <c r="E39" s="389">
        <v>240493000</v>
      </c>
      <c r="F39" s="389">
        <v>240493000</v>
      </c>
      <c r="G39" s="389">
        <v>240493000</v>
      </c>
      <c r="H39" s="389">
        <v>240493000</v>
      </c>
      <c r="I39" s="389">
        <v>240493000</v>
      </c>
      <c r="J39" s="389">
        <v>131694000</v>
      </c>
    </row>
    <row r="40" spans="1:10" s="222" customFormat="1" ht="15.95" customHeight="1" x14ac:dyDescent="0.25">
      <c r="A40" s="533" t="s">
        <v>71</v>
      </c>
      <c r="B40" s="565"/>
      <c r="C40" s="565"/>
      <c r="D40" s="389" t="s">
        <v>133</v>
      </c>
      <c r="E40" s="389" t="s">
        <v>133</v>
      </c>
      <c r="F40" s="389" t="s">
        <v>133</v>
      </c>
      <c r="G40" s="389" t="s">
        <v>133</v>
      </c>
      <c r="H40" s="389">
        <v>28728</v>
      </c>
      <c r="I40" s="389" t="s">
        <v>133</v>
      </c>
      <c r="J40" s="389">
        <v>108799000</v>
      </c>
    </row>
    <row r="41" spans="1:10" s="222" customFormat="1" ht="15.95" customHeight="1" x14ac:dyDescent="0.25">
      <c r="A41" s="533" t="s">
        <v>72</v>
      </c>
      <c r="B41" s="565"/>
      <c r="C41" s="565"/>
      <c r="D41" s="389">
        <v>12852</v>
      </c>
      <c r="E41" s="389">
        <v>3231142852</v>
      </c>
      <c r="F41" s="389">
        <v>3392667184</v>
      </c>
      <c r="G41" s="389">
        <v>3392667184</v>
      </c>
      <c r="H41" s="389">
        <v>3392666188</v>
      </c>
      <c r="I41" s="389">
        <v>3392667184</v>
      </c>
      <c r="J41" s="389">
        <v>3395836432</v>
      </c>
    </row>
    <row r="42" spans="1:10" s="222" customFormat="1" ht="15.95" customHeight="1" x14ac:dyDescent="0.25">
      <c r="A42" s="533" t="s">
        <v>74</v>
      </c>
      <c r="B42" s="565">
        <v>505724080</v>
      </c>
      <c r="C42" s="565"/>
      <c r="D42" s="389">
        <v>327939876</v>
      </c>
      <c r="E42" s="389">
        <v>743144400</v>
      </c>
      <c r="F42" s="389">
        <v>754810086</v>
      </c>
      <c r="G42" s="389">
        <v>1063720086</v>
      </c>
      <c r="H42" s="389">
        <v>1063720086</v>
      </c>
      <c r="I42" s="389">
        <v>1063675680</v>
      </c>
      <c r="J42" s="389">
        <v>1063679148.64</v>
      </c>
    </row>
    <row r="43" spans="1:10" s="222" customFormat="1" ht="15.95" customHeight="1" x14ac:dyDescent="0.25">
      <c r="A43" s="533" t="s">
        <v>73</v>
      </c>
      <c r="B43" s="565"/>
      <c r="C43" s="565"/>
      <c r="D43" s="389">
        <v>27371520</v>
      </c>
      <c r="E43" s="389">
        <v>27371520</v>
      </c>
      <c r="F43" s="389" t="s">
        <v>133</v>
      </c>
      <c r="G43" s="389">
        <v>27371520</v>
      </c>
      <c r="H43" s="389">
        <v>27371520</v>
      </c>
      <c r="I43" s="389">
        <v>27371520</v>
      </c>
      <c r="J43" s="389">
        <v>27371520</v>
      </c>
    </row>
    <row r="44" spans="1:10" s="222" customFormat="1" ht="15.95" customHeight="1" x14ac:dyDescent="0.25">
      <c r="A44" s="533" t="s">
        <v>75</v>
      </c>
      <c r="B44" s="565">
        <v>843286672</v>
      </c>
      <c r="C44" s="565">
        <v>993506831</v>
      </c>
      <c r="D44" s="389">
        <v>828229231.20000005</v>
      </c>
      <c r="E44" s="389">
        <v>828229875.96000004</v>
      </c>
      <c r="F44" s="389">
        <v>1041694000</v>
      </c>
      <c r="G44" s="389">
        <v>1204184000</v>
      </c>
      <c r="H44" s="389">
        <v>967004000</v>
      </c>
      <c r="I44" s="389">
        <v>1204184000</v>
      </c>
      <c r="J44" s="389">
        <v>1204184000</v>
      </c>
    </row>
    <row r="45" spans="1:10" s="223" customFormat="1" ht="15.95" customHeight="1" x14ac:dyDescent="0.25">
      <c r="A45" s="533" t="s">
        <v>76</v>
      </c>
      <c r="B45" s="565">
        <v>386841278</v>
      </c>
      <c r="C45" s="565">
        <v>3489591259</v>
      </c>
      <c r="D45" s="389">
        <v>3807494247.5999999</v>
      </c>
      <c r="E45" s="389">
        <v>1615664023.48</v>
      </c>
      <c r="F45" s="389">
        <v>196262542.83000001</v>
      </c>
      <c r="G45" s="389">
        <v>216321223.99000001</v>
      </c>
      <c r="H45" s="389">
        <v>226873377.44</v>
      </c>
      <c r="I45" s="389">
        <v>133629057.61</v>
      </c>
      <c r="J45" s="389">
        <v>88698031.879999995</v>
      </c>
    </row>
    <row r="46" spans="1:10" s="223" customFormat="1" ht="15.95" customHeight="1" x14ac:dyDescent="0.25">
      <c r="A46" s="533" t="s">
        <v>77</v>
      </c>
      <c r="B46" s="565">
        <v>6516494463</v>
      </c>
      <c r="C46" s="565">
        <v>7367391582</v>
      </c>
      <c r="D46" s="389">
        <v>6016327760</v>
      </c>
      <c r="E46" s="389">
        <v>6744207760</v>
      </c>
      <c r="F46" s="389">
        <v>4343657991</v>
      </c>
      <c r="G46" s="389">
        <v>9281651610.8400002</v>
      </c>
      <c r="H46" s="389">
        <v>12074696306.92</v>
      </c>
      <c r="I46" s="389">
        <v>15086127760</v>
      </c>
      <c r="J46" s="389">
        <v>12894964351.98</v>
      </c>
    </row>
    <row r="47" spans="1:10" s="223" customFormat="1" ht="15.95" customHeight="1" x14ac:dyDescent="0.25">
      <c r="A47" s="533" t="s">
        <v>151</v>
      </c>
      <c r="B47" s="565">
        <v>102791604</v>
      </c>
      <c r="C47" s="565">
        <v>258445504</v>
      </c>
      <c r="D47" s="389">
        <v>106208436.73999999</v>
      </c>
      <c r="E47" s="389">
        <v>106208436.73999999</v>
      </c>
      <c r="F47" s="389">
        <v>106208436.73999999</v>
      </c>
      <c r="G47" s="389">
        <v>106208436.73999999</v>
      </c>
      <c r="H47" s="389">
        <v>106208436.73999999</v>
      </c>
      <c r="I47" s="389">
        <v>106208436.73999999</v>
      </c>
      <c r="J47" s="389">
        <v>106208436.73999999</v>
      </c>
    </row>
    <row r="48" spans="1:10" s="222" customFormat="1" ht="15.95" customHeight="1" x14ac:dyDescent="0.25">
      <c r="A48" s="533" t="s">
        <v>110</v>
      </c>
      <c r="B48" s="565"/>
      <c r="C48" s="565"/>
      <c r="D48" s="389" t="s">
        <v>133</v>
      </c>
      <c r="E48" s="389" t="s">
        <v>133</v>
      </c>
      <c r="F48" s="389" t="s">
        <v>133</v>
      </c>
      <c r="G48" s="389" t="s">
        <v>133</v>
      </c>
      <c r="H48" s="389">
        <v>870912</v>
      </c>
      <c r="I48" s="389">
        <v>8709120</v>
      </c>
      <c r="J48" s="389">
        <v>8709120</v>
      </c>
    </row>
    <row r="49" spans="1:10" s="222" customFormat="1" ht="15.95" customHeight="1" x14ac:dyDescent="0.25">
      <c r="A49" s="533" t="s">
        <v>306</v>
      </c>
      <c r="B49" s="565">
        <v>34689600</v>
      </c>
      <c r="C49" s="565"/>
      <c r="D49" s="389" t="s">
        <v>133</v>
      </c>
      <c r="E49" s="389" t="s">
        <v>133</v>
      </c>
      <c r="F49" s="389">
        <v>34749600</v>
      </c>
      <c r="G49" s="389" t="s">
        <v>133</v>
      </c>
      <c r="H49" s="389" t="s">
        <v>133</v>
      </c>
      <c r="I49" s="389" t="s">
        <v>133</v>
      </c>
      <c r="J49" s="389" t="s">
        <v>133</v>
      </c>
    </row>
    <row r="50" spans="1:10" s="222" customFormat="1" ht="15.95" customHeight="1" x14ac:dyDescent="0.25">
      <c r="A50" s="533" t="s">
        <v>78</v>
      </c>
      <c r="B50" s="565">
        <v>121305600</v>
      </c>
      <c r="C50" s="565"/>
      <c r="D50" s="389" t="s">
        <v>133</v>
      </c>
      <c r="E50" s="389">
        <v>121214600</v>
      </c>
      <c r="F50" s="389">
        <v>129484000</v>
      </c>
      <c r="G50" s="389" t="s">
        <v>133</v>
      </c>
      <c r="H50" s="389">
        <v>129484000</v>
      </c>
      <c r="I50" s="389" t="s">
        <v>133</v>
      </c>
      <c r="J50" s="389">
        <v>34689600</v>
      </c>
    </row>
    <row r="51" spans="1:10" s="222" customFormat="1" ht="15.95" customHeight="1" x14ac:dyDescent="0.25">
      <c r="A51" s="533" t="s">
        <v>79</v>
      </c>
      <c r="B51" s="565">
        <v>51655968</v>
      </c>
      <c r="C51" s="565"/>
      <c r="D51" s="389">
        <v>49520000</v>
      </c>
      <c r="E51" s="389" t="s">
        <v>133</v>
      </c>
      <c r="F51" s="389" t="s">
        <v>133</v>
      </c>
      <c r="G51" s="389" t="s">
        <v>133</v>
      </c>
      <c r="H51" s="389" t="s">
        <v>133</v>
      </c>
      <c r="I51" s="389" t="s">
        <v>133</v>
      </c>
      <c r="J51" s="389" t="s">
        <v>133</v>
      </c>
    </row>
    <row r="52" spans="1:10" s="222" customFormat="1" ht="15.95" customHeight="1" x14ac:dyDescent="0.25">
      <c r="A52" s="533" t="s">
        <v>80</v>
      </c>
      <c r="B52" s="565"/>
      <c r="C52" s="565"/>
      <c r="D52" s="389">
        <v>1563130000</v>
      </c>
      <c r="E52" s="389">
        <v>1563196180.8399999</v>
      </c>
      <c r="F52" s="389">
        <v>214796.44</v>
      </c>
      <c r="G52" s="389">
        <v>1567440763.27</v>
      </c>
      <c r="H52" s="389">
        <v>3130545872.46</v>
      </c>
      <c r="I52" s="389">
        <v>3245720520.46</v>
      </c>
      <c r="J52" s="389">
        <v>68470.62</v>
      </c>
    </row>
    <row r="53" spans="1:10" s="222" customFormat="1" ht="15.95" customHeight="1" x14ac:dyDescent="0.25">
      <c r="A53" s="533" t="s">
        <v>307</v>
      </c>
      <c r="B53" s="565">
        <v>72658944</v>
      </c>
      <c r="C53" s="567" t="s">
        <v>133</v>
      </c>
      <c r="D53" s="389" t="s">
        <v>133</v>
      </c>
      <c r="E53" s="389" t="s">
        <v>133</v>
      </c>
      <c r="F53" s="389">
        <v>145317888</v>
      </c>
      <c r="G53" s="389">
        <v>145317888</v>
      </c>
      <c r="H53" s="389" t="s">
        <v>133</v>
      </c>
      <c r="I53" s="389" t="s">
        <v>133</v>
      </c>
      <c r="J53" s="389" t="s">
        <v>133</v>
      </c>
    </row>
    <row r="54" spans="1:10" s="224" customFormat="1" ht="15.95" customHeight="1" x14ac:dyDescent="0.25">
      <c r="A54" s="538" t="s">
        <v>83</v>
      </c>
      <c r="B54" s="568">
        <v>450430000</v>
      </c>
      <c r="C54" s="569"/>
      <c r="D54" s="399">
        <v>469488940</v>
      </c>
      <c r="E54" s="399">
        <v>395298000</v>
      </c>
      <c r="F54" s="399">
        <v>4326048</v>
      </c>
      <c r="G54" s="399">
        <v>5518368</v>
      </c>
      <c r="H54" s="399">
        <v>413005234.81999999</v>
      </c>
      <c r="I54" s="399">
        <v>459137492.67000002</v>
      </c>
      <c r="J54" s="399">
        <v>789749014.66999996</v>
      </c>
    </row>
    <row r="55" spans="1:10" s="7" customFormat="1" ht="12" customHeight="1" x14ac:dyDescent="0.25">
      <c r="A55" s="261" t="s">
        <v>370</v>
      </c>
      <c r="B55" s="221"/>
      <c r="C55" s="221"/>
      <c r="D55" s="186"/>
      <c r="E55" s="186"/>
      <c r="F55" s="186"/>
      <c r="G55" s="186"/>
      <c r="H55" s="186"/>
      <c r="I55" s="186"/>
      <c r="J55" s="186"/>
    </row>
    <row r="56" spans="1:10" s="7" customFormat="1" ht="12" customHeight="1" x14ac:dyDescent="0.25">
      <c r="A56" s="553" t="s">
        <v>88</v>
      </c>
      <c r="B56" s="554"/>
      <c r="C56" s="554"/>
      <c r="D56" s="34"/>
      <c r="E56" s="34"/>
      <c r="F56" s="34"/>
      <c r="G56" s="34"/>
      <c r="H56" s="34"/>
      <c r="I56" s="185"/>
      <c r="J56" s="185"/>
    </row>
  </sheetData>
  <mergeCells count="2">
    <mergeCell ref="A1:J1"/>
    <mergeCell ref="A2:J2"/>
  </mergeCells>
  <pageMargins left="0.7" right="0.7" top="0.75" bottom="0.75" header="0.3" footer="0.3"/>
  <pageSetup paperSize="9" orientation="portrait" r:id="rId1"/>
  <ignoredErrors>
    <ignoredError sqref="C4:J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37"/>
  <sheetViews>
    <sheetView showGridLines="0" zoomScaleNormal="100" workbookViewId="0">
      <selection activeCell="A4" sqref="A4:J36"/>
    </sheetView>
  </sheetViews>
  <sheetFormatPr baseColWidth="10" defaultColWidth="11.28515625" defaultRowHeight="12.75" customHeight="1" x14ac:dyDescent="0.25"/>
  <cols>
    <col min="1" max="1" width="10.28515625" style="66" customWidth="1"/>
    <col min="2" max="2" width="9" style="66" customWidth="1"/>
    <col min="3" max="3" width="8.42578125" style="66" customWidth="1"/>
    <col min="4" max="4" width="1.7109375" style="66" customWidth="1"/>
    <col min="5" max="5" width="7.42578125" style="66" bestFit="1" customWidth="1"/>
    <col min="6" max="6" width="13.7109375" style="66" customWidth="1"/>
    <col min="7" max="7" width="15" style="66" customWidth="1"/>
    <col min="8" max="10" width="10.140625" style="66" customWidth="1"/>
    <col min="11" max="16384" width="11.28515625" style="66"/>
  </cols>
  <sheetData>
    <row r="1" spans="1:10" s="577" customFormat="1" ht="12.75" customHeight="1" x14ac:dyDescent="0.25">
      <c r="A1" s="699" t="s">
        <v>436</v>
      </c>
      <c r="B1" s="699"/>
      <c r="C1" s="699"/>
      <c r="D1" s="699"/>
      <c r="E1" s="699"/>
      <c r="F1" s="699"/>
      <c r="G1" s="699"/>
      <c r="H1" s="699"/>
      <c r="I1" s="699"/>
      <c r="J1" s="699"/>
    </row>
    <row r="2" spans="1:10" s="577" customFormat="1" ht="12.75" customHeight="1" x14ac:dyDescent="0.25">
      <c r="A2" s="647" t="s">
        <v>322</v>
      </c>
      <c r="B2" s="647"/>
      <c r="C2" s="647"/>
      <c r="D2" s="647"/>
      <c r="E2" s="647"/>
      <c r="F2" s="647"/>
      <c r="G2" s="647"/>
      <c r="H2" s="647"/>
      <c r="I2" s="647"/>
      <c r="J2" s="647"/>
    </row>
    <row r="3" spans="1:10" s="64" customFormat="1" ht="12.7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0"/>
    </row>
    <row r="4" spans="1:10" s="64" customFormat="1" ht="20.100000000000001" customHeight="1" x14ac:dyDescent="0.25">
      <c r="A4" s="692" t="s">
        <v>323</v>
      </c>
      <c r="B4" s="702" t="s">
        <v>3</v>
      </c>
      <c r="C4" s="702" t="s">
        <v>451</v>
      </c>
      <c r="D4" s="570"/>
      <c r="E4" s="704" t="s">
        <v>324</v>
      </c>
      <c r="F4" s="704"/>
      <c r="G4" s="704"/>
      <c r="H4" s="702" t="s">
        <v>325</v>
      </c>
      <c r="I4" s="702" t="s">
        <v>19</v>
      </c>
      <c r="J4" s="702" t="s">
        <v>326</v>
      </c>
    </row>
    <row r="5" spans="1:10" s="64" customFormat="1" ht="41.25" customHeight="1" x14ac:dyDescent="0.25">
      <c r="A5" s="693"/>
      <c r="B5" s="703"/>
      <c r="C5" s="703"/>
      <c r="D5" s="571"/>
      <c r="E5" s="571" t="s">
        <v>3</v>
      </c>
      <c r="F5" s="571" t="s">
        <v>449</v>
      </c>
      <c r="G5" s="571" t="s">
        <v>450</v>
      </c>
      <c r="H5" s="703"/>
      <c r="I5" s="703"/>
      <c r="J5" s="703"/>
    </row>
    <row r="6" spans="1:10" s="64" customFormat="1" ht="12.75" hidden="1" customHeight="1" x14ac:dyDescent="0.25">
      <c r="A6" s="480"/>
      <c r="B6" s="572"/>
      <c r="C6" s="572"/>
      <c r="D6" s="572"/>
      <c r="E6" s="572"/>
      <c r="F6" s="572"/>
      <c r="G6" s="572"/>
      <c r="H6" s="572"/>
      <c r="I6" s="572"/>
      <c r="J6" s="572"/>
    </row>
    <row r="7" spans="1:10" s="64" customFormat="1" ht="12.75" hidden="1" customHeight="1" x14ac:dyDescent="0.25">
      <c r="A7" s="573">
        <v>1995</v>
      </c>
      <c r="B7" s="574">
        <v>427930</v>
      </c>
      <c r="C7" s="574">
        <v>19045</v>
      </c>
      <c r="D7" s="574"/>
      <c r="E7" s="574">
        <v>335897</v>
      </c>
      <c r="F7" s="574" t="s">
        <v>133</v>
      </c>
      <c r="G7" s="574" t="s">
        <v>133</v>
      </c>
      <c r="H7" s="574">
        <v>37626</v>
      </c>
      <c r="I7" s="574">
        <v>12734</v>
      </c>
      <c r="J7" s="574">
        <v>22628</v>
      </c>
    </row>
    <row r="8" spans="1:10" s="64" customFormat="1" ht="12.75" hidden="1" customHeight="1" x14ac:dyDescent="0.25">
      <c r="A8" s="573">
        <v>1996</v>
      </c>
      <c r="B8" s="574">
        <v>432308</v>
      </c>
      <c r="C8" s="574">
        <v>17265</v>
      </c>
      <c r="D8" s="574"/>
      <c r="E8" s="574">
        <v>341495</v>
      </c>
      <c r="F8" s="574" t="s">
        <v>133</v>
      </c>
      <c r="G8" s="574" t="s">
        <v>133</v>
      </c>
      <c r="H8" s="574">
        <v>38187</v>
      </c>
      <c r="I8" s="574">
        <v>11841</v>
      </c>
      <c r="J8" s="574">
        <v>23520</v>
      </c>
    </row>
    <row r="9" spans="1:10" s="64" customFormat="1" ht="12.75" hidden="1" customHeight="1" x14ac:dyDescent="0.25">
      <c r="A9" s="573">
        <v>1997</v>
      </c>
      <c r="B9" s="574">
        <v>419897</v>
      </c>
      <c r="C9" s="574">
        <v>12226</v>
      </c>
      <c r="D9" s="574"/>
      <c r="E9" s="574">
        <v>332851</v>
      </c>
      <c r="F9" s="574" t="s">
        <v>133</v>
      </c>
      <c r="G9" s="574" t="s">
        <v>133</v>
      </c>
      <c r="H9" s="574">
        <v>39192</v>
      </c>
      <c r="I9" s="574">
        <v>11559</v>
      </c>
      <c r="J9" s="574">
        <v>24069</v>
      </c>
    </row>
    <row r="10" spans="1:10" s="64" customFormat="1" ht="12.75" hidden="1" customHeight="1" x14ac:dyDescent="0.25">
      <c r="A10" s="573">
        <v>1998</v>
      </c>
      <c r="B10" s="574">
        <v>387917</v>
      </c>
      <c r="C10" s="574">
        <v>5997</v>
      </c>
      <c r="D10" s="574"/>
      <c r="E10" s="574">
        <v>300279</v>
      </c>
      <c r="F10" s="574" t="s">
        <v>133</v>
      </c>
      <c r="G10" s="574" t="s">
        <v>133</v>
      </c>
      <c r="H10" s="574">
        <v>44070</v>
      </c>
      <c r="I10" s="574">
        <v>11025</v>
      </c>
      <c r="J10" s="574">
        <v>26546</v>
      </c>
    </row>
    <row r="11" spans="1:10" s="64" customFormat="1" ht="12.75" hidden="1" customHeight="1" x14ac:dyDescent="0.25">
      <c r="A11" s="573">
        <v>1999</v>
      </c>
      <c r="B11" s="574">
        <v>388712</v>
      </c>
      <c r="C11" s="574">
        <v>8541</v>
      </c>
      <c r="D11" s="574"/>
      <c r="E11" s="574">
        <v>294055</v>
      </c>
      <c r="F11" s="574" t="s">
        <v>133</v>
      </c>
      <c r="G11" s="574" t="s">
        <v>133</v>
      </c>
      <c r="H11" s="574">
        <v>43729</v>
      </c>
      <c r="I11" s="574">
        <v>11124</v>
      </c>
      <c r="J11" s="574">
        <v>31263</v>
      </c>
    </row>
    <row r="12" spans="1:10" s="64" customFormat="1" ht="12.75" hidden="1" customHeight="1" x14ac:dyDescent="0.25">
      <c r="A12" s="573">
        <v>2000</v>
      </c>
      <c r="B12" s="574">
        <v>378600</v>
      </c>
      <c r="C12" s="574">
        <v>8951</v>
      </c>
      <c r="D12" s="574"/>
      <c r="E12" s="574">
        <v>294996</v>
      </c>
      <c r="F12" s="574" t="s">
        <v>133</v>
      </c>
      <c r="G12" s="574" t="s">
        <v>133</v>
      </c>
      <c r="H12" s="574">
        <v>37114</v>
      </c>
      <c r="I12" s="574">
        <v>9352</v>
      </c>
      <c r="J12" s="574">
        <v>28187</v>
      </c>
    </row>
    <row r="13" spans="1:10" s="64" customFormat="1" ht="12.75" hidden="1" customHeight="1" x14ac:dyDescent="0.25">
      <c r="A13" s="573">
        <v>2001</v>
      </c>
      <c r="B13" s="574">
        <v>383709</v>
      </c>
      <c r="C13" s="574">
        <v>12720</v>
      </c>
      <c r="D13" s="574"/>
      <c r="E13" s="574">
        <v>294103</v>
      </c>
      <c r="F13" s="574" t="s">
        <v>133</v>
      </c>
      <c r="G13" s="574" t="s">
        <v>133</v>
      </c>
      <c r="H13" s="574">
        <v>36441</v>
      </c>
      <c r="I13" s="574">
        <v>9629</v>
      </c>
      <c r="J13" s="574">
        <v>30816</v>
      </c>
    </row>
    <row r="14" spans="1:10" s="64" customFormat="1" ht="12.75" hidden="1" customHeight="1" x14ac:dyDescent="0.25">
      <c r="A14" s="573">
        <v>2002</v>
      </c>
      <c r="B14" s="574">
        <v>390866</v>
      </c>
      <c r="C14" s="574">
        <v>14192</v>
      </c>
      <c r="D14" s="574"/>
      <c r="E14" s="574">
        <v>298391</v>
      </c>
      <c r="F14" s="574" t="s">
        <v>133</v>
      </c>
      <c r="G14" s="574" t="s">
        <v>133</v>
      </c>
      <c r="H14" s="574">
        <v>36943</v>
      </c>
      <c r="I14" s="574">
        <v>9958</v>
      </c>
      <c r="J14" s="574">
        <v>31382</v>
      </c>
    </row>
    <row r="15" spans="1:10" s="64" customFormat="1" ht="12.75" hidden="1" customHeight="1" x14ac:dyDescent="0.25">
      <c r="A15" s="573">
        <v>2003</v>
      </c>
      <c r="B15" s="574">
        <v>392964</v>
      </c>
      <c r="C15" s="574">
        <v>12428</v>
      </c>
      <c r="D15" s="574"/>
      <c r="E15" s="574">
        <v>301554</v>
      </c>
      <c r="F15" s="574" t="s">
        <v>133</v>
      </c>
      <c r="G15" s="574" t="s">
        <v>133</v>
      </c>
      <c r="H15" s="574">
        <v>37536</v>
      </c>
      <c r="I15" s="574">
        <v>9912</v>
      </c>
      <c r="J15" s="574">
        <v>31534</v>
      </c>
    </row>
    <row r="16" spans="1:10" s="64" customFormat="1" ht="12.75" hidden="1" customHeight="1" x14ac:dyDescent="0.25">
      <c r="A16" s="573">
        <v>2004</v>
      </c>
      <c r="B16" s="574">
        <v>386239</v>
      </c>
      <c r="C16" s="574">
        <v>12983</v>
      </c>
      <c r="D16" s="574"/>
      <c r="E16" s="574">
        <v>297545</v>
      </c>
      <c r="F16" s="574" t="s">
        <v>133</v>
      </c>
      <c r="G16" s="574" t="s">
        <v>133</v>
      </c>
      <c r="H16" s="574">
        <v>35840</v>
      </c>
      <c r="I16" s="574">
        <v>9500</v>
      </c>
      <c r="J16" s="574">
        <v>30371</v>
      </c>
    </row>
    <row r="17" spans="1:10" s="64" customFormat="1" ht="15.95" customHeight="1" x14ac:dyDescent="0.25">
      <c r="A17" s="575">
        <v>2006</v>
      </c>
      <c r="B17" s="574">
        <v>410110</v>
      </c>
      <c r="C17" s="574">
        <v>15118</v>
      </c>
      <c r="D17" s="574"/>
      <c r="E17" s="574">
        <v>311115</v>
      </c>
      <c r="F17" s="574" t="s">
        <v>133</v>
      </c>
      <c r="G17" s="574" t="s">
        <v>133</v>
      </c>
      <c r="H17" s="574">
        <v>40467</v>
      </c>
      <c r="I17" s="574">
        <v>10661</v>
      </c>
      <c r="J17" s="574">
        <v>32749</v>
      </c>
    </row>
    <row r="18" spans="1:10" s="64" customFormat="1" ht="15.95" customHeight="1" x14ac:dyDescent="0.25">
      <c r="A18" s="575">
        <v>2007</v>
      </c>
      <c r="B18" s="574">
        <v>410072</v>
      </c>
      <c r="C18" s="574">
        <v>15045</v>
      </c>
      <c r="D18" s="574"/>
      <c r="E18" s="574">
        <v>309836</v>
      </c>
      <c r="F18" s="574" t="s">
        <v>133</v>
      </c>
      <c r="G18" s="574" t="s">
        <v>133</v>
      </c>
      <c r="H18" s="574">
        <v>41291</v>
      </c>
      <c r="I18" s="574">
        <v>10762</v>
      </c>
      <c r="J18" s="574">
        <v>33138</v>
      </c>
    </row>
    <row r="19" spans="1:10" s="64" customFormat="1" ht="15.95" customHeight="1" x14ac:dyDescent="0.25">
      <c r="A19" s="575">
        <v>2008</v>
      </c>
      <c r="B19" s="574">
        <v>414911</v>
      </c>
      <c r="C19" s="574">
        <v>13963</v>
      </c>
      <c r="D19" s="574"/>
      <c r="E19" s="574">
        <v>312366</v>
      </c>
      <c r="F19" s="574" t="s">
        <v>133</v>
      </c>
      <c r="G19" s="574" t="s">
        <v>133</v>
      </c>
      <c r="H19" s="574">
        <v>44866</v>
      </c>
      <c r="I19" s="574">
        <v>10710</v>
      </c>
      <c r="J19" s="574">
        <v>33006</v>
      </c>
    </row>
    <row r="20" spans="1:10" s="64" customFormat="1" ht="15.95" customHeight="1" x14ac:dyDescent="0.25">
      <c r="A20" s="575">
        <v>2009</v>
      </c>
      <c r="B20" s="574">
        <v>415878</v>
      </c>
      <c r="C20" s="574">
        <v>13376</v>
      </c>
      <c r="D20" s="574"/>
      <c r="E20" s="574">
        <v>313280</v>
      </c>
      <c r="F20" s="574" t="s">
        <v>133</v>
      </c>
      <c r="G20" s="574" t="s">
        <v>133</v>
      </c>
      <c r="H20" s="574">
        <v>45182</v>
      </c>
      <c r="I20" s="574">
        <v>10520</v>
      </c>
      <c r="J20" s="574">
        <v>33520</v>
      </c>
    </row>
    <row r="21" spans="1:10" s="64" customFormat="1" ht="15.95" customHeight="1" x14ac:dyDescent="0.25">
      <c r="A21" s="575">
        <v>2010</v>
      </c>
      <c r="B21" s="574">
        <v>423589</v>
      </c>
      <c r="C21" s="574">
        <v>13159</v>
      </c>
      <c r="D21" s="574"/>
      <c r="E21" s="574">
        <v>319200</v>
      </c>
      <c r="F21" s="574" t="s">
        <v>133</v>
      </c>
      <c r="G21" s="574" t="s">
        <v>133</v>
      </c>
      <c r="H21" s="574">
        <v>46938</v>
      </c>
      <c r="I21" s="574">
        <v>11236</v>
      </c>
      <c r="J21" s="574">
        <v>33056</v>
      </c>
    </row>
    <row r="22" spans="1:10" s="64" customFormat="1" ht="15.95" customHeight="1" x14ac:dyDescent="0.25">
      <c r="A22" s="575">
        <v>2011</v>
      </c>
      <c r="B22" s="574">
        <v>447010</v>
      </c>
      <c r="C22" s="574">
        <v>13291</v>
      </c>
      <c r="D22" s="574"/>
      <c r="E22" s="574">
        <v>336921</v>
      </c>
      <c r="F22" s="574" t="s">
        <v>133</v>
      </c>
      <c r="G22" s="574" t="s">
        <v>133</v>
      </c>
      <c r="H22" s="574">
        <v>50989</v>
      </c>
      <c r="I22" s="574">
        <v>12012</v>
      </c>
      <c r="J22" s="574">
        <v>33797</v>
      </c>
    </row>
    <row r="23" spans="1:10" s="64" customFormat="1" ht="15.95" customHeight="1" x14ac:dyDescent="0.25">
      <c r="A23" s="575">
        <v>2012</v>
      </c>
      <c r="B23" s="574">
        <v>472377</v>
      </c>
      <c r="C23" s="574">
        <v>14153</v>
      </c>
      <c r="D23" s="574"/>
      <c r="E23" s="574">
        <v>354979</v>
      </c>
      <c r="F23" s="574" t="s">
        <v>133</v>
      </c>
      <c r="G23" s="574" t="s">
        <v>133</v>
      </c>
      <c r="H23" s="574">
        <v>55229</v>
      </c>
      <c r="I23" s="574">
        <v>12983</v>
      </c>
      <c r="J23" s="574">
        <v>35033</v>
      </c>
    </row>
    <row r="24" spans="1:10" s="64" customFormat="1" ht="15.95" customHeight="1" x14ac:dyDescent="0.25">
      <c r="A24" s="575">
        <v>2013</v>
      </c>
      <c r="B24" s="574">
        <v>482845</v>
      </c>
      <c r="C24" s="574">
        <v>13843</v>
      </c>
      <c r="D24" s="574"/>
      <c r="E24" s="574">
        <v>362202</v>
      </c>
      <c r="F24" s="574" t="s">
        <v>133</v>
      </c>
      <c r="G24" s="574" t="s">
        <v>133</v>
      </c>
      <c r="H24" s="574">
        <v>66920</v>
      </c>
      <c r="I24" s="574">
        <v>13008</v>
      </c>
      <c r="J24" s="574">
        <v>26872</v>
      </c>
    </row>
    <row r="25" spans="1:10" s="64" customFormat="1" ht="15.95" customHeight="1" x14ac:dyDescent="0.25">
      <c r="A25" s="575">
        <v>2014</v>
      </c>
      <c r="B25" s="574">
        <v>487324</v>
      </c>
      <c r="C25" s="574">
        <v>14563</v>
      </c>
      <c r="D25" s="574"/>
      <c r="E25" s="574">
        <v>368299</v>
      </c>
      <c r="F25" s="574" t="s">
        <v>133</v>
      </c>
      <c r="G25" s="574" t="s">
        <v>133</v>
      </c>
      <c r="H25" s="574">
        <v>65989</v>
      </c>
      <c r="I25" s="574">
        <v>12489</v>
      </c>
      <c r="J25" s="574">
        <v>25984</v>
      </c>
    </row>
    <row r="26" spans="1:10" s="64" customFormat="1" ht="15.95" customHeight="1" x14ac:dyDescent="0.25">
      <c r="A26" s="575">
        <v>2015</v>
      </c>
      <c r="B26" s="574">
        <v>501039</v>
      </c>
      <c r="C26" s="574">
        <v>15051</v>
      </c>
      <c r="D26" s="574"/>
      <c r="E26" s="574">
        <v>380198</v>
      </c>
      <c r="F26" s="574" t="s">
        <v>133</v>
      </c>
      <c r="G26" s="574" t="s">
        <v>133</v>
      </c>
      <c r="H26" s="574">
        <v>67073</v>
      </c>
      <c r="I26" s="574">
        <v>12290</v>
      </c>
      <c r="J26" s="574">
        <v>26427</v>
      </c>
    </row>
    <row r="27" spans="1:10" s="64" customFormat="1" ht="15.95" customHeight="1" x14ac:dyDescent="0.25">
      <c r="A27" s="575">
        <v>2016</v>
      </c>
      <c r="B27" s="574">
        <v>514728</v>
      </c>
      <c r="C27" s="574">
        <v>15506</v>
      </c>
      <c r="D27" s="574"/>
      <c r="E27" s="574">
        <v>392162</v>
      </c>
      <c r="F27" s="574" t="s">
        <v>133</v>
      </c>
      <c r="G27" s="574" t="s">
        <v>133</v>
      </c>
      <c r="H27" s="574">
        <v>68911</v>
      </c>
      <c r="I27" s="574">
        <v>11872</v>
      </c>
      <c r="J27" s="574">
        <v>26277</v>
      </c>
    </row>
    <row r="28" spans="1:10" s="64" customFormat="1" ht="15.95" customHeight="1" x14ac:dyDescent="0.25">
      <c r="A28" s="575">
        <v>2017</v>
      </c>
      <c r="B28" s="574">
        <v>523321</v>
      </c>
      <c r="C28" s="574">
        <v>15047</v>
      </c>
      <c r="D28" s="574"/>
      <c r="E28" s="574">
        <v>398398</v>
      </c>
      <c r="F28" s="574" t="s">
        <v>133</v>
      </c>
      <c r="G28" s="574" t="s">
        <v>133</v>
      </c>
      <c r="H28" s="574">
        <v>70900</v>
      </c>
      <c r="I28" s="574">
        <v>11965</v>
      </c>
      <c r="J28" s="574">
        <v>27011</v>
      </c>
    </row>
    <row r="29" spans="1:10" s="64" customFormat="1" ht="15.95" customHeight="1" x14ac:dyDescent="0.25">
      <c r="A29" s="575">
        <v>2018</v>
      </c>
      <c r="B29" s="574">
        <v>529759</v>
      </c>
      <c r="C29" s="574">
        <v>12502</v>
      </c>
      <c r="D29" s="574"/>
      <c r="E29" s="576">
        <v>407642</v>
      </c>
      <c r="F29" s="574">
        <v>120850</v>
      </c>
      <c r="G29" s="574">
        <v>286792</v>
      </c>
      <c r="H29" s="574">
        <v>71438</v>
      </c>
      <c r="I29" s="574">
        <v>11642</v>
      </c>
      <c r="J29" s="574">
        <v>26534</v>
      </c>
    </row>
    <row r="30" spans="1:10" s="64" customFormat="1" ht="15.95" customHeight="1" x14ac:dyDescent="0.25">
      <c r="A30" s="575">
        <v>2019</v>
      </c>
      <c r="B30" s="574">
        <v>536333</v>
      </c>
      <c r="C30" s="574">
        <v>12164</v>
      </c>
      <c r="D30" s="574"/>
      <c r="E30" s="576">
        <v>415773</v>
      </c>
      <c r="F30" s="574">
        <v>121304</v>
      </c>
      <c r="G30" s="574">
        <v>294469</v>
      </c>
      <c r="H30" s="574">
        <v>70798</v>
      </c>
      <c r="I30" s="574">
        <v>11303</v>
      </c>
      <c r="J30" s="574">
        <v>26295</v>
      </c>
    </row>
    <row r="31" spans="1:10" s="64" customFormat="1" ht="15.95" customHeight="1" x14ac:dyDescent="0.25">
      <c r="A31" s="575">
        <v>2020</v>
      </c>
      <c r="B31" s="574">
        <v>555936.19050999987</v>
      </c>
      <c r="C31" s="574">
        <v>13344.510050000001</v>
      </c>
      <c r="D31" s="574"/>
      <c r="E31" s="576">
        <v>451704.67309</v>
      </c>
      <c r="F31" s="574">
        <v>135027</v>
      </c>
      <c r="G31" s="574">
        <v>316677.67309</v>
      </c>
      <c r="H31" s="574">
        <v>59269.862980000005</v>
      </c>
      <c r="I31" s="574">
        <v>9473.8327000000008</v>
      </c>
      <c r="J31" s="574">
        <v>22143.311690000002</v>
      </c>
    </row>
    <row r="32" spans="1:10" s="64" customFormat="1" ht="15.95" customHeight="1" x14ac:dyDescent="0.25">
      <c r="A32" s="578">
        <v>2021</v>
      </c>
      <c r="B32" s="579">
        <f>C32+E32+H32+I32+J32</f>
        <v>532211.25430999999</v>
      </c>
      <c r="C32" s="579">
        <v>13837.266060000002</v>
      </c>
      <c r="D32" s="579"/>
      <c r="E32" s="579">
        <f>SUM(F32:G32)</f>
        <v>430985.03815999994</v>
      </c>
      <c r="F32" s="579">
        <v>130831.79555</v>
      </c>
      <c r="G32" s="579">
        <v>300153.24260999996</v>
      </c>
      <c r="H32" s="579">
        <v>56183.816669999993</v>
      </c>
      <c r="I32" s="579">
        <v>9407.4902500000026</v>
      </c>
      <c r="J32" s="579">
        <v>21797.643170000003</v>
      </c>
    </row>
    <row r="33" spans="1:10" s="170" customFormat="1" ht="12" customHeight="1" x14ac:dyDescent="0.25">
      <c r="A33" s="169" t="s">
        <v>375</v>
      </c>
      <c r="I33" s="171"/>
    </row>
    <row r="34" spans="1:10" s="23" customFormat="1" ht="12" customHeight="1" x14ac:dyDescent="0.25">
      <c r="A34" s="700" t="s">
        <v>327</v>
      </c>
      <c r="B34" s="701"/>
      <c r="C34" s="701"/>
      <c r="D34" s="701"/>
      <c r="E34" s="701"/>
      <c r="F34" s="701"/>
      <c r="G34" s="701"/>
      <c r="H34" s="701"/>
      <c r="I34" s="701"/>
      <c r="J34" s="701"/>
    </row>
    <row r="35" spans="1:10" s="23" customFormat="1" ht="24" customHeight="1" x14ac:dyDescent="0.25">
      <c r="A35" s="700" t="s">
        <v>328</v>
      </c>
      <c r="B35" s="701"/>
      <c r="C35" s="701"/>
      <c r="D35" s="701"/>
      <c r="E35" s="701"/>
      <c r="F35" s="701"/>
      <c r="G35" s="701"/>
      <c r="H35" s="701"/>
      <c r="I35" s="701"/>
      <c r="J35" s="701"/>
    </row>
    <row r="36" spans="1:10" s="23" customFormat="1" ht="12" customHeight="1" x14ac:dyDescent="0.25">
      <c r="A36" s="172" t="s">
        <v>329</v>
      </c>
    </row>
    <row r="37" spans="1:10" ht="12.75" customHeight="1" x14ac:dyDescent="0.25">
      <c r="A37" s="65"/>
    </row>
  </sheetData>
  <mergeCells count="11">
    <mergeCell ref="A34:J34"/>
    <mergeCell ref="A35:J35"/>
    <mergeCell ref="A1:J1"/>
    <mergeCell ref="A2:J2"/>
    <mergeCell ref="A4:A5"/>
    <mergeCell ref="B4:B5"/>
    <mergeCell ref="C4:C5"/>
    <mergeCell ref="E4:G4"/>
    <mergeCell ref="H4:H5"/>
    <mergeCell ref="I4:I5"/>
    <mergeCell ref="J4:J5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E32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63"/>
  <sheetViews>
    <sheetView showGridLines="0" topLeftCell="A34" zoomScaleNormal="100" workbookViewId="0">
      <selection activeCell="A4" sqref="A4:I63"/>
    </sheetView>
  </sheetViews>
  <sheetFormatPr baseColWidth="10" defaultColWidth="11.28515625" defaultRowHeight="12.75" customHeight="1" x14ac:dyDescent="0.3"/>
  <cols>
    <col min="1" max="1" width="28.7109375" style="62" customWidth="1"/>
    <col min="2" max="2" width="18.5703125" style="62" customWidth="1"/>
    <col min="3" max="6" width="8.28515625" style="63" bestFit="1" customWidth="1"/>
    <col min="7" max="9" width="8.28515625" style="62" bestFit="1" customWidth="1"/>
    <col min="10" max="16384" width="11.28515625" style="62"/>
  </cols>
  <sheetData>
    <row r="1" spans="1:9" ht="25.7" customHeight="1" x14ac:dyDescent="0.3">
      <c r="A1" s="705" t="s">
        <v>392</v>
      </c>
      <c r="B1" s="705"/>
      <c r="C1" s="705"/>
      <c r="D1" s="705"/>
      <c r="E1" s="705"/>
      <c r="F1" s="705"/>
      <c r="G1" s="705"/>
      <c r="H1" s="705"/>
      <c r="I1" s="705"/>
    </row>
    <row r="2" spans="1:9" ht="12.75" customHeight="1" x14ac:dyDescent="0.3">
      <c r="A2" s="706" t="s">
        <v>90</v>
      </c>
      <c r="B2" s="706"/>
      <c r="C2" s="706"/>
      <c r="D2" s="706"/>
      <c r="E2" s="706"/>
      <c r="F2" s="706"/>
      <c r="G2" s="706"/>
      <c r="H2" s="706"/>
      <c r="I2" s="706"/>
    </row>
    <row r="3" spans="1:9" ht="12.75" customHeight="1" x14ac:dyDescent="0.3">
      <c r="A3" s="37"/>
      <c r="B3" s="37"/>
      <c r="C3" s="38"/>
      <c r="D3" s="38"/>
      <c r="E3" s="38"/>
      <c r="F3" s="38"/>
      <c r="G3" s="37"/>
      <c r="H3" s="37"/>
      <c r="I3" s="37"/>
    </row>
    <row r="4" spans="1:9" ht="20.100000000000001" customHeight="1" x14ac:dyDescent="0.3">
      <c r="A4" s="309" t="s">
        <v>91</v>
      </c>
      <c r="B4" s="310" t="s">
        <v>92</v>
      </c>
      <c r="C4" s="311">
        <v>2015</v>
      </c>
      <c r="D4" s="311">
        <v>2016</v>
      </c>
      <c r="E4" s="311">
        <v>2017</v>
      </c>
      <c r="F4" s="312">
        <v>2018</v>
      </c>
      <c r="G4" s="311">
        <v>2019</v>
      </c>
      <c r="H4" s="311">
        <v>2020</v>
      </c>
      <c r="I4" s="311" t="s">
        <v>378</v>
      </c>
    </row>
    <row r="5" spans="1:9" ht="32.1" customHeight="1" x14ac:dyDescent="0.3">
      <c r="A5" s="639" t="s">
        <v>93</v>
      </c>
      <c r="B5" s="640"/>
      <c r="C5" s="446"/>
      <c r="D5" s="446"/>
      <c r="E5" s="446"/>
      <c r="F5" s="62"/>
    </row>
    <row r="6" spans="1:9" ht="15.95" customHeight="1" x14ac:dyDescent="0.3">
      <c r="A6" s="322" t="s">
        <v>94</v>
      </c>
      <c r="B6" s="580" t="s">
        <v>95</v>
      </c>
      <c r="C6" s="581">
        <v>497931</v>
      </c>
      <c r="D6" s="581">
        <v>511195</v>
      </c>
      <c r="E6" s="581">
        <v>519891.21191000001</v>
      </c>
      <c r="F6" s="582">
        <v>526583.09016999998</v>
      </c>
      <c r="G6" s="582">
        <v>536332.84199999995</v>
      </c>
      <c r="H6" s="582">
        <v>556403.26286999998</v>
      </c>
      <c r="I6" s="582">
        <v>526564.14035666699</v>
      </c>
    </row>
    <row r="7" spans="1:9" ht="32.1" customHeight="1" x14ac:dyDescent="0.3">
      <c r="A7" s="644" t="s">
        <v>368</v>
      </c>
      <c r="B7" s="645"/>
      <c r="C7" s="581"/>
      <c r="D7" s="581"/>
      <c r="E7" s="581"/>
      <c r="F7" s="582"/>
      <c r="G7" s="582"/>
      <c r="H7" s="582"/>
      <c r="I7" s="582"/>
    </row>
    <row r="8" spans="1:9" ht="15.95" customHeight="1" x14ac:dyDescent="0.3">
      <c r="A8" s="324" t="s">
        <v>97</v>
      </c>
      <c r="B8" s="583" t="s">
        <v>98</v>
      </c>
      <c r="C8" s="447">
        <v>8856</v>
      </c>
      <c r="D8" s="581">
        <v>9186.8495000000003</v>
      </c>
      <c r="E8" s="581">
        <v>9371.5820000000003</v>
      </c>
      <c r="F8" s="582">
        <v>9737.3019999999997</v>
      </c>
      <c r="G8" s="582">
        <v>9977.5630000000001</v>
      </c>
      <c r="H8" s="582">
        <v>10269.635</v>
      </c>
      <c r="I8" s="582">
        <v>10284.504888888889</v>
      </c>
    </row>
    <row r="9" spans="1:9" ht="15.95" customHeight="1" x14ac:dyDescent="0.3">
      <c r="A9" s="324" t="s">
        <v>170</v>
      </c>
      <c r="B9" s="584" t="s">
        <v>35</v>
      </c>
      <c r="C9" s="447">
        <v>13774</v>
      </c>
      <c r="D9" s="581">
        <v>13964.504000000001</v>
      </c>
      <c r="E9" s="581">
        <v>13326.037</v>
      </c>
      <c r="F9" s="582">
        <v>14886.248</v>
      </c>
      <c r="G9" s="582">
        <v>14582.64</v>
      </c>
      <c r="H9" s="582">
        <v>11578.842000000001</v>
      </c>
      <c r="I9" s="582">
        <v>11291.08864334705</v>
      </c>
    </row>
    <row r="10" spans="1:9" ht="15.95" customHeight="1" x14ac:dyDescent="0.3">
      <c r="A10" s="324" t="s">
        <v>99</v>
      </c>
      <c r="B10" s="584" t="s">
        <v>100</v>
      </c>
      <c r="C10" s="447">
        <v>5008</v>
      </c>
      <c r="D10" s="581">
        <v>5024.2224999999999</v>
      </c>
      <c r="E10" s="581">
        <v>5039.2079999999996</v>
      </c>
      <c r="F10" s="582">
        <v>5117.0349999999999</v>
      </c>
      <c r="G10" s="582">
        <v>5210.5198</v>
      </c>
      <c r="H10" s="582">
        <v>4803.1902999999993</v>
      </c>
      <c r="I10" s="582">
        <v>4737.9505666666664</v>
      </c>
    </row>
    <row r="11" spans="1:9" ht="15.95" customHeight="1" x14ac:dyDescent="0.3">
      <c r="A11" s="324" t="s">
        <v>232</v>
      </c>
      <c r="B11" s="583" t="s">
        <v>57</v>
      </c>
      <c r="C11" s="447">
        <v>6158</v>
      </c>
      <c r="D11" s="581">
        <v>6205.0185800000008</v>
      </c>
      <c r="E11" s="581">
        <v>5586.64581</v>
      </c>
      <c r="F11" s="582">
        <v>5714.8196449999996</v>
      </c>
      <c r="G11" s="582">
        <v>5346.59573</v>
      </c>
      <c r="H11" s="582">
        <v>6029.7585999999992</v>
      </c>
      <c r="I11" s="582">
        <v>6584.7369200000012</v>
      </c>
    </row>
    <row r="12" spans="1:9" ht="15.95" customHeight="1" x14ac:dyDescent="0.3">
      <c r="A12" s="324" t="s">
        <v>102</v>
      </c>
      <c r="B12" s="584" t="s">
        <v>103</v>
      </c>
      <c r="C12" s="447">
        <v>38340</v>
      </c>
      <c r="D12" s="581">
        <v>39667.128454545455</v>
      </c>
      <c r="E12" s="581">
        <v>38308.025999999998</v>
      </c>
      <c r="F12" s="582">
        <v>40587.81</v>
      </c>
      <c r="G12" s="582">
        <v>40574.760999999999</v>
      </c>
      <c r="H12" s="582">
        <v>39383.088000000003</v>
      </c>
      <c r="I12" s="582">
        <v>39842.855666666663</v>
      </c>
    </row>
    <row r="13" spans="1:9" ht="15.95" customHeight="1" x14ac:dyDescent="0.3">
      <c r="A13" s="324" t="s">
        <v>104</v>
      </c>
      <c r="B13" s="583" t="s">
        <v>81</v>
      </c>
      <c r="C13" s="447">
        <v>13322</v>
      </c>
      <c r="D13" s="581">
        <v>13595.645500000001</v>
      </c>
      <c r="E13" s="581">
        <v>14366.677</v>
      </c>
      <c r="F13" s="582">
        <v>14913.026</v>
      </c>
      <c r="G13" s="582">
        <v>15424.507</v>
      </c>
      <c r="H13" s="582">
        <v>13609.121999999999</v>
      </c>
      <c r="I13" s="582">
        <v>13508.258666666667</v>
      </c>
    </row>
    <row r="14" spans="1:9" ht="15.95" customHeight="1" x14ac:dyDescent="0.3">
      <c r="A14" s="324" t="s">
        <v>105</v>
      </c>
      <c r="B14" s="583" t="s">
        <v>106</v>
      </c>
      <c r="C14" s="447">
        <v>15364</v>
      </c>
      <c r="D14" s="581">
        <v>15588.536615966797</v>
      </c>
      <c r="E14" s="581">
        <v>14144.727000000001</v>
      </c>
      <c r="F14" s="582">
        <v>14276.433999999999</v>
      </c>
      <c r="G14" s="582">
        <v>14806.534</v>
      </c>
      <c r="H14" s="582">
        <v>16132.517</v>
      </c>
      <c r="I14" s="582">
        <v>16346.332333333332</v>
      </c>
    </row>
    <row r="15" spans="1:9" ht="15.95" customHeight="1" x14ac:dyDescent="0.3">
      <c r="A15" s="324" t="s">
        <v>107</v>
      </c>
      <c r="B15" s="583" t="s">
        <v>108</v>
      </c>
      <c r="C15" s="447">
        <v>14513</v>
      </c>
      <c r="D15" s="581">
        <v>15029.243</v>
      </c>
      <c r="E15" s="581">
        <v>14999.496999999999</v>
      </c>
      <c r="F15" s="582">
        <v>16379.225</v>
      </c>
      <c r="G15" s="582">
        <v>16336.433999999999</v>
      </c>
      <c r="H15" s="582">
        <v>16032.338</v>
      </c>
      <c r="I15" s="582">
        <v>16213.611111111111</v>
      </c>
    </row>
    <row r="16" spans="1:9" ht="15.95" customHeight="1" x14ac:dyDescent="0.3">
      <c r="A16" s="324" t="s">
        <v>109</v>
      </c>
      <c r="B16" s="583" t="s">
        <v>110</v>
      </c>
      <c r="C16" s="447">
        <v>11184</v>
      </c>
      <c r="D16" s="581">
        <v>11758.221</v>
      </c>
      <c r="E16" s="581">
        <v>12226.156999999999</v>
      </c>
      <c r="F16" s="582">
        <v>12458.184666666666</v>
      </c>
      <c r="G16" s="582">
        <v>12675.89</v>
      </c>
      <c r="H16" s="582">
        <v>12853.091</v>
      </c>
      <c r="I16" s="582">
        <v>13003.937</v>
      </c>
    </row>
    <row r="17" spans="1:9" ht="15.95" customHeight="1" x14ac:dyDescent="0.3">
      <c r="A17" s="324" t="s">
        <v>111</v>
      </c>
      <c r="B17" s="583" t="s">
        <v>112</v>
      </c>
      <c r="C17" s="447">
        <v>28754</v>
      </c>
      <c r="D17" s="581">
        <v>29003.874277777777</v>
      </c>
      <c r="E17" s="581">
        <v>28192.411</v>
      </c>
      <c r="F17" s="582">
        <v>28138.819</v>
      </c>
      <c r="G17" s="582">
        <v>28669.225666666669</v>
      </c>
      <c r="H17" s="582">
        <v>29482.477999999999</v>
      </c>
      <c r="I17" s="582">
        <v>30897.660555555554</v>
      </c>
    </row>
    <row r="18" spans="1:9" ht="15.95" customHeight="1" x14ac:dyDescent="0.3">
      <c r="A18" s="324" t="s">
        <v>113</v>
      </c>
      <c r="B18" s="583" t="s">
        <v>114</v>
      </c>
      <c r="C18" s="447">
        <v>17882</v>
      </c>
      <c r="D18" s="581">
        <v>18126.075499999999</v>
      </c>
      <c r="E18" s="581">
        <v>17740.242999999999</v>
      </c>
      <c r="F18" s="582">
        <v>18331.689999999999</v>
      </c>
      <c r="G18" s="582">
        <v>18589.912</v>
      </c>
      <c r="H18" s="582">
        <v>18461.564333333332</v>
      </c>
      <c r="I18" s="582">
        <v>18791.348666666669</v>
      </c>
    </row>
    <row r="19" spans="1:9" ht="15.95" customHeight="1" x14ac:dyDescent="0.3">
      <c r="A19" s="324" t="s">
        <v>115</v>
      </c>
      <c r="B19" s="583" t="s">
        <v>116</v>
      </c>
      <c r="C19" s="447">
        <v>10344</v>
      </c>
      <c r="D19" s="581">
        <v>10767.94</v>
      </c>
      <c r="E19" s="581">
        <v>10912.546</v>
      </c>
      <c r="F19" s="582">
        <v>11292.474</v>
      </c>
      <c r="G19" s="582">
        <v>11745.031488340193</v>
      </c>
      <c r="H19" s="582">
        <v>11478.153</v>
      </c>
      <c r="I19" s="582">
        <v>11342.479629629628</v>
      </c>
    </row>
    <row r="20" spans="1:9" ht="15.95" customHeight="1" x14ac:dyDescent="0.3">
      <c r="A20" s="324" t="s">
        <v>117</v>
      </c>
      <c r="B20" s="329" t="s">
        <v>100</v>
      </c>
      <c r="C20" s="447">
        <v>8913</v>
      </c>
      <c r="D20" s="581">
        <v>9226.2340000000004</v>
      </c>
      <c r="E20" s="581">
        <v>9712.018</v>
      </c>
      <c r="F20" s="582">
        <v>10210.894</v>
      </c>
      <c r="G20" s="582">
        <v>10588.861000000001</v>
      </c>
      <c r="H20" s="582">
        <v>10806.8079</v>
      </c>
      <c r="I20" s="582">
        <v>10966.613481481483</v>
      </c>
    </row>
    <row r="21" spans="1:9" ht="15.95" customHeight="1" x14ac:dyDescent="0.3">
      <c r="A21" s="324" t="s">
        <v>118</v>
      </c>
      <c r="B21" s="583" t="s">
        <v>63</v>
      </c>
      <c r="C21" s="447">
        <v>7056</v>
      </c>
      <c r="D21" s="581">
        <v>7146.8890000000001</v>
      </c>
      <c r="E21" s="447">
        <v>7190</v>
      </c>
      <c r="F21" s="582">
        <v>7396.7219999999998</v>
      </c>
      <c r="G21" s="582">
        <v>7821.2529999999997</v>
      </c>
      <c r="H21" s="582">
        <v>7389.320333333334</v>
      </c>
      <c r="I21" s="582">
        <v>6762.8710000000001</v>
      </c>
    </row>
    <row r="22" spans="1:9" ht="15.95" customHeight="1" x14ac:dyDescent="0.3">
      <c r="A22" s="324" t="s">
        <v>119</v>
      </c>
      <c r="B22" s="583" t="s">
        <v>120</v>
      </c>
      <c r="C22" s="447">
        <v>28879</v>
      </c>
      <c r="D22" s="581">
        <v>29444.350999999999</v>
      </c>
      <c r="E22" s="581">
        <v>27721.534</v>
      </c>
      <c r="F22" s="582">
        <v>27972.223999999998</v>
      </c>
      <c r="G22" s="582">
        <v>28985.152999999998</v>
      </c>
      <c r="H22" s="582">
        <v>29753.600999999999</v>
      </c>
      <c r="I22" s="582">
        <v>30650.497500000001</v>
      </c>
    </row>
    <row r="23" spans="1:9" ht="15.95" customHeight="1" x14ac:dyDescent="0.3">
      <c r="A23" s="324" t="s">
        <v>121</v>
      </c>
      <c r="B23" s="329" t="s">
        <v>122</v>
      </c>
      <c r="C23" s="447">
        <v>19619</v>
      </c>
      <c r="D23" s="581">
        <v>19808.41933004115</v>
      </c>
      <c r="E23" s="581">
        <v>19801.632129858255</v>
      </c>
      <c r="F23" s="582">
        <v>19349.757666666665</v>
      </c>
      <c r="G23" s="582">
        <v>19600.298500000001</v>
      </c>
      <c r="H23" s="582">
        <v>19978.18233333333</v>
      </c>
      <c r="I23" s="582">
        <v>19903.907222222224</v>
      </c>
    </row>
    <row r="24" spans="1:9" ht="15.95" customHeight="1" x14ac:dyDescent="0.3">
      <c r="A24" s="324" t="s">
        <v>123</v>
      </c>
      <c r="B24" s="583" t="s">
        <v>124</v>
      </c>
      <c r="C24" s="447">
        <v>48695</v>
      </c>
      <c r="D24" s="581">
        <v>49662.487966456618</v>
      </c>
      <c r="E24" s="581">
        <v>48462.557000000001</v>
      </c>
      <c r="F24" s="582">
        <v>54291.965499999998</v>
      </c>
      <c r="G24" s="582">
        <v>56086.465666666663</v>
      </c>
      <c r="H24" s="582">
        <v>54899.266000000003</v>
      </c>
      <c r="I24" s="582">
        <v>56444.408000000003</v>
      </c>
    </row>
    <row r="25" spans="1:9" ht="15.95" customHeight="1" x14ac:dyDescent="0.3">
      <c r="A25" s="324" t="s">
        <v>125</v>
      </c>
      <c r="B25" s="583" t="s">
        <v>35</v>
      </c>
      <c r="C25" s="447">
        <v>7759</v>
      </c>
      <c r="D25" s="581">
        <v>7624.9719999999998</v>
      </c>
      <c r="E25" s="581">
        <v>7809.5330000000004</v>
      </c>
      <c r="F25" s="582">
        <v>8044.5493611111106</v>
      </c>
      <c r="G25" s="582">
        <v>8556.1246666666684</v>
      </c>
      <c r="H25" s="582">
        <v>10174.966</v>
      </c>
      <c r="I25" s="582">
        <v>11712.249333333331</v>
      </c>
    </row>
    <row r="26" spans="1:9" ht="32.1" customHeight="1" x14ac:dyDescent="0.3">
      <c r="A26" s="639" t="s">
        <v>126</v>
      </c>
      <c r="B26" s="640"/>
      <c r="C26" s="447"/>
      <c r="D26" s="581"/>
      <c r="E26" s="581"/>
      <c r="F26" s="582"/>
      <c r="G26" s="582"/>
      <c r="H26" s="582"/>
      <c r="I26" s="582"/>
    </row>
    <row r="27" spans="1:9" ht="15.95" customHeight="1" x14ac:dyDescent="0.3">
      <c r="A27" s="324" t="s">
        <v>127</v>
      </c>
      <c r="B27" s="584" t="s">
        <v>128</v>
      </c>
      <c r="C27" s="447">
        <v>6680</v>
      </c>
      <c r="D27" s="581">
        <v>7038.0139285714286</v>
      </c>
      <c r="E27" s="447">
        <v>7008</v>
      </c>
      <c r="F27" s="582">
        <v>6936.8926666666666</v>
      </c>
      <c r="G27" s="582">
        <v>7019.1869999999999</v>
      </c>
      <c r="H27" s="582">
        <v>7251.692</v>
      </c>
      <c r="I27" s="582">
        <v>7616.3866666666672</v>
      </c>
    </row>
    <row r="28" spans="1:9" ht="15.95" customHeight="1" x14ac:dyDescent="0.3">
      <c r="A28" s="324" t="s">
        <v>129</v>
      </c>
      <c r="B28" s="584" t="s">
        <v>128</v>
      </c>
      <c r="C28" s="447">
        <v>4917</v>
      </c>
      <c r="D28" s="581">
        <v>4975.4440000000004</v>
      </c>
      <c r="E28" s="581">
        <v>4880.4110000000001</v>
      </c>
      <c r="F28" s="582">
        <v>5007.66</v>
      </c>
      <c r="G28" s="582">
        <v>5596.1550116999988</v>
      </c>
      <c r="H28" s="582">
        <v>5584.6549999999997</v>
      </c>
      <c r="I28" s="582">
        <v>5155.0110800000002</v>
      </c>
    </row>
    <row r="29" spans="1:9" ht="15.95" customHeight="1" x14ac:dyDescent="0.3">
      <c r="A29" s="324" t="s">
        <v>130</v>
      </c>
      <c r="B29" s="326" t="s">
        <v>128</v>
      </c>
      <c r="C29" s="447">
        <v>4042</v>
      </c>
      <c r="D29" s="581">
        <v>4086.4395</v>
      </c>
      <c r="E29" s="581">
        <v>4155.0349999999999</v>
      </c>
      <c r="F29" s="582">
        <v>4236.6760000000004</v>
      </c>
      <c r="G29" s="582">
        <v>4128.3940000000002</v>
      </c>
      <c r="H29" s="582">
        <v>3943.7016666666668</v>
      </c>
      <c r="I29" s="582">
        <v>4125.7973333333339</v>
      </c>
    </row>
    <row r="30" spans="1:9" ht="15.95" customHeight="1" x14ac:dyDescent="0.3">
      <c r="A30" s="324" t="s">
        <v>131</v>
      </c>
      <c r="B30" s="327" t="s">
        <v>98</v>
      </c>
      <c r="C30" s="447">
        <v>2053</v>
      </c>
      <c r="D30" s="581">
        <v>2272.6502</v>
      </c>
      <c r="E30" s="581">
        <v>2352.377</v>
      </c>
      <c r="F30" s="582">
        <v>2487.3150000000001</v>
      </c>
      <c r="G30" s="582">
        <v>2485.2669999999998</v>
      </c>
      <c r="H30" s="582">
        <v>2622.0120000000002</v>
      </c>
      <c r="I30" s="582">
        <v>2446.415</v>
      </c>
    </row>
    <row r="31" spans="1:9" ht="15.95" customHeight="1" x14ac:dyDescent="0.3">
      <c r="A31" s="324" t="s">
        <v>132</v>
      </c>
      <c r="B31" s="584" t="s">
        <v>35</v>
      </c>
      <c r="C31" s="447">
        <v>4914</v>
      </c>
      <c r="D31" s="581">
        <v>4724.2520000000004</v>
      </c>
      <c r="E31" s="581">
        <v>4250.2920000000004</v>
      </c>
      <c r="F31" s="582">
        <v>4660.8599999999997</v>
      </c>
      <c r="G31" s="582">
        <v>4725.0119999999997</v>
      </c>
      <c r="H31" s="582">
        <v>4718.268</v>
      </c>
      <c r="I31" s="582">
        <v>4782.8190000000004</v>
      </c>
    </row>
    <row r="32" spans="1:9" ht="15.95" customHeight="1" x14ac:dyDescent="0.3">
      <c r="A32" s="324" t="s">
        <v>134</v>
      </c>
      <c r="B32" s="585" t="s">
        <v>171</v>
      </c>
      <c r="C32" s="447">
        <v>12294</v>
      </c>
      <c r="D32" s="581">
        <v>8561.0419999999995</v>
      </c>
      <c r="E32" s="581">
        <v>8773.6769999999997</v>
      </c>
      <c r="F32" s="582">
        <v>8364.1869999999999</v>
      </c>
      <c r="G32" s="582">
        <v>9331.5499999999993</v>
      </c>
      <c r="H32" s="582">
        <v>9250.1149999999998</v>
      </c>
      <c r="I32" s="582">
        <v>8813.2579999999998</v>
      </c>
    </row>
    <row r="33" spans="1:9" ht="15.95" customHeight="1" x14ac:dyDescent="0.3">
      <c r="A33" s="324" t="s">
        <v>136</v>
      </c>
      <c r="B33" s="585" t="s">
        <v>137</v>
      </c>
      <c r="C33" s="447">
        <v>3167</v>
      </c>
      <c r="D33" s="581">
        <v>3361.924</v>
      </c>
      <c r="E33" s="581">
        <v>3510.3020000000001</v>
      </c>
      <c r="F33" s="582">
        <v>3648.5349999999999</v>
      </c>
      <c r="G33" s="582">
        <v>3875.9279999999999</v>
      </c>
      <c r="H33" s="582">
        <v>3708.0896666666663</v>
      </c>
      <c r="I33" s="582">
        <v>4348.0666666666666</v>
      </c>
    </row>
    <row r="34" spans="1:9" ht="15.95" customHeight="1" x14ac:dyDescent="0.3">
      <c r="A34" s="324" t="s">
        <v>138</v>
      </c>
      <c r="B34" s="326" t="s">
        <v>81</v>
      </c>
      <c r="C34" s="447">
        <v>2086</v>
      </c>
      <c r="D34" s="581">
        <v>2232.297</v>
      </c>
      <c r="E34" s="581">
        <v>2029.4960000000001</v>
      </c>
      <c r="F34" s="582">
        <v>2028.4625000000001</v>
      </c>
      <c r="G34" s="582">
        <v>1964.2840000000001</v>
      </c>
      <c r="H34" s="582">
        <v>1885.7239999999999</v>
      </c>
      <c r="I34" s="582">
        <v>1928.7529999999999</v>
      </c>
    </row>
    <row r="35" spans="1:9" ht="15.95" customHeight="1" x14ac:dyDescent="0.3">
      <c r="A35" s="324" t="s">
        <v>139</v>
      </c>
      <c r="B35" s="327" t="s">
        <v>140</v>
      </c>
      <c r="C35" s="447">
        <v>2918</v>
      </c>
      <c r="D35" s="581">
        <v>2915.9756435998179</v>
      </c>
      <c r="E35" s="581">
        <v>3121.97</v>
      </c>
      <c r="F35" s="582">
        <v>3168.8453333333341</v>
      </c>
      <c r="G35" s="582">
        <v>3414.7449999999999</v>
      </c>
      <c r="H35" s="582">
        <v>3271.3420000000001</v>
      </c>
      <c r="I35" s="582">
        <v>3348.6970000000001</v>
      </c>
    </row>
    <row r="36" spans="1:9" ht="15.95" customHeight="1" x14ac:dyDescent="0.3">
      <c r="A36" s="324" t="s">
        <v>141</v>
      </c>
      <c r="B36" s="327" t="s">
        <v>114</v>
      </c>
      <c r="C36" s="447">
        <v>6765</v>
      </c>
      <c r="D36" s="581">
        <v>6976.473</v>
      </c>
      <c r="E36" s="581">
        <v>6851.8869999999997</v>
      </c>
      <c r="F36" s="582">
        <v>6976.4570000000003</v>
      </c>
      <c r="G36" s="582">
        <v>7386.4960000000001</v>
      </c>
      <c r="H36" s="582">
        <v>7147.576</v>
      </c>
      <c r="I36" s="582">
        <v>7303.1343333333334</v>
      </c>
    </row>
    <row r="37" spans="1:9" ht="15.95" customHeight="1" x14ac:dyDescent="0.3">
      <c r="A37" s="324" t="s">
        <v>142</v>
      </c>
      <c r="B37" s="327" t="s">
        <v>27</v>
      </c>
      <c r="C37" s="447">
        <v>3354</v>
      </c>
      <c r="D37" s="581">
        <v>3508.0749999999998</v>
      </c>
      <c r="E37" s="581">
        <v>3277.415</v>
      </c>
      <c r="F37" s="582">
        <v>3501.4609999999998</v>
      </c>
      <c r="G37" s="582">
        <v>3268.0390000000002</v>
      </c>
      <c r="H37" s="582">
        <v>4035.6280000000002</v>
      </c>
      <c r="I37" s="582">
        <v>4435.4339259259259</v>
      </c>
    </row>
    <row r="38" spans="1:9" ht="15.95" customHeight="1" x14ac:dyDescent="0.3">
      <c r="A38" s="324" t="s">
        <v>143</v>
      </c>
      <c r="B38" s="327" t="s">
        <v>122</v>
      </c>
      <c r="C38" s="447">
        <v>3949</v>
      </c>
      <c r="D38" s="581">
        <v>4244.491</v>
      </c>
      <c r="E38" s="581">
        <v>4244.7209999999995</v>
      </c>
      <c r="F38" s="582">
        <v>4306.0179600000001</v>
      </c>
      <c r="G38" s="582">
        <v>4303.8429999999998</v>
      </c>
      <c r="H38" s="582">
        <v>4197.1949999999997</v>
      </c>
      <c r="I38" s="582">
        <v>4385.4745925925927</v>
      </c>
    </row>
    <row r="39" spans="1:9" ht="15.95" customHeight="1" x14ac:dyDescent="0.3">
      <c r="A39" s="324" t="s">
        <v>144</v>
      </c>
      <c r="B39" s="327" t="s">
        <v>63</v>
      </c>
      <c r="C39" s="447">
        <v>3478</v>
      </c>
      <c r="D39" s="581">
        <v>3980.7919999999999</v>
      </c>
      <c r="E39" s="581">
        <v>4366</v>
      </c>
      <c r="F39" s="582">
        <v>4667.9809999999998</v>
      </c>
      <c r="G39" s="582">
        <v>4876.893</v>
      </c>
      <c r="H39" s="582">
        <v>4983.3490000000002</v>
      </c>
      <c r="I39" s="582">
        <v>6125.3283333333329</v>
      </c>
    </row>
    <row r="40" spans="1:9" ht="15.95" customHeight="1" x14ac:dyDescent="0.3">
      <c r="A40" s="324" t="s">
        <v>145</v>
      </c>
      <c r="B40" s="327" t="s">
        <v>27</v>
      </c>
      <c r="C40" s="447">
        <v>4125</v>
      </c>
      <c r="D40" s="581">
        <v>4298.5230000000001</v>
      </c>
      <c r="E40" s="581">
        <v>4371.1570000000002</v>
      </c>
      <c r="F40" s="582">
        <v>4452.6558333333332</v>
      </c>
      <c r="G40" s="582">
        <v>4519.6139999999996</v>
      </c>
      <c r="H40" s="582">
        <v>4634.5110000000004</v>
      </c>
      <c r="I40" s="582">
        <v>4800.9578888888891</v>
      </c>
    </row>
    <row r="41" spans="1:9" ht="15.95" customHeight="1" x14ac:dyDescent="0.3">
      <c r="A41" s="324" t="s">
        <v>146</v>
      </c>
      <c r="B41" s="327" t="s">
        <v>147</v>
      </c>
      <c r="C41" s="447">
        <v>7385</v>
      </c>
      <c r="D41" s="581">
        <v>7398.6850000000004</v>
      </c>
      <c r="E41" s="581">
        <v>7748.4369999999999</v>
      </c>
      <c r="F41" s="582">
        <v>8034.0789999999997</v>
      </c>
      <c r="G41" s="582">
        <v>8490.362666666666</v>
      </c>
      <c r="H41" s="582">
        <v>7856.3559999999998</v>
      </c>
      <c r="I41" s="582">
        <v>8305.9217000000008</v>
      </c>
    </row>
    <row r="42" spans="1:9" ht="15.95" customHeight="1" x14ac:dyDescent="0.3">
      <c r="A42" s="324" t="s">
        <v>148</v>
      </c>
      <c r="B42" s="326" t="s">
        <v>128</v>
      </c>
      <c r="C42" s="447">
        <v>3514</v>
      </c>
      <c r="D42" s="581">
        <v>3598.4855018182448</v>
      </c>
      <c r="E42" s="581">
        <v>3756.97</v>
      </c>
      <c r="F42" s="582">
        <v>4061.4506666666666</v>
      </c>
      <c r="G42" s="582">
        <v>4250.4960000000001</v>
      </c>
      <c r="H42" s="582">
        <v>4734.951</v>
      </c>
      <c r="I42" s="582">
        <v>4508.0484444444446</v>
      </c>
    </row>
    <row r="43" spans="1:9" ht="32.1" customHeight="1" x14ac:dyDescent="0.3">
      <c r="A43" s="639" t="s">
        <v>149</v>
      </c>
      <c r="B43" s="640"/>
      <c r="C43" s="447"/>
      <c r="D43" s="581"/>
      <c r="E43" s="581"/>
      <c r="F43" s="582"/>
      <c r="G43" s="582"/>
      <c r="H43" s="582"/>
      <c r="I43" s="582"/>
    </row>
    <row r="44" spans="1:9" ht="15.95" customHeight="1" x14ac:dyDescent="0.3">
      <c r="A44" s="324" t="s">
        <v>150</v>
      </c>
      <c r="B44" s="326" t="s">
        <v>151</v>
      </c>
      <c r="C44" s="447">
        <v>2021</v>
      </c>
      <c r="D44" s="581">
        <v>2123.3539999999998</v>
      </c>
      <c r="E44" s="581">
        <v>2222.6880000000001</v>
      </c>
      <c r="F44" s="582">
        <v>2310.6329999999998</v>
      </c>
      <c r="G44" s="582">
        <v>2481.1190000000001</v>
      </c>
      <c r="H44" s="582">
        <v>2381.2930000000001</v>
      </c>
      <c r="I44" s="582">
        <v>2327.3512222222221</v>
      </c>
    </row>
    <row r="45" spans="1:9" ht="15.95" customHeight="1" x14ac:dyDescent="0.3">
      <c r="A45" s="324" t="s">
        <v>152</v>
      </c>
      <c r="B45" s="327" t="s">
        <v>76</v>
      </c>
      <c r="C45" s="447">
        <v>1241</v>
      </c>
      <c r="D45" s="581">
        <v>1341.7260000000001</v>
      </c>
      <c r="E45" s="581">
        <v>1398.3219999999999</v>
      </c>
      <c r="F45" s="582">
        <v>1829.3808666666666</v>
      </c>
      <c r="G45" s="582">
        <v>1464.953</v>
      </c>
      <c r="H45" s="582">
        <v>1267.848</v>
      </c>
      <c r="I45" s="582">
        <v>1275.180230452675</v>
      </c>
    </row>
    <row r="46" spans="1:9" ht="15.95" customHeight="1" x14ac:dyDescent="0.3">
      <c r="A46" s="324" t="s">
        <v>153</v>
      </c>
      <c r="B46" s="326" t="s">
        <v>100</v>
      </c>
      <c r="C46" s="447">
        <v>431.762</v>
      </c>
      <c r="D46" s="581">
        <v>431.77716501077037</v>
      </c>
      <c r="E46" s="581">
        <v>470.62400000000002</v>
      </c>
      <c r="F46" s="582">
        <v>533.15599999999995</v>
      </c>
      <c r="G46" s="582">
        <v>529.61699999999996</v>
      </c>
      <c r="H46" s="582">
        <v>524.947</v>
      </c>
      <c r="I46" s="582">
        <v>552.28666666666663</v>
      </c>
    </row>
    <row r="47" spans="1:9" ht="15.95" customHeight="1" x14ac:dyDescent="0.3">
      <c r="A47" s="324" t="s">
        <v>154</v>
      </c>
      <c r="B47" s="326" t="s">
        <v>155</v>
      </c>
      <c r="C47" s="447">
        <v>1198</v>
      </c>
      <c r="D47" s="581">
        <v>1230.683</v>
      </c>
      <c r="E47" s="581">
        <v>1278.4449999999999</v>
      </c>
      <c r="F47" s="582">
        <v>1314.6334999999999</v>
      </c>
      <c r="G47" s="582">
        <v>1519.5519999999999</v>
      </c>
      <c r="H47" s="582">
        <v>1589.3810000000001</v>
      </c>
      <c r="I47" s="582">
        <v>1635.673</v>
      </c>
    </row>
    <row r="48" spans="1:9" ht="15.95" customHeight="1" x14ac:dyDescent="0.3">
      <c r="A48" s="324" t="s">
        <v>156</v>
      </c>
      <c r="B48" s="327" t="s">
        <v>35</v>
      </c>
      <c r="C48" s="447">
        <v>1653</v>
      </c>
      <c r="D48" s="581">
        <v>1830.4304999999999</v>
      </c>
      <c r="E48" s="581">
        <v>1833.8920000000001</v>
      </c>
      <c r="F48" s="582">
        <v>1874.9870000000001</v>
      </c>
      <c r="G48" s="582">
        <v>2155.6909999999998</v>
      </c>
      <c r="H48" s="582">
        <v>2553.9476666666669</v>
      </c>
      <c r="I48" s="582">
        <v>2813.9114814814816</v>
      </c>
    </row>
    <row r="49" spans="1:9" ht="15.95" customHeight="1" x14ac:dyDescent="0.3">
      <c r="A49" s="324" t="s">
        <v>157</v>
      </c>
      <c r="B49" s="326" t="s">
        <v>81</v>
      </c>
      <c r="C49" s="447">
        <v>3200</v>
      </c>
      <c r="D49" s="581">
        <v>3307.5509999999999</v>
      </c>
      <c r="E49" s="581">
        <v>2930.5479999999998</v>
      </c>
      <c r="F49" s="582">
        <v>3097.791666666667</v>
      </c>
      <c r="G49" s="582">
        <v>3320.4070000000002</v>
      </c>
      <c r="H49" s="582">
        <v>3085.8977777777782</v>
      </c>
      <c r="I49" s="582">
        <v>3203.869827160494</v>
      </c>
    </row>
    <row r="50" spans="1:9" ht="15.95" customHeight="1" x14ac:dyDescent="0.3">
      <c r="A50" s="324" t="s">
        <v>158</v>
      </c>
      <c r="B50" s="326" t="s">
        <v>81</v>
      </c>
      <c r="C50" s="449">
        <v>876</v>
      </c>
      <c r="D50" s="586">
        <v>886</v>
      </c>
      <c r="E50" s="449">
        <v>866</v>
      </c>
      <c r="F50" s="582">
        <v>855.09900000000005</v>
      </c>
      <c r="G50" s="582">
        <v>769.71050000000002</v>
      </c>
      <c r="H50" s="582">
        <v>726.7</v>
      </c>
      <c r="I50" s="582">
        <v>926.07863666666663</v>
      </c>
    </row>
    <row r="51" spans="1:9" ht="15.95" customHeight="1" x14ac:dyDescent="0.3">
      <c r="A51" s="324" t="s">
        <v>159</v>
      </c>
      <c r="B51" s="326" t="s">
        <v>122</v>
      </c>
      <c r="C51" s="447">
        <v>474</v>
      </c>
      <c r="D51" s="581">
        <v>474.4998639188957</v>
      </c>
      <c r="E51" s="581">
        <v>420.714</v>
      </c>
      <c r="F51" s="582">
        <v>438.50400000000002</v>
      </c>
      <c r="G51" s="582">
        <v>444.80099999999999</v>
      </c>
      <c r="H51" s="582">
        <v>418.779</v>
      </c>
      <c r="I51" s="582">
        <v>404.36599999999999</v>
      </c>
    </row>
    <row r="52" spans="1:9" ht="15.95" customHeight="1" x14ac:dyDescent="0.3">
      <c r="A52" s="324" t="s">
        <v>160</v>
      </c>
      <c r="B52" s="326" t="s">
        <v>155</v>
      </c>
      <c r="C52" s="447">
        <v>1402</v>
      </c>
      <c r="D52" s="447">
        <v>1527.3685</v>
      </c>
      <c r="E52" s="447">
        <v>1518.376</v>
      </c>
      <c r="F52" s="582">
        <v>1630.0060000000001</v>
      </c>
      <c r="G52" s="582">
        <v>1683.827</v>
      </c>
      <c r="H52" s="582">
        <v>1502.421</v>
      </c>
      <c r="I52" s="582">
        <v>1689.72</v>
      </c>
    </row>
    <row r="53" spans="1:9" ht="15.95" customHeight="1" x14ac:dyDescent="0.3">
      <c r="A53" s="324" t="s">
        <v>161</v>
      </c>
      <c r="B53" s="326" t="s">
        <v>100</v>
      </c>
      <c r="C53" s="447">
        <v>1325</v>
      </c>
      <c r="D53" s="581">
        <v>1325.0619999999999</v>
      </c>
      <c r="E53" s="581">
        <v>1393.4780000000001</v>
      </c>
      <c r="F53" s="582">
        <v>1360.511</v>
      </c>
      <c r="G53" s="582">
        <v>1346.365</v>
      </c>
      <c r="H53" s="582">
        <v>1366.3240000000001</v>
      </c>
      <c r="I53" s="582">
        <v>1380.7796666666668</v>
      </c>
    </row>
    <row r="54" spans="1:9" ht="15.95" customHeight="1" x14ac:dyDescent="0.3">
      <c r="A54" s="324" t="s">
        <v>162</v>
      </c>
      <c r="B54" s="326" t="s">
        <v>163</v>
      </c>
      <c r="C54" s="447">
        <v>1143</v>
      </c>
      <c r="D54" s="581">
        <v>1169.2629999999999</v>
      </c>
      <c r="E54" s="581">
        <v>1088.1420000000001</v>
      </c>
      <c r="F54" s="582">
        <v>1093.6455000000001</v>
      </c>
      <c r="G54" s="582">
        <v>1129.5309999999999</v>
      </c>
      <c r="H54" s="582">
        <v>1031.296</v>
      </c>
      <c r="I54" s="582">
        <v>1134.7613100137175</v>
      </c>
    </row>
    <row r="55" spans="1:9" ht="15.95" customHeight="1" x14ac:dyDescent="0.3">
      <c r="A55" s="324" t="s">
        <v>164</v>
      </c>
      <c r="B55" s="326" t="s">
        <v>100</v>
      </c>
      <c r="C55" s="447">
        <v>961</v>
      </c>
      <c r="D55" s="581">
        <v>951.72299999999996</v>
      </c>
      <c r="E55" s="581">
        <v>983.00419189453123</v>
      </c>
      <c r="F55" s="582">
        <v>1025.0375116598079</v>
      </c>
      <c r="G55" s="582">
        <v>1022.5940000000001</v>
      </c>
      <c r="H55" s="582">
        <v>1004.1180000000001</v>
      </c>
      <c r="I55" s="582">
        <v>1046.7192</v>
      </c>
    </row>
    <row r="56" spans="1:9" ht="15.95" customHeight="1" x14ac:dyDescent="0.3">
      <c r="A56" s="324" t="s">
        <v>165</v>
      </c>
      <c r="B56" s="325" t="s">
        <v>122</v>
      </c>
      <c r="C56" s="447">
        <v>2007</v>
      </c>
      <c r="D56" s="581">
        <v>2154.855</v>
      </c>
      <c r="E56" s="581">
        <v>1982.3810000000001</v>
      </c>
      <c r="F56" s="582">
        <v>2032.7370000000001</v>
      </c>
      <c r="G56" s="582">
        <v>2073.9830000000002</v>
      </c>
      <c r="H56" s="582">
        <v>2028.9590000000001</v>
      </c>
      <c r="I56" s="582">
        <v>2012.8936913580246</v>
      </c>
    </row>
    <row r="57" spans="1:9" ht="15.95" customHeight="1" x14ac:dyDescent="0.3">
      <c r="A57" s="324" t="s">
        <v>166</v>
      </c>
      <c r="B57" s="327" t="s">
        <v>155</v>
      </c>
      <c r="C57" s="447">
        <v>1499</v>
      </c>
      <c r="D57" s="581">
        <v>1571.6110000000001</v>
      </c>
      <c r="E57" s="581">
        <v>1638.386</v>
      </c>
      <c r="F57" s="582">
        <v>1649.9933999999998</v>
      </c>
      <c r="G57" s="582">
        <v>1681.7670000000001</v>
      </c>
      <c r="H57" s="582">
        <v>1752.692</v>
      </c>
      <c r="I57" s="582">
        <v>1820.146</v>
      </c>
    </row>
    <row r="58" spans="1:9" ht="15.95" customHeight="1" x14ac:dyDescent="0.3">
      <c r="A58" s="330" t="s">
        <v>167</v>
      </c>
      <c r="B58" s="338" t="s">
        <v>98</v>
      </c>
      <c r="C58" s="450">
        <v>1010</v>
      </c>
      <c r="D58" s="587">
        <v>985.29899999999998</v>
      </c>
      <c r="E58" s="587">
        <v>1025.3910000000001</v>
      </c>
      <c r="F58" s="588">
        <v>994.46500000000003</v>
      </c>
      <c r="G58" s="588">
        <v>1053.845</v>
      </c>
      <c r="H58" s="588">
        <v>1051.92</v>
      </c>
      <c r="I58" s="588">
        <v>1114.3596748971195</v>
      </c>
    </row>
    <row r="59" spans="1:9" ht="12.75" hidden="1" customHeight="1" x14ac:dyDescent="0.3">
      <c r="A59" s="204"/>
      <c r="B59" s="37"/>
      <c r="C59" s="38"/>
      <c r="D59" s="38"/>
      <c r="E59" s="38"/>
      <c r="F59" s="38"/>
      <c r="G59" s="37"/>
      <c r="H59" s="37"/>
      <c r="I59" s="37"/>
    </row>
    <row r="60" spans="1:9" ht="12.75" hidden="1" customHeight="1" x14ac:dyDescent="0.3">
      <c r="A60" s="204"/>
      <c r="B60" s="37"/>
      <c r="C60" s="38"/>
      <c r="D60" s="38"/>
      <c r="E60" s="38"/>
      <c r="F60" s="38"/>
      <c r="G60" s="37"/>
      <c r="H60" s="37"/>
      <c r="I60" s="37"/>
    </row>
    <row r="61" spans="1:9" ht="12.75" hidden="1" customHeight="1" x14ac:dyDescent="0.3">
      <c r="A61" s="204"/>
      <c r="B61" s="37"/>
      <c r="C61" s="38"/>
      <c r="D61" s="38"/>
      <c r="E61" s="38"/>
      <c r="F61" s="38"/>
      <c r="G61" s="37"/>
      <c r="H61" s="37"/>
      <c r="I61" s="37"/>
    </row>
    <row r="62" spans="1:9" ht="12.75" hidden="1" customHeight="1" x14ac:dyDescent="0.3">
      <c r="A62" s="204"/>
      <c r="B62" s="37"/>
      <c r="C62" s="38"/>
      <c r="D62" s="38"/>
      <c r="E62" s="38"/>
      <c r="F62" s="38"/>
      <c r="G62" s="37"/>
      <c r="H62" s="37"/>
      <c r="I62" s="37"/>
    </row>
    <row r="63" spans="1:9" s="37" customFormat="1" ht="12" customHeight="1" x14ac:dyDescent="0.25">
      <c r="A63" s="35" t="s">
        <v>168</v>
      </c>
      <c r="C63" s="38"/>
      <c r="D63" s="38"/>
      <c r="E63" s="38"/>
      <c r="F63" s="38"/>
    </row>
  </sheetData>
  <mergeCells count="6">
    <mergeCell ref="A43:B43"/>
    <mergeCell ref="A1:I1"/>
    <mergeCell ref="A2:I2"/>
    <mergeCell ref="A5:B5"/>
    <mergeCell ref="A7:B7"/>
    <mergeCell ref="A26:B26"/>
  </mergeCells>
  <conditionalFormatting sqref="A4">
    <cfRule type="cellIs" dxfId="6" priority="4" stopIfTrue="1" operator="equal">
      <formula>"S.I."</formula>
    </cfRule>
  </conditionalFormatting>
  <conditionalFormatting sqref="B4">
    <cfRule type="cellIs" dxfId="5" priority="3" stopIfTrue="1" operator="equal">
      <formula>"S.I."</formula>
    </cfRule>
  </conditionalFormatting>
  <conditionalFormatting sqref="B55">
    <cfRule type="cellIs" dxfId="4" priority="1" stopIfTrue="1" operator="equal">
      <formula>"S.I."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R80"/>
  <sheetViews>
    <sheetView showGridLines="0" topLeftCell="A58" zoomScaleNormal="100" workbookViewId="0">
      <selection activeCell="A65" sqref="A65:Q79"/>
    </sheetView>
  </sheetViews>
  <sheetFormatPr baseColWidth="10" defaultColWidth="11.28515625" defaultRowHeight="12.75" customHeight="1" x14ac:dyDescent="0.25"/>
  <cols>
    <col min="1" max="1" width="36.5703125" style="50" customWidth="1"/>
    <col min="2" max="3" width="8" style="58" hidden="1" customWidth="1"/>
    <col min="4" max="7" width="8" style="59" hidden="1" customWidth="1"/>
    <col min="8" max="8" width="8" style="60" hidden="1" customWidth="1"/>
    <col min="9" max="10" width="8" style="56" hidden="1" customWidth="1"/>
    <col min="11" max="17" width="9.42578125" style="56" customWidth="1"/>
    <col min="18" max="16384" width="11.28515625" style="50"/>
  </cols>
  <sheetData>
    <row r="1" spans="1:18" ht="25.7" customHeight="1" x14ac:dyDescent="0.25">
      <c r="A1" s="705" t="s">
        <v>393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</row>
    <row r="2" spans="1:18" s="51" customFormat="1" ht="12.75" customHeight="1" x14ac:dyDescent="0.25">
      <c r="A2" s="707" t="s">
        <v>90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</row>
    <row r="3" spans="1:18" ht="3" customHeight="1" x14ac:dyDescent="0.25">
      <c r="A3" s="201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8" s="52" customFormat="1" ht="20.100000000000001" customHeight="1" x14ac:dyDescent="0.25">
      <c r="A4" s="589" t="s">
        <v>330</v>
      </c>
      <c r="B4" s="590">
        <v>2005</v>
      </c>
      <c r="C4" s="591">
        <v>2006</v>
      </c>
      <c r="D4" s="591">
        <v>2007</v>
      </c>
      <c r="E4" s="591">
        <v>2008</v>
      </c>
      <c r="F4" s="591">
        <v>2009</v>
      </c>
      <c r="G4" s="591">
        <v>2010</v>
      </c>
      <c r="H4" s="591">
        <v>2011</v>
      </c>
      <c r="I4" s="591">
        <v>2012</v>
      </c>
      <c r="J4" s="591">
        <v>2013</v>
      </c>
      <c r="K4" s="591">
        <v>2015</v>
      </c>
      <c r="L4" s="591">
        <v>2016</v>
      </c>
      <c r="M4" s="591">
        <v>2017</v>
      </c>
      <c r="N4" s="591">
        <v>2018</v>
      </c>
      <c r="O4" s="591">
        <v>2019</v>
      </c>
      <c r="P4" s="591">
        <v>2020</v>
      </c>
      <c r="Q4" s="591">
        <v>2021</v>
      </c>
    </row>
    <row r="5" spans="1:18" s="52" customFormat="1" ht="12.75" hidden="1" customHeight="1" x14ac:dyDescent="0.25">
      <c r="A5" s="592"/>
      <c r="B5" s="593"/>
      <c r="C5" s="594"/>
      <c r="D5" s="594"/>
      <c r="E5" s="594"/>
      <c r="F5" s="594"/>
      <c r="G5" s="594"/>
      <c r="H5" s="594"/>
      <c r="I5" s="594"/>
      <c r="J5" s="594"/>
      <c r="K5" s="594"/>
      <c r="L5" s="594"/>
      <c r="M5" s="594"/>
      <c r="N5" s="594"/>
      <c r="O5" s="594"/>
      <c r="P5" s="594"/>
      <c r="Q5" s="594"/>
    </row>
    <row r="6" spans="1:18" s="52" customFormat="1" ht="48" customHeight="1" x14ac:dyDescent="0.25">
      <c r="A6" s="595" t="s">
        <v>331</v>
      </c>
      <c r="B6" s="596">
        <v>431452</v>
      </c>
      <c r="C6" s="596">
        <v>449599</v>
      </c>
      <c r="D6" s="597">
        <v>455635</v>
      </c>
      <c r="E6" s="597">
        <v>461917</v>
      </c>
      <c r="F6" s="597">
        <v>463864</v>
      </c>
      <c r="G6" s="597">
        <v>472519</v>
      </c>
      <c r="H6" s="597">
        <v>492980</v>
      </c>
      <c r="I6" s="597">
        <v>520512</v>
      </c>
      <c r="J6" s="597">
        <v>530891</v>
      </c>
      <c r="K6" s="597">
        <v>550755</v>
      </c>
      <c r="L6" s="597">
        <v>564673</v>
      </c>
      <c r="M6" s="597">
        <v>583155</v>
      </c>
      <c r="N6" s="597">
        <v>614656</v>
      </c>
      <c r="O6" s="597">
        <v>609703</v>
      </c>
      <c r="P6" s="597">
        <v>614319.52121999988</v>
      </c>
      <c r="Q6" s="597">
        <f>Q10+Q9+Q7</f>
        <v>586986.55382000003</v>
      </c>
    </row>
    <row r="7" spans="1:18" s="53" customFormat="1" ht="32.1" customHeight="1" x14ac:dyDescent="0.25">
      <c r="A7" s="598" t="s">
        <v>332</v>
      </c>
      <c r="B7" s="599">
        <v>36846.942999999999</v>
      </c>
      <c r="C7" s="599">
        <v>39489.033000000003</v>
      </c>
      <c r="D7" s="600">
        <v>45563</v>
      </c>
      <c r="E7" s="600">
        <v>47004</v>
      </c>
      <c r="F7" s="600">
        <v>47983</v>
      </c>
      <c r="G7" s="600">
        <v>48930</v>
      </c>
      <c r="H7" s="601">
        <v>45968</v>
      </c>
      <c r="I7" s="600">
        <v>48134</v>
      </c>
      <c r="J7" s="600">
        <v>48046</v>
      </c>
      <c r="K7" s="600">
        <v>49713</v>
      </c>
      <c r="L7" s="600">
        <v>49946</v>
      </c>
      <c r="M7" s="602">
        <v>59834</v>
      </c>
      <c r="N7" s="603">
        <v>84897</v>
      </c>
      <c r="O7" s="603">
        <v>73370</v>
      </c>
      <c r="P7" s="603">
        <v>58383.330710000009</v>
      </c>
      <c r="Q7" s="603">
        <v>55004.342560000005</v>
      </c>
    </row>
    <row r="8" spans="1:18" s="53" customFormat="1" ht="15.95" customHeight="1" x14ac:dyDescent="0.25">
      <c r="A8" s="598" t="s">
        <v>333</v>
      </c>
      <c r="B8" s="604">
        <v>394605</v>
      </c>
      <c r="C8" s="604">
        <v>410110</v>
      </c>
      <c r="D8" s="604">
        <v>410072</v>
      </c>
      <c r="E8" s="604">
        <v>414913</v>
      </c>
      <c r="F8" s="604">
        <v>415881</v>
      </c>
      <c r="G8" s="604">
        <v>423589</v>
      </c>
      <c r="H8" s="604">
        <v>447012</v>
      </c>
      <c r="I8" s="604">
        <v>472378</v>
      </c>
      <c r="J8" s="603">
        <v>482845</v>
      </c>
      <c r="K8" s="603">
        <v>501042</v>
      </c>
      <c r="L8" s="603">
        <v>514727</v>
      </c>
      <c r="M8" s="603">
        <v>523321</v>
      </c>
      <c r="N8" s="603">
        <v>529759</v>
      </c>
      <c r="O8" s="602">
        <v>536333</v>
      </c>
      <c r="P8" s="602">
        <v>555936.19050999987</v>
      </c>
      <c r="Q8" s="602">
        <f>Q10+Q9</f>
        <v>531982.21126000001</v>
      </c>
    </row>
    <row r="9" spans="1:18" s="53" customFormat="1" ht="15.95" customHeight="1" x14ac:dyDescent="0.25">
      <c r="A9" s="605" t="s">
        <v>334</v>
      </c>
      <c r="B9" s="216">
        <v>3594</v>
      </c>
      <c r="C9" s="216">
        <v>3477</v>
      </c>
      <c r="D9" s="600">
        <v>3330</v>
      </c>
      <c r="E9" s="600">
        <v>2944</v>
      </c>
      <c r="F9" s="600">
        <v>2845</v>
      </c>
      <c r="G9" s="600">
        <v>2628</v>
      </c>
      <c r="H9" s="601">
        <v>2682</v>
      </c>
      <c r="I9" s="600">
        <v>2747</v>
      </c>
      <c r="J9" s="600">
        <v>2370</v>
      </c>
      <c r="K9" s="600">
        <v>2878</v>
      </c>
      <c r="L9" s="600">
        <v>3179</v>
      </c>
      <c r="M9" s="602">
        <v>3093</v>
      </c>
      <c r="N9" s="603">
        <v>2901</v>
      </c>
      <c r="O9" s="602">
        <v>3024</v>
      </c>
      <c r="P9" s="602">
        <v>4318.6824100000003</v>
      </c>
      <c r="Q9" s="602">
        <v>5013.2217799999999</v>
      </c>
    </row>
    <row r="10" spans="1:18" s="53" customFormat="1" ht="15.95" customHeight="1" x14ac:dyDescent="0.25">
      <c r="A10" s="606" t="s">
        <v>335</v>
      </c>
      <c r="B10" s="607">
        <v>391011</v>
      </c>
      <c r="C10" s="607">
        <v>406633</v>
      </c>
      <c r="D10" s="607">
        <v>406742</v>
      </c>
      <c r="E10" s="607">
        <v>411969</v>
      </c>
      <c r="F10" s="607">
        <v>413036</v>
      </c>
      <c r="G10" s="607">
        <v>420961</v>
      </c>
      <c r="H10" s="607">
        <v>444330</v>
      </c>
      <c r="I10" s="607">
        <v>469631</v>
      </c>
      <c r="J10" s="607">
        <v>480475</v>
      </c>
      <c r="K10" s="603">
        <v>498164</v>
      </c>
      <c r="L10" s="603">
        <v>511548</v>
      </c>
      <c r="M10" s="603">
        <v>520228</v>
      </c>
      <c r="N10" s="603">
        <v>526858</v>
      </c>
      <c r="O10" s="602">
        <v>533309</v>
      </c>
      <c r="P10" s="602">
        <v>551617.50809999986</v>
      </c>
      <c r="Q10" s="602">
        <f>Q11+Q12+Q20+Q30+Q38+Q49+Q51+Q68</f>
        <v>526968.98947999999</v>
      </c>
      <c r="R10" s="214"/>
    </row>
    <row r="11" spans="1:18" s="53" customFormat="1" ht="15.95" customHeight="1" x14ac:dyDescent="0.25">
      <c r="A11" s="608" t="s">
        <v>243</v>
      </c>
      <c r="B11" s="216">
        <v>48627</v>
      </c>
      <c r="C11" s="216">
        <v>48164</v>
      </c>
      <c r="D11" s="600">
        <v>49273</v>
      </c>
      <c r="E11" s="600">
        <v>49780</v>
      </c>
      <c r="F11" s="600">
        <v>50029</v>
      </c>
      <c r="G11" s="600">
        <v>50706</v>
      </c>
      <c r="H11" s="601">
        <v>52586</v>
      </c>
      <c r="I11" s="600">
        <v>54638</v>
      </c>
      <c r="J11" s="600">
        <v>56331</v>
      </c>
      <c r="K11" s="600">
        <v>54289</v>
      </c>
      <c r="L11" s="600">
        <v>54658</v>
      </c>
      <c r="M11" s="602">
        <v>56079</v>
      </c>
      <c r="N11" s="603">
        <v>54109</v>
      </c>
      <c r="O11" s="602">
        <v>55119</v>
      </c>
      <c r="P11" s="602">
        <v>46342.855759999991</v>
      </c>
      <c r="Q11" s="602">
        <v>45682.57456999999</v>
      </c>
    </row>
    <row r="12" spans="1:18" s="55" customFormat="1" ht="15.95" customHeight="1" x14ac:dyDescent="0.25">
      <c r="A12" s="609" t="s">
        <v>336</v>
      </c>
      <c r="B12" s="54">
        <v>71898</v>
      </c>
      <c r="C12" s="54">
        <v>75250</v>
      </c>
      <c r="D12" s="602">
        <v>75203</v>
      </c>
      <c r="E12" s="602">
        <v>77208</v>
      </c>
      <c r="F12" s="602">
        <v>77203</v>
      </c>
      <c r="G12" s="602">
        <v>79053</v>
      </c>
      <c r="H12" s="602">
        <v>86996</v>
      </c>
      <c r="I12" s="602">
        <v>91896</v>
      </c>
      <c r="J12" s="602">
        <v>94468</v>
      </c>
      <c r="K12" s="602">
        <v>102794</v>
      </c>
      <c r="L12" s="602">
        <v>107138</v>
      </c>
      <c r="M12" s="602">
        <v>109866</v>
      </c>
      <c r="N12" s="603">
        <v>111787</v>
      </c>
      <c r="O12" s="602">
        <v>113716</v>
      </c>
      <c r="P12" s="602">
        <v>121926.76986</v>
      </c>
      <c r="Q12" s="602">
        <f>SUM(Q13:Q19)</f>
        <v>116851.38476</v>
      </c>
    </row>
    <row r="13" spans="1:18" ht="15.95" customHeight="1" x14ac:dyDescent="0.25">
      <c r="A13" s="610" t="s">
        <v>245</v>
      </c>
      <c r="B13" s="611">
        <v>4635</v>
      </c>
      <c r="C13" s="611">
        <v>4932</v>
      </c>
      <c r="D13" s="612">
        <v>5074</v>
      </c>
      <c r="E13" s="612">
        <v>5267</v>
      </c>
      <c r="F13" s="612">
        <v>5578</v>
      </c>
      <c r="G13" s="612">
        <v>6062</v>
      </c>
      <c r="H13" s="612">
        <v>7235</v>
      </c>
      <c r="I13" s="612">
        <v>7219</v>
      </c>
      <c r="J13" s="612">
        <v>7760</v>
      </c>
      <c r="K13" s="612">
        <v>9380</v>
      </c>
      <c r="L13" s="612">
        <v>10116</v>
      </c>
      <c r="M13" s="612">
        <v>10783</v>
      </c>
      <c r="N13" s="613">
        <v>10983</v>
      </c>
      <c r="O13" s="612">
        <v>11498</v>
      </c>
      <c r="P13" s="612">
        <v>13242.79954</v>
      </c>
      <c r="Q13" s="612">
        <v>12726.564320000001</v>
      </c>
      <c r="R13" s="215"/>
    </row>
    <row r="14" spans="1:18" ht="15.95" customHeight="1" x14ac:dyDescent="0.25">
      <c r="A14" s="610" t="s">
        <v>213</v>
      </c>
      <c r="B14" s="611">
        <v>14799</v>
      </c>
      <c r="C14" s="611">
        <v>15524</v>
      </c>
      <c r="D14" s="612">
        <v>15441</v>
      </c>
      <c r="E14" s="612">
        <v>15997</v>
      </c>
      <c r="F14" s="612">
        <v>15891</v>
      </c>
      <c r="G14" s="612">
        <v>16040</v>
      </c>
      <c r="H14" s="612">
        <v>16888</v>
      </c>
      <c r="I14" s="612">
        <v>17514</v>
      </c>
      <c r="J14" s="612">
        <v>17815</v>
      </c>
      <c r="K14" s="612">
        <v>19230</v>
      </c>
      <c r="L14" s="612">
        <v>21623</v>
      </c>
      <c r="M14" s="612">
        <v>20834</v>
      </c>
      <c r="N14" s="613">
        <v>21442</v>
      </c>
      <c r="O14" s="612">
        <v>21753</v>
      </c>
      <c r="P14" s="612">
        <v>23533.412469999999</v>
      </c>
      <c r="Q14" s="612">
        <v>22604.08481</v>
      </c>
      <c r="R14" s="215"/>
    </row>
    <row r="15" spans="1:18" ht="15.95" customHeight="1" x14ac:dyDescent="0.25">
      <c r="A15" s="610" t="s">
        <v>246</v>
      </c>
      <c r="B15" s="611">
        <v>3489</v>
      </c>
      <c r="C15" s="611">
        <v>3998</v>
      </c>
      <c r="D15" s="612">
        <v>4131</v>
      </c>
      <c r="E15" s="612">
        <v>5374</v>
      </c>
      <c r="F15" s="612">
        <v>5949</v>
      </c>
      <c r="G15" s="612">
        <v>6652</v>
      </c>
      <c r="H15" s="612">
        <v>7800</v>
      </c>
      <c r="I15" s="612">
        <v>8332</v>
      </c>
      <c r="J15" s="612">
        <v>8772</v>
      </c>
      <c r="K15" s="612">
        <v>9867</v>
      </c>
      <c r="L15" s="612">
        <v>10215</v>
      </c>
      <c r="M15" s="612">
        <v>11048</v>
      </c>
      <c r="N15" s="613">
        <v>11147</v>
      </c>
      <c r="O15" s="612">
        <v>11483</v>
      </c>
      <c r="P15" s="612">
        <v>12835.394139999999</v>
      </c>
      <c r="Q15" s="612">
        <v>12361.69522</v>
      </c>
      <c r="R15" s="215"/>
    </row>
    <row r="16" spans="1:18" ht="15.95" customHeight="1" x14ac:dyDescent="0.25">
      <c r="A16" s="610" t="s">
        <v>247</v>
      </c>
      <c r="B16" s="611">
        <v>7745</v>
      </c>
      <c r="C16" s="611">
        <v>7869</v>
      </c>
      <c r="D16" s="612">
        <v>7539</v>
      </c>
      <c r="E16" s="612">
        <v>7392</v>
      </c>
      <c r="F16" s="612">
        <v>7127</v>
      </c>
      <c r="G16" s="612">
        <v>6875</v>
      </c>
      <c r="H16" s="612">
        <v>7101</v>
      </c>
      <c r="I16" s="612">
        <v>7647</v>
      </c>
      <c r="J16" s="612">
        <v>7597</v>
      </c>
      <c r="K16" s="612">
        <v>7991</v>
      </c>
      <c r="L16" s="612">
        <v>7850</v>
      </c>
      <c r="M16" s="612">
        <v>8303</v>
      </c>
      <c r="N16" s="613">
        <v>8038</v>
      </c>
      <c r="O16" s="612">
        <v>8050</v>
      </c>
      <c r="P16" s="612">
        <v>8229.6406500000012</v>
      </c>
      <c r="Q16" s="612">
        <v>8079.1960700000009</v>
      </c>
      <c r="R16" s="215"/>
    </row>
    <row r="17" spans="1:18" ht="15.95" customHeight="1" x14ac:dyDescent="0.25">
      <c r="A17" s="610" t="s">
        <v>248</v>
      </c>
      <c r="B17" s="611">
        <v>5396</v>
      </c>
      <c r="C17" s="611">
        <v>5662</v>
      </c>
      <c r="D17" s="612">
        <v>5736</v>
      </c>
      <c r="E17" s="612">
        <v>5852</v>
      </c>
      <c r="F17" s="612">
        <v>5861</v>
      </c>
      <c r="G17" s="612">
        <v>5963</v>
      </c>
      <c r="H17" s="612">
        <v>6057</v>
      </c>
      <c r="I17" s="612">
        <v>6154</v>
      </c>
      <c r="J17" s="612">
        <v>6164</v>
      </c>
      <c r="K17" s="612">
        <v>6341</v>
      </c>
      <c r="L17" s="612">
        <v>6994</v>
      </c>
      <c r="M17" s="612">
        <v>7121</v>
      </c>
      <c r="N17" s="613">
        <v>7474</v>
      </c>
      <c r="O17" s="612">
        <v>7464</v>
      </c>
      <c r="P17" s="612">
        <v>7880.8302400000011</v>
      </c>
      <c r="Q17" s="612">
        <v>7620.6365800000021</v>
      </c>
      <c r="R17" s="215"/>
    </row>
    <row r="18" spans="1:18" ht="15.95" customHeight="1" x14ac:dyDescent="0.25">
      <c r="A18" s="610" t="s">
        <v>249</v>
      </c>
      <c r="B18" s="611">
        <v>22390</v>
      </c>
      <c r="C18" s="611">
        <v>23156</v>
      </c>
      <c r="D18" s="612">
        <v>23165</v>
      </c>
      <c r="E18" s="612">
        <v>23171</v>
      </c>
      <c r="F18" s="612">
        <v>22840</v>
      </c>
      <c r="G18" s="612">
        <v>23315</v>
      </c>
      <c r="H18" s="612">
        <v>26011</v>
      </c>
      <c r="I18" s="612">
        <v>28597</v>
      </c>
      <c r="J18" s="612">
        <v>29690</v>
      </c>
      <c r="K18" s="612">
        <v>32234</v>
      </c>
      <c r="L18" s="612">
        <v>32421</v>
      </c>
      <c r="M18" s="612">
        <v>33446</v>
      </c>
      <c r="N18" s="613">
        <v>34171</v>
      </c>
      <c r="O18" s="612">
        <v>34688</v>
      </c>
      <c r="P18" s="612">
        <v>36716.677790000009</v>
      </c>
      <c r="Q18" s="612">
        <v>34965.418469999997</v>
      </c>
      <c r="R18" s="215"/>
    </row>
    <row r="19" spans="1:18" ht="15.95" customHeight="1" x14ac:dyDescent="0.25">
      <c r="A19" s="610" t="s">
        <v>250</v>
      </c>
      <c r="B19" s="611">
        <v>13444</v>
      </c>
      <c r="C19" s="611">
        <v>14109</v>
      </c>
      <c r="D19" s="612">
        <v>14117</v>
      </c>
      <c r="E19" s="612">
        <v>14155</v>
      </c>
      <c r="F19" s="612">
        <v>13957</v>
      </c>
      <c r="G19" s="612">
        <v>14146</v>
      </c>
      <c r="H19" s="612">
        <v>15904</v>
      </c>
      <c r="I19" s="612">
        <v>16433</v>
      </c>
      <c r="J19" s="612">
        <v>16670</v>
      </c>
      <c r="K19" s="612">
        <v>17751</v>
      </c>
      <c r="L19" s="612">
        <v>17919</v>
      </c>
      <c r="M19" s="612">
        <v>18331</v>
      </c>
      <c r="N19" s="613">
        <v>18532</v>
      </c>
      <c r="O19" s="612">
        <v>18780</v>
      </c>
      <c r="P19" s="612">
        <v>19488.015030000002</v>
      </c>
      <c r="Q19" s="612">
        <v>18493.789290000004</v>
      </c>
      <c r="R19" s="215"/>
    </row>
    <row r="20" spans="1:18" s="55" customFormat="1" ht="15.95" customHeight="1" x14ac:dyDescent="0.25">
      <c r="A20" s="609" t="s">
        <v>337</v>
      </c>
      <c r="B20" s="54">
        <v>27547</v>
      </c>
      <c r="C20" s="54">
        <v>28829</v>
      </c>
      <c r="D20" s="602">
        <v>29178</v>
      </c>
      <c r="E20" s="602">
        <v>29435</v>
      </c>
      <c r="F20" s="602">
        <v>28777</v>
      </c>
      <c r="G20" s="602">
        <v>30022</v>
      </c>
      <c r="H20" s="602">
        <v>32505</v>
      </c>
      <c r="I20" s="602">
        <v>35069</v>
      </c>
      <c r="J20" s="602">
        <v>36536</v>
      </c>
      <c r="K20" s="602">
        <v>39103</v>
      </c>
      <c r="L20" s="602">
        <v>39752</v>
      </c>
      <c r="M20" s="602">
        <v>40456</v>
      </c>
      <c r="N20" s="614">
        <v>41934</v>
      </c>
      <c r="O20" s="602">
        <v>42611</v>
      </c>
      <c r="P20" s="602">
        <v>47132.602250000004</v>
      </c>
      <c r="Q20" s="602">
        <f>SUM(Q21:Q29)</f>
        <v>45098.86335</v>
      </c>
      <c r="R20" s="215"/>
    </row>
    <row r="21" spans="1:18" ht="15.95" customHeight="1" x14ac:dyDescent="0.25">
      <c r="A21" s="610" t="s">
        <v>252</v>
      </c>
      <c r="B21" s="611">
        <v>796</v>
      </c>
      <c r="C21" s="611">
        <v>862</v>
      </c>
      <c r="D21" s="612">
        <v>924</v>
      </c>
      <c r="E21" s="612">
        <v>907</v>
      </c>
      <c r="F21" s="612">
        <v>908</v>
      </c>
      <c r="G21" s="612">
        <v>930</v>
      </c>
      <c r="H21" s="612">
        <v>902</v>
      </c>
      <c r="I21" s="612">
        <v>872</v>
      </c>
      <c r="J21" s="612">
        <v>1010</v>
      </c>
      <c r="K21" s="612">
        <v>1191</v>
      </c>
      <c r="L21" s="612">
        <v>1232</v>
      </c>
      <c r="M21" s="612">
        <v>1292</v>
      </c>
      <c r="N21" s="613">
        <v>1268</v>
      </c>
      <c r="O21" s="612">
        <v>1295</v>
      </c>
      <c r="P21" s="612">
        <v>1605.7111300000001</v>
      </c>
      <c r="Q21" s="612">
        <v>1496.6991499999999</v>
      </c>
      <c r="R21" s="215"/>
    </row>
    <row r="22" spans="1:18" ht="15.95" customHeight="1" x14ac:dyDescent="0.25">
      <c r="A22" s="610" t="s">
        <v>253</v>
      </c>
      <c r="B22" s="611">
        <v>331</v>
      </c>
      <c r="C22" s="611">
        <v>386</v>
      </c>
      <c r="D22" s="612">
        <v>379</v>
      </c>
      <c r="E22" s="612">
        <v>359</v>
      </c>
      <c r="F22" s="612">
        <v>349</v>
      </c>
      <c r="G22" s="612">
        <v>359</v>
      </c>
      <c r="H22" s="612">
        <v>345</v>
      </c>
      <c r="I22" s="612">
        <v>405</v>
      </c>
      <c r="J22" s="612">
        <v>474</v>
      </c>
      <c r="K22" s="612">
        <v>513</v>
      </c>
      <c r="L22" s="612">
        <v>494</v>
      </c>
      <c r="M22" s="612">
        <v>509</v>
      </c>
      <c r="N22" s="613">
        <v>559</v>
      </c>
      <c r="O22" s="612">
        <v>574</v>
      </c>
      <c r="P22" s="612">
        <v>693.60199</v>
      </c>
      <c r="Q22" s="612">
        <v>687.13968999999997</v>
      </c>
      <c r="R22" s="215"/>
    </row>
    <row r="23" spans="1:18" ht="15.95" customHeight="1" x14ac:dyDescent="0.25">
      <c r="A23" s="610" t="s">
        <v>214</v>
      </c>
      <c r="B23" s="611">
        <v>14063</v>
      </c>
      <c r="C23" s="611">
        <v>14497</v>
      </c>
      <c r="D23" s="612">
        <v>14870</v>
      </c>
      <c r="E23" s="612">
        <v>14699</v>
      </c>
      <c r="F23" s="612">
        <v>14077</v>
      </c>
      <c r="G23" s="612">
        <v>14433</v>
      </c>
      <c r="H23" s="612">
        <v>15451</v>
      </c>
      <c r="I23" s="612">
        <v>16634</v>
      </c>
      <c r="J23" s="612">
        <v>17524</v>
      </c>
      <c r="K23" s="612">
        <v>18962</v>
      </c>
      <c r="L23" s="612">
        <v>19327</v>
      </c>
      <c r="M23" s="612">
        <v>19499</v>
      </c>
      <c r="N23" s="613">
        <v>19786</v>
      </c>
      <c r="O23" s="612">
        <v>20105</v>
      </c>
      <c r="P23" s="612">
        <v>21779.120509999997</v>
      </c>
      <c r="Q23" s="612">
        <v>20922.674369999997</v>
      </c>
      <c r="R23" s="215"/>
    </row>
    <row r="24" spans="1:18" ht="15.95" customHeight="1" x14ac:dyDescent="0.25">
      <c r="A24" s="610" t="s">
        <v>254</v>
      </c>
      <c r="B24" s="611">
        <v>3945</v>
      </c>
      <c r="C24" s="611">
        <v>4104</v>
      </c>
      <c r="D24" s="612">
        <v>4084</v>
      </c>
      <c r="E24" s="612">
        <v>3951</v>
      </c>
      <c r="F24" s="612">
        <v>3695</v>
      </c>
      <c r="G24" s="612">
        <v>3752</v>
      </c>
      <c r="H24" s="612">
        <v>4126</v>
      </c>
      <c r="I24" s="612">
        <v>4269</v>
      </c>
      <c r="J24" s="612">
        <v>4188</v>
      </c>
      <c r="K24" s="612">
        <v>4233</v>
      </c>
      <c r="L24" s="612">
        <v>4176</v>
      </c>
      <c r="M24" s="612">
        <v>4329</v>
      </c>
      <c r="N24" s="613">
        <v>4406</v>
      </c>
      <c r="O24" s="612">
        <v>4456</v>
      </c>
      <c r="P24" s="612">
        <v>4717.0715200000004</v>
      </c>
      <c r="Q24" s="612">
        <v>4491.0470599999999</v>
      </c>
      <c r="R24" s="215"/>
    </row>
    <row r="25" spans="1:18" ht="15.95" customHeight="1" x14ac:dyDescent="0.25">
      <c r="A25" s="610" t="s">
        <v>255</v>
      </c>
      <c r="B25" s="611">
        <v>1087</v>
      </c>
      <c r="C25" s="611">
        <v>1084</v>
      </c>
      <c r="D25" s="612">
        <v>1086</v>
      </c>
      <c r="E25" s="612">
        <v>1151</v>
      </c>
      <c r="F25" s="612">
        <v>1142</v>
      </c>
      <c r="G25" s="612">
        <v>1125</v>
      </c>
      <c r="H25" s="612">
        <v>1152</v>
      </c>
      <c r="I25" s="612">
        <v>1175</v>
      </c>
      <c r="J25" s="612">
        <v>1189</v>
      </c>
      <c r="K25" s="612">
        <v>1197</v>
      </c>
      <c r="L25" s="612">
        <v>1353</v>
      </c>
      <c r="M25" s="612">
        <v>1539</v>
      </c>
      <c r="N25" s="613">
        <v>1528</v>
      </c>
      <c r="O25" s="612">
        <v>1548</v>
      </c>
      <c r="P25" s="612">
        <v>1579.6456400000002</v>
      </c>
      <c r="Q25" s="612">
        <v>1498.23119</v>
      </c>
      <c r="R25" s="215"/>
    </row>
    <row r="26" spans="1:18" ht="15.95" customHeight="1" x14ac:dyDescent="0.25">
      <c r="A26" s="610" t="s">
        <v>256</v>
      </c>
      <c r="B26" s="611">
        <v>3210</v>
      </c>
      <c r="C26" s="611">
        <v>3465</v>
      </c>
      <c r="D26" s="612">
        <v>3316</v>
      </c>
      <c r="E26" s="612">
        <v>3286</v>
      </c>
      <c r="F26" s="612">
        <v>3081</v>
      </c>
      <c r="G26" s="612">
        <v>3016</v>
      </c>
      <c r="H26" s="612">
        <v>3458</v>
      </c>
      <c r="I26" s="612">
        <v>3576</v>
      </c>
      <c r="J26" s="612">
        <v>3498</v>
      </c>
      <c r="K26" s="612">
        <v>3513</v>
      </c>
      <c r="L26" s="612">
        <v>3485</v>
      </c>
      <c r="M26" s="612">
        <v>3677</v>
      </c>
      <c r="N26" s="613">
        <v>3670</v>
      </c>
      <c r="O26" s="612">
        <v>3739</v>
      </c>
      <c r="P26" s="612">
        <v>3972.3520199999994</v>
      </c>
      <c r="Q26" s="612">
        <v>3775.2737700000002</v>
      </c>
      <c r="R26" s="215"/>
    </row>
    <row r="27" spans="1:18" ht="15.95" customHeight="1" x14ac:dyDescent="0.25">
      <c r="A27" s="610" t="s">
        <v>257</v>
      </c>
      <c r="B27" s="611">
        <v>364</v>
      </c>
      <c r="C27" s="611">
        <v>375</v>
      </c>
      <c r="D27" s="612">
        <v>360</v>
      </c>
      <c r="E27" s="612">
        <v>350</v>
      </c>
      <c r="F27" s="612">
        <v>309</v>
      </c>
      <c r="G27" s="612">
        <v>297</v>
      </c>
      <c r="H27" s="612">
        <v>340</v>
      </c>
      <c r="I27" s="612">
        <v>350</v>
      </c>
      <c r="J27" s="612">
        <v>345</v>
      </c>
      <c r="K27" s="612">
        <v>345</v>
      </c>
      <c r="L27" s="612">
        <v>355</v>
      </c>
      <c r="M27" s="612">
        <v>357</v>
      </c>
      <c r="N27" s="613">
        <v>343</v>
      </c>
      <c r="O27" s="612">
        <v>328</v>
      </c>
      <c r="P27" s="612">
        <v>359.51122999999995</v>
      </c>
      <c r="Q27" s="612">
        <v>332.66555999999997</v>
      </c>
      <c r="R27" s="215"/>
    </row>
    <row r="28" spans="1:18" ht="15.95" customHeight="1" x14ac:dyDescent="0.25">
      <c r="A28" s="610" t="s">
        <v>258</v>
      </c>
      <c r="B28" s="611">
        <v>3751</v>
      </c>
      <c r="C28" s="611">
        <v>4056</v>
      </c>
      <c r="D28" s="612">
        <v>4159</v>
      </c>
      <c r="E28" s="612">
        <v>4732</v>
      </c>
      <c r="F28" s="612">
        <v>5216</v>
      </c>
      <c r="G28" s="612">
        <v>6110</v>
      </c>
      <c r="H28" s="612">
        <v>6731</v>
      </c>
      <c r="I28" s="612">
        <v>7788</v>
      </c>
      <c r="J28" s="612">
        <v>8308</v>
      </c>
      <c r="K28" s="612">
        <v>8336</v>
      </c>
      <c r="L28" s="612">
        <v>8056</v>
      </c>
      <c r="M28" s="612">
        <v>7945</v>
      </c>
      <c r="N28" s="613">
        <v>9021</v>
      </c>
      <c r="O28" s="612">
        <v>9174</v>
      </c>
      <c r="P28" s="612">
        <v>10772.351480000001</v>
      </c>
      <c r="Q28" s="612">
        <v>10355.63198</v>
      </c>
      <c r="R28" s="215"/>
    </row>
    <row r="29" spans="1:18" s="55" customFormat="1" ht="15.95" customHeight="1" x14ac:dyDescent="0.25">
      <c r="A29" s="610" t="s">
        <v>259</v>
      </c>
      <c r="B29" s="612" t="s">
        <v>26</v>
      </c>
      <c r="C29" s="612" t="s">
        <v>26</v>
      </c>
      <c r="D29" s="612" t="s">
        <v>26</v>
      </c>
      <c r="E29" s="612" t="s">
        <v>26</v>
      </c>
      <c r="F29" s="612" t="s">
        <v>26</v>
      </c>
      <c r="G29" s="612" t="s">
        <v>26</v>
      </c>
      <c r="H29" s="612" t="s">
        <v>26</v>
      </c>
      <c r="I29" s="612" t="s">
        <v>26</v>
      </c>
      <c r="J29" s="612" t="s">
        <v>26</v>
      </c>
      <c r="K29" s="612">
        <v>813</v>
      </c>
      <c r="L29" s="612">
        <v>1274</v>
      </c>
      <c r="M29" s="612">
        <v>1309</v>
      </c>
      <c r="N29" s="613">
        <v>1353</v>
      </c>
      <c r="O29" s="612">
        <v>1392</v>
      </c>
      <c r="P29" s="612">
        <v>1653.2367299999999</v>
      </c>
      <c r="Q29" s="612">
        <v>1539.5005800000001</v>
      </c>
      <c r="R29" s="215"/>
    </row>
    <row r="30" spans="1:18" s="55" customFormat="1" ht="15.95" customHeight="1" x14ac:dyDescent="0.25">
      <c r="A30" s="609" t="s">
        <v>338</v>
      </c>
      <c r="B30" s="54">
        <v>59560</v>
      </c>
      <c r="C30" s="54">
        <v>61710</v>
      </c>
      <c r="D30" s="602">
        <v>60689</v>
      </c>
      <c r="E30" s="602">
        <v>60260</v>
      </c>
      <c r="F30" s="602">
        <v>59407</v>
      </c>
      <c r="G30" s="602">
        <v>59765</v>
      </c>
      <c r="H30" s="602">
        <v>61095</v>
      </c>
      <c r="I30" s="602">
        <v>63096</v>
      </c>
      <c r="J30" s="602">
        <v>62920</v>
      </c>
      <c r="K30" s="602">
        <v>63517</v>
      </c>
      <c r="L30" s="602">
        <v>65085</v>
      </c>
      <c r="M30" s="602">
        <v>65612</v>
      </c>
      <c r="N30" s="614">
        <v>65641</v>
      </c>
      <c r="O30" s="602">
        <v>64924</v>
      </c>
      <c r="P30" s="602">
        <v>64737.014189999994</v>
      </c>
      <c r="Q30" s="602">
        <f>SUM(Q31:Q37)</f>
        <v>61672.251850000001</v>
      </c>
      <c r="R30" s="215"/>
    </row>
    <row r="31" spans="1:18" ht="15.95" customHeight="1" x14ac:dyDescent="0.25">
      <c r="A31" s="610" t="s">
        <v>128</v>
      </c>
      <c r="B31" s="611">
        <v>19143</v>
      </c>
      <c r="C31" s="611">
        <v>19889</v>
      </c>
      <c r="D31" s="612">
        <v>19538</v>
      </c>
      <c r="E31" s="612">
        <v>19143</v>
      </c>
      <c r="F31" s="612">
        <v>18879</v>
      </c>
      <c r="G31" s="612">
        <v>19042</v>
      </c>
      <c r="H31" s="612">
        <v>19443</v>
      </c>
      <c r="I31" s="612">
        <v>20173</v>
      </c>
      <c r="J31" s="612">
        <v>20015</v>
      </c>
      <c r="K31" s="612">
        <v>19827</v>
      </c>
      <c r="L31" s="612">
        <v>20018</v>
      </c>
      <c r="M31" s="612">
        <v>20393</v>
      </c>
      <c r="N31" s="613">
        <v>20385</v>
      </c>
      <c r="O31" s="612">
        <v>19901</v>
      </c>
      <c r="P31" s="612">
        <v>19412.47813</v>
      </c>
      <c r="Q31" s="612">
        <v>18364.0245</v>
      </c>
      <c r="R31" s="215"/>
    </row>
    <row r="32" spans="1:18" ht="15.95" customHeight="1" x14ac:dyDescent="0.25">
      <c r="A32" s="610" t="s">
        <v>216</v>
      </c>
      <c r="B32" s="611">
        <v>5212</v>
      </c>
      <c r="C32" s="611">
        <v>5192</v>
      </c>
      <c r="D32" s="612">
        <v>5132</v>
      </c>
      <c r="E32" s="612">
        <v>5162</v>
      </c>
      <c r="F32" s="612">
        <v>5016</v>
      </c>
      <c r="G32" s="612">
        <v>4994</v>
      </c>
      <c r="H32" s="612">
        <v>5182</v>
      </c>
      <c r="I32" s="612">
        <v>5286</v>
      </c>
      <c r="J32" s="612">
        <v>5239</v>
      </c>
      <c r="K32" s="612">
        <v>5354</v>
      </c>
      <c r="L32" s="612">
        <v>5494</v>
      </c>
      <c r="M32" s="612">
        <v>5551</v>
      </c>
      <c r="N32" s="613">
        <v>5560</v>
      </c>
      <c r="O32" s="612">
        <v>5524</v>
      </c>
      <c r="P32" s="612">
        <v>5635.1744600000002</v>
      </c>
      <c r="Q32" s="612">
        <v>5298.4519099999998</v>
      </c>
      <c r="R32" s="215"/>
    </row>
    <row r="33" spans="1:18" ht="15.95" customHeight="1" x14ac:dyDescent="0.25">
      <c r="A33" s="610" t="s">
        <v>262</v>
      </c>
      <c r="B33" s="611">
        <v>5560</v>
      </c>
      <c r="C33" s="611">
        <v>5714</v>
      </c>
      <c r="D33" s="612">
        <v>5691</v>
      </c>
      <c r="E33" s="612">
        <v>5708</v>
      </c>
      <c r="F33" s="612">
        <v>5704</v>
      </c>
      <c r="G33" s="612">
        <v>5694</v>
      </c>
      <c r="H33" s="612">
        <v>5799</v>
      </c>
      <c r="I33" s="612">
        <v>5952</v>
      </c>
      <c r="J33" s="612">
        <v>5806</v>
      </c>
      <c r="K33" s="612">
        <v>5847</v>
      </c>
      <c r="L33" s="612">
        <v>5991</v>
      </c>
      <c r="M33" s="612">
        <v>6107</v>
      </c>
      <c r="N33" s="613">
        <v>6115</v>
      </c>
      <c r="O33" s="612">
        <v>6055</v>
      </c>
      <c r="P33" s="612">
        <v>5997.1033200000011</v>
      </c>
      <c r="Q33" s="612">
        <v>5798.9674800000003</v>
      </c>
      <c r="R33" s="215"/>
    </row>
    <row r="34" spans="1:18" ht="15.95" customHeight="1" x14ac:dyDescent="0.25">
      <c r="A34" s="610" t="s">
        <v>263</v>
      </c>
      <c r="B34" s="611">
        <v>11684</v>
      </c>
      <c r="C34" s="611">
        <v>12243</v>
      </c>
      <c r="D34" s="612">
        <v>11850</v>
      </c>
      <c r="E34" s="612">
        <v>11622</v>
      </c>
      <c r="F34" s="612">
        <v>11289</v>
      </c>
      <c r="G34" s="612">
        <v>11322</v>
      </c>
      <c r="H34" s="612">
        <v>11480</v>
      </c>
      <c r="I34" s="612">
        <v>11715</v>
      </c>
      <c r="J34" s="612">
        <v>11719</v>
      </c>
      <c r="K34" s="612">
        <v>11420</v>
      </c>
      <c r="L34" s="612">
        <v>11517</v>
      </c>
      <c r="M34" s="612">
        <v>11307</v>
      </c>
      <c r="N34" s="613">
        <v>11396</v>
      </c>
      <c r="O34" s="612">
        <v>11165</v>
      </c>
      <c r="P34" s="612">
        <v>11004.145739999998</v>
      </c>
      <c r="Q34" s="612">
        <v>10470.924650000003</v>
      </c>
      <c r="R34" s="215"/>
    </row>
    <row r="35" spans="1:18" ht="15.95" customHeight="1" x14ac:dyDescent="0.25">
      <c r="A35" s="610" t="s">
        <v>264</v>
      </c>
      <c r="B35" s="611">
        <v>3796</v>
      </c>
      <c r="C35" s="611">
        <v>3853</v>
      </c>
      <c r="D35" s="612">
        <v>3905</v>
      </c>
      <c r="E35" s="612">
        <v>3959</v>
      </c>
      <c r="F35" s="612">
        <v>3985</v>
      </c>
      <c r="G35" s="612">
        <v>4118</v>
      </c>
      <c r="H35" s="612">
        <v>4295</v>
      </c>
      <c r="I35" s="612">
        <v>4496</v>
      </c>
      <c r="J35" s="612">
        <v>4510</v>
      </c>
      <c r="K35" s="612">
        <v>4704</v>
      </c>
      <c r="L35" s="612">
        <v>4863</v>
      </c>
      <c r="M35" s="612">
        <v>5014</v>
      </c>
      <c r="N35" s="613">
        <v>5022</v>
      </c>
      <c r="O35" s="612">
        <v>5034</v>
      </c>
      <c r="P35" s="612">
        <v>5059.3863999999994</v>
      </c>
      <c r="Q35" s="612">
        <v>4823.1515899999995</v>
      </c>
      <c r="R35" s="215"/>
    </row>
    <row r="36" spans="1:18" ht="15.95" customHeight="1" x14ac:dyDescent="0.25">
      <c r="A36" s="610" t="s">
        <v>265</v>
      </c>
      <c r="B36" s="611">
        <v>5389</v>
      </c>
      <c r="C36" s="611">
        <v>5708</v>
      </c>
      <c r="D36" s="612">
        <v>5634</v>
      </c>
      <c r="E36" s="612">
        <v>5593</v>
      </c>
      <c r="F36" s="612">
        <v>5509</v>
      </c>
      <c r="G36" s="612">
        <v>5571</v>
      </c>
      <c r="H36" s="612">
        <v>5725</v>
      </c>
      <c r="I36" s="612">
        <v>5919</v>
      </c>
      <c r="J36" s="612">
        <v>5926</v>
      </c>
      <c r="K36" s="612">
        <v>6002</v>
      </c>
      <c r="L36" s="612">
        <v>6285</v>
      </c>
      <c r="M36" s="612">
        <v>6341</v>
      </c>
      <c r="N36" s="613">
        <v>6231</v>
      </c>
      <c r="O36" s="612">
        <v>6251</v>
      </c>
      <c r="P36" s="612">
        <v>6391.317970000001</v>
      </c>
      <c r="Q36" s="612">
        <v>6109.8194200000007</v>
      </c>
      <c r="R36" s="215"/>
    </row>
    <row r="37" spans="1:18" ht="15.95" customHeight="1" x14ac:dyDescent="0.25">
      <c r="A37" s="610" t="s">
        <v>266</v>
      </c>
      <c r="B37" s="611">
        <v>8776</v>
      </c>
      <c r="C37" s="611">
        <v>9111</v>
      </c>
      <c r="D37" s="612">
        <v>8939</v>
      </c>
      <c r="E37" s="612">
        <v>9073</v>
      </c>
      <c r="F37" s="612">
        <v>9025</v>
      </c>
      <c r="G37" s="612">
        <v>9024</v>
      </c>
      <c r="H37" s="612">
        <v>9171</v>
      </c>
      <c r="I37" s="612">
        <v>9555</v>
      </c>
      <c r="J37" s="612">
        <v>9705</v>
      </c>
      <c r="K37" s="612">
        <v>10363</v>
      </c>
      <c r="L37" s="612">
        <v>10917</v>
      </c>
      <c r="M37" s="612">
        <v>10899</v>
      </c>
      <c r="N37" s="613">
        <v>10932</v>
      </c>
      <c r="O37" s="612">
        <v>10994</v>
      </c>
      <c r="P37" s="612">
        <v>11237.408170000001</v>
      </c>
      <c r="Q37" s="612">
        <v>10806.9123</v>
      </c>
      <c r="R37" s="215"/>
    </row>
    <row r="38" spans="1:18" s="55" customFormat="1" ht="15.95" customHeight="1" x14ac:dyDescent="0.25">
      <c r="A38" s="609" t="s">
        <v>339</v>
      </c>
      <c r="B38" s="54">
        <v>43959</v>
      </c>
      <c r="C38" s="54">
        <v>46522</v>
      </c>
      <c r="D38" s="602">
        <v>47542</v>
      </c>
      <c r="E38" s="602">
        <v>49440</v>
      </c>
      <c r="F38" s="602">
        <v>50084</v>
      </c>
      <c r="G38" s="602">
        <v>50534</v>
      </c>
      <c r="H38" s="602">
        <v>53491</v>
      </c>
      <c r="I38" s="602">
        <v>56870</v>
      </c>
      <c r="J38" s="602">
        <v>58753</v>
      </c>
      <c r="K38" s="602">
        <v>61320</v>
      </c>
      <c r="L38" s="602">
        <v>63802</v>
      </c>
      <c r="M38" s="602">
        <v>64276</v>
      </c>
      <c r="N38" s="614">
        <v>66131</v>
      </c>
      <c r="O38" s="602">
        <v>67936</v>
      </c>
      <c r="P38" s="602">
        <v>75304.033190000002</v>
      </c>
      <c r="Q38" s="602">
        <f>SUM(Q39:Q47)</f>
        <v>70421.287540000005</v>
      </c>
      <c r="R38" s="215"/>
    </row>
    <row r="39" spans="1:18" ht="15.95" customHeight="1" x14ac:dyDescent="0.25">
      <c r="A39" s="610" t="s">
        <v>215</v>
      </c>
      <c r="B39" s="611">
        <v>13776</v>
      </c>
      <c r="C39" s="611">
        <v>14949</v>
      </c>
      <c r="D39" s="612">
        <v>15510</v>
      </c>
      <c r="E39" s="612">
        <v>16446</v>
      </c>
      <c r="F39" s="612">
        <v>16975</v>
      </c>
      <c r="G39" s="612">
        <v>17185</v>
      </c>
      <c r="H39" s="612">
        <v>18279</v>
      </c>
      <c r="I39" s="612">
        <v>19680</v>
      </c>
      <c r="J39" s="612">
        <v>20935</v>
      </c>
      <c r="K39" s="612">
        <v>22709</v>
      </c>
      <c r="L39" s="612">
        <v>23871</v>
      </c>
      <c r="M39" s="612">
        <v>24330</v>
      </c>
      <c r="N39" s="613">
        <v>25398</v>
      </c>
      <c r="O39" s="612">
        <v>26393</v>
      </c>
      <c r="P39" s="612">
        <v>29188.823170000003</v>
      </c>
      <c r="Q39" s="612">
        <v>27049.071540000001</v>
      </c>
      <c r="R39" s="215"/>
    </row>
    <row r="40" spans="1:18" ht="15.95" customHeight="1" x14ac:dyDescent="0.25">
      <c r="A40" s="610" t="s">
        <v>268</v>
      </c>
      <c r="B40" s="611">
        <v>402</v>
      </c>
      <c r="C40" s="611">
        <v>440</v>
      </c>
      <c r="D40" s="612">
        <v>568</v>
      </c>
      <c r="E40" s="612">
        <v>728</v>
      </c>
      <c r="F40" s="612">
        <v>726</v>
      </c>
      <c r="G40" s="612">
        <v>731</v>
      </c>
      <c r="H40" s="612">
        <v>732</v>
      </c>
      <c r="I40" s="612">
        <v>746</v>
      </c>
      <c r="J40" s="612">
        <v>757</v>
      </c>
      <c r="K40" s="612">
        <v>770</v>
      </c>
      <c r="L40" s="612">
        <v>789</v>
      </c>
      <c r="M40" s="612">
        <v>788</v>
      </c>
      <c r="N40" s="613">
        <v>797</v>
      </c>
      <c r="O40" s="612">
        <v>798</v>
      </c>
      <c r="P40" s="612">
        <v>836.17421999999999</v>
      </c>
      <c r="Q40" s="612">
        <v>845.23969000000011</v>
      </c>
      <c r="R40" s="215"/>
    </row>
    <row r="41" spans="1:18" ht="15.95" customHeight="1" x14ac:dyDescent="0.25">
      <c r="A41" s="610" t="s">
        <v>269</v>
      </c>
      <c r="B41" s="611">
        <v>5836</v>
      </c>
      <c r="C41" s="611">
        <v>6185</v>
      </c>
      <c r="D41" s="612">
        <v>6155</v>
      </c>
      <c r="E41" s="612">
        <v>6257</v>
      </c>
      <c r="F41" s="612">
        <v>6353</v>
      </c>
      <c r="G41" s="612">
        <v>6553</v>
      </c>
      <c r="H41" s="612">
        <v>7047</v>
      </c>
      <c r="I41" s="612">
        <v>7678</v>
      </c>
      <c r="J41" s="612">
        <v>7862</v>
      </c>
      <c r="K41" s="612">
        <v>8474</v>
      </c>
      <c r="L41" s="612">
        <v>8807</v>
      </c>
      <c r="M41" s="612">
        <v>8838</v>
      </c>
      <c r="N41" s="613">
        <v>9053</v>
      </c>
      <c r="O41" s="612">
        <v>9296</v>
      </c>
      <c r="P41" s="612">
        <v>10157.19003</v>
      </c>
      <c r="Q41" s="612">
        <v>9203.7088099999983</v>
      </c>
      <c r="R41" s="215"/>
    </row>
    <row r="42" spans="1:18" ht="15.95" customHeight="1" x14ac:dyDescent="0.25">
      <c r="A42" s="610" t="s">
        <v>270</v>
      </c>
      <c r="B42" s="611">
        <v>13500</v>
      </c>
      <c r="C42" s="611">
        <v>13850</v>
      </c>
      <c r="D42" s="612">
        <v>13918</v>
      </c>
      <c r="E42" s="612">
        <v>14068</v>
      </c>
      <c r="F42" s="612">
        <v>14266</v>
      </c>
      <c r="G42" s="612">
        <v>14114</v>
      </c>
      <c r="H42" s="612">
        <v>14467</v>
      </c>
      <c r="I42" s="612">
        <v>14990</v>
      </c>
      <c r="J42" s="612">
        <v>14960</v>
      </c>
      <c r="K42" s="612">
        <v>14350</v>
      </c>
      <c r="L42" s="612">
        <v>14506</v>
      </c>
      <c r="M42" s="612">
        <v>14179</v>
      </c>
      <c r="N42" s="613">
        <v>14224</v>
      </c>
      <c r="O42" s="612">
        <v>14209</v>
      </c>
      <c r="P42" s="612">
        <v>15157.36304</v>
      </c>
      <c r="Q42" s="612">
        <v>14248.302740000001</v>
      </c>
      <c r="R42" s="215"/>
    </row>
    <row r="43" spans="1:18" ht="15.95" customHeight="1" x14ac:dyDescent="0.25">
      <c r="A43" s="610" t="s">
        <v>271</v>
      </c>
      <c r="B43" s="611">
        <v>483</v>
      </c>
      <c r="C43" s="611">
        <v>602</v>
      </c>
      <c r="D43" s="612">
        <v>667</v>
      </c>
      <c r="E43" s="612">
        <v>733</v>
      </c>
      <c r="F43" s="612">
        <v>739</v>
      </c>
      <c r="G43" s="612">
        <v>790</v>
      </c>
      <c r="H43" s="612">
        <v>1088</v>
      </c>
      <c r="I43" s="612">
        <v>1411</v>
      </c>
      <c r="J43" s="612">
        <v>1580</v>
      </c>
      <c r="K43" s="612">
        <v>1920</v>
      </c>
      <c r="L43" s="612">
        <v>2156</v>
      </c>
      <c r="M43" s="612">
        <v>2090</v>
      </c>
      <c r="N43" s="613">
        <v>2341</v>
      </c>
      <c r="O43" s="612">
        <v>2612</v>
      </c>
      <c r="P43" s="612">
        <v>3804.06565</v>
      </c>
      <c r="Q43" s="612">
        <v>4083.6345799999999</v>
      </c>
      <c r="R43" s="215"/>
    </row>
    <row r="44" spans="1:18" ht="15.95" customHeight="1" x14ac:dyDescent="0.25">
      <c r="A44" s="610" t="s">
        <v>272</v>
      </c>
      <c r="B44" s="611">
        <v>3437</v>
      </c>
      <c r="C44" s="611">
        <v>3572</v>
      </c>
      <c r="D44" s="612">
        <v>3568</v>
      </c>
      <c r="E44" s="612">
        <v>3674</v>
      </c>
      <c r="F44" s="612">
        <v>3623</v>
      </c>
      <c r="G44" s="612">
        <v>3632</v>
      </c>
      <c r="H44" s="612">
        <v>3795</v>
      </c>
      <c r="I44" s="612">
        <v>3852</v>
      </c>
      <c r="J44" s="612">
        <v>3836</v>
      </c>
      <c r="K44" s="612">
        <v>3835</v>
      </c>
      <c r="L44" s="612">
        <v>4004</v>
      </c>
      <c r="M44" s="612">
        <v>3950</v>
      </c>
      <c r="N44" s="613">
        <v>4012</v>
      </c>
      <c r="O44" s="612">
        <v>3984</v>
      </c>
      <c r="P44" s="612">
        <v>4096.0607099999997</v>
      </c>
      <c r="Q44" s="612">
        <v>3748.71967</v>
      </c>
      <c r="R44" s="215"/>
    </row>
    <row r="45" spans="1:18" ht="15.95" customHeight="1" x14ac:dyDescent="0.25">
      <c r="A45" s="610" t="s">
        <v>273</v>
      </c>
      <c r="B45" s="611">
        <v>319</v>
      </c>
      <c r="C45" s="611">
        <v>328</v>
      </c>
      <c r="D45" s="612">
        <v>420</v>
      </c>
      <c r="E45" s="612">
        <v>499</v>
      </c>
      <c r="F45" s="612">
        <v>343</v>
      </c>
      <c r="G45" s="612">
        <v>366</v>
      </c>
      <c r="H45" s="612">
        <v>528</v>
      </c>
      <c r="I45" s="612">
        <v>648</v>
      </c>
      <c r="J45" s="612">
        <v>660</v>
      </c>
      <c r="K45" s="612">
        <v>717</v>
      </c>
      <c r="L45" s="612">
        <v>753</v>
      </c>
      <c r="M45" s="612">
        <v>774</v>
      </c>
      <c r="N45" s="613">
        <v>775</v>
      </c>
      <c r="O45" s="612">
        <v>836</v>
      </c>
      <c r="P45" s="612">
        <v>1036.7858699999999</v>
      </c>
      <c r="Q45" s="612">
        <v>880.59055000000001</v>
      </c>
      <c r="R45" s="215"/>
    </row>
    <row r="46" spans="1:18" ht="15.95" customHeight="1" x14ac:dyDescent="0.25">
      <c r="A46" s="610" t="s">
        <v>274</v>
      </c>
      <c r="B46" s="611">
        <v>6206</v>
      </c>
      <c r="C46" s="611">
        <v>6596</v>
      </c>
      <c r="D46" s="612">
        <v>6736</v>
      </c>
      <c r="E46" s="612">
        <v>7035</v>
      </c>
      <c r="F46" s="612">
        <v>7059</v>
      </c>
      <c r="G46" s="612">
        <v>7163</v>
      </c>
      <c r="H46" s="612">
        <v>7555</v>
      </c>
      <c r="I46" s="612">
        <v>7865</v>
      </c>
      <c r="J46" s="612">
        <v>8163</v>
      </c>
      <c r="K46" s="612">
        <v>8545</v>
      </c>
      <c r="L46" s="612">
        <v>8916</v>
      </c>
      <c r="M46" s="612">
        <v>9327</v>
      </c>
      <c r="N46" s="613">
        <v>9531</v>
      </c>
      <c r="O46" s="612">
        <v>9734</v>
      </c>
      <c r="P46" s="612">
        <v>10144.430149999998</v>
      </c>
      <c r="Q46" s="612">
        <v>9393.1450300000015</v>
      </c>
      <c r="R46" s="215"/>
    </row>
    <row r="47" spans="1:18" ht="15.95" customHeight="1" x14ac:dyDescent="0.25">
      <c r="A47" s="610" t="s">
        <v>275</v>
      </c>
      <c r="B47" s="611"/>
      <c r="C47" s="611"/>
      <c r="D47" s="612"/>
      <c r="E47" s="612"/>
      <c r="F47" s="612"/>
      <c r="G47" s="612"/>
      <c r="H47" s="612"/>
      <c r="I47" s="612"/>
      <c r="J47" s="612"/>
      <c r="K47" s="612" t="s">
        <v>26</v>
      </c>
      <c r="L47" s="612" t="s">
        <v>26</v>
      </c>
      <c r="M47" s="612" t="s">
        <v>26</v>
      </c>
      <c r="N47" s="612" t="s">
        <v>26</v>
      </c>
      <c r="O47" s="612">
        <v>74</v>
      </c>
      <c r="P47" s="612">
        <v>883.1403499999999</v>
      </c>
      <c r="Q47" s="612">
        <v>968.87493000000006</v>
      </c>
      <c r="R47" s="215"/>
    </row>
    <row r="48" spans="1:18" ht="3" customHeight="1" x14ac:dyDescent="0.25">
      <c r="A48" s="610"/>
      <c r="B48" s="611"/>
      <c r="C48" s="611"/>
      <c r="D48" s="612"/>
      <c r="E48" s="612"/>
      <c r="F48" s="612"/>
      <c r="G48" s="612"/>
      <c r="H48" s="612"/>
      <c r="I48" s="612"/>
      <c r="J48" s="612"/>
      <c r="K48" s="612"/>
      <c r="L48" s="612"/>
      <c r="M48" s="612"/>
      <c r="N48" s="613"/>
      <c r="O48" s="612"/>
      <c r="P48" s="612"/>
      <c r="Q48" s="612"/>
    </row>
    <row r="49" spans="1:18" s="55" customFormat="1" ht="15.95" customHeight="1" x14ac:dyDescent="0.25">
      <c r="A49" s="615" t="s">
        <v>340</v>
      </c>
      <c r="B49" s="54">
        <v>26122</v>
      </c>
      <c r="C49" s="54">
        <v>27685</v>
      </c>
      <c r="D49" s="602">
        <v>28008</v>
      </c>
      <c r="E49" s="602">
        <v>28409</v>
      </c>
      <c r="F49" s="602">
        <v>29135</v>
      </c>
      <c r="G49" s="602">
        <v>30386</v>
      </c>
      <c r="H49" s="602">
        <v>32463</v>
      </c>
      <c r="I49" s="602">
        <v>34112</v>
      </c>
      <c r="J49" s="602">
        <v>34885</v>
      </c>
      <c r="K49" s="602">
        <v>36366</v>
      </c>
      <c r="L49" s="602">
        <v>37575</v>
      </c>
      <c r="M49" s="602">
        <v>38178</v>
      </c>
      <c r="N49" s="614">
        <v>39260</v>
      </c>
      <c r="O49" s="602">
        <v>38525</v>
      </c>
      <c r="P49" s="602">
        <v>42291.311570000005</v>
      </c>
      <c r="Q49" s="602">
        <v>39865.852559999999</v>
      </c>
      <c r="R49" s="216"/>
    </row>
    <row r="50" spans="1:18" s="55" customFormat="1" ht="15.95" customHeight="1" x14ac:dyDescent="0.25">
      <c r="A50" s="496" t="s">
        <v>217</v>
      </c>
      <c r="B50" s="54"/>
      <c r="C50" s="54"/>
      <c r="D50" s="602"/>
      <c r="E50" s="602"/>
      <c r="F50" s="602"/>
      <c r="G50" s="602"/>
      <c r="H50" s="602"/>
      <c r="I50" s="602"/>
      <c r="J50" s="612">
        <v>34885</v>
      </c>
      <c r="K50" s="612">
        <v>36366</v>
      </c>
      <c r="L50" s="612">
        <v>37575</v>
      </c>
      <c r="M50" s="612">
        <v>38178</v>
      </c>
      <c r="N50" s="613">
        <v>39260</v>
      </c>
      <c r="O50" s="612">
        <v>38525</v>
      </c>
      <c r="P50" s="612">
        <v>42291.311570000005</v>
      </c>
      <c r="Q50" s="612">
        <v>39865.852559999999</v>
      </c>
      <c r="R50" s="216"/>
    </row>
    <row r="51" spans="1:18" s="55" customFormat="1" ht="15.95" customHeight="1" x14ac:dyDescent="0.25">
      <c r="A51" s="615" t="s">
        <v>341</v>
      </c>
      <c r="B51" s="54">
        <v>34502</v>
      </c>
      <c r="C51" s="54">
        <v>35782</v>
      </c>
      <c r="D51" s="602">
        <v>35375</v>
      </c>
      <c r="E51" s="602">
        <v>35739</v>
      </c>
      <c r="F51" s="602">
        <v>35919</v>
      </c>
      <c r="G51" s="602">
        <v>37684</v>
      </c>
      <c r="H51" s="602">
        <v>41442</v>
      </c>
      <c r="I51" s="602">
        <v>44209</v>
      </c>
      <c r="J51" s="602">
        <v>45957</v>
      </c>
      <c r="K51" s="602">
        <v>49270</v>
      </c>
      <c r="L51" s="602">
        <v>50748</v>
      </c>
      <c r="M51" s="602">
        <v>52235</v>
      </c>
      <c r="N51" s="614">
        <v>53301</v>
      </c>
      <c r="O51" s="602">
        <v>55080</v>
      </c>
      <c r="P51" s="602">
        <v>58939.841620000014</v>
      </c>
      <c r="Q51" s="602">
        <f>SUM(Q52:Q61)</f>
        <v>57673.360599999993</v>
      </c>
      <c r="R51" s="216"/>
    </row>
    <row r="52" spans="1:18" ht="15.95" customHeight="1" x14ac:dyDescent="0.25">
      <c r="A52" s="610" t="s">
        <v>278</v>
      </c>
      <c r="B52" s="611">
        <v>1132</v>
      </c>
      <c r="C52" s="611">
        <v>1168</v>
      </c>
      <c r="D52" s="612">
        <v>1186</v>
      </c>
      <c r="E52" s="612">
        <v>1317</v>
      </c>
      <c r="F52" s="612">
        <v>1325</v>
      </c>
      <c r="G52" s="612">
        <v>1544</v>
      </c>
      <c r="H52" s="612">
        <v>1609</v>
      </c>
      <c r="I52" s="612">
        <v>1745</v>
      </c>
      <c r="J52" s="612">
        <v>1838</v>
      </c>
      <c r="K52" s="612">
        <v>2034</v>
      </c>
      <c r="L52" s="612">
        <v>2072</v>
      </c>
      <c r="M52" s="612">
        <v>2147</v>
      </c>
      <c r="N52" s="613">
        <v>2270</v>
      </c>
      <c r="O52" s="612">
        <v>2219</v>
      </c>
      <c r="P52" s="612">
        <v>2326.9395600000003</v>
      </c>
      <c r="Q52" s="612">
        <v>2293.8764799999999</v>
      </c>
      <c r="R52" s="216"/>
    </row>
    <row r="53" spans="1:18" ht="15.95" customHeight="1" x14ac:dyDescent="0.25">
      <c r="A53" s="610" t="s">
        <v>279</v>
      </c>
      <c r="B53" s="611">
        <v>263</v>
      </c>
      <c r="C53" s="611">
        <v>282</v>
      </c>
      <c r="D53" s="612">
        <v>265</v>
      </c>
      <c r="E53" s="612">
        <v>269</v>
      </c>
      <c r="F53" s="612">
        <v>280</v>
      </c>
      <c r="G53" s="612">
        <v>739</v>
      </c>
      <c r="H53" s="612">
        <v>1252</v>
      </c>
      <c r="I53" s="612">
        <v>1501</v>
      </c>
      <c r="J53" s="612">
        <v>1702</v>
      </c>
      <c r="K53" s="612">
        <v>2172</v>
      </c>
      <c r="L53" s="612">
        <v>2323</v>
      </c>
      <c r="M53" s="612">
        <v>2421</v>
      </c>
      <c r="N53" s="613">
        <v>2491</v>
      </c>
      <c r="O53" s="612">
        <v>2619</v>
      </c>
      <c r="P53" s="612">
        <v>2642.9300699999999</v>
      </c>
      <c r="Q53" s="612">
        <v>2501.4132999999997</v>
      </c>
      <c r="R53" s="216"/>
    </row>
    <row r="54" spans="1:18" ht="15.95" customHeight="1" x14ac:dyDescent="0.25">
      <c r="A54" s="610" t="s">
        <v>280</v>
      </c>
      <c r="B54" s="611">
        <v>261</v>
      </c>
      <c r="C54" s="611">
        <v>290</v>
      </c>
      <c r="D54" s="612">
        <v>296</v>
      </c>
      <c r="E54" s="612">
        <v>302</v>
      </c>
      <c r="F54" s="612">
        <v>301</v>
      </c>
      <c r="G54" s="612">
        <v>227</v>
      </c>
      <c r="H54" s="612">
        <v>241</v>
      </c>
      <c r="I54" s="612">
        <v>213</v>
      </c>
      <c r="J54" s="612">
        <v>237</v>
      </c>
      <c r="K54" s="612">
        <v>292</v>
      </c>
      <c r="L54" s="612">
        <v>287</v>
      </c>
      <c r="M54" s="612">
        <v>289</v>
      </c>
      <c r="N54" s="613">
        <v>292</v>
      </c>
      <c r="O54" s="612">
        <v>302</v>
      </c>
      <c r="P54" s="612">
        <v>316.14033000000001</v>
      </c>
      <c r="Q54" s="612">
        <v>315.22467999999998</v>
      </c>
      <c r="R54" s="216"/>
    </row>
    <row r="55" spans="1:18" ht="15.95" customHeight="1" x14ac:dyDescent="0.25">
      <c r="A55" s="610" t="s">
        <v>342</v>
      </c>
      <c r="B55" s="612" t="s">
        <v>26</v>
      </c>
      <c r="C55" s="612" t="s">
        <v>26</v>
      </c>
      <c r="D55" s="612" t="s">
        <v>26</v>
      </c>
      <c r="E55" s="612" t="s">
        <v>26</v>
      </c>
      <c r="F55" s="612">
        <v>48</v>
      </c>
      <c r="G55" s="612">
        <v>102</v>
      </c>
      <c r="H55" s="612">
        <v>143</v>
      </c>
      <c r="I55" s="612">
        <v>151</v>
      </c>
      <c r="J55" s="612">
        <v>151</v>
      </c>
      <c r="K55" s="612">
        <v>186</v>
      </c>
      <c r="L55" s="612">
        <v>194</v>
      </c>
      <c r="M55" s="612">
        <v>211</v>
      </c>
      <c r="N55" s="613">
        <v>207</v>
      </c>
      <c r="O55" s="612">
        <v>206</v>
      </c>
      <c r="P55" s="612">
        <v>336.99629000000004</v>
      </c>
      <c r="Q55" s="612">
        <v>320.03390999999999</v>
      </c>
      <c r="R55" s="216"/>
    </row>
    <row r="56" spans="1:18" ht="15.95" customHeight="1" x14ac:dyDescent="0.25">
      <c r="A56" s="610" t="s">
        <v>343</v>
      </c>
      <c r="B56" s="612" t="s">
        <v>26</v>
      </c>
      <c r="C56" s="612" t="s">
        <v>26</v>
      </c>
      <c r="D56" s="612" t="s">
        <v>26</v>
      </c>
      <c r="E56" s="612" t="s">
        <v>26</v>
      </c>
      <c r="F56" s="612">
        <v>181</v>
      </c>
      <c r="G56" s="612">
        <v>217</v>
      </c>
      <c r="H56" s="612">
        <v>215</v>
      </c>
      <c r="I56" s="612">
        <v>196</v>
      </c>
      <c r="J56" s="612">
        <v>199</v>
      </c>
      <c r="K56" s="612">
        <v>231</v>
      </c>
      <c r="L56" s="612">
        <v>235</v>
      </c>
      <c r="M56" s="612">
        <v>253</v>
      </c>
      <c r="N56" s="613">
        <v>262</v>
      </c>
      <c r="O56" s="612">
        <v>250</v>
      </c>
      <c r="P56" s="612">
        <v>287.22221000000002</v>
      </c>
      <c r="Q56" s="612">
        <v>399.62458000000004</v>
      </c>
      <c r="R56" s="216"/>
    </row>
    <row r="57" spans="1:18" ht="15.95" customHeight="1" x14ac:dyDescent="0.25">
      <c r="A57" s="610" t="s">
        <v>344</v>
      </c>
      <c r="B57" s="612" t="s">
        <v>26</v>
      </c>
      <c r="C57" s="612" t="s">
        <v>26</v>
      </c>
      <c r="D57" s="612" t="s">
        <v>26</v>
      </c>
      <c r="E57" s="612" t="s">
        <v>26</v>
      </c>
      <c r="F57" s="612">
        <v>179</v>
      </c>
      <c r="G57" s="612">
        <v>214</v>
      </c>
      <c r="H57" s="612">
        <v>225</v>
      </c>
      <c r="I57" s="612">
        <v>217</v>
      </c>
      <c r="J57" s="612">
        <v>220</v>
      </c>
      <c r="K57" s="612">
        <v>271</v>
      </c>
      <c r="L57" s="612">
        <v>277</v>
      </c>
      <c r="M57" s="612">
        <v>288</v>
      </c>
      <c r="N57" s="613">
        <v>313</v>
      </c>
      <c r="O57" s="612">
        <v>318</v>
      </c>
      <c r="P57" s="612">
        <v>364.63202999999993</v>
      </c>
      <c r="Q57" s="612">
        <v>443.21994999999993</v>
      </c>
      <c r="R57" s="216"/>
    </row>
    <row r="58" spans="1:18" ht="15.95" customHeight="1" x14ac:dyDescent="0.25">
      <c r="A58" s="610" t="s">
        <v>284</v>
      </c>
      <c r="B58" s="611">
        <v>12734</v>
      </c>
      <c r="C58" s="611">
        <v>13236</v>
      </c>
      <c r="D58" s="612">
        <v>13056</v>
      </c>
      <c r="E58" s="612">
        <v>13006</v>
      </c>
      <c r="F58" s="612">
        <v>12900</v>
      </c>
      <c r="G58" s="612">
        <v>13206</v>
      </c>
      <c r="H58" s="612">
        <v>14006</v>
      </c>
      <c r="I58" s="612">
        <v>14824</v>
      </c>
      <c r="J58" s="612">
        <v>15180</v>
      </c>
      <c r="K58" s="612">
        <v>15973</v>
      </c>
      <c r="L58" s="612">
        <v>16375</v>
      </c>
      <c r="M58" s="612">
        <v>16783</v>
      </c>
      <c r="N58" s="613">
        <v>17072</v>
      </c>
      <c r="O58" s="612">
        <v>17591</v>
      </c>
      <c r="P58" s="612">
        <v>18712.412920000006</v>
      </c>
      <c r="Q58" s="612">
        <v>17847.966399999998</v>
      </c>
      <c r="R58" s="216"/>
    </row>
    <row r="59" spans="1:18" ht="15.95" customHeight="1" x14ac:dyDescent="0.25">
      <c r="A59" s="610" t="s">
        <v>285</v>
      </c>
      <c r="B59" s="611">
        <v>10573</v>
      </c>
      <c r="C59" s="611">
        <v>10987</v>
      </c>
      <c r="D59" s="612">
        <v>10819</v>
      </c>
      <c r="E59" s="612">
        <v>10740</v>
      </c>
      <c r="F59" s="612">
        <v>10710</v>
      </c>
      <c r="G59" s="612">
        <v>10958</v>
      </c>
      <c r="H59" s="612">
        <v>12040</v>
      </c>
      <c r="I59" s="612">
        <v>12732</v>
      </c>
      <c r="J59" s="612">
        <v>13353</v>
      </c>
      <c r="K59" s="612">
        <v>14060</v>
      </c>
      <c r="L59" s="612">
        <v>14469</v>
      </c>
      <c r="M59" s="612">
        <v>14924</v>
      </c>
      <c r="N59" s="613">
        <v>15107</v>
      </c>
      <c r="O59" s="612">
        <v>15576</v>
      </c>
      <c r="P59" s="612">
        <v>16786.888489999998</v>
      </c>
      <c r="Q59" s="612">
        <v>16457.55229</v>
      </c>
      <c r="R59" s="216"/>
    </row>
    <row r="60" spans="1:18" ht="15.95" customHeight="1" x14ac:dyDescent="0.25">
      <c r="A60" s="610" t="s">
        <v>403</v>
      </c>
      <c r="B60" s="611"/>
      <c r="C60" s="611"/>
      <c r="D60" s="612"/>
      <c r="E60" s="612"/>
      <c r="F60" s="612"/>
      <c r="G60" s="612"/>
      <c r="H60" s="612"/>
      <c r="I60" s="612"/>
      <c r="J60" s="612"/>
      <c r="K60" s="612" t="s">
        <v>26</v>
      </c>
      <c r="L60" s="612" t="s">
        <v>26</v>
      </c>
      <c r="M60" s="612" t="s">
        <v>26</v>
      </c>
      <c r="N60" s="612" t="s">
        <v>26</v>
      </c>
      <c r="O60" s="612" t="s">
        <v>26</v>
      </c>
      <c r="P60" s="612" t="s">
        <v>26</v>
      </c>
      <c r="Q60" s="612">
        <v>18.479099999999999</v>
      </c>
      <c r="R60" s="216"/>
    </row>
    <row r="61" spans="1:18" ht="15.95" customHeight="1" x14ac:dyDescent="0.25">
      <c r="A61" s="616" t="s">
        <v>345</v>
      </c>
      <c r="B61" s="617">
        <v>9539</v>
      </c>
      <c r="C61" s="617">
        <v>9819</v>
      </c>
      <c r="D61" s="618">
        <v>9753</v>
      </c>
      <c r="E61" s="618">
        <v>10105</v>
      </c>
      <c r="F61" s="618">
        <v>9995</v>
      </c>
      <c r="G61" s="618">
        <v>10477</v>
      </c>
      <c r="H61" s="618">
        <v>11711</v>
      </c>
      <c r="I61" s="618">
        <v>12630</v>
      </c>
      <c r="J61" s="618">
        <v>13077</v>
      </c>
      <c r="K61" s="618">
        <v>14051</v>
      </c>
      <c r="L61" s="618">
        <v>14516</v>
      </c>
      <c r="M61" s="618">
        <v>14919</v>
      </c>
      <c r="N61" s="619">
        <v>15287</v>
      </c>
      <c r="O61" s="618">
        <v>15999</v>
      </c>
      <c r="P61" s="618">
        <v>17165.67972</v>
      </c>
      <c r="Q61" s="618">
        <v>17075.96991</v>
      </c>
      <c r="R61" s="216"/>
    </row>
    <row r="62" spans="1:18" s="29" customFormat="1" ht="12" customHeight="1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17"/>
      <c r="L62" s="217"/>
      <c r="M62" s="217"/>
      <c r="N62" s="217"/>
      <c r="O62" s="217"/>
      <c r="P62" s="217"/>
      <c r="Q62" s="217" t="s">
        <v>58</v>
      </c>
    </row>
    <row r="63" spans="1:18" ht="25.15" customHeight="1" x14ac:dyDescent="0.25">
      <c r="A63" s="705" t="s">
        <v>393</v>
      </c>
      <c r="B63" s="705"/>
      <c r="C63" s="705"/>
      <c r="D63" s="705"/>
      <c r="E63" s="705"/>
      <c r="F63" s="705"/>
      <c r="G63" s="705"/>
      <c r="H63" s="705"/>
      <c r="I63" s="705"/>
      <c r="J63" s="705"/>
      <c r="K63" s="705"/>
      <c r="L63" s="705"/>
      <c r="M63" s="705"/>
      <c r="N63" s="705"/>
      <c r="O63" s="705"/>
      <c r="P63" s="705"/>
      <c r="Q63" s="705"/>
    </row>
    <row r="64" spans="1:18" s="213" customFormat="1" ht="12.75" customHeight="1" x14ac:dyDescent="0.3">
      <c r="A64" s="707" t="s">
        <v>322</v>
      </c>
      <c r="B64" s="707"/>
      <c r="C64" s="707"/>
      <c r="D64" s="707"/>
      <c r="E64" s="707"/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07"/>
    </row>
    <row r="65" spans="1:17" s="29" customFormat="1" ht="12" customHeight="1" x14ac:dyDescent="0.25">
      <c r="A65" s="174"/>
      <c r="B65" s="26"/>
      <c r="C65" s="26"/>
      <c r="D65" s="26"/>
      <c r="E65" s="26"/>
      <c r="F65" s="26"/>
      <c r="G65" s="26"/>
      <c r="H65" s="27"/>
      <c r="I65" s="173"/>
      <c r="J65" s="173"/>
      <c r="K65" s="217"/>
      <c r="L65" s="217"/>
      <c r="M65" s="217"/>
      <c r="N65" s="217"/>
      <c r="O65" s="217"/>
      <c r="P65" s="217"/>
      <c r="Q65" s="217" t="s">
        <v>59</v>
      </c>
    </row>
    <row r="66" spans="1:17" s="52" customFormat="1" ht="20.100000000000001" customHeight="1" x14ac:dyDescent="0.25">
      <c r="A66" s="589" t="s">
        <v>330</v>
      </c>
      <c r="B66" s="590">
        <v>2005</v>
      </c>
      <c r="C66" s="591">
        <v>2006</v>
      </c>
      <c r="D66" s="591">
        <v>2007</v>
      </c>
      <c r="E66" s="591">
        <v>2008</v>
      </c>
      <c r="F66" s="591">
        <v>2009</v>
      </c>
      <c r="G66" s="591">
        <v>2010</v>
      </c>
      <c r="H66" s="591">
        <v>2011</v>
      </c>
      <c r="I66" s="591">
        <v>2012</v>
      </c>
      <c r="J66" s="591">
        <v>2013</v>
      </c>
      <c r="K66" s="591">
        <v>2015</v>
      </c>
      <c r="L66" s="591">
        <v>2016</v>
      </c>
      <c r="M66" s="591">
        <v>2017</v>
      </c>
      <c r="N66" s="591">
        <v>2018</v>
      </c>
      <c r="O66" s="591">
        <v>2019</v>
      </c>
      <c r="P66" s="591">
        <v>2020</v>
      </c>
      <c r="Q66" s="591">
        <v>2021</v>
      </c>
    </row>
    <row r="67" spans="1:17" s="52" customFormat="1" ht="12.75" hidden="1" customHeight="1" x14ac:dyDescent="0.25">
      <c r="A67" s="202"/>
      <c r="B67" s="622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3"/>
      <c r="P67" s="623"/>
      <c r="Q67" s="623"/>
    </row>
    <row r="68" spans="1:17" s="55" customFormat="1" ht="15.95" customHeight="1" x14ac:dyDescent="0.25">
      <c r="A68" s="609" t="s">
        <v>346</v>
      </c>
      <c r="B68" s="216">
        <v>78796</v>
      </c>
      <c r="C68" s="216">
        <v>82691</v>
      </c>
      <c r="D68" s="600">
        <v>81474</v>
      </c>
      <c r="E68" s="600">
        <v>81698</v>
      </c>
      <c r="F68" s="600">
        <v>82482</v>
      </c>
      <c r="G68" s="600">
        <v>82811</v>
      </c>
      <c r="H68" s="600">
        <v>83752</v>
      </c>
      <c r="I68" s="600">
        <v>89741</v>
      </c>
      <c r="J68" s="600">
        <v>90625</v>
      </c>
      <c r="K68" s="600">
        <v>91505</v>
      </c>
      <c r="L68" s="600">
        <v>92790</v>
      </c>
      <c r="M68" s="602">
        <v>93526</v>
      </c>
      <c r="N68" s="614">
        <v>94695</v>
      </c>
      <c r="O68" s="602">
        <v>95398</v>
      </c>
      <c r="P68" s="602">
        <v>94943.079660000003</v>
      </c>
      <c r="Q68" s="602">
        <f>SUM(Q69:Q77)</f>
        <v>89703.414250000002</v>
      </c>
    </row>
    <row r="69" spans="1:17" ht="15.95" customHeight="1" x14ac:dyDescent="0.25">
      <c r="A69" s="610" t="s">
        <v>287</v>
      </c>
      <c r="B69" s="215">
        <v>2667</v>
      </c>
      <c r="C69" s="215">
        <v>2790</v>
      </c>
      <c r="D69" s="624">
        <v>2767</v>
      </c>
      <c r="E69" s="624">
        <v>2716</v>
      </c>
      <c r="F69" s="624">
        <v>2610</v>
      </c>
      <c r="G69" s="624">
        <v>2634</v>
      </c>
      <c r="H69" s="624">
        <v>2604</v>
      </c>
      <c r="I69" s="624">
        <v>2827</v>
      </c>
      <c r="J69" s="624">
        <v>2860</v>
      </c>
      <c r="K69" s="624">
        <v>2909</v>
      </c>
      <c r="L69" s="624">
        <v>2944</v>
      </c>
      <c r="M69" s="612">
        <v>2999</v>
      </c>
      <c r="N69" s="613">
        <v>3057</v>
      </c>
      <c r="O69" s="612">
        <v>3081</v>
      </c>
      <c r="P69" s="612">
        <v>2976.3852299999999</v>
      </c>
      <c r="Q69" s="612">
        <v>2910.5473699999998</v>
      </c>
    </row>
    <row r="70" spans="1:17" ht="15.95" customHeight="1" x14ac:dyDescent="0.25">
      <c r="A70" s="610" t="s">
        <v>288</v>
      </c>
      <c r="B70" s="215">
        <v>9568</v>
      </c>
      <c r="C70" s="215">
        <v>10796</v>
      </c>
      <c r="D70" s="624">
        <v>10954</v>
      </c>
      <c r="E70" s="624">
        <v>11113</v>
      </c>
      <c r="F70" s="624">
        <v>11535</v>
      </c>
      <c r="G70" s="624">
        <v>11881</v>
      </c>
      <c r="H70" s="624">
        <v>12087</v>
      </c>
      <c r="I70" s="624">
        <v>13179</v>
      </c>
      <c r="J70" s="624">
        <v>13678</v>
      </c>
      <c r="K70" s="624">
        <v>14552</v>
      </c>
      <c r="L70" s="624">
        <v>14884</v>
      </c>
      <c r="M70" s="612">
        <v>15361</v>
      </c>
      <c r="N70" s="613">
        <v>15970</v>
      </c>
      <c r="O70" s="612">
        <v>16383</v>
      </c>
      <c r="P70" s="612">
        <v>17299.667140000001</v>
      </c>
      <c r="Q70" s="612">
        <v>16631.120710000003</v>
      </c>
    </row>
    <row r="71" spans="1:17" ht="15.95" customHeight="1" x14ac:dyDescent="0.25">
      <c r="A71" s="610" t="s">
        <v>289</v>
      </c>
      <c r="B71" s="215">
        <v>4746</v>
      </c>
      <c r="C71" s="215">
        <v>4984</v>
      </c>
      <c r="D71" s="624">
        <v>4802</v>
      </c>
      <c r="E71" s="624">
        <v>4680</v>
      </c>
      <c r="F71" s="624">
        <v>4597</v>
      </c>
      <c r="G71" s="624">
        <v>4768</v>
      </c>
      <c r="H71" s="624">
        <v>4722</v>
      </c>
      <c r="I71" s="624">
        <v>4918</v>
      </c>
      <c r="J71" s="624">
        <v>4922</v>
      </c>
      <c r="K71" s="624">
        <v>4814</v>
      </c>
      <c r="L71" s="624">
        <v>4923</v>
      </c>
      <c r="M71" s="612">
        <v>4791</v>
      </c>
      <c r="N71" s="613">
        <v>4890</v>
      </c>
      <c r="O71" s="612">
        <v>4926</v>
      </c>
      <c r="P71" s="612">
        <v>4730.6437000000005</v>
      </c>
      <c r="Q71" s="612">
        <v>4500.0265900000004</v>
      </c>
    </row>
    <row r="72" spans="1:17" ht="15.95" customHeight="1" x14ac:dyDescent="0.25">
      <c r="A72" s="610" t="s">
        <v>290</v>
      </c>
      <c r="B72" s="215">
        <v>11509</v>
      </c>
      <c r="C72" s="215">
        <v>12052</v>
      </c>
      <c r="D72" s="624">
        <v>11944</v>
      </c>
      <c r="E72" s="624">
        <v>12083</v>
      </c>
      <c r="F72" s="624">
        <v>12242</v>
      </c>
      <c r="G72" s="624">
        <v>12266</v>
      </c>
      <c r="H72" s="624">
        <v>12303</v>
      </c>
      <c r="I72" s="624">
        <v>13128</v>
      </c>
      <c r="J72" s="624">
        <v>13355</v>
      </c>
      <c r="K72" s="624">
        <v>13300</v>
      </c>
      <c r="L72" s="624">
        <v>13360</v>
      </c>
      <c r="M72" s="612">
        <v>13470</v>
      </c>
      <c r="N72" s="613">
        <v>13545</v>
      </c>
      <c r="O72" s="612">
        <v>13550</v>
      </c>
      <c r="P72" s="612">
        <v>12555.596369999999</v>
      </c>
      <c r="Q72" s="612">
        <v>11752.679830000003</v>
      </c>
    </row>
    <row r="73" spans="1:17" ht="15.95" customHeight="1" x14ac:dyDescent="0.25">
      <c r="A73" s="610" t="s">
        <v>291</v>
      </c>
      <c r="B73" s="215">
        <v>10033</v>
      </c>
      <c r="C73" s="215">
        <v>10021</v>
      </c>
      <c r="D73" s="624">
        <v>9745</v>
      </c>
      <c r="E73" s="624">
        <v>9634</v>
      </c>
      <c r="F73" s="624">
        <v>9611</v>
      </c>
      <c r="G73" s="624">
        <v>9430</v>
      </c>
      <c r="H73" s="624">
        <v>9366</v>
      </c>
      <c r="I73" s="624">
        <v>10186</v>
      </c>
      <c r="J73" s="624">
        <v>10091</v>
      </c>
      <c r="K73" s="624">
        <v>9721</v>
      </c>
      <c r="L73" s="624">
        <v>9737</v>
      </c>
      <c r="M73" s="612">
        <v>9756</v>
      </c>
      <c r="N73" s="613">
        <v>9675</v>
      </c>
      <c r="O73" s="612">
        <v>9591</v>
      </c>
      <c r="P73" s="612">
        <v>8929.2680099999998</v>
      </c>
      <c r="Q73" s="612">
        <v>8318.2999199999995</v>
      </c>
    </row>
    <row r="74" spans="1:17" ht="15.95" customHeight="1" x14ac:dyDescent="0.25">
      <c r="A74" s="610" t="s">
        <v>292</v>
      </c>
      <c r="B74" s="215">
        <v>21630</v>
      </c>
      <c r="C74" s="215">
        <v>22559</v>
      </c>
      <c r="D74" s="624">
        <v>22264</v>
      </c>
      <c r="E74" s="624">
        <v>22518</v>
      </c>
      <c r="F74" s="624">
        <v>22981</v>
      </c>
      <c r="G74" s="624">
        <v>23113</v>
      </c>
      <c r="H74" s="624">
        <v>23716</v>
      </c>
      <c r="I74" s="624">
        <v>25225</v>
      </c>
      <c r="J74" s="624">
        <v>25282</v>
      </c>
      <c r="K74" s="624">
        <v>25649</v>
      </c>
      <c r="L74" s="624">
        <v>26041</v>
      </c>
      <c r="M74" s="612">
        <v>26159</v>
      </c>
      <c r="N74" s="613">
        <v>26350.591050000003</v>
      </c>
      <c r="O74" s="612">
        <v>26443</v>
      </c>
      <c r="P74" s="612">
        <v>26725.304510000005</v>
      </c>
      <c r="Q74" s="612">
        <v>25114.482780000002</v>
      </c>
    </row>
    <row r="75" spans="1:17" ht="15.95" customHeight="1" x14ac:dyDescent="0.25">
      <c r="A75" s="610" t="s">
        <v>218</v>
      </c>
      <c r="B75" s="215">
        <v>5951</v>
      </c>
      <c r="C75" s="215">
        <v>6248</v>
      </c>
      <c r="D75" s="624">
        <v>6079</v>
      </c>
      <c r="E75" s="624">
        <v>6064</v>
      </c>
      <c r="F75" s="624">
        <v>6097</v>
      </c>
      <c r="G75" s="624">
        <v>6058</v>
      </c>
      <c r="H75" s="624">
        <v>6162</v>
      </c>
      <c r="I75" s="624">
        <v>6584</v>
      </c>
      <c r="J75" s="624">
        <v>6614</v>
      </c>
      <c r="K75" s="624">
        <v>6758</v>
      </c>
      <c r="L75" s="624">
        <v>6890</v>
      </c>
      <c r="M75" s="612">
        <v>6961</v>
      </c>
      <c r="N75" s="613">
        <v>7130</v>
      </c>
      <c r="O75" s="612">
        <v>7291</v>
      </c>
      <c r="P75" s="612">
        <v>7413.1005599999999</v>
      </c>
      <c r="Q75" s="612">
        <v>6975.1649500000003</v>
      </c>
    </row>
    <row r="76" spans="1:17" ht="15.95" customHeight="1" x14ac:dyDescent="0.25">
      <c r="A76" s="610" t="s">
        <v>293</v>
      </c>
      <c r="B76" s="215">
        <v>10336</v>
      </c>
      <c r="C76" s="215">
        <v>10698</v>
      </c>
      <c r="D76" s="624">
        <v>10369</v>
      </c>
      <c r="E76" s="624">
        <v>10283</v>
      </c>
      <c r="F76" s="624">
        <v>10206</v>
      </c>
      <c r="G76" s="624">
        <v>10040</v>
      </c>
      <c r="H76" s="624">
        <v>10092</v>
      </c>
      <c r="I76" s="624">
        <v>10628</v>
      </c>
      <c r="J76" s="624">
        <v>10652</v>
      </c>
      <c r="K76" s="624">
        <v>10570</v>
      </c>
      <c r="L76" s="624">
        <v>10725</v>
      </c>
      <c r="M76" s="612">
        <v>10623</v>
      </c>
      <c r="N76" s="613">
        <v>10588</v>
      </c>
      <c r="O76" s="612">
        <v>10529</v>
      </c>
      <c r="P76" s="612">
        <v>10559.465330000001</v>
      </c>
      <c r="Q76" s="612">
        <v>9893.8810599999997</v>
      </c>
    </row>
    <row r="77" spans="1:17" ht="15.95" customHeight="1" x14ac:dyDescent="0.25">
      <c r="A77" s="616" t="s">
        <v>347</v>
      </c>
      <c r="B77" s="620">
        <v>2356</v>
      </c>
      <c r="C77" s="620">
        <v>2543</v>
      </c>
      <c r="D77" s="621">
        <v>2550</v>
      </c>
      <c r="E77" s="621">
        <v>2607</v>
      </c>
      <c r="F77" s="621">
        <v>2603</v>
      </c>
      <c r="G77" s="621">
        <v>2621</v>
      </c>
      <c r="H77" s="621">
        <v>2700</v>
      </c>
      <c r="I77" s="621">
        <v>3066</v>
      </c>
      <c r="J77" s="621">
        <v>3171</v>
      </c>
      <c r="K77" s="621">
        <v>3232</v>
      </c>
      <c r="L77" s="621">
        <v>3286</v>
      </c>
      <c r="M77" s="618">
        <v>3406</v>
      </c>
      <c r="N77" s="619">
        <v>3489</v>
      </c>
      <c r="O77" s="618">
        <v>3604</v>
      </c>
      <c r="P77" s="618">
        <v>3753.6488099999997</v>
      </c>
      <c r="Q77" s="618">
        <v>3607.2110400000001</v>
      </c>
    </row>
    <row r="78" spans="1:17" s="24" customFormat="1" ht="12" customHeight="1" x14ac:dyDescent="0.25">
      <c r="A78" s="218" t="s">
        <v>370</v>
      </c>
      <c r="B78" s="175"/>
      <c r="C78" s="175"/>
      <c r="D78" s="28"/>
      <c r="E78" s="28"/>
      <c r="F78" s="28"/>
      <c r="G78" s="28"/>
      <c r="H78" s="29"/>
      <c r="I78" s="173"/>
      <c r="J78" s="173"/>
      <c r="K78" s="173"/>
      <c r="L78" s="173"/>
      <c r="M78" s="173"/>
      <c r="N78" s="173"/>
      <c r="O78" s="173"/>
      <c r="P78" s="173"/>
      <c r="Q78" s="173"/>
    </row>
    <row r="79" spans="1:17" s="24" customFormat="1" ht="12" customHeight="1" x14ac:dyDescent="0.25">
      <c r="A79" s="157" t="s">
        <v>295</v>
      </c>
      <c r="B79" s="175"/>
      <c r="C79" s="175"/>
      <c r="D79" s="28"/>
      <c r="E79" s="28"/>
      <c r="F79" s="28"/>
      <c r="G79" s="28"/>
      <c r="H79" s="29"/>
      <c r="I79" s="173"/>
      <c r="J79" s="173"/>
      <c r="K79" s="173"/>
      <c r="L79" s="173"/>
      <c r="M79" s="173"/>
      <c r="N79" s="173"/>
      <c r="O79" s="173"/>
      <c r="P79" s="173"/>
      <c r="Q79" s="173"/>
    </row>
    <row r="80" spans="1:17" ht="12.75" customHeight="1" x14ac:dyDescent="0.25"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</sheetData>
  <mergeCells count="4">
    <mergeCell ref="A1:Q1"/>
    <mergeCell ref="A2:Q2"/>
    <mergeCell ref="A63:Q63"/>
    <mergeCell ref="A64:Q64"/>
  </mergeCells>
  <printOptions horizontalCentered="1"/>
  <pageMargins left="0.70866141732283472" right="0.51181102362204722" top="0.74803149606299213" bottom="0.55118110236220474" header="0.31496062992125984" footer="0.31496062992125984"/>
  <pageSetup paperSize="9"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62"/>
  <sheetViews>
    <sheetView showGridLines="0" topLeftCell="A2" zoomScaleNormal="100" workbookViewId="0">
      <selection activeCell="A5" sqref="A5:I62"/>
    </sheetView>
  </sheetViews>
  <sheetFormatPr baseColWidth="10" defaultColWidth="11" defaultRowHeight="12.75" customHeight="1" x14ac:dyDescent="0.25"/>
  <cols>
    <col min="1" max="1" width="31.28515625" style="44" customWidth="1"/>
    <col min="2" max="2" width="18.7109375" style="44" customWidth="1"/>
    <col min="3" max="6" width="9.85546875" style="49" customWidth="1"/>
    <col min="7" max="9" width="9.85546875" style="46" customWidth="1"/>
    <col min="10" max="16384" width="11" style="46"/>
  </cols>
  <sheetData>
    <row r="1" spans="1:9" ht="12.75" hidden="1" customHeight="1" x14ac:dyDescent="0.3">
      <c r="C1" s="45"/>
      <c r="D1" s="45"/>
      <c r="E1" s="45"/>
      <c r="F1" s="45"/>
    </row>
    <row r="2" spans="1:9" s="47" customFormat="1" ht="25.7" customHeight="1" x14ac:dyDescent="0.25">
      <c r="A2" s="641" t="s">
        <v>394</v>
      </c>
      <c r="B2" s="708"/>
      <c r="C2" s="708"/>
      <c r="D2" s="708"/>
      <c r="E2" s="708"/>
      <c r="F2" s="708"/>
      <c r="G2" s="708"/>
      <c r="H2" s="708"/>
      <c r="I2" s="708"/>
    </row>
    <row r="3" spans="1:9" s="47" customFormat="1" ht="12.75" customHeight="1" x14ac:dyDescent="0.25">
      <c r="A3" s="643" t="s">
        <v>348</v>
      </c>
      <c r="B3" s="643"/>
      <c r="C3" s="643"/>
      <c r="D3" s="643"/>
      <c r="E3" s="643"/>
      <c r="F3" s="643"/>
      <c r="G3" s="643"/>
      <c r="H3" s="643"/>
      <c r="I3" s="643"/>
    </row>
    <row r="4" spans="1:9" ht="12.75" customHeight="1" x14ac:dyDescent="0.25">
      <c r="A4" s="10"/>
      <c r="B4" s="10"/>
      <c r="C4" s="203"/>
      <c r="D4" s="203"/>
      <c r="E4" s="203"/>
      <c r="F4" s="203"/>
      <c r="G4" s="7"/>
      <c r="H4" s="7"/>
      <c r="I4" s="7"/>
    </row>
    <row r="5" spans="1:9" ht="20.100000000000001" customHeight="1" x14ac:dyDescent="0.25">
      <c r="A5" s="309" t="s">
        <v>91</v>
      </c>
      <c r="B5" s="310" t="s">
        <v>92</v>
      </c>
      <c r="C5" s="311">
        <v>2015</v>
      </c>
      <c r="D5" s="311">
        <v>2016</v>
      </c>
      <c r="E5" s="311">
        <v>2017</v>
      </c>
      <c r="F5" s="312">
        <v>2018</v>
      </c>
      <c r="G5" s="311">
        <v>2019</v>
      </c>
      <c r="H5" s="311">
        <v>2020</v>
      </c>
      <c r="I5" s="311" t="s">
        <v>378</v>
      </c>
    </row>
    <row r="6" spans="1:9" s="48" customFormat="1" ht="15.95" customHeight="1" x14ac:dyDescent="0.25">
      <c r="A6" s="626" t="s">
        <v>3</v>
      </c>
      <c r="B6" s="625"/>
      <c r="C6" s="627">
        <v>2131902</v>
      </c>
      <c r="D6" s="627">
        <v>2305330</v>
      </c>
      <c r="E6" s="627">
        <v>2444870</v>
      </c>
      <c r="F6" s="627">
        <v>2617123</v>
      </c>
      <c r="G6" s="627">
        <v>2764901.8275435017</v>
      </c>
      <c r="H6" s="627">
        <v>2779090.0772295799</v>
      </c>
      <c r="I6" s="627">
        <v>2851220.546901729</v>
      </c>
    </row>
    <row r="7" spans="1:9" s="47" customFormat="1" ht="32.1" customHeight="1" x14ac:dyDescent="0.25">
      <c r="A7" s="644" t="s">
        <v>93</v>
      </c>
      <c r="B7" s="645"/>
      <c r="C7" s="428"/>
      <c r="D7" s="428"/>
      <c r="E7" s="428"/>
      <c r="F7" s="383"/>
      <c r="G7" s="383"/>
      <c r="H7" s="383"/>
      <c r="I7" s="383"/>
    </row>
    <row r="8" spans="1:9" s="47" customFormat="1" ht="15.95" customHeight="1" x14ac:dyDescent="0.3">
      <c r="A8" s="322" t="s">
        <v>94</v>
      </c>
      <c r="B8" s="580" t="s">
        <v>95</v>
      </c>
      <c r="C8" s="428">
        <v>1405591</v>
      </c>
      <c r="D8" s="428">
        <v>1524595</v>
      </c>
      <c r="E8" s="428">
        <v>1645521</v>
      </c>
      <c r="F8" s="383">
        <v>1748062</v>
      </c>
      <c r="G8" s="383">
        <v>1832288.8143600002</v>
      </c>
      <c r="H8" s="383">
        <v>1884525.4844899999</v>
      </c>
      <c r="I8" s="383">
        <v>1879261.35941</v>
      </c>
    </row>
    <row r="9" spans="1:9" s="47" customFormat="1" ht="32.1" customHeight="1" x14ac:dyDescent="0.25">
      <c r="A9" s="644" t="s">
        <v>368</v>
      </c>
      <c r="B9" s="645"/>
      <c r="C9" s="428">
        <v>0</v>
      </c>
      <c r="D9" s="428">
        <v>0</v>
      </c>
      <c r="E9" s="428">
        <v>0</v>
      </c>
      <c r="F9" s="383">
        <v>0</v>
      </c>
      <c r="G9" s="383">
        <v>0</v>
      </c>
      <c r="H9" s="383"/>
      <c r="I9" s="383"/>
    </row>
    <row r="10" spans="1:9" ht="15.95" customHeight="1" x14ac:dyDescent="0.3">
      <c r="A10" s="324" t="s">
        <v>97</v>
      </c>
      <c r="B10" s="583" t="s">
        <v>98</v>
      </c>
      <c r="C10" s="428">
        <v>12999</v>
      </c>
      <c r="D10" s="428">
        <v>14907</v>
      </c>
      <c r="E10" s="428">
        <v>16209</v>
      </c>
      <c r="F10" s="383">
        <v>16960</v>
      </c>
      <c r="G10" s="383">
        <v>18859.344449999997</v>
      </c>
      <c r="H10" s="383">
        <v>19891.914570000001</v>
      </c>
      <c r="I10" s="383">
        <v>22622.652040000004</v>
      </c>
    </row>
    <row r="11" spans="1:9" ht="15.95" customHeight="1" x14ac:dyDescent="0.3">
      <c r="A11" s="324" t="s">
        <v>170</v>
      </c>
      <c r="B11" s="584" t="s">
        <v>35</v>
      </c>
      <c r="C11" s="428">
        <v>15411</v>
      </c>
      <c r="D11" s="428">
        <v>15646</v>
      </c>
      <c r="E11" s="428">
        <v>16636</v>
      </c>
      <c r="F11" s="383">
        <v>19500</v>
      </c>
      <c r="G11" s="383">
        <v>21457.62141</v>
      </c>
      <c r="H11" s="383">
        <v>21986.57691</v>
      </c>
      <c r="I11" s="383">
        <v>20555.551551358025</v>
      </c>
    </row>
    <row r="12" spans="1:9" ht="15.95" customHeight="1" x14ac:dyDescent="0.3">
      <c r="A12" s="324" t="s">
        <v>99</v>
      </c>
      <c r="B12" s="584" t="s">
        <v>100</v>
      </c>
      <c r="C12" s="428">
        <v>9097</v>
      </c>
      <c r="D12" s="428">
        <v>10126</v>
      </c>
      <c r="E12" s="428">
        <v>10555</v>
      </c>
      <c r="F12" s="383">
        <v>10951</v>
      </c>
      <c r="G12" s="383">
        <v>11416.298059999999</v>
      </c>
      <c r="H12" s="383">
        <v>9204.1973099999996</v>
      </c>
      <c r="I12" s="383">
        <v>9317.4896499999977</v>
      </c>
    </row>
    <row r="13" spans="1:9" ht="15.95" customHeight="1" x14ac:dyDescent="0.3">
      <c r="A13" s="324" t="s">
        <v>101</v>
      </c>
      <c r="B13" s="583" t="s">
        <v>57</v>
      </c>
      <c r="C13" s="428">
        <v>11616</v>
      </c>
      <c r="D13" s="428">
        <v>11290</v>
      </c>
      <c r="E13" s="428">
        <v>10296</v>
      </c>
      <c r="F13" s="383">
        <v>10844</v>
      </c>
      <c r="G13" s="383">
        <v>10722.353640000001</v>
      </c>
      <c r="H13" s="383">
        <v>10445.212860000001</v>
      </c>
      <c r="I13" s="383">
        <v>11498.59533</v>
      </c>
    </row>
    <row r="14" spans="1:9" ht="15.95" customHeight="1" x14ac:dyDescent="0.3">
      <c r="A14" s="324" t="s">
        <v>102</v>
      </c>
      <c r="B14" s="584" t="s">
        <v>103</v>
      </c>
      <c r="C14" s="428">
        <v>85917</v>
      </c>
      <c r="D14" s="428">
        <v>88131</v>
      </c>
      <c r="E14" s="428">
        <v>88634</v>
      </c>
      <c r="F14" s="383">
        <v>96734</v>
      </c>
      <c r="G14" s="383">
        <v>101640.95021000001</v>
      </c>
      <c r="H14" s="383">
        <v>94484.324539999987</v>
      </c>
      <c r="I14" s="383">
        <v>99833.658179999984</v>
      </c>
    </row>
    <row r="15" spans="1:9" ht="15.95" customHeight="1" x14ac:dyDescent="0.3">
      <c r="A15" s="324" t="s">
        <v>104</v>
      </c>
      <c r="B15" s="583" t="s">
        <v>81</v>
      </c>
      <c r="C15" s="428">
        <v>44766</v>
      </c>
      <c r="D15" s="428">
        <v>53342</v>
      </c>
      <c r="E15" s="428">
        <v>55665</v>
      </c>
      <c r="F15" s="383">
        <v>59090</v>
      </c>
      <c r="G15" s="383">
        <v>61385.193650000008</v>
      </c>
      <c r="H15" s="383">
        <v>49657.430334999997</v>
      </c>
      <c r="I15" s="383">
        <v>53076.802759999999</v>
      </c>
    </row>
    <row r="16" spans="1:9" ht="15.95" customHeight="1" x14ac:dyDescent="0.3">
      <c r="A16" s="324" t="s">
        <v>105</v>
      </c>
      <c r="B16" s="583" t="s">
        <v>106</v>
      </c>
      <c r="C16" s="428">
        <v>26019</v>
      </c>
      <c r="D16" s="428">
        <v>27235</v>
      </c>
      <c r="E16" s="428">
        <v>29223</v>
      </c>
      <c r="F16" s="383">
        <v>29497</v>
      </c>
      <c r="G16" s="383">
        <v>31845.165259999998</v>
      </c>
      <c r="H16" s="383">
        <v>35516.475769999997</v>
      </c>
      <c r="I16" s="383">
        <v>37439.175860000003</v>
      </c>
    </row>
    <row r="17" spans="1:9" ht="15.95" customHeight="1" x14ac:dyDescent="0.3">
      <c r="A17" s="324" t="s">
        <v>107</v>
      </c>
      <c r="B17" s="583" t="s">
        <v>108</v>
      </c>
      <c r="C17" s="428">
        <v>21499</v>
      </c>
      <c r="D17" s="428">
        <v>24523</v>
      </c>
      <c r="E17" s="428">
        <v>27385</v>
      </c>
      <c r="F17" s="383">
        <v>32342</v>
      </c>
      <c r="G17" s="383">
        <v>37196.660910000006</v>
      </c>
      <c r="H17" s="383">
        <v>34898.883929999996</v>
      </c>
      <c r="I17" s="383">
        <v>35883.04310000001</v>
      </c>
    </row>
    <row r="18" spans="1:9" ht="15.95" customHeight="1" x14ac:dyDescent="0.3">
      <c r="A18" s="324" t="s">
        <v>109</v>
      </c>
      <c r="B18" s="583" t="s">
        <v>110</v>
      </c>
      <c r="C18" s="428">
        <v>13240</v>
      </c>
      <c r="D18" s="428">
        <v>16614</v>
      </c>
      <c r="E18" s="428">
        <v>16659</v>
      </c>
      <c r="F18" s="383">
        <v>18179</v>
      </c>
      <c r="G18" s="383">
        <v>19952.56554</v>
      </c>
      <c r="H18" s="383">
        <v>20414.950890000004</v>
      </c>
      <c r="I18" s="383">
        <v>22833.439490000001</v>
      </c>
    </row>
    <row r="19" spans="1:9" ht="15.95" customHeight="1" x14ac:dyDescent="0.3">
      <c r="A19" s="324" t="s">
        <v>111</v>
      </c>
      <c r="B19" s="583" t="s">
        <v>112</v>
      </c>
      <c r="C19" s="428">
        <v>57648</v>
      </c>
      <c r="D19" s="428">
        <v>60179</v>
      </c>
      <c r="E19" s="428">
        <v>56231</v>
      </c>
      <c r="F19" s="383">
        <v>57807</v>
      </c>
      <c r="G19" s="383">
        <v>60761.907979999974</v>
      </c>
      <c r="H19" s="383">
        <v>62101.50475</v>
      </c>
      <c r="I19" s="383">
        <v>66385.406896666667</v>
      </c>
    </row>
    <row r="20" spans="1:9" ht="15.95" customHeight="1" x14ac:dyDescent="0.3">
      <c r="A20" s="324" t="s">
        <v>113</v>
      </c>
      <c r="B20" s="583" t="s">
        <v>114</v>
      </c>
      <c r="C20" s="428">
        <v>23496</v>
      </c>
      <c r="D20" s="428">
        <v>24994</v>
      </c>
      <c r="E20" s="428">
        <v>25151</v>
      </c>
      <c r="F20" s="383">
        <v>28493</v>
      </c>
      <c r="G20" s="383">
        <v>32161.660829999997</v>
      </c>
      <c r="H20" s="383">
        <v>31614.763650000001</v>
      </c>
      <c r="I20" s="383">
        <v>34024.636696666668</v>
      </c>
    </row>
    <row r="21" spans="1:9" ht="15.95" customHeight="1" x14ac:dyDescent="0.3">
      <c r="A21" s="324" t="s">
        <v>115</v>
      </c>
      <c r="B21" s="583" t="s">
        <v>116</v>
      </c>
      <c r="C21" s="428">
        <v>15108</v>
      </c>
      <c r="D21" s="428">
        <v>16336</v>
      </c>
      <c r="E21" s="428">
        <v>17073</v>
      </c>
      <c r="F21" s="383">
        <v>18231</v>
      </c>
      <c r="G21" s="383">
        <v>19860.070369999998</v>
      </c>
      <c r="H21" s="383">
        <v>18578.873629999998</v>
      </c>
      <c r="I21" s="383">
        <v>20153.709250000004</v>
      </c>
    </row>
    <row r="22" spans="1:9" ht="15.95" customHeight="1" x14ac:dyDescent="0.3">
      <c r="A22" s="324" t="s">
        <v>117</v>
      </c>
      <c r="B22" s="329" t="s">
        <v>100</v>
      </c>
      <c r="C22" s="428">
        <v>7995</v>
      </c>
      <c r="D22" s="428">
        <v>8439</v>
      </c>
      <c r="E22" s="428">
        <v>8770</v>
      </c>
      <c r="F22" s="383">
        <v>9385</v>
      </c>
      <c r="G22" s="383">
        <v>9104.3282199999994</v>
      </c>
      <c r="H22" s="383">
        <v>9117.0006599999997</v>
      </c>
      <c r="I22" s="383">
        <v>9515.9072388888872</v>
      </c>
    </row>
    <row r="23" spans="1:9" ht="15.95" customHeight="1" x14ac:dyDescent="0.3">
      <c r="A23" s="324" t="s">
        <v>118</v>
      </c>
      <c r="B23" s="583" t="s">
        <v>63</v>
      </c>
      <c r="C23" s="428">
        <v>16491</v>
      </c>
      <c r="D23" s="428">
        <v>17956</v>
      </c>
      <c r="E23" s="428">
        <v>19484</v>
      </c>
      <c r="F23" s="383">
        <v>20280</v>
      </c>
      <c r="G23" s="383">
        <v>22519.965510000002</v>
      </c>
      <c r="H23" s="383">
        <v>22192.105090000001</v>
      </c>
      <c r="I23" s="383">
        <v>23117.996700000003</v>
      </c>
    </row>
    <row r="24" spans="1:9" ht="15.95" customHeight="1" x14ac:dyDescent="0.3">
      <c r="A24" s="324" t="s">
        <v>119</v>
      </c>
      <c r="B24" s="583" t="s">
        <v>120</v>
      </c>
      <c r="C24" s="428">
        <v>99995</v>
      </c>
      <c r="D24" s="428">
        <v>115045</v>
      </c>
      <c r="E24" s="428">
        <v>109608</v>
      </c>
      <c r="F24" s="383">
        <v>121641</v>
      </c>
      <c r="G24" s="383">
        <v>132074.87161999999</v>
      </c>
      <c r="H24" s="383">
        <v>129562.02092</v>
      </c>
      <c r="I24" s="383">
        <v>145756.83783</v>
      </c>
    </row>
    <row r="25" spans="1:9" ht="15.95" customHeight="1" x14ac:dyDescent="0.3">
      <c r="A25" s="324" t="s">
        <v>121</v>
      </c>
      <c r="B25" s="329" t="s">
        <v>122</v>
      </c>
      <c r="C25" s="428">
        <v>23049</v>
      </c>
      <c r="D25" s="428">
        <v>24666</v>
      </c>
      <c r="E25" s="428">
        <v>27474</v>
      </c>
      <c r="F25" s="383">
        <v>28071</v>
      </c>
      <c r="G25" s="383">
        <v>29394.897359999995</v>
      </c>
      <c r="H25" s="383">
        <v>29304.055710000001</v>
      </c>
      <c r="I25" s="383">
        <v>30147.992438888887</v>
      </c>
    </row>
    <row r="26" spans="1:9" ht="15.95" customHeight="1" x14ac:dyDescent="0.3">
      <c r="A26" s="324" t="s">
        <v>123</v>
      </c>
      <c r="B26" s="583" t="s">
        <v>124</v>
      </c>
      <c r="C26" s="428">
        <v>110068</v>
      </c>
      <c r="D26" s="428">
        <v>110997</v>
      </c>
      <c r="E26" s="428">
        <v>116276</v>
      </c>
      <c r="F26" s="383">
        <v>127503</v>
      </c>
      <c r="G26" s="383">
        <v>134087.90948</v>
      </c>
      <c r="H26" s="383">
        <v>119732.81555999999</v>
      </c>
      <c r="I26" s="383">
        <v>135163.31716999999</v>
      </c>
    </row>
    <row r="27" spans="1:9" ht="15.95" customHeight="1" x14ac:dyDescent="0.3">
      <c r="A27" s="324" t="s">
        <v>125</v>
      </c>
      <c r="B27" s="583" t="s">
        <v>35</v>
      </c>
      <c r="C27" s="428">
        <v>12361</v>
      </c>
      <c r="D27" s="428">
        <v>12409</v>
      </c>
      <c r="E27" s="428">
        <v>13112</v>
      </c>
      <c r="F27" s="383">
        <v>13716</v>
      </c>
      <c r="G27" s="383">
        <v>15626.171815</v>
      </c>
      <c r="H27" s="383">
        <v>16943.479170000002</v>
      </c>
      <c r="I27" s="383">
        <v>20821.55894333333</v>
      </c>
    </row>
    <row r="28" spans="1:9" s="47" customFormat="1" ht="32.1" customHeight="1" x14ac:dyDescent="0.25">
      <c r="A28" s="644" t="s">
        <v>126</v>
      </c>
      <c r="B28" s="645"/>
      <c r="C28" s="428"/>
      <c r="D28" s="428"/>
      <c r="E28" s="428">
        <v>0</v>
      </c>
      <c r="F28" s="383">
        <v>0</v>
      </c>
      <c r="G28" s="383">
        <v>0</v>
      </c>
      <c r="H28" s="383"/>
      <c r="I28" s="383"/>
    </row>
    <row r="29" spans="1:9" ht="15.95" customHeight="1" x14ac:dyDescent="0.3">
      <c r="A29" s="324" t="s">
        <v>127</v>
      </c>
      <c r="B29" s="584" t="s">
        <v>128</v>
      </c>
      <c r="C29" s="428">
        <v>7054</v>
      </c>
      <c r="D29" s="428">
        <v>7765</v>
      </c>
      <c r="E29" s="428">
        <v>9257</v>
      </c>
      <c r="F29" s="383">
        <v>10750</v>
      </c>
      <c r="G29" s="383">
        <v>12876.705569999998</v>
      </c>
      <c r="H29" s="383">
        <v>10313.020273333335</v>
      </c>
      <c r="I29" s="383">
        <v>11072.67986</v>
      </c>
    </row>
    <row r="30" spans="1:9" ht="15.95" customHeight="1" x14ac:dyDescent="0.3">
      <c r="A30" s="324" t="s">
        <v>129</v>
      </c>
      <c r="B30" s="584" t="s">
        <v>128</v>
      </c>
      <c r="C30" s="428">
        <v>11106</v>
      </c>
      <c r="D30" s="428">
        <v>11540</v>
      </c>
      <c r="E30" s="428">
        <v>11726</v>
      </c>
      <c r="F30" s="383">
        <v>12651</v>
      </c>
      <c r="G30" s="383">
        <v>13465.680918501999</v>
      </c>
      <c r="H30" s="383">
        <v>13802.49685</v>
      </c>
      <c r="I30" s="383">
        <v>13861.442759999998</v>
      </c>
    </row>
    <row r="31" spans="1:9" ht="15.95" customHeight="1" x14ac:dyDescent="0.3">
      <c r="A31" s="324" t="s">
        <v>130</v>
      </c>
      <c r="B31" s="326" t="s">
        <v>128</v>
      </c>
      <c r="C31" s="428">
        <v>5679</v>
      </c>
      <c r="D31" s="428">
        <v>5692</v>
      </c>
      <c r="E31" s="428">
        <v>6266</v>
      </c>
      <c r="F31" s="383">
        <v>6357</v>
      </c>
      <c r="G31" s="383">
        <v>6672.1942499999996</v>
      </c>
      <c r="H31" s="383">
        <v>5810.0106599999999</v>
      </c>
      <c r="I31" s="383">
        <v>6841.6514900000002</v>
      </c>
    </row>
    <row r="32" spans="1:9" s="47" customFormat="1" ht="15.95" customHeight="1" x14ac:dyDescent="0.3">
      <c r="A32" s="324" t="s">
        <v>131</v>
      </c>
      <c r="B32" s="327" t="s">
        <v>98</v>
      </c>
      <c r="C32" s="428">
        <v>4336</v>
      </c>
      <c r="D32" s="428">
        <v>4902</v>
      </c>
      <c r="E32" s="428">
        <v>5216</v>
      </c>
      <c r="F32" s="383">
        <v>5632</v>
      </c>
      <c r="G32" s="383">
        <v>5777.9659499999998</v>
      </c>
      <c r="H32" s="383">
        <v>5978.1378199999999</v>
      </c>
      <c r="I32" s="383">
        <v>5817.8896599999998</v>
      </c>
    </row>
    <row r="33" spans="1:9" ht="15.95" customHeight="1" x14ac:dyDescent="0.3">
      <c r="A33" s="324" t="s">
        <v>132</v>
      </c>
      <c r="B33" s="584" t="s">
        <v>35</v>
      </c>
      <c r="C33" s="428">
        <v>4910</v>
      </c>
      <c r="D33" s="428">
        <v>4984</v>
      </c>
      <c r="E33" s="428">
        <v>4554</v>
      </c>
      <c r="F33" s="383">
        <v>5176</v>
      </c>
      <c r="G33" s="383">
        <v>5859.8241000000007</v>
      </c>
      <c r="H33" s="383">
        <v>5900.448449999999</v>
      </c>
      <c r="I33" s="383">
        <v>6298.8707400000003</v>
      </c>
    </row>
    <row r="34" spans="1:9" ht="15.95" customHeight="1" x14ac:dyDescent="0.3">
      <c r="A34" s="324" t="s">
        <v>134</v>
      </c>
      <c r="B34" s="585" t="s">
        <v>171</v>
      </c>
      <c r="C34" s="428">
        <v>14794</v>
      </c>
      <c r="D34" s="428">
        <v>15458</v>
      </c>
      <c r="E34" s="428">
        <v>16083</v>
      </c>
      <c r="F34" s="383">
        <v>16151</v>
      </c>
      <c r="G34" s="383">
        <v>18247.031070000001</v>
      </c>
      <c r="H34" s="383">
        <v>17802.099380000003</v>
      </c>
      <c r="I34" s="383">
        <v>17350.763999999999</v>
      </c>
    </row>
    <row r="35" spans="1:9" ht="15.95" customHeight="1" x14ac:dyDescent="0.3">
      <c r="A35" s="324" t="s">
        <v>136</v>
      </c>
      <c r="B35" s="585" t="s">
        <v>137</v>
      </c>
      <c r="C35" s="428">
        <v>9843</v>
      </c>
      <c r="D35" s="428">
        <v>10741</v>
      </c>
      <c r="E35" s="428">
        <v>11570</v>
      </c>
      <c r="F35" s="383">
        <v>13254</v>
      </c>
      <c r="G35" s="383">
        <v>14262.577520000001</v>
      </c>
      <c r="H35" s="383">
        <v>14369.259800000002</v>
      </c>
      <c r="I35" s="383">
        <v>17911.598603333336</v>
      </c>
    </row>
    <row r="36" spans="1:9" ht="15.95" customHeight="1" x14ac:dyDescent="0.3">
      <c r="A36" s="324" t="s">
        <v>138</v>
      </c>
      <c r="B36" s="326" t="s">
        <v>81</v>
      </c>
      <c r="C36" s="428">
        <v>1873</v>
      </c>
      <c r="D36" s="428">
        <v>2197</v>
      </c>
      <c r="E36" s="428">
        <v>2024</v>
      </c>
      <c r="F36" s="383">
        <v>2192</v>
      </c>
      <c r="G36" s="383">
        <v>2205.4478499999996</v>
      </c>
      <c r="H36" s="383">
        <v>2115.9029599999994</v>
      </c>
      <c r="I36" s="383">
        <v>2334.8609200000001</v>
      </c>
    </row>
    <row r="37" spans="1:9" ht="15.95" customHeight="1" x14ac:dyDescent="0.3">
      <c r="A37" s="324" t="s">
        <v>139</v>
      </c>
      <c r="B37" s="327" t="s">
        <v>140</v>
      </c>
      <c r="C37" s="428">
        <v>3855</v>
      </c>
      <c r="D37" s="428">
        <v>3855</v>
      </c>
      <c r="E37" s="428">
        <v>3855</v>
      </c>
      <c r="F37" s="383">
        <v>5597</v>
      </c>
      <c r="G37" s="383">
        <v>6614.2770000000019</v>
      </c>
      <c r="H37" s="383">
        <v>5728.8579149999987</v>
      </c>
      <c r="I37" s="383">
        <v>5726.78359</v>
      </c>
    </row>
    <row r="38" spans="1:9" ht="15.95" customHeight="1" x14ac:dyDescent="0.3">
      <c r="A38" s="324" t="s">
        <v>141</v>
      </c>
      <c r="B38" s="327" t="s">
        <v>114</v>
      </c>
      <c r="C38" s="428">
        <v>6622</v>
      </c>
      <c r="D38" s="428">
        <v>7191</v>
      </c>
      <c r="E38" s="428">
        <v>7228</v>
      </c>
      <c r="F38" s="383">
        <v>8222</v>
      </c>
      <c r="G38" s="383">
        <v>9045.1694999999982</v>
      </c>
      <c r="H38" s="383">
        <v>8579.6066900000005</v>
      </c>
      <c r="I38" s="383">
        <v>9333.01073</v>
      </c>
    </row>
    <row r="39" spans="1:9" ht="15.95" customHeight="1" x14ac:dyDescent="0.3">
      <c r="A39" s="324" t="s">
        <v>142</v>
      </c>
      <c r="B39" s="327" t="s">
        <v>27</v>
      </c>
      <c r="C39" s="428">
        <v>8935</v>
      </c>
      <c r="D39" s="428">
        <v>9070</v>
      </c>
      <c r="E39" s="428">
        <v>8493</v>
      </c>
      <c r="F39" s="383">
        <v>9447</v>
      </c>
      <c r="G39" s="383">
        <v>8620.7774100000024</v>
      </c>
      <c r="H39" s="383">
        <v>10317.786840000001</v>
      </c>
      <c r="I39" s="383">
        <v>12171.71046925926</v>
      </c>
    </row>
    <row r="40" spans="1:9" ht="15.95" customHeight="1" x14ac:dyDescent="0.3">
      <c r="A40" s="324" t="s">
        <v>143</v>
      </c>
      <c r="B40" s="327" t="s">
        <v>122</v>
      </c>
      <c r="C40" s="428">
        <v>2897</v>
      </c>
      <c r="D40" s="428">
        <v>3011</v>
      </c>
      <c r="E40" s="428">
        <v>3282</v>
      </c>
      <c r="F40" s="383">
        <v>3872</v>
      </c>
      <c r="G40" s="383">
        <v>3918.0546399999998</v>
      </c>
      <c r="H40" s="383">
        <v>3707.5881499999996</v>
      </c>
      <c r="I40" s="383">
        <v>3969.4154366666671</v>
      </c>
    </row>
    <row r="41" spans="1:9" ht="15.95" customHeight="1" x14ac:dyDescent="0.3">
      <c r="A41" s="324" t="s">
        <v>144</v>
      </c>
      <c r="B41" s="327" t="s">
        <v>63</v>
      </c>
      <c r="C41" s="428">
        <v>3207</v>
      </c>
      <c r="D41" s="428">
        <v>3931</v>
      </c>
      <c r="E41" s="428">
        <v>4659</v>
      </c>
      <c r="F41" s="383">
        <v>5930</v>
      </c>
      <c r="G41" s="383">
        <v>6428.2079999999996</v>
      </c>
      <c r="H41" s="383">
        <v>6721.4539899999991</v>
      </c>
      <c r="I41" s="383">
        <v>8712.3050000000003</v>
      </c>
    </row>
    <row r="42" spans="1:9" ht="15.95" customHeight="1" x14ac:dyDescent="0.3">
      <c r="A42" s="324" t="s">
        <v>145</v>
      </c>
      <c r="B42" s="327" t="s">
        <v>27</v>
      </c>
      <c r="C42" s="428">
        <v>5756</v>
      </c>
      <c r="D42" s="428">
        <v>6373</v>
      </c>
      <c r="E42" s="428">
        <v>6806</v>
      </c>
      <c r="F42" s="383">
        <v>8088</v>
      </c>
      <c r="G42" s="383">
        <v>8333.0751</v>
      </c>
      <c r="H42" s="383">
        <v>8319.9296499999982</v>
      </c>
      <c r="I42" s="383">
        <v>9582.2434599999997</v>
      </c>
    </row>
    <row r="43" spans="1:9" ht="15.95" customHeight="1" x14ac:dyDescent="0.3">
      <c r="A43" s="324" t="s">
        <v>146</v>
      </c>
      <c r="B43" s="327" t="s">
        <v>147</v>
      </c>
      <c r="C43" s="428">
        <v>4320</v>
      </c>
      <c r="D43" s="428">
        <v>4971</v>
      </c>
      <c r="E43" s="428">
        <v>5426</v>
      </c>
      <c r="F43" s="383">
        <v>5798</v>
      </c>
      <c r="G43" s="383">
        <v>6599.0755100000006</v>
      </c>
      <c r="H43" s="383">
        <v>6294.4300200000007</v>
      </c>
      <c r="I43" s="383">
        <v>7054.9117900000001</v>
      </c>
    </row>
    <row r="44" spans="1:9" ht="15.95" customHeight="1" x14ac:dyDescent="0.3">
      <c r="A44" s="324" t="s">
        <v>148</v>
      </c>
      <c r="B44" s="326" t="s">
        <v>128</v>
      </c>
      <c r="C44" s="428">
        <v>4646</v>
      </c>
      <c r="D44" s="428">
        <v>4852</v>
      </c>
      <c r="E44" s="428">
        <v>5192</v>
      </c>
      <c r="F44" s="383">
        <v>5851</v>
      </c>
      <c r="G44" s="383">
        <v>6182.3398000000007</v>
      </c>
      <c r="H44" s="383">
        <v>6946.5316133333336</v>
      </c>
      <c r="I44" s="383">
        <v>6689.7373399999997</v>
      </c>
    </row>
    <row r="45" spans="1:9" s="47" customFormat="1" ht="32.1" customHeight="1" x14ac:dyDescent="0.25">
      <c r="A45" s="644" t="s">
        <v>149</v>
      </c>
      <c r="B45" s="645"/>
      <c r="C45" s="428"/>
      <c r="D45" s="428"/>
      <c r="E45" s="428">
        <v>0</v>
      </c>
      <c r="F45" s="383">
        <v>0</v>
      </c>
      <c r="G45" s="383">
        <v>0</v>
      </c>
      <c r="H45" s="383"/>
      <c r="I45" s="383"/>
    </row>
    <row r="46" spans="1:9" ht="15.95" customHeight="1" x14ac:dyDescent="0.3">
      <c r="A46" s="324" t="s">
        <v>150</v>
      </c>
      <c r="B46" s="326" t="s">
        <v>151</v>
      </c>
      <c r="C46" s="428">
        <v>2151</v>
      </c>
      <c r="D46" s="428">
        <v>2285</v>
      </c>
      <c r="E46" s="428">
        <v>2391</v>
      </c>
      <c r="F46" s="383">
        <v>2532</v>
      </c>
      <c r="G46" s="383">
        <v>2811.46477</v>
      </c>
      <c r="H46" s="383">
        <v>2615.1073500000002</v>
      </c>
      <c r="I46" s="383">
        <v>2745.7907200000004</v>
      </c>
    </row>
    <row r="47" spans="1:9" ht="15.95" customHeight="1" x14ac:dyDescent="0.3">
      <c r="A47" s="324" t="s">
        <v>152</v>
      </c>
      <c r="B47" s="327" t="s">
        <v>76</v>
      </c>
      <c r="C47" s="428">
        <v>1134</v>
      </c>
      <c r="D47" s="428">
        <v>1271</v>
      </c>
      <c r="E47" s="428">
        <v>1443</v>
      </c>
      <c r="F47" s="383">
        <v>1850</v>
      </c>
      <c r="G47" s="383">
        <v>1559.5812800000001</v>
      </c>
      <c r="H47" s="383">
        <v>1530.7488599999999</v>
      </c>
      <c r="I47" s="383">
        <v>1625.71804</v>
      </c>
    </row>
    <row r="48" spans="1:9" ht="15.95" customHeight="1" x14ac:dyDescent="0.3">
      <c r="A48" s="324" t="s">
        <v>153</v>
      </c>
      <c r="B48" s="326" t="s">
        <v>100</v>
      </c>
      <c r="C48" s="428">
        <v>380</v>
      </c>
      <c r="D48" s="428">
        <v>420</v>
      </c>
      <c r="E48" s="428">
        <v>460</v>
      </c>
      <c r="F48" s="383">
        <v>508</v>
      </c>
      <c r="G48" s="383">
        <v>524.64585000000011</v>
      </c>
      <c r="H48" s="383">
        <v>513.91293000000007</v>
      </c>
      <c r="I48" s="383">
        <v>540.23658999999998</v>
      </c>
    </row>
    <row r="49" spans="1:9" ht="15.95" customHeight="1" x14ac:dyDescent="0.3">
      <c r="A49" s="324" t="s">
        <v>154</v>
      </c>
      <c r="B49" s="326" t="s">
        <v>155</v>
      </c>
      <c r="C49" s="428">
        <v>926</v>
      </c>
      <c r="D49" s="428">
        <v>1024</v>
      </c>
      <c r="E49" s="428">
        <v>1034</v>
      </c>
      <c r="F49" s="383">
        <v>1210</v>
      </c>
      <c r="G49" s="383">
        <v>1436.6291699999999</v>
      </c>
      <c r="H49" s="383">
        <v>1674.5782099999999</v>
      </c>
      <c r="I49" s="383">
        <v>1640.68676</v>
      </c>
    </row>
    <row r="50" spans="1:9" ht="15.95" customHeight="1" x14ac:dyDescent="0.3">
      <c r="A50" s="324" t="s">
        <v>156</v>
      </c>
      <c r="B50" s="327" t="s">
        <v>35</v>
      </c>
      <c r="C50" s="428">
        <v>2645</v>
      </c>
      <c r="D50" s="428">
        <v>2753</v>
      </c>
      <c r="E50" s="428">
        <v>2836</v>
      </c>
      <c r="F50" s="383">
        <v>2956</v>
      </c>
      <c r="G50" s="383">
        <v>3270.2938200000003</v>
      </c>
      <c r="H50" s="383">
        <v>3345.6668799999998</v>
      </c>
      <c r="I50" s="383">
        <v>3769.7549599999998</v>
      </c>
    </row>
    <row r="51" spans="1:9" ht="15.95" customHeight="1" x14ac:dyDescent="0.3">
      <c r="A51" s="324" t="s">
        <v>157</v>
      </c>
      <c r="B51" s="326" t="s">
        <v>81</v>
      </c>
      <c r="C51" s="428">
        <v>1894</v>
      </c>
      <c r="D51" s="428">
        <v>2020</v>
      </c>
      <c r="E51" s="428">
        <v>2031</v>
      </c>
      <c r="F51" s="383">
        <v>2122</v>
      </c>
      <c r="G51" s="383">
        <v>2385.8401799999997</v>
      </c>
      <c r="H51" s="383">
        <v>2360.7018922222219</v>
      </c>
      <c r="I51" s="383">
        <v>2560.40724</v>
      </c>
    </row>
    <row r="52" spans="1:9" ht="15.95" customHeight="1" x14ac:dyDescent="0.3">
      <c r="A52" s="324" t="s">
        <v>158</v>
      </c>
      <c r="B52" s="326" t="s">
        <v>81</v>
      </c>
      <c r="C52" s="428">
        <v>469</v>
      </c>
      <c r="D52" s="428">
        <v>484</v>
      </c>
      <c r="E52" s="428">
        <v>354</v>
      </c>
      <c r="F52" s="383">
        <v>383</v>
      </c>
      <c r="G52" s="383">
        <v>542.11835999999994</v>
      </c>
      <c r="H52" s="383">
        <v>602.50921000000005</v>
      </c>
      <c r="I52" s="383">
        <v>650.99143000000004</v>
      </c>
    </row>
    <row r="53" spans="1:9" ht="15.95" customHeight="1" x14ac:dyDescent="0.3">
      <c r="A53" s="324" t="s">
        <v>159</v>
      </c>
      <c r="B53" s="326" t="s">
        <v>122</v>
      </c>
      <c r="C53" s="428">
        <v>500</v>
      </c>
      <c r="D53" s="428">
        <v>504</v>
      </c>
      <c r="E53" s="428">
        <v>458</v>
      </c>
      <c r="F53" s="383">
        <v>501</v>
      </c>
      <c r="G53" s="383">
        <v>523.82874000000004</v>
      </c>
      <c r="H53" s="383">
        <v>480.82002000000006</v>
      </c>
      <c r="I53" s="383">
        <v>495.29542000000004</v>
      </c>
    </row>
    <row r="54" spans="1:9" ht="15.95" customHeight="1" x14ac:dyDescent="0.3">
      <c r="A54" s="324" t="s">
        <v>160</v>
      </c>
      <c r="B54" s="326" t="s">
        <v>155</v>
      </c>
      <c r="C54" s="428">
        <v>2400</v>
      </c>
      <c r="D54" s="428">
        <v>3045</v>
      </c>
      <c r="E54" s="428">
        <v>3580</v>
      </c>
      <c r="F54" s="383">
        <v>3865</v>
      </c>
      <c r="G54" s="383">
        <v>4157.4520499999999</v>
      </c>
      <c r="H54" s="383">
        <v>3654.0213399999998</v>
      </c>
      <c r="I54" s="383">
        <v>4450.1421399999999</v>
      </c>
    </row>
    <row r="55" spans="1:9" ht="15.95" customHeight="1" x14ac:dyDescent="0.3">
      <c r="A55" s="324" t="s">
        <v>161</v>
      </c>
      <c r="B55" s="326" t="s">
        <v>100</v>
      </c>
      <c r="C55" s="428">
        <v>791</v>
      </c>
      <c r="D55" s="428">
        <v>768</v>
      </c>
      <c r="E55" s="428">
        <v>958</v>
      </c>
      <c r="F55" s="383">
        <v>971</v>
      </c>
      <c r="G55" s="383">
        <v>923.08902999999998</v>
      </c>
      <c r="H55" s="383">
        <v>945.9303506933594</v>
      </c>
      <c r="I55" s="383">
        <v>921.52277666666657</v>
      </c>
    </row>
    <row r="56" spans="1:9" ht="15.95" customHeight="1" x14ac:dyDescent="0.3">
      <c r="A56" s="324" t="s">
        <v>162</v>
      </c>
      <c r="B56" s="326" t="s">
        <v>163</v>
      </c>
      <c r="C56" s="428">
        <v>1235</v>
      </c>
      <c r="D56" s="428">
        <v>1204</v>
      </c>
      <c r="E56" s="428">
        <v>1263</v>
      </c>
      <c r="F56" s="383">
        <v>1482</v>
      </c>
      <c r="G56" s="383">
        <v>1629.4590000000001</v>
      </c>
      <c r="H56" s="383">
        <v>1458.1758799999998</v>
      </c>
      <c r="I56" s="383">
        <v>1762.43343</v>
      </c>
    </row>
    <row r="57" spans="1:9" ht="15.95" customHeight="1" x14ac:dyDescent="0.3">
      <c r="A57" s="324" t="s">
        <v>164</v>
      </c>
      <c r="B57" s="326" t="s">
        <v>100</v>
      </c>
      <c r="C57" s="428">
        <v>662</v>
      </c>
      <c r="D57" s="428">
        <v>662</v>
      </c>
      <c r="E57" s="428">
        <v>673</v>
      </c>
      <c r="F57" s="383">
        <v>729</v>
      </c>
      <c r="G57" s="383">
        <v>718.50389000000007</v>
      </c>
      <c r="H57" s="383">
        <v>689.62757999999997</v>
      </c>
      <c r="I57" s="383">
        <v>722.93243999999993</v>
      </c>
    </row>
    <row r="58" spans="1:9" ht="15.95" customHeight="1" x14ac:dyDescent="0.3">
      <c r="A58" s="324" t="s">
        <v>165</v>
      </c>
      <c r="B58" s="325" t="s">
        <v>122</v>
      </c>
      <c r="C58" s="428">
        <v>1534</v>
      </c>
      <c r="D58" s="428">
        <v>1791</v>
      </c>
      <c r="E58" s="428">
        <v>1618</v>
      </c>
      <c r="F58" s="383">
        <v>1676</v>
      </c>
      <c r="G58" s="383">
        <v>2177.4448399999997</v>
      </c>
      <c r="H58" s="383">
        <v>2037.5840000000001</v>
      </c>
      <c r="I58" s="383">
        <v>2110.2570000000001</v>
      </c>
    </row>
    <row r="59" spans="1:9" ht="15.95" customHeight="1" x14ac:dyDescent="0.3">
      <c r="A59" s="324" t="s">
        <v>166</v>
      </c>
      <c r="B59" s="327" t="s">
        <v>155</v>
      </c>
      <c r="C59" s="428">
        <v>1590</v>
      </c>
      <c r="D59" s="428">
        <v>1732</v>
      </c>
      <c r="E59" s="428">
        <v>1822</v>
      </c>
      <c r="F59" s="383">
        <v>2103</v>
      </c>
      <c r="G59" s="383">
        <v>2632.4332999999997</v>
      </c>
      <c r="H59" s="383">
        <v>2351.4465399999999</v>
      </c>
      <c r="I59" s="383">
        <v>2587.6559999999999</v>
      </c>
    </row>
    <row r="60" spans="1:9" ht="15.95" customHeight="1" x14ac:dyDescent="0.3">
      <c r="A60" s="330" t="s">
        <v>167</v>
      </c>
      <c r="B60" s="338" t="s">
        <v>98</v>
      </c>
      <c r="C60" s="433">
        <v>1392</v>
      </c>
      <c r="D60" s="433">
        <v>1404</v>
      </c>
      <c r="E60" s="433">
        <v>2350</v>
      </c>
      <c r="F60" s="431">
        <v>1981</v>
      </c>
      <c r="G60" s="431">
        <v>2143.8884000000003</v>
      </c>
      <c r="H60" s="431">
        <v>1949.61438</v>
      </c>
      <c r="I60" s="431">
        <v>2497.7155699999998</v>
      </c>
    </row>
    <row r="61" spans="1:9" s="31" customFormat="1" ht="12" customHeight="1" x14ac:dyDescent="0.25">
      <c r="A61" s="31" t="s">
        <v>376</v>
      </c>
      <c r="B61" s="32"/>
      <c r="C61" s="33"/>
      <c r="D61" s="33"/>
      <c r="E61" s="34"/>
      <c r="F61" s="34"/>
    </row>
    <row r="62" spans="1:9" s="7" customFormat="1" ht="12" customHeight="1" x14ac:dyDescent="0.25">
      <c r="A62" s="35" t="s">
        <v>168</v>
      </c>
      <c r="B62" s="35"/>
      <c r="C62" s="34"/>
      <c r="D62" s="34"/>
      <c r="E62" s="34"/>
      <c r="F62" s="34"/>
    </row>
  </sheetData>
  <mergeCells count="6">
    <mergeCell ref="A45:B45"/>
    <mergeCell ref="A2:I2"/>
    <mergeCell ref="A3:I3"/>
    <mergeCell ref="A7:B7"/>
    <mergeCell ref="A9:B9"/>
    <mergeCell ref="A28:B28"/>
  </mergeCells>
  <conditionalFormatting sqref="A5">
    <cfRule type="cellIs" dxfId="3" priority="4" stopIfTrue="1" operator="equal">
      <formula>"S.I."</formula>
    </cfRule>
  </conditionalFormatting>
  <conditionalFormatting sqref="B5">
    <cfRule type="cellIs" dxfId="2" priority="5" stopIfTrue="1" operator="equal">
      <formula>"S.I."</formula>
    </cfRule>
  </conditionalFormatting>
  <conditionalFormatting sqref="B57">
    <cfRule type="cellIs" dxfId="1" priority="1" stopIfTrue="1" operator="equal">
      <formula>"S.I."</formula>
    </cfRule>
  </conditionalFormatting>
  <conditionalFormatting sqref="B6">
    <cfRule type="cellIs" dxfId="0" priority="2" stopIfTrue="1" operator="equal">
      <formula>"S.I."</formula>
    </cfRule>
  </conditionalFormatting>
  <printOptions horizontalCentered="1"/>
  <pageMargins left="0.51181102362204722" right="0.31496062992125984" top="0.55118110236220474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23</vt:i4>
      </vt:variant>
    </vt:vector>
  </HeadingPairs>
  <TitlesOfParts>
    <vt:vector size="4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1b</vt:lpstr>
      <vt:lpstr>2b</vt:lpstr>
      <vt:lpstr>3b</vt:lpstr>
      <vt:lpstr>4b</vt:lpstr>
      <vt:lpstr>5b</vt:lpstr>
      <vt:lpstr>6b</vt:lpstr>
      <vt:lpstr>7b</vt:lpstr>
      <vt:lpstr>8b</vt:lpstr>
      <vt:lpstr>9b</vt:lpstr>
      <vt:lpstr>'1'!Área_de_impresión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'1b'!Área_de_impresión</vt:lpstr>
      <vt:lpstr>'2'!Área_de_impresión</vt:lpstr>
      <vt:lpstr>'2b'!Área_de_impresión</vt:lpstr>
      <vt:lpstr>'3'!Área_de_impresión</vt:lpstr>
      <vt:lpstr>'4'!Área_de_impresión</vt:lpstr>
      <vt:lpstr>'4b'!Área_de_impresión</vt:lpstr>
      <vt:lpstr>'5'!Área_de_impresión</vt:lpstr>
      <vt:lpstr>'5b'!Área_de_impresión</vt:lpstr>
      <vt:lpstr>'6'!Área_de_impresión</vt:lpstr>
      <vt:lpstr>'6b'!Área_de_impresión</vt:lpstr>
      <vt:lpstr>'7'!Área_de_impresión</vt:lpstr>
      <vt:lpstr>'7b'!Área_de_impresión</vt:lpstr>
      <vt:lpstr>'8'!Área_de_impresión</vt:lpstr>
      <vt:lpstr>'8b'!Área_de_impresión</vt:lpstr>
      <vt:lpstr>'9'!Área_de_impresión</vt:lpstr>
      <vt:lpstr>'9b'!Área_de_impresión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Quispe</dc:creator>
  <cp:lastModifiedBy>Ana Huauya Tacza</cp:lastModifiedBy>
  <cp:lastPrinted>2022-10-24T22:15:37Z</cp:lastPrinted>
  <dcterms:created xsi:type="dcterms:W3CDTF">2021-02-16T02:20:07Z</dcterms:created>
  <dcterms:modified xsi:type="dcterms:W3CDTF">2022-12-20T17:17:05Z</dcterms:modified>
</cp:coreProperties>
</file>