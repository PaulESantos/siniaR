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1\"/>
    </mc:Choice>
  </mc:AlternateContent>
  <bookViews>
    <workbookView xWindow="-105" yWindow="-105" windowWidth="23250" windowHeight="12450" tabRatio="683" activeTab="10"/>
  </bookViews>
  <sheets>
    <sheet name="1.2" sheetId="2" r:id="rId1"/>
    <sheet name="1.2.1_1a" sheetId="3" r:id="rId2"/>
    <sheet name="2a" sheetId="4" r:id="rId3"/>
    <sheet name="3a" sheetId="5" r:id="rId4"/>
    <sheet name="4a" sheetId="6" r:id="rId5"/>
    <sheet name="5a" sheetId="7" r:id="rId6"/>
    <sheet name="6a" sheetId="8" r:id="rId7"/>
    <sheet name="1.2.2_1a" sheetId="9" r:id="rId8"/>
    <sheet name="2" sheetId="10" r:id="rId9"/>
    <sheet name="3" sheetId="11" r:id="rId10"/>
    <sheet name="4" sheetId="12" r:id="rId11"/>
    <sheet name="5" sheetId="29" r:id="rId12"/>
    <sheet name="6" sheetId="14" r:id="rId13"/>
    <sheet name="7-8" sheetId="15" r:id="rId14"/>
    <sheet name="9" sheetId="16" r:id="rId15"/>
    <sheet name="b1-2" sheetId="17" r:id="rId16"/>
    <sheet name="3b" sheetId="18" r:id="rId17"/>
    <sheet name="4b" sheetId="19" r:id="rId18"/>
    <sheet name="5b-1" sheetId="20" r:id="rId19"/>
    <sheet name="5b2" sheetId="31" r:id="rId20"/>
    <sheet name="1.2.3_1c" sheetId="22" r:id="rId21"/>
    <sheet name="2c" sheetId="23" r:id="rId22"/>
    <sheet name="3c" sheetId="24"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a" localSheetId="0">#REF!</definedName>
    <definedName name="\a" localSheetId="7">#REF!</definedName>
    <definedName name="\a" localSheetId="3">#REF!</definedName>
    <definedName name="\a" localSheetId="10">#REF!</definedName>
    <definedName name="\a" localSheetId="4">#REF!</definedName>
    <definedName name="\a" localSheetId="5">#REF!</definedName>
    <definedName name="\a" localSheetId="18">#REF!</definedName>
    <definedName name="\a" localSheetId="19">#REF!</definedName>
    <definedName name="\a" localSheetId="12">#REF!</definedName>
    <definedName name="\a" localSheetId="6">#REF!</definedName>
    <definedName name="\a">#REF!</definedName>
    <definedName name="\c">#N/A</definedName>
    <definedName name="\D" localSheetId="0">#REF!</definedName>
    <definedName name="\D" localSheetId="7">#REF!</definedName>
    <definedName name="\D" localSheetId="3">#REF!</definedName>
    <definedName name="\D" localSheetId="10">#REF!</definedName>
    <definedName name="\D" localSheetId="4">#REF!</definedName>
    <definedName name="\D" localSheetId="5">#REF!</definedName>
    <definedName name="\D" localSheetId="18">#REF!</definedName>
    <definedName name="\D" localSheetId="19">#REF!</definedName>
    <definedName name="\D" localSheetId="12">#REF!</definedName>
    <definedName name="\D" localSheetId="6">#REF!</definedName>
    <definedName name="\D">#REF!</definedName>
    <definedName name="\i">#N/A</definedName>
    <definedName name="\K" localSheetId="0">#REF!</definedName>
    <definedName name="\K" localSheetId="7">#REF!</definedName>
    <definedName name="\K" localSheetId="3">#REF!</definedName>
    <definedName name="\K" localSheetId="10">#REF!</definedName>
    <definedName name="\K" localSheetId="4">#REF!</definedName>
    <definedName name="\K" localSheetId="5">#REF!</definedName>
    <definedName name="\K" localSheetId="18">#REF!</definedName>
    <definedName name="\K" localSheetId="19">#REF!</definedName>
    <definedName name="\K" localSheetId="12">#REF!</definedName>
    <definedName name="\K" localSheetId="6">#REF!</definedName>
    <definedName name="\K">#REF!</definedName>
    <definedName name="\m">#N/A</definedName>
    <definedName name="\p" localSheetId="0">#REF!</definedName>
    <definedName name="\p" localSheetId="7">#REF!</definedName>
    <definedName name="\p" localSheetId="3">#REF!</definedName>
    <definedName name="\p" localSheetId="10">#REF!</definedName>
    <definedName name="\p" localSheetId="4">#REF!</definedName>
    <definedName name="\p" localSheetId="5">#REF!</definedName>
    <definedName name="\p" localSheetId="18">#REF!</definedName>
    <definedName name="\p" localSheetId="19">#REF!</definedName>
    <definedName name="\p" localSheetId="12">#REF!</definedName>
    <definedName name="\p" localSheetId="6">#REF!</definedName>
    <definedName name="\p">#REF!</definedName>
    <definedName name="\q">#N/A</definedName>
    <definedName name="\s">#N/A</definedName>
    <definedName name="\t">#N/A</definedName>
    <definedName name="\w">#N/A</definedName>
    <definedName name="\Z" localSheetId="0">[1]Data!#REF!</definedName>
    <definedName name="\Z" localSheetId="7">[1]Data!#REF!</definedName>
    <definedName name="\Z" localSheetId="3">[1]Data!#REF!</definedName>
    <definedName name="\Z" localSheetId="10">[1]Data!#REF!</definedName>
    <definedName name="\Z" localSheetId="4">[1]Data!#REF!</definedName>
    <definedName name="\Z" localSheetId="11">[1]Data!#REF!</definedName>
    <definedName name="\Z" localSheetId="5">[1]Data!#REF!</definedName>
    <definedName name="\Z" localSheetId="18">[1]Data!#REF!</definedName>
    <definedName name="\Z" localSheetId="19">[1]Data!#REF!</definedName>
    <definedName name="\Z" localSheetId="12">[1]Data!#REF!</definedName>
    <definedName name="\Z" localSheetId="6">[1]Data!#REF!</definedName>
    <definedName name="\Z">[1]Data!#REF!</definedName>
    <definedName name="____________key2" localSheetId="3" hidden="1">#REF!</definedName>
    <definedName name="____________key2" localSheetId="4" hidden="1">#REF!</definedName>
    <definedName name="____________key2" localSheetId="5" hidden="1">#REF!</definedName>
    <definedName name="____________key2" localSheetId="18" hidden="1">#REF!</definedName>
    <definedName name="____________key2" localSheetId="19" hidden="1">#REF!</definedName>
    <definedName name="____________key2" localSheetId="12" hidden="1">#REF!</definedName>
    <definedName name="____________key2" localSheetId="6" hidden="1">#REF!</definedName>
    <definedName name="____________key2" hidden="1">#REF!</definedName>
    <definedName name="___________A2" localSheetId="3">'[2]R. Natural'!#REF!</definedName>
    <definedName name="___________A2" localSheetId="4">'[2]R. Natural'!#REF!</definedName>
    <definedName name="___________A2" localSheetId="11">'[2]R. Natural'!#REF!</definedName>
    <definedName name="___________A2" localSheetId="5">'[2]R. Natural'!#REF!</definedName>
    <definedName name="___________A2" localSheetId="18">'[2]R. Natural'!#REF!</definedName>
    <definedName name="___________A2" localSheetId="19">'[2]R. Natural'!#REF!</definedName>
    <definedName name="___________A2" localSheetId="12">'[2]R. Natural'!#REF!</definedName>
    <definedName name="___________A2" localSheetId="6">'[2]R. Natural'!#REF!</definedName>
    <definedName name="___________A2">'[2]R. Natural'!#REF!</definedName>
    <definedName name="___________bol52" localSheetId="3">[3]PAG_35!#REF!</definedName>
    <definedName name="___________bol52" localSheetId="4">[3]PAG_35!#REF!</definedName>
    <definedName name="___________bol52" localSheetId="11">[3]PAG_35!#REF!</definedName>
    <definedName name="___________bol52" localSheetId="5">[3]PAG_35!#REF!</definedName>
    <definedName name="___________bol52" localSheetId="18">[3]PAG_35!#REF!</definedName>
    <definedName name="___________bol52" localSheetId="19">[3]PAG_35!#REF!</definedName>
    <definedName name="___________bol52" localSheetId="12">[3]PAG_35!#REF!</definedName>
    <definedName name="___________bol52" localSheetId="6">[3]PAG_35!#REF!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 localSheetId="3">[5]Cdr7!#REF!</definedName>
    <definedName name="___________cdr2" localSheetId="4">[5]Cdr7!#REF!</definedName>
    <definedName name="___________cdr2" localSheetId="5">[5]Cdr7!#REF!</definedName>
    <definedName name="___________cdr2" localSheetId="18">[5]Cdr7!#REF!</definedName>
    <definedName name="___________cdr2" localSheetId="19">[5]Cdr7!#REF!</definedName>
    <definedName name="___________cdr2" localSheetId="12">[5]Cdr7!#REF!</definedName>
    <definedName name="___________cdr2" localSheetId="6">[5]Cdr7!#REF!</definedName>
    <definedName name="___________cdr2">[5]Cdr7!#REF!</definedName>
    <definedName name="___________Cdr7">'[6]Cdrs 1-2'!$A$1:$S$46</definedName>
    <definedName name="___________Cdr8">'[6]Cdrs 1-2'!$A$69:$S$114</definedName>
    <definedName name="___________Dur1">[4]Dur!$A$2:$I$27</definedName>
    <definedName name="___________G7" localSheetId="3" hidden="1">#REF!</definedName>
    <definedName name="___________G7" localSheetId="4" hidden="1">#REF!</definedName>
    <definedName name="___________G7" localSheetId="5" hidden="1">#REF!</definedName>
    <definedName name="___________G7" localSheetId="18" hidden="1">#REF!</definedName>
    <definedName name="___________G7" localSheetId="19" hidden="1">#REF!</definedName>
    <definedName name="___________G7" localSheetId="12" hidden="1">#REF!</definedName>
    <definedName name="___________G7" localSheetId="6" hidden="1">#REF!</definedName>
    <definedName name="___________G7" hidden="1">#REF!</definedName>
    <definedName name="___________gas001" localSheetId="3">#REF!</definedName>
    <definedName name="___________gas001" localSheetId="4">#REF!</definedName>
    <definedName name="___________gas001" localSheetId="5">#REF!</definedName>
    <definedName name="___________gas001" localSheetId="18">#REF!</definedName>
    <definedName name="___________gas001" localSheetId="19">#REF!</definedName>
    <definedName name="___________gas001" localSheetId="12">#REF!</definedName>
    <definedName name="___________gas001" localSheetId="6">#REF!</definedName>
    <definedName name="___________gas001">#REF!</definedName>
    <definedName name="___________Gas01" localSheetId="3">#REF!</definedName>
    <definedName name="___________Gas01" localSheetId="4">#REF!</definedName>
    <definedName name="___________Gas01" localSheetId="5">#REF!</definedName>
    <definedName name="___________Gas01" localSheetId="18">#REF!</definedName>
    <definedName name="___________Gas01" localSheetId="19">#REF!</definedName>
    <definedName name="___________Gas01" localSheetId="12">#REF!</definedName>
    <definedName name="___________Gas01" localSheetId="6">#REF!</definedName>
    <definedName name="___________Gas01">#REF!</definedName>
    <definedName name="___________gas1" localSheetId="18">#REF!</definedName>
    <definedName name="___________gas1" localSheetId="19">#REF!</definedName>
    <definedName name="___________gas1" localSheetId="12">#REF!</definedName>
    <definedName name="___________gas1">#REF!</definedName>
    <definedName name="___________Imp1" localSheetId="18">#REF!</definedName>
    <definedName name="___________Imp1" localSheetId="19">#REF!</definedName>
    <definedName name="___________Imp1" localSheetId="12">#REF!</definedName>
    <definedName name="___________Imp1">#REF!</definedName>
    <definedName name="___________Imp2" localSheetId="18">#REF!</definedName>
    <definedName name="___________Imp2" localSheetId="19">#REF!</definedName>
    <definedName name="___________Imp2" localSheetId="12">#REF!</definedName>
    <definedName name="___________Imp2">#REF!</definedName>
    <definedName name="___________key2" localSheetId="18" hidden="1">#REF!</definedName>
    <definedName name="___________key2" localSheetId="19" hidden="1">#REF!</definedName>
    <definedName name="___________key2" localSheetId="12" hidden="1">#REF!</definedName>
    <definedName name="___________key2" hidden="1">#REF!</definedName>
    <definedName name="___________p1" localSheetId="18">#REF!</definedName>
    <definedName name="___________p1" localSheetId="19">#REF!</definedName>
    <definedName name="___________p1" localSheetId="12">#REF!</definedName>
    <definedName name="___________p1">#REF!</definedName>
    <definedName name="___________RM1">[7]PAG19!$B$3:$I$39</definedName>
    <definedName name="___________RM2">[7]PAG19!$J$3:$P$39</definedName>
    <definedName name="__________A2" localSheetId="3">'[2]R. Natural'!#REF!</definedName>
    <definedName name="__________A2" localSheetId="4">'[2]R. Natural'!#REF!</definedName>
    <definedName name="__________A2" localSheetId="5">'[2]R. Natural'!#REF!</definedName>
    <definedName name="__________A2" localSheetId="18">'[2]R. Natural'!#REF!</definedName>
    <definedName name="__________A2" localSheetId="19">'[2]R. Natural'!#REF!</definedName>
    <definedName name="__________A2" localSheetId="12">'[2]R. Natural'!#REF!</definedName>
    <definedName name="__________A2" localSheetId="6">'[2]R. Natural'!#REF!</definedName>
    <definedName name="__________A2">'[2]R. Natural'!#REF!</definedName>
    <definedName name="__________bol52" localSheetId="3">[3]PAG_35!#REF!</definedName>
    <definedName name="__________bol52" localSheetId="4">[3]PAG_35!#REF!</definedName>
    <definedName name="__________bol52" localSheetId="5">[3]PAG_35!#REF!</definedName>
    <definedName name="__________bol52" localSheetId="18">[3]PAG_35!#REF!</definedName>
    <definedName name="__________bol52" localSheetId="19">[3]PAG_35!#REF!</definedName>
    <definedName name="__________bol52" localSheetId="12">[3]PAG_35!#REF!</definedName>
    <definedName name="__________bol52" localSheetId="6">[3]PAG_35!#REF!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 localSheetId="3">[5]Cdr7!#REF!</definedName>
    <definedName name="__________cdr2" localSheetId="4">[5]Cdr7!#REF!</definedName>
    <definedName name="__________cdr2" localSheetId="5">[5]Cdr7!#REF!</definedName>
    <definedName name="__________cdr2" localSheetId="18">[5]Cdr7!#REF!</definedName>
    <definedName name="__________cdr2" localSheetId="19">[5]Cdr7!#REF!</definedName>
    <definedName name="__________cdr2" localSheetId="12">[5]Cdr7!#REF!</definedName>
    <definedName name="__________cdr2" localSheetId="6">[5]Cdr7!#REF!</definedName>
    <definedName name="__________cdr2">[5]Cdr7!#REF!</definedName>
    <definedName name="__________Cdr7">'[6]Cdrs 1-2'!$A$1:$S$46</definedName>
    <definedName name="__________Cdr8">'[6]Cdrs 1-2'!$A$69:$S$114</definedName>
    <definedName name="__________Dur1">[4]Dur!$A$2:$I$27</definedName>
    <definedName name="__________G7" localSheetId="3" hidden="1">#REF!</definedName>
    <definedName name="__________G7" localSheetId="4" hidden="1">#REF!</definedName>
    <definedName name="__________G7" localSheetId="5" hidden="1">#REF!</definedName>
    <definedName name="__________G7" localSheetId="18" hidden="1">#REF!</definedName>
    <definedName name="__________G7" localSheetId="19" hidden="1">#REF!</definedName>
    <definedName name="__________G7" localSheetId="12" hidden="1">#REF!</definedName>
    <definedName name="__________G7" localSheetId="6" hidden="1">#REF!</definedName>
    <definedName name="__________G7" hidden="1">#REF!</definedName>
    <definedName name="__________gas001" localSheetId="3">#REF!</definedName>
    <definedName name="__________gas001" localSheetId="4">#REF!</definedName>
    <definedName name="__________gas001" localSheetId="5">#REF!</definedName>
    <definedName name="__________gas001" localSheetId="18">#REF!</definedName>
    <definedName name="__________gas001" localSheetId="19">#REF!</definedName>
    <definedName name="__________gas001" localSheetId="12">#REF!</definedName>
    <definedName name="__________gas001" localSheetId="6">#REF!</definedName>
    <definedName name="__________gas001">#REF!</definedName>
    <definedName name="__________Gas01" localSheetId="3">#REF!</definedName>
    <definedName name="__________Gas01" localSheetId="4">#REF!</definedName>
    <definedName name="__________Gas01" localSheetId="5">#REF!</definedName>
    <definedName name="__________Gas01" localSheetId="18">#REF!</definedName>
    <definedName name="__________Gas01" localSheetId="19">#REF!</definedName>
    <definedName name="__________Gas01" localSheetId="12">#REF!</definedName>
    <definedName name="__________Gas01" localSheetId="6">#REF!</definedName>
    <definedName name="__________Gas01">#REF!</definedName>
    <definedName name="__________gas1" localSheetId="18">#REF!</definedName>
    <definedName name="__________gas1" localSheetId="19">#REF!</definedName>
    <definedName name="__________gas1" localSheetId="12">#REF!</definedName>
    <definedName name="__________gas1">#REF!</definedName>
    <definedName name="__________Imp1" localSheetId="18">#REF!</definedName>
    <definedName name="__________Imp1" localSheetId="19">#REF!</definedName>
    <definedName name="__________Imp1" localSheetId="12">#REF!</definedName>
    <definedName name="__________Imp1">#REF!</definedName>
    <definedName name="__________Imp2" localSheetId="18">#REF!</definedName>
    <definedName name="__________Imp2" localSheetId="19">#REF!</definedName>
    <definedName name="__________Imp2" localSheetId="12">#REF!</definedName>
    <definedName name="__________Imp2">#REF!</definedName>
    <definedName name="__________key2" localSheetId="18" hidden="1">#REF!</definedName>
    <definedName name="__________key2" localSheetId="19" hidden="1">#REF!</definedName>
    <definedName name="__________key2" localSheetId="12" hidden="1">#REF!</definedName>
    <definedName name="__________key2" hidden="1">#REF!</definedName>
    <definedName name="__________p1" localSheetId="18">#REF!</definedName>
    <definedName name="__________p1" localSheetId="19">#REF!</definedName>
    <definedName name="__________p1" localSheetId="12">#REF!</definedName>
    <definedName name="__________p1">#REF!</definedName>
    <definedName name="__________RM1">[7]PAG19!$B$3:$I$39</definedName>
    <definedName name="__________RM2">[7]PAG19!$J$3:$P$39</definedName>
    <definedName name="_________A2" localSheetId="3">'[2]R. Natural'!#REF!</definedName>
    <definedName name="_________A2" localSheetId="4">'[2]R. Natural'!#REF!</definedName>
    <definedName name="_________A2" localSheetId="5">'[2]R. Natural'!#REF!</definedName>
    <definedName name="_________A2" localSheetId="18">'[2]R. Natural'!#REF!</definedName>
    <definedName name="_________A2" localSheetId="19">'[2]R. Natural'!#REF!</definedName>
    <definedName name="_________A2" localSheetId="12">'[2]R. Natural'!#REF!</definedName>
    <definedName name="_________A2" localSheetId="6">'[2]R. Natural'!#REF!</definedName>
    <definedName name="_________A2">'[2]R. Natural'!#REF!</definedName>
    <definedName name="_________bol52" localSheetId="3">[3]PAG_35!#REF!</definedName>
    <definedName name="_________bol52" localSheetId="4">[3]PAG_35!#REF!</definedName>
    <definedName name="_________bol52" localSheetId="5">[3]PAG_35!#REF!</definedName>
    <definedName name="_________bol52" localSheetId="18">[3]PAG_35!#REF!</definedName>
    <definedName name="_________bol52" localSheetId="19">[3]PAG_35!#REF!</definedName>
    <definedName name="_________bol52" localSheetId="12">[3]PAG_35!#REF!</definedName>
    <definedName name="_________bol52" localSheetId="6">[3]PAG_35!#REF!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 localSheetId="3">[5]Cdr7!#REF!</definedName>
    <definedName name="_________cdr2" localSheetId="4">[5]Cdr7!#REF!</definedName>
    <definedName name="_________cdr2" localSheetId="5">[5]Cdr7!#REF!</definedName>
    <definedName name="_________cdr2" localSheetId="18">[5]Cdr7!#REF!</definedName>
    <definedName name="_________cdr2" localSheetId="19">[5]Cdr7!#REF!</definedName>
    <definedName name="_________cdr2" localSheetId="12">[5]Cdr7!#REF!</definedName>
    <definedName name="_________cdr2" localSheetId="6">[5]Cdr7!#REF!</definedName>
    <definedName name="_________cdr2">[5]Cdr7!#REF!</definedName>
    <definedName name="_________Cdr7">'[6]Cdrs 1-2'!$A$1:$S$46</definedName>
    <definedName name="_________Cdr8">'[6]Cdrs 1-2'!$A$69:$S$114</definedName>
    <definedName name="_________Dur1">[4]Dur!$A$2:$I$27</definedName>
    <definedName name="_________G7" localSheetId="3" hidden="1">#REF!</definedName>
    <definedName name="_________G7" localSheetId="4" hidden="1">#REF!</definedName>
    <definedName name="_________G7" localSheetId="5" hidden="1">#REF!</definedName>
    <definedName name="_________G7" localSheetId="18" hidden="1">#REF!</definedName>
    <definedName name="_________G7" localSheetId="19" hidden="1">#REF!</definedName>
    <definedName name="_________G7" localSheetId="12" hidden="1">#REF!</definedName>
    <definedName name="_________G7" localSheetId="6" hidden="1">#REF!</definedName>
    <definedName name="_________G7" hidden="1">#REF!</definedName>
    <definedName name="_________gas001" localSheetId="3">#REF!</definedName>
    <definedName name="_________gas001" localSheetId="4">#REF!</definedName>
    <definedName name="_________gas001" localSheetId="5">#REF!</definedName>
    <definedName name="_________gas001" localSheetId="18">#REF!</definedName>
    <definedName name="_________gas001" localSheetId="19">#REF!</definedName>
    <definedName name="_________gas001" localSheetId="12">#REF!</definedName>
    <definedName name="_________gas001" localSheetId="6">#REF!</definedName>
    <definedName name="_________gas001">#REF!</definedName>
    <definedName name="_________Gas01" localSheetId="3">#REF!</definedName>
    <definedName name="_________Gas01" localSheetId="4">#REF!</definedName>
    <definedName name="_________Gas01" localSheetId="5">#REF!</definedName>
    <definedName name="_________Gas01" localSheetId="18">#REF!</definedName>
    <definedName name="_________Gas01" localSheetId="19">#REF!</definedName>
    <definedName name="_________Gas01" localSheetId="12">#REF!</definedName>
    <definedName name="_________Gas01" localSheetId="6">#REF!</definedName>
    <definedName name="_________Gas01">#REF!</definedName>
    <definedName name="_________gas1" localSheetId="18">#REF!</definedName>
    <definedName name="_________gas1" localSheetId="19">#REF!</definedName>
    <definedName name="_________gas1" localSheetId="12">#REF!</definedName>
    <definedName name="_________gas1">#REF!</definedName>
    <definedName name="_________Imp1" localSheetId="18">#REF!</definedName>
    <definedName name="_________Imp1" localSheetId="19">#REF!</definedName>
    <definedName name="_________Imp1" localSheetId="12">#REF!</definedName>
    <definedName name="_________Imp1">#REF!</definedName>
    <definedName name="_________Imp2" localSheetId="18">#REF!</definedName>
    <definedName name="_________Imp2" localSheetId="19">#REF!</definedName>
    <definedName name="_________Imp2" localSheetId="12">#REF!</definedName>
    <definedName name="_________Imp2">#REF!</definedName>
    <definedName name="_________key2" localSheetId="18" hidden="1">#REF!</definedName>
    <definedName name="_________key2" localSheetId="19" hidden="1">#REF!</definedName>
    <definedName name="_________key2" localSheetId="12" hidden="1">#REF!</definedName>
    <definedName name="_________key2" hidden="1">#REF!</definedName>
    <definedName name="_________p1" localSheetId="18">#REF!</definedName>
    <definedName name="_________p1" localSheetId="19">#REF!</definedName>
    <definedName name="_________p1" localSheetId="12">#REF!</definedName>
    <definedName name="_________p1">#REF!</definedName>
    <definedName name="_________RM1">[7]PAG19!$B$3:$I$39</definedName>
    <definedName name="_________RM2">[7]PAG19!$J$3:$P$39</definedName>
    <definedName name="________A2" localSheetId="3">'[2]R. Natural'!#REF!</definedName>
    <definedName name="________A2" localSheetId="4">'[2]R. Natural'!#REF!</definedName>
    <definedName name="________A2" localSheetId="5">'[2]R. Natural'!#REF!</definedName>
    <definedName name="________A2" localSheetId="18">'[2]R. Natural'!#REF!</definedName>
    <definedName name="________A2" localSheetId="19">'[2]R. Natural'!#REF!</definedName>
    <definedName name="________A2" localSheetId="12">'[2]R. Natural'!#REF!</definedName>
    <definedName name="________A2" localSheetId="6">'[2]R. Natural'!#REF!</definedName>
    <definedName name="________A2">'[2]R. Natural'!#REF!</definedName>
    <definedName name="________bol52" localSheetId="7">[3]PAG_35!#REF!</definedName>
    <definedName name="________bol52" localSheetId="3">[3]PAG_35!#REF!</definedName>
    <definedName name="________bol52" localSheetId="10">[3]PAG_35!#REF!</definedName>
    <definedName name="________bol52" localSheetId="4">[3]PAG_35!#REF!</definedName>
    <definedName name="________bol52" localSheetId="5">[3]PAG_35!#REF!</definedName>
    <definedName name="________bol52" localSheetId="18">[3]PAG_35!#REF!</definedName>
    <definedName name="________bol52" localSheetId="19">[3]PAG_35!#REF!</definedName>
    <definedName name="________bol52" localSheetId="12">[3]PAG_35!#REF!</definedName>
    <definedName name="________bol52" localSheetId="6">[3]PAG_35!#REF!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7">[5]Cdr7!#REF!</definedName>
    <definedName name="________cdr2" localSheetId="3">[5]Cdr7!#REF!</definedName>
    <definedName name="________cdr2" localSheetId="10">[5]Cdr7!#REF!</definedName>
    <definedName name="________cdr2" localSheetId="4">[5]Cdr7!#REF!</definedName>
    <definedName name="________cdr2" localSheetId="5">[5]Cdr7!#REF!</definedName>
    <definedName name="________cdr2" localSheetId="18">[5]Cdr7!#REF!</definedName>
    <definedName name="________cdr2" localSheetId="19">[5]Cdr7!#REF!</definedName>
    <definedName name="________cdr2" localSheetId="12">[5]Cdr7!#REF!</definedName>
    <definedName name="________cdr2" localSheetId="6">[5]Cdr7!#REF!</definedName>
    <definedName name="________cdr2">[5]Cdr7!#REF!</definedName>
    <definedName name="________Cdr7">'[6]Cdrs 1-2'!$A$1:$S$46</definedName>
    <definedName name="________Cdr8">'[6]Cdrs 1-2'!$A$69:$S$114</definedName>
    <definedName name="________Dur1">[4]Dur!$A$2:$I$27</definedName>
    <definedName name="________G7" localSheetId="3" hidden="1">#REF!</definedName>
    <definedName name="________G7" localSheetId="4" hidden="1">#REF!</definedName>
    <definedName name="________G7" localSheetId="5" hidden="1">#REF!</definedName>
    <definedName name="________G7" localSheetId="18" hidden="1">#REF!</definedName>
    <definedName name="________G7" localSheetId="19" hidden="1">#REF!</definedName>
    <definedName name="________G7" localSheetId="12" hidden="1">#REF!</definedName>
    <definedName name="________G7" localSheetId="6" hidden="1">#REF!</definedName>
    <definedName name="________G7" hidden="1">#REF!</definedName>
    <definedName name="________gas001" localSheetId="3">#REF!</definedName>
    <definedName name="________gas001" localSheetId="4">#REF!</definedName>
    <definedName name="________gas001" localSheetId="5">#REF!</definedName>
    <definedName name="________gas001" localSheetId="18">#REF!</definedName>
    <definedName name="________gas001" localSheetId="19">#REF!</definedName>
    <definedName name="________gas001" localSheetId="12">#REF!</definedName>
    <definedName name="________gas001" localSheetId="6">#REF!</definedName>
    <definedName name="________gas001">#REF!</definedName>
    <definedName name="________Gas01" localSheetId="3">#REF!</definedName>
    <definedName name="________Gas01" localSheetId="4">#REF!</definedName>
    <definedName name="________Gas01" localSheetId="5">#REF!</definedName>
    <definedName name="________Gas01" localSheetId="18">#REF!</definedName>
    <definedName name="________Gas01" localSheetId="19">#REF!</definedName>
    <definedName name="________Gas01" localSheetId="12">#REF!</definedName>
    <definedName name="________Gas01" localSheetId="6">#REF!</definedName>
    <definedName name="________Gas01">#REF!</definedName>
    <definedName name="________gas1" localSheetId="18">#REF!</definedName>
    <definedName name="________gas1" localSheetId="19">#REF!</definedName>
    <definedName name="________gas1" localSheetId="12">#REF!</definedName>
    <definedName name="________gas1">#REF!</definedName>
    <definedName name="________Imp1" localSheetId="10">#REF!</definedName>
    <definedName name="________Imp1" localSheetId="18">#REF!</definedName>
    <definedName name="________Imp1" localSheetId="19">#REF!</definedName>
    <definedName name="________Imp1" localSheetId="12">#REF!</definedName>
    <definedName name="________Imp1">#REF!</definedName>
    <definedName name="________Imp2" localSheetId="10">#REF!</definedName>
    <definedName name="________Imp2" localSheetId="18">#REF!</definedName>
    <definedName name="________Imp2" localSheetId="19">#REF!</definedName>
    <definedName name="________Imp2" localSheetId="12">#REF!</definedName>
    <definedName name="________Imp2">#REF!</definedName>
    <definedName name="________key2" localSheetId="18" hidden="1">#REF!</definedName>
    <definedName name="________key2" localSheetId="19" hidden="1">#REF!</definedName>
    <definedName name="________key2" localSheetId="12" hidden="1">#REF!</definedName>
    <definedName name="________key2" hidden="1">#REF!</definedName>
    <definedName name="________p1" localSheetId="18">#REF!</definedName>
    <definedName name="________p1" localSheetId="19">#REF!</definedName>
    <definedName name="________p1" localSheetId="12">#REF!</definedName>
    <definedName name="________p1">#REF!</definedName>
    <definedName name="________RM1">[7]PAG19!$B$3:$I$39</definedName>
    <definedName name="________RM2">[7]PAG19!$J$3:$P$39</definedName>
    <definedName name="_______A2" localSheetId="3">'[2]R. Natural'!#REF!</definedName>
    <definedName name="_______A2" localSheetId="4">'[2]R. Natural'!#REF!</definedName>
    <definedName name="_______A2" localSheetId="5">'[2]R. Natural'!#REF!</definedName>
    <definedName name="_______A2" localSheetId="18">'[2]R. Natural'!#REF!</definedName>
    <definedName name="_______A2" localSheetId="19">'[2]R. Natural'!#REF!</definedName>
    <definedName name="_______A2" localSheetId="12">'[2]R. Natural'!#REF!</definedName>
    <definedName name="_______A2" localSheetId="6">'[2]R. Natural'!#REF!</definedName>
    <definedName name="_______A2">'[2]R. Natural'!#REF!</definedName>
    <definedName name="_______bol52" localSheetId="7">[3]PAG_35!#REF!</definedName>
    <definedName name="_______bol52" localSheetId="3">[3]PAG_35!#REF!</definedName>
    <definedName name="_______bol52" localSheetId="10">[3]PAG_35!#REF!</definedName>
    <definedName name="_______bol52" localSheetId="4">[3]PAG_35!#REF!</definedName>
    <definedName name="_______bol52" localSheetId="5">[3]PAG_35!#REF!</definedName>
    <definedName name="_______bol52" localSheetId="18">[3]PAG_35!#REF!</definedName>
    <definedName name="_______bol52" localSheetId="19">[3]PAG_35!#REF!</definedName>
    <definedName name="_______bol52" localSheetId="12">[3]PAG_35!#REF!</definedName>
    <definedName name="_______bol52" localSheetId="6">[3]PAG_35!#REF!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7">[5]Cdr7!#REF!</definedName>
    <definedName name="_______cdr2" localSheetId="3">[5]Cdr7!#REF!</definedName>
    <definedName name="_______cdr2" localSheetId="10">[5]Cdr7!#REF!</definedName>
    <definedName name="_______cdr2" localSheetId="4">[5]Cdr7!#REF!</definedName>
    <definedName name="_______cdr2" localSheetId="5">[5]Cdr7!#REF!</definedName>
    <definedName name="_______cdr2" localSheetId="18">[5]Cdr7!#REF!</definedName>
    <definedName name="_______cdr2" localSheetId="19">[5]Cdr7!#REF!</definedName>
    <definedName name="_______cdr2" localSheetId="12">[5]Cdr7!#REF!</definedName>
    <definedName name="_______cdr2" localSheetId="6">[5]Cdr7!#REF!</definedName>
    <definedName name="_______cdr2">[5]Cdr7!#REF!</definedName>
    <definedName name="_______Cdr7">'[6]Cdrs 1-2'!$A$1:$S$46</definedName>
    <definedName name="_______Cdr8">'[6]Cdrs 1-2'!$A$69:$S$114</definedName>
    <definedName name="_______Dur1">[4]Dur!$A$2:$I$27</definedName>
    <definedName name="_______G7" localSheetId="3" hidden="1">#REF!</definedName>
    <definedName name="_______G7" localSheetId="4" hidden="1">#REF!</definedName>
    <definedName name="_______G7" localSheetId="5" hidden="1">#REF!</definedName>
    <definedName name="_______G7" localSheetId="18" hidden="1">#REF!</definedName>
    <definedName name="_______G7" localSheetId="19" hidden="1">#REF!</definedName>
    <definedName name="_______G7" localSheetId="12" hidden="1">#REF!</definedName>
    <definedName name="_______G7" localSheetId="6" hidden="1">#REF!</definedName>
    <definedName name="_______G7" hidden="1">#REF!</definedName>
    <definedName name="_______gas001" localSheetId="3">#REF!</definedName>
    <definedName name="_______gas001" localSheetId="4">#REF!</definedName>
    <definedName name="_______gas001" localSheetId="5">#REF!</definedName>
    <definedName name="_______gas001" localSheetId="18">#REF!</definedName>
    <definedName name="_______gas001" localSheetId="19">#REF!</definedName>
    <definedName name="_______gas001" localSheetId="12">#REF!</definedName>
    <definedName name="_______gas001" localSheetId="6">#REF!</definedName>
    <definedName name="_______gas001">#REF!</definedName>
    <definedName name="_______Gas01" localSheetId="3">#REF!</definedName>
    <definedName name="_______Gas01" localSheetId="4">#REF!</definedName>
    <definedName name="_______Gas01" localSheetId="5">#REF!</definedName>
    <definedName name="_______Gas01" localSheetId="18">#REF!</definedName>
    <definedName name="_______Gas01" localSheetId="19">#REF!</definedName>
    <definedName name="_______Gas01" localSheetId="12">#REF!</definedName>
    <definedName name="_______Gas01" localSheetId="6">#REF!</definedName>
    <definedName name="_______Gas01">#REF!</definedName>
    <definedName name="_______gas1" localSheetId="18">#REF!</definedName>
    <definedName name="_______gas1" localSheetId="19">#REF!</definedName>
    <definedName name="_______gas1" localSheetId="12">#REF!</definedName>
    <definedName name="_______gas1">#REF!</definedName>
    <definedName name="_______Imp1" localSheetId="10">#REF!</definedName>
    <definedName name="_______Imp1" localSheetId="18">#REF!</definedName>
    <definedName name="_______Imp1" localSheetId="19">#REF!</definedName>
    <definedName name="_______Imp1" localSheetId="12">#REF!</definedName>
    <definedName name="_______Imp1">#REF!</definedName>
    <definedName name="_______Imp2" localSheetId="10">#REF!</definedName>
    <definedName name="_______Imp2" localSheetId="18">#REF!</definedName>
    <definedName name="_______Imp2" localSheetId="19">#REF!</definedName>
    <definedName name="_______Imp2" localSheetId="12">#REF!</definedName>
    <definedName name="_______Imp2">#REF!</definedName>
    <definedName name="_______key2" localSheetId="0" hidden="1">#REF!</definedName>
    <definedName name="_______key2" localSheetId="10" hidden="1">#REF!</definedName>
    <definedName name="_______key2" localSheetId="18" hidden="1">#REF!</definedName>
    <definedName name="_______key2" localSheetId="19" hidden="1">#REF!</definedName>
    <definedName name="_______key2" localSheetId="12" hidden="1">#REF!</definedName>
    <definedName name="_______key2" hidden="1">#REF!</definedName>
    <definedName name="_______p1" localSheetId="18">#REF!</definedName>
    <definedName name="_______p1" localSheetId="19">#REF!</definedName>
    <definedName name="_______p1" localSheetId="12">#REF!</definedName>
    <definedName name="_______p1">#REF!</definedName>
    <definedName name="_______RM1">[7]PAG19!$B$3:$I$39</definedName>
    <definedName name="_______RM2">[7]PAG19!$J$3:$P$39</definedName>
    <definedName name="______A2" localSheetId="0">'[8]R. Natural'!#REF!</definedName>
    <definedName name="______A2" localSheetId="7">'[9]R. Natural'!#REF!</definedName>
    <definedName name="______A2" localSheetId="3">'[9]R. Natural'!#REF!</definedName>
    <definedName name="______A2" localSheetId="10">'[10]R. Natural'!#REF!</definedName>
    <definedName name="______A2" localSheetId="4">'[9]R. Natural'!#REF!</definedName>
    <definedName name="______A2" localSheetId="11">'[9]R. Natural'!#REF!</definedName>
    <definedName name="______A2" localSheetId="5">'[9]R. Natural'!#REF!</definedName>
    <definedName name="______A2" localSheetId="18">'[10]R. Natural'!#REF!</definedName>
    <definedName name="______A2" localSheetId="19">'[10]R. Natural'!#REF!</definedName>
    <definedName name="______A2" localSheetId="12">'[10]R. Natural'!#REF!</definedName>
    <definedName name="______A2" localSheetId="6">'[9]R. Natural'!#REF!</definedName>
    <definedName name="______A2" localSheetId="14">'[10]R. Natural'!#REF!</definedName>
    <definedName name="______A2">'[10]R. Natural'!#REF!</definedName>
    <definedName name="______bol52" localSheetId="0">[3]PAG_35!#REF!</definedName>
    <definedName name="______bol52" localSheetId="7">[3]PAG_35!#REF!</definedName>
    <definedName name="______bol52" localSheetId="3">[3]PAG_35!#REF!</definedName>
    <definedName name="______bol52" localSheetId="10">[3]PAG_35!#REF!</definedName>
    <definedName name="______bol52" localSheetId="4">[3]PAG_35!#REF!</definedName>
    <definedName name="______bol52" localSheetId="5">[3]PAG_35!#REF!</definedName>
    <definedName name="______bol52" localSheetId="18">[3]PAG_35!#REF!</definedName>
    <definedName name="______bol52" localSheetId="19">[3]PAG_35!#REF!</definedName>
    <definedName name="______bol52" localSheetId="12">[3]PAG_35!#REF!</definedName>
    <definedName name="______bol52" localSheetId="6">[3]PAG_35!#REF!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0">[5]Cdr7!#REF!</definedName>
    <definedName name="______cdr2" localSheetId="7">[5]Cdr7!#REF!</definedName>
    <definedName name="______cdr2" localSheetId="3">[5]Cdr7!#REF!</definedName>
    <definedName name="______cdr2" localSheetId="10">[5]Cdr7!#REF!</definedName>
    <definedName name="______cdr2" localSheetId="4">[5]Cdr7!#REF!</definedName>
    <definedName name="______cdr2" localSheetId="5">[5]Cdr7!#REF!</definedName>
    <definedName name="______cdr2" localSheetId="18">[5]Cdr7!#REF!</definedName>
    <definedName name="______cdr2" localSheetId="19">[5]Cdr7!#REF!</definedName>
    <definedName name="______cdr2" localSheetId="12">[5]Cdr7!#REF!</definedName>
    <definedName name="______cdr2" localSheetId="6">[5]Cdr7!#REF!</definedName>
    <definedName name="______cdr2" localSheetId="14">[5]Cdr7!#REF!</definedName>
    <definedName name="______cdr2">[5]Cdr7!#REF!</definedName>
    <definedName name="______Cdr7">'[6]Cdrs 1-2'!$A$1:$S$46</definedName>
    <definedName name="______Cdr8">'[6]Cdrs 1-2'!$A$69:$S$114</definedName>
    <definedName name="______Dur1">[4]Dur!$A$2:$I$27</definedName>
    <definedName name="______G7" localSheetId="0" hidden="1">#REF!</definedName>
    <definedName name="______G7" localSheetId="7" hidden="1">#REF!</definedName>
    <definedName name="______G7" localSheetId="3" hidden="1">#REF!</definedName>
    <definedName name="______G7" localSheetId="10" hidden="1">#REF!</definedName>
    <definedName name="______G7" localSheetId="4" hidden="1">#REF!</definedName>
    <definedName name="______G7" localSheetId="5" hidden="1">#REF!</definedName>
    <definedName name="______G7" localSheetId="18" hidden="1">#REF!</definedName>
    <definedName name="______G7" localSheetId="19" hidden="1">#REF!</definedName>
    <definedName name="______G7" localSheetId="12" hidden="1">#REF!</definedName>
    <definedName name="______G7" localSheetId="6" hidden="1">#REF!</definedName>
    <definedName name="______G7" hidden="1">#REF!</definedName>
    <definedName name="______gas001" localSheetId="0">#REF!</definedName>
    <definedName name="______gas001" localSheetId="10">#REF!</definedName>
    <definedName name="______gas001" localSheetId="18">#REF!</definedName>
    <definedName name="______gas001" localSheetId="19">#REF!</definedName>
    <definedName name="______gas001" localSheetId="12">#REF!</definedName>
    <definedName name="______gas001">#REF!</definedName>
    <definedName name="______Gas01" localSheetId="0">#REF!</definedName>
    <definedName name="______Gas01" localSheetId="10">#REF!</definedName>
    <definedName name="______Gas01" localSheetId="18">#REF!</definedName>
    <definedName name="______Gas01" localSheetId="19">#REF!</definedName>
    <definedName name="______Gas01" localSheetId="12">#REF!</definedName>
    <definedName name="______Gas01">#REF!</definedName>
    <definedName name="______gas1" localSheetId="0">#REF!</definedName>
    <definedName name="______gas1" localSheetId="10">#REF!</definedName>
    <definedName name="______gas1" localSheetId="18">#REF!</definedName>
    <definedName name="______gas1" localSheetId="19">#REF!</definedName>
    <definedName name="______gas1" localSheetId="12">#REF!</definedName>
    <definedName name="______gas1">#REF!</definedName>
    <definedName name="______Imp1" localSheetId="0">#REF!</definedName>
    <definedName name="______Imp1" localSheetId="10">#REF!</definedName>
    <definedName name="______Imp1" localSheetId="18">#REF!</definedName>
    <definedName name="______Imp1" localSheetId="19">#REF!</definedName>
    <definedName name="______Imp1" localSheetId="12">#REF!</definedName>
    <definedName name="______Imp1">#REF!</definedName>
    <definedName name="______Imp2" localSheetId="0">#REF!</definedName>
    <definedName name="______Imp2" localSheetId="10">#REF!</definedName>
    <definedName name="______Imp2" localSheetId="18">#REF!</definedName>
    <definedName name="______Imp2" localSheetId="19">#REF!</definedName>
    <definedName name="______Imp2" localSheetId="12">#REF!</definedName>
    <definedName name="______Imp2">#REF!</definedName>
    <definedName name="______key2" localSheetId="0" hidden="1">#REF!</definedName>
    <definedName name="______key2" localSheetId="10" hidden="1">#REF!</definedName>
    <definedName name="______key2" localSheetId="18" hidden="1">#REF!</definedName>
    <definedName name="______key2" localSheetId="19" hidden="1">#REF!</definedName>
    <definedName name="______key2" localSheetId="12" hidden="1">#REF!</definedName>
    <definedName name="______key2" hidden="1">#REF!</definedName>
    <definedName name="______p1" localSheetId="0">#REF!</definedName>
    <definedName name="______p1" localSheetId="10">#REF!</definedName>
    <definedName name="______p1" localSheetId="18">#REF!</definedName>
    <definedName name="______p1" localSheetId="19">#REF!</definedName>
    <definedName name="______p1" localSheetId="12">#REF!</definedName>
    <definedName name="______p1">#REF!</definedName>
    <definedName name="______RM1">[7]PAG19!$B$3:$I$39</definedName>
    <definedName name="______RM2">[7]PAG19!$J$3:$P$39</definedName>
    <definedName name="_____A2" localSheetId="0">'[11]R. Natural'!#REF!</definedName>
    <definedName name="_____A2" localSheetId="7">'[11]R. Natural'!#REF!</definedName>
    <definedName name="_____A2" localSheetId="3">'[11]R. Natural'!#REF!</definedName>
    <definedName name="_____A2" localSheetId="10">'[11]R. Natural'!#REF!</definedName>
    <definedName name="_____A2" localSheetId="4">'[11]R. Natural'!#REF!</definedName>
    <definedName name="_____A2" localSheetId="5">'[11]R. Natural'!#REF!</definedName>
    <definedName name="_____A2" localSheetId="18">'[11]R. Natural'!#REF!</definedName>
    <definedName name="_____A2" localSheetId="19">'[11]R. Natural'!#REF!</definedName>
    <definedName name="_____A2" localSheetId="12">'[11]R. Natural'!#REF!</definedName>
    <definedName name="_____A2" localSheetId="6">'[11]R. Natural'!#REF!</definedName>
    <definedName name="_____A2">'[11]R. Natural'!#REF!</definedName>
    <definedName name="_____bol52" localSheetId="0">[3]PAG_35!#REF!</definedName>
    <definedName name="_____bol52" localSheetId="7">[3]PAG_35!#REF!</definedName>
    <definedName name="_____bol52" localSheetId="3">[3]PAG_35!#REF!</definedName>
    <definedName name="_____bol52" localSheetId="10">[3]PAG_35!#REF!</definedName>
    <definedName name="_____bol52" localSheetId="4">[3]PAG_35!#REF!</definedName>
    <definedName name="_____bol52" localSheetId="5">[3]PAG_35!#REF!</definedName>
    <definedName name="_____bol52" localSheetId="18">[3]PAG_35!#REF!</definedName>
    <definedName name="_____bol52" localSheetId="19">[3]PAG_35!#REF!</definedName>
    <definedName name="_____bol52" localSheetId="12">[3]PAG_35!#REF!</definedName>
    <definedName name="_____bol52" localSheetId="6">[3]PAG_35!#REF!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0">[5]Cdr7!#REF!</definedName>
    <definedName name="_____cdr2" localSheetId="7">[5]Cdr7!#REF!</definedName>
    <definedName name="_____cdr2" localSheetId="3">[5]Cdr7!#REF!</definedName>
    <definedName name="_____cdr2" localSheetId="10">[5]Cdr7!#REF!</definedName>
    <definedName name="_____cdr2" localSheetId="4">[5]Cdr7!#REF!</definedName>
    <definedName name="_____cdr2" localSheetId="5">[5]Cdr7!#REF!</definedName>
    <definedName name="_____cdr2" localSheetId="18">[5]Cdr7!#REF!</definedName>
    <definedName name="_____cdr2" localSheetId="19">[5]Cdr7!#REF!</definedName>
    <definedName name="_____cdr2" localSheetId="12">[5]Cdr7!#REF!</definedName>
    <definedName name="_____cdr2" localSheetId="6">[5]Cdr7!#REF!</definedName>
    <definedName name="_____cdr2" localSheetId="14">[5]Cdr7!#REF!</definedName>
    <definedName name="_____cdr2">[5]Cdr7!#REF!</definedName>
    <definedName name="_____Cdr7" localSheetId="0">'[12]Cdrs 1-2'!$A$1:$S$46</definedName>
    <definedName name="_____Cdr7">'[12]Cdrs 1-2'!$A$1:$S$46</definedName>
    <definedName name="_____Cdr8" localSheetId="0">'[12]Cdrs 1-2'!$A$69:$S$114</definedName>
    <definedName name="_____Cdr8">'[12]Cdrs 1-2'!$A$69:$S$114</definedName>
    <definedName name="_____Dur1">[4]Dur!$A$2:$I$27</definedName>
    <definedName name="_____G7" localSheetId="0" hidden="1">#REF!</definedName>
    <definedName name="_____G7" localSheetId="7" hidden="1">#REF!</definedName>
    <definedName name="_____G7" localSheetId="3" hidden="1">#REF!</definedName>
    <definedName name="_____G7" localSheetId="10" hidden="1">#REF!</definedName>
    <definedName name="_____G7" localSheetId="4" hidden="1">#REF!</definedName>
    <definedName name="_____G7" localSheetId="5" hidden="1">#REF!</definedName>
    <definedName name="_____G7" localSheetId="18" hidden="1">#REF!</definedName>
    <definedName name="_____G7" localSheetId="19" hidden="1">#REF!</definedName>
    <definedName name="_____G7" localSheetId="12" hidden="1">#REF!</definedName>
    <definedName name="_____G7" localSheetId="6" hidden="1">#REF!</definedName>
    <definedName name="_____G7" hidden="1">#REF!</definedName>
    <definedName name="_____gas001" localSheetId="0">#REF!</definedName>
    <definedName name="_____gas001" localSheetId="10">#REF!</definedName>
    <definedName name="_____gas001" localSheetId="18">#REF!</definedName>
    <definedName name="_____gas001" localSheetId="19">#REF!</definedName>
    <definedName name="_____gas001" localSheetId="12">#REF!</definedName>
    <definedName name="_____gas001">#REF!</definedName>
    <definedName name="_____Gas01" localSheetId="0">#REF!</definedName>
    <definedName name="_____Gas01" localSheetId="10">#REF!</definedName>
    <definedName name="_____Gas01" localSheetId="18">#REF!</definedName>
    <definedName name="_____Gas01" localSheetId="19">#REF!</definedName>
    <definedName name="_____Gas01" localSheetId="12">#REF!</definedName>
    <definedName name="_____Gas01">#REF!</definedName>
    <definedName name="_____gas1" localSheetId="0">#REF!</definedName>
    <definedName name="_____gas1" localSheetId="10">#REF!</definedName>
    <definedName name="_____gas1" localSheetId="18">#REF!</definedName>
    <definedName name="_____gas1" localSheetId="19">#REF!</definedName>
    <definedName name="_____gas1" localSheetId="12">#REF!</definedName>
    <definedName name="_____gas1">#REF!</definedName>
    <definedName name="_____Imp1" localSheetId="0">#REF!</definedName>
    <definedName name="_____Imp1" localSheetId="10">#REF!</definedName>
    <definedName name="_____Imp1" localSheetId="18">#REF!</definedName>
    <definedName name="_____Imp1" localSheetId="19">#REF!</definedName>
    <definedName name="_____Imp1" localSheetId="12">#REF!</definedName>
    <definedName name="_____Imp1">#REF!</definedName>
    <definedName name="_____Imp2" localSheetId="0">#REF!</definedName>
    <definedName name="_____Imp2" localSheetId="10">#REF!</definedName>
    <definedName name="_____Imp2" localSheetId="18">#REF!</definedName>
    <definedName name="_____Imp2" localSheetId="19">#REF!</definedName>
    <definedName name="_____Imp2" localSheetId="12">#REF!</definedName>
    <definedName name="_____Imp2">#REF!</definedName>
    <definedName name="_____key2" localSheetId="0" hidden="1">#REF!</definedName>
    <definedName name="_____key2" localSheetId="10" hidden="1">#REF!</definedName>
    <definedName name="_____key2" localSheetId="18" hidden="1">#REF!</definedName>
    <definedName name="_____key2" localSheetId="19" hidden="1">#REF!</definedName>
    <definedName name="_____key2" localSheetId="12" hidden="1">#REF!</definedName>
    <definedName name="_____key2" hidden="1">#REF!</definedName>
    <definedName name="_____p1" localSheetId="0">#REF!</definedName>
    <definedName name="_____p1" localSheetId="10">#REF!</definedName>
    <definedName name="_____p1" localSheetId="18">#REF!</definedName>
    <definedName name="_____p1" localSheetId="19">#REF!</definedName>
    <definedName name="_____p1" localSheetId="12">#REF!</definedName>
    <definedName name="_____p1">#REF!</definedName>
    <definedName name="_____RM1">[7]PAG19!$B$3:$I$39</definedName>
    <definedName name="_____RM2">[7]PAG19!$J$3:$P$39</definedName>
    <definedName name="____A2" localSheetId="0">'[11]R. Natural'!#REF!</definedName>
    <definedName name="____A2" localSheetId="7">'[11]R. Natural'!#REF!</definedName>
    <definedName name="____A2" localSheetId="3">'[11]R. Natural'!#REF!</definedName>
    <definedName name="____A2" localSheetId="10">'[11]R. Natural'!#REF!</definedName>
    <definedName name="____A2" localSheetId="4">'[11]R. Natural'!#REF!</definedName>
    <definedName name="____A2" localSheetId="5">'[11]R. Natural'!#REF!</definedName>
    <definedName name="____A2" localSheetId="18">'[11]R. Natural'!#REF!</definedName>
    <definedName name="____A2" localSheetId="19">'[11]R. Natural'!#REF!</definedName>
    <definedName name="____A2" localSheetId="12">'[11]R. Natural'!#REF!</definedName>
    <definedName name="____A2" localSheetId="6">'[11]R. Natural'!#REF!</definedName>
    <definedName name="____A2">'[11]R. Natural'!#REF!</definedName>
    <definedName name="____bol52" localSheetId="0">[3]PAG_35!#REF!</definedName>
    <definedName name="____bol52" localSheetId="7">[3]PAG_35!#REF!</definedName>
    <definedName name="____bol52" localSheetId="3">[3]PAG_35!#REF!</definedName>
    <definedName name="____bol52" localSheetId="10">[3]PAG_35!#REF!</definedName>
    <definedName name="____bol52" localSheetId="4">[3]PAG_35!#REF!</definedName>
    <definedName name="____bol52" localSheetId="5">[3]PAG_35!#REF!</definedName>
    <definedName name="____bol52" localSheetId="18">[3]PAG_35!#REF!</definedName>
    <definedName name="____bol52" localSheetId="19">[3]PAG_35!#REF!</definedName>
    <definedName name="____bol52" localSheetId="12">[3]PAG_35!#REF!</definedName>
    <definedName name="____bol52" localSheetId="6">[3]PAG_35!#REF!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0">[5]Cdr7!#REF!</definedName>
    <definedName name="____cdr2" localSheetId="7">[5]Cdr7!#REF!</definedName>
    <definedName name="____cdr2" localSheetId="3">[5]Cdr7!#REF!</definedName>
    <definedName name="____cdr2" localSheetId="10">[5]Cdr7!#REF!</definedName>
    <definedName name="____cdr2" localSheetId="4">[5]Cdr7!#REF!</definedName>
    <definedName name="____cdr2" localSheetId="5">[5]Cdr7!#REF!</definedName>
    <definedName name="____cdr2" localSheetId="18">[5]Cdr7!#REF!</definedName>
    <definedName name="____cdr2" localSheetId="19">[5]Cdr7!#REF!</definedName>
    <definedName name="____cdr2" localSheetId="12">[5]Cdr7!#REF!</definedName>
    <definedName name="____cdr2" localSheetId="6">[5]Cdr7!#REF!</definedName>
    <definedName name="____cdr2" localSheetId="14">[5]Cdr7!#REF!</definedName>
    <definedName name="____cdr2">[5]Cdr7!#REF!</definedName>
    <definedName name="____Cdr7" localSheetId="0">'[12]Cdrs 1-2'!$A$1:$S$46</definedName>
    <definedName name="____Cdr7">'[12]Cdrs 1-2'!$A$1:$S$46</definedName>
    <definedName name="____Cdr8" localSheetId="0">'[12]Cdrs 1-2'!$A$69:$S$114</definedName>
    <definedName name="____Cdr8">'[12]Cdrs 1-2'!$A$69:$S$114</definedName>
    <definedName name="____Dur1">[4]Dur!$A$2:$I$27</definedName>
    <definedName name="____G7" localSheetId="0" hidden="1">#REF!</definedName>
    <definedName name="____G7" localSheetId="7" hidden="1">#REF!</definedName>
    <definedName name="____G7" localSheetId="3" hidden="1">#REF!</definedName>
    <definedName name="____G7" localSheetId="10" hidden="1">#REF!</definedName>
    <definedName name="____G7" localSheetId="4" hidden="1">#REF!</definedName>
    <definedName name="____G7" localSheetId="5" hidden="1">#REF!</definedName>
    <definedName name="____G7" localSheetId="18" hidden="1">#REF!</definedName>
    <definedName name="____G7" localSheetId="19" hidden="1">#REF!</definedName>
    <definedName name="____G7" localSheetId="12" hidden="1">#REF!</definedName>
    <definedName name="____G7" localSheetId="6" hidden="1">#REF!</definedName>
    <definedName name="____G7" hidden="1">#REF!</definedName>
    <definedName name="____gas001" localSheetId="0">#REF!</definedName>
    <definedName name="____gas001" localSheetId="10">#REF!</definedName>
    <definedName name="____gas001" localSheetId="18">#REF!</definedName>
    <definedName name="____gas001" localSheetId="19">#REF!</definedName>
    <definedName name="____gas001" localSheetId="12">#REF!</definedName>
    <definedName name="____gas001">#REF!</definedName>
    <definedName name="____Gas01" localSheetId="0">#REF!</definedName>
    <definedName name="____Gas01" localSheetId="10">#REF!</definedName>
    <definedName name="____Gas01" localSheetId="18">#REF!</definedName>
    <definedName name="____Gas01" localSheetId="19">#REF!</definedName>
    <definedName name="____Gas01" localSheetId="12">#REF!</definedName>
    <definedName name="____Gas01">#REF!</definedName>
    <definedName name="____gas1" localSheetId="0">#REF!</definedName>
    <definedName name="____gas1" localSheetId="10">#REF!</definedName>
    <definedName name="____gas1" localSheetId="18">#REF!</definedName>
    <definedName name="____gas1" localSheetId="19">#REF!</definedName>
    <definedName name="____gas1" localSheetId="12">#REF!</definedName>
    <definedName name="____gas1">#REF!</definedName>
    <definedName name="____Imp1" localSheetId="0">#REF!</definedName>
    <definedName name="____Imp1" localSheetId="10">#REF!</definedName>
    <definedName name="____Imp1" localSheetId="18">#REF!</definedName>
    <definedName name="____Imp1" localSheetId="19">#REF!</definedName>
    <definedName name="____Imp1" localSheetId="12">#REF!</definedName>
    <definedName name="____Imp1">#REF!</definedName>
    <definedName name="____Imp2" localSheetId="0">#REF!</definedName>
    <definedName name="____Imp2" localSheetId="10">#REF!</definedName>
    <definedName name="____Imp2" localSheetId="18">#REF!</definedName>
    <definedName name="____Imp2" localSheetId="19">#REF!</definedName>
    <definedName name="____Imp2" localSheetId="12">#REF!</definedName>
    <definedName name="____Imp2">#REF!</definedName>
    <definedName name="____key2" localSheetId="0" hidden="1">#REF!</definedName>
    <definedName name="____key2" localSheetId="10" hidden="1">#REF!</definedName>
    <definedName name="____key2" localSheetId="18" hidden="1">#REF!</definedName>
    <definedName name="____key2" localSheetId="19" hidden="1">#REF!</definedName>
    <definedName name="____key2" localSheetId="12" hidden="1">#REF!</definedName>
    <definedName name="____key2" hidden="1">#REF!</definedName>
    <definedName name="____p1" localSheetId="0">#REF!</definedName>
    <definedName name="____p1" localSheetId="10">#REF!</definedName>
    <definedName name="____p1" localSheetId="18">#REF!</definedName>
    <definedName name="____p1" localSheetId="19">#REF!</definedName>
    <definedName name="____p1" localSheetId="12">#REF!</definedName>
    <definedName name="____p1">#REF!</definedName>
    <definedName name="____RM1">[7]PAG19!$B$3:$I$39</definedName>
    <definedName name="____RM2">[7]PAG19!$J$3:$P$39</definedName>
    <definedName name="___A2" localSheetId="0">'[11]R. Natural'!#REF!</definedName>
    <definedName name="___A2" localSheetId="7">'[11]R. Natural'!#REF!</definedName>
    <definedName name="___A2" localSheetId="3">'[11]R. Natural'!#REF!</definedName>
    <definedName name="___A2" localSheetId="10">'[11]R. Natural'!#REF!</definedName>
    <definedName name="___A2" localSheetId="4">'[11]R. Natural'!#REF!</definedName>
    <definedName name="___A2" localSheetId="5">'[11]R. Natural'!#REF!</definedName>
    <definedName name="___A2" localSheetId="18">'[11]R. Natural'!#REF!</definedName>
    <definedName name="___A2" localSheetId="19">'[11]R. Natural'!#REF!</definedName>
    <definedName name="___A2" localSheetId="12">'[11]R. Natural'!#REF!</definedName>
    <definedName name="___A2" localSheetId="6">'[11]R. Natural'!#REF!</definedName>
    <definedName name="___A2">'[11]R. Natural'!#REF!</definedName>
    <definedName name="___bol52" localSheetId="0">[3]PAG_35!#REF!</definedName>
    <definedName name="___bol52" localSheetId="7">[3]PAG_35!#REF!</definedName>
    <definedName name="___bol52" localSheetId="3">[3]PAG_35!#REF!</definedName>
    <definedName name="___bol52" localSheetId="10">[3]PAG_35!#REF!</definedName>
    <definedName name="___bol52" localSheetId="4">[3]PAG_35!#REF!</definedName>
    <definedName name="___bol52" localSheetId="5">[3]PAG_35!#REF!</definedName>
    <definedName name="___bol52" localSheetId="18">[3]PAG_35!#REF!</definedName>
    <definedName name="___bol52" localSheetId="19">[3]PAG_35!#REF!</definedName>
    <definedName name="___bol52" localSheetId="12">[3]PAG_35!#REF!</definedName>
    <definedName name="___bol52" localSheetId="6">[3]PAG_35!#REF!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0">[5]Cdr7!#REF!</definedName>
    <definedName name="___cdr2" localSheetId="7">[5]Cdr7!#REF!</definedName>
    <definedName name="___cdr2" localSheetId="3">[5]Cdr7!#REF!</definedName>
    <definedName name="___cdr2" localSheetId="10">[5]Cdr7!#REF!</definedName>
    <definedName name="___cdr2" localSheetId="4">[5]Cdr7!#REF!</definedName>
    <definedName name="___cdr2" localSheetId="5">[5]Cdr7!#REF!</definedName>
    <definedName name="___cdr2" localSheetId="18">[5]Cdr7!#REF!</definedName>
    <definedName name="___cdr2" localSheetId="19">[5]Cdr7!#REF!</definedName>
    <definedName name="___cdr2" localSheetId="12">[5]Cdr7!#REF!</definedName>
    <definedName name="___cdr2" localSheetId="6">[5]Cdr7!#REF!</definedName>
    <definedName name="___cdr2" localSheetId="14">[5]Cdr7!#REF!</definedName>
    <definedName name="___cdr2">[5]Cdr7!#REF!</definedName>
    <definedName name="___Cdr7" localSheetId="0">'[12]Cdrs 1-2'!$A$1:$S$46</definedName>
    <definedName name="___Cdr7">'[12]Cdrs 1-2'!$A$1:$S$46</definedName>
    <definedName name="___Cdr8" localSheetId="0">'[12]Cdrs 1-2'!$A$69:$S$114</definedName>
    <definedName name="___Cdr8">'[12]Cdrs 1-2'!$A$69:$S$114</definedName>
    <definedName name="___Dur1">[4]Dur!$A$2:$I$27</definedName>
    <definedName name="___G7" localSheetId="0" hidden="1">#REF!</definedName>
    <definedName name="___G7" localSheetId="7" hidden="1">#REF!</definedName>
    <definedName name="___G7" localSheetId="3" hidden="1">#REF!</definedName>
    <definedName name="___G7" localSheetId="10" hidden="1">#REF!</definedName>
    <definedName name="___G7" localSheetId="4" hidden="1">#REF!</definedName>
    <definedName name="___G7" localSheetId="5" hidden="1">#REF!</definedName>
    <definedName name="___G7" localSheetId="18" hidden="1">#REF!</definedName>
    <definedName name="___G7" localSheetId="19" hidden="1">#REF!</definedName>
    <definedName name="___G7" localSheetId="12" hidden="1">#REF!</definedName>
    <definedName name="___G7" localSheetId="6" hidden="1">#REF!</definedName>
    <definedName name="___G7" hidden="1">#REF!</definedName>
    <definedName name="___gas001" localSheetId="0">#REF!</definedName>
    <definedName name="___gas001" localSheetId="10">#REF!</definedName>
    <definedName name="___gas001" localSheetId="18">#REF!</definedName>
    <definedName name="___gas001" localSheetId="19">#REF!</definedName>
    <definedName name="___gas001" localSheetId="12">#REF!</definedName>
    <definedName name="___gas001">#REF!</definedName>
    <definedName name="___Gas01" localSheetId="0">#REF!</definedName>
    <definedName name="___Gas01" localSheetId="10">#REF!</definedName>
    <definedName name="___Gas01" localSheetId="18">#REF!</definedName>
    <definedName name="___Gas01" localSheetId="19">#REF!</definedName>
    <definedName name="___Gas01" localSheetId="12">#REF!</definedName>
    <definedName name="___Gas01">#REF!</definedName>
    <definedName name="___gas1" localSheetId="0">#REF!</definedName>
    <definedName name="___gas1" localSheetId="10">#REF!</definedName>
    <definedName name="___gas1" localSheetId="18">#REF!</definedName>
    <definedName name="___gas1" localSheetId="19">#REF!</definedName>
    <definedName name="___gas1" localSheetId="12">#REF!</definedName>
    <definedName name="___gas1">#REF!</definedName>
    <definedName name="___Imp1" localSheetId="0">#REF!</definedName>
    <definedName name="___Imp1" localSheetId="10">#REF!</definedName>
    <definedName name="___Imp1" localSheetId="18">#REF!</definedName>
    <definedName name="___Imp1" localSheetId="19">#REF!</definedName>
    <definedName name="___Imp1" localSheetId="12">#REF!</definedName>
    <definedName name="___Imp1">#REF!</definedName>
    <definedName name="___Imp2" localSheetId="0">#REF!</definedName>
    <definedName name="___Imp2" localSheetId="10">#REF!</definedName>
    <definedName name="___Imp2" localSheetId="18">#REF!</definedName>
    <definedName name="___Imp2" localSheetId="19">#REF!</definedName>
    <definedName name="___Imp2" localSheetId="12">#REF!</definedName>
    <definedName name="___Imp2">#REF!</definedName>
    <definedName name="___key2" localSheetId="0" hidden="1">#REF!</definedName>
    <definedName name="___key2" localSheetId="10" hidden="1">#REF!</definedName>
    <definedName name="___key2" localSheetId="18" hidden="1">#REF!</definedName>
    <definedName name="___key2" localSheetId="19" hidden="1">#REF!</definedName>
    <definedName name="___key2" localSheetId="12" hidden="1">#REF!</definedName>
    <definedName name="___key2" hidden="1">#REF!</definedName>
    <definedName name="___p1" localSheetId="0">#REF!</definedName>
    <definedName name="___p1" localSheetId="10">#REF!</definedName>
    <definedName name="___p1" localSheetId="18">#REF!</definedName>
    <definedName name="___p1" localSheetId="19">#REF!</definedName>
    <definedName name="___p1" localSheetId="12">#REF!</definedName>
    <definedName name="___p1">#REF!</definedName>
    <definedName name="___RM1">[7]PAG19!$B$3:$I$39</definedName>
    <definedName name="___RM2">[7]PAG19!$J$3:$P$39</definedName>
    <definedName name="__1__123Graph_ACHART_1" hidden="1">[13]Hoja3!$J$368:$J$408</definedName>
    <definedName name="__123Graph_A" localSheetId="0" hidden="1">[14]balance!#REF!</definedName>
    <definedName name="__123Graph_A" localSheetId="7" hidden="1">[14]balance!#REF!</definedName>
    <definedName name="__123Graph_A" localSheetId="8" hidden="1">[14]balance!#REF!</definedName>
    <definedName name="__123Graph_A" localSheetId="3" hidden="1">[14]balance!#REF!</definedName>
    <definedName name="__123Graph_A" localSheetId="10" hidden="1">[14]balance!#REF!</definedName>
    <definedName name="__123Graph_A" localSheetId="4" hidden="1">[14]balance!#REF!</definedName>
    <definedName name="__123Graph_A" localSheetId="17" hidden="1">[14]balance!#REF!</definedName>
    <definedName name="__123Graph_A" localSheetId="5" hidden="1">[14]balance!#REF!</definedName>
    <definedName name="__123Graph_A" localSheetId="18" hidden="1">[14]balance!#REF!</definedName>
    <definedName name="__123Graph_A" localSheetId="19" hidden="1">[14]balance!#REF!</definedName>
    <definedName name="__123Graph_A" localSheetId="12" hidden="1">[14]balance!#REF!</definedName>
    <definedName name="__123Graph_A" localSheetId="6" hidden="1">[14]balance!#REF!</definedName>
    <definedName name="__123Graph_A" hidden="1">[14]balance!#REF!</definedName>
    <definedName name="__123Graph_ACURRENT" localSheetId="0" hidden="1">[14]balance!#REF!</definedName>
    <definedName name="__123Graph_ACURRENT" localSheetId="7" hidden="1">[14]balance!#REF!</definedName>
    <definedName name="__123Graph_ACURRENT" localSheetId="8" hidden="1">[14]balance!#REF!</definedName>
    <definedName name="__123Graph_ACURRENT" localSheetId="3" hidden="1">[14]balance!#REF!</definedName>
    <definedName name="__123Graph_ACURRENT" localSheetId="10" hidden="1">[14]balance!#REF!</definedName>
    <definedName name="__123Graph_ACURRENT" localSheetId="4" hidden="1">[14]balance!#REF!</definedName>
    <definedName name="__123Graph_ACURRENT" localSheetId="17" hidden="1">[14]balance!#REF!</definedName>
    <definedName name="__123Graph_ACURRENT" localSheetId="5" hidden="1">[14]balance!#REF!</definedName>
    <definedName name="__123Graph_ACURRENT" localSheetId="18" hidden="1">[14]balance!#REF!</definedName>
    <definedName name="__123Graph_ACURRENT" localSheetId="19" hidden="1">[14]balance!#REF!</definedName>
    <definedName name="__123Graph_ACURRENT" localSheetId="12" hidden="1">[14]balance!#REF!</definedName>
    <definedName name="__123Graph_ACURRENT" localSheetId="6" hidden="1">[14]balance!#REF!</definedName>
    <definedName name="__123Graph_ACURRENT" hidden="1">[14]balance!#REF!</definedName>
    <definedName name="__123Graph_B" localSheetId="0" hidden="1">[14]balance!#REF!</definedName>
    <definedName name="__123Graph_B" localSheetId="8" hidden="1">[14]balance!#REF!</definedName>
    <definedName name="__123Graph_B" localSheetId="10" hidden="1">[14]balance!#REF!</definedName>
    <definedName name="__123Graph_B" localSheetId="17" hidden="1">[14]balance!#REF!</definedName>
    <definedName name="__123Graph_B" localSheetId="18" hidden="1">[14]balance!#REF!</definedName>
    <definedName name="__123Graph_B" localSheetId="19" hidden="1">[14]balance!#REF!</definedName>
    <definedName name="__123Graph_B" localSheetId="12" hidden="1">[14]balance!#REF!</definedName>
    <definedName name="__123Graph_B" hidden="1">[14]balance!#REF!</definedName>
    <definedName name="__123Graph_BCURRENT" localSheetId="0" hidden="1">[14]balance!#REF!</definedName>
    <definedName name="__123Graph_BCURRENT" localSheetId="8" hidden="1">[14]balance!#REF!</definedName>
    <definedName name="__123Graph_BCURRENT" localSheetId="10" hidden="1">[14]balance!#REF!</definedName>
    <definedName name="__123Graph_BCURRENT" localSheetId="17" hidden="1">[14]balance!#REF!</definedName>
    <definedName name="__123Graph_BCURRENT" localSheetId="18" hidden="1">[14]balance!#REF!</definedName>
    <definedName name="__123Graph_BCURRENT" localSheetId="19" hidden="1">[14]balance!#REF!</definedName>
    <definedName name="__123Graph_BCURRENT" localSheetId="12" hidden="1">[14]balance!#REF!</definedName>
    <definedName name="__123Graph_BCURRENT" hidden="1">[14]balance!#REF!</definedName>
    <definedName name="__123Graph_D" localSheetId="0" hidden="1">[14]balance!#REF!</definedName>
    <definedName name="__123Graph_D" localSheetId="8" hidden="1">[14]balance!#REF!</definedName>
    <definedName name="__123Graph_D" localSheetId="10" hidden="1">[14]balance!#REF!</definedName>
    <definedName name="__123Graph_D" localSheetId="17" hidden="1">[14]balance!#REF!</definedName>
    <definedName name="__123Graph_D" localSheetId="18" hidden="1">[14]balance!#REF!</definedName>
    <definedName name="__123Graph_D" localSheetId="19" hidden="1">[14]balance!#REF!</definedName>
    <definedName name="__123Graph_D" localSheetId="12" hidden="1">[14]balance!#REF!</definedName>
    <definedName name="__123Graph_D" hidden="1">[14]balance!#REF!</definedName>
    <definedName name="__123Graph_DCURRENT" localSheetId="0" hidden="1">[14]balance!#REF!</definedName>
    <definedName name="__123Graph_DCURRENT" localSheetId="10" hidden="1">[14]balance!#REF!</definedName>
    <definedName name="__123Graph_DCURRENT" localSheetId="18" hidden="1">[14]balance!#REF!</definedName>
    <definedName name="__123Graph_DCURRENT" localSheetId="19" hidden="1">[14]balance!#REF!</definedName>
    <definedName name="__123Graph_DCURRENT" localSheetId="12" hidden="1">[14]balance!#REF!</definedName>
    <definedName name="__123Graph_DCURRENT" hidden="1">[14]balance!#REF!</definedName>
    <definedName name="__123Graph_F" localSheetId="0" hidden="1">[14]balance!#REF!</definedName>
    <definedName name="__123Graph_F" localSheetId="10" hidden="1">[14]balance!#REF!</definedName>
    <definedName name="__123Graph_F" localSheetId="18" hidden="1">[14]balance!#REF!</definedName>
    <definedName name="__123Graph_F" localSheetId="19" hidden="1">[14]balance!#REF!</definedName>
    <definedName name="__123Graph_F" localSheetId="12" hidden="1">[14]balance!#REF!</definedName>
    <definedName name="__123Graph_F" hidden="1">[14]balance!#REF!</definedName>
    <definedName name="__123Graph_FCURRENT" localSheetId="0" hidden="1">[14]balance!#REF!</definedName>
    <definedName name="__123Graph_FCURRENT" localSheetId="10" hidden="1">[14]balance!#REF!</definedName>
    <definedName name="__123Graph_FCURRENT" localSheetId="18" hidden="1">[14]balance!#REF!</definedName>
    <definedName name="__123Graph_FCURRENT" localSheetId="19" hidden="1">[14]balance!#REF!</definedName>
    <definedName name="__123Graph_FCURRENT" localSheetId="12" hidden="1">[14]balance!#REF!</definedName>
    <definedName name="__123Graph_FCURRENT" hidden="1">[14]balance!#REF!</definedName>
    <definedName name="__123Graph_X" localSheetId="0" hidden="1">[14]balance!#REF!</definedName>
    <definedName name="__123Graph_X" localSheetId="10" hidden="1">[14]balance!#REF!</definedName>
    <definedName name="__123Graph_X" localSheetId="18" hidden="1">[14]balance!#REF!</definedName>
    <definedName name="__123Graph_X" localSheetId="19" hidden="1">[14]balance!#REF!</definedName>
    <definedName name="__123Graph_X" localSheetId="12" hidden="1">[14]balance!#REF!</definedName>
    <definedName name="__123Graph_X" hidden="1">[14]balance!#REF!</definedName>
    <definedName name="__123Graph_XCURRENT" localSheetId="0" hidden="1">[14]balance!#REF!</definedName>
    <definedName name="__123Graph_XCURRENT" localSheetId="10" hidden="1">[14]balance!#REF!</definedName>
    <definedName name="__123Graph_XCURRENT" localSheetId="18" hidden="1">[14]balance!#REF!</definedName>
    <definedName name="__123Graph_XCURRENT" localSheetId="19" hidden="1">[14]balance!#REF!</definedName>
    <definedName name="__123Graph_XCURRENT" localSheetId="12" hidden="1">[14]balance!#REF!</definedName>
    <definedName name="__123Graph_XCURRENT" hidden="1">[14]balance!#REF!</definedName>
    <definedName name="__2_" localSheetId="7">#REF!</definedName>
    <definedName name="__2_" localSheetId="3">#REF!</definedName>
    <definedName name="__2_" localSheetId="10">#REF!</definedName>
    <definedName name="__2_" localSheetId="4">#REF!</definedName>
    <definedName name="__2_" localSheetId="5">#REF!</definedName>
    <definedName name="__2_" localSheetId="18">#REF!</definedName>
    <definedName name="__2_" localSheetId="19">#REF!</definedName>
    <definedName name="__2_" localSheetId="12">#REF!</definedName>
    <definedName name="__2_" localSheetId="6">#REF!</definedName>
    <definedName name="__2_" localSheetId="14">#REF!</definedName>
    <definedName name="__2_">#REF!</definedName>
    <definedName name="__2__123Graph_XCHART_1" hidden="1">[13]Hoja3!$A$368:$A$408</definedName>
    <definedName name="__4_0" localSheetId="7">#REF!</definedName>
    <definedName name="__4_0" localSheetId="3">#REF!</definedName>
    <definedName name="__4_0" localSheetId="10">#REF!</definedName>
    <definedName name="__4_0" localSheetId="4">#REF!</definedName>
    <definedName name="__4_0" localSheetId="5">#REF!</definedName>
    <definedName name="__4_0" localSheetId="18">#REF!</definedName>
    <definedName name="__4_0" localSheetId="19">#REF!</definedName>
    <definedName name="__4_0" localSheetId="12">#REF!</definedName>
    <definedName name="__4_0" localSheetId="6">#REF!</definedName>
    <definedName name="__4_0" localSheetId="14">#REF!</definedName>
    <definedName name="__4_0">#REF!</definedName>
    <definedName name="__A2" localSheetId="0">'[15]R. Natural'!#REF!</definedName>
    <definedName name="__A2" localSheetId="7">'[15]R. Natural'!#REF!</definedName>
    <definedName name="__A2" localSheetId="3">'[15]R. Natural'!#REF!</definedName>
    <definedName name="__A2" localSheetId="10">'[15]R. Natural'!#REF!</definedName>
    <definedName name="__A2" localSheetId="4">'[15]R. Natural'!#REF!</definedName>
    <definedName name="__A2" localSheetId="5">'[15]R. Natural'!#REF!</definedName>
    <definedName name="__A2" localSheetId="18">'[15]R. Natural'!#REF!</definedName>
    <definedName name="__A2" localSheetId="19">'[15]R. Natural'!#REF!</definedName>
    <definedName name="__A2" localSheetId="12">'[15]R. Natural'!#REF!</definedName>
    <definedName name="__A2" localSheetId="6">'[15]R. Natural'!#REF!</definedName>
    <definedName name="__A2">'[15]R. Natural'!#REF!</definedName>
    <definedName name="__bol52" localSheetId="0">[3]PAG_35!#REF!</definedName>
    <definedName name="__bol52" localSheetId="7">[3]PAG_35!#REF!</definedName>
    <definedName name="__bol52" localSheetId="3">[3]PAG_35!#REF!</definedName>
    <definedName name="__bol52" localSheetId="10">[3]PAG_35!#REF!</definedName>
    <definedName name="__bol52" localSheetId="4">[3]PAG_35!#REF!</definedName>
    <definedName name="__bol52" localSheetId="5">[3]PAG_35!#REF!</definedName>
    <definedName name="__bol52" localSheetId="18">[3]PAG_35!#REF!</definedName>
    <definedName name="__bol52" localSheetId="19">[3]PAG_35!#REF!</definedName>
    <definedName name="__bol52" localSheetId="12">[3]PAG_35!#REF!</definedName>
    <definedName name="__bol52" localSheetId="6">[3]PAG_35!#REF!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0">[5]Cdr7!#REF!</definedName>
    <definedName name="__cdr2" localSheetId="7">[5]Cdr7!#REF!</definedName>
    <definedName name="__cdr2" localSheetId="3">[5]Cdr7!#REF!</definedName>
    <definedName name="__cdr2" localSheetId="10">[5]Cdr7!#REF!</definedName>
    <definedName name="__cdr2" localSheetId="4">[5]Cdr7!#REF!</definedName>
    <definedName name="__cdr2" localSheetId="5">[5]Cdr7!#REF!</definedName>
    <definedName name="__cdr2" localSheetId="18">[5]Cdr7!#REF!</definedName>
    <definedName name="__cdr2" localSheetId="19">[5]Cdr7!#REF!</definedName>
    <definedName name="__cdr2" localSheetId="12">[5]Cdr7!#REF!</definedName>
    <definedName name="__cdr2" localSheetId="6">[5]Cdr7!#REF!</definedName>
    <definedName name="__cdr2" localSheetId="14">[5]Cdr7!#REF!</definedName>
    <definedName name="__cdr2">[5]Cdr7!#REF!</definedName>
    <definedName name="__Cdr7">'[6]Cdrs 1-2'!$A$1:$S$46</definedName>
    <definedName name="__Cdr8">'[6]Cdrs 1-2'!$A$69:$S$114</definedName>
    <definedName name="__Dur1">[4]Dur!$A$2:$I$27</definedName>
    <definedName name="__G7" localSheetId="0" hidden="1">#REF!</definedName>
    <definedName name="__G7" localSheetId="7" hidden="1">#REF!</definedName>
    <definedName name="__G7" localSheetId="3" hidden="1">#REF!</definedName>
    <definedName name="__G7" localSheetId="10" hidden="1">#REF!</definedName>
    <definedName name="__G7" localSheetId="4" hidden="1">#REF!</definedName>
    <definedName name="__G7" localSheetId="5" hidden="1">#REF!</definedName>
    <definedName name="__G7" localSheetId="18" hidden="1">#REF!</definedName>
    <definedName name="__G7" localSheetId="19" hidden="1">#REF!</definedName>
    <definedName name="__G7" localSheetId="12" hidden="1">#REF!</definedName>
    <definedName name="__G7" localSheetId="6" hidden="1">#REF!</definedName>
    <definedName name="__G7" hidden="1">#REF!</definedName>
    <definedName name="__gas001" localSheetId="0">#REF!</definedName>
    <definedName name="__gas001" localSheetId="10">#REF!</definedName>
    <definedName name="__gas001" localSheetId="18">#REF!</definedName>
    <definedName name="__gas001" localSheetId="19">#REF!</definedName>
    <definedName name="__gas001" localSheetId="12">#REF!</definedName>
    <definedName name="__gas001">#REF!</definedName>
    <definedName name="__Gas01" localSheetId="0">#REF!</definedName>
    <definedName name="__Gas01" localSheetId="10">#REF!</definedName>
    <definedName name="__Gas01" localSheetId="18">#REF!</definedName>
    <definedName name="__Gas01" localSheetId="19">#REF!</definedName>
    <definedName name="__Gas01" localSheetId="12">#REF!</definedName>
    <definedName name="__Gas01">#REF!</definedName>
    <definedName name="__gas1" localSheetId="0">#REF!</definedName>
    <definedName name="__gas1" localSheetId="10">#REF!</definedName>
    <definedName name="__gas1" localSheetId="18">#REF!</definedName>
    <definedName name="__gas1" localSheetId="19">#REF!</definedName>
    <definedName name="__gas1" localSheetId="12">#REF!</definedName>
    <definedName name="__gas1">#REF!</definedName>
    <definedName name="__Imp1" localSheetId="0">#REF!</definedName>
    <definedName name="__Imp1" localSheetId="10">#REF!</definedName>
    <definedName name="__Imp1" localSheetId="18">#REF!</definedName>
    <definedName name="__Imp1" localSheetId="19">#REF!</definedName>
    <definedName name="__Imp1" localSheetId="12">#REF!</definedName>
    <definedName name="__Imp1">#REF!</definedName>
    <definedName name="__Imp2" localSheetId="0">#REF!</definedName>
    <definedName name="__Imp2" localSheetId="10">#REF!</definedName>
    <definedName name="__Imp2" localSheetId="18">#REF!</definedName>
    <definedName name="__Imp2" localSheetId="19">#REF!</definedName>
    <definedName name="__Imp2" localSheetId="12">#REF!</definedName>
    <definedName name="__Imp2">#REF!</definedName>
    <definedName name="__key2" localSheetId="0" hidden="1">#REF!</definedName>
    <definedName name="__key2" localSheetId="10" hidden="1">#REF!</definedName>
    <definedName name="__key2" localSheetId="18" hidden="1">#REF!</definedName>
    <definedName name="__key2" localSheetId="19" hidden="1">#REF!</definedName>
    <definedName name="__key2" localSheetId="12" hidden="1">#REF!</definedName>
    <definedName name="__key2" hidden="1">#REF!</definedName>
    <definedName name="__p1" localSheetId="0">#REF!</definedName>
    <definedName name="__p1" localSheetId="10">#REF!</definedName>
    <definedName name="__p1" localSheetId="18">#REF!</definedName>
    <definedName name="__p1" localSheetId="19">#REF!</definedName>
    <definedName name="__p1" localSheetId="12">#REF!</definedName>
    <definedName name="__p1">#REF!</definedName>
    <definedName name="__RM1">[7]PAG19!$B$3:$I$39</definedName>
    <definedName name="__RM2">[7]PAG19!$J$3:$P$39</definedName>
    <definedName name="_1" localSheetId="3" hidden="1">#REF!</definedName>
    <definedName name="_1" localSheetId="4" hidden="1">#REF!</definedName>
    <definedName name="_1" localSheetId="5" hidden="1">#REF!</definedName>
    <definedName name="_1" localSheetId="18" hidden="1">#REF!</definedName>
    <definedName name="_1" localSheetId="19" hidden="1">#REF!</definedName>
    <definedName name="_1" localSheetId="12" hidden="1">#REF!</definedName>
    <definedName name="_1" localSheetId="6" hidden="1">#REF!</definedName>
    <definedName name="_1" hidden="1">#REF!</definedName>
    <definedName name="_1_" localSheetId="0">#REF!</definedName>
    <definedName name="_1_" localSheetId="10">#REF!</definedName>
    <definedName name="_1_" localSheetId="18">#REF!</definedName>
    <definedName name="_1_" localSheetId="19">#REF!</definedName>
    <definedName name="_1_" localSheetId="12">#REF!</definedName>
    <definedName name="_1_">#REF!</definedName>
    <definedName name="_1__123Graph_ACHART_1" localSheetId="8" hidden="1">[16]Hoja3!$J$368:$J$408</definedName>
    <definedName name="_1__123Graph_ACHART_1" localSheetId="17" hidden="1">[16]Hoja3!$J$368:$J$408</definedName>
    <definedName name="_1__123Graph_ACHART_1" localSheetId="18" hidden="1">[16]Hoja3!$J$368:$J$408</definedName>
    <definedName name="_1__123Graph_ACHART_1" localSheetId="19" hidden="1">[16]Hoja3!$J$368:$J$408</definedName>
    <definedName name="_1__123Graph_ACHART_1" hidden="1">[13]Hoja3!$J$368:$J$408</definedName>
    <definedName name="_1__123Graph_AGráfico_1A" hidden="1">[17]HIERRO!$B$47:$D$47</definedName>
    <definedName name="_10_abc" localSheetId="18" hidden="1">[18]HIERRO!#REF!</definedName>
    <definedName name="_10_abc" localSheetId="19" hidden="1">[18]HIERRO!#REF!</definedName>
    <definedName name="_10_abc" hidden="1">[18]HIERRO!#REF!</definedName>
    <definedName name="_16_0" localSheetId="0">#REF!</definedName>
    <definedName name="_16_0" localSheetId="7">#REF!</definedName>
    <definedName name="_16_0" localSheetId="3">#REF!</definedName>
    <definedName name="_16_0" localSheetId="10">#REF!</definedName>
    <definedName name="_16_0" localSheetId="4">#REF!</definedName>
    <definedName name="_16_0" localSheetId="5">#REF!</definedName>
    <definedName name="_16_0" localSheetId="18">#REF!</definedName>
    <definedName name="_16_0" localSheetId="19">#REF!</definedName>
    <definedName name="_16_0" localSheetId="12">#REF!</definedName>
    <definedName name="_16_0" localSheetId="6">#REF!</definedName>
    <definedName name="_16_0">#REF!</definedName>
    <definedName name="_2_" localSheetId="0">#REF!</definedName>
    <definedName name="_2_" localSheetId="10">#REF!</definedName>
    <definedName name="_2_" localSheetId="18">#REF!</definedName>
    <definedName name="_2_" localSheetId="19">#REF!</definedName>
    <definedName name="_2_" localSheetId="12">#REF!</definedName>
    <definedName name="_2_">#REF!</definedName>
    <definedName name="_2__123Graph_ACHART_1" hidden="1">[13]Hoja3!$J$368:$J$408</definedName>
    <definedName name="_2__123Graph_BCHART_1" hidden="1">[18]EST_PB!$B$18:$D$18</definedName>
    <definedName name="_2__123Graph_XCHART_1" localSheetId="8" hidden="1">[16]Hoja3!$A$368:$A$408</definedName>
    <definedName name="_2__123Graph_XCHART_1" localSheetId="17" hidden="1">[16]Hoja3!$A$368:$A$408</definedName>
    <definedName name="_2__123Graph_XCHART_1" localSheetId="18" hidden="1">[16]Hoja3!$A$368:$A$408</definedName>
    <definedName name="_2__123Graph_XCHART_1" localSheetId="19" hidden="1">[16]Hoja3!$A$368:$A$408</definedName>
    <definedName name="_2__123Graph_XCHART_1" hidden="1">[13]Hoja3!$A$368:$A$408</definedName>
    <definedName name="_2_0" localSheetId="0">#REF!</definedName>
    <definedName name="_2_0" localSheetId="7">#REF!</definedName>
    <definedName name="_2_0" localSheetId="3">#REF!</definedName>
    <definedName name="_2_0" localSheetId="10">#REF!</definedName>
    <definedName name="_2_0" localSheetId="4">#REF!</definedName>
    <definedName name="_2_0" localSheetId="5">#REF!</definedName>
    <definedName name="_2_0" localSheetId="18">#REF!</definedName>
    <definedName name="_2_0" localSheetId="19">#REF!</definedName>
    <definedName name="_2_0" localSheetId="12">#REF!</definedName>
    <definedName name="_2_0" localSheetId="6">#REF!</definedName>
    <definedName name="_2_0" localSheetId="14">#REF!</definedName>
    <definedName name="_2_0">#REF!</definedName>
    <definedName name="_27_0" localSheetId="0">#REF!</definedName>
    <definedName name="_27_0" localSheetId="10">#REF!</definedName>
    <definedName name="_27_0" localSheetId="18">#REF!</definedName>
    <definedName name="_27_0" localSheetId="19">#REF!</definedName>
    <definedName name="_27_0" localSheetId="12">#REF!</definedName>
    <definedName name="_27_0">#REF!</definedName>
    <definedName name="_28_0" localSheetId="0">#REF!</definedName>
    <definedName name="_28_0" localSheetId="10">#REF!</definedName>
    <definedName name="_28_0" localSheetId="18">#REF!</definedName>
    <definedName name="_28_0" localSheetId="19">#REF!</definedName>
    <definedName name="_28_0" localSheetId="12">#REF!</definedName>
    <definedName name="_28_0">#REF!</definedName>
    <definedName name="_29_0" localSheetId="0">#REF!</definedName>
    <definedName name="_29_0" localSheetId="10">#REF!</definedName>
    <definedName name="_29_0" localSheetId="18">#REF!</definedName>
    <definedName name="_29_0" localSheetId="19">#REF!</definedName>
    <definedName name="_29_0" localSheetId="12">#REF!</definedName>
    <definedName name="_29_0">#REF!</definedName>
    <definedName name="_3__123Graph_ACHART_1" hidden="1">[13]Hoja3!$J$368:$J$408</definedName>
    <definedName name="_3__123Graph_BGráfico_1A" hidden="1">[17]HIERRO!$B$49:$D$49</definedName>
    <definedName name="_3__123Graph_XCHART_1" hidden="1">[13]Hoja3!$A$368:$A$408</definedName>
    <definedName name="_3_0" localSheetId="0">#REF!</definedName>
    <definedName name="_3_0" localSheetId="7">#REF!</definedName>
    <definedName name="_3_0" localSheetId="3">#REF!</definedName>
    <definedName name="_3_0" localSheetId="10">#REF!</definedName>
    <definedName name="_3_0" localSheetId="4">#REF!</definedName>
    <definedName name="_3_0" localSheetId="5">#REF!</definedName>
    <definedName name="_3_0" localSheetId="18">#REF!</definedName>
    <definedName name="_3_0" localSheetId="19">#REF!</definedName>
    <definedName name="_3_0" localSheetId="12">#REF!</definedName>
    <definedName name="_3_0" localSheetId="6">#REF!</definedName>
    <definedName name="_3_0">#REF!</definedName>
    <definedName name="_30_0" localSheetId="0">#REF!</definedName>
    <definedName name="_30_0" localSheetId="10">#REF!</definedName>
    <definedName name="_30_0" localSheetId="18">#REF!</definedName>
    <definedName name="_30_0" localSheetId="19">#REF!</definedName>
    <definedName name="_30_0" localSheetId="12">#REF!</definedName>
    <definedName name="_30_0">#REF!</definedName>
    <definedName name="_31_0" localSheetId="0">#REF!</definedName>
    <definedName name="_31_0" localSheetId="10">#REF!</definedName>
    <definedName name="_31_0" localSheetId="18">#REF!</definedName>
    <definedName name="_31_0" localSheetId="19">#REF!</definedName>
    <definedName name="_31_0" localSheetId="12">#REF!</definedName>
    <definedName name="_31_0">#REF!</definedName>
    <definedName name="_4__123Graph_CCHART_1" hidden="1">[18]EST_PB!$B$19:$D$19</definedName>
    <definedName name="_4__123Graph_XCHART_1" hidden="1">[13]Hoja3!$A$368:$A$408</definedName>
    <definedName name="_4_0" localSheetId="0">#REF!</definedName>
    <definedName name="_4_0" localSheetId="7">#REF!</definedName>
    <definedName name="_4_0" localSheetId="3">#REF!</definedName>
    <definedName name="_4_0" localSheetId="10">#REF!</definedName>
    <definedName name="_4_0" localSheetId="4">#REF!</definedName>
    <definedName name="_4_0" localSheetId="5">#REF!</definedName>
    <definedName name="_4_0" localSheetId="18">#REF!</definedName>
    <definedName name="_4_0" localSheetId="19">#REF!</definedName>
    <definedName name="_4_0" localSheetId="12">#REF!</definedName>
    <definedName name="_4_0" localSheetId="6">#REF!</definedName>
    <definedName name="_4_0">#REF!</definedName>
    <definedName name="_5__123Graph_CGráfico_1A" hidden="1">[17]HIERRO!$B$51:$D$51</definedName>
    <definedName name="_5_0" localSheetId="7">#REF!</definedName>
    <definedName name="_5_0" localSheetId="3">#REF!</definedName>
    <definedName name="_5_0" localSheetId="10">#REF!</definedName>
    <definedName name="_5_0" localSheetId="4">#REF!</definedName>
    <definedName name="_5_0" localSheetId="5">#REF!</definedName>
    <definedName name="_5_0" localSheetId="18">#REF!</definedName>
    <definedName name="_5_0" localSheetId="19">#REF!</definedName>
    <definedName name="_5_0" localSheetId="12">#REF!</definedName>
    <definedName name="_5_0" localSheetId="6">#REF!</definedName>
    <definedName name="_5_0" localSheetId="14">#REF!</definedName>
    <definedName name="_5_0">#REF!</definedName>
    <definedName name="_6__123Graph_DGráfico_1A" hidden="1">[17]HIERRO!$B$53:$D$53</definedName>
    <definedName name="_6_0" localSheetId="0">#REF!</definedName>
    <definedName name="_6_0" localSheetId="7">#REF!</definedName>
    <definedName name="_6_0" localSheetId="3">#REF!</definedName>
    <definedName name="_6_0" localSheetId="10">#REF!</definedName>
    <definedName name="_6_0" localSheetId="4">#REF!</definedName>
    <definedName name="_6_0" localSheetId="5">#REF!</definedName>
    <definedName name="_6_0" localSheetId="18">#REF!</definedName>
    <definedName name="_6_0" localSheetId="19">#REF!</definedName>
    <definedName name="_6_0" localSheetId="12">#REF!</definedName>
    <definedName name="_6_0" localSheetId="6">#REF!</definedName>
    <definedName name="_6_0">#REF!</definedName>
    <definedName name="_7.4">#N/A</definedName>
    <definedName name="_7.5" localSheetId="0">#REF!</definedName>
    <definedName name="_7.5" localSheetId="7">#REF!</definedName>
    <definedName name="_7.5" localSheetId="3">#REF!</definedName>
    <definedName name="_7.5" localSheetId="10">#REF!</definedName>
    <definedName name="_7.5" localSheetId="4">#REF!</definedName>
    <definedName name="_7.5" localSheetId="5">#REF!</definedName>
    <definedName name="_7.5" localSheetId="18">#REF!</definedName>
    <definedName name="_7.5" localSheetId="19">#REF!</definedName>
    <definedName name="_7.5" localSheetId="12">#REF!</definedName>
    <definedName name="_7.5" localSheetId="6">#REF!</definedName>
    <definedName name="_7.5">#REF!</definedName>
    <definedName name="_7.6">#N/A</definedName>
    <definedName name="_7.7">#N/A</definedName>
    <definedName name="_7_" localSheetId="0">#REF!</definedName>
    <definedName name="_7_" localSheetId="7">#REF!</definedName>
    <definedName name="_7_" localSheetId="3">#REF!</definedName>
    <definedName name="_7_" localSheetId="10">#REF!</definedName>
    <definedName name="_7_" localSheetId="4">#REF!</definedName>
    <definedName name="_7_" localSheetId="5">#REF!</definedName>
    <definedName name="_7_" localSheetId="18">#REF!</definedName>
    <definedName name="_7_" localSheetId="19">#REF!</definedName>
    <definedName name="_7_" localSheetId="12">#REF!</definedName>
    <definedName name="_7_" localSheetId="6">#REF!</definedName>
    <definedName name="_7_">#REF!</definedName>
    <definedName name="_7__123Graph_EGráfico_1A" hidden="1">[17]HIERRO!$B$53:$D$53</definedName>
    <definedName name="_7_0" localSheetId="7">#REF!</definedName>
    <definedName name="_7_0" localSheetId="3">#REF!</definedName>
    <definedName name="_7_0" localSheetId="10">#REF!</definedName>
    <definedName name="_7_0" localSheetId="4">#REF!</definedName>
    <definedName name="_7_0" localSheetId="5">#REF!</definedName>
    <definedName name="_7_0" localSheetId="18">#REF!</definedName>
    <definedName name="_7_0" localSheetId="19">#REF!</definedName>
    <definedName name="_7_0" localSheetId="12">#REF!</definedName>
    <definedName name="_7_0" localSheetId="6">#REF!</definedName>
    <definedName name="_7_0" localSheetId="14">#REF!</definedName>
    <definedName name="_7_0">#REF!</definedName>
    <definedName name="_8__123Graph_ACHART_1" hidden="1">[13]Hoja3!$J$368:$J$408</definedName>
    <definedName name="_8__123Graph_FGráfico_1A" localSheetId="0" hidden="1">[18]HIERRO!#REF!</definedName>
    <definedName name="_8__123Graph_FGráfico_1A" localSheetId="7" hidden="1">[18]HIERRO!#REF!</definedName>
    <definedName name="_8__123Graph_FGráfico_1A" localSheetId="3" hidden="1">[18]HIERRO!#REF!</definedName>
    <definedName name="_8__123Graph_FGráfico_1A" localSheetId="10" hidden="1">[18]HIERRO!#REF!</definedName>
    <definedName name="_8__123Graph_FGráfico_1A" localSheetId="4" hidden="1">[18]HIERRO!#REF!</definedName>
    <definedName name="_8__123Graph_FGráfico_1A" localSheetId="5" hidden="1">[18]HIERRO!#REF!</definedName>
    <definedName name="_8__123Graph_FGráfico_1A" localSheetId="18" hidden="1">[18]HIERRO!#REF!</definedName>
    <definedName name="_8__123Graph_FGráfico_1A" localSheetId="19" hidden="1">[18]HIERRO!#REF!</definedName>
    <definedName name="_8__123Graph_FGráfico_1A" localSheetId="12" hidden="1">[18]HIERRO!#REF!</definedName>
    <definedName name="_8__123Graph_FGráfico_1A" localSheetId="6" hidden="1">[18]HIERRO!#REF!</definedName>
    <definedName name="_8__123Graph_FGráfico_1A" localSheetId="14" hidden="1">[18]HIERRO!#REF!</definedName>
    <definedName name="_8__123Graph_FGráfico_1A" hidden="1">[18]HIERRO!#REF!</definedName>
    <definedName name="_9__123Graph_XCHART_1" hidden="1">[13]Hoja3!$A$368:$A$408</definedName>
    <definedName name="_9__123Graph_XGráfico_1A" localSheetId="0" hidden="1">[18]HIERRO!#REF!</definedName>
    <definedName name="_9__123Graph_XGráfico_1A" localSheetId="7" hidden="1">[18]HIERRO!#REF!</definedName>
    <definedName name="_9__123Graph_XGráfico_1A" localSheetId="3" hidden="1">[18]HIERRO!#REF!</definedName>
    <definedName name="_9__123Graph_XGráfico_1A" localSheetId="10" hidden="1">[18]HIERRO!#REF!</definedName>
    <definedName name="_9__123Graph_XGráfico_1A" localSheetId="4" hidden="1">[18]HIERRO!#REF!</definedName>
    <definedName name="_9__123Graph_XGráfico_1A" localSheetId="5" hidden="1">[18]HIERRO!#REF!</definedName>
    <definedName name="_9__123Graph_XGráfico_1A" localSheetId="18" hidden="1">[18]HIERRO!#REF!</definedName>
    <definedName name="_9__123Graph_XGráfico_1A" localSheetId="19" hidden="1">[18]HIERRO!#REF!</definedName>
    <definedName name="_9__123Graph_XGráfico_1A" localSheetId="12" hidden="1">[18]HIERRO!#REF!</definedName>
    <definedName name="_9__123Graph_XGráfico_1A" localSheetId="6" hidden="1">[18]HIERRO!#REF!</definedName>
    <definedName name="_9__123Graph_XGráfico_1A" localSheetId="14" hidden="1">[18]HIERRO!#REF!</definedName>
    <definedName name="_9__123Graph_XGráfico_1A" hidden="1">[18]HIERRO!#REF!</definedName>
    <definedName name="_A2" localSheetId="0">'[15]R. Natural'!#REF!</definedName>
    <definedName name="_A2" localSheetId="7">'[15]R. Natural'!#REF!</definedName>
    <definedName name="_A2" localSheetId="3">'[15]R. Natural'!#REF!</definedName>
    <definedName name="_A2" localSheetId="10">'[15]R. Natural'!#REF!</definedName>
    <definedName name="_A2" localSheetId="4">'[15]R. Natural'!#REF!</definedName>
    <definedName name="_A2" localSheetId="5">'[15]R. Natural'!#REF!</definedName>
    <definedName name="_A2" localSheetId="18">'[15]R. Natural'!#REF!</definedName>
    <definedName name="_A2" localSheetId="19">'[15]R. Natural'!#REF!</definedName>
    <definedName name="_A2" localSheetId="12">'[15]R. Natural'!#REF!</definedName>
    <definedName name="_A2" localSheetId="6">'[15]R. Natural'!#REF!</definedName>
    <definedName name="_A2">'[15]R. Natural'!#REF!</definedName>
    <definedName name="_bol52" localSheetId="0">[3]PAG_35!#REF!</definedName>
    <definedName name="_bol52" localSheetId="10">[3]PAG_35!#REF!</definedName>
    <definedName name="_bol52" localSheetId="18">[3]PAG_35!#REF!</definedName>
    <definedName name="_bol52" localSheetId="19">[3]PAG_35!#REF!</definedName>
    <definedName name="_bol52" localSheetId="12">[3]PAG_35!#REF!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0">[5]Cdr7!#REF!</definedName>
    <definedName name="_cdr2" localSheetId="7">[5]Cdr7!#REF!</definedName>
    <definedName name="_cdr2" localSheetId="3">[5]Cdr7!#REF!</definedName>
    <definedName name="_cdr2" localSheetId="10">[5]Cdr7!#REF!</definedName>
    <definedName name="_cdr2" localSheetId="4">[5]Cdr7!#REF!</definedName>
    <definedName name="_cdr2" localSheetId="5">[5]Cdr7!#REF!</definedName>
    <definedName name="_cdr2" localSheetId="18">[5]Cdr7!#REF!</definedName>
    <definedName name="_cdr2" localSheetId="19">[5]Cdr7!#REF!</definedName>
    <definedName name="_cdr2" localSheetId="12">[5]Cdr7!#REF!</definedName>
    <definedName name="_cdr2" localSheetId="6">[5]Cdr7!#REF!</definedName>
    <definedName name="_cdr2" localSheetId="14">[5]Cdr7!#REF!</definedName>
    <definedName name="_cdr2">[5]Cdr7!#REF!</definedName>
    <definedName name="_Cdr7">'[6]Cdrs 1-2'!$A$1:$S$46</definedName>
    <definedName name="_Cdr8">'[6]Cdrs 1-2'!$A$69:$S$114</definedName>
    <definedName name="_Dur1">[4]Dur!$A$2:$I$27</definedName>
    <definedName name="_Fill" localSheetId="0" hidden="1">#REF!</definedName>
    <definedName name="_Fill" localSheetId="7" hidden="1">#REF!</definedName>
    <definedName name="_Fill" localSheetId="8" hidden="1">#REF!</definedName>
    <definedName name="_Fill" localSheetId="3" hidden="1">#REF!</definedName>
    <definedName name="_Fill" localSheetId="10" hidden="1">#REF!</definedName>
    <definedName name="_Fill" localSheetId="4" hidden="1">#REF!</definedName>
    <definedName name="_Fill" localSheetId="17" hidden="1">#REF!</definedName>
    <definedName name="_Fill" localSheetId="5" hidden="1">#REF!</definedName>
    <definedName name="_Fill" localSheetId="18" hidden="1">#REF!</definedName>
    <definedName name="_Fill" localSheetId="19" hidden="1">#REF!</definedName>
    <definedName name="_Fill" localSheetId="12" hidden="1">#REF!</definedName>
    <definedName name="_Fill" localSheetId="6" hidden="1">#REF!</definedName>
    <definedName name="_Fill" hidden="1">#REF!</definedName>
    <definedName name="_fill1" localSheetId="0" hidden="1">#REF!</definedName>
    <definedName name="_fill1" localSheetId="8" hidden="1">#REF!</definedName>
    <definedName name="_fill1" localSheetId="10" hidden="1">#REF!</definedName>
    <definedName name="_fill1" localSheetId="17" hidden="1">#REF!</definedName>
    <definedName name="_fill1" localSheetId="18" hidden="1">#REF!</definedName>
    <definedName name="_fill1" localSheetId="19" hidden="1">#REF!</definedName>
    <definedName name="_fill1" localSheetId="12" hidden="1">#REF!</definedName>
    <definedName name="_fill1" hidden="1">#REF!</definedName>
    <definedName name="_G7" localSheetId="0" hidden="1">#REF!</definedName>
    <definedName name="_G7" localSheetId="8" hidden="1">#REF!</definedName>
    <definedName name="_G7" localSheetId="10" hidden="1">#REF!</definedName>
    <definedName name="_G7" localSheetId="17" hidden="1">#REF!</definedName>
    <definedName name="_G7" localSheetId="18" hidden="1">#REF!</definedName>
    <definedName name="_G7" localSheetId="19" hidden="1">#REF!</definedName>
    <definedName name="_G7" localSheetId="12" hidden="1">#REF!</definedName>
    <definedName name="_G7" hidden="1">#REF!</definedName>
    <definedName name="_gas001" localSheetId="0">#REF!</definedName>
    <definedName name="_gas001" localSheetId="10">#REF!</definedName>
    <definedName name="_gas001" localSheetId="18">#REF!</definedName>
    <definedName name="_gas001" localSheetId="19">#REF!</definedName>
    <definedName name="_gas001" localSheetId="12">#REF!</definedName>
    <definedName name="_gas001">#REF!</definedName>
    <definedName name="_Gas01" localSheetId="0">#REF!</definedName>
    <definedName name="_Gas01" localSheetId="10">#REF!</definedName>
    <definedName name="_Gas01" localSheetId="18">#REF!</definedName>
    <definedName name="_Gas01" localSheetId="19">#REF!</definedName>
    <definedName name="_Gas01" localSheetId="12">#REF!</definedName>
    <definedName name="_Gas01">#REF!</definedName>
    <definedName name="_gas1" localSheetId="0">#REF!</definedName>
    <definedName name="_gas1" localSheetId="10">#REF!</definedName>
    <definedName name="_gas1" localSheetId="18">#REF!</definedName>
    <definedName name="_gas1" localSheetId="19">#REF!</definedName>
    <definedName name="_gas1" localSheetId="12">#REF!</definedName>
    <definedName name="_gas1">#REF!</definedName>
    <definedName name="_Imp1" localSheetId="0">#REF!</definedName>
    <definedName name="_Imp1" localSheetId="10">#REF!</definedName>
    <definedName name="_Imp1" localSheetId="18">#REF!</definedName>
    <definedName name="_Imp1" localSheetId="19">#REF!</definedName>
    <definedName name="_Imp1" localSheetId="12">#REF!</definedName>
    <definedName name="_Imp1">#REF!</definedName>
    <definedName name="_Imp2" localSheetId="0">#REF!</definedName>
    <definedName name="_Imp2" localSheetId="10">#REF!</definedName>
    <definedName name="_Imp2" localSheetId="18">#REF!</definedName>
    <definedName name="_Imp2" localSheetId="19">#REF!</definedName>
    <definedName name="_Imp2" localSheetId="12">#REF!</definedName>
    <definedName name="_Imp2">#REF!</definedName>
    <definedName name="_key01" localSheetId="0" hidden="1">#REF!</definedName>
    <definedName name="_key01" localSheetId="8" hidden="1">#REF!</definedName>
    <definedName name="_key01" localSheetId="10" hidden="1">#REF!</definedName>
    <definedName name="_key01" localSheetId="17" hidden="1">#REF!</definedName>
    <definedName name="_key01" localSheetId="18" hidden="1">#REF!</definedName>
    <definedName name="_key01" localSheetId="19" hidden="1">#REF!</definedName>
    <definedName name="_key01" localSheetId="12" hidden="1">#REF!</definedName>
    <definedName name="_key01" hidden="1">#REF!</definedName>
    <definedName name="_Key1" localSheetId="0" hidden="1">#REF!</definedName>
    <definedName name="_Key1" localSheetId="8" hidden="1">#REF!</definedName>
    <definedName name="_Key1" localSheetId="10" hidden="1">#REF!</definedName>
    <definedName name="_Key1" localSheetId="17" hidden="1">#REF!</definedName>
    <definedName name="_Key1" localSheetId="18" hidden="1">#REF!</definedName>
    <definedName name="_Key1" localSheetId="19" hidden="1">#REF!</definedName>
    <definedName name="_Key1" localSheetId="12" hidden="1">#REF!</definedName>
    <definedName name="_Key1" hidden="1">#REF!</definedName>
    <definedName name="_Key2" hidden="1">[19]plomo!$J$7:$J$17</definedName>
    <definedName name="_key3" localSheetId="0" hidden="1">#REF!</definedName>
    <definedName name="_key3" localSheetId="7" hidden="1">#REF!</definedName>
    <definedName name="_key3" localSheetId="8" hidden="1">#REF!</definedName>
    <definedName name="_key3" localSheetId="3" hidden="1">#REF!</definedName>
    <definedName name="_key3" localSheetId="10" hidden="1">#REF!</definedName>
    <definedName name="_key3" localSheetId="4" hidden="1">#REF!</definedName>
    <definedName name="_key3" localSheetId="17" hidden="1">#REF!</definedName>
    <definedName name="_key3" localSheetId="5" hidden="1">#REF!</definedName>
    <definedName name="_key3" localSheetId="18" hidden="1">#REF!</definedName>
    <definedName name="_key3" localSheetId="19" hidden="1">#REF!</definedName>
    <definedName name="_key3" localSheetId="12" hidden="1">#REF!</definedName>
    <definedName name="_key3" localSheetId="6" hidden="1">#REF!</definedName>
    <definedName name="_key3" hidden="1">#REF!</definedName>
    <definedName name="_M">#N/A</definedName>
    <definedName name="_MatInverse_In" hidden="1">[20]Asfalto!$T$7:$U$8</definedName>
    <definedName name="_MatInverse_Out" hidden="1">[20]Asfalto!$T$10:$T$10</definedName>
    <definedName name="_MatMult_A" hidden="1">[20]Asfalto!$T$10:$U$11</definedName>
    <definedName name="_MatMult_AxB" hidden="1">[20]Asfalto!$V$7:$V$7</definedName>
    <definedName name="_MatMult_B" hidden="1">[20]Asfalto!$W$7:$W$8</definedName>
    <definedName name="_Order1" hidden="1">0</definedName>
    <definedName name="_Order2" hidden="1">0</definedName>
    <definedName name="_P" localSheetId="0">#REF!</definedName>
    <definedName name="_P" localSheetId="7">#REF!</definedName>
    <definedName name="_P" localSheetId="3">#REF!</definedName>
    <definedName name="_P" localSheetId="10">#REF!</definedName>
    <definedName name="_P" localSheetId="4">#REF!</definedName>
    <definedName name="_P" localSheetId="5">#REF!</definedName>
    <definedName name="_P" localSheetId="18">#REF!</definedName>
    <definedName name="_P" localSheetId="19">#REF!</definedName>
    <definedName name="_P" localSheetId="12">#REF!</definedName>
    <definedName name="_P" localSheetId="6">#REF!</definedName>
    <definedName name="_P">#REF!</definedName>
    <definedName name="_p1" localSheetId="0">#REF!</definedName>
    <definedName name="_p1" localSheetId="10">#REF!</definedName>
    <definedName name="_p1" localSheetId="18">#REF!</definedName>
    <definedName name="_p1" localSheetId="19">#REF!</definedName>
    <definedName name="_p1" localSheetId="12">#REF!</definedName>
    <definedName name="_p1">#REF!</definedName>
    <definedName name="_Parse_Out" localSheetId="0" hidden="1">#REF!</definedName>
    <definedName name="_Parse_Out" localSheetId="8" hidden="1">#REF!</definedName>
    <definedName name="_Parse_Out" localSheetId="10" hidden="1">#REF!</definedName>
    <definedName name="_Parse_Out" localSheetId="17" hidden="1">#REF!</definedName>
    <definedName name="_Parse_Out" localSheetId="18" hidden="1">#REF!</definedName>
    <definedName name="_Parse_Out" localSheetId="19" hidden="1">#REF!</definedName>
    <definedName name="_Parse_Out" localSheetId="12" hidden="1">#REF!</definedName>
    <definedName name="_Parse_Out" hidden="1">#REF!</definedName>
    <definedName name="_RM1">[7]PAG19!$B$3:$I$39</definedName>
    <definedName name="_RM2">[7]PAG19!$J$3:$P$39</definedName>
    <definedName name="_S" localSheetId="0">#REF!</definedName>
    <definedName name="_S" localSheetId="7">#REF!</definedName>
    <definedName name="_S" localSheetId="3">#REF!</definedName>
    <definedName name="_S" localSheetId="10">#REF!</definedName>
    <definedName name="_S" localSheetId="4">#REF!</definedName>
    <definedName name="_S" localSheetId="5">#REF!</definedName>
    <definedName name="_S" localSheetId="18">#REF!</definedName>
    <definedName name="_S" localSheetId="19">#REF!</definedName>
    <definedName name="_S" localSheetId="12">#REF!</definedName>
    <definedName name="_S" localSheetId="6">#REF!</definedName>
    <definedName name="_S">#REF!</definedName>
    <definedName name="_Sort" localSheetId="0" hidden="1">#REF!</definedName>
    <definedName name="_Sort" localSheetId="8" hidden="1">#REF!</definedName>
    <definedName name="_Sort" localSheetId="10" hidden="1">#REF!</definedName>
    <definedName name="_Sort" localSheetId="17" hidden="1">#REF!</definedName>
    <definedName name="_Sort" localSheetId="18" hidden="1">#REF!</definedName>
    <definedName name="_Sort" localSheetId="19" hidden="1">#REF!</definedName>
    <definedName name="_Sort" localSheetId="12" hidden="1">#REF!</definedName>
    <definedName name="_Sort" hidden="1">#REF!</definedName>
    <definedName name="_sort01" localSheetId="0" hidden="1">#REF!</definedName>
    <definedName name="_sort01" localSheetId="8" hidden="1">#REF!</definedName>
    <definedName name="_sort01" localSheetId="10" hidden="1">#REF!</definedName>
    <definedName name="_sort01" localSheetId="17" hidden="1">#REF!</definedName>
    <definedName name="_sort01" localSheetId="18" hidden="1">#REF!</definedName>
    <definedName name="_sort01" localSheetId="19" hidden="1">#REF!</definedName>
    <definedName name="_sort01" localSheetId="12" hidden="1">#REF!</definedName>
    <definedName name="_sort01" hidden="1">#REF!</definedName>
    <definedName name="_sort1" localSheetId="0" hidden="1">#REF!</definedName>
    <definedName name="_sort1" localSheetId="8" hidden="1">#REF!</definedName>
    <definedName name="_sort1" localSheetId="10" hidden="1">#REF!</definedName>
    <definedName name="_sort1" localSheetId="17" hidden="1">#REF!</definedName>
    <definedName name="_sort1" localSheetId="18" hidden="1">#REF!</definedName>
    <definedName name="_sort1" localSheetId="19" hidden="1">#REF!</definedName>
    <definedName name="_sort1" localSheetId="12" hidden="1">#REF!</definedName>
    <definedName name="_sort1" hidden="1">#REF!</definedName>
    <definedName name="a" localSheetId="0">#REF!</definedName>
    <definedName name="a" localSheetId="10">#REF!</definedName>
    <definedName name="a" localSheetId="18">#REF!</definedName>
    <definedName name="a" localSheetId="19">#REF!</definedName>
    <definedName name="a" localSheetId="12">#REF!</definedName>
    <definedName name="a">#REF!</definedName>
    <definedName name="A_impresión_IM" localSheetId="0">#REF!</definedName>
    <definedName name="A_impresión_IM" localSheetId="10">#REF!</definedName>
    <definedName name="A_impresión_IM" localSheetId="18">#REF!</definedName>
    <definedName name="A_impresión_IM" localSheetId="19">#REF!</definedName>
    <definedName name="A_impresión_IM" localSheetId="12">#REF!</definedName>
    <definedName name="A_impresión_IM">#REF!</definedName>
    <definedName name="A87_" localSheetId="0">#REF!</definedName>
    <definedName name="A87_" localSheetId="10">#REF!</definedName>
    <definedName name="A87_" localSheetId="18">#REF!</definedName>
    <definedName name="A87_" localSheetId="19">#REF!</definedName>
    <definedName name="A87_" localSheetId="12">#REF!</definedName>
    <definedName name="A87_">#REF!</definedName>
    <definedName name="aaaa" localSheetId="0">#REF!</definedName>
    <definedName name="aaaa" localSheetId="10">#REF!</definedName>
    <definedName name="aaaa" localSheetId="18">#REF!</definedName>
    <definedName name="aaaa" localSheetId="19">#REF!</definedName>
    <definedName name="aaaa" localSheetId="12">#REF!</definedName>
    <definedName name="aaaa">#REF!</definedName>
    <definedName name="aaaaa" localSheetId="0" hidden="1">#REF!</definedName>
    <definedName name="aaaaa" localSheetId="10" hidden="1">#REF!</definedName>
    <definedName name="aaaaa" localSheetId="18" hidden="1">#REF!</definedName>
    <definedName name="aaaaa" localSheetId="19" hidden="1">#REF!</definedName>
    <definedName name="aaaaa" localSheetId="12" hidden="1">#REF!</definedName>
    <definedName name="aaaaa" hidden="1">#REF!</definedName>
    <definedName name="ada" localSheetId="18" hidden="1">[14]balance!#REF!</definedName>
    <definedName name="ada" localSheetId="19" hidden="1">[14]balance!#REF!</definedName>
    <definedName name="ada" localSheetId="12" hidden="1">[14]balance!#REF!</definedName>
    <definedName name="ada" hidden="1">[14]balance!#REF!</definedName>
    <definedName name="adicional" localSheetId="0">#REF!</definedName>
    <definedName name="adicional" localSheetId="7">#REF!</definedName>
    <definedName name="adicional" localSheetId="3">#REF!</definedName>
    <definedName name="adicional" localSheetId="10">#REF!</definedName>
    <definedName name="adicional" localSheetId="4">#REF!</definedName>
    <definedName name="adicional" localSheetId="5">#REF!</definedName>
    <definedName name="adicional" localSheetId="18">#REF!</definedName>
    <definedName name="adicional" localSheetId="19">#REF!</definedName>
    <definedName name="adicional" localSheetId="12">#REF!</definedName>
    <definedName name="adicional" localSheetId="6">#REF!</definedName>
    <definedName name="adicional">#REF!</definedName>
    <definedName name="ALIMENTOS" localSheetId="0">#REF!</definedName>
    <definedName name="ALIMENTOS" localSheetId="10">#REF!</definedName>
    <definedName name="ALIMENTOS" localSheetId="18">#REF!</definedName>
    <definedName name="ALIMENTOS" localSheetId="19">#REF!</definedName>
    <definedName name="ALIMENTOS" localSheetId="12">#REF!</definedName>
    <definedName name="ALIMENTOS">#REF!</definedName>
    <definedName name="anexo" localSheetId="0">[21]PAG_35!#REF!</definedName>
    <definedName name="anexo" localSheetId="10">[21]PAG_35!#REF!</definedName>
    <definedName name="anexo" localSheetId="18">[21]PAG_35!#REF!</definedName>
    <definedName name="anexo" localSheetId="19">[21]PAG_35!#REF!</definedName>
    <definedName name="anexo" localSheetId="12">[21]PAG_35!#REF!</definedName>
    <definedName name="anexo">[21]PAG_35!#REF!</definedName>
    <definedName name="anexo_especial" localSheetId="0">[22]PAG_37!#REF!</definedName>
    <definedName name="anexo_especial" localSheetId="10">[22]PAG_37!#REF!</definedName>
    <definedName name="anexo_especial" localSheetId="18">[22]PAG_37!#REF!</definedName>
    <definedName name="anexo_especial" localSheetId="19">[22]PAG_37!#REF!</definedName>
    <definedName name="anexo_especial" localSheetId="12">[22]PAG_37!#REF!</definedName>
    <definedName name="anexo_especial">[22]PAG_37!#REF!</definedName>
    <definedName name="anexos" localSheetId="0">[23]PAG_35!#REF!</definedName>
    <definedName name="anexos" localSheetId="10">[23]PAG_35!#REF!</definedName>
    <definedName name="anexos" localSheetId="18">[23]PAG_35!#REF!</definedName>
    <definedName name="anexos" localSheetId="19">[23]PAG_35!#REF!</definedName>
    <definedName name="anexos" localSheetId="12">[23]PAG_35!#REF!</definedName>
    <definedName name="anexos">[23]PAG_35!#REF!</definedName>
    <definedName name="_xlnm.Print_Area" localSheetId="1">'1.2.1_1a'!$A$1:$X$42</definedName>
    <definedName name="_xlnm.Print_Area" localSheetId="7">'1.2.2_1a'!$A$1:$L$145</definedName>
    <definedName name="_xlnm.Print_Area" localSheetId="20">'1.2.3_1c'!$A$1:$L$59</definedName>
    <definedName name="_xlnm.Print_Area" localSheetId="8">'2'!$A$1:$AA$40</definedName>
    <definedName name="_xlnm.Print_Area" localSheetId="2">'2a'!$A$1:$AD$40</definedName>
    <definedName name="_xlnm.Print_Area" localSheetId="21">'2c'!$A$2:$L$57</definedName>
    <definedName name="_xlnm.Print_Area" localSheetId="9">'3'!$A$1:$D$36</definedName>
    <definedName name="_xlnm.Print_Area" localSheetId="3">'3a'!$AL$1:$AT$41</definedName>
    <definedName name="_xlnm.Print_Area" localSheetId="16">'3b'!$A$1:$M$17</definedName>
    <definedName name="_xlnm.Print_Area" localSheetId="22">'3c'!$A$1:$AE$25</definedName>
    <definedName name="_xlnm.Print_Area" localSheetId="10">'4'!$A$1:$E$40</definedName>
    <definedName name="_xlnm.Print_Area" localSheetId="4">'4a'!$AD$1:$AL$39</definedName>
    <definedName name="_xlnm.Print_Area" localSheetId="17">'4b'!$A$1:$N$13</definedName>
    <definedName name="_xlnm.Print_Area" localSheetId="11">'5'!$A$1:$J$181</definedName>
    <definedName name="_xlnm.Print_Area" localSheetId="5">'5a'!$AD$1:$AL$40</definedName>
    <definedName name="_xlnm.Print_Area" localSheetId="18">'5b-1'!$A$1:$G$72</definedName>
    <definedName name="_xlnm.Print_Area" localSheetId="19">'5b2'!$A$1:$G$34</definedName>
    <definedName name="_xlnm.Print_Area" localSheetId="12">'6'!$A$1:$D$22</definedName>
    <definedName name="_xlnm.Print_Area" localSheetId="6">'6a'!$A$1:$AF$41</definedName>
    <definedName name="_xlnm.Print_Area" localSheetId="13">'7-8'!$A$1:$D$29</definedName>
    <definedName name="_xlnm.Print_Area" localSheetId="14">'9'!$A$1:$J$34</definedName>
    <definedName name="_xlnm.Print_Area" localSheetId="15">'b1-2'!$A$1:$K$36</definedName>
    <definedName name="area1" localSheetId="0">#REF!</definedName>
    <definedName name="area1" localSheetId="7">#REF!</definedName>
    <definedName name="area1" localSheetId="3">#REF!</definedName>
    <definedName name="area1" localSheetId="10">#REF!</definedName>
    <definedName name="area1" localSheetId="4">#REF!</definedName>
    <definedName name="area1" localSheetId="5">#REF!</definedName>
    <definedName name="area1" localSheetId="18">#REF!</definedName>
    <definedName name="area1" localSheetId="19">#REF!</definedName>
    <definedName name="area1" localSheetId="12">#REF!</definedName>
    <definedName name="area1" localSheetId="6">#REF!</definedName>
    <definedName name="area1">#REF!</definedName>
    <definedName name="area2" localSheetId="0">#REF!</definedName>
    <definedName name="area2" localSheetId="10">#REF!</definedName>
    <definedName name="area2" localSheetId="18">#REF!</definedName>
    <definedName name="area2" localSheetId="19">#REF!</definedName>
    <definedName name="area2" localSheetId="12">#REF!</definedName>
    <definedName name="area2">#REF!</definedName>
    <definedName name="area3" localSheetId="0">#REF!</definedName>
    <definedName name="area3" localSheetId="10">#REF!</definedName>
    <definedName name="area3" localSheetId="18">#REF!</definedName>
    <definedName name="area3" localSheetId="19">#REF!</definedName>
    <definedName name="area3" localSheetId="12">#REF!</definedName>
    <definedName name="area3">#REF!</definedName>
    <definedName name="area4" localSheetId="0">#REF!</definedName>
    <definedName name="area4" localSheetId="10">#REF!</definedName>
    <definedName name="area4" localSheetId="18">#REF!</definedName>
    <definedName name="area4" localSheetId="19">#REF!</definedName>
    <definedName name="area4" localSheetId="12">#REF!</definedName>
    <definedName name="area4">#REF!</definedName>
    <definedName name="AreaDeFechasC1">[24]c1!$D$2:$N$2</definedName>
    <definedName name="AreaDeFechasC3">[24]c3!$D$2:$N$2</definedName>
    <definedName name="AreaDeFechasC5">[24]c5!$D$2:$N$2</definedName>
    <definedName name="AreaDeFechasC6">[24]c6!$D$2:$N$2</definedName>
    <definedName name="AreaDeFechasC8" localSheetId="0">#REF!</definedName>
    <definedName name="AreaDeFechasC8" localSheetId="7">#REF!</definedName>
    <definedName name="AreaDeFechasC8" localSheetId="3">#REF!</definedName>
    <definedName name="AreaDeFechasC8" localSheetId="10">#REF!</definedName>
    <definedName name="AreaDeFechasC8" localSheetId="4">#REF!</definedName>
    <definedName name="AreaDeFechasC8" localSheetId="5">#REF!</definedName>
    <definedName name="AreaDeFechasC8" localSheetId="18">#REF!</definedName>
    <definedName name="AreaDeFechasC8" localSheetId="19">#REF!</definedName>
    <definedName name="AreaDeFechasC8" localSheetId="12">#REF!</definedName>
    <definedName name="AreaDeFechasC8" localSheetId="6">#REF!</definedName>
    <definedName name="AreaDeFechasC8">#REF!</definedName>
    <definedName name="AreaDeFechasDeCuadro1">[24]AhoF!$F$4:$P$4</definedName>
    <definedName name="AreaDeFechasDeCuadro3">[24]Bon!$E$6:$O$6</definedName>
    <definedName name="AreaDeFechasDeCuadro5">[24]BVL!$E$5:$N$5</definedName>
    <definedName name="AreaDeFechasDeCuadro6" localSheetId="0">#REF!</definedName>
    <definedName name="AreaDeFechasDeCuadro6" localSheetId="7">#REF!</definedName>
    <definedName name="AreaDeFechasDeCuadro6" localSheetId="3">#REF!</definedName>
    <definedName name="AreaDeFechasDeCuadro6" localSheetId="10">#REF!</definedName>
    <definedName name="AreaDeFechasDeCuadro6" localSheetId="4">#REF!</definedName>
    <definedName name="AreaDeFechasDeCuadro6" localSheetId="5">#REF!</definedName>
    <definedName name="AreaDeFechasDeCuadro6" localSheetId="18">#REF!</definedName>
    <definedName name="AreaDeFechasDeCuadro6" localSheetId="19">#REF!</definedName>
    <definedName name="AreaDeFechasDeCuadro6" localSheetId="12">#REF!</definedName>
    <definedName name="AreaDeFechasDeCuadro6" localSheetId="6">#REF!</definedName>
    <definedName name="AreaDeFechasDeCuadro6">#REF!</definedName>
    <definedName name="AreaDeFechasDeCuadro8">'[24]Anex-SFN'!$J$7:$R$7</definedName>
    <definedName name="as" localSheetId="7">[3]PAG_35!#REF!</definedName>
    <definedName name="as" localSheetId="3">[3]PAG_35!#REF!</definedName>
    <definedName name="as" localSheetId="10">[3]PAG_35!#REF!</definedName>
    <definedName name="as" localSheetId="4">[3]PAG_35!#REF!</definedName>
    <definedName name="as" localSheetId="5">[3]PAG_35!#REF!</definedName>
    <definedName name="as" localSheetId="18">[3]PAG_35!#REF!</definedName>
    <definedName name="as" localSheetId="19">[3]PAG_35!#REF!</definedName>
    <definedName name="as" localSheetId="12">[3]PAG_35!#REF!</definedName>
    <definedName name="as" localSheetId="6">[3]PAG_35!#REF!</definedName>
    <definedName name="as">[3]PAG_35!#REF!</definedName>
    <definedName name="asad" localSheetId="3">#REF!</definedName>
    <definedName name="asad" localSheetId="4">#REF!</definedName>
    <definedName name="asad" localSheetId="5">#REF!</definedName>
    <definedName name="asad" localSheetId="18">#REF!</definedName>
    <definedName name="asad" localSheetId="19">#REF!</definedName>
    <definedName name="asad" localSheetId="12">#REF!</definedName>
    <definedName name="asad" localSheetId="6">#REF!</definedName>
    <definedName name="asad">#REF!</definedName>
    <definedName name="asdd" localSheetId="7">#REF!,#REF!</definedName>
    <definedName name="asdd" localSheetId="3">#REF!,#REF!</definedName>
    <definedName name="asdd" localSheetId="10">#REF!,#REF!</definedName>
    <definedName name="asdd" localSheetId="4">#REF!,#REF!</definedName>
    <definedName name="asdd" localSheetId="5">#REF!,#REF!</definedName>
    <definedName name="asdd" localSheetId="18">#REF!,#REF!</definedName>
    <definedName name="asdd" localSheetId="19">#REF!,#REF!</definedName>
    <definedName name="asdd" localSheetId="12">#REF!,#REF!</definedName>
    <definedName name="asdd" localSheetId="6">#REF!,#REF!</definedName>
    <definedName name="asdd">#REF!,#REF!</definedName>
    <definedName name="asde" localSheetId="0" hidden="1">#REF!</definedName>
    <definedName name="asde" localSheetId="7" hidden="1">#REF!</definedName>
    <definedName name="asde" localSheetId="8" hidden="1">#REF!</definedName>
    <definedName name="asde" localSheetId="3" hidden="1">#REF!</definedName>
    <definedName name="asde" localSheetId="10" hidden="1">#REF!</definedName>
    <definedName name="asde" localSheetId="4" hidden="1">#REF!</definedName>
    <definedName name="asde" localSheetId="17" hidden="1">#REF!</definedName>
    <definedName name="asde" localSheetId="5" hidden="1">#REF!</definedName>
    <definedName name="asde" localSheetId="18" hidden="1">#REF!</definedName>
    <definedName name="asde" localSheetId="19" hidden="1">#REF!</definedName>
    <definedName name="asde" localSheetId="12" hidden="1">#REF!</definedName>
    <definedName name="asde" localSheetId="6" hidden="1">#REF!</definedName>
    <definedName name="asde" hidden="1">#REF!</definedName>
    <definedName name="axdas" localSheetId="7">#REF!</definedName>
    <definedName name="axdas" localSheetId="3">#REF!</definedName>
    <definedName name="axdas" localSheetId="10">#REF!</definedName>
    <definedName name="axdas" localSheetId="4">#REF!</definedName>
    <definedName name="axdas" localSheetId="5">#REF!</definedName>
    <definedName name="axdas" localSheetId="18">#REF!</definedName>
    <definedName name="axdas" localSheetId="19">#REF!</definedName>
    <definedName name="axdas" localSheetId="12">#REF!</definedName>
    <definedName name="axdas" localSheetId="6">#REF!</definedName>
    <definedName name="axdas">#REF!</definedName>
    <definedName name="B" localSheetId="3">'[25]R. Natural'!#REF!</definedName>
    <definedName name="B" localSheetId="4">'[25]R. Natural'!#REF!</definedName>
    <definedName name="B" localSheetId="5">'[25]R. Natural'!#REF!</definedName>
    <definedName name="B" localSheetId="18">'[25]R. Natural'!#REF!</definedName>
    <definedName name="B" localSheetId="19">'[25]R. Natural'!#REF!</definedName>
    <definedName name="B" localSheetId="12">'[25]R. Natural'!#REF!</definedName>
    <definedName name="B" localSheetId="6">'[25]R. Natural'!#REF!</definedName>
    <definedName name="B">'[25]R. Natural'!#REF!</definedName>
    <definedName name="base0" localSheetId="0">[26]Sem!#REF!</definedName>
    <definedName name="base0" localSheetId="7">[26]Sem!#REF!</definedName>
    <definedName name="base0" localSheetId="3">[26]Sem!#REF!</definedName>
    <definedName name="base0" localSheetId="10">[26]Sem!#REF!</definedName>
    <definedName name="base0" localSheetId="4">[26]Sem!#REF!</definedName>
    <definedName name="base0" localSheetId="5">[26]Sem!#REF!</definedName>
    <definedName name="base0" localSheetId="18">[26]Sem!#REF!</definedName>
    <definedName name="base0" localSheetId="19">[26]Sem!#REF!</definedName>
    <definedName name="base0" localSheetId="12">[26]Sem!#REF!</definedName>
    <definedName name="base0" localSheetId="6">[26]Sem!#REF!</definedName>
    <definedName name="base0">[26]Sem!#REF!</definedName>
    <definedName name="_xlnm.Database" localSheetId="0">[27]OPERACIONES!#REF!</definedName>
    <definedName name="_xlnm.Database" localSheetId="10">[27]OPERACIONES!#REF!</definedName>
    <definedName name="_xlnm.Database" localSheetId="18">[27]OPERACIONES!#REF!</definedName>
    <definedName name="_xlnm.Database" localSheetId="19">[27]OPERACIONES!#REF!</definedName>
    <definedName name="_xlnm.Database" localSheetId="12">[27]OPERACIONES!#REF!</definedName>
    <definedName name="_xlnm.Database">[27]OPERACIONES!#REF!</definedName>
    <definedName name="baseFP">[26]BASFinP!$DW$1</definedName>
    <definedName name="baseProm" localSheetId="0">[26]BASPromP!#REF!</definedName>
    <definedName name="baseProm" localSheetId="7">[26]BASPromP!#REF!</definedName>
    <definedName name="baseProm" localSheetId="3">[26]BASPromP!#REF!</definedName>
    <definedName name="baseProm" localSheetId="10">[26]BASPromP!#REF!</definedName>
    <definedName name="baseProm" localSheetId="4">[26]BASPromP!#REF!</definedName>
    <definedName name="baseProm" localSheetId="5">[26]BASPromP!#REF!</definedName>
    <definedName name="baseProm" localSheetId="18">[26]BASPromP!#REF!</definedName>
    <definedName name="baseProm" localSheetId="19">[26]BASPromP!#REF!</definedName>
    <definedName name="baseProm" localSheetId="12">[26]BASPromP!#REF!</definedName>
    <definedName name="baseProm" localSheetId="6">[26]BASPromP!#REF!</definedName>
    <definedName name="baseProm">[26]BASPromP!#REF!</definedName>
    <definedName name="BLPH1" localSheetId="0" hidden="1">#REF!</definedName>
    <definedName name="BLPH1" localSheetId="7" hidden="1">#REF!</definedName>
    <definedName name="BLPH1" localSheetId="8" hidden="1">#REF!</definedName>
    <definedName name="BLPH1" localSheetId="3" hidden="1">#REF!</definedName>
    <definedName name="BLPH1" localSheetId="10" hidden="1">#REF!</definedName>
    <definedName name="BLPH1" localSheetId="4" hidden="1">#REF!</definedName>
    <definedName name="BLPH1" localSheetId="17" hidden="1">#REF!</definedName>
    <definedName name="BLPH1" localSheetId="5" hidden="1">#REF!</definedName>
    <definedName name="BLPH1" localSheetId="18" hidden="1">#REF!</definedName>
    <definedName name="BLPH1" localSheetId="19" hidden="1">#REF!</definedName>
    <definedName name="BLPH1" localSheetId="12" hidden="1">#REF!</definedName>
    <definedName name="BLPH1" localSheetId="6" hidden="1">#REF!</definedName>
    <definedName name="BLPH1" hidden="1">#REF!</definedName>
    <definedName name="bol03_98" localSheetId="0">[3]PAG_35!#REF!</definedName>
    <definedName name="bol03_98" localSheetId="7">[3]PAG_35!#REF!</definedName>
    <definedName name="bol03_98" localSheetId="3">[3]PAG_35!#REF!</definedName>
    <definedName name="bol03_98" localSheetId="10">[3]PAG_35!#REF!</definedName>
    <definedName name="bol03_98" localSheetId="4">[3]PAG_35!#REF!</definedName>
    <definedName name="bol03_98" localSheetId="5">[3]PAG_35!#REF!</definedName>
    <definedName name="bol03_98" localSheetId="18">[3]PAG_35!#REF!</definedName>
    <definedName name="bol03_98" localSheetId="19">[3]PAG_35!#REF!</definedName>
    <definedName name="bol03_98" localSheetId="12">[3]PAG_35!#REF!</definedName>
    <definedName name="bol03_98" localSheetId="6">[3]PAG_35!#REF!</definedName>
    <definedName name="bol03_98">[3]PAG_35!#REF!</definedName>
    <definedName name="bos" localSheetId="0">#REF!</definedName>
    <definedName name="bos" localSheetId="7">#REF!</definedName>
    <definedName name="bos" localSheetId="3">#REF!</definedName>
    <definedName name="bos" localSheetId="10">#REF!</definedName>
    <definedName name="bos" localSheetId="4">#REF!</definedName>
    <definedName name="bos" localSheetId="5">#REF!</definedName>
    <definedName name="bos" localSheetId="18">#REF!</definedName>
    <definedName name="bos" localSheetId="19">#REF!</definedName>
    <definedName name="bos" localSheetId="12">#REF!</definedName>
    <definedName name="bos" localSheetId="6">#REF!</definedName>
    <definedName name="bos">#REF!</definedName>
    <definedName name="CABEZA1">[28]IECM4303!$A$4</definedName>
    <definedName name="capitulo" localSheetId="0" hidden="1">#REF!</definedName>
    <definedName name="capitulo" localSheetId="7" hidden="1">#REF!</definedName>
    <definedName name="capitulo" localSheetId="3" hidden="1">#REF!</definedName>
    <definedName name="capitulo" localSheetId="10" hidden="1">#REF!</definedName>
    <definedName name="capitulo" localSheetId="4" hidden="1">#REF!</definedName>
    <definedName name="capitulo" localSheetId="5" hidden="1">#REF!</definedName>
    <definedName name="capitulo" localSheetId="18" hidden="1">#REF!</definedName>
    <definedName name="capitulo" localSheetId="19" hidden="1">#REF!</definedName>
    <definedName name="capitulo" localSheetId="12" hidden="1">#REF!</definedName>
    <definedName name="capitulo" localSheetId="6" hidden="1">#REF!</definedName>
    <definedName name="capitulo" localSheetId="14" hidden="1">#REF!</definedName>
    <definedName name="capitulo" hidden="1">#REF!</definedName>
    <definedName name="cara">[26]Grafico!$A$3</definedName>
    <definedName name="cartera" hidden="1">255</definedName>
    <definedName name="caudal" localSheetId="0">[29]PAG_33!#REF!</definedName>
    <definedName name="caudal" localSheetId="10">[29]PAG_33!#REF!</definedName>
    <definedName name="caudal" localSheetId="18">[29]PAG_33!#REF!</definedName>
    <definedName name="caudal" localSheetId="19">[29]PAG_33!#REF!</definedName>
    <definedName name="caudal" localSheetId="12">[29]PAG_33!#REF!</definedName>
    <definedName name="caudal">[29]PAG_33!#REF!</definedName>
    <definedName name="caudal1" localSheetId="0">#REF!</definedName>
    <definedName name="caudal1" localSheetId="7">#REF!</definedName>
    <definedName name="caudal1" localSheetId="3">#REF!</definedName>
    <definedName name="caudal1" localSheetId="10">#REF!</definedName>
    <definedName name="caudal1" localSheetId="4">#REF!</definedName>
    <definedName name="caudal1" localSheetId="5">#REF!</definedName>
    <definedName name="caudal1" localSheetId="18">#REF!</definedName>
    <definedName name="caudal1" localSheetId="19">#REF!</definedName>
    <definedName name="caudal1" localSheetId="12">#REF!</definedName>
    <definedName name="caudal1" localSheetId="6">#REF!</definedName>
    <definedName name="caudal1">#REF!</definedName>
    <definedName name="cdr">[30]cd1!$A$1:$Q$68</definedName>
    <definedName name="CODIGO">#N/A</definedName>
    <definedName name="copia" localSheetId="0" hidden="1">[14]balance!#REF!</definedName>
    <definedName name="copia" localSheetId="7" hidden="1">[14]balance!#REF!</definedName>
    <definedName name="copia" localSheetId="3" hidden="1">[14]balance!#REF!</definedName>
    <definedName name="copia" localSheetId="10" hidden="1">[14]balance!#REF!</definedName>
    <definedName name="copia" localSheetId="4" hidden="1">[14]balance!#REF!</definedName>
    <definedName name="copia" localSheetId="5" hidden="1">[14]balance!#REF!</definedName>
    <definedName name="copia" localSheetId="18" hidden="1">[14]balance!#REF!</definedName>
    <definedName name="copia" localSheetId="19" hidden="1">[14]balance!#REF!</definedName>
    <definedName name="copia" localSheetId="12" hidden="1">[14]balance!#REF!</definedName>
    <definedName name="copia" localSheetId="6" hidden="1">[14]balance!#REF!</definedName>
    <definedName name="copia" hidden="1">[14]balance!#REF!</definedName>
    <definedName name="copia7" localSheetId="0" hidden="1">[14]balance!#REF!</definedName>
    <definedName name="copia7" localSheetId="7" hidden="1">[14]balance!#REF!</definedName>
    <definedName name="copia7" localSheetId="3" hidden="1">[14]balance!#REF!</definedName>
    <definedName name="copia7" localSheetId="10" hidden="1">[14]balance!#REF!</definedName>
    <definedName name="copia7" localSheetId="4" hidden="1">[14]balance!#REF!</definedName>
    <definedName name="copia7" localSheetId="5" hidden="1">[14]balance!#REF!</definedName>
    <definedName name="copia7" localSheetId="18" hidden="1">[14]balance!#REF!</definedName>
    <definedName name="copia7" localSheetId="19" hidden="1">[14]balance!#REF!</definedName>
    <definedName name="copia7" localSheetId="12" hidden="1">[14]balance!#REF!</definedName>
    <definedName name="copia7" localSheetId="6" hidden="1">[14]balance!#REF!</definedName>
    <definedName name="copia7" hidden="1">[14]balance!#REF!</definedName>
    <definedName name="Criteria" localSheetId="0">#REF!</definedName>
    <definedName name="Criteria" localSheetId="7">#REF!</definedName>
    <definedName name="Criteria" localSheetId="3">#REF!</definedName>
    <definedName name="Criteria" localSheetId="10">#REF!</definedName>
    <definedName name="Criteria" localSheetId="4">#REF!</definedName>
    <definedName name="Criteria" localSheetId="5">#REF!</definedName>
    <definedName name="Criteria" localSheetId="18">#REF!</definedName>
    <definedName name="Criteria" localSheetId="19">#REF!</definedName>
    <definedName name="Criteria" localSheetId="12">#REF!</definedName>
    <definedName name="Criteria" localSheetId="6">#REF!</definedName>
    <definedName name="Criteria">#REF!</definedName>
    <definedName name="_xlnm.Criteria" localSheetId="0">#REF!</definedName>
    <definedName name="_xlnm.Criteria" localSheetId="10">#REF!</definedName>
    <definedName name="_xlnm.Criteria" localSheetId="18">#REF!</definedName>
    <definedName name="_xlnm.Criteria" localSheetId="19">#REF!</definedName>
    <definedName name="_xlnm.Criteria" localSheetId="12">#REF!</definedName>
    <definedName name="_xlnm.Criteria">#REF!</definedName>
    <definedName name="CSP" localSheetId="0">#REF!</definedName>
    <definedName name="CSP" localSheetId="10">#REF!</definedName>
    <definedName name="CSP" localSheetId="18">#REF!</definedName>
    <definedName name="CSP" localSheetId="19">#REF!</definedName>
    <definedName name="CSP" localSheetId="12">#REF!</definedName>
    <definedName name="CSP">#REF!</definedName>
    <definedName name="cua" localSheetId="0">[23]PAG_35!#REF!</definedName>
    <definedName name="cua" localSheetId="10">[23]PAG_35!#REF!</definedName>
    <definedName name="cua" localSheetId="18">[23]PAG_35!#REF!</definedName>
    <definedName name="cua" localSheetId="19">[23]PAG_35!#REF!</definedName>
    <definedName name="cua" localSheetId="12">[23]PAG_35!#REF!</definedName>
    <definedName name="cua">[23]PAG_35!#REF!</definedName>
    <definedName name="cuadro" localSheetId="0">[31]PAG_37!#REF!</definedName>
    <definedName name="cuadro" localSheetId="10">[31]PAG_37!#REF!</definedName>
    <definedName name="cuadro" localSheetId="18">[31]PAG_37!#REF!</definedName>
    <definedName name="cuadro" localSheetId="19">[31]PAG_37!#REF!</definedName>
    <definedName name="cuadro" localSheetId="12">[31]PAG_37!#REF!</definedName>
    <definedName name="cuadro">[31]PAG_37!#REF!</definedName>
    <definedName name="cuadro_mes" localSheetId="0">#REF!</definedName>
    <definedName name="cuadro_mes" localSheetId="7">#REF!</definedName>
    <definedName name="cuadro_mes" localSheetId="3">#REF!</definedName>
    <definedName name="cuadro_mes" localSheetId="10">#REF!</definedName>
    <definedName name="cuadro_mes" localSheetId="4">#REF!</definedName>
    <definedName name="cuadro_mes" localSheetId="5">#REF!</definedName>
    <definedName name="cuadro_mes" localSheetId="18">#REF!</definedName>
    <definedName name="cuadro_mes" localSheetId="19">#REF!</definedName>
    <definedName name="cuadro_mes" localSheetId="12">#REF!</definedName>
    <definedName name="cuadro_mes" localSheetId="6">#REF!</definedName>
    <definedName name="cuadro_mes">#REF!</definedName>
    <definedName name="Cuadro_N__001" localSheetId="0">#REF!</definedName>
    <definedName name="Cuadro_N__001" localSheetId="10">#REF!</definedName>
    <definedName name="Cuadro_N__001" localSheetId="18">#REF!</definedName>
    <definedName name="Cuadro_N__001" localSheetId="19">#REF!</definedName>
    <definedName name="Cuadro_N__001" localSheetId="12">#REF!</definedName>
    <definedName name="Cuadro_N__001">#REF!</definedName>
    <definedName name="cuadro_N__002" localSheetId="0">#REF!</definedName>
    <definedName name="cuadro_N__002" localSheetId="10">#REF!</definedName>
    <definedName name="cuadro_N__002" localSheetId="18">#REF!</definedName>
    <definedName name="cuadro_N__002" localSheetId="19">#REF!</definedName>
    <definedName name="cuadro_N__002" localSheetId="12">#REF!</definedName>
    <definedName name="cuadro_N__002">#REF!</definedName>
    <definedName name="Cuadro_N__003" localSheetId="0">#REF!</definedName>
    <definedName name="Cuadro_N__003" localSheetId="10">#REF!</definedName>
    <definedName name="Cuadro_N__003" localSheetId="18">#REF!</definedName>
    <definedName name="Cuadro_N__003" localSheetId="19">#REF!</definedName>
    <definedName name="Cuadro_N__003" localSheetId="12">#REF!</definedName>
    <definedName name="Cuadro_N__003">#REF!</definedName>
    <definedName name="cuadro_n__004" localSheetId="0">#REF!</definedName>
    <definedName name="cuadro_n__004" localSheetId="10">#REF!</definedName>
    <definedName name="cuadro_n__004" localSheetId="18">#REF!</definedName>
    <definedName name="cuadro_n__004" localSheetId="19">#REF!</definedName>
    <definedName name="cuadro_n__004" localSheetId="12">#REF!</definedName>
    <definedName name="cuadro_n__004">#REF!</definedName>
    <definedName name="Cuadro_N__01" localSheetId="0">#REF!</definedName>
    <definedName name="Cuadro_N__01" localSheetId="10">#REF!</definedName>
    <definedName name="Cuadro_N__01" localSheetId="18">#REF!</definedName>
    <definedName name="Cuadro_N__01" localSheetId="19">#REF!</definedName>
    <definedName name="Cuadro_N__01" localSheetId="12">#REF!</definedName>
    <definedName name="Cuadro_N__01">#REF!</definedName>
    <definedName name="Cuadro_N__03" localSheetId="0">#REF!</definedName>
    <definedName name="Cuadro_N__03" localSheetId="10">#REF!</definedName>
    <definedName name="Cuadro_N__03" localSheetId="18">#REF!</definedName>
    <definedName name="Cuadro_N__03" localSheetId="19">#REF!</definedName>
    <definedName name="Cuadro_N__03" localSheetId="12">#REF!</definedName>
    <definedName name="Cuadro_N__03">#REF!</definedName>
    <definedName name="Cuadro_N__04" localSheetId="0">#REF!</definedName>
    <definedName name="Cuadro_N__04" localSheetId="10">#REF!</definedName>
    <definedName name="Cuadro_N__04" localSheetId="18">#REF!</definedName>
    <definedName name="Cuadro_N__04" localSheetId="19">#REF!</definedName>
    <definedName name="Cuadro_N__04" localSheetId="12">#REF!</definedName>
    <definedName name="Cuadro_N__04">#REF!</definedName>
    <definedName name="cuadro_N__05" localSheetId="0">#REF!</definedName>
    <definedName name="cuadro_N__05" localSheetId="10">#REF!</definedName>
    <definedName name="cuadro_N__05" localSheetId="18">#REF!</definedName>
    <definedName name="cuadro_N__05" localSheetId="19">#REF!</definedName>
    <definedName name="cuadro_N__05" localSheetId="12">#REF!</definedName>
    <definedName name="cuadro_N__05">#REF!</definedName>
    <definedName name="Cuadro_N__06" localSheetId="0">#REF!</definedName>
    <definedName name="Cuadro_N__06" localSheetId="10">#REF!</definedName>
    <definedName name="Cuadro_N__06" localSheetId="18">#REF!</definedName>
    <definedName name="Cuadro_N__06" localSheetId="19">#REF!</definedName>
    <definedName name="Cuadro_N__06" localSheetId="12">#REF!</definedName>
    <definedName name="Cuadro_N__06">#REF!</definedName>
    <definedName name="Cuadro_N__1" localSheetId="0">[5]Cdr7!#REF!</definedName>
    <definedName name="Cuadro_N__1" localSheetId="10">[5]Cdr7!#REF!</definedName>
    <definedName name="Cuadro_N__1" localSheetId="18">[5]Cdr7!#REF!</definedName>
    <definedName name="Cuadro_N__1" localSheetId="19">[5]Cdr7!#REF!</definedName>
    <definedName name="Cuadro_N__1" localSheetId="12">[5]Cdr7!#REF!</definedName>
    <definedName name="Cuadro_N__1">[5]Cdr7!#REF!</definedName>
    <definedName name="Cuadro_N__10" localSheetId="0">[5]Cdr7!#REF!</definedName>
    <definedName name="Cuadro_N__10" localSheetId="10">[5]Cdr7!#REF!</definedName>
    <definedName name="Cuadro_N__10" localSheetId="18">[5]Cdr7!#REF!</definedName>
    <definedName name="Cuadro_N__10" localSheetId="19">[5]Cdr7!#REF!</definedName>
    <definedName name="Cuadro_N__10" localSheetId="12">[5]Cdr7!#REF!</definedName>
    <definedName name="Cuadro_N__10">[5]Cdr7!#REF!</definedName>
    <definedName name="Cuadro_N__11" localSheetId="0">#REF!</definedName>
    <definedName name="Cuadro_N__11" localSheetId="7">#REF!</definedName>
    <definedName name="Cuadro_N__11" localSheetId="3">#REF!</definedName>
    <definedName name="Cuadro_N__11" localSheetId="10">#REF!</definedName>
    <definedName name="Cuadro_N__11" localSheetId="4">#REF!</definedName>
    <definedName name="Cuadro_N__11" localSheetId="5">#REF!</definedName>
    <definedName name="Cuadro_N__11" localSheetId="18">#REF!</definedName>
    <definedName name="Cuadro_N__11" localSheetId="19">#REF!</definedName>
    <definedName name="Cuadro_N__11" localSheetId="12">#REF!</definedName>
    <definedName name="Cuadro_N__11" localSheetId="6">#REF!</definedName>
    <definedName name="Cuadro_N__11">#REF!</definedName>
    <definedName name="Cuadro_N__12" localSheetId="0">[5]Cdr7!#REF!</definedName>
    <definedName name="Cuadro_N__12" localSheetId="7">[5]Cdr7!#REF!</definedName>
    <definedName name="Cuadro_N__12" localSheetId="3">[5]Cdr7!#REF!</definedName>
    <definedName name="Cuadro_N__12" localSheetId="10">[5]Cdr7!#REF!</definedName>
    <definedName name="Cuadro_N__12" localSheetId="4">[5]Cdr7!#REF!</definedName>
    <definedName name="Cuadro_N__12" localSheetId="5">[5]Cdr7!#REF!</definedName>
    <definedName name="Cuadro_N__12" localSheetId="18">[5]Cdr7!#REF!</definedName>
    <definedName name="Cuadro_N__12" localSheetId="19">[5]Cdr7!#REF!</definedName>
    <definedName name="Cuadro_N__12" localSheetId="12">[5]Cdr7!#REF!</definedName>
    <definedName name="Cuadro_N__12" localSheetId="6">[5]Cdr7!#REF!</definedName>
    <definedName name="Cuadro_N__12">[5]Cdr7!#REF!</definedName>
    <definedName name="Cuadro_N__13" localSheetId="0">[5]Cdr7!#REF!</definedName>
    <definedName name="Cuadro_N__13" localSheetId="10">[5]Cdr7!#REF!</definedName>
    <definedName name="Cuadro_N__13" localSheetId="18">[5]Cdr7!#REF!</definedName>
    <definedName name="Cuadro_N__13" localSheetId="19">[5]Cdr7!#REF!</definedName>
    <definedName name="Cuadro_N__13" localSheetId="12">[5]Cdr7!#REF!</definedName>
    <definedName name="Cuadro_N__13">[5]Cdr7!#REF!</definedName>
    <definedName name="Cuadro_N__14" localSheetId="0">#REF!</definedName>
    <definedName name="Cuadro_N__14" localSheetId="7">#REF!</definedName>
    <definedName name="Cuadro_N__14" localSheetId="3">#REF!</definedName>
    <definedName name="Cuadro_N__14" localSheetId="10">#REF!</definedName>
    <definedName name="Cuadro_N__14" localSheetId="4">#REF!</definedName>
    <definedName name="Cuadro_N__14" localSheetId="5">#REF!</definedName>
    <definedName name="Cuadro_N__14" localSheetId="18">#REF!</definedName>
    <definedName name="Cuadro_N__14" localSheetId="19">#REF!</definedName>
    <definedName name="Cuadro_N__14" localSheetId="12">#REF!</definedName>
    <definedName name="Cuadro_N__14" localSheetId="6">#REF!</definedName>
    <definedName name="Cuadro_N__14">#REF!</definedName>
    <definedName name="Cuadro_N__19" localSheetId="0">#REF!</definedName>
    <definedName name="Cuadro_N__19" localSheetId="10">#REF!</definedName>
    <definedName name="Cuadro_N__19" localSheetId="18">#REF!</definedName>
    <definedName name="Cuadro_N__19" localSheetId="19">#REF!</definedName>
    <definedName name="Cuadro_N__19" localSheetId="12">#REF!</definedName>
    <definedName name="Cuadro_N__19">#REF!</definedName>
    <definedName name="Cuadro_N__2" localSheetId="0">#REF!</definedName>
    <definedName name="Cuadro_N__2" localSheetId="10">#REF!</definedName>
    <definedName name="Cuadro_N__2" localSheetId="18">#REF!</definedName>
    <definedName name="Cuadro_N__2" localSheetId="19">#REF!</definedName>
    <definedName name="Cuadro_N__2" localSheetId="12">#REF!</definedName>
    <definedName name="Cuadro_N__2">#REF!</definedName>
    <definedName name="Cuadro_N__20" localSheetId="0">[5]Cdr7!#REF!</definedName>
    <definedName name="Cuadro_N__20" localSheetId="10">[5]Cdr7!#REF!</definedName>
    <definedName name="Cuadro_N__20" localSheetId="18">[5]Cdr7!#REF!</definedName>
    <definedName name="Cuadro_N__20" localSheetId="19">[5]Cdr7!#REF!</definedName>
    <definedName name="Cuadro_N__20" localSheetId="12">[5]Cdr7!#REF!</definedName>
    <definedName name="Cuadro_N__20">[5]Cdr7!#REF!</definedName>
    <definedName name="Cuadro_N__21" localSheetId="0">[5]Cdr7!#REF!</definedName>
    <definedName name="Cuadro_N__21" localSheetId="10">[5]Cdr7!#REF!</definedName>
    <definedName name="Cuadro_N__21" localSheetId="18">[5]Cdr7!#REF!</definedName>
    <definedName name="Cuadro_N__21" localSheetId="19">[5]Cdr7!#REF!</definedName>
    <definedName name="Cuadro_N__21" localSheetId="12">[5]Cdr7!#REF!</definedName>
    <definedName name="Cuadro_N__21">[5]Cdr7!#REF!</definedName>
    <definedName name="Cuadro_N__22" localSheetId="0">[5]Cdr7!#REF!</definedName>
    <definedName name="Cuadro_N__22" localSheetId="10">[5]Cdr7!#REF!</definedName>
    <definedName name="Cuadro_N__22" localSheetId="18">[5]Cdr7!#REF!</definedName>
    <definedName name="Cuadro_N__22" localSheetId="19">[5]Cdr7!#REF!</definedName>
    <definedName name="Cuadro_N__22" localSheetId="12">[5]Cdr7!#REF!</definedName>
    <definedName name="Cuadro_N__22">[5]Cdr7!#REF!</definedName>
    <definedName name="Cuadro_N__23" localSheetId="0">[5]Cdr7!#REF!</definedName>
    <definedName name="Cuadro_N__23" localSheetId="10">[5]Cdr7!#REF!</definedName>
    <definedName name="Cuadro_N__23" localSheetId="18">[5]Cdr7!#REF!</definedName>
    <definedName name="Cuadro_N__23" localSheetId="19">[5]Cdr7!#REF!</definedName>
    <definedName name="Cuadro_N__23" localSheetId="12">[5]Cdr7!#REF!</definedName>
    <definedName name="Cuadro_N__23">[5]Cdr7!#REF!</definedName>
    <definedName name="Cuadro_N__24" localSheetId="0">#REF!</definedName>
    <definedName name="Cuadro_N__24" localSheetId="7">#REF!</definedName>
    <definedName name="Cuadro_N__24" localSheetId="3">#REF!</definedName>
    <definedName name="Cuadro_N__24" localSheetId="10">#REF!</definedName>
    <definedName name="Cuadro_N__24" localSheetId="4">#REF!</definedName>
    <definedName name="Cuadro_N__24" localSheetId="5">#REF!</definedName>
    <definedName name="Cuadro_N__24" localSheetId="18">#REF!</definedName>
    <definedName name="Cuadro_N__24" localSheetId="19">#REF!</definedName>
    <definedName name="Cuadro_N__24" localSheetId="12">#REF!</definedName>
    <definedName name="Cuadro_N__24" localSheetId="6">#REF!</definedName>
    <definedName name="Cuadro_N__24">#REF!</definedName>
    <definedName name="Cuadro_N__25" localSheetId="0">#REF!</definedName>
    <definedName name="Cuadro_N__25" localSheetId="10">#REF!</definedName>
    <definedName name="Cuadro_N__25" localSheetId="18">#REF!</definedName>
    <definedName name="Cuadro_N__25" localSheetId="19">#REF!</definedName>
    <definedName name="Cuadro_N__25" localSheetId="12">#REF!</definedName>
    <definedName name="Cuadro_N__25">#REF!</definedName>
    <definedName name="Cuadro_N__26" localSheetId="0">#REF!</definedName>
    <definedName name="Cuadro_N__26" localSheetId="10">#REF!</definedName>
    <definedName name="Cuadro_N__26" localSheetId="18">#REF!</definedName>
    <definedName name="Cuadro_N__26" localSheetId="19">#REF!</definedName>
    <definedName name="Cuadro_N__26" localSheetId="12">#REF!</definedName>
    <definedName name="Cuadro_N__26">#REF!</definedName>
    <definedName name="Cuadro_N__3" localSheetId="0">#REF!</definedName>
    <definedName name="Cuadro_N__3" localSheetId="10">#REF!</definedName>
    <definedName name="Cuadro_N__3" localSheetId="18">#REF!</definedName>
    <definedName name="Cuadro_N__3" localSheetId="19">#REF!</definedName>
    <definedName name="Cuadro_N__3" localSheetId="12">#REF!</definedName>
    <definedName name="Cuadro_N__3">#REF!</definedName>
    <definedName name="Cuadro_N__30" localSheetId="0">#REF!</definedName>
    <definedName name="Cuadro_N__30" localSheetId="10">#REF!</definedName>
    <definedName name="Cuadro_N__30" localSheetId="18">#REF!</definedName>
    <definedName name="Cuadro_N__30" localSheetId="19">#REF!</definedName>
    <definedName name="Cuadro_N__30" localSheetId="12">#REF!</definedName>
    <definedName name="Cuadro_N__30">#REF!</definedName>
    <definedName name="Cuadro_N__31" localSheetId="0">#REF!</definedName>
    <definedName name="Cuadro_N__31" localSheetId="10">#REF!</definedName>
    <definedName name="Cuadro_N__31" localSheetId="18">#REF!</definedName>
    <definedName name="Cuadro_N__31" localSheetId="19">#REF!</definedName>
    <definedName name="Cuadro_N__31" localSheetId="12">#REF!</definedName>
    <definedName name="Cuadro_N__31">#REF!</definedName>
    <definedName name="Cuadro_N__32" localSheetId="0">#REF!</definedName>
    <definedName name="Cuadro_N__32" localSheetId="10">#REF!</definedName>
    <definedName name="Cuadro_N__32" localSheetId="18">#REF!</definedName>
    <definedName name="Cuadro_N__32" localSheetId="19">#REF!</definedName>
    <definedName name="Cuadro_N__32" localSheetId="12">#REF!</definedName>
    <definedName name="Cuadro_N__32">#REF!</definedName>
    <definedName name="Cuadro_N__4" localSheetId="0">#REF!</definedName>
    <definedName name="Cuadro_N__4" localSheetId="10">#REF!</definedName>
    <definedName name="Cuadro_N__4" localSheetId="18">#REF!</definedName>
    <definedName name="Cuadro_N__4" localSheetId="19">#REF!</definedName>
    <definedName name="Cuadro_N__4" localSheetId="12">#REF!</definedName>
    <definedName name="Cuadro_N__4">#REF!</definedName>
    <definedName name="Cuadro_N__5" localSheetId="0">#REF!</definedName>
    <definedName name="Cuadro_N__5" localSheetId="10">#REF!</definedName>
    <definedName name="Cuadro_N__5" localSheetId="18">#REF!</definedName>
    <definedName name="Cuadro_N__5" localSheetId="19">#REF!</definedName>
    <definedName name="Cuadro_N__5" localSheetId="12">#REF!</definedName>
    <definedName name="Cuadro_N__5">#REF!</definedName>
    <definedName name="cuadro_N__6" localSheetId="0">#REF!</definedName>
    <definedName name="cuadro_N__6" localSheetId="10">#REF!</definedName>
    <definedName name="cuadro_N__6" localSheetId="18">#REF!</definedName>
    <definedName name="cuadro_N__6" localSheetId="19">#REF!</definedName>
    <definedName name="cuadro_N__6" localSheetId="12">#REF!</definedName>
    <definedName name="cuadro_N__6">#REF!</definedName>
    <definedName name="Cuadro_N__8" localSheetId="0">[5]Cdr7!#REF!</definedName>
    <definedName name="Cuadro_N__8" localSheetId="10">[5]Cdr7!#REF!</definedName>
    <definedName name="Cuadro_N__8" localSheetId="18">[5]Cdr7!#REF!</definedName>
    <definedName name="Cuadro_N__8" localSheetId="19">[5]Cdr7!#REF!</definedName>
    <definedName name="Cuadro_N__8" localSheetId="12">[5]Cdr7!#REF!</definedName>
    <definedName name="Cuadro_N__8">[5]Cdr7!#REF!</definedName>
    <definedName name="Cuadro_N__9" localSheetId="0">[5]Cdr7!#REF!</definedName>
    <definedName name="Cuadro_N__9" localSheetId="10">[5]Cdr7!#REF!</definedName>
    <definedName name="Cuadro_N__9" localSheetId="18">[5]Cdr7!#REF!</definedName>
    <definedName name="Cuadro_N__9" localSheetId="19">[5]Cdr7!#REF!</definedName>
    <definedName name="Cuadro_N__9" localSheetId="12">[5]Cdr7!#REF!</definedName>
    <definedName name="Cuadro_N__9">[5]Cdr7!#REF!</definedName>
    <definedName name="Cuadro_N_1" localSheetId="0">#REF!</definedName>
    <definedName name="Cuadro_N_1" localSheetId="7">#REF!</definedName>
    <definedName name="Cuadro_N_1" localSheetId="3">#REF!</definedName>
    <definedName name="Cuadro_N_1" localSheetId="10">#REF!</definedName>
    <definedName name="Cuadro_N_1" localSheetId="4">#REF!</definedName>
    <definedName name="Cuadro_N_1" localSheetId="5">#REF!</definedName>
    <definedName name="Cuadro_N_1" localSheetId="18">#REF!</definedName>
    <definedName name="Cuadro_N_1" localSheetId="19">#REF!</definedName>
    <definedName name="Cuadro_N_1" localSheetId="12">#REF!</definedName>
    <definedName name="Cuadro_N_1" localSheetId="6">#REF!</definedName>
    <definedName name="Cuadro_N_1">#REF!</definedName>
    <definedName name="cuadro1" localSheetId="0">#REF!</definedName>
    <definedName name="cuadro1" localSheetId="10">#REF!</definedName>
    <definedName name="cuadro1" localSheetId="18">#REF!</definedName>
    <definedName name="cuadro1" localSheetId="19">#REF!</definedName>
    <definedName name="cuadro1" localSheetId="12">#REF!</definedName>
    <definedName name="cuadro1">#REF!</definedName>
    <definedName name="cuadro2" localSheetId="0">#REF!</definedName>
    <definedName name="cuadro2" localSheetId="10">#REF!</definedName>
    <definedName name="cuadro2" localSheetId="18">#REF!</definedName>
    <definedName name="cuadro2" localSheetId="19">#REF!</definedName>
    <definedName name="cuadro2" localSheetId="12">#REF!</definedName>
    <definedName name="cuadro2">#REF!</definedName>
    <definedName name="cuadros">'[6]Cdrs 1-2'!$A$69:$S$114</definedName>
    <definedName name="d" localSheetId="3">[5]Cdr7!#REF!</definedName>
    <definedName name="d" localSheetId="4">[5]Cdr7!#REF!</definedName>
    <definedName name="d" localSheetId="5">[5]Cdr7!#REF!</definedName>
    <definedName name="d" localSheetId="18">[5]Cdr7!#REF!</definedName>
    <definedName name="d" localSheetId="19">[5]Cdr7!#REF!</definedName>
    <definedName name="d" localSheetId="12">[5]Cdr7!#REF!</definedName>
    <definedName name="d" localSheetId="6">[5]Cdr7!#REF!</definedName>
    <definedName name="d">[5]Cdr7!#REF!</definedName>
    <definedName name="daklsñjfkjasñ" localSheetId="0">[23]PAG_35!#REF!</definedName>
    <definedName name="daklsñjfkjasñ" localSheetId="7">[23]PAG_35!#REF!</definedName>
    <definedName name="daklsñjfkjasñ" localSheetId="3">[23]PAG_35!#REF!</definedName>
    <definedName name="daklsñjfkjasñ" localSheetId="10">[23]PAG_35!#REF!</definedName>
    <definedName name="daklsñjfkjasñ" localSheetId="4">[23]PAG_35!#REF!</definedName>
    <definedName name="daklsñjfkjasñ" localSheetId="5">[23]PAG_35!#REF!</definedName>
    <definedName name="daklsñjfkjasñ" localSheetId="18">[23]PAG_35!#REF!</definedName>
    <definedName name="daklsñjfkjasñ" localSheetId="19">[23]PAG_35!#REF!</definedName>
    <definedName name="daklsñjfkjasñ" localSheetId="12">[23]PAG_35!#REF!</definedName>
    <definedName name="daklsñjfkjasñ" localSheetId="6">[23]PAG_35!#REF!</definedName>
    <definedName name="daklsñjfkjasñ">[23]PAG_35!#REF!</definedName>
    <definedName name="DAT">[32]DATOS!$A$1:$B$1393</definedName>
    <definedName name="DATA_V9" localSheetId="0">#REF!</definedName>
    <definedName name="DATA_V9" localSheetId="7">#REF!</definedName>
    <definedName name="DATA_V9" localSheetId="3">#REF!</definedName>
    <definedName name="DATA_V9" localSheetId="10">#REF!</definedName>
    <definedName name="DATA_V9" localSheetId="4">#REF!</definedName>
    <definedName name="DATA_V9" localSheetId="5">#REF!</definedName>
    <definedName name="DATA_V9" localSheetId="18">#REF!</definedName>
    <definedName name="DATA_V9" localSheetId="19">#REF!</definedName>
    <definedName name="DATA_V9" localSheetId="12">#REF!</definedName>
    <definedName name="DATA_V9" localSheetId="6">#REF!</definedName>
    <definedName name="DATA_V9">#REF!</definedName>
    <definedName name="Database" localSheetId="0">[27]OPERACIONES!#REF!</definedName>
    <definedName name="Database" localSheetId="7">[27]OPERACIONES!#REF!</definedName>
    <definedName name="Database" localSheetId="3">[27]OPERACIONES!#REF!</definedName>
    <definedName name="Database" localSheetId="10">[27]OPERACIONES!#REF!</definedName>
    <definedName name="Database" localSheetId="4">[27]OPERACIONES!#REF!</definedName>
    <definedName name="Database" localSheetId="5">[27]OPERACIONES!#REF!</definedName>
    <definedName name="Database" localSheetId="18">[27]OPERACIONES!#REF!</definedName>
    <definedName name="Database" localSheetId="19">[27]OPERACIONES!#REF!</definedName>
    <definedName name="Database" localSheetId="12">[27]OPERACIONES!#REF!</definedName>
    <definedName name="Database" localSheetId="6">[27]OPERACIONES!#REF!</definedName>
    <definedName name="Database">[27]OPERACIONES!#REF!</definedName>
    <definedName name="datos" localSheetId="0">[33]DATOS!$A$1:$B$1393</definedName>
    <definedName name="datos">[33]DATOS!$A$1:$B$1393</definedName>
    <definedName name="Datos_para_ApéndiceC1">[24]c1!$B$1:$N$164</definedName>
    <definedName name="DATOS1">[34]DATOS!$A$1:$B$1393</definedName>
    <definedName name="DatosBase">[35]DatosBase!$A$1:$IV$20</definedName>
    <definedName name="deer" localSheetId="0">#REF!</definedName>
    <definedName name="deer" localSheetId="7">#REF!</definedName>
    <definedName name="deer" localSheetId="3">#REF!</definedName>
    <definedName name="deer" localSheetId="10">#REF!</definedName>
    <definedName name="deer" localSheetId="4">#REF!</definedName>
    <definedName name="deer" localSheetId="5">#REF!</definedName>
    <definedName name="deer" localSheetId="18">#REF!</definedName>
    <definedName name="deer" localSheetId="19">#REF!</definedName>
    <definedName name="deer" localSheetId="12">#REF!</definedName>
    <definedName name="deer" localSheetId="6">#REF!</definedName>
    <definedName name="deer">#REF!</definedName>
    <definedName name="dfasñljskña" localSheetId="0">[23]PAG_35!#REF!</definedName>
    <definedName name="dfasñljskña" localSheetId="7">[23]PAG_35!#REF!</definedName>
    <definedName name="dfasñljskña" localSheetId="3">[23]PAG_35!#REF!</definedName>
    <definedName name="dfasñljskña" localSheetId="10">[23]PAG_35!#REF!</definedName>
    <definedName name="dfasñljskña" localSheetId="4">[23]PAG_35!#REF!</definedName>
    <definedName name="dfasñljskña" localSheetId="5">[23]PAG_35!#REF!</definedName>
    <definedName name="dfasñljskña" localSheetId="18">[23]PAG_35!#REF!</definedName>
    <definedName name="dfasñljskña" localSheetId="19">[23]PAG_35!#REF!</definedName>
    <definedName name="dfasñljskña" localSheetId="12">[23]PAG_35!#REF!</definedName>
    <definedName name="dfasñljskña" localSheetId="6">[23]PAG_35!#REF!</definedName>
    <definedName name="dfasñljskña">[23]PAG_35!#REF!</definedName>
    <definedName name="dfsfd" localSheetId="0">#REF!</definedName>
    <definedName name="dfsfd" localSheetId="7">#REF!</definedName>
    <definedName name="dfsfd" localSheetId="3">#REF!</definedName>
    <definedName name="dfsfd" localSheetId="10">#REF!</definedName>
    <definedName name="dfsfd" localSheetId="4">#REF!</definedName>
    <definedName name="dfsfd" localSheetId="5">#REF!</definedName>
    <definedName name="dfsfd" localSheetId="18">#REF!</definedName>
    <definedName name="dfsfd" localSheetId="19">#REF!</definedName>
    <definedName name="dfsfd" localSheetId="12">#REF!</definedName>
    <definedName name="dfsfd" localSheetId="6">#REF!</definedName>
    <definedName name="dfsfd">#REF!</definedName>
    <definedName name="DíasHábiles">[4]Util!$A$2:$B$134</definedName>
    <definedName name="dklñfjadskfjañdf" localSheetId="0">[36]PAG_33!#REF!</definedName>
    <definedName name="dklñfjadskfjañdf" localSheetId="7">[36]PAG_33!#REF!</definedName>
    <definedName name="dklñfjadskfjañdf" localSheetId="3">[36]PAG_33!#REF!</definedName>
    <definedName name="dklñfjadskfjañdf" localSheetId="10">[36]PAG_33!#REF!</definedName>
    <definedName name="dklñfjadskfjañdf" localSheetId="4">[36]PAG_33!#REF!</definedName>
    <definedName name="dklñfjadskfjañdf" localSheetId="5">[36]PAG_33!#REF!</definedName>
    <definedName name="dklñfjadskfjañdf" localSheetId="18">[36]PAG_33!#REF!</definedName>
    <definedName name="dklñfjadskfjañdf" localSheetId="19">[36]PAG_33!#REF!</definedName>
    <definedName name="dklñfjadskfjañdf" localSheetId="12">[36]PAG_33!#REF!</definedName>
    <definedName name="dklñfjadskfjañdf" localSheetId="6">[36]PAG_33!#REF!</definedName>
    <definedName name="dklñfjadskfjañdf">[36]PAG_33!#REF!</definedName>
    <definedName name="dos" localSheetId="0">[23]PAG_35!#REF!</definedName>
    <definedName name="dos" localSheetId="7">[23]PAG_35!#REF!</definedName>
    <definedName name="dos" localSheetId="3">[23]PAG_35!#REF!</definedName>
    <definedName name="dos" localSheetId="10">[23]PAG_35!#REF!</definedName>
    <definedName name="dos" localSheetId="4">[23]PAG_35!#REF!</definedName>
    <definedName name="dos" localSheetId="5">[23]PAG_35!#REF!</definedName>
    <definedName name="dos" localSheetId="18">[23]PAG_35!#REF!</definedName>
    <definedName name="dos" localSheetId="19">[23]PAG_35!#REF!</definedName>
    <definedName name="dos" localSheetId="12">[23]PAG_35!#REF!</definedName>
    <definedName name="dos" localSheetId="6">[23]PAG_35!#REF!</definedName>
    <definedName name="dos">[23]PAG_35!#REF!</definedName>
    <definedName name="DurA">[4]Dur!$A$30:$I$55</definedName>
    <definedName name="EMBI">[37]CotizInternac!$A$1:$H$134</definedName>
    <definedName name="Ends">[37]CotizInternac!$A$154:$H$169</definedName>
    <definedName name="fadsfkañlj" localSheetId="0">#REF!,#REF!</definedName>
    <definedName name="fadsfkañlj" localSheetId="7">#REF!,#REF!</definedName>
    <definedName name="fadsfkañlj" localSheetId="3">#REF!,#REF!</definedName>
    <definedName name="fadsfkañlj" localSheetId="10">#REF!,#REF!</definedName>
    <definedName name="fadsfkañlj" localSheetId="4">#REF!,#REF!</definedName>
    <definedName name="fadsfkañlj" localSheetId="5">#REF!,#REF!</definedName>
    <definedName name="fadsfkañlj" localSheetId="18">#REF!,#REF!</definedName>
    <definedName name="fadsfkañlj" localSheetId="19">#REF!,#REF!</definedName>
    <definedName name="fadsfkañlj" localSheetId="12">#REF!,#REF!</definedName>
    <definedName name="fadsfkañlj" localSheetId="6">#REF!,#REF!</definedName>
    <definedName name="fadsfkañlj">#REF!,#REF!</definedName>
    <definedName name="fajkdlñfjafklñdfjak" localSheetId="0">[38]PAG_34!#REF!</definedName>
    <definedName name="fajkdlñfjafklñdfjak" localSheetId="7">[38]PAG_34!#REF!</definedName>
    <definedName name="fajkdlñfjafklñdfjak" localSheetId="3">[38]PAG_34!#REF!</definedName>
    <definedName name="fajkdlñfjafklñdfjak" localSheetId="10">[38]PAG_34!#REF!</definedName>
    <definedName name="fajkdlñfjafklñdfjak" localSheetId="4">[38]PAG_34!#REF!</definedName>
    <definedName name="fajkdlñfjafklñdfjak" localSheetId="5">[38]PAG_34!#REF!</definedName>
    <definedName name="fajkdlñfjafklñdfjak" localSheetId="18">[38]PAG_34!#REF!</definedName>
    <definedName name="fajkdlñfjafklñdfjak" localSheetId="19">[38]PAG_34!#REF!</definedName>
    <definedName name="fajkdlñfjafklñdfjak" localSheetId="12">[38]PAG_34!#REF!</definedName>
    <definedName name="fajkdlñfjafklñdfjak" localSheetId="6">[38]PAG_34!#REF!</definedName>
    <definedName name="fajkdlñfjafklñdfjak" localSheetId="14">[38]PAG_34!#REF!</definedName>
    <definedName name="fajkdlñfjafklñdfjak">[38]PAG_34!#REF!</definedName>
    <definedName name="FechasDeCuadroAnexo">[24]Fechas!$B$75:$B$86</definedName>
    <definedName name="FechasDeCuadroDeAFP">[24]Fechas!$B$51:$B$73</definedName>
    <definedName name="FechasDeCuadroDeAhorro">[24]Fechas!$B$3:$B$25</definedName>
    <definedName name="FechasDeCuadroDeBonos">[24]Fechas!$B$27:$B$49</definedName>
    <definedName name="FechasPanelDeCuadroAnexo">[24]Fechas!$A$74:$F$86</definedName>
    <definedName name="FechasPanelDeCuadroDeAFP">[24]Fechas!$A$50:$F$73</definedName>
    <definedName name="FechasPanelDeCuadroDeAhorro">[24]Fechas!$A$2:$F$25</definedName>
    <definedName name="FechasPanelDeCuadroDeBolsa">[24]Fechas!$A$26:$F$49</definedName>
    <definedName name="FechasPanelDeCuadroDeBonos">[24]Fechas!$A$26:$F$49</definedName>
    <definedName name="FechasPanelDeCuadroExtra">[24]Fechas!$A$87:$F$89</definedName>
    <definedName name="FechasPanelDeTodosLosCuadros">[24]Fechas!$A$50:$F$79</definedName>
    <definedName name="FemaleDa" localSheetId="0">#REF!</definedName>
    <definedName name="FemaleDa" localSheetId="7">#REF!</definedName>
    <definedName name="FemaleDa" localSheetId="3">#REF!</definedName>
    <definedName name="FemaleDa" localSheetId="10">#REF!</definedName>
    <definedName name="FemaleDa" localSheetId="4">#REF!</definedName>
    <definedName name="FemaleDa" localSheetId="5">#REF!</definedName>
    <definedName name="FemaleDa" localSheetId="18">#REF!</definedName>
    <definedName name="FemaleDa" localSheetId="19">#REF!</definedName>
    <definedName name="FemaleDa" localSheetId="12">#REF!</definedName>
    <definedName name="FemaleDa" localSheetId="6">#REF!</definedName>
    <definedName name="FemaleDa">#REF!</definedName>
    <definedName name="fgsg" localSheetId="0">[23]PAG_35!#REF!</definedName>
    <definedName name="fgsg" localSheetId="7">[23]PAG_35!#REF!</definedName>
    <definedName name="fgsg" localSheetId="3">[23]PAG_35!#REF!</definedName>
    <definedName name="fgsg" localSheetId="10">[23]PAG_35!#REF!</definedName>
    <definedName name="fgsg" localSheetId="4">[23]PAG_35!#REF!</definedName>
    <definedName name="fgsg" localSheetId="5">[23]PAG_35!#REF!</definedName>
    <definedName name="fgsg" localSheetId="18">[23]PAG_35!#REF!</definedName>
    <definedName name="fgsg" localSheetId="19">[23]PAG_35!#REF!</definedName>
    <definedName name="fgsg" localSheetId="12">[23]PAG_35!#REF!</definedName>
    <definedName name="fgsg" localSheetId="6">[23]PAG_35!#REF!</definedName>
    <definedName name="fgsg">[23]PAG_35!#REF!</definedName>
    <definedName name="FIN">#N/A</definedName>
    <definedName name="FLUJO" localSheetId="0">'[39]FLUJO-TURISTICO'!#REF!</definedName>
    <definedName name="FLUJO" localSheetId="7">'[39]FLUJO-TURISTICO'!#REF!</definedName>
    <definedName name="FLUJO" localSheetId="3">'[39]FLUJO-TURISTICO'!#REF!</definedName>
    <definedName name="FLUJO" localSheetId="10">'[39]FLUJO-TURISTICO'!#REF!</definedName>
    <definedName name="FLUJO" localSheetId="4">'[39]FLUJO-TURISTICO'!#REF!</definedName>
    <definedName name="FLUJO" localSheetId="5">'[39]FLUJO-TURISTICO'!#REF!</definedName>
    <definedName name="FLUJO" localSheetId="18">'[39]FLUJO-TURISTICO'!#REF!</definedName>
    <definedName name="FLUJO" localSheetId="19">'[39]FLUJO-TURISTICO'!#REF!</definedName>
    <definedName name="FLUJO" localSheetId="12">'[39]FLUJO-TURISTICO'!#REF!</definedName>
    <definedName name="FLUJO" localSheetId="6">'[39]FLUJO-TURISTICO'!#REF!</definedName>
    <definedName name="FLUJO">'[39]FLUJO-TURISTICO'!#REF!</definedName>
    <definedName name="FRE" localSheetId="0">#REF!</definedName>
    <definedName name="FRE" localSheetId="7">#REF!</definedName>
    <definedName name="FRE" localSheetId="3">#REF!</definedName>
    <definedName name="FRE" localSheetId="10">#REF!</definedName>
    <definedName name="FRE" localSheetId="4">#REF!</definedName>
    <definedName name="FRE" localSheetId="5">#REF!</definedName>
    <definedName name="FRE" localSheetId="18">#REF!</definedName>
    <definedName name="FRE" localSheetId="19">#REF!</definedName>
    <definedName name="FRE" localSheetId="12">#REF!</definedName>
    <definedName name="FRE" localSheetId="6">#REF!</definedName>
    <definedName name="FRE">#REF!</definedName>
    <definedName name="fsdafasfsadfasd" localSheetId="18" hidden="1">#REF!</definedName>
    <definedName name="fsdafasfsadfasd" localSheetId="19" hidden="1">#REF!</definedName>
    <definedName name="fsdafasfsadfasd" localSheetId="12" hidden="1">#REF!</definedName>
    <definedName name="fsdafasfsadfasd" hidden="1">#REF!</definedName>
    <definedName name="fsdf" localSheetId="18" hidden="1">#REF!</definedName>
    <definedName name="fsdf" localSheetId="19" hidden="1">#REF!</definedName>
    <definedName name="fsdf" localSheetId="12" hidden="1">#REF!</definedName>
    <definedName name="fsdf" hidden="1">#REF!</definedName>
    <definedName name="FUENTE">#N/A</definedName>
    <definedName name="GAS" localSheetId="0">#REF!</definedName>
    <definedName name="GAS" localSheetId="7">#REF!</definedName>
    <definedName name="GAS" localSheetId="3">#REF!</definedName>
    <definedName name="GAS" localSheetId="10">#REF!</definedName>
    <definedName name="GAS" localSheetId="4">#REF!</definedName>
    <definedName name="GAS" localSheetId="5">#REF!</definedName>
    <definedName name="GAS" localSheetId="18">#REF!</definedName>
    <definedName name="GAS" localSheetId="19">#REF!</definedName>
    <definedName name="GAS" localSheetId="12">#REF!</definedName>
    <definedName name="GAS" localSheetId="6">#REF!</definedName>
    <definedName name="GAS">#REF!</definedName>
    <definedName name="gdgdg" localSheetId="0" hidden="1">#REF!</definedName>
    <definedName name="gdgdg" localSheetId="8" hidden="1">#REF!</definedName>
    <definedName name="gdgdg" localSheetId="10" hidden="1">#REF!</definedName>
    <definedName name="gdgdg" localSheetId="17" hidden="1">#REF!</definedName>
    <definedName name="gdgdg" localSheetId="18" hidden="1">#REF!</definedName>
    <definedName name="gdgdg" localSheetId="19" hidden="1">#REF!</definedName>
    <definedName name="gdgdg" localSheetId="12" hidden="1">#REF!</definedName>
    <definedName name="gdgdg" hidden="1">#REF!</definedName>
    <definedName name="gfsg" localSheetId="0">[29]PAG_33!#REF!</definedName>
    <definedName name="gfsg" localSheetId="10">[29]PAG_33!#REF!</definedName>
    <definedName name="gfsg" localSheetId="18">[29]PAG_33!#REF!</definedName>
    <definedName name="gfsg" localSheetId="19">[29]PAG_33!#REF!</definedName>
    <definedName name="gfsg" localSheetId="12">[29]PAG_33!#REF!</definedName>
    <definedName name="gfsg">[29]PAG_33!#REF!</definedName>
    <definedName name="graf" localSheetId="0" hidden="1">#REF!</definedName>
    <definedName name="graf" localSheetId="7" hidden="1">#REF!</definedName>
    <definedName name="graf" localSheetId="8" hidden="1">#REF!</definedName>
    <definedName name="graf" localSheetId="3" hidden="1">#REF!</definedName>
    <definedName name="graf" localSheetId="10" hidden="1">#REF!</definedName>
    <definedName name="graf" localSheetId="4" hidden="1">#REF!</definedName>
    <definedName name="graf" localSheetId="17" hidden="1">#REF!</definedName>
    <definedName name="graf" localSheetId="5" hidden="1">#REF!</definedName>
    <definedName name="graf" localSheetId="18" hidden="1">#REF!</definedName>
    <definedName name="graf" localSheetId="19" hidden="1">#REF!</definedName>
    <definedName name="graf" localSheetId="12" hidden="1">#REF!</definedName>
    <definedName name="graf" localSheetId="6" hidden="1">#REF!</definedName>
    <definedName name="graf" hidden="1">#REF!</definedName>
    <definedName name="Graf_Options" localSheetId="0">[4]Curva!#REF!</definedName>
    <definedName name="Graf_Options" localSheetId="7">[4]Curva!#REF!</definedName>
    <definedName name="Graf_Options" localSheetId="3">[4]Curva!#REF!</definedName>
    <definedName name="Graf_Options" localSheetId="10">[4]Curva!#REF!</definedName>
    <definedName name="Graf_Options" localSheetId="4">[4]Curva!#REF!</definedName>
    <definedName name="Graf_Options" localSheetId="5">[4]Curva!#REF!</definedName>
    <definedName name="Graf_Options" localSheetId="18">[4]Curva!#REF!</definedName>
    <definedName name="Graf_Options" localSheetId="19">[4]Curva!#REF!</definedName>
    <definedName name="Graf_Options" localSheetId="12">[4]Curva!#REF!</definedName>
    <definedName name="Graf_Options" localSheetId="6">[4]Curva!#REF!</definedName>
    <definedName name="Graf_Options">[4]Curva!#REF!</definedName>
    <definedName name="Grafico22n" localSheetId="0" hidden="1">#REF!</definedName>
    <definedName name="Grafico22n" localSheetId="7" hidden="1">#REF!</definedName>
    <definedName name="Grafico22n" localSheetId="8" hidden="1">#REF!</definedName>
    <definedName name="Grafico22n" localSheetId="3" hidden="1">#REF!</definedName>
    <definedName name="Grafico22n" localSheetId="10" hidden="1">#REF!</definedName>
    <definedName name="Grafico22n" localSheetId="4" hidden="1">#REF!</definedName>
    <definedName name="Grafico22n" localSheetId="17" hidden="1">#REF!</definedName>
    <definedName name="Grafico22n" localSheetId="5" hidden="1">#REF!</definedName>
    <definedName name="Grafico22n" localSheetId="18" hidden="1">#REF!</definedName>
    <definedName name="Grafico22n" localSheetId="19" hidden="1">#REF!</definedName>
    <definedName name="Grafico22n" localSheetId="12" hidden="1">#REF!</definedName>
    <definedName name="Grafico22n" localSheetId="6" hidden="1">#REF!</definedName>
    <definedName name="Grafico22n" hidden="1">#REF!</definedName>
    <definedName name="Graficos">'[40]Diario Actual'!$T$246</definedName>
    <definedName name="GRTES" localSheetId="0">#REF!</definedName>
    <definedName name="GRTES" localSheetId="7">#REF!</definedName>
    <definedName name="GRTES" localSheetId="3">#REF!</definedName>
    <definedName name="GRTES" localSheetId="10">#REF!</definedName>
    <definedName name="GRTES" localSheetId="4">#REF!</definedName>
    <definedName name="GRTES" localSheetId="5">#REF!</definedName>
    <definedName name="GRTES" localSheetId="18">#REF!</definedName>
    <definedName name="GRTES" localSheetId="19">#REF!</definedName>
    <definedName name="GRTES" localSheetId="12">#REF!</definedName>
    <definedName name="GRTES" localSheetId="6">#REF!</definedName>
    <definedName name="GRTES">#REF!</definedName>
    <definedName name="gsfdgs" localSheetId="0">#REF!,#REF!,#REF!,#REF!,#REF!</definedName>
    <definedName name="gsfdgs" localSheetId="7">#REF!,#REF!,#REF!,#REF!,#REF!</definedName>
    <definedName name="gsfdgs" localSheetId="3">#REF!,#REF!,#REF!,#REF!,#REF!</definedName>
    <definedName name="gsfdgs" localSheetId="10">#REF!,#REF!,#REF!,#REF!,#REF!</definedName>
    <definedName name="gsfdgs" localSheetId="4">#REF!,#REF!,#REF!,#REF!,#REF!</definedName>
    <definedName name="gsfdgs" localSheetId="5">#REF!,#REF!,#REF!,#REF!,#REF!</definedName>
    <definedName name="gsfdgs" localSheetId="18">#REF!,#REF!,#REF!,#REF!,#REF!</definedName>
    <definedName name="gsfdgs" localSheetId="19">#REF!,#REF!,#REF!,#REF!,#REF!</definedName>
    <definedName name="gsfdgs" localSheetId="12">#REF!,#REF!,#REF!,#REF!,#REF!</definedName>
    <definedName name="gsfdgs" localSheetId="6">#REF!,#REF!,#REF!,#REF!,#REF!</definedName>
    <definedName name="gsfdgs">#REF!,#REF!,#REF!,#REF!,#REF!</definedName>
    <definedName name="HAR" localSheetId="0">#REF!</definedName>
    <definedName name="HAR" localSheetId="7">#REF!</definedName>
    <definedName name="HAR" localSheetId="3">#REF!</definedName>
    <definedName name="HAR" localSheetId="10">#REF!</definedName>
    <definedName name="HAR" localSheetId="4">#REF!</definedName>
    <definedName name="HAR" localSheetId="5">#REF!</definedName>
    <definedName name="HAR" localSheetId="18">#REF!</definedName>
    <definedName name="HAR" localSheetId="19">#REF!</definedName>
    <definedName name="HAR" localSheetId="12">#REF!</definedName>
    <definedName name="HAR" localSheetId="6">#REF!</definedName>
    <definedName name="HAR">#REF!</definedName>
    <definedName name="hfghfh" localSheetId="0">#REF!</definedName>
    <definedName name="hfghfh" localSheetId="10">#REF!</definedName>
    <definedName name="hfghfh" localSheetId="18">#REF!</definedName>
    <definedName name="hfghfh" localSheetId="19">#REF!</definedName>
    <definedName name="hfghfh" localSheetId="12">#REF!</definedName>
    <definedName name="hfghfh">#REF!</definedName>
    <definedName name="hhh" localSheetId="0">[41]PAG_33!#REF!</definedName>
    <definedName name="hhh" localSheetId="10">[41]PAG_33!#REF!</definedName>
    <definedName name="hhh" localSheetId="18">[41]PAG_33!#REF!</definedName>
    <definedName name="hhh" localSheetId="19">[41]PAG_33!#REF!</definedName>
    <definedName name="hhh" localSheetId="12">[41]PAG_33!#REF!</definedName>
    <definedName name="hhh">[41]PAG_33!#REF!</definedName>
    <definedName name="HO" localSheetId="0">#REF!</definedName>
    <definedName name="HO" localSheetId="7">#REF!</definedName>
    <definedName name="HO" localSheetId="3">#REF!</definedName>
    <definedName name="HO" localSheetId="10">#REF!</definedName>
    <definedName name="HO" localSheetId="4">#REF!</definedName>
    <definedName name="HO" localSheetId="5">#REF!</definedName>
    <definedName name="HO" localSheetId="18">#REF!</definedName>
    <definedName name="HO" localSheetId="19">#REF!</definedName>
    <definedName name="HO" localSheetId="12">#REF!</definedName>
    <definedName name="HO" localSheetId="6">#REF!</definedName>
    <definedName name="HO">#REF!</definedName>
    <definedName name="HO_2" localSheetId="0">[42]PAG14!#REF!</definedName>
    <definedName name="HO_2" localSheetId="7">[42]PAG14!#REF!</definedName>
    <definedName name="HO_2" localSheetId="3">[42]PAG14!#REF!</definedName>
    <definedName name="HO_2" localSheetId="10">[42]PAG14!#REF!</definedName>
    <definedName name="HO_2" localSheetId="4">[42]PAG14!#REF!</definedName>
    <definedName name="HO_2" localSheetId="5">[42]PAG14!#REF!</definedName>
    <definedName name="HO_2" localSheetId="18">[42]PAG14!#REF!</definedName>
    <definedName name="HO_2" localSheetId="19">[42]PAG14!#REF!</definedName>
    <definedName name="HO_2" localSheetId="12">[42]PAG14!#REF!</definedName>
    <definedName name="HO_2" localSheetId="6">[42]PAG14!#REF!</definedName>
    <definedName name="HO_2">[42]PAG14!#REF!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0">[3]PAG_35!#REF!</definedName>
    <definedName name="II" localSheetId="7">[3]PAG_35!#REF!</definedName>
    <definedName name="II" localSheetId="3">[3]PAG_35!#REF!</definedName>
    <definedName name="II" localSheetId="10">[3]PAG_35!#REF!</definedName>
    <definedName name="II" localSheetId="4">[3]PAG_35!#REF!</definedName>
    <definedName name="II" localSheetId="5">[3]PAG_35!#REF!</definedName>
    <definedName name="II" localSheetId="18">[3]PAG_35!#REF!</definedName>
    <definedName name="II" localSheetId="19">[3]PAG_35!#REF!</definedName>
    <definedName name="II" localSheetId="12">[3]PAG_35!#REF!</definedName>
    <definedName name="II" localSheetId="6">[3]PAG_35!#REF!</definedName>
    <definedName name="II" localSheetId="14">[3]PAG_35!#REF!</definedName>
    <definedName name="II">[3]PAG_35!#REF!</definedName>
    <definedName name="Imp" localSheetId="0">#REF!</definedName>
    <definedName name="Imp" localSheetId="7">#REF!</definedName>
    <definedName name="Imp" localSheetId="3">#REF!</definedName>
    <definedName name="Imp" localSheetId="10">#REF!</definedName>
    <definedName name="Imp" localSheetId="4">#REF!</definedName>
    <definedName name="Imp" localSheetId="5">#REF!</definedName>
    <definedName name="Imp" localSheetId="18">#REF!</definedName>
    <definedName name="Imp" localSheetId="19">#REF!</definedName>
    <definedName name="Imp" localSheetId="12">#REF!</definedName>
    <definedName name="Imp" localSheetId="6">#REF!</definedName>
    <definedName name="Imp">#REF!</definedName>
    <definedName name="IMPR" localSheetId="0">#REF!,#REF!,#REF!</definedName>
    <definedName name="IMPR" localSheetId="7">#REF!,#REF!,#REF!</definedName>
    <definedName name="IMPR" localSheetId="3">#REF!,#REF!,#REF!</definedName>
    <definedName name="IMPR" localSheetId="10">#REF!,#REF!,#REF!</definedName>
    <definedName name="IMPR" localSheetId="4">#REF!,#REF!,#REF!</definedName>
    <definedName name="IMPR" localSheetId="5">#REF!,#REF!,#REF!</definedName>
    <definedName name="IMPR" localSheetId="18">#REF!,#REF!,#REF!</definedName>
    <definedName name="IMPR" localSheetId="19">#REF!,#REF!,#REF!</definedName>
    <definedName name="IMPR" localSheetId="12">#REF!,#REF!,#REF!</definedName>
    <definedName name="IMPR" localSheetId="6">#REF!,#REF!,#REF!</definedName>
    <definedName name="IMPR">#REF!,#REF!,#REF!</definedName>
    <definedName name="IMPRESION" localSheetId="0">#REF!,#REF!</definedName>
    <definedName name="IMPRESION" localSheetId="7">#REF!,#REF!</definedName>
    <definedName name="IMPRESION" localSheetId="3">#REF!,#REF!</definedName>
    <definedName name="IMPRESION" localSheetId="10">#REF!,#REF!</definedName>
    <definedName name="IMPRESION" localSheetId="4">#REF!,#REF!</definedName>
    <definedName name="IMPRESION" localSheetId="5">#REF!,#REF!</definedName>
    <definedName name="IMPRESION" localSheetId="18">#REF!,#REF!</definedName>
    <definedName name="IMPRESION" localSheetId="19">#REF!,#REF!</definedName>
    <definedName name="IMPRESION" localSheetId="12">#REF!,#REF!</definedName>
    <definedName name="IMPRESION" localSheetId="6">#REF!,#REF!</definedName>
    <definedName name="IMPRESION">#REF!,#REF!</definedName>
    <definedName name="Imprimir_área_IM" localSheetId="0">#REF!</definedName>
    <definedName name="Imprimir_área_IM" localSheetId="7">#REF!</definedName>
    <definedName name="Imprimir_área_IM" localSheetId="3">#REF!</definedName>
    <definedName name="Imprimir_área_IM" localSheetId="10">#REF!</definedName>
    <definedName name="Imprimir_área_IM" localSheetId="4">#REF!</definedName>
    <definedName name="Imprimir_área_IM" localSheetId="5">#REF!</definedName>
    <definedName name="Imprimir_área_IM" localSheetId="18">#REF!</definedName>
    <definedName name="Imprimir_área_IM" localSheetId="19">#REF!</definedName>
    <definedName name="Imprimir_área_IM" localSheetId="12">#REF!</definedName>
    <definedName name="Imprimir_área_IM" localSheetId="6">#REF!</definedName>
    <definedName name="Imprimir_área_IM">#REF!</definedName>
    <definedName name="IN" localSheetId="0">#REF!</definedName>
    <definedName name="IN" localSheetId="10">#REF!</definedName>
    <definedName name="IN" localSheetId="18">#REF!</definedName>
    <definedName name="IN" localSheetId="19">#REF!</definedName>
    <definedName name="IN" localSheetId="12">#REF!</definedName>
    <definedName name="IN">#REF!</definedName>
    <definedName name="IN_2" localSheetId="0">[42]PAG14!#REF!</definedName>
    <definedName name="IN_2" localSheetId="10">[42]PAG14!#REF!</definedName>
    <definedName name="IN_2" localSheetId="18">[42]PAG14!#REF!</definedName>
    <definedName name="IN_2" localSheetId="19">[42]PAG14!#REF!</definedName>
    <definedName name="IN_2" localSheetId="12">[42]PAG14!#REF!</definedName>
    <definedName name="IN_2">[42]PAG14!#REF!</definedName>
    <definedName name="INDICE">#N/A</definedName>
    <definedName name="INDICEALFABETICO" localSheetId="0">#REF!</definedName>
    <definedName name="INDICEALFABETICO" localSheetId="7">#REF!</definedName>
    <definedName name="INDICEALFABETICO" localSheetId="3">#REF!</definedName>
    <definedName name="INDICEALFABETICO" localSheetId="10">#REF!</definedName>
    <definedName name="INDICEALFABETICO" localSheetId="4">#REF!</definedName>
    <definedName name="INDICEALFABETICO" localSheetId="5">#REF!</definedName>
    <definedName name="INDICEALFABETICO" localSheetId="18">#REF!</definedName>
    <definedName name="INDICEALFABETICO" localSheetId="19">#REF!</definedName>
    <definedName name="INDICEALFABETICO" localSheetId="12">#REF!</definedName>
    <definedName name="INDICEALFABETICO" localSheetId="6">#REF!</definedName>
    <definedName name="INDICEALFABETICO">#REF!</definedName>
    <definedName name="inicio">[26]Grafico!$A$3</definedName>
    <definedName name="inicio1">[26]Grafico!$A$60</definedName>
    <definedName name="Input_File" localSheetId="0">#REF!</definedName>
    <definedName name="Input_File" localSheetId="7">#REF!</definedName>
    <definedName name="Input_File" localSheetId="3">#REF!</definedName>
    <definedName name="Input_File" localSheetId="10">#REF!</definedName>
    <definedName name="Input_File" localSheetId="4">#REF!</definedName>
    <definedName name="Input_File" localSheetId="5">#REF!</definedName>
    <definedName name="Input_File" localSheetId="18">#REF!</definedName>
    <definedName name="Input_File" localSheetId="19">#REF!</definedName>
    <definedName name="Input_File" localSheetId="12">#REF!</definedName>
    <definedName name="Input_File" localSheetId="6">#REF!</definedName>
    <definedName name="Input_File">#REF!</definedName>
    <definedName name="Inputs_C1">[24]c1!$A$1:$O$164</definedName>
    <definedName name="Inputs_C1F">[24]c1!$A$4:$O$164</definedName>
    <definedName name="Inputs_C3">[24]c3!$B$1:$O$55</definedName>
    <definedName name="Inputs_C3F">[24]c3!$B$4:$O$55</definedName>
    <definedName name="Inputs_C5">[24]c5!$A$1:$N$31</definedName>
    <definedName name="Inputs_C5F">[24]c5!$A$3:$N$31</definedName>
    <definedName name="Inputs_C6">[24]c6!$B$1:$O$33</definedName>
    <definedName name="Inputs_C6F">[24]c6!$B$4:$O$33</definedName>
    <definedName name="Inputs_C8" localSheetId="0">#REF!</definedName>
    <definedName name="Inputs_C8" localSheetId="7">#REF!</definedName>
    <definedName name="Inputs_C8" localSheetId="3">#REF!</definedName>
    <definedName name="Inputs_C8" localSheetId="10">#REF!</definedName>
    <definedName name="Inputs_C8" localSheetId="4">#REF!</definedName>
    <definedName name="Inputs_C8" localSheetId="5">#REF!</definedName>
    <definedName name="Inputs_C8" localSheetId="18">#REF!</definedName>
    <definedName name="Inputs_C8" localSheetId="19">#REF!</definedName>
    <definedName name="Inputs_C8" localSheetId="12">#REF!</definedName>
    <definedName name="Inputs_C8" localSheetId="6">#REF!</definedName>
    <definedName name="Inputs_C8">#REF!</definedName>
    <definedName name="Inputs_C8F" localSheetId="0">#REF!</definedName>
    <definedName name="Inputs_C8F" localSheetId="10">#REF!</definedName>
    <definedName name="Inputs_C8F" localSheetId="18">#REF!</definedName>
    <definedName name="Inputs_C8F" localSheetId="19">#REF!</definedName>
    <definedName name="Inputs_C8F" localSheetId="12">#REF!</definedName>
    <definedName name="Inputs_C8F">#REF!</definedName>
    <definedName name="INTERVALS">[4]Pre!$Q$3:$S$30</definedName>
    <definedName name="INTERVALS_OLD">[4]Pre!$Q$35:$S$62</definedName>
    <definedName name="INVALIDEZ" localSheetId="0">#REF!</definedName>
    <definedName name="INVALIDEZ" localSheetId="7">#REF!</definedName>
    <definedName name="INVALIDEZ" localSheetId="3">#REF!</definedName>
    <definedName name="INVALIDEZ" localSheetId="10">#REF!</definedName>
    <definedName name="INVALIDEZ" localSheetId="4">#REF!</definedName>
    <definedName name="INVALIDEZ" localSheetId="5">#REF!</definedName>
    <definedName name="INVALIDEZ" localSheetId="18">#REF!</definedName>
    <definedName name="INVALIDEZ" localSheetId="19">#REF!</definedName>
    <definedName name="INVALIDEZ" localSheetId="12">#REF!</definedName>
    <definedName name="INVALIDEZ" localSheetId="6">#REF!</definedName>
    <definedName name="INVALIDEZ">#REF!</definedName>
    <definedName name="INVERSION" localSheetId="0">#REF!</definedName>
    <definedName name="INVERSION" localSheetId="10">#REF!</definedName>
    <definedName name="INVERSION" localSheetId="18">#REF!</definedName>
    <definedName name="INVERSION" localSheetId="19">#REF!</definedName>
    <definedName name="INVERSION" localSheetId="12">#REF!</definedName>
    <definedName name="INVERSION">#REF!</definedName>
    <definedName name="inversion001" localSheetId="0">#REF!</definedName>
    <definedName name="inversion001" localSheetId="10">#REF!</definedName>
    <definedName name="inversion001" localSheetId="18">#REF!</definedName>
    <definedName name="inversion001" localSheetId="19">#REF!</definedName>
    <definedName name="inversion001" localSheetId="12">#REF!</definedName>
    <definedName name="inversion001">#REF!</definedName>
    <definedName name="inversion01" localSheetId="0">#REF!</definedName>
    <definedName name="inversion01" localSheetId="10">#REF!</definedName>
    <definedName name="inversion01" localSheetId="18">#REF!</definedName>
    <definedName name="inversion01" localSheetId="19">#REF!</definedName>
    <definedName name="inversion01" localSheetId="12">#REF!</definedName>
    <definedName name="inversion01">#REF!</definedName>
    <definedName name="inversiones" localSheetId="0">#REF!</definedName>
    <definedName name="inversiones" localSheetId="10">#REF!</definedName>
    <definedName name="inversiones" localSheetId="18">#REF!</definedName>
    <definedName name="inversiones" localSheetId="19">#REF!</definedName>
    <definedName name="inversiones" localSheetId="12">#REF!</definedName>
    <definedName name="inversiones">#REF!</definedName>
    <definedName name="IPCs_2002_3">[43]Precios!$A$337:$U$339</definedName>
    <definedName name="IPCs_2002_3a">[43]Precios!$A$373:$U$383</definedName>
    <definedName name="IPE_03_04">[43]IPE!$A$280:$M$353</definedName>
    <definedName name="j" localSheetId="3" hidden="1">#REF!</definedName>
    <definedName name="j" localSheetId="4" hidden="1">#REF!</definedName>
    <definedName name="j" localSheetId="5" hidden="1">#REF!</definedName>
    <definedName name="j" localSheetId="18" hidden="1">#REF!</definedName>
    <definedName name="j" localSheetId="19" hidden="1">#REF!</definedName>
    <definedName name="j" localSheetId="12" hidden="1">#REF!</definedName>
    <definedName name="j" localSheetId="6" hidden="1">#REF!</definedName>
    <definedName name="j" hidden="1">#REF!</definedName>
    <definedName name="jenny">'[6]Cdrs 1-2'!$A$69:$S$114</definedName>
    <definedName name="JET">#N/A</definedName>
    <definedName name="jhgfjh" localSheetId="0">#REF!,#REF!,#REF!</definedName>
    <definedName name="jhgfjh" localSheetId="7">#REF!,#REF!,#REF!</definedName>
    <definedName name="jhgfjh" localSheetId="3">#REF!,#REF!,#REF!</definedName>
    <definedName name="jhgfjh" localSheetId="10">#REF!,#REF!,#REF!</definedName>
    <definedName name="jhgfjh" localSheetId="4">#REF!,#REF!,#REF!</definedName>
    <definedName name="jhgfjh" localSheetId="5">#REF!,#REF!,#REF!</definedName>
    <definedName name="jhgfjh" localSheetId="18">#REF!,#REF!,#REF!</definedName>
    <definedName name="jhgfjh" localSheetId="19">#REF!,#REF!,#REF!</definedName>
    <definedName name="jhgfjh" localSheetId="12">#REF!,#REF!,#REF!</definedName>
    <definedName name="jhgfjh" localSheetId="6">#REF!,#REF!,#REF!</definedName>
    <definedName name="jhgfjh">#REF!,#REF!,#REF!</definedName>
    <definedName name="jhjbj" localSheetId="0">#REF!</definedName>
    <definedName name="jhjbj" localSheetId="7">#REF!</definedName>
    <definedName name="jhjbj" localSheetId="3">#REF!</definedName>
    <definedName name="jhjbj" localSheetId="10">#REF!</definedName>
    <definedName name="jhjbj" localSheetId="4">#REF!</definedName>
    <definedName name="jhjbj" localSheetId="5">#REF!</definedName>
    <definedName name="jhjbj" localSheetId="18">#REF!</definedName>
    <definedName name="jhjbj" localSheetId="19">#REF!</definedName>
    <definedName name="jhjbj" localSheetId="12">#REF!</definedName>
    <definedName name="jhjbj" localSheetId="6">#REF!</definedName>
    <definedName name="jhjbj">#REF!</definedName>
    <definedName name="jojolete" localSheetId="3" hidden="1">[14]balance!#REF!</definedName>
    <definedName name="jojolete" localSheetId="4" hidden="1">[14]balance!#REF!</definedName>
    <definedName name="jojolete" localSheetId="5" hidden="1">[14]balance!#REF!</definedName>
    <definedName name="jojolete" localSheetId="18" hidden="1">[14]balance!#REF!</definedName>
    <definedName name="jojolete" localSheetId="19" hidden="1">[14]balance!#REF!</definedName>
    <definedName name="jojolete" localSheetId="12" hidden="1">[14]balance!#REF!</definedName>
    <definedName name="jojolete" localSheetId="6" hidden="1">[14]balance!#REF!</definedName>
    <definedName name="jojolete" hidden="1">[14]balance!#REF!</definedName>
    <definedName name="kghiog" localSheetId="0">#REF!,#REF!</definedName>
    <definedName name="kghiog" localSheetId="7">#REF!,#REF!</definedName>
    <definedName name="kghiog" localSheetId="3">#REF!,#REF!</definedName>
    <definedName name="kghiog" localSheetId="10">#REF!,#REF!</definedName>
    <definedName name="kghiog" localSheetId="4">#REF!,#REF!</definedName>
    <definedName name="kghiog" localSheetId="5">#REF!,#REF!</definedName>
    <definedName name="kghiog" localSheetId="18">#REF!,#REF!</definedName>
    <definedName name="kghiog" localSheetId="19">#REF!,#REF!</definedName>
    <definedName name="kghiog" localSheetId="12">#REF!,#REF!</definedName>
    <definedName name="kghiog" localSheetId="6">#REF!,#REF!</definedName>
    <definedName name="kghiog">#REF!,#REF!</definedName>
    <definedName name="leña" localSheetId="0">#REF!</definedName>
    <definedName name="leña" localSheetId="7">#REF!</definedName>
    <definedName name="leña" localSheetId="3">#REF!</definedName>
    <definedName name="leña" localSheetId="10">#REF!</definedName>
    <definedName name="leña" localSheetId="4">#REF!</definedName>
    <definedName name="leña" localSheetId="5">#REF!</definedName>
    <definedName name="leña" localSheetId="18">#REF!</definedName>
    <definedName name="leña" localSheetId="19">#REF!</definedName>
    <definedName name="leña" localSheetId="12">#REF!</definedName>
    <definedName name="leña" localSheetId="6">#REF!</definedName>
    <definedName name="leña">#REF!</definedName>
    <definedName name="Libor">[44]Resumen!$K$3:$R$26</definedName>
    <definedName name="LTP">[4]LTP!$A$2:$L$1000</definedName>
    <definedName name="MACRO">#N/A</definedName>
    <definedName name="MaleData" localSheetId="0">#REF!</definedName>
    <definedName name="MaleData" localSheetId="7">#REF!</definedName>
    <definedName name="MaleData" localSheetId="3">#REF!</definedName>
    <definedName name="MaleData" localSheetId="10">#REF!</definedName>
    <definedName name="MaleData" localSheetId="4">#REF!</definedName>
    <definedName name="MaleData" localSheetId="5">#REF!</definedName>
    <definedName name="MaleData" localSheetId="18">#REF!</definedName>
    <definedName name="MaleData" localSheetId="19">#REF!</definedName>
    <definedName name="MaleData" localSheetId="12">#REF!</definedName>
    <definedName name="MaleData" localSheetId="6">#REF!</definedName>
    <definedName name="MaleData">#REF!</definedName>
    <definedName name="Maximum" localSheetId="0">#REF!</definedName>
    <definedName name="Maximum" localSheetId="10">#REF!</definedName>
    <definedName name="Maximum" localSheetId="18">#REF!</definedName>
    <definedName name="Maximum" localSheetId="19">#REF!</definedName>
    <definedName name="Maximum" localSheetId="12">#REF!</definedName>
    <definedName name="Maximum">#REF!</definedName>
    <definedName name="Maximum_used" localSheetId="0">#REF!</definedName>
    <definedName name="Maximum_used" localSheetId="10">#REF!</definedName>
    <definedName name="Maximum_used" localSheetId="18">#REF!</definedName>
    <definedName name="Maximum_used" localSheetId="19">#REF!</definedName>
    <definedName name="Maximum_used" localSheetId="12">#REF!</definedName>
    <definedName name="Maximum_used">#REF!</definedName>
    <definedName name="MENU">[45]Menu!$A$3:$K$12</definedName>
    <definedName name="Meses">[4]Pre!$A$68:$C$79</definedName>
    <definedName name="Meses1">'[45]Curva (2)'!$A$45:$B$56</definedName>
    <definedName name="mio" localSheetId="0">[46]OPERACIONES!#REF!</definedName>
    <definedName name="mio" localSheetId="7">[46]OPERACIONES!#REF!</definedName>
    <definedName name="mio" localSheetId="3">[46]OPERACIONES!#REF!</definedName>
    <definedName name="mio" localSheetId="10">[46]OPERACIONES!#REF!</definedName>
    <definedName name="mio" localSheetId="4">[46]OPERACIONES!#REF!</definedName>
    <definedName name="mio" localSheetId="5">[46]OPERACIONES!#REF!</definedName>
    <definedName name="mio" localSheetId="18">[46]OPERACIONES!#REF!</definedName>
    <definedName name="mio" localSheetId="19">[46]OPERACIONES!#REF!</definedName>
    <definedName name="mio" localSheetId="12">[46]OPERACIONES!#REF!</definedName>
    <definedName name="mio" localSheetId="6">[46]OPERACIONES!#REF!</definedName>
    <definedName name="mio">[46]OPERACIONES!#REF!</definedName>
    <definedName name="miuo" localSheetId="0">#REF!</definedName>
    <definedName name="miuo" localSheetId="7">#REF!</definedName>
    <definedName name="miuo" localSheetId="3">#REF!</definedName>
    <definedName name="miuo" localSheetId="10">#REF!</definedName>
    <definedName name="miuo" localSheetId="4">#REF!</definedName>
    <definedName name="miuo" localSheetId="5">#REF!</definedName>
    <definedName name="miuo" localSheetId="18">#REF!</definedName>
    <definedName name="miuo" localSheetId="19">#REF!</definedName>
    <definedName name="miuo" localSheetId="12">#REF!</definedName>
    <definedName name="miuo" localSheetId="6">#REF!</definedName>
    <definedName name="miuo">#REF!</definedName>
    <definedName name="NOM" localSheetId="0">#REF!</definedName>
    <definedName name="NOM" localSheetId="10">#REF!</definedName>
    <definedName name="NOM" localSheetId="18">#REF!</definedName>
    <definedName name="NOM" localSheetId="19">#REF!</definedName>
    <definedName name="NOM" localSheetId="12">#REF!</definedName>
    <definedName name="NOM">#REF!</definedName>
    <definedName name="NombresDeSeriesC1">[24]c1!$O$9:$O$164</definedName>
    <definedName name="NombresDeSeriesC3">[24]c3!$O$10:$O$41</definedName>
    <definedName name="NombresDeSeriesC5">[24]c5!J1048562:J22</definedName>
    <definedName name="NombresDeSeriesC6">[24]c6!$O$10:$O$31</definedName>
    <definedName name="NOTA">#N/A</definedName>
    <definedName name="NUEVA">[45]CD!$M$11</definedName>
    <definedName name="NUMERO">#N/A</definedName>
    <definedName name="NumeroDeFechasDeCuadroDeAFP">[24]Fechas!$A$51:$A$73</definedName>
    <definedName name="NumeroDeFechasDeCuadroDeAhorro">[24]Fechas!$A$3:$A$25</definedName>
    <definedName name="NumeroDeFechasDeCuadroDeAnexo">[24]Fechas!$A$75:$A$86</definedName>
    <definedName name="NumeroDeFechasDeCuadroDeBonos">[24]Fechas!$A$27:$A$49</definedName>
    <definedName name="NV" localSheetId="0">#REF!</definedName>
    <definedName name="NV" localSheetId="7">#REF!</definedName>
    <definedName name="NV" localSheetId="3">#REF!</definedName>
    <definedName name="NV" localSheetId="10">#REF!</definedName>
    <definedName name="NV" localSheetId="4">#REF!</definedName>
    <definedName name="NV" localSheetId="5">#REF!</definedName>
    <definedName name="NV" localSheetId="18">#REF!</definedName>
    <definedName name="NV" localSheetId="19">#REF!</definedName>
    <definedName name="NV" localSheetId="12">#REF!</definedName>
    <definedName name="NV" localSheetId="6">#REF!</definedName>
    <definedName name="NV">#REF!</definedName>
    <definedName name="NV_2" localSheetId="0">[42]PAG14!#REF!</definedName>
    <definedName name="NV_2" localSheetId="7">[42]PAG14!#REF!</definedName>
    <definedName name="NV_2" localSheetId="3">[42]PAG14!#REF!</definedName>
    <definedName name="NV_2" localSheetId="10">[42]PAG14!#REF!</definedName>
    <definedName name="NV_2" localSheetId="4">[42]PAG14!#REF!</definedName>
    <definedName name="NV_2" localSheetId="5">[42]PAG14!#REF!</definedName>
    <definedName name="NV_2" localSheetId="18">[42]PAG14!#REF!</definedName>
    <definedName name="NV_2" localSheetId="19">[42]PAG14!#REF!</definedName>
    <definedName name="NV_2" localSheetId="12">[42]PAG14!#REF!</definedName>
    <definedName name="NV_2" localSheetId="6">[42]PAG14!#REF!</definedName>
    <definedName name="NV_2">[42]PAG14!#REF!</definedName>
    <definedName name="ñññ" localSheetId="18">#REF!</definedName>
    <definedName name="ñññ" localSheetId="19">#REF!</definedName>
    <definedName name="ñññ">#REF!</definedName>
    <definedName name="OCT" localSheetId="0">#REF!</definedName>
    <definedName name="OCT" localSheetId="7">#REF!</definedName>
    <definedName name="OCT" localSheetId="3">#REF!</definedName>
    <definedName name="OCT" localSheetId="10">#REF!</definedName>
    <definedName name="OCT" localSheetId="4">#REF!</definedName>
    <definedName name="OCT" localSheetId="5">#REF!</definedName>
    <definedName name="OCT" localSheetId="18">#REF!</definedName>
    <definedName name="OCT" localSheetId="19">#REF!</definedName>
    <definedName name="OCT" localSheetId="12">#REF!</definedName>
    <definedName name="OCT" localSheetId="6">#REF!</definedName>
    <definedName name="OCT">#REF!</definedName>
    <definedName name="Ordenrent" localSheetId="0">'[47]Sol traspaso'!#REF!</definedName>
    <definedName name="Ordenrent" localSheetId="7">'[47]Sol traspaso'!#REF!</definedName>
    <definedName name="Ordenrent" localSheetId="3">'[47]Sol traspaso'!#REF!</definedName>
    <definedName name="Ordenrent" localSheetId="10">'[47]Sol traspaso'!#REF!</definedName>
    <definedName name="Ordenrent" localSheetId="4">'[47]Sol traspaso'!#REF!</definedName>
    <definedName name="Ordenrent" localSheetId="5">'[47]Sol traspaso'!#REF!</definedName>
    <definedName name="Ordenrent" localSheetId="18">'[47]Sol traspaso'!#REF!</definedName>
    <definedName name="Ordenrent" localSheetId="19">'[47]Sol traspaso'!#REF!</definedName>
    <definedName name="Ordenrent" localSheetId="12">'[47]Sol traspaso'!#REF!</definedName>
    <definedName name="Ordenrent" localSheetId="6">'[47]Sol traspaso'!#REF!</definedName>
    <definedName name="Ordenrent">'[47]Sol traspaso'!#REF!</definedName>
    <definedName name="p" localSheetId="0">#REF!</definedName>
    <definedName name="p" localSheetId="7">#REF!</definedName>
    <definedName name="p" localSheetId="3">#REF!</definedName>
    <definedName name="p" localSheetId="10">#REF!</definedName>
    <definedName name="p" localSheetId="4">#REF!</definedName>
    <definedName name="p" localSheetId="5">#REF!</definedName>
    <definedName name="p" localSheetId="18">#REF!</definedName>
    <definedName name="p" localSheetId="19">#REF!</definedName>
    <definedName name="p" localSheetId="12">#REF!</definedName>
    <definedName name="p" localSheetId="6">#REF!</definedName>
    <definedName name="p">#REF!</definedName>
    <definedName name="pa" localSheetId="0">#REF!</definedName>
    <definedName name="pa" localSheetId="10">#REF!</definedName>
    <definedName name="pa" localSheetId="18">#REF!</definedName>
    <definedName name="pa" localSheetId="19">#REF!</definedName>
    <definedName name="pa" localSheetId="12">#REF!</definedName>
    <definedName name="pa">#REF!</definedName>
    <definedName name="PanelDeOpciones">[24]Menu!$B$6:$J$15</definedName>
    <definedName name="PanelDeOpcionesParaMenú">[24]Menu!$B$22:$J$26</definedName>
    <definedName name="PanelDeOpcionesSinTítulos">[24]Menu!$B$7:$J$15</definedName>
    <definedName name="PBI">[44]Resumen!$A$3:$I$27</definedName>
    <definedName name="pegado" localSheetId="0" hidden="1">#REF!</definedName>
    <definedName name="pegado" localSheetId="7" hidden="1">#REF!</definedName>
    <definedName name="pegado" localSheetId="8" hidden="1">#REF!</definedName>
    <definedName name="pegado" localSheetId="3" hidden="1">#REF!</definedName>
    <definedName name="pegado" localSheetId="10" hidden="1">#REF!</definedName>
    <definedName name="pegado" localSheetId="4" hidden="1">#REF!</definedName>
    <definedName name="pegado" localSheetId="17" hidden="1">#REF!</definedName>
    <definedName name="pegado" localSheetId="5" hidden="1">#REF!</definedName>
    <definedName name="pegado" localSheetId="18" hidden="1">#REF!</definedName>
    <definedName name="pegado" localSheetId="19" hidden="1">#REF!</definedName>
    <definedName name="pegado" localSheetId="12" hidden="1">#REF!</definedName>
    <definedName name="pegado" localSheetId="6" hidden="1">#REF!</definedName>
    <definedName name="pegado" hidden="1">#REF!</definedName>
    <definedName name="pgraficos" localSheetId="8" hidden="1">[16]Hoja3!$A$368:$A$408</definedName>
    <definedName name="pgraficos" localSheetId="17" hidden="1">[16]Hoja3!$A$368:$A$408</definedName>
    <definedName name="pgraficos" localSheetId="18" hidden="1">[16]Hoja3!$A$368:$A$408</definedName>
    <definedName name="pgraficos" localSheetId="19" hidden="1">[16]Hoja3!$A$368:$A$408</definedName>
    <definedName name="pgraficos" hidden="1">[13]Hoja3!$A$368:$A$408</definedName>
    <definedName name="PLANTILLA" localSheetId="0">#REF!</definedName>
    <definedName name="PLANTILLA" localSheetId="7">#REF!</definedName>
    <definedName name="PLANTILLA" localSheetId="3">#REF!</definedName>
    <definedName name="PLANTILLA" localSheetId="10">#REF!</definedName>
    <definedName name="PLANTILLA" localSheetId="4">#REF!</definedName>
    <definedName name="PLANTILLA" localSheetId="5">#REF!</definedName>
    <definedName name="PLANTILLA" localSheetId="18">#REF!</definedName>
    <definedName name="PLANTILLA" localSheetId="19">#REF!</definedName>
    <definedName name="PLANTILLA" localSheetId="12">#REF!</definedName>
    <definedName name="PLANTILLA" localSheetId="6">#REF!</definedName>
    <definedName name="PLANTILLA">#REF!</definedName>
    <definedName name="POBLA">[48]IECE4001!$G$3:$G$30</definedName>
    <definedName name="pobr1" localSheetId="0">#REF!</definedName>
    <definedName name="pobr1" localSheetId="7">#REF!</definedName>
    <definedName name="pobr1" localSheetId="3">#REF!</definedName>
    <definedName name="pobr1" localSheetId="10">#REF!</definedName>
    <definedName name="pobr1" localSheetId="4">#REF!</definedName>
    <definedName name="pobr1" localSheetId="5">#REF!</definedName>
    <definedName name="pobr1" localSheetId="18">#REF!</definedName>
    <definedName name="pobr1" localSheetId="19">#REF!</definedName>
    <definedName name="pobr1" localSheetId="12">#REF!</definedName>
    <definedName name="pobr1" localSheetId="6">#REF!</definedName>
    <definedName name="pobr1">#REF!</definedName>
    <definedName name="porcentajes" localSheetId="0">#REF!</definedName>
    <definedName name="porcentajes" localSheetId="10">#REF!</definedName>
    <definedName name="porcentajes" localSheetId="18">#REF!</definedName>
    <definedName name="porcentajes" localSheetId="19">#REF!</definedName>
    <definedName name="porcentajes" localSheetId="12">#REF!</definedName>
    <definedName name="porcentajes">#REF!</definedName>
    <definedName name="PR" localSheetId="0">#REF!</definedName>
    <definedName name="PR" localSheetId="10">#REF!</definedName>
    <definedName name="PR" localSheetId="18">#REF!</definedName>
    <definedName name="PR" localSheetId="19">#REF!</definedName>
    <definedName name="PR" localSheetId="12">#REF!</definedName>
    <definedName name="PR">#REF!</definedName>
    <definedName name="PR_2" localSheetId="0">[42]PAG14!#REF!</definedName>
    <definedName name="PR_2" localSheetId="10">[42]PAG14!#REF!</definedName>
    <definedName name="PR_2" localSheetId="18">[42]PAG14!#REF!</definedName>
    <definedName name="PR_2" localSheetId="19">[42]PAG14!#REF!</definedName>
    <definedName name="PR_2" localSheetId="12">[42]PAG14!#REF!</definedName>
    <definedName name="PR_2">[42]PAG14!#REF!</definedName>
    <definedName name="preci" localSheetId="0">[49]PAG_33!#REF!</definedName>
    <definedName name="preci" localSheetId="10">[49]PAG_33!#REF!</definedName>
    <definedName name="preci" localSheetId="18">[49]PAG_33!#REF!</definedName>
    <definedName name="preci" localSheetId="19">[49]PAG_33!#REF!</definedName>
    <definedName name="preci" localSheetId="12">[49]PAG_33!#REF!</definedName>
    <definedName name="preci">[49]PAG_33!#REF!</definedName>
    <definedName name="precipitacion" localSheetId="0">[31]PAG_37!#REF!</definedName>
    <definedName name="precipitacion" localSheetId="10">[31]PAG_37!#REF!</definedName>
    <definedName name="precipitacion" localSheetId="18">[31]PAG_37!#REF!</definedName>
    <definedName name="precipitacion" localSheetId="19">[31]PAG_37!#REF!</definedName>
    <definedName name="precipitacion" localSheetId="12">[31]PAG_37!#REF!</definedName>
    <definedName name="precipitacion">[31]PAG_37!#REF!</definedName>
    <definedName name="PreCuadro">[4]Pre!$A$2:$J$32</definedName>
    <definedName name="PreCuadroA">[4]Pre!$A$34:$J$64</definedName>
    <definedName name="PREPARA">#N/A</definedName>
    <definedName name="presenta" localSheetId="0">[1]Data!#REF!</definedName>
    <definedName name="presenta" localSheetId="7">[1]Data!#REF!</definedName>
    <definedName name="presenta" localSheetId="3">[1]Data!#REF!</definedName>
    <definedName name="presenta" localSheetId="10">[1]Data!#REF!</definedName>
    <definedName name="presenta" localSheetId="4">[1]Data!#REF!</definedName>
    <definedName name="presenta" localSheetId="5">[1]Data!#REF!</definedName>
    <definedName name="presenta" localSheetId="18">[1]Data!#REF!</definedName>
    <definedName name="presenta" localSheetId="19">[1]Data!#REF!</definedName>
    <definedName name="presenta" localSheetId="12">[1]Data!#REF!</definedName>
    <definedName name="presenta" localSheetId="6">[1]Data!#REF!</definedName>
    <definedName name="presenta">[1]Data!#REF!</definedName>
    <definedName name="Print_Area_MI" localSheetId="0">'[50]Uso mayor2'!#REF!</definedName>
    <definedName name="Print_Area_MI" localSheetId="7">'[50]Uso mayor2'!#REF!</definedName>
    <definedName name="Print_Area_MI" localSheetId="3">'[50]Uso mayor2'!#REF!</definedName>
    <definedName name="Print_Area_MI" localSheetId="10">'[50]Uso mayor2'!#REF!</definedName>
    <definedName name="Print_Area_MI" localSheetId="4">'[50]Uso mayor2'!#REF!</definedName>
    <definedName name="Print_Area_MI" localSheetId="5">'[50]Uso mayor2'!#REF!</definedName>
    <definedName name="Print_Area_MI" localSheetId="18">'[50]Uso mayor2'!#REF!</definedName>
    <definedName name="Print_Area_MI" localSheetId="19">'[50]Uso mayor2'!#REF!</definedName>
    <definedName name="Print_Area_MI" localSheetId="12">'[50]Uso mayor2'!#REF!</definedName>
    <definedName name="Print_Area_MI" localSheetId="6">'[50]Uso mayor2'!#REF!</definedName>
    <definedName name="Print_Area_MI">'[50]Uso mayor2'!#REF!</definedName>
    <definedName name="Proms">[37]CotizInternac!$A$137:$H$152</definedName>
    <definedName name="Pyramid_Filename" localSheetId="0">#REF!</definedName>
    <definedName name="Pyramid_Filename" localSheetId="7">#REF!</definedName>
    <definedName name="Pyramid_Filename" localSheetId="3">#REF!</definedName>
    <definedName name="Pyramid_Filename" localSheetId="10">#REF!</definedName>
    <definedName name="Pyramid_Filename" localSheetId="4">#REF!</definedName>
    <definedName name="Pyramid_Filename" localSheetId="5">#REF!</definedName>
    <definedName name="Pyramid_Filename" localSheetId="18">#REF!</definedName>
    <definedName name="Pyramid_Filename" localSheetId="19">#REF!</definedName>
    <definedName name="Pyramid_Filename" localSheetId="12">#REF!</definedName>
    <definedName name="Pyramid_Filename" localSheetId="6">#REF!</definedName>
    <definedName name="Pyramid_Filename">#REF!</definedName>
    <definedName name="Pyramid_Title" localSheetId="0">#REF!</definedName>
    <definedName name="Pyramid_Title" localSheetId="10">#REF!</definedName>
    <definedName name="Pyramid_Title" localSheetId="18">#REF!</definedName>
    <definedName name="Pyramid_Title" localSheetId="19">#REF!</definedName>
    <definedName name="Pyramid_Title" localSheetId="12">#REF!</definedName>
    <definedName name="Pyramid_Title">#REF!</definedName>
    <definedName name="PZs" localSheetId="0">#REF!</definedName>
    <definedName name="PZs" localSheetId="10">#REF!</definedName>
    <definedName name="PZs" localSheetId="18">#REF!</definedName>
    <definedName name="PZs" localSheetId="19">#REF!</definedName>
    <definedName name="PZs" localSheetId="12">#REF!</definedName>
    <definedName name="PZs">#REF!</definedName>
    <definedName name="Rango_Maestro">[24]Inputs!$C$2:$M$48</definedName>
    <definedName name="rango0">[26]Banda!$B$626:$Q$648</definedName>
    <definedName name="rango1">[26]Banda!$D$631:$F$639</definedName>
    <definedName name="REAL" localSheetId="0">#REF!</definedName>
    <definedName name="REAL" localSheetId="7">#REF!</definedName>
    <definedName name="REAL" localSheetId="3">#REF!</definedName>
    <definedName name="REAL" localSheetId="10">#REF!</definedName>
    <definedName name="REAL" localSheetId="4">#REF!</definedName>
    <definedName name="REAL" localSheetId="5">#REF!</definedName>
    <definedName name="REAL" localSheetId="18">#REF!</definedName>
    <definedName name="REAL" localSheetId="19">#REF!</definedName>
    <definedName name="REAL" localSheetId="12">#REF!</definedName>
    <definedName name="REAL" localSheetId="6">#REF!</definedName>
    <definedName name="REAL">#REF!</definedName>
    <definedName name="RedsBTPLTP">[4]SOB!$B$8:$B$33</definedName>
    <definedName name="RedsCDBCRP">[4]CDMP!$H$3:$H$1801</definedName>
    <definedName name="rentames" localSheetId="0">'[47]Sol traspaso'!#REF!</definedName>
    <definedName name="rentames" localSheetId="7">'[47]Sol traspaso'!#REF!</definedName>
    <definedName name="rentames" localSheetId="3">'[47]Sol traspaso'!#REF!</definedName>
    <definedName name="rentames" localSheetId="10">'[47]Sol traspaso'!#REF!</definedName>
    <definedName name="rentames" localSheetId="4">'[47]Sol traspaso'!#REF!</definedName>
    <definedName name="rentames" localSheetId="5">'[47]Sol traspaso'!#REF!</definedName>
    <definedName name="rentames" localSheetId="18">'[47]Sol traspaso'!#REF!</definedName>
    <definedName name="rentames" localSheetId="19">'[47]Sol traspaso'!#REF!</definedName>
    <definedName name="rentames" localSheetId="12">'[47]Sol traspaso'!#REF!</definedName>
    <definedName name="rentames" localSheetId="6">'[47]Sol traspaso'!#REF!</definedName>
    <definedName name="rentames" localSheetId="14">'[47]Sol traspaso'!#REF!</definedName>
    <definedName name="rentames">'[47]Sol traspaso'!#REF!</definedName>
    <definedName name="ResEMBIe">[4]EXT!$S$312:$AA$327</definedName>
    <definedName name="ResEMBIf">[4]EXT!$S$330:$AA$345</definedName>
    <definedName name="ResEMBIp">[4]EXT!$S$293:$AA$309</definedName>
    <definedName name="rfd" localSheetId="0">[23]PAG_35!#REF!</definedName>
    <definedName name="rfd" localSheetId="7">[23]PAG_35!#REF!</definedName>
    <definedName name="rfd" localSheetId="3">[23]PAG_35!#REF!</definedName>
    <definedName name="rfd" localSheetId="10">[23]PAG_35!#REF!</definedName>
    <definedName name="rfd" localSheetId="4">[23]PAG_35!#REF!</definedName>
    <definedName name="rfd" localSheetId="5">[23]PAG_35!#REF!</definedName>
    <definedName name="rfd" localSheetId="18">[23]PAG_35!#REF!</definedName>
    <definedName name="rfd" localSheetId="19">[23]PAG_35!#REF!</definedName>
    <definedName name="rfd" localSheetId="12">[23]PAG_35!#REF!</definedName>
    <definedName name="rfd" localSheetId="6">[23]PAG_35!#REF!</definedName>
    <definedName name="rfd" localSheetId="14">[23]PAG_35!#REF!</definedName>
    <definedName name="rfd">[23]PAG_35!#REF!</definedName>
    <definedName name="RO" localSheetId="0">#REF!</definedName>
    <definedName name="RO" localSheetId="7">#REF!</definedName>
    <definedName name="RO" localSheetId="3">#REF!</definedName>
    <definedName name="RO" localSheetId="10">#REF!</definedName>
    <definedName name="RO" localSheetId="4">#REF!</definedName>
    <definedName name="RO" localSheetId="5">#REF!</definedName>
    <definedName name="RO" localSheetId="18">#REF!</definedName>
    <definedName name="RO" localSheetId="19">#REF!</definedName>
    <definedName name="RO" localSheetId="12">#REF!</definedName>
    <definedName name="RO" localSheetId="6">#REF!</definedName>
    <definedName name="RO">#REF!</definedName>
    <definedName name="RO_2" localSheetId="0">[42]PAG14!#REF!</definedName>
    <definedName name="RO_2" localSheetId="7">[42]PAG14!#REF!</definedName>
    <definedName name="RO_2" localSheetId="3">[42]PAG14!#REF!</definedName>
    <definedName name="RO_2" localSheetId="10">[42]PAG14!#REF!</definedName>
    <definedName name="RO_2" localSheetId="4">[42]PAG14!#REF!</definedName>
    <definedName name="RO_2" localSheetId="5">[42]PAG14!#REF!</definedName>
    <definedName name="RO_2" localSheetId="18">[42]PAG14!#REF!</definedName>
    <definedName name="RO_2" localSheetId="19">[42]PAG14!#REF!</definedName>
    <definedName name="RO_2" localSheetId="12">[42]PAG14!#REF!</definedName>
    <definedName name="RO_2" localSheetId="6">[42]PAG14!#REF!</definedName>
    <definedName name="RO_2">[42]PAG14!#REF!</definedName>
    <definedName name="rr" localSheetId="3">#REF!</definedName>
    <definedName name="rr" localSheetId="4">#REF!</definedName>
    <definedName name="rr" localSheetId="5">#REF!</definedName>
    <definedName name="rr" localSheetId="18">#REF!</definedName>
    <definedName name="rr" localSheetId="19">#REF!</definedName>
    <definedName name="rr" localSheetId="12">#REF!</definedName>
    <definedName name="rr" localSheetId="6">#REF!</definedName>
    <definedName name="rr">#REF!</definedName>
    <definedName name="S" localSheetId="0">#REF!</definedName>
    <definedName name="S" localSheetId="10">#REF!</definedName>
    <definedName name="S" localSheetId="18">#REF!</definedName>
    <definedName name="S" localSheetId="19">#REF!</definedName>
    <definedName name="S" localSheetId="12">#REF!</definedName>
    <definedName name="S">#REF!</definedName>
    <definedName name="S17b" localSheetId="18">[1]Data!#REF!</definedName>
    <definedName name="S17b" localSheetId="19">[1]Data!#REF!</definedName>
    <definedName name="S17b">[1]Data!#REF!</definedName>
    <definedName name="sad" localSheetId="0">[23]PAG_35!#REF!</definedName>
    <definedName name="sad" localSheetId="10">[23]PAG_35!#REF!</definedName>
    <definedName name="sad" localSheetId="18">[23]PAG_35!#REF!</definedName>
    <definedName name="sad" localSheetId="19">[23]PAG_35!#REF!</definedName>
    <definedName name="sad" localSheetId="12">[23]PAG_35!#REF!</definedName>
    <definedName name="sad">[23]PAG_35!#REF!</definedName>
    <definedName name="sadadad" localSheetId="18" hidden="1">[14]balance!#REF!</definedName>
    <definedName name="sadadad" localSheetId="19" hidden="1">[14]balance!#REF!</definedName>
    <definedName name="sadadad" localSheetId="12" hidden="1">[14]balance!#REF!</definedName>
    <definedName name="sadadad" hidden="1">[14]balance!#REF!</definedName>
    <definedName name="sadgfdfs" localSheetId="0">#REF!,#REF!</definedName>
    <definedName name="sadgfdfs" localSheetId="7">#REF!,#REF!</definedName>
    <definedName name="sadgfdfs" localSheetId="3">#REF!,#REF!</definedName>
    <definedName name="sadgfdfs" localSheetId="10">#REF!,#REF!</definedName>
    <definedName name="sadgfdfs" localSheetId="4">#REF!,#REF!</definedName>
    <definedName name="sadgfdfs" localSheetId="5">#REF!,#REF!</definedName>
    <definedName name="sadgfdfs" localSheetId="18">#REF!,#REF!</definedName>
    <definedName name="sadgfdfs" localSheetId="19">#REF!,#REF!</definedName>
    <definedName name="sadgfdfs" localSheetId="12">#REF!,#REF!</definedName>
    <definedName name="sadgfdfs" localSheetId="6">#REF!,#REF!</definedName>
    <definedName name="sadgfdfs">#REF!,#REF!</definedName>
    <definedName name="sdd" localSheetId="0">#REF!,#REF!,#REF!,#REF!,#REF!</definedName>
    <definedName name="sdd" localSheetId="7">#REF!,#REF!,#REF!,#REF!,#REF!</definedName>
    <definedName name="sdd" localSheetId="3">#REF!,#REF!,#REF!,#REF!,#REF!</definedName>
    <definedName name="sdd" localSheetId="10">#REF!,#REF!,#REF!,#REF!,#REF!</definedName>
    <definedName name="sdd" localSheetId="4">#REF!,#REF!,#REF!,#REF!,#REF!</definedName>
    <definedName name="sdd" localSheetId="5">#REF!,#REF!,#REF!,#REF!,#REF!</definedName>
    <definedName name="sdd" localSheetId="18">#REF!,#REF!,#REF!,#REF!,#REF!</definedName>
    <definedName name="sdd" localSheetId="19">#REF!,#REF!,#REF!,#REF!,#REF!</definedName>
    <definedName name="sdd" localSheetId="12">#REF!,#REF!,#REF!,#REF!,#REF!</definedName>
    <definedName name="sdd" localSheetId="6">#REF!,#REF!,#REF!,#REF!,#REF!</definedName>
    <definedName name="sdd">#REF!,#REF!,#REF!,#REF!,#REF!</definedName>
    <definedName name="sdsadfd" localSheetId="0">#REF!,#REF!,#REF!</definedName>
    <definedName name="sdsadfd" localSheetId="7">#REF!,#REF!,#REF!</definedName>
    <definedName name="sdsadfd" localSheetId="3">#REF!,#REF!,#REF!</definedName>
    <definedName name="sdsadfd" localSheetId="10">#REF!,#REF!,#REF!</definedName>
    <definedName name="sdsadfd" localSheetId="4">#REF!,#REF!,#REF!</definedName>
    <definedName name="sdsadfd" localSheetId="5">#REF!,#REF!,#REF!</definedName>
    <definedName name="sdsadfd" localSheetId="18">#REF!,#REF!,#REF!</definedName>
    <definedName name="sdsadfd" localSheetId="19">#REF!,#REF!,#REF!</definedName>
    <definedName name="sdsadfd" localSheetId="12">#REF!,#REF!,#REF!</definedName>
    <definedName name="sdsadfd" localSheetId="6">#REF!,#REF!,#REF!</definedName>
    <definedName name="sdsadfd">#REF!,#REF!,#REF!</definedName>
    <definedName name="sgfsg" localSheetId="0">#REF!</definedName>
    <definedName name="sgfsg" localSheetId="7">#REF!</definedName>
    <definedName name="sgfsg" localSheetId="3">#REF!</definedName>
    <definedName name="sgfsg" localSheetId="10">#REF!</definedName>
    <definedName name="sgfsg" localSheetId="4">#REF!</definedName>
    <definedName name="sgfsg" localSheetId="5">#REF!</definedName>
    <definedName name="sgfsg" localSheetId="18">#REF!</definedName>
    <definedName name="sgfsg" localSheetId="19">#REF!</definedName>
    <definedName name="sgfsg" localSheetId="12">#REF!</definedName>
    <definedName name="sgfsg" localSheetId="6">#REF!</definedName>
    <definedName name="sgfsg">#REF!</definedName>
    <definedName name="SOBREVIVENCIA" localSheetId="0">#REF!</definedName>
    <definedName name="SOBREVIVENCIA" localSheetId="10">#REF!</definedName>
    <definedName name="SOBREVIVENCIA" localSheetId="18">#REF!</definedName>
    <definedName name="SOBREVIVENCIA" localSheetId="19">#REF!</definedName>
    <definedName name="SOBREVIVENCIA" localSheetId="12">#REF!</definedName>
    <definedName name="SOBREVIVENCIA">#REF!</definedName>
    <definedName name="sss" localSheetId="0">#REF!,#REF!</definedName>
    <definedName name="sss" localSheetId="7">#REF!,#REF!</definedName>
    <definedName name="sss" localSheetId="3">#REF!,#REF!</definedName>
    <definedName name="sss" localSheetId="10">#REF!,#REF!</definedName>
    <definedName name="sss" localSheetId="4">#REF!,#REF!</definedName>
    <definedName name="sss" localSheetId="5">#REF!,#REF!</definedName>
    <definedName name="sss" localSheetId="18">#REF!,#REF!</definedName>
    <definedName name="sss" localSheetId="19">#REF!,#REF!</definedName>
    <definedName name="sss" localSheetId="12">#REF!,#REF!</definedName>
    <definedName name="sss" localSheetId="6">#REF!,#REF!</definedName>
    <definedName name="sss">#REF!,#REF!</definedName>
    <definedName name="Stop_at_age" localSheetId="0">#REF!</definedName>
    <definedName name="Stop_at_age" localSheetId="7">#REF!</definedName>
    <definedName name="Stop_at_age" localSheetId="3">#REF!</definedName>
    <definedName name="Stop_at_age" localSheetId="10">#REF!</definedName>
    <definedName name="Stop_at_age" localSheetId="4">#REF!</definedName>
    <definedName name="Stop_at_age" localSheetId="5">#REF!</definedName>
    <definedName name="Stop_at_age" localSheetId="18">#REF!</definedName>
    <definedName name="Stop_at_age" localSheetId="19">#REF!</definedName>
    <definedName name="Stop_at_age" localSheetId="12">#REF!</definedName>
    <definedName name="Stop_at_age" localSheetId="6">#REF!</definedName>
    <definedName name="Stop_at_age">#REF!</definedName>
    <definedName name="svs" localSheetId="0">[51]PAG42!#REF!</definedName>
    <definedName name="svs" localSheetId="7">[51]PAG42!#REF!</definedName>
    <definedName name="svs" localSheetId="3">[51]PAG42!#REF!</definedName>
    <definedName name="svs" localSheetId="10">[51]PAG42!#REF!</definedName>
    <definedName name="svs" localSheetId="4">[51]PAG42!#REF!</definedName>
    <definedName name="svs" localSheetId="5">[51]PAG42!#REF!</definedName>
    <definedName name="svs" localSheetId="18">[51]PAG42!#REF!</definedName>
    <definedName name="svs" localSheetId="19">[51]PAG42!#REF!</definedName>
    <definedName name="svs" localSheetId="12">[51]PAG42!#REF!</definedName>
    <definedName name="svs" localSheetId="6">[51]PAG42!#REF!</definedName>
    <definedName name="svs">[51]PAG42!#REF!</definedName>
    <definedName name="Tab_Títulos">[24]Titles!$A$5:$E$19</definedName>
    <definedName name="tabla" localSheetId="0">#REF!</definedName>
    <definedName name="tabla" localSheetId="7">#REF!</definedName>
    <definedName name="tabla" localSheetId="3">#REF!</definedName>
    <definedName name="tabla" localSheetId="10">#REF!</definedName>
    <definedName name="tabla" localSheetId="4">#REF!</definedName>
    <definedName name="tabla" localSheetId="5">#REF!</definedName>
    <definedName name="tabla" localSheetId="18">#REF!</definedName>
    <definedName name="tabla" localSheetId="19">#REF!</definedName>
    <definedName name="tabla" localSheetId="12">#REF!</definedName>
    <definedName name="tabla" localSheetId="6">#REF!</definedName>
    <definedName name="tabla" localSheetId="14">#REF!</definedName>
    <definedName name="tabla">#REF!</definedName>
    <definedName name="Tabla_de_Meses">[24]Inputs!$E$52:$H$63</definedName>
    <definedName name="TablaMeses">[52]Meses!$A$1:$C$14</definedName>
    <definedName name="TC">[44]Resumen!$AH$3:$AN$18</definedName>
    <definedName name="TC_2002_3">[43]Monedas!$A$268:$U$291</definedName>
    <definedName name="TC_2002_3a">[43]Monedas!$A$356:$U$379</definedName>
    <definedName name="TCR">[44]Resumen!$U$3:$AF$18</definedName>
    <definedName name="Test" localSheetId="0">#REF!</definedName>
    <definedName name="Test" localSheetId="7">#REF!</definedName>
    <definedName name="Test" localSheetId="3">#REF!</definedName>
    <definedName name="Test" localSheetId="10">#REF!</definedName>
    <definedName name="Test" localSheetId="4">#REF!</definedName>
    <definedName name="Test" localSheetId="5">#REF!</definedName>
    <definedName name="Test" localSheetId="18">#REF!</definedName>
    <definedName name="Test" localSheetId="19">#REF!</definedName>
    <definedName name="Test" localSheetId="12">#REF!</definedName>
    <definedName name="Test" localSheetId="6">#REF!</definedName>
    <definedName name="Test">#REF!</definedName>
    <definedName name="TITL" localSheetId="0">#REF!</definedName>
    <definedName name="TITL" localSheetId="10">#REF!</definedName>
    <definedName name="TITL" localSheetId="18">#REF!</definedName>
    <definedName name="TITL" localSheetId="19">#REF!</definedName>
    <definedName name="TITL" localSheetId="12">#REF!</definedName>
    <definedName name="TITL">#REF!</definedName>
    <definedName name="treint" localSheetId="0">[46]OPERACIONES!#REF!</definedName>
    <definedName name="treint" localSheetId="10">[46]OPERACIONES!#REF!</definedName>
    <definedName name="treint" localSheetId="18">[46]OPERACIONES!#REF!</definedName>
    <definedName name="treint" localSheetId="19">[46]OPERACIONES!#REF!</definedName>
    <definedName name="treint" localSheetId="12">[46]OPERACIONES!#REF!</definedName>
    <definedName name="treint">[46]OPERACIONES!#REF!</definedName>
    <definedName name="TUTOR" localSheetId="0">#REF!</definedName>
    <definedName name="TUTOR" localSheetId="7">#REF!</definedName>
    <definedName name="TUTOR" localSheetId="3">#REF!</definedName>
    <definedName name="TUTOR" localSheetId="10">#REF!</definedName>
    <definedName name="TUTOR" localSheetId="4">#REF!</definedName>
    <definedName name="TUTOR" localSheetId="5">#REF!</definedName>
    <definedName name="TUTOR" localSheetId="18">#REF!</definedName>
    <definedName name="TUTOR" localSheetId="19">#REF!</definedName>
    <definedName name="TUTOR" localSheetId="12">#REF!</definedName>
    <definedName name="TUTOR" localSheetId="6">#REF!</definedName>
    <definedName name="TUTOR">#REF!</definedName>
    <definedName name="UN" localSheetId="0">#REF!</definedName>
    <definedName name="UN" localSheetId="10">#REF!</definedName>
    <definedName name="UN" localSheetId="18">#REF!</definedName>
    <definedName name="UN" localSheetId="19">#REF!</definedName>
    <definedName name="UN" localSheetId="12">#REF!</definedName>
    <definedName name="UN">#REF!</definedName>
    <definedName name="UN_2" localSheetId="0">[42]PAG14!#REF!</definedName>
    <definedName name="UN_2" localSheetId="10">[42]PAG14!#REF!</definedName>
    <definedName name="UN_2" localSheetId="18">[42]PAG14!#REF!</definedName>
    <definedName name="UN_2" localSheetId="19">[42]PAG14!#REF!</definedName>
    <definedName name="UN_2" localSheetId="12">[42]PAG14!#REF!</definedName>
    <definedName name="UN_2">[42]PAG14!#REF!</definedName>
    <definedName name="uno" localSheetId="0">#REF!</definedName>
    <definedName name="uno" localSheetId="7">#REF!</definedName>
    <definedName name="uno" localSheetId="3">#REF!</definedName>
    <definedName name="uno" localSheetId="10">#REF!</definedName>
    <definedName name="uno" localSheetId="4">#REF!</definedName>
    <definedName name="uno" localSheetId="5">#REF!</definedName>
    <definedName name="uno" localSheetId="18">#REF!</definedName>
    <definedName name="uno" localSheetId="19">#REF!</definedName>
    <definedName name="uno" localSheetId="12">#REF!</definedName>
    <definedName name="uno" localSheetId="6">#REF!</definedName>
    <definedName name="uno">#REF!</definedName>
    <definedName name="VALOR">#N/A</definedName>
    <definedName name="VARACU">#N/A</definedName>
    <definedName name="VARMEN">#N/A</definedName>
    <definedName name="VOLUMEN">#N/A</definedName>
    <definedName name="VVALOR">#N/A</definedName>
    <definedName name="wwwww" localSheetId="7">#REF!</definedName>
    <definedName name="wwwww" localSheetId="3">#REF!</definedName>
    <definedName name="wwwww" localSheetId="10">#REF!</definedName>
    <definedName name="wwwww" localSheetId="4">#REF!</definedName>
    <definedName name="wwwww" localSheetId="5">#REF!</definedName>
    <definedName name="wwwww" localSheetId="18">#REF!</definedName>
    <definedName name="wwwww" localSheetId="19">#REF!</definedName>
    <definedName name="wwwww" localSheetId="12">#REF!</definedName>
    <definedName name="wwwww" localSheetId="6">#REF!</definedName>
    <definedName name="wwwww" localSheetId="14">#REF!</definedName>
    <definedName name="wwwww">#REF!</definedName>
    <definedName name="x" localSheetId="0">#REF!</definedName>
    <definedName name="x" localSheetId="10">#REF!</definedName>
    <definedName name="x" localSheetId="18">#REF!</definedName>
    <definedName name="x" localSheetId="19">#REF!</definedName>
    <definedName name="x" localSheetId="12">#REF!</definedName>
    <definedName name="x">#REF!</definedName>
    <definedName name="xCol">[53]Dat!$E$1</definedName>
    <definedName name="xCurrent">[53]Dat!$C$1</definedName>
    <definedName name="xRuta">[24]Menu!$C$17:$C$17</definedName>
    <definedName name="xRuta2">[24]Menu!$C$19</definedName>
    <definedName name="xx">[37]CotizInternac!$A$1:$H$134</definedName>
    <definedName name="xxAMano">[24]c1!$N$164</definedName>
    <definedName name="xxDate" localSheetId="0">#REF!</definedName>
    <definedName name="xxDate" localSheetId="7">#REF!</definedName>
    <definedName name="xxDate" localSheetId="3">#REF!</definedName>
    <definedName name="xxDate" localSheetId="10">#REF!</definedName>
    <definedName name="xxDate" localSheetId="4">#REF!</definedName>
    <definedName name="xxDate" localSheetId="5">#REF!</definedName>
    <definedName name="xxDate" localSheetId="18">#REF!</definedName>
    <definedName name="xxDate" localSheetId="19">#REF!</definedName>
    <definedName name="xxDate" localSheetId="12">#REF!</definedName>
    <definedName name="xxDate" localSheetId="6">#REF!</definedName>
    <definedName name="xxDate">#REF!</definedName>
    <definedName name="xxDEF">[24]Titles!$A$27</definedName>
    <definedName name="xxDesF" localSheetId="0">#REF!</definedName>
    <definedName name="xxDesF" localSheetId="7">#REF!</definedName>
    <definedName name="xxDesF" localSheetId="3">#REF!</definedName>
    <definedName name="xxDesF" localSheetId="10">#REF!</definedName>
    <definedName name="xxDesF" localSheetId="4">#REF!</definedName>
    <definedName name="xxDesF" localSheetId="5">#REF!</definedName>
    <definedName name="xxDesF" localSheetId="18">#REF!</definedName>
    <definedName name="xxDesF" localSheetId="19">#REF!</definedName>
    <definedName name="xxDesF" localSheetId="12">#REF!</definedName>
    <definedName name="xxDesF" localSheetId="6">#REF!</definedName>
    <definedName name="xxDesF">#REF!</definedName>
    <definedName name="xxEditarCifrasEnCuadros">[24]Inputs!$D$45</definedName>
    <definedName name="xxEscalaMínima">[54]SERIES!$V$1</definedName>
    <definedName name="xxFechaFin">[55]Tabla!$AP$3</definedName>
    <definedName name="xxFechaInicio">[55]Tabla!$AP$2</definedName>
    <definedName name="xxFinalFechasC1">[24]c1!$N$3</definedName>
    <definedName name="xxFinalFechasC3">[24]c3!$N$3</definedName>
    <definedName name="xxFinalFechasC5">[24]c5!$N$3</definedName>
    <definedName name="xxFinalFechasC6">[24]c6!$N$3</definedName>
    <definedName name="xxFinalFechasC8" localSheetId="0">#REF!</definedName>
    <definedName name="xxFinalFechasC8" localSheetId="7">#REF!</definedName>
    <definedName name="xxFinalFechasC8" localSheetId="3">#REF!</definedName>
    <definedName name="xxFinalFechasC8" localSheetId="10">#REF!</definedName>
    <definedName name="xxFinalFechasC8" localSheetId="4">#REF!</definedName>
    <definedName name="xxFinalFechasC8" localSheetId="5">#REF!</definedName>
    <definedName name="xxFinalFechasC8" localSheetId="18">#REF!</definedName>
    <definedName name="xxFinalFechasC8" localSheetId="19">#REF!</definedName>
    <definedName name="xxFinalFechasC8" localSheetId="12">#REF!</definedName>
    <definedName name="xxFinalFechasC8" localSheetId="6">#REF!</definedName>
    <definedName name="xxFinalFechasC8">#REF!</definedName>
    <definedName name="xxFinalSeriesC1">[24]c1!$B$164</definedName>
    <definedName name="xxFinalSeriesC3">[24]c3!$B$54</definedName>
    <definedName name="xxFinalSeriesC5">[24]c5!$B$31</definedName>
    <definedName name="xxFinalSeriesC6">[24]c6!$B$32</definedName>
    <definedName name="xxFinalSeriesC8" localSheetId="0">#REF!</definedName>
    <definedName name="xxFinalSeriesC8" localSheetId="7">#REF!</definedName>
    <definedName name="xxFinalSeriesC8" localSheetId="3">#REF!</definedName>
    <definedName name="xxFinalSeriesC8" localSheetId="10">#REF!</definedName>
    <definedName name="xxFinalSeriesC8" localSheetId="4">#REF!</definedName>
    <definedName name="xxFinalSeriesC8" localSheetId="5">#REF!</definedName>
    <definedName name="xxFinalSeriesC8" localSheetId="18">#REF!</definedName>
    <definedName name="xxFinalSeriesC8" localSheetId="19">#REF!</definedName>
    <definedName name="xxFinalSeriesC8" localSheetId="12">#REF!</definedName>
    <definedName name="xxFinalSeriesC8" localSheetId="6">#REF!</definedName>
    <definedName name="xxFinalSeriesC8">#REF!</definedName>
    <definedName name="xxIdiomaEspañol">[24]Titles!$A$22</definedName>
    <definedName name="xxIdiomaInglés">[24]Titles!$A$23</definedName>
    <definedName name="xxInicioFechasC1">[24]c1!$D$3</definedName>
    <definedName name="xxInicioFechasC3">[24]c3!$D$3</definedName>
    <definedName name="xxInicioFechasC5">[24]c5!$D$3</definedName>
    <definedName name="xxInicioFechasC6">[24]c6!$D$3</definedName>
    <definedName name="xxInicioFechasC8" localSheetId="0">#REF!</definedName>
    <definedName name="xxInicioFechasC8" localSheetId="7">#REF!</definedName>
    <definedName name="xxInicioFechasC8" localSheetId="3">#REF!</definedName>
    <definedName name="xxInicioFechasC8" localSheetId="10">#REF!</definedName>
    <definedName name="xxInicioFechasC8" localSheetId="4">#REF!</definedName>
    <definedName name="xxInicioFechasC8" localSheetId="5">#REF!</definedName>
    <definedName name="xxInicioFechasC8" localSheetId="18">#REF!</definedName>
    <definedName name="xxInicioFechasC8" localSheetId="19">#REF!</definedName>
    <definedName name="xxInicioFechasC8" localSheetId="12">#REF!</definedName>
    <definedName name="xxInicioFechasC8" localSheetId="6">#REF!</definedName>
    <definedName name="xxInicioFechasC8">#REF!</definedName>
    <definedName name="xxInicioSeriesC1">[24]c1!$B$10</definedName>
    <definedName name="xxInicioSeriesC3">[24]c3!$B$10</definedName>
    <definedName name="xxInicioSeriesC5">[24]c5!$B$10</definedName>
    <definedName name="xxInicioSeriesC6">[24]c6!$B$10</definedName>
    <definedName name="xxInicioSeriesC8" localSheetId="0">#REF!</definedName>
    <definedName name="xxInicioSeriesC8" localSheetId="7">#REF!</definedName>
    <definedName name="xxInicioSeriesC8" localSheetId="3">#REF!</definedName>
    <definedName name="xxInicioSeriesC8" localSheetId="10">#REF!</definedName>
    <definedName name="xxInicioSeriesC8" localSheetId="4">#REF!</definedName>
    <definedName name="xxInicioSeriesC8" localSheetId="5">#REF!</definedName>
    <definedName name="xxInicioSeriesC8" localSheetId="18">#REF!</definedName>
    <definedName name="xxInicioSeriesC8" localSheetId="19">#REF!</definedName>
    <definedName name="xxInicioSeriesC8" localSheetId="12">#REF!</definedName>
    <definedName name="xxInicioSeriesC8" localSheetId="6">#REF!</definedName>
    <definedName name="xxInicioSeriesC8">#REF!</definedName>
    <definedName name="xxInterpol" localSheetId="0">#REF!</definedName>
    <definedName name="xxInterpol" localSheetId="10">#REF!</definedName>
    <definedName name="xxInterpol" localSheetId="18">#REF!</definedName>
    <definedName name="xxInterpol" localSheetId="19">#REF!</definedName>
    <definedName name="xxInterpol" localSheetId="12">#REF!</definedName>
    <definedName name="xxInterpol">#REF!</definedName>
    <definedName name="xxLanguage">[24]Titles!$A$3</definedName>
    <definedName name="xxLapso" localSheetId="0">#REF!</definedName>
    <definedName name="xxLapso" localSheetId="7">#REF!</definedName>
    <definedName name="xxLapso" localSheetId="3">#REF!</definedName>
    <definedName name="xxLapso" localSheetId="10">#REF!</definedName>
    <definedName name="xxLapso" localSheetId="4">#REF!</definedName>
    <definedName name="xxLapso" localSheetId="5">#REF!</definedName>
    <definedName name="xxLapso" localSheetId="18">#REF!</definedName>
    <definedName name="xxLapso" localSheetId="19">#REF!</definedName>
    <definedName name="xxLapso" localSheetId="12">#REF!</definedName>
    <definedName name="xxLapso" localSheetId="6">#REF!</definedName>
    <definedName name="xxLapso">#REF!</definedName>
    <definedName name="xxLastDate" localSheetId="0">#REF!</definedName>
    <definedName name="xxLastDate" localSheetId="10">#REF!</definedName>
    <definedName name="xxLastDate" localSheetId="18">#REF!</definedName>
    <definedName name="xxLastDate" localSheetId="19">#REF!</definedName>
    <definedName name="xxLastDate" localSheetId="12">#REF!</definedName>
    <definedName name="xxLastDate">#REF!</definedName>
    <definedName name="xxMercado" localSheetId="0">#REF!</definedName>
    <definedName name="xxMercado" localSheetId="10">#REF!</definedName>
    <definedName name="xxMercado" localSheetId="18">#REF!</definedName>
    <definedName name="xxMercado" localSheetId="19">#REF!</definedName>
    <definedName name="xxMercado" localSheetId="12">#REF!</definedName>
    <definedName name="xxMercado">#REF!</definedName>
    <definedName name="xxNumeroDeFechasC1">[24]c1!$N$1</definedName>
    <definedName name="xxNumeroDeFechasC3">[24]c3!$N$1</definedName>
    <definedName name="xxNumeroDeFechasC5">[24]c5!$N$1</definedName>
    <definedName name="xxNumeroDeFechasC6">[24]c6!$N$1</definedName>
    <definedName name="xxNumeroDeFechasC8" localSheetId="0">#REF!</definedName>
    <definedName name="xxNumeroDeFechasC8" localSheetId="7">#REF!</definedName>
    <definedName name="xxNumeroDeFechasC8" localSheetId="3">#REF!</definedName>
    <definedName name="xxNumeroDeFechasC8" localSheetId="10">#REF!</definedName>
    <definedName name="xxNumeroDeFechasC8" localSheetId="4">#REF!</definedName>
    <definedName name="xxNumeroDeFechasC8" localSheetId="5">#REF!</definedName>
    <definedName name="xxNumeroDeFechasC8" localSheetId="18">#REF!</definedName>
    <definedName name="xxNumeroDeFechasC8" localSheetId="19">#REF!</definedName>
    <definedName name="xxNumeroDeFechasC8" localSheetId="12">#REF!</definedName>
    <definedName name="xxNumeroDeFechasC8" localSheetId="6">#REF!</definedName>
    <definedName name="xxNumeroDeFechasC8">#REF!</definedName>
    <definedName name="xxOpcionesFAME">[24]Inputs!$A$2</definedName>
    <definedName name="xxPorcentaje">[54]SERIES!$U$1</definedName>
    <definedName name="xxPromD">[4]SerM!$V$1</definedName>
    <definedName name="xxReal">[24]Titles!$A$32</definedName>
    <definedName name="xxSecundary" localSheetId="0">#REF!</definedName>
    <definedName name="xxSecundary" localSheetId="7">#REF!</definedName>
    <definedName name="xxSecundary" localSheetId="3">#REF!</definedName>
    <definedName name="xxSecundary" localSheetId="10">#REF!</definedName>
    <definedName name="xxSecundary" localSheetId="4">#REF!</definedName>
    <definedName name="xxSecundary" localSheetId="5">#REF!</definedName>
    <definedName name="xxSecundary" localSheetId="18">#REF!</definedName>
    <definedName name="xxSecundary" localSheetId="19">#REF!</definedName>
    <definedName name="xxSecundary" localSheetId="12">#REF!</definedName>
    <definedName name="xxSecundary" localSheetId="6">#REF!</definedName>
    <definedName name="xxSecundary">#REF!</definedName>
    <definedName name="xxSelectBTP1">[4]BTPMS!$O$1</definedName>
    <definedName name="xxSelectCDB1">[4]CDMS!$N$1</definedName>
    <definedName name="xxSufijoEspañol">[24]Titles!$C$22</definedName>
    <definedName name="xxSufijoInglés">[24]Titles!$C$23</definedName>
    <definedName name="xxTC">[37]Empresas!$H$1</definedName>
    <definedName name="xxTolerance" localSheetId="0">#REF!</definedName>
    <definedName name="xxTolerance" localSheetId="7">#REF!</definedName>
    <definedName name="xxTolerance" localSheetId="3">#REF!</definedName>
    <definedName name="xxTolerance" localSheetId="10">#REF!</definedName>
    <definedName name="xxTolerance" localSheetId="4">#REF!</definedName>
    <definedName name="xxTolerance" localSheetId="5">#REF!</definedName>
    <definedName name="xxTolerance" localSheetId="18">#REF!</definedName>
    <definedName name="xxTolerance" localSheetId="19">#REF!</definedName>
    <definedName name="xxTolerance" localSheetId="12">#REF!</definedName>
    <definedName name="xxTolerance" localSheetId="6">#REF!</definedName>
    <definedName name="xxTolerance">#REF!</definedName>
    <definedName name="xxUltimaFechaCuadroDeAFP">[24]Menu!$K$12</definedName>
    <definedName name="xxUltimaFechaCuadroDeAhorro">[24]Menu!$K$7</definedName>
    <definedName name="xxUltimaFechaCuadroDeBolsa">[24]Menu!$K$9</definedName>
    <definedName name="xxUltimaFechaCuadroDeBonos">[24]Menu!$K$9</definedName>
    <definedName name="xxUltimaFechaCuadroDeTasas">[24]Menu!$K$11</definedName>
    <definedName name="xxUltimaFechaDeCuadroAnexo">[24]Menu!$K$14</definedName>
    <definedName name="xxx" localSheetId="0" hidden="1">#REF!</definedName>
    <definedName name="xxx" localSheetId="7" hidden="1">#REF!</definedName>
    <definedName name="xxx" localSheetId="8" hidden="1">#REF!</definedName>
    <definedName name="xxx" localSheetId="3" hidden="1">#REF!</definedName>
    <definedName name="xxx" localSheetId="10" hidden="1">#REF!</definedName>
    <definedName name="xxx" localSheetId="4" hidden="1">#REF!</definedName>
    <definedName name="xxx" localSheetId="17" hidden="1">#REF!</definedName>
    <definedName name="xxx" localSheetId="5" hidden="1">#REF!</definedName>
    <definedName name="xxx" localSheetId="18" hidden="1">#REF!</definedName>
    <definedName name="xxx" localSheetId="19" hidden="1">#REF!</definedName>
    <definedName name="xxx" localSheetId="12" hidden="1">#REF!</definedName>
    <definedName name="xxx" localSheetId="6" hidden="1">#REF!</definedName>
    <definedName name="xxx" hidden="1">#REF!</definedName>
    <definedName name="xxxx" localSheetId="0" hidden="1">#REF!</definedName>
    <definedName name="xxxx" localSheetId="8" hidden="1">#REF!</definedName>
    <definedName name="xxxx" localSheetId="10" hidden="1">#REF!</definedName>
    <definedName name="xxxx" localSheetId="17" hidden="1">#REF!</definedName>
    <definedName name="xxxx" localSheetId="18" hidden="1">#REF!</definedName>
    <definedName name="xxxx" localSheetId="19" hidden="1">#REF!</definedName>
    <definedName name="xxxx" localSheetId="12" hidden="1">#REF!</definedName>
    <definedName name="xxxx" hidden="1">#REF!</definedName>
    <definedName name="xxxxxxx" localSheetId="0">#REF!</definedName>
    <definedName name="xxxxxxx" localSheetId="10">#REF!</definedName>
    <definedName name="xxxxxxx" localSheetId="18">#REF!</definedName>
    <definedName name="xxxxxxx" localSheetId="19">#REF!</definedName>
    <definedName name="xxxxxxx" localSheetId="12">#REF!</definedName>
    <definedName name="xxxxxxx">#REF!</definedName>
    <definedName name="xxxxxxxxxxx" localSheetId="0">#REF!</definedName>
    <definedName name="xxxxxxxxxxx" localSheetId="10">#REF!</definedName>
    <definedName name="xxxxxxxxxxx" localSheetId="18">#REF!</definedName>
    <definedName name="xxxxxxxxxxx" localSheetId="19">#REF!</definedName>
    <definedName name="xxxxxxxxxxx" localSheetId="12">#REF!</definedName>
    <definedName name="xxxxxxxxxxx">#REF!</definedName>
    <definedName name="xxxxxxxxxxxxxx" localSheetId="0">#REF!</definedName>
    <definedName name="xxxxxxxxxxxxxx" localSheetId="10">#REF!</definedName>
    <definedName name="xxxxxxxxxxxxxx" localSheetId="18">#REF!</definedName>
    <definedName name="xxxxxxxxxxxxxx" localSheetId="19">#REF!</definedName>
    <definedName name="xxxxxxxxxxxxxx" localSheetId="12">#REF!</definedName>
    <definedName name="xxxxxxxxxxxxxx">#REF!</definedName>
    <definedName name="xxxxxxxxxxxxxxxx" localSheetId="0">#REF!</definedName>
    <definedName name="xxxxxxxxxxxxxxxx" localSheetId="10">#REF!</definedName>
    <definedName name="xxxxxxxxxxxxxxxx" localSheetId="18">#REF!</definedName>
    <definedName name="xxxxxxxxxxxxxxxx" localSheetId="19">#REF!</definedName>
    <definedName name="xxxxxxxxxxxxxxxx" localSheetId="12">#REF!</definedName>
    <definedName name="xxxxxxxxxxxxxxxx">#REF!</definedName>
    <definedName name="YieldsDAY">[4]EXT!$A$1:$P$290</definedName>
    <definedName name="YieldsFIN">[4]SerX!$A$18:$Q$31</definedName>
    <definedName name="YieldsPRM">[4]SerX!$A$2:$Q$15</definedName>
    <definedName name="zssdd" localSheetId="0">#REF!</definedName>
    <definedName name="zssdd" localSheetId="7">#REF!</definedName>
    <definedName name="zssdd" localSheetId="3">#REF!</definedName>
    <definedName name="zssdd" localSheetId="10">#REF!</definedName>
    <definedName name="zssdd" localSheetId="4">#REF!</definedName>
    <definedName name="zssdd" localSheetId="5">#REF!</definedName>
    <definedName name="zssdd" localSheetId="18">#REF!</definedName>
    <definedName name="zssdd" localSheetId="19">#REF!</definedName>
    <definedName name="zssdd" localSheetId="12">#REF!</definedName>
    <definedName name="zssdd" localSheetId="6">#REF!</definedName>
    <definedName name="zssdd">#REF!</definedName>
    <definedName name="zzzz" localSheetId="0">[56]PAG_33!#REF!</definedName>
    <definedName name="zzzz" localSheetId="7">[56]PAG_33!#REF!</definedName>
    <definedName name="zzzz" localSheetId="3">[56]PAG_33!#REF!</definedName>
    <definedName name="zzzz" localSheetId="10">[56]PAG_33!#REF!</definedName>
    <definedName name="zzzz" localSheetId="4">[56]PAG_33!#REF!</definedName>
    <definedName name="zzzz" localSheetId="5">[56]PAG_33!#REF!</definedName>
    <definedName name="zzzz" localSheetId="18">[56]PAG_33!#REF!</definedName>
    <definedName name="zzzz" localSheetId="19">[56]PAG_33!#REF!</definedName>
    <definedName name="zzzz" localSheetId="12">[56]PAG_33!#REF!</definedName>
    <definedName name="zzzz" localSheetId="6">[56]PAG_33!#REF!</definedName>
    <definedName name="zzzz">[56]PAG_33!#REF!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3" i="24" l="1"/>
  <c r="AE22" i="24"/>
  <c r="AE21" i="24"/>
  <c r="AE20" i="24"/>
  <c r="AE19" i="24"/>
  <c r="AE18" i="24"/>
  <c r="AE17" i="24"/>
  <c r="AE16" i="24"/>
  <c r="AE15" i="24"/>
  <c r="AE14" i="24"/>
  <c r="AE13" i="24"/>
  <c r="AE12" i="24"/>
  <c r="AE11" i="24"/>
  <c r="AE10" i="24"/>
  <c r="AE9" i="24"/>
  <c r="AE7" i="24"/>
  <c r="F62" i="20"/>
  <c r="L115" i="9" l="1"/>
</calcChain>
</file>

<file path=xl/sharedStrings.xml><?xml version="1.0" encoding="utf-8"?>
<sst xmlns="http://schemas.openxmlformats.org/spreadsheetml/2006/main" count="2450" uniqueCount="916">
  <si>
    <t>1.2 Cobertura de la tierra, ecosistemas y biodiversidad</t>
  </si>
  <si>
    <t>a</t>
  </si>
  <si>
    <t>1.2.1 COBERTURA DE LA TIERRA</t>
  </si>
  <si>
    <t xml:space="preserve">       (Hectáreas)</t>
  </si>
  <si>
    <t>Ámbito 
geográfico</t>
  </si>
  <si>
    <t>2018</t>
  </si>
  <si>
    <t>2019</t>
  </si>
  <si>
    <t>2020</t>
  </si>
  <si>
    <t>Superficie 
agropecuaria</t>
  </si>
  <si>
    <t>Superficie
agrícola</t>
  </si>
  <si>
    <t>Superficie
no agrícola</t>
  </si>
  <si>
    <t>Nacional</t>
  </si>
  <si>
    <t>Región natural</t>
  </si>
  <si>
    <t>Costa</t>
  </si>
  <si>
    <t>Sierra</t>
  </si>
  <si>
    <t>Selva</t>
  </si>
  <si>
    <t>Departamento</t>
  </si>
  <si>
    <t>Amazonas</t>
  </si>
  <si>
    <t>Áncash</t>
  </si>
  <si>
    <t>Apurímac</t>
  </si>
  <si>
    <t>Arequipa</t>
  </si>
  <si>
    <t>Ayacucho</t>
  </si>
  <si>
    <t>Cajamarca</t>
  </si>
  <si>
    <t>Cusco</t>
  </si>
  <si>
    <t>Huancavelica</t>
  </si>
  <si>
    <t>Huánuco</t>
  </si>
  <si>
    <t>Ica</t>
  </si>
  <si>
    <t xml:space="preserve">Junín </t>
  </si>
  <si>
    <t>La Libertad</t>
  </si>
  <si>
    <t>Lambayeque</t>
  </si>
  <si>
    <t>Lima</t>
  </si>
  <si>
    <t>Loreto</t>
  </si>
  <si>
    <t>Madre de Dios</t>
  </si>
  <si>
    <t>Moquegua</t>
  </si>
  <si>
    <t>Pasco</t>
  </si>
  <si>
    <t>Piura</t>
  </si>
  <si>
    <t>Puno</t>
  </si>
  <si>
    <t>San Martín</t>
  </si>
  <si>
    <t>Tacna</t>
  </si>
  <si>
    <t>Tumbes</t>
  </si>
  <si>
    <t>Ucayali</t>
  </si>
  <si>
    <t xml:space="preserve">        (Hectáreas)</t>
  </si>
  <si>
    <t>Agrícola 
con 
cultivos</t>
  </si>
  <si>
    <t>Tierras en 
barbecho</t>
  </si>
  <si>
    <t>Tierras 
agrícolas 
no trabajadas</t>
  </si>
  <si>
    <t>Tierras en 
descanso</t>
  </si>
  <si>
    <t>Total superficie
agrícola</t>
  </si>
  <si>
    <t>-</t>
  </si>
  <si>
    <t>3. SUPERFICIE CULTIVADA Y COSECHADA, SEGÚN ÁMBITO GEOGRÁFICO, 2017-2018</t>
  </si>
  <si>
    <t xml:space="preserve">  (Hectáreas)</t>
  </si>
  <si>
    <t>Conclusión.</t>
  </si>
  <si>
    <t xml:space="preserve">Total </t>
  </si>
  <si>
    <t>Superficie cultivada</t>
  </si>
  <si>
    <t xml:space="preserve">Superficie cosechada </t>
  </si>
  <si>
    <t>Cultivos 
transitorios</t>
  </si>
  <si>
    <t>Cultivos 
permanentes</t>
  </si>
  <si>
    <t>Cultivos 
forestales</t>
  </si>
  <si>
    <t>Total</t>
  </si>
  <si>
    <t xml:space="preserve">Puno </t>
  </si>
  <si>
    <t>Continúa…</t>
  </si>
  <si>
    <t>4. SUPERFICIE AGRÍCOLA Y UNIDADES AGROPECUARIAS CON CULTIVOS EN SECANO, POR TAMAÑO Y</t>
  </si>
  <si>
    <t>4. SUPERFICIE AGRÍCOLA Y UNIDADES AGROPECUARIAS CON CULTIVOS EN SECANO, POR TAMAÑO</t>
  </si>
  <si>
    <t xml:space="preserve">     SEGÚN ÁMBITO GEOGRÁFICO, 2017-2018</t>
  </si>
  <si>
    <t>Menos de 5,0 ha</t>
  </si>
  <si>
    <t>De 5,0 ha a más</t>
  </si>
  <si>
    <t>Superficie
(ha)</t>
  </si>
  <si>
    <t>Unidades 
agropecuarias</t>
  </si>
  <si>
    <t>Fuente: Instituto Nacional de Estadística e Informática (INEI) - Encuesta Nacional Agraria 2017-2018.</t>
  </si>
  <si>
    <t>5. SUPERFICIE AGRÍCOLA Y UNIDADES AGROPECUARIAS BAJO RIEGO, POR TAMAÑO Y</t>
  </si>
  <si>
    <t>5. SUPERFICIE AGRÍCOLA Y UNIDADES AGROPECUARIAS BAJO RIEGO, POR TAMAÑO</t>
  </si>
  <si>
    <t>SEGÚN ÁMBITO GEOGRÁFICO, 2017-2018</t>
  </si>
  <si>
    <t>(Hectáreas)</t>
  </si>
  <si>
    <t>Superficie
no 
agrícola</t>
  </si>
  <si>
    <t>Pastos 
naturales
 manejados</t>
  </si>
  <si>
    <t>Pastos 
naturales 
no 
manejados</t>
  </si>
  <si>
    <t>Montes 
y
 bosques</t>
  </si>
  <si>
    <t>Fuente: Servicio Nacional de Áreas Naturales Protegidas por el Estado (SERNANP).</t>
  </si>
  <si>
    <t>Pantanos de Villa</t>
  </si>
  <si>
    <t>Laquipampa</t>
  </si>
  <si>
    <t>Bosques Nublados de 
Udima</t>
  </si>
  <si>
    <t>Refugio de Vida Silvestre</t>
  </si>
  <si>
    <t>Pampas de Ayacucho</t>
  </si>
  <si>
    <t>Junín</t>
  </si>
  <si>
    <t>Chacamarca</t>
  </si>
  <si>
    <t>Bosque de Pómac</t>
  </si>
  <si>
    <t>Machu Picchu</t>
  </si>
  <si>
    <t>Santuario Histórico</t>
  </si>
  <si>
    <t>Sunchubamba</t>
  </si>
  <si>
    <t>El Angolo</t>
  </si>
  <si>
    <t>Cotos de Caza</t>
  </si>
  <si>
    <t>Lagunas de Mejía</t>
  </si>
  <si>
    <t>Manglares de Tumbes</t>
  </si>
  <si>
    <t>Ampay</t>
  </si>
  <si>
    <t>Calipuy</t>
  </si>
  <si>
    <t>Huayllay</t>
  </si>
  <si>
    <t>Pampa Hermosa</t>
  </si>
  <si>
    <t>20/05/1988; 
03/09/2009</t>
  </si>
  <si>
    <t>Tabaconas - Namballe</t>
  </si>
  <si>
    <t>Cordillera de Colán</t>
  </si>
  <si>
    <t>Megantoni</t>
  </si>
  <si>
    <t>Santuario Nacional</t>
  </si>
  <si>
    <t>Supeficie (Hectáreas)</t>
  </si>
  <si>
    <t>Fecha de
promulgación 
de Ley</t>
  </si>
  <si>
    <t>Categoría</t>
  </si>
  <si>
    <t>Continúa...</t>
  </si>
  <si>
    <t>Aledaño a la Bocatoma del 
Canal Nuevo Imperial</t>
  </si>
  <si>
    <t>Puquio - Santa Rosa</t>
  </si>
  <si>
    <t>Pagaibamba</t>
  </si>
  <si>
    <t>Pui Pui</t>
  </si>
  <si>
    <t>San Matías - San Carlos</t>
  </si>
  <si>
    <t>Alto Mayo</t>
  </si>
  <si>
    <t>Bosque de Protección</t>
  </si>
  <si>
    <t>Lima y Junín</t>
  </si>
  <si>
    <t>Nor Yauyos - Cochas</t>
  </si>
  <si>
    <t>Sub Cuenca del Cotahuasi</t>
  </si>
  <si>
    <t>Reserva Paisajística</t>
  </si>
  <si>
    <t>Chayu Nain</t>
  </si>
  <si>
    <t>Yanesha</t>
  </si>
  <si>
    <t>Tuntanain</t>
  </si>
  <si>
    <t>Huimeki</t>
  </si>
  <si>
    <t>14/01/2003; 
30/05/2003</t>
  </si>
  <si>
    <t>Junín y Cusco</t>
  </si>
  <si>
    <t>Asháninka</t>
  </si>
  <si>
    <t>Ucayali y Madre de Dios</t>
  </si>
  <si>
    <t>Purús</t>
  </si>
  <si>
    <t>Cusco y Junín</t>
  </si>
  <si>
    <t>Machiguenga</t>
  </si>
  <si>
    <t>Airo Pai</t>
  </si>
  <si>
    <t>Amarakaeri</t>
  </si>
  <si>
    <t>Huánuco, Pasco y Ucayali</t>
  </si>
  <si>
    <t>El Sira</t>
  </si>
  <si>
    <t>Reserva Comunal</t>
  </si>
  <si>
    <t>b/</t>
  </si>
  <si>
    <t>Yaguas</t>
  </si>
  <si>
    <t>a/</t>
  </si>
  <si>
    <t>Humedales de Puerto Viejo</t>
  </si>
  <si>
    <t>Bosque de Zárate</t>
  </si>
  <si>
    <t>28/11/2011;
10/05/2013</t>
  </si>
  <si>
    <t>Ancón</t>
  </si>
  <si>
    <t>Chancaybaños</t>
  </si>
  <si>
    <t>c/</t>
  </si>
  <si>
    <t>Lomas de Ancón</t>
  </si>
  <si>
    <t>28/05/2011;
31/05/2011</t>
  </si>
  <si>
    <t>Reserva Paisajística 
Cerro Khapia</t>
  </si>
  <si>
    <t>Río Nieva</t>
  </si>
  <si>
    <t>Illescas</t>
  </si>
  <si>
    <t>05/04/2006;
09/11/2015</t>
  </si>
  <si>
    <t xml:space="preserve">Loreto </t>
  </si>
  <si>
    <t xml:space="preserve">Sierra del Divisor </t>
  </si>
  <si>
    <t>Áncash, Huánuco, Lima</t>
  </si>
  <si>
    <t>Cordillera Huayhuash</t>
  </si>
  <si>
    <t>21/01/1999;
06/07/2000;
09/08/2007</t>
  </si>
  <si>
    <t>Amazonas y Loreto</t>
  </si>
  <si>
    <t>Santiago Comaina</t>
  </si>
  <si>
    <t>Lachay</t>
  </si>
  <si>
    <t>18/05/1967; 
06/04/1993</t>
  </si>
  <si>
    <t>Pampa Galeras Bárbara D' Achille</t>
  </si>
  <si>
    <t>Titicaca</t>
  </si>
  <si>
    <t>Junín y Pasco</t>
  </si>
  <si>
    <t>Allpahuayo - Mishana</t>
  </si>
  <si>
    <t>Áncash, Arequipa, Ica,
La Libertad,
Lambayeque, Lima,
Moquegua y Piura</t>
  </si>
  <si>
    <t>Sistema de Islas, islotes y puntas guaneras</t>
  </si>
  <si>
    <t>San Fernando</t>
  </si>
  <si>
    <t>04/09/2000; 
10/09/2000</t>
  </si>
  <si>
    <t>Tambopata</t>
  </si>
  <si>
    <t>Arequipa y Moquegua</t>
  </si>
  <si>
    <t>Salinas y Aguada Blanca</t>
  </si>
  <si>
    <t>Matsés</t>
  </si>
  <si>
    <t>Pucacuro</t>
  </si>
  <si>
    <t>25/02/1972;
04/02/1982;
25/01/2007</t>
  </si>
  <si>
    <t>Pacaya - Samiria</t>
  </si>
  <si>
    <t>Reserva Nacional</t>
  </si>
  <si>
    <t>Tingo María</t>
  </si>
  <si>
    <t>Cutervo</t>
  </si>
  <si>
    <t>Ichigkat Muja - Cordillera 
del Cóndor</t>
  </si>
  <si>
    <t>Yanachaga - Chemillén</t>
  </si>
  <si>
    <t>22/07/1975; 
07/07/2006;
11/11/2015</t>
  </si>
  <si>
    <t>Tumbes y Piura</t>
  </si>
  <si>
    <t>Cerros de Amotape</t>
  </si>
  <si>
    <t>Güeppi-Sekime</t>
  </si>
  <si>
    <t>Río Abiseo</t>
  </si>
  <si>
    <t>Otishi</t>
  </si>
  <si>
    <t>Huascarán</t>
  </si>
  <si>
    <t>17/07/1996;
04/09/2000</t>
  </si>
  <si>
    <t>Madre de Dios y Puno</t>
  </si>
  <si>
    <t>Bahuaja - Sonene</t>
  </si>
  <si>
    <t>San Martín, Loreto, 
Ucayali y Huánuco</t>
  </si>
  <si>
    <t>Cordillera Azul</t>
  </si>
  <si>
    <t>Manu</t>
  </si>
  <si>
    <t>Alto Purús</t>
  </si>
  <si>
    <t>Parque Nacional</t>
  </si>
  <si>
    <t xml:space="preserve"> A. ÁREAS PROTEGIDAS</t>
  </si>
  <si>
    <t>1.2.2 BIODIVERSIDAD Y ECOSISTEMAS</t>
  </si>
  <si>
    <t>Hectáreas</t>
  </si>
  <si>
    <t>Porcentaje 1/</t>
  </si>
  <si>
    <t>Punta La Litera</t>
  </si>
  <si>
    <t>Punta Colorado</t>
  </si>
  <si>
    <t>Punta Lomas</t>
  </si>
  <si>
    <t>Punta La Chira</t>
  </si>
  <si>
    <t>Punta Lomitas</t>
  </si>
  <si>
    <t>Punta Hornillos</t>
  </si>
  <si>
    <t>Punta Culebras</t>
  </si>
  <si>
    <t>Punta San Juan</t>
  </si>
  <si>
    <t>Punta Coles</t>
  </si>
  <si>
    <t>Punta Ático</t>
  </si>
  <si>
    <t>Punta Salinas, Isla Huampanú e Isla Mazorca</t>
  </si>
  <si>
    <t>Puntas Guaneras</t>
  </si>
  <si>
    <t>Zona marina</t>
  </si>
  <si>
    <t>Islote Don Martín</t>
  </si>
  <si>
    <t>Isla Asia</t>
  </si>
  <si>
    <t>Islas Pachacámac</t>
  </si>
  <si>
    <t>Isla Chao</t>
  </si>
  <si>
    <t>Islas Cavinzas e Islotes Palominos</t>
  </si>
  <si>
    <t>Islote Corcovado</t>
  </si>
  <si>
    <t>Isla Santa</t>
  </si>
  <si>
    <t>Islote Grupo de Pescadores</t>
  </si>
  <si>
    <t>Isla Ballestas Norte, Centro y Sur</t>
  </si>
  <si>
    <t>Islas Macabí</t>
  </si>
  <si>
    <t>Islas Lobos de Afuera</t>
  </si>
  <si>
    <t>Islas Guañape Norte y Guañape Sur</t>
  </si>
  <si>
    <t>Isla Chincha Norte, Centro y Sur</t>
  </si>
  <si>
    <t>Isla Lobos de Tierra</t>
  </si>
  <si>
    <t>Islas e Islotes</t>
  </si>
  <si>
    <t>Superficie (Hectáreas)</t>
  </si>
  <si>
    <t>Sistema de islas, islotes y puntas guaneras</t>
  </si>
  <si>
    <t xml:space="preserve">   </t>
  </si>
  <si>
    <t>Lima-Callao</t>
  </si>
  <si>
    <t>Humedales de Ventanilla</t>
  </si>
  <si>
    <t>D.S. Nº 006-2007-AG</t>
  </si>
  <si>
    <t>Albufera de Medio Mundo</t>
  </si>
  <si>
    <t>D.S. Nº 008-2014-MINAM</t>
  </si>
  <si>
    <t>Laguna de Huacachina</t>
  </si>
  <si>
    <t>D.S.Nº 023-2010-MINAM</t>
  </si>
  <si>
    <t>Bosque de Puya Raymondi - Titankayocc</t>
  </si>
  <si>
    <t>D.S.Nº 012-2011-MINAM</t>
  </si>
  <si>
    <t>Bosque Huacrupe - La Calera</t>
  </si>
  <si>
    <t>D.S.Nº 013-2011-MINAM</t>
  </si>
  <si>
    <t>Bosque Moyán - Palacio</t>
  </si>
  <si>
    <t>D.S.Nº 006-2011-MINAM</t>
  </si>
  <si>
    <t>Angostura Faical</t>
  </si>
  <si>
    <t>D.S. Nº 011-2019-MINAM</t>
  </si>
  <si>
    <t>Sistema de Lomas de Lima</t>
  </si>
  <si>
    <t>D.S. Nº 006-2018-MINAM</t>
  </si>
  <si>
    <t>Bosques Tropicales Estacionalmente Secos del Marañón</t>
  </si>
  <si>
    <t>D.S. Nº 008-2019-MINAM</t>
  </si>
  <si>
    <t>Bosques El Chaupe, Cunia y Chinchiquilla</t>
  </si>
  <si>
    <t>D.S. Nº 018-2011-MINAM</t>
  </si>
  <si>
    <t>Huaytapallana</t>
  </si>
  <si>
    <t>D.S. Nº 019-2011-MINAM</t>
  </si>
  <si>
    <t>Bosques Secos de Salitral - Huarmaca</t>
  </si>
  <si>
    <t>D.S. Nº 006-2017-MINAM</t>
  </si>
  <si>
    <t>Tres Cañones</t>
  </si>
  <si>
    <t>D.S. Nº 005-2018-MINAM</t>
  </si>
  <si>
    <t>Vista Alegre-Omia</t>
  </si>
  <si>
    <t>D.S. Nº 012-2019-MINAM</t>
  </si>
  <si>
    <t>Ausangate</t>
  </si>
  <si>
    <t>D.S.Nº 022-2010-MINAM</t>
  </si>
  <si>
    <t>Choquequirao</t>
  </si>
  <si>
    <t>D.S. Nº 015-2009-MINAM</t>
  </si>
  <si>
    <t>Vilacota Maure</t>
  </si>
  <si>
    <t>D.S. Nº006-2010-MINAM</t>
  </si>
  <si>
    <t>Imiria</t>
  </si>
  <si>
    <t>D.S.Nº 045-2005-AG</t>
  </si>
  <si>
    <t>Cordillera Escalera</t>
  </si>
  <si>
    <t>D.S. Nº 016-2018-MINAM</t>
  </si>
  <si>
    <t>Bosques de Shunté y Mishollo</t>
  </si>
  <si>
    <t>D.S. Nº 008-2015-MINAM</t>
  </si>
  <si>
    <t>Maijuna Kichwa</t>
  </si>
  <si>
    <t>D.S. Nº 010-2009-MINAM</t>
  </si>
  <si>
    <t>Comunal Tamshiyacu Tahuayo</t>
  </si>
  <si>
    <t>D.S.Nº 024-2010-MINAM</t>
  </si>
  <si>
    <t>Ampiyacu Apayacu</t>
  </si>
  <si>
    <t>D.S.Nº 005-2011-MINAM</t>
  </si>
  <si>
    <t>Alto Nanay-Pintuyacu-Chambira</t>
  </si>
  <si>
    <t>Área de conservación regional</t>
  </si>
  <si>
    <t xml:space="preserve">Fecha de promulgación </t>
  </si>
  <si>
    <t>Base Legal</t>
  </si>
  <si>
    <t>Área de conservación</t>
  </si>
  <si>
    <t>R.M. Nº 396-2013-MINAM</t>
  </si>
  <si>
    <t>Las Panguanas 2</t>
  </si>
  <si>
    <t>R.M. Nº 183-2014-MINAM</t>
  </si>
  <si>
    <t>Las Panguanas 1</t>
  </si>
  <si>
    <t>R.M. Nº 269-2012-MINAM</t>
  </si>
  <si>
    <t>Gotas de Agua I</t>
  </si>
  <si>
    <t>R.M. Nº 386-2013-MINAM</t>
  </si>
  <si>
    <t>Las Panguanas 4</t>
  </si>
  <si>
    <t>R.M. Nº 159-2010-MINAM</t>
  </si>
  <si>
    <t>Tutusima</t>
  </si>
  <si>
    <t>R.M. Nº 158-2010-MINAM</t>
  </si>
  <si>
    <t>Bahuaja</t>
  </si>
  <si>
    <t>R.M. Nº 385-2013-MINAM</t>
  </si>
  <si>
    <t>Las Panguanas 3</t>
  </si>
  <si>
    <t>R.M. Nº 268-2012-MINAM</t>
  </si>
  <si>
    <t>Gotas de Agua II</t>
  </si>
  <si>
    <t>R.M. N° 380-2016-MINAM</t>
  </si>
  <si>
    <t>Chakra Educativa</t>
  </si>
  <si>
    <t>R.M. Nº 105-2014-MINAM</t>
  </si>
  <si>
    <t>Amazon Shelter</t>
  </si>
  <si>
    <t>R.M Nº 270-2018-MINAM</t>
  </si>
  <si>
    <t>Bioparque Amazónico: Bosque de Huayo</t>
  </si>
  <si>
    <t>Kakiri Uka</t>
  </si>
  <si>
    <t>R.M. N° 301-2014-MINAM</t>
  </si>
  <si>
    <t>Cavernas de Leo</t>
  </si>
  <si>
    <t>Wacan Numi</t>
  </si>
  <si>
    <t>R.M. N° 185-2016-MINAM</t>
  </si>
  <si>
    <t>Machusaniaca II</t>
  </si>
  <si>
    <t>R.M. N° 330-2017-MINAM</t>
  </si>
  <si>
    <t>R.M. Nº 075-2010-MINAM</t>
  </si>
  <si>
    <t>Tambo Ilusión</t>
  </si>
  <si>
    <t>R.M. N° 157-2016-MINAM</t>
  </si>
  <si>
    <t>Palmonte</t>
  </si>
  <si>
    <t>R.M. Nº 013-2012-MINAM</t>
  </si>
  <si>
    <t>Inotawa-2</t>
  </si>
  <si>
    <t>R.M. Nº 164-2011-MINAM</t>
  </si>
  <si>
    <t>R.M. N° 012-2016-MINAM</t>
  </si>
  <si>
    <t>Botafogo</t>
  </si>
  <si>
    <t>R.M. N° 177-2016-MINAM</t>
  </si>
  <si>
    <t>R.M. Nº 346-2012-MINAM</t>
  </si>
  <si>
    <t>Camino Verde Baltimore</t>
  </si>
  <si>
    <t>R.M. N° 193-2016-MINAM</t>
  </si>
  <si>
    <t>Machusaniaca I</t>
  </si>
  <si>
    <t>R.M. Nº 020-2013-MINAM</t>
  </si>
  <si>
    <t>Larga Vista I</t>
  </si>
  <si>
    <t>El Cortijo</t>
  </si>
  <si>
    <t>R.M. Nº 021-2013-MINAM</t>
  </si>
  <si>
    <t>Larga Vista II</t>
  </si>
  <si>
    <t>R.M. N° 158-2016-MINAM</t>
  </si>
  <si>
    <t>Sabalillo</t>
  </si>
  <si>
    <t>R.M. Nº 079-2012-MINAM</t>
  </si>
  <si>
    <t>Boa Wadack Dari</t>
  </si>
  <si>
    <t>R.M. Nº 035-2012-MINAM</t>
  </si>
  <si>
    <t>San Juan Bautista</t>
  </si>
  <si>
    <t>R.M. N° 335-2017-MINAM</t>
  </si>
  <si>
    <t>Darshan Ashram</t>
  </si>
  <si>
    <t>R.M. Nº 040-2013-MINAM</t>
  </si>
  <si>
    <t>Pucunucho</t>
  </si>
  <si>
    <t>R.M. Nº 203-2013-MINAM</t>
  </si>
  <si>
    <t>Selva Virgen</t>
  </si>
  <si>
    <t>R.M. Nº 213-2013-MINAM</t>
  </si>
  <si>
    <t>Bosque Benjamín III</t>
  </si>
  <si>
    <t>R.M Nº 436-2018-MINAM</t>
  </si>
  <si>
    <t>Naturaleza Viva Ryo</t>
  </si>
  <si>
    <t>R.M. N° 342-2016-MINAM</t>
  </si>
  <si>
    <t>Sumac Inti</t>
  </si>
  <si>
    <t>R.M. Nº 156-2010-MINAM</t>
  </si>
  <si>
    <t>Habana Rural Inn</t>
  </si>
  <si>
    <t>R.M. Nº 081-2012-MINAM</t>
  </si>
  <si>
    <t>Nuevo Amanecer</t>
  </si>
  <si>
    <t>R.M. Nº 244-2012-MINAM</t>
  </si>
  <si>
    <t>Bosque Benjamín I</t>
  </si>
  <si>
    <t>R.M. Nº 185-2013-MINAM</t>
  </si>
  <si>
    <t>Bosque Benjamín II</t>
  </si>
  <si>
    <t>R.M. N° 334-2016-MINAM</t>
  </si>
  <si>
    <t>Sumac Pacha</t>
  </si>
  <si>
    <t>R.M. N° 147-2018-MINAM</t>
  </si>
  <si>
    <t>Las Naranjas</t>
  </si>
  <si>
    <t>R.M. N° 311-2016-MINAM</t>
  </si>
  <si>
    <t>Fundo Las Neblinas</t>
  </si>
  <si>
    <t>R.M. Nº 157-2010-MINAM</t>
  </si>
  <si>
    <t>Refugio K'erenda Homet</t>
  </si>
  <si>
    <t>R.M. N° 332-2016-MINAM</t>
  </si>
  <si>
    <t>Sumac Quilla</t>
  </si>
  <si>
    <t>R.M. N° 024-2016-MINAM</t>
  </si>
  <si>
    <t>Aurora</t>
  </si>
  <si>
    <t>R.M. Nº 033-2011-MINAM</t>
  </si>
  <si>
    <t>Juningue</t>
  </si>
  <si>
    <t>R.M. Nº 146-2014-MINAM</t>
  </si>
  <si>
    <t>Espíritu del Monte</t>
  </si>
  <si>
    <t>R.M Nº 367-2018-MINAM</t>
  </si>
  <si>
    <t>Refugio Lupuna</t>
  </si>
  <si>
    <t>R.M. N° 205-2016-MINAM</t>
  </si>
  <si>
    <t>Fundo Cadena</t>
  </si>
  <si>
    <t>R.M. Nº 185-2012-MINAM</t>
  </si>
  <si>
    <t>El Gato</t>
  </si>
  <si>
    <t>R.M. Nº 266-2010-MINAM</t>
  </si>
  <si>
    <t>Herman Dantas</t>
  </si>
  <si>
    <t>R.M. N° 333-2016-MINAM</t>
  </si>
  <si>
    <t>Lakshmi Amazónica</t>
  </si>
  <si>
    <t>R.M. Nº 016-2012-MINAM</t>
  </si>
  <si>
    <t>Inotawa-1</t>
  </si>
  <si>
    <t>R.M. Nº 073-2013-MINAM</t>
  </si>
  <si>
    <t>Bosque Berlín</t>
  </si>
  <si>
    <t>R.M. N° 124-2019-MINAM</t>
  </si>
  <si>
    <t>Hakim &amp; Cumorah</t>
  </si>
  <si>
    <t>R.M. Nº 155-2011-MINAM</t>
  </si>
  <si>
    <t>Amazon Natural Park</t>
  </si>
  <si>
    <t>R.M Nº 431-2018-MINAM</t>
  </si>
  <si>
    <t>El Cortijo Centro Piedras</t>
  </si>
  <si>
    <t>R.M. Nº 004-2009-MINAM</t>
  </si>
  <si>
    <t>R.M. N° 127-2017-MINAM</t>
  </si>
  <si>
    <t>Zaragoza</t>
  </si>
  <si>
    <t>R.M. N° 367-2019-MINAM</t>
  </si>
  <si>
    <t>Zoo Perú 1</t>
  </si>
  <si>
    <t>R.M. N° 261-2017-MINAM</t>
  </si>
  <si>
    <t>Zoo Perú</t>
  </si>
  <si>
    <t>R.M. Nº 010-2014-MINAM</t>
  </si>
  <si>
    <t>Paraíso Natural Iwirati</t>
  </si>
  <si>
    <t>R.M. Nº 266-2011-MINAM</t>
  </si>
  <si>
    <t>La Huerta del Chaparrí</t>
  </si>
  <si>
    <t>Bosques de Cuyas Cuchayo</t>
  </si>
  <si>
    <t>R.M. Nº 242-2010-MINAM</t>
  </si>
  <si>
    <t>Bosque Seco Amotape</t>
  </si>
  <si>
    <t>R.M. N° 004-2017-MINAM</t>
  </si>
  <si>
    <t>Bahuaja 1</t>
  </si>
  <si>
    <t>R.M. Nº 300-2011-MINAM</t>
  </si>
  <si>
    <t>Panguana</t>
  </si>
  <si>
    <t>Arroyo Negro</t>
  </si>
  <si>
    <t>R.M. Nº 264-2010-MINAM</t>
  </si>
  <si>
    <t>Selva Botánica</t>
  </si>
  <si>
    <t>R.M. N° 106-2016-MINAM</t>
  </si>
  <si>
    <t>R.M. N° 202-2016-MINAM</t>
  </si>
  <si>
    <t>Bosque Seco de Chililique Alto</t>
  </si>
  <si>
    <t>R.M. Nº 005-2009-MINAM</t>
  </si>
  <si>
    <t>R.M. N° 204-2016-MINAM</t>
  </si>
  <si>
    <t>R.M. N° 179-2016-MINAM</t>
  </si>
  <si>
    <t>Fundo Rosita</t>
  </si>
  <si>
    <t>R.M. Nº 299-2011-MINAM</t>
  </si>
  <si>
    <t>Pillco Grande - Bosque de Pumataki</t>
  </si>
  <si>
    <t>R.M. N° 262-2017-MINAM</t>
  </si>
  <si>
    <t>R.M. N° 365-2014-MINAM</t>
  </si>
  <si>
    <t>Ilish Pichacoto</t>
  </si>
  <si>
    <t>R.M. Nº 227-2007-AG</t>
  </si>
  <si>
    <t>San Antonio</t>
  </si>
  <si>
    <t>Ronsoco Cocha</t>
  </si>
  <si>
    <t>R.M. Nº 073-2010-MINAM</t>
  </si>
  <si>
    <t>Mantanay</t>
  </si>
  <si>
    <t>R.M Nº 021-2019-MINAM</t>
  </si>
  <si>
    <t>Masheke</t>
  </si>
  <si>
    <t>Bosque de Nogal y Bosque de Puentecilla</t>
  </si>
  <si>
    <t>R.M. Nº 147-2012-MINAM</t>
  </si>
  <si>
    <t>Checca</t>
  </si>
  <si>
    <t>R.M. N° 357-2016-MINAM</t>
  </si>
  <si>
    <t>Wayqecha</t>
  </si>
  <si>
    <t>R.M. Nº 135-2012-MINAM</t>
  </si>
  <si>
    <t>Taypipiña</t>
  </si>
  <si>
    <t>R.M. Nº 306-2011-MINAM</t>
  </si>
  <si>
    <t>Microcuenca de Paria</t>
  </si>
  <si>
    <t>R.M. Nº 090-2011-MINAM</t>
  </si>
  <si>
    <t>Pampacorral</t>
  </si>
  <si>
    <t>R.M. Nº 072-2010-MINAM</t>
  </si>
  <si>
    <t>Sele Tecse - Lares Ayllu</t>
  </si>
  <si>
    <t>R.M. Nº 133-2011-MINAM</t>
  </si>
  <si>
    <t>San Marcos</t>
  </si>
  <si>
    <t>R.M. N° 199-2016-MINAM</t>
  </si>
  <si>
    <t>Yacila de Zamba</t>
  </si>
  <si>
    <t>R.M. N° 310-2016-MINAM</t>
  </si>
  <si>
    <t>Tambopata Eco Lodge</t>
  </si>
  <si>
    <t>R.M. Nº 1458-2006-AG</t>
  </si>
  <si>
    <t>Huiquilla</t>
  </si>
  <si>
    <t>San Luis</t>
  </si>
  <si>
    <t>R.M. Nº 0804-2004-AG</t>
  </si>
  <si>
    <t>Bosque Natural El Cañoncillo</t>
  </si>
  <si>
    <t>R.M. Nº 621-2007-AG</t>
  </si>
  <si>
    <t>Abra Patricia - Alto Nieva</t>
  </si>
  <si>
    <t>R.M. N° 128-2017-MINAM</t>
  </si>
  <si>
    <t>Matoriato</t>
  </si>
  <si>
    <t>R.M. N° 047-2016-MINAM</t>
  </si>
  <si>
    <t>Mangamanguilla de la Asociación Agraria Manga Manga de Salitral</t>
  </si>
  <si>
    <t>R.M. Nº 089-2011-MINAM</t>
  </si>
  <si>
    <t>Qosqoccahuarina</t>
  </si>
  <si>
    <t>R.M. N° 049-2017-MINAM</t>
  </si>
  <si>
    <t>Santa Catalina de Moza</t>
  </si>
  <si>
    <t>R.M. N° 208-2016-MINAM</t>
  </si>
  <si>
    <t>Ebio Kiabamene</t>
  </si>
  <si>
    <t>R.M Nº 022-2019-MINAM</t>
  </si>
  <si>
    <t>Páramos y Bosques Montanos, Paraíso de la Comunidad Campesina San Felipe</t>
  </si>
  <si>
    <t>R.M. Nº 074-2010-MINAM</t>
  </si>
  <si>
    <t>Choquechaca</t>
  </si>
  <si>
    <t>R.M. Nº 123-2011-MINAM</t>
  </si>
  <si>
    <t>Hierba Buena - Allpayacu</t>
  </si>
  <si>
    <t>R.M. N° 048-2017-MINAM</t>
  </si>
  <si>
    <t>Bosque Seco de Colina Juan Velasco Alvarado</t>
  </si>
  <si>
    <t>R.M. N° 026-2019-MINAM</t>
  </si>
  <si>
    <t>Knoya - Supru</t>
  </si>
  <si>
    <t>R.M Nº 433-2018-MINAM</t>
  </si>
  <si>
    <t>Copal Cuilungo</t>
  </si>
  <si>
    <t>R.M. N° 115-2019-MINAM</t>
  </si>
  <si>
    <t>Comunal San Pablo-Catarata Gocta</t>
  </si>
  <si>
    <t>R.M. Nº 208-2013-MINAM</t>
  </si>
  <si>
    <t>La Pampa del Burro</t>
  </si>
  <si>
    <t>R.M. Nº 117-2013-MINAM</t>
  </si>
  <si>
    <t>Bosques de Neblina y Páramos de Samanga</t>
  </si>
  <si>
    <t>Bosques Montanos y Páramos de Huaricancha</t>
  </si>
  <si>
    <t>R.M. N° 206-2016-MINAM</t>
  </si>
  <si>
    <t>Los Bosques de Overal y Palo Blanco</t>
  </si>
  <si>
    <t>R.M. N° 239-2017-MINAM</t>
  </si>
  <si>
    <t>R.M Nº 298-2018-MINAM</t>
  </si>
  <si>
    <t>Comunal Cujillo</t>
  </si>
  <si>
    <t>R.M. N° 192-2016-MINAM</t>
  </si>
  <si>
    <t>Lomas del Cerro Campana</t>
  </si>
  <si>
    <t>R.M. Nº 166-2011-MINAM</t>
  </si>
  <si>
    <t>R.M. Nº 118-2010-MINAM</t>
  </si>
  <si>
    <t>Tilacancha</t>
  </si>
  <si>
    <t>R.M. N° 084-2016-MINAM</t>
  </si>
  <si>
    <t>Los Bosques de Dotor, Hualtacal, Pueblo Libre, La Jardina y Chorro Blanco</t>
  </si>
  <si>
    <t>R.M. Nº 252-2012-MINAM</t>
  </si>
  <si>
    <t>Bosque de Palmeras de la Comunidad Campesina Taulia Molinopampa</t>
  </si>
  <si>
    <t>R.M. Nº 140-2011-MINAM</t>
  </si>
  <si>
    <t>Copallín</t>
  </si>
  <si>
    <t>R.M. Nº 346-2007-AG</t>
  </si>
  <si>
    <t>Jirishanca</t>
  </si>
  <si>
    <t>R.M. Nº 908-2005-AG</t>
  </si>
  <si>
    <t>Pacllón</t>
  </si>
  <si>
    <t>R.M Nº 349-2018-MINAM</t>
  </si>
  <si>
    <t>Monte Puyo (Bosque de Nubes)</t>
  </si>
  <si>
    <t>R.M Nº 432-2018-MINAM</t>
  </si>
  <si>
    <t>Páramos y Bosques Montanos San Miguel de Tabaconas</t>
  </si>
  <si>
    <t>R.M. Nº 301-2011-MINAM</t>
  </si>
  <si>
    <t>Japu - Bosque Ukumari Llaqta</t>
  </si>
  <si>
    <t>Lomas de Atiquipa</t>
  </si>
  <si>
    <t>Huayllapa</t>
  </si>
  <si>
    <t>R.M. N° 138-2016-MINAM</t>
  </si>
  <si>
    <t>19/12/2001;
19/07/2011</t>
  </si>
  <si>
    <t>R.M. Nº 320-2012-MINAM</t>
  </si>
  <si>
    <t>Los Chilchos</t>
  </si>
  <si>
    <t xml:space="preserve">Santuario Nacional Laguna de Mejía </t>
  </si>
  <si>
    <t xml:space="preserve">Paracas </t>
  </si>
  <si>
    <t xml:space="preserve">Pacaya Samiria </t>
  </si>
  <si>
    <t>Santuario Nacional Los Manglares de Tumbes</t>
  </si>
  <si>
    <t>Reserva Nacional de Junín</t>
  </si>
  <si>
    <t>Lago Titicaca</t>
  </si>
  <si>
    <t>Complejo de humedales del Abanico del río Pastaza</t>
  </si>
  <si>
    <t>Laguna del Indio – Dique de los Españoles</t>
  </si>
  <si>
    <t>Bofedales y Laguna de Salinas</t>
  </si>
  <si>
    <t>Humedal Lucre – Huacarpay</t>
  </si>
  <si>
    <t>Lagunas Las Arreviatadas</t>
  </si>
  <si>
    <t>Manglares de San Pedro de Vice</t>
  </si>
  <si>
    <t>Ubicación</t>
  </si>
  <si>
    <t>Fecha de
creación</t>
  </si>
  <si>
    <t>Humedales Ramsar</t>
  </si>
  <si>
    <t>6.   HUMEDALES RAMSAR</t>
  </si>
  <si>
    <t>Fuente: Ministerio del Ambiente (MINAM).</t>
  </si>
  <si>
    <t>Río</t>
  </si>
  <si>
    <t>Lago y laguna</t>
  </si>
  <si>
    <t>Humedal costero</t>
  </si>
  <si>
    <t>Manglar</t>
  </si>
  <si>
    <t>Bofedal</t>
  </si>
  <si>
    <t>Pantano de palmeras</t>
  </si>
  <si>
    <t>Pantano herbáceo-arbustivo</t>
  </si>
  <si>
    <t>Porcentaje</t>
  </si>
  <si>
    <t>Superficie</t>
  </si>
  <si>
    <t>Humedales costeros</t>
  </si>
  <si>
    <t>Aguajales y pantanos</t>
  </si>
  <si>
    <t>Bofedales</t>
  </si>
  <si>
    <t>Lagos, lagunas y cochas</t>
  </si>
  <si>
    <t>Humedales</t>
  </si>
  <si>
    <t>7.  HUMEDALES, 2012</t>
  </si>
  <si>
    <t>Fuente: Universidad Nacional Agraria La Molina (UNALM) - Centro de Datos para la Conservación.</t>
  </si>
  <si>
    <t>Manglares de Tumbes - Golfo de Guayaquil</t>
  </si>
  <si>
    <t>Sabanas del Beni</t>
  </si>
  <si>
    <t>Yungas Bolivianas</t>
  </si>
  <si>
    <t>Páramos</t>
  </si>
  <si>
    <t>Bosques Montanos de la Cordillera Real Oriental</t>
  </si>
  <si>
    <t>Bosques Montanos Occidentales de los Andes del Norte</t>
  </si>
  <si>
    <t>Punas Húmedas del Titicaca</t>
  </si>
  <si>
    <t>Bosques Secos del Marañón</t>
  </si>
  <si>
    <t>Bosques Secos del Centro y Valles Interandinos</t>
  </si>
  <si>
    <t>Bosques Secos de Piura y Tumbes</t>
  </si>
  <si>
    <t>Andes Centrales</t>
  </si>
  <si>
    <t>Bosques Húmedos del Solimoes - Japurá</t>
  </si>
  <si>
    <t>Punas Húmedas de los Andes Centrales</t>
  </si>
  <si>
    <t>Bosques Húmedos del Napo</t>
  </si>
  <si>
    <t>Bosques Húmedos del Ucayali</t>
  </si>
  <si>
    <t>Desierto de Sechura</t>
  </si>
  <si>
    <t>Punas de los Andes Centrales</t>
  </si>
  <si>
    <t>Yungas Peruanas</t>
  </si>
  <si>
    <t>Río Amazonas y Bosques Inundables</t>
  </si>
  <si>
    <t>Bosques Húmedos de la Amazonía Sur Occidental</t>
  </si>
  <si>
    <t>Total de superficie del territorio nacional (Hectáreas)</t>
  </si>
  <si>
    <t>Ecorregión</t>
  </si>
  <si>
    <t>Angiospermas y gimnospermas</t>
  </si>
  <si>
    <t>Peces continentales</t>
  </si>
  <si>
    <t>Mamíferos</t>
  </si>
  <si>
    <t>Aves</t>
  </si>
  <si>
    <t>Reptiles</t>
  </si>
  <si>
    <t>Anfibios</t>
  </si>
  <si>
    <t>Especie</t>
  </si>
  <si>
    <t xml:space="preserve">       (Número)</t>
  </si>
  <si>
    <t>…</t>
  </si>
  <si>
    <t>Peces marinos</t>
  </si>
  <si>
    <t xml:space="preserve">     (Número)</t>
  </si>
  <si>
    <t xml:space="preserve"> B. ESPECIES PROTEGIDAS</t>
  </si>
  <si>
    <t>Fuente: Servicio Nacional Forestal y de Fauna Silvestre (SERFOR).</t>
  </si>
  <si>
    <t>Datos insuficientes</t>
  </si>
  <si>
    <t>Casi amenazado</t>
  </si>
  <si>
    <t>Vulnerable</t>
  </si>
  <si>
    <t>En peligro</t>
  </si>
  <si>
    <t>En peligro crítico</t>
  </si>
  <si>
    <t>Invertebrados</t>
  </si>
  <si>
    <t xml:space="preserve">  (Número)</t>
  </si>
  <si>
    <t>Total de especies</t>
  </si>
  <si>
    <t>Concepto</t>
  </si>
  <si>
    <t>Referencias:</t>
  </si>
  <si>
    <t xml:space="preserve">Fuente: Instituto del Mar del Perú (IMARPE). </t>
  </si>
  <si>
    <t>Carnívora</t>
  </si>
  <si>
    <t>Cetacea</t>
  </si>
  <si>
    <t>m/</t>
  </si>
  <si>
    <t>Mammalia</t>
  </si>
  <si>
    <t>l/</t>
  </si>
  <si>
    <t>Reptilia (Testudines)</t>
  </si>
  <si>
    <t>k/</t>
  </si>
  <si>
    <t>a/, j/</t>
  </si>
  <si>
    <t>Pisces</t>
  </si>
  <si>
    <t>d/</t>
  </si>
  <si>
    <t>Cephalochordata</t>
  </si>
  <si>
    <t>Thaliacea</t>
  </si>
  <si>
    <t>Appendicularia</t>
  </si>
  <si>
    <t>Chaetognatha</t>
  </si>
  <si>
    <t>Holothuroidea</t>
  </si>
  <si>
    <t>Echinoidea</t>
  </si>
  <si>
    <t>Crinoidea</t>
  </si>
  <si>
    <t>Asteroidea</t>
  </si>
  <si>
    <t>i/</t>
  </si>
  <si>
    <t>Echinodermata</t>
  </si>
  <si>
    <t>Stomatopoda</t>
  </si>
  <si>
    <t>Decapoda</t>
  </si>
  <si>
    <t>Amphipoda</t>
  </si>
  <si>
    <t>Isopoda</t>
  </si>
  <si>
    <t>Mysida</t>
  </si>
  <si>
    <t>Euphausiacea</t>
  </si>
  <si>
    <t>Branchiopoda</t>
  </si>
  <si>
    <t>Copepoda</t>
  </si>
  <si>
    <t>Cirripedia</t>
  </si>
  <si>
    <t>Ostracoda</t>
  </si>
  <si>
    <t>a/, d/, h/</t>
  </si>
  <si>
    <t>Crustacea</t>
  </si>
  <si>
    <t>f/</t>
  </si>
  <si>
    <t>Bryozoa</t>
  </si>
  <si>
    <t>Brachiopoda</t>
  </si>
  <si>
    <t>Nemertea</t>
  </si>
  <si>
    <t>Platyhelminthes</t>
  </si>
  <si>
    <t>Phoronida</t>
  </si>
  <si>
    <t>Sipuncula</t>
  </si>
  <si>
    <t>Sedentaria</t>
  </si>
  <si>
    <t>Errantia</t>
  </si>
  <si>
    <t>Polychaeta</t>
  </si>
  <si>
    <t>Cephalopoda</t>
  </si>
  <si>
    <t>Scaphopoda</t>
  </si>
  <si>
    <t>Bivalvia</t>
  </si>
  <si>
    <t>Gastropoda</t>
  </si>
  <si>
    <t>Monoplacophora</t>
  </si>
  <si>
    <t>Polyplacophora</t>
  </si>
  <si>
    <t>Solenogastres</t>
  </si>
  <si>
    <t>Caudofoveata</t>
  </si>
  <si>
    <t>d/, g/</t>
  </si>
  <si>
    <t>Mollusca</t>
  </si>
  <si>
    <t>Ctenophora</t>
  </si>
  <si>
    <t>Anthozoa</t>
  </si>
  <si>
    <t>Scyphozoa</t>
  </si>
  <si>
    <t>Hydrozoa</t>
  </si>
  <si>
    <t>d/, e/, f/</t>
  </si>
  <si>
    <t>Cnidaria</t>
  </si>
  <si>
    <t>Porífera</t>
  </si>
  <si>
    <t>Rhodophyta</t>
  </si>
  <si>
    <t>Ochrophyta</t>
  </si>
  <si>
    <t>Chlorophyta</t>
  </si>
  <si>
    <t>Myzozoa</t>
  </si>
  <si>
    <t>Bacillariophyta</t>
  </si>
  <si>
    <t>Algae</t>
  </si>
  <si>
    <t>(Número)</t>
  </si>
  <si>
    <t>1.2.3 BOSQUES</t>
  </si>
  <si>
    <t>Bosques en concesiones para manejo de fauna</t>
  </si>
  <si>
    <t>Bosques en áreas de conservación privada</t>
  </si>
  <si>
    <t>Bosques en concesiones para ecoturismo</t>
  </si>
  <si>
    <t>Bosques en concesiones para reforestación</t>
  </si>
  <si>
    <t>Bosques en comunidades campesinas</t>
  </si>
  <si>
    <t>Bosques en predios rurales</t>
  </si>
  <si>
    <t>Bosques en concesiones de castaña y shiringa</t>
  </si>
  <si>
    <t>Bosques en concesiones para conservación</t>
  </si>
  <si>
    <t>Bosques en reservas territoriales</t>
  </si>
  <si>
    <t>Bosques en áreas de conservación regional</t>
  </si>
  <si>
    <t>Bosques en humedales</t>
  </si>
  <si>
    <t>Bosques en concesiones maderables</t>
  </si>
  <si>
    <t xml:space="preserve">Bosques de producción permanente </t>
  </si>
  <si>
    <t>Bosques de comunidades nativas</t>
  </si>
  <si>
    <t>Bosques sin status definido (No categorizado)</t>
  </si>
  <si>
    <t>Bosques en áreas naturales protegidas</t>
  </si>
  <si>
    <t>2017</t>
  </si>
  <si>
    <t>2016</t>
  </si>
  <si>
    <t>2015</t>
  </si>
  <si>
    <t>2014</t>
  </si>
  <si>
    <t>2013</t>
  </si>
  <si>
    <t>2012</t>
  </si>
  <si>
    <t>2010</t>
  </si>
  <si>
    <t>Capacidad potencial</t>
  </si>
  <si>
    <t>2009</t>
  </si>
  <si>
    <t>2008</t>
  </si>
  <si>
    <t>2007</t>
  </si>
  <si>
    <t>2006</t>
  </si>
  <si>
    <t>2005</t>
  </si>
  <si>
    <t>2004</t>
  </si>
  <si>
    <t>2003</t>
  </si>
  <si>
    <t>2002</t>
  </si>
  <si>
    <t>2000</t>
  </si>
  <si>
    <t>Superficie 
del 
departamento</t>
  </si>
  <si>
    <t xml:space="preserve">     (Hectáreas)</t>
  </si>
  <si>
    <t>1.  SUPERFICIE DE BOSQUE HÚMEDO AMAZÓNICO, SEGÚN DEPARTAMENTO, 2001-2020</t>
  </si>
  <si>
    <t>2.  CAPACIDAD POTENCIAL DE LOS BOSQUES AMAZÓNICOS, 2001-2020</t>
  </si>
  <si>
    <t>Bosque Montano de Carpish</t>
  </si>
  <si>
    <t>D.S. Nº 014-2019-MINAM</t>
  </si>
  <si>
    <t>Kuntur Wachana</t>
  </si>
  <si>
    <t>Comunidad Nativa San Jorge del Río Marañón</t>
  </si>
  <si>
    <t>Unchog</t>
  </si>
  <si>
    <t>Pumahuasi</t>
  </si>
  <si>
    <t xml:space="preserve">Año de promulgación </t>
  </si>
  <si>
    <t>R.M. N° 014-2020-MINAM</t>
  </si>
  <si>
    <t>R.M. N° 172-2020-MINAM</t>
  </si>
  <si>
    <t>R.M. N° 240-2020-MINAM</t>
  </si>
  <si>
    <t>R.M. N° 015-2020-MINAM</t>
  </si>
  <si>
    <t>Bosque Cachil</t>
  </si>
  <si>
    <t>R.M. N° 037-2020-MINAM</t>
  </si>
  <si>
    <t>La Niebla Forest</t>
  </si>
  <si>
    <t>R.M. N° 059-2020-MINAM</t>
  </si>
  <si>
    <t>Buen Retiro</t>
  </si>
  <si>
    <t>R.M. N° 032-2020-MINAM</t>
  </si>
  <si>
    <t>Fundo San Isidro El Labrador</t>
  </si>
  <si>
    <t>R.M. N° 018-2020-MINAM</t>
  </si>
  <si>
    <t>Crustáceos marinos</t>
  </si>
  <si>
    <t>Superficie 
de bosque 
húmedo 
amazónico</t>
  </si>
  <si>
    <t>% de la superficie 
departamental con 
bosque húmedo
amazónico</t>
  </si>
  <si>
    <t>Fuente: Instituto Nacional de Estadística e Informática (INEI) - Encuesta Nacional Agraria (ENA) 2019.</t>
  </si>
  <si>
    <t>Fuente: Ministerio del Ambiente (MINAM) - Programa Nacional de Conservación de Bosques para la Mitigación del Cambio Climático (PNCBMCC).</t>
  </si>
  <si>
    <t>Superficie 
(Hectáreas)</t>
  </si>
  <si>
    <t>Superficie 
protegida</t>
  </si>
  <si>
    <r>
      <t xml:space="preserve">Cultivos 
transitorios </t>
    </r>
    <r>
      <rPr>
        <b/>
        <vertAlign val="superscript"/>
        <sz val="11"/>
        <color theme="0" tint="-0.499984740745262"/>
        <rFont val="Arial Narrow"/>
        <family val="2"/>
      </rPr>
      <t>1/</t>
    </r>
  </si>
  <si>
    <r>
      <rPr>
        <vertAlign val="superscript"/>
        <sz val="8"/>
        <color theme="0" tint="-0.499984740745262"/>
        <rFont val="Arial Narrow"/>
        <family val="2"/>
      </rPr>
      <t>1/</t>
    </r>
    <r>
      <rPr>
        <b/>
        <sz val="8"/>
        <color theme="0" tint="-0.499984740745262"/>
        <rFont val="Arial Narrow"/>
        <family val="2"/>
      </rPr>
      <t xml:space="preserve"> </t>
    </r>
    <r>
      <rPr>
        <sz val="8"/>
        <color theme="0" tint="-0.499984740745262"/>
        <rFont val="Arial Narrow"/>
        <family val="2"/>
      </rPr>
      <t xml:space="preserve">La superficie puede ser usada para varios cultivos consecutivos.   </t>
    </r>
  </si>
  <si>
    <r>
      <rPr>
        <vertAlign val="superscript"/>
        <sz val="8"/>
        <rFont val="Arial Narrow"/>
        <family val="2"/>
      </rPr>
      <t>1/</t>
    </r>
    <r>
      <rPr>
        <b/>
        <vertAlign val="superscript"/>
        <sz val="8"/>
        <rFont val="Arial Narrow"/>
        <family val="2"/>
      </rPr>
      <t xml:space="preserve"> </t>
    </r>
    <r>
      <rPr>
        <sz val="8"/>
        <rFont val="Arial Narrow"/>
        <family val="2"/>
      </rPr>
      <t xml:space="preserve">La superficie puede ser usada para varios cultivos consecutivos.   </t>
    </r>
  </si>
  <si>
    <r>
      <rPr>
        <vertAlign val="superscript"/>
        <sz val="8"/>
        <color theme="1"/>
        <rFont val="Arial Narrow"/>
        <family val="2"/>
      </rPr>
      <t xml:space="preserve">1/ </t>
    </r>
    <r>
      <rPr>
        <sz val="8"/>
        <color theme="1"/>
        <rFont val="Arial Narrow"/>
        <family val="2"/>
      </rPr>
      <t>Comprende: Viviendas, terrenos eriazos y caminos internos, entre otros.</t>
    </r>
  </si>
  <si>
    <t>Pastos 
naturales no 
manejados</t>
  </si>
  <si>
    <t>Pastos 
naturales 
no manejados</t>
  </si>
  <si>
    <r>
      <rPr>
        <vertAlign val="superscript"/>
        <sz val="8"/>
        <rFont val="Arial Narrow"/>
        <family val="2"/>
      </rPr>
      <t>1/</t>
    </r>
    <r>
      <rPr>
        <sz val="8"/>
        <rFont val="Arial Narrow"/>
        <family val="2"/>
      </rPr>
      <t xml:space="preserve"> A partir del año 2015 la Zona Reservada de Sierra del Divisor fue categorizada una parte como Parque Nacional y la otra parte continuó como Zona Reservada.</t>
    </r>
  </si>
  <si>
    <r>
      <rPr>
        <vertAlign val="superscript"/>
        <sz val="8"/>
        <rFont val="Arial Narrow"/>
        <family val="2"/>
      </rPr>
      <t xml:space="preserve">2/ </t>
    </r>
    <r>
      <rPr>
        <sz val="8"/>
        <rFont val="Arial Narrow"/>
        <family val="2"/>
      </rPr>
      <t xml:space="preserve">La Reserva Nacional de Paracas posee 117 mil 406 hectáreas en tierra firme y 217 mil 594 hectáreas marinas.                                </t>
    </r>
  </si>
  <si>
    <r>
      <rPr>
        <vertAlign val="superscript"/>
        <sz val="8"/>
        <rFont val="Arial Narrow"/>
        <family val="2"/>
      </rPr>
      <t xml:space="preserve">3/ </t>
    </r>
    <r>
      <rPr>
        <sz val="8"/>
        <rFont val="Arial Narrow"/>
        <family val="2"/>
      </rPr>
      <t>Área de carácter transitorio hasta la determinación de su categoría.</t>
    </r>
  </si>
  <si>
    <r>
      <rPr>
        <vertAlign val="superscript"/>
        <sz val="8"/>
        <rFont val="Arial Narrow"/>
        <family val="2"/>
      </rPr>
      <t xml:space="preserve">1/ </t>
    </r>
    <r>
      <rPr>
        <sz val="8"/>
        <rFont val="Arial Narrow"/>
        <family val="2"/>
      </rPr>
      <t>Porcentaje respecto al total de área protegida anualmente.</t>
    </r>
  </si>
  <si>
    <r>
      <rPr>
        <vertAlign val="superscript"/>
        <sz val="8"/>
        <rFont val="Arial Narrow"/>
        <family val="2"/>
      </rPr>
      <t xml:space="preserve">2/ </t>
    </r>
    <r>
      <rPr>
        <sz val="8"/>
        <rFont val="Arial Narrow"/>
        <family val="2"/>
      </rPr>
      <t>Área de carácter provisional hasta la determinación de su categoría.</t>
    </r>
  </si>
  <si>
    <r>
      <rPr>
        <b/>
        <sz val="8"/>
        <rFont val="Arial Narrow"/>
        <family val="2"/>
      </rPr>
      <t>Nota</t>
    </r>
    <r>
      <rPr>
        <sz val="8"/>
        <rFont val="Arial Narrow"/>
        <family val="2"/>
      </rPr>
      <t>: La Reserva Nacional Sistema de Islas, Islotes y Puntas Guaneras fue establecida mediante Decreto Supremo Nº 024-2009-MINAM, expedido el 31/12/2009.</t>
    </r>
  </si>
  <si>
    <r>
      <t>Área de conservación regional:</t>
    </r>
    <r>
      <rPr>
        <sz val="8"/>
        <rFont val="Arial Narrow"/>
        <family val="2"/>
      </rPr>
      <t xml:space="preserve"> Son aquellas áreas administradas por los gobiernos regionales, instituciones públicas y privadas en coordinación con las comunidades campesinas o nativas y demás poblaciones locales que habiten en la zona. Estas áreas forman parte del patrimonio de la nación y se aplican también, las normas establecidas para las Áreas de Administración Nacional.</t>
    </r>
  </si>
  <si>
    <r>
      <t>Áreas de conservación privada:</t>
    </r>
    <r>
      <rPr>
        <sz val="8"/>
        <rFont val="Arial Narrow"/>
        <family val="2"/>
      </rPr>
      <t xml:space="preserve"> Son áreas de conservación creadas en parte o la totalidad de predios de propiedad privada cuyas características ambientales, biológicas, paisajísticas u otras análogas, pueden complementar la cobertura del Sistema Nacional de Áreas Naturales protegidas por el Estado. Se priorizan aquellos predios ubicados en las zonas de amortiguamiento de las áreas protegidas de administración nacional. El reconocimiento de estas áreas se basa en un acuerdo entre el Estado y el titular del predio, a fin de conservar la diversidad biológica en dicho predio por un período no menor a 10 años renovables. </t>
    </r>
  </si>
  <si>
    <r>
      <t xml:space="preserve">Nota: </t>
    </r>
    <r>
      <rPr>
        <sz val="8"/>
        <rFont val="Arial Narrow"/>
        <family val="2"/>
      </rPr>
      <t>Perú es uno de los países integrantes de la Convención de Ramsar, el cual tiene por objetivo conservar áreas de humedales de importancia a nivel mundial. Los gobiernos se han comprometido a garantizar su gestión eficaz; mediante la planificación nacional del uso del suelo, normativas y legislación apropiadas y la educación del público. El país a marzo de 2009 lleva declarados un total de 13 sitios Ramsar. El tratado internacional fue firmado en Ramsar (Irán) en 1971.</t>
    </r>
  </si>
  <si>
    <r>
      <t>Nota:</t>
    </r>
    <r>
      <rPr>
        <sz val="8"/>
        <rFont val="Arial Narrow"/>
        <family val="2"/>
      </rPr>
      <t xml:space="preserve"> El Sistema Nacional de Áreas Naturales Protegidas por el Estado fue establecido mediante Decreto Supremo Nº 010-90-AG el 24 de marzo de 1990. Según el D.S. Nº 011-96-AG del 19 de julio de 1996; quedan excluidos del Sistema Nacional de Áreas Naturales Protegidas por el Estado los Bosques Nacionales. Se ha excluido de los cálculos la porción marina de Paracas. (217 594 ha).  También se ha excluido la porción marina de la Reserva Nacional Islas, Islotes y Puntas Guaneras (182 159 ha).  Para los cálculos se ha usado la proyección Sinusoidal en metros, con Meridiano Central 75° L.S. y Datum WGS84.</t>
    </r>
  </si>
  <si>
    <r>
      <t>Ecorregión:</t>
    </r>
    <r>
      <rPr>
        <sz val="8"/>
        <rFont val="Arial Narrow"/>
        <family val="2"/>
      </rPr>
      <t xml:space="preserve"> Es la unidad geográfica de clasificación de la naturaleza, que agrupa ecosistemas de características similares en los que se llevan a efecto inventarios ecológicos y relevamiento ambiental.</t>
    </r>
  </si>
  <si>
    <r>
      <t>Área Natural Protegida:</t>
    </r>
    <r>
      <rPr>
        <sz val="8"/>
        <rFont val="Arial Narrow"/>
        <family val="2"/>
      </rPr>
      <t xml:space="preserve"> Superficies de tierra o mar especialmente dedicadas al mantenimiento y protección de la diversidad biológica, así como de los recursos naturales y culturales asociados, y manejados a través de medios jurídicos u otros medios eficaces. Estas áreas incluyen categorías especiales de manejo y conservación que consideran desde la protección estricta (donde la intervención humana es mínima o nula) hasta el aprovechamiento de ciertos recursos.</t>
    </r>
  </si>
  <si>
    <r>
      <t xml:space="preserve">Nota: </t>
    </r>
    <r>
      <rPr>
        <sz val="8"/>
        <color theme="1"/>
        <rFont val="Arial Narrow"/>
        <family val="2"/>
      </rPr>
      <t>Los registros de nuevas especies de flora descritas para Perú usan como fuente a International Plant Names Index (IPNI).</t>
    </r>
  </si>
  <si>
    <r>
      <t>Angiospermas:</t>
    </r>
    <r>
      <rPr>
        <sz val="8"/>
        <color theme="1"/>
        <rFont val="Arial Narrow"/>
        <family val="2"/>
      </rPr>
      <t xml:space="preserve"> Son plantas con tejidos y órganos perfectamente diferenciados. Tienen flores que producen semillas encerradas y protegidas por la pared del ovario (carpelos) que, posteriormente, se convierte en fruto. Las angiospermas pueden ser plantas herbáceas, arbustivas o arbóreas; pueden variar mucho en lo que respecta a flores, apéndice y formas de vida. Por sus semillas se clasifican en monocotiledóneas y dicotiledóneas.</t>
    </r>
  </si>
  <si>
    <r>
      <t xml:space="preserve">Gimnospermas: </t>
    </r>
    <r>
      <rPr>
        <sz val="8"/>
        <color theme="1"/>
        <rFont val="Arial Narrow"/>
        <family val="2"/>
      </rPr>
      <t>Son plantas vasculares y productoras de semillas. Sus semillas no se forman en un ovario cerrado, sino que se encuentran desnudas.</t>
    </r>
  </si>
  <si>
    <r>
      <rPr>
        <b/>
        <sz val="8"/>
        <color theme="1"/>
        <rFont val="Arial Narrow"/>
        <family val="2"/>
      </rPr>
      <t>Nota:</t>
    </r>
    <r>
      <rPr>
        <sz val="8"/>
        <color theme="1"/>
        <rFont val="Arial Narrow"/>
        <family val="2"/>
      </rPr>
      <t xml:space="preserve"> El número de especies endémicas ha sufrido variaciones debido a distintos factores además del descubrimiento de nuevas especies, entre otros. Los registros de nuevas especies de flora descritas para Perú usan como fuente a International Plant Names Index (IPNI).</t>
    </r>
  </si>
  <si>
    <r>
      <t>Especie endémica</t>
    </r>
    <r>
      <rPr>
        <sz val="8"/>
        <color theme="1"/>
        <rFont val="Arial Narrow"/>
        <family val="2"/>
      </rPr>
      <t xml:space="preserve">: Toda especie cuyo rango de distribución natural está limitado a una zona geográfica restringida. A diferencia de las especies nativas, al referirnos a las especies endémicas, estas solo están distribuidas dentro de un único país. </t>
    </r>
  </si>
  <si>
    <r>
      <rPr>
        <b/>
        <sz val="8"/>
        <rFont val="Arial Narrow"/>
        <family val="2"/>
      </rPr>
      <t>Nota:</t>
    </r>
    <r>
      <rPr>
        <sz val="8"/>
        <rFont val="Arial Narrow"/>
        <family val="2"/>
      </rPr>
      <t xml:space="preserve"> El Reglamento para la Gestión de Fauna Silvestre (Decreto Supremo N° 019-2015-MINAGRI, establece en su artículo Nº 110 que el Servicio Nacional Forestal y de Fauna Silvestre (SERFOR), en coordinación con el Ministerio del Ambiente (MINAM) y, cuando corresponda, con la participación del Ministerio de La Producción, elabora la clasificación oficial de especies de flora silvestre categorizadas como amenazadas, la cual se aprueba por Decreto Supremo refrendado por el Ministerio de Agricultura y Riego (MINAGRI) y el MINAM. Dicha clasificación se actualiza como máximo cada cuatro (4) años, manteniendo su vigencia hasta la aprobación de su actualización.</t>
    </r>
  </si>
  <si>
    <r>
      <rPr>
        <vertAlign val="superscript"/>
        <sz val="8"/>
        <rFont val="Arial Narrow"/>
        <family val="2"/>
      </rPr>
      <t xml:space="preserve">a/ </t>
    </r>
    <r>
      <rPr>
        <sz val="8"/>
        <rFont val="Arial Narrow"/>
        <family val="2"/>
      </rPr>
      <t>Especies establecidas en el Decreto Supremo N° 034-2004-AG, derogado por el Decreto Supremo Nº 04-2014-MINAGRI publicado el 8 de abril de 2014.</t>
    </r>
  </si>
  <si>
    <r>
      <rPr>
        <vertAlign val="superscript"/>
        <sz val="8"/>
        <rFont val="Arial Narrow"/>
        <family val="2"/>
      </rPr>
      <t xml:space="preserve">b/ </t>
    </r>
    <r>
      <rPr>
        <sz val="8"/>
        <rFont val="Arial Narrow"/>
        <family val="2"/>
      </rPr>
      <t>Especies establecidas en el Decreto Supremo Nº 004-2014-MINAGRI, que aprueba la actualización de la lista de clasificación y categorización de las especies amenazadas de fauna silvestre legalmente protegidas.</t>
    </r>
  </si>
  <si>
    <r>
      <rPr>
        <vertAlign val="superscript"/>
        <sz val="8"/>
        <rFont val="Arial Narrow"/>
        <family val="2"/>
      </rPr>
      <t xml:space="preserve">1/ </t>
    </r>
    <r>
      <rPr>
        <sz val="8"/>
        <rFont val="Arial Narrow"/>
        <family val="2"/>
      </rPr>
      <t>Incluye las categorías de: Especies en peligro crítico, especies en amenaza, especies vulnerables y especies casi amenazadas. El año 2014 incluye especies con datos insuficientes.</t>
    </r>
  </si>
  <si>
    <r>
      <rPr>
        <vertAlign val="superscript"/>
        <sz val="8"/>
        <rFont val="Arial Narrow"/>
        <family val="2"/>
      </rPr>
      <t>a/</t>
    </r>
    <r>
      <rPr>
        <sz val="8"/>
        <rFont val="Arial Narrow"/>
        <family val="2"/>
      </rPr>
      <t xml:space="preserve"> Especies establecidas en el Decreto Supremo N° 034-2004-AG, derogado por el Decreto Supremo Nº 04-2014-MINAGRI publicado el 8 de abril de 2014.</t>
    </r>
  </si>
  <si>
    <r>
      <rPr>
        <vertAlign val="superscript"/>
        <sz val="8"/>
        <rFont val="Arial Narrow"/>
        <family val="2"/>
      </rPr>
      <t>c/</t>
    </r>
    <r>
      <rPr>
        <sz val="8"/>
        <rFont val="Arial Narrow"/>
        <family val="2"/>
      </rPr>
      <t xml:space="preserve"> Corresponde a información del año 2010.</t>
    </r>
  </si>
  <si>
    <r>
      <rPr>
        <vertAlign val="superscript"/>
        <sz val="8"/>
        <color theme="1"/>
        <rFont val="Arial Narrow"/>
        <family val="2"/>
      </rPr>
      <t xml:space="preserve">a/ </t>
    </r>
    <r>
      <rPr>
        <sz val="8"/>
        <color theme="1"/>
        <rFont val="Arial Narrow"/>
        <family val="2"/>
      </rPr>
      <t>Tarazona, J., Gutiérrez, D., Paredes, C., &amp; Indacochea, A. (2003). Overview and challenges of marine biodiversity research in Peru. Gayana, 67(2), 206-231.</t>
    </r>
  </si>
  <si>
    <r>
      <rPr>
        <vertAlign val="superscript"/>
        <sz val="8"/>
        <color theme="1"/>
        <rFont val="Arial Narrow"/>
        <family val="2"/>
      </rPr>
      <t>b/</t>
    </r>
    <r>
      <rPr>
        <sz val="8"/>
        <color theme="1"/>
        <rFont val="Arial Narrow"/>
        <family val="2"/>
      </rPr>
      <t xml:space="preserve"> Ochoa, N., O. Gómez, S. Sánchez &amp; E. Delgado 1999. Diversidad de Diatomeas y Dinoflagelados marinos del Perú. Bol. Inst. Mar Perú 18 (1 &amp; 2):1-13. / Acleto C (1988) Aspectos fitogeográficos y taxonómicos de las algas marinas del Perú. Gayana, Botánica (Chile) 45: 143-146 / Arakaki, N., Schmidt, W. E., Carbajal, P., Fredericq, S. (2015). First occurrence of </t>
    </r>
    <r>
      <rPr>
        <i/>
        <sz val="8"/>
        <color theme="1"/>
        <rFont val="Arial Narrow"/>
        <family val="2"/>
      </rPr>
      <t>Gracilaria chilensis</t>
    </r>
    <r>
      <rPr>
        <sz val="8"/>
        <color theme="1"/>
        <rFont val="Arial Narrow"/>
        <family val="2"/>
      </rPr>
      <t>, and distribution of</t>
    </r>
    <r>
      <rPr>
        <i/>
        <sz val="8"/>
        <color theme="1"/>
        <rFont val="Arial Narrow"/>
        <family val="2"/>
      </rPr>
      <t xml:space="preserve"> Gracilariopsis lemaneiformis</t>
    </r>
    <r>
      <rPr>
        <sz val="8"/>
        <color theme="1"/>
        <rFont val="Arial Narrow"/>
        <family val="2"/>
      </rPr>
      <t xml:space="preserve"> (Gracilariaceae, Gracilariales) in Peru on the basis of rbcL sequence analysis. Phytotaxa, 208, 175-181. / Calderon, M.S. &amp; Boo, S.M. (2016). Phylogeny of Phyllophoraceae (Rhodophyta, Gigartinales) reveals </t>
    </r>
    <r>
      <rPr>
        <i/>
        <sz val="8"/>
        <color theme="1"/>
        <rFont val="Arial Narrow"/>
        <family val="2"/>
      </rPr>
      <t>Asterfilopsis</t>
    </r>
    <r>
      <rPr>
        <sz val="8"/>
        <color theme="1"/>
        <rFont val="Arial Narrow"/>
        <family val="2"/>
      </rPr>
      <t xml:space="preserve"> gen. nov. from the Southern Hemisphere. Phycologia 55(5): 543-554. / Calderon, M.S. &amp; Boo, S.M. (2016). A new genus </t>
    </r>
    <r>
      <rPr>
        <i/>
        <sz val="8"/>
        <color theme="1"/>
        <rFont val="Arial Narrow"/>
        <family val="2"/>
      </rPr>
      <t>Phyllophorella</t>
    </r>
    <r>
      <rPr>
        <sz val="8"/>
        <color theme="1"/>
        <rFont val="Arial Narrow"/>
        <family val="2"/>
      </rPr>
      <t xml:space="preserve"> gen. nov. (Phyllophoraceae, Rhodophyta) from central Peru, including </t>
    </r>
    <r>
      <rPr>
        <i/>
        <sz val="8"/>
        <color theme="1"/>
        <rFont val="Arial Narrow"/>
        <family val="2"/>
      </rPr>
      <t>Phyllophorella peruviana</t>
    </r>
    <r>
      <rPr>
        <sz val="8"/>
        <color theme="1"/>
        <rFont val="Arial Narrow"/>
        <family val="2"/>
      </rPr>
      <t xml:space="preserve"> comb. nov. Phyllophorella humboldtiana sp. nov., and </t>
    </r>
    <r>
      <rPr>
        <i/>
        <sz val="8"/>
        <color theme="1"/>
        <rFont val="Arial Narrow"/>
        <family val="2"/>
      </rPr>
      <t xml:space="preserve">Phyllophorella limaensis </t>
    </r>
    <r>
      <rPr>
        <sz val="8"/>
        <color theme="1"/>
        <rFont val="Arial Narrow"/>
        <family val="2"/>
      </rPr>
      <t xml:space="preserve">sp. nov. Botanica Marina 59(5): 339-352. / Calderon, M.S. &amp; Boo, S.M. (2017). The Phyllophoraceae (Gigartinales, Rhodophyta) from Peru with descriptions of </t>
    </r>
    <r>
      <rPr>
        <i/>
        <sz val="8"/>
        <color theme="1"/>
        <rFont val="Arial Narrow"/>
        <family val="2"/>
      </rPr>
      <t>Acletoa tarazonae</t>
    </r>
    <r>
      <rPr>
        <sz val="8"/>
        <color theme="1"/>
        <rFont val="Arial Narrow"/>
        <family val="2"/>
      </rPr>
      <t xml:space="preserve"> gen. &amp; sp. nov. and</t>
    </r>
    <r>
      <rPr>
        <i/>
        <sz val="8"/>
        <color theme="1"/>
        <rFont val="Arial Narrow"/>
        <family val="2"/>
      </rPr>
      <t xml:space="preserve"> Gymnogongrus caespitosus </t>
    </r>
    <r>
      <rPr>
        <sz val="8"/>
        <color theme="1"/>
        <rFont val="Arial Narrow"/>
        <family val="2"/>
      </rPr>
      <t>sp. nov.. Phycologia 56(6): 686-696.</t>
    </r>
  </si>
  <si>
    <r>
      <rPr>
        <vertAlign val="superscript"/>
        <sz val="8"/>
        <color theme="1"/>
        <rFont val="Arial Narrow"/>
        <family val="2"/>
      </rPr>
      <t xml:space="preserve">c/ </t>
    </r>
    <r>
      <rPr>
        <sz val="8"/>
        <color theme="1"/>
        <rFont val="Arial Narrow"/>
        <family val="2"/>
      </rPr>
      <t xml:space="preserve">Desqueyroux-Faúndez, R.; Van Soest, R.W.M. (1996). A review of Iophonidae, Myxillidae and Tedaniidae occurring in the south east Pacific (Porifera: Poecilosclerida). Revue suisse de Zoologie. 103 (1): 3-79. page(s): 36-38. / Azevedo, F., Cóndor-Luján, B., Willenz, P., Hajdu, E., Hooker, Y., &amp; Klautau, M. (2015). Integrative taxonomy of calcareous sponges (subclass Calcinea) from the Peruvian coast: morphology, molecules, and biogeography. Zoological Journal of the Linnean Society, 173(4), 787-817. / Reiswig, H., &amp; Araya, J. F. (2014). A review of the Hexactinellida (Porifera) of Chile, with the first record of </t>
    </r>
    <r>
      <rPr>
        <i/>
        <sz val="8"/>
        <color theme="1"/>
        <rFont val="Arial Narrow"/>
        <family val="2"/>
      </rPr>
      <t>Caulophacus</t>
    </r>
    <r>
      <rPr>
        <sz val="8"/>
        <color theme="1"/>
        <rFont val="Arial Narrow"/>
        <family val="2"/>
      </rPr>
      <t xml:space="preserve"> Schulze, 1885 (Lyssacinosida: Rossellidae) from the Southeastern Pacific Ocean. Zootaxa, 3889(3), 414-428. / Hajdu, E., Hooker, Y., &amp; Willenz, P. (2015). New Hamacantha from Peru and resurrection of </t>
    </r>
    <r>
      <rPr>
        <i/>
        <sz val="8"/>
        <color theme="1"/>
        <rFont val="Arial Narrow"/>
        <family val="2"/>
      </rPr>
      <t>Zygherpe</t>
    </r>
    <r>
      <rPr>
        <sz val="8"/>
        <color theme="1"/>
        <rFont val="Arial Narrow"/>
        <family val="2"/>
      </rPr>
      <t xml:space="preserve"> as subgenus (Demospongiae, Poecilosclerida, Hamacanthidae). Zootaxa, 3926(1), 87-99. / Cóndor-Luján, B., Azevedo, F., Hajdu, E., Hooker, Y., Willenz, P., &amp; Klautau, M. (2019). Tropical Eastern Pacific Amphoriscidae Dendy, 1892 (Porifera: Calcarea: Calcaronea: Leucosolenida) from the Peruvian coast. Marine Biodiversity, 49(4), 1813-1830. / Aguirre, L. K., Hooker, Y., Willenz, P., &amp; Hajdu, E. (2011). A new Clathria (Demospongiae, Microcionidae) from Peru occurring on rocky substrates as well as epibiontic on</t>
    </r>
    <r>
      <rPr>
        <i/>
        <sz val="8"/>
        <color theme="1"/>
        <rFont val="Arial Narrow"/>
        <family val="2"/>
      </rPr>
      <t xml:space="preserve"> Eucidaris thouarsii</t>
    </r>
    <r>
      <rPr>
        <sz val="8"/>
        <color theme="1"/>
        <rFont val="Arial Narrow"/>
        <family val="2"/>
      </rPr>
      <t xml:space="preserve"> sea urchins. Zootaxa, 3085(1), 41-54. h. Gerasimova, E.; Erpenbeck, D.; Plotkin, A. (2008). Vosmaeria Fristedt, 1885 (Porifera, Demospongiae, Halichondriidae): revision of species, phylogenetic reconstruction and evidence for split. Zootaxa. 1694: 1-37 / Aguilar-Camacho, J. M., Carballo, J. L., &amp; Cruz-Barraza, J. A. (2013). Acarnidae (Porífera: Demospongiae: Poecilosclerida) from the Mexican Pacific Ocean with the description of six new species. Scientia Marina, 77(4), 677-696. / Burton, M. 1938. Non-calcareous sponges. Australasian Antarctic Expedition 1911-1914, Scientific Reports, Series C – Zoology and Botany 9 (5): 3-22.</t>
    </r>
  </si>
  <si>
    <r>
      <rPr>
        <vertAlign val="superscript"/>
        <sz val="8"/>
        <color theme="1"/>
        <rFont val="Arial Narrow"/>
        <family val="2"/>
      </rPr>
      <t>d/</t>
    </r>
    <r>
      <rPr>
        <sz val="8"/>
        <color theme="1"/>
        <rFont val="Arial Narrow"/>
        <family val="2"/>
      </rPr>
      <t xml:space="preserve"> Ayón, P., Criales-Hernandez, M. I., Schwamborn, R., &amp; Hirche, H. J. (2008). Zooplankton research off Peru: a review. Progress in Oceanography, 79(2-4), 238-255. </t>
    </r>
  </si>
  <si>
    <r>
      <rPr>
        <vertAlign val="superscript"/>
        <sz val="8"/>
        <color theme="1"/>
        <rFont val="Arial Narrow"/>
        <family val="2"/>
      </rPr>
      <t xml:space="preserve">e/ </t>
    </r>
    <r>
      <rPr>
        <sz val="8"/>
        <color theme="1"/>
        <rFont val="Arial Narrow"/>
        <family val="2"/>
      </rPr>
      <t>Cortés J, Enochs IC, Sibaja-Cordero JA et al.  (2017) Marine biodiversity of Eastern Tropical Pacific coral reefs. In: Glynn PW, Manzello D, Enochs I (Eds) Coral Reefs of the Eastern Pacific: Persistence and Loss in a Dynamic Environment. Coral Reefs of the World (Vol. 8). Springer Science Business Media, Dordrecht, 203–250.</t>
    </r>
  </si>
  <si>
    <r>
      <rPr>
        <vertAlign val="superscript"/>
        <sz val="8"/>
        <color theme="1"/>
        <rFont val="Arial Narrow"/>
        <family val="2"/>
      </rPr>
      <t>f/</t>
    </r>
    <r>
      <rPr>
        <sz val="8"/>
        <color theme="1"/>
        <rFont val="Arial Narrow"/>
        <family val="2"/>
      </rPr>
      <t xml:space="preserve"> Paredes, C., Cardoso, F., &amp; Tarazona, J. (1999). Invertebrados del intermareal rocoso del departamento de Lima, Perú: una lista comentada de especies. Revista Peruana de Biología, 6(2), 143-151.</t>
    </r>
  </si>
  <si>
    <r>
      <rPr>
        <vertAlign val="superscript"/>
        <sz val="8"/>
        <color theme="1"/>
        <rFont val="Arial Narrow"/>
        <family val="2"/>
      </rPr>
      <t>g/</t>
    </r>
    <r>
      <rPr>
        <sz val="8"/>
        <color theme="1"/>
        <rFont val="Arial Narrow"/>
        <family val="2"/>
      </rPr>
      <t xml:space="preserve"> Ramírez R., C. Paredes y J. Arenas. 2003. Moluscos del Perú. Rev. Biol. Trop. (Suppl. 3): 225-284. / Paredes, C., Cardoso, F., Santamaría, J., Esplana, J., &amp; Llaja, L. (2016). Lista anotada de los bivalvos marinos del Perú. Revista peruana de biología, 23(2), 127-150. </t>
    </r>
  </si>
  <si>
    <r>
      <rPr>
        <vertAlign val="superscript"/>
        <sz val="8"/>
        <color theme="1"/>
        <rFont val="Arial Narrow"/>
        <family val="2"/>
      </rPr>
      <t xml:space="preserve">h/ </t>
    </r>
    <r>
      <rPr>
        <sz val="8"/>
        <color theme="1"/>
        <rFont val="Arial Narrow"/>
        <family val="2"/>
      </rPr>
      <t>Moscoso V. 2012. Catálogo de crustáceos decápodos y estomatópodos del Perú. Boletín Instituto del Mar del Perú. 27(1-2): 8-207.</t>
    </r>
  </si>
  <si>
    <r>
      <rPr>
        <vertAlign val="superscript"/>
        <sz val="8"/>
        <color theme="1"/>
        <rFont val="Arial Narrow"/>
        <family val="2"/>
      </rPr>
      <t>i/</t>
    </r>
    <r>
      <rPr>
        <sz val="8"/>
        <color theme="1"/>
        <rFont val="Arial Narrow"/>
        <family val="2"/>
      </rPr>
      <t xml:space="preserve"> Alvarado, J. J., &amp; Solís-Marín, F. A. (2013). Echinoderm research and diversity in Latin America. In Echinoderm Research and Diversity in Latin America (pp. 1-9).</t>
    </r>
  </si>
  <si>
    <r>
      <rPr>
        <vertAlign val="superscript"/>
        <sz val="8"/>
        <color theme="1"/>
        <rFont val="Arial Narrow"/>
        <family val="2"/>
      </rPr>
      <t xml:space="preserve">j/ </t>
    </r>
    <r>
      <rPr>
        <sz val="8"/>
        <color theme="1"/>
        <rFont val="Arial Narrow"/>
        <family val="2"/>
      </rPr>
      <t xml:space="preserve">Moreno-Méndez, A., Campos-León, S., &amp; Béarez, P. (2020). First record of a stranded specimen of the Sharptail Mola, </t>
    </r>
    <r>
      <rPr>
        <i/>
        <sz val="8"/>
        <color theme="1"/>
        <rFont val="Arial Narrow"/>
        <family val="2"/>
      </rPr>
      <t>Masturus lanceolatus</t>
    </r>
    <r>
      <rPr>
        <sz val="8"/>
        <color theme="1"/>
        <rFont val="Arial Narrow"/>
        <family val="2"/>
      </rPr>
      <t xml:space="preserve"> (Actinopterygii: Tetraodontiformes: molidae), from the central coast of Peru. Acta Ichthyologica et Piscatoria, 50(1), 103-106. / CampoS-León, S., Moreno-Mendez, A., Bearez, P., &amp; Solano-Sare, A. (2019). First report of the yellowfin surgeonfish</t>
    </r>
    <r>
      <rPr>
        <i/>
        <sz val="8"/>
        <color theme="1"/>
        <rFont val="Arial Narrow"/>
        <family val="2"/>
      </rPr>
      <t xml:space="preserve"> Acanthurus xanthopterus</t>
    </r>
    <r>
      <rPr>
        <sz val="8"/>
        <color theme="1"/>
        <rFont val="Arial Narrow"/>
        <family val="2"/>
      </rPr>
      <t xml:space="preserve"> (Teleostei: Acanthuridae) in northern Peru. CYBIUM, 43(4), 377-379.  / Hooker, M. (2009). Nuevos registros de peces costeros tropicales para el Perú. Revista Peruana de Biología, 16(1), 33-41.</t>
    </r>
  </si>
  <si>
    <r>
      <rPr>
        <vertAlign val="superscript"/>
        <sz val="8"/>
        <color theme="1"/>
        <rFont val="Arial Narrow"/>
        <family val="2"/>
      </rPr>
      <t>k/</t>
    </r>
    <r>
      <rPr>
        <sz val="8"/>
        <color theme="1"/>
        <rFont val="Arial Narrow"/>
        <family val="2"/>
      </rPr>
      <t xml:space="preserve"> Plenge, M.A., Schulenberg, T.S., y Valqui, T. (2020). Species lists of birds for South American countries and territories: [Peru]. [Version 06/07/2020]. http://www.museum.lsu.edu/~Remsen/SACCCountryLists.htm . Nota: No se considerron los registros "hipotéticos".</t>
    </r>
  </si>
  <si>
    <r>
      <rPr>
        <vertAlign val="superscript"/>
        <sz val="8"/>
        <color theme="1"/>
        <rFont val="Arial Narrow"/>
        <family val="2"/>
      </rPr>
      <t>l/</t>
    </r>
    <r>
      <rPr>
        <sz val="8"/>
        <color theme="1"/>
        <rFont val="Arial Narrow"/>
        <family val="2"/>
      </rPr>
      <t xml:space="preserve"> Quiñones J, Paredes E, Quispe S, Delgado L. 2015. Tortugas marinas durante el 2010 en Pisco, Perú. Inf Inst Mar Perú. 42(4): 516-525.</t>
    </r>
  </si>
  <si>
    <r>
      <rPr>
        <vertAlign val="superscript"/>
        <sz val="8"/>
        <color theme="1"/>
        <rFont val="Arial Narrow"/>
        <family val="2"/>
      </rPr>
      <t>m/</t>
    </r>
    <r>
      <rPr>
        <sz val="8"/>
        <color theme="1"/>
        <rFont val="Arial Narrow"/>
        <family val="2"/>
      </rPr>
      <t xml:space="preserve"> Reyes, J. (2009). Ballenas, delfines y otros cetáceos del Perú. Una fuente de información. Lima- Perú. Squema-Ediciones. 160 pp. / Instituto del Mar del Perú (IMARPE). 2020. Informe de avistamiento de aves y mamíferos marinos en la evaluación hidroacústica de los recursos pelágicos Cr 2002-03.</t>
    </r>
  </si>
  <si>
    <r>
      <rPr>
        <b/>
        <sz val="8"/>
        <rFont val="Arial Narrow"/>
        <family val="2"/>
      </rPr>
      <t>Nota:</t>
    </r>
    <r>
      <rPr>
        <sz val="8"/>
        <rFont val="Arial Narrow"/>
        <family val="2"/>
      </rPr>
      <t xml:space="preserve"> Los totales pueden diferir por efecto de redondeo. Para mayor información del monitoreo de los bosques visite GEOBOSQUES, http://geobosques.minam.gob.pe/geobosque/view/index.php</t>
    </r>
  </si>
  <si>
    <r>
      <rPr>
        <b/>
        <sz val="8"/>
        <rFont val="Arial Narrow"/>
        <family val="2"/>
      </rPr>
      <t xml:space="preserve">Nota: </t>
    </r>
    <r>
      <rPr>
        <sz val="8"/>
        <rFont val="Arial Narrow"/>
        <family val="2"/>
      </rPr>
      <t>Los totales pueden diferir por efecto de redondeo. Para mayor información del monitoreo de los bosques visite GEOBOSQUES, http://geobosques.minam.gob.pe/geobosque/view/index.php</t>
    </r>
  </si>
  <si>
    <t>8.   HUMEDALES, 2018</t>
  </si>
  <si>
    <t>2. ÁREAS NATURALES PROTEGIDAS POR EL ESTADO, SEGÚN CATEGORÍA, 2012-2021</t>
  </si>
  <si>
    <t>2021</t>
  </si>
  <si>
    <t>1.  ÁREAS  NATURALES PROTEGIDAS POR EL ESTADO, SEGÚN CATEGORÍA, DEPARTAMENTO 
Y FECHA DE PROMULGACIÓN DE LEY, 2018-2021</t>
  </si>
  <si>
    <t>5.   ESPECIES MARINAS, 2003, 2020 Y 2021</t>
  </si>
  <si>
    <t>3. SUPERFICIE AGRÍCOLA CULTIVADA Y COSECHADA, SEGÚN ÁMBITO GEOGRÁFICO, 2019</t>
  </si>
  <si>
    <t xml:space="preserve">     Y SEGÚN ÁMBITO GEOGRÁFICO, 2019</t>
  </si>
  <si>
    <t>Y SEGÚN ÁMBITO GEOGRÁFICO, 2019</t>
  </si>
  <si>
    <t>5. ÁREAS DE CONSERVACIÓN PRIVADA, 2020-2021</t>
  </si>
  <si>
    <t>Y SEGÚN ÁMBITO GEOGRÁFICO, 2020-2021</t>
  </si>
  <si>
    <r>
      <t xml:space="preserve">Cultivos 
transitorios </t>
    </r>
    <r>
      <rPr>
        <b/>
        <vertAlign val="superscript"/>
        <sz val="8"/>
        <rFont val="Arial Narrow"/>
        <family val="2"/>
      </rPr>
      <t>1/</t>
    </r>
  </si>
  <si>
    <r>
      <t xml:space="preserve">Porcentaje </t>
    </r>
    <r>
      <rPr>
        <b/>
        <vertAlign val="superscript"/>
        <sz val="8"/>
        <rFont val="Arial Narrow"/>
        <family val="2"/>
      </rPr>
      <t>1/</t>
    </r>
  </si>
  <si>
    <r>
      <t xml:space="preserve">Zona Reservada </t>
    </r>
    <r>
      <rPr>
        <vertAlign val="superscript"/>
        <sz val="8"/>
        <rFont val="Arial Narrow"/>
        <family val="2"/>
      </rPr>
      <t>2/</t>
    </r>
  </si>
  <si>
    <r>
      <t xml:space="preserve">Porcentaje </t>
    </r>
    <r>
      <rPr>
        <b/>
        <vertAlign val="superscript"/>
        <sz val="8"/>
        <rFont val="Arial Narrow"/>
        <family val="2"/>
      </rPr>
      <t>3/</t>
    </r>
  </si>
  <si>
    <r>
      <t>Nota:</t>
    </r>
    <r>
      <rPr>
        <sz val="8"/>
        <color rgb="FFFF0000"/>
        <rFont val="Arial Narrow"/>
        <family val="2"/>
      </rPr>
      <t xml:space="preserve"> La vigencia del reconocimiento como Áreas de Conservación Privada caducaron para Sagrada Familia, Abra Málaga, Bosque Nublado, Huamanmarca-Ochuro-Tumpullo y Llamac.</t>
    </r>
  </si>
  <si>
    <r>
      <rPr>
        <vertAlign val="superscript"/>
        <sz val="8"/>
        <rFont val="Arial Narrow"/>
        <family val="2"/>
      </rPr>
      <t>3/</t>
    </r>
    <r>
      <rPr>
        <sz val="8"/>
        <rFont val="Arial Narrow"/>
        <family val="2"/>
      </rPr>
      <t xml:space="preserve"> Porcentaje respecto al total del territorio terrestre nacional.</t>
    </r>
  </si>
  <si>
    <t>3.   RESERVA NACIONAL SISTEMA DE ISLAS, ISLOTES Y PUNTAS GUANERAS, 2021</t>
  </si>
  <si>
    <t>D.S. Nº 074-2006-AG</t>
  </si>
  <si>
    <t>Bosque Nublado Amaru-Huachocolpa-Chihuana</t>
  </si>
  <si>
    <t>D.S. Nº 032-2021-MINAM</t>
  </si>
  <si>
    <t>D.S. Nº 007-2021-MINAM</t>
  </si>
  <si>
    <t>Chuyapi Urusayhua</t>
  </si>
  <si>
    <t>D.S. Nº 003-2021-MINAM</t>
  </si>
  <si>
    <t>Codo del Pozuzo</t>
  </si>
  <si>
    <t>Huanuco</t>
  </si>
  <si>
    <t>D.S. Nº 014-2021-MINAM</t>
  </si>
  <si>
    <t>Comunal Alto Tamaya - Abujao</t>
  </si>
  <si>
    <t>D.S. Nº 021-2021-MINAM</t>
  </si>
  <si>
    <t>Páramos y Bosques Montanos de Jaén y Tabaconas</t>
  </si>
  <si>
    <t>D.S. Nº 005-2021-MINAM</t>
  </si>
  <si>
    <t>Q'eros Kosñipata</t>
  </si>
  <si>
    <t>D.S. Nº 015-2021-MINAM</t>
  </si>
  <si>
    <t>R.M. Nº 165-2011-MINAM;
R.M. Nº 018-2022-MINAM</t>
  </si>
  <si>
    <t>R.M. N° 089-2015-MINAM;
R.M. N° 056-2021-MINAM</t>
  </si>
  <si>
    <t>Nihii Eupa Francisco</t>
  </si>
  <si>
    <t>R.M. Nº 243-2021-MINAM</t>
  </si>
  <si>
    <t>Misquiyaco</t>
  </si>
  <si>
    <t>R.M. Nº 246-2021-MINAM</t>
  </si>
  <si>
    <t>Comunidad Nativa Once de Agosto Río Ucayali</t>
  </si>
  <si>
    <t>R.M. N° 179-2021-MINAM</t>
  </si>
  <si>
    <t>Lomas de Quebrada Río Seco</t>
  </si>
  <si>
    <t>R.M. Nº 117-2021-MINAM</t>
  </si>
  <si>
    <t>Bosque Urum</t>
  </si>
  <si>
    <t>R.M. N° 029-2021-MINAM</t>
  </si>
  <si>
    <t>Paraje Capiro Llaylla</t>
  </si>
  <si>
    <t>R.M. Nº 177-2021-MINAM</t>
  </si>
  <si>
    <t>San Lorenzo</t>
  </si>
  <si>
    <t>Tambopata Eco Lodge I</t>
  </si>
  <si>
    <t>R.M. N° 194-2021-MINAM</t>
  </si>
  <si>
    <t>R.M. Nº 247-2021-MINAM</t>
  </si>
  <si>
    <t>Los Amigos</t>
  </si>
  <si>
    <t>R.M. Nº 245-2021-MINAM</t>
  </si>
  <si>
    <t>Predio Collpapampa (Huadquiña-Mesada Chico)</t>
  </si>
  <si>
    <t>R.M. Nº 244-2021-MINAM</t>
  </si>
  <si>
    <t>Potsom Posho´II</t>
  </si>
  <si>
    <t>R.M. Nº 060-2021-MINAM</t>
  </si>
  <si>
    <t>Ni Meraya</t>
  </si>
  <si>
    <t>R.M. Nº 172-2021-MINAM</t>
  </si>
  <si>
    <t>Cusco y Madre  de Dios</t>
  </si>
  <si>
    <t>29/05/1973; 
11/07/2002</t>
  </si>
  <si>
    <t>Loreto y Ucayali</t>
  </si>
  <si>
    <t>08/09/1961; 
03/08/2006</t>
  </si>
  <si>
    <t>Dorsal de Nazca</t>
  </si>
  <si>
    <t>R.M. N° 113-2019-MINAM</t>
  </si>
  <si>
    <t>Estuario de Virrila</t>
  </si>
  <si>
    <t xml:space="preserve">Fuente:  Ministerio del Ambiente (MINAM) </t>
  </si>
  <si>
    <t xml:space="preserve">             The Ramsar Convention on Wetlands.</t>
  </si>
  <si>
    <r>
      <rPr>
        <vertAlign val="superscript"/>
        <sz val="8"/>
        <rFont val="Arial Narrow"/>
        <family val="2"/>
      </rPr>
      <t xml:space="preserve">a/ </t>
    </r>
    <r>
      <rPr>
        <sz val="8"/>
        <rFont val="Arial Narrow"/>
        <family val="2"/>
      </rPr>
      <t>Reserva Nacional Illescas D.S. Nº 038-2021-MINAM de fecha 24 de diciembre de 2021 (Piura).</t>
    </r>
  </si>
  <si>
    <t xml:space="preserve">     Y SEGÚN ÁMBITO GEOGRÁFICO, 2021</t>
  </si>
  <si>
    <r>
      <rPr>
        <b/>
        <sz val="8"/>
        <rFont val="Arial Narrow"/>
        <family val="2"/>
      </rPr>
      <t>Nota:</t>
    </r>
    <r>
      <rPr>
        <sz val="8"/>
        <rFont val="Arial Narrow"/>
        <family val="2"/>
      </rPr>
      <t xml:space="preserve"> Los totales pueden diferir por efecto de redondeo.</t>
    </r>
  </si>
  <si>
    <t>Y SEGÚN ÁMBITO GEOGRÁFICO, 2021</t>
  </si>
  <si>
    <t>Fuente: Instituto Nacional de Estadística e Informática (INEI) - Encuesta Nacional Agraria (ENA) 2021.</t>
  </si>
  <si>
    <t>1. SUPERFICIE AGROPECUARIA POR USOS DE LA TIERRA, SEGÚN ÁMBITO GEOGRÁFICO, 2019 Y 2021</t>
  </si>
  <si>
    <t>Fuente: Instituto Nacional de Estadística e Informática (INEI) - Encuesta Nacional Agraria (ENA) 2019-2021.</t>
  </si>
  <si>
    <r>
      <rPr>
        <b/>
        <sz val="8"/>
        <rFont val="Arial Narrow"/>
        <family val="2"/>
      </rPr>
      <t>Nota:</t>
    </r>
    <r>
      <rPr>
        <sz val="8"/>
        <rFont val="Arial Narrow"/>
        <family val="2"/>
      </rPr>
      <t xml:space="preserve"> Los totales pueden diferir por efecto de redondeo. Durante el año 2020 no se registró información, debido a restricciones por la emergencia sanitaria ocasionada por la pandemia (COVID-19).</t>
    </r>
  </si>
  <si>
    <t>2.  SUPERFICIE AGRÍCOLA POR USOS DE LA TIERRA, SEGÚN ÁMBITO GEOGRÁFICO, 2019 Y 2021</t>
  </si>
  <si>
    <t>3. SUPERFICIE AGRÍCOLA CULTIVADA Y COSECHADA, SEGÚN ÁMBITO GEOGRÁFICO, 2021</t>
  </si>
  <si>
    <t>6. SUPERFICIE NO AGRÍCOLA, POR USO DE LA TIERRA, SEGÚN ÁMBITO GEOGRÁFICO, 2019-2021</t>
  </si>
  <si>
    <t xml:space="preserve">Nota: </t>
  </si>
  <si>
    <t>Chaparrí</t>
  </si>
  <si>
    <t>Lambayeque y Cajamarca</t>
  </si>
  <si>
    <t>R.M. Nº 1324-2001-AG;
R.M. Nº 153-2011-MINAM</t>
  </si>
  <si>
    <t>Bosques Montanos y Páramos Chicuate - Chinguelas</t>
  </si>
  <si>
    <t>Llamapampa - La Jalca</t>
  </si>
  <si>
    <t>17/04/2015;
19/03/2021</t>
  </si>
  <si>
    <t>R.M. Nº 909-2005-AG;
R.M. Nº 202-2007-AG</t>
  </si>
  <si>
    <t>13/12/2005;
06/03/2007</t>
  </si>
  <si>
    <t>San Pedro de Chuquibamba</t>
  </si>
  <si>
    <t>R.M. N° 359-2015-MINAM</t>
  </si>
  <si>
    <t>26/07/2011;
21/01/2022</t>
  </si>
  <si>
    <t>Huaylla Belén - Colcamar</t>
  </si>
  <si>
    <t>R.M. N° 194-2016-MINAM;
R.M. N° 048-2020-MINAM</t>
  </si>
  <si>
    <t>26/07/2016;
16/02/2020</t>
  </si>
  <si>
    <t>R.M. N° 335-2015-MINAM</t>
  </si>
  <si>
    <t>Comunidad Nativa Tibi Playa I Zona Río Ucayali</t>
  </si>
  <si>
    <t>R.M. N° 342-2019-MINAM</t>
  </si>
  <si>
    <t>Siete Cataratas - Qanchis Paccha</t>
  </si>
  <si>
    <t>R.M. N° 214-2015-MINAM</t>
  </si>
  <si>
    <t>Lagunas y Páramos de Andinos de San José de Tapal</t>
  </si>
  <si>
    <t>R.M. N° 071-2015-MINAM</t>
  </si>
  <si>
    <t>R.M. N° 134-2015-MINAM</t>
  </si>
  <si>
    <t>R.M. N° 154-2015-MINAM</t>
  </si>
  <si>
    <t>Bosque Seco San Juan de los Guayaquiles</t>
  </si>
  <si>
    <t>Bosque de Neblina Aypate - Olleros</t>
  </si>
  <si>
    <t>Hatun Queuña-Quishuarani Ccollana</t>
  </si>
  <si>
    <t>R.M. N° 153-2015-MINAM</t>
  </si>
  <si>
    <t>Abra Málaga Thastayoc - Royal Cinclodes</t>
  </si>
  <si>
    <t>R.M. N° 358-2015-MINAM</t>
  </si>
  <si>
    <t>Santuario de La Verónica</t>
  </si>
  <si>
    <t>Milpuj - La Heredad</t>
  </si>
  <si>
    <t>Bosque de Churumazú</t>
  </si>
  <si>
    <t>R.M. N° 096-2015-MINAM</t>
  </si>
  <si>
    <t>R.M. N° 234-2014-MINAM</t>
  </si>
  <si>
    <t>2.  CAPACIDAD POTENCIAL DE LOS BOSQUES AMAZÓNICOS, 2012-2021</t>
  </si>
  <si>
    <t>1.  SUPERFICIE DE BOSQUE HÚMEDO AMAZÓNICO, SEGÚN DEPARTAMENTO, 2012-2021</t>
  </si>
  <si>
    <t>3.  SUPERFICIE DEPARTAMENTAL Y SUPERFICIE DE BOSQUE HÚMEDO AMAZÓNICO, SEGÚN DEPARTAMENTO, 
2018-2021</t>
  </si>
  <si>
    <t>3.  ESPECIES DE FAUNA SILVESTRE AMENAZADA, SEGÚN CATEGORÍA, 2004 Y 2014</t>
  </si>
  <si>
    <t>9. SUPERFICIE PROTEGIDA DE LAS ECORREGIONES, 2010 Y 2014</t>
  </si>
  <si>
    <t>1.  ESPECIES DE FAUNA Y FLORA, 2011-2020</t>
  </si>
  <si>
    <t>2.  ESPECIES DE FAUNA Y FLORA ENDÉMICAS, 2011-2020</t>
  </si>
  <si>
    <t>4.  PROPORCIÓN DE ESPECIES EN PELIGRO DE EXTINCIÓN, 2004 Y 2014</t>
  </si>
  <si>
    <t>Ascidiacea</t>
  </si>
  <si>
    <t>p/</t>
  </si>
  <si>
    <t xml:space="preserve">d/, e/, f/, q/ </t>
  </si>
  <si>
    <t>d/, g/, r/, t/</t>
  </si>
  <si>
    <t>u/</t>
  </si>
  <si>
    <t>f/, o/</t>
  </si>
  <si>
    <t>f/, n/</t>
  </si>
  <si>
    <t>a/, d/, h/, s/</t>
  </si>
  <si>
    <r>
      <t xml:space="preserve">Cultivos 
transitorios </t>
    </r>
    <r>
      <rPr>
        <b/>
        <vertAlign val="superscript"/>
        <sz val="11"/>
        <rFont val="Arial Narrow"/>
        <family val="2"/>
      </rPr>
      <t>1/</t>
    </r>
  </si>
  <si>
    <r>
      <t xml:space="preserve">Otros 
usos </t>
    </r>
    <r>
      <rPr>
        <b/>
        <vertAlign val="superscript"/>
        <sz val="11"/>
        <color theme="0" tint="-0.34998626667073579"/>
        <rFont val="Arial Narrow"/>
        <family val="2"/>
      </rPr>
      <t>1/</t>
    </r>
  </si>
  <si>
    <r>
      <t xml:space="preserve">Otros 
usos </t>
    </r>
    <r>
      <rPr>
        <b/>
        <vertAlign val="superscript"/>
        <sz val="11"/>
        <rFont val="Arial Narrow"/>
        <family val="2"/>
      </rPr>
      <t>1/</t>
    </r>
  </si>
  <si>
    <r>
      <t xml:space="preserve">Sierra del Divisor </t>
    </r>
    <r>
      <rPr>
        <vertAlign val="superscript"/>
        <sz val="11"/>
        <color theme="1"/>
        <rFont val="Arial Narrow"/>
        <family val="2"/>
      </rPr>
      <t>1/</t>
    </r>
  </si>
  <si>
    <r>
      <t xml:space="preserve">Paracas </t>
    </r>
    <r>
      <rPr>
        <vertAlign val="superscript"/>
        <sz val="11"/>
        <rFont val="Arial Narrow"/>
        <family val="2"/>
      </rPr>
      <t>2/</t>
    </r>
  </si>
  <si>
    <r>
      <t xml:space="preserve">Zona Reservada </t>
    </r>
    <r>
      <rPr>
        <b/>
        <vertAlign val="superscript"/>
        <sz val="11"/>
        <rFont val="Arial Narrow"/>
        <family val="2"/>
      </rPr>
      <t>3/</t>
    </r>
  </si>
  <si>
    <t>Páramos y Bosques Montanos de la Comunidad Campesina San Juan de Sallique</t>
  </si>
  <si>
    <r>
      <rPr>
        <sz val="11"/>
        <rFont val="Arial Narrow"/>
        <family val="2"/>
      </rPr>
      <t>Bosque Seco de la Comunidad Campesina Cesar Vallejo de Palo
Blanco</t>
    </r>
  </si>
  <si>
    <r>
      <t xml:space="preserve">Bosque aluvial inundable </t>
    </r>
    <r>
      <rPr>
        <vertAlign val="superscript"/>
        <sz val="11"/>
        <rFont val="Arial Narrow"/>
        <family val="2"/>
      </rPr>
      <t>1/</t>
    </r>
  </si>
  <si>
    <r>
      <rPr>
        <vertAlign val="superscript"/>
        <sz val="8"/>
        <rFont val="Arial Narrow"/>
        <family val="2"/>
      </rPr>
      <t>1/</t>
    </r>
    <r>
      <rPr>
        <sz val="8"/>
        <rFont val="Arial Narrow"/>
        <family val="2"/>
      </rPr>
      <t>Inundaciones por crecientes normales e incluye zonas con inundación temporal (semanas o pocos meses) Documento "Definiciones Conceptuales de los Ecosistemas del Perú, MINAM; 2018.</t>
    </r>
  </si>
  <si>
    <t>% respecto
del total 
de superficie</t>
  </si>
  <si>
    <r>
      <t xml:space="preserve">2004 </t>
    </r>
    <r>
      <rPr>
        <b/>
        <vertAlign val="superscript"/>
        <sz val="11"/>
        <rFont val="Arial Narrow"/>
        <family val="2"/>
      </rPr>
      <t>a/</t>
    </r>
  </si>
  <si>
    <r>
      <t xml:space="preserve">2014 </t>
    </r>
    <r>
      <rPr>
        <b/>
        <vertAlign val="superscript"/>
        <sz val="11"/>
        <rFont val="Arial Narrow"/>
        <family val="2"/>
      </rPr>
      <t>b/</t>
    </r>
  </si>
  <si>
    <t xml:space="preserve">   Ministerio del Ambiente (MINAM) - Dirección General de Diversidad Biológica (DGDB).</t>
  </si>
  <si>
    <r>
      <t xml:space="preserve">2004 </t>
    </r>
    <r>
      <rPr>
        <b/>
        <vertAlign val="superscript"/>
        <sz val="11"/>
        <color theme="1"/>
        <rFont val="Arial Narrow"/>
        <family val="2"/>
      </rPr>
      <t>a/</t>
    </r>
  </si>
  <si>
    <r>
      <t xml:space="preserve">2014 </t>
    </r>
    <r>
      <rPr>
        <b/>
        <vertAlign val="superscript"/>
        <sz val="11"/>
        <color theme="1"/>
        <rFont val="Arial Narrow"/>
        <family val="2"/>
      </rPr>
      <t>b/</t>
    </r>
  </si>
  <si>
    <r>
      <t>Porcentaje en peligro de extinción (%)</t>
    </r>
    <r>
      <rPr>
        <b/>
        <vertAlign val="superscript"/>
        <sz val="11"/>
        <rFont val="Arial Narrow"/>
        <family val="2"/>
      </rPr>
      <t xml:space="preserve"> 1/</t>
    </r>
  </si>
  <si>
    <r>
      <t xml:space="preserve">Especies en peligro </t>
    </r>
    <r>
      <rPr>
        <vertAlign val="superscript"/>
        <sz val="11"/>
        <rFont val="Arial Narrow"/>
        <family val="2"/>
      </rPr>
      <t>1/</t>
    </r>
  </si>
  <si>
    <t>4. ÁREAS DE CONSERVACIÓN REGIONAL,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</si>
</sst>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164" formatCode="#,##0.000"/>
    <numFmt numFmtId="165" formatCode="#,##0.0"/>
    <numFmt numFmtId="166" formatCode="#,##0.0000"/>
    <numFmt numFmtId="167" formatCode="\ ###\ ###\ ###.00"/>
    <numFmt numFmtId="168" formatCode="0.000"/>
    <numFmt numFmtId="169" formatCode="\ ###\ ###\ ###"/>
    <numFmt numFmtId="170" formatCode="\ ###.00"/>
    <numFmt numFmtId="171" formatCode="\ ###.#"/>
    <numFmt numFmtId="172" formatCode="\ ###.##"/>
    <numFmt numFmtId="173" formatCode="\ ###.###"/>
    <numFmt numFmtId="174" formatCode="###\ ###\ ###"/>
    <numFmt numFmtId="175" formatCode="\ #\ ###\ ###.00"/>
    <numFmt numFmtId="176" formatCode="#\ ##0.00"/>
    <numFmt numFmtId="177" formatCode="0.0"/>
    <numFmt numFmtId="178" formatCode="0.0_)"/>
    <numFmt numFmtId="179" formatCode="#,##0.000000"/>
    <numFmt numFmtId="180" formatCode="\ #\ ###\ ###"/>
    <numFmt numFmtId="181" formatCode="\ #.0000\ ###\ ###"/>
    <numFmt numFmtId="182" formatCode="0.0000"/>
    <numFmt numFmtId="183" formatCode="#\ ###\ ###"/>
    <numFmt numFmtId="184" formatCode="dd/mm/yyyy;@"/>
    <numFmt numFmtId="185" formatCode="dd\.mm\.yyyy;@"/>
  </numFmts>
  <fonts count="59" x14ac:knownFonts="1">
    <font>
      <sz val="11"/>
      <color theme="1"/>
      <name val="Calibri"/>
      <family val="2"/>
      <scheme val="minor"/>
    </font>
    <font>
      <sz val="8"/>
      <color theme="1"/>
      <name val="Arial Narrow"/>
      <family val="2"/>
    </font>
    <font>
      <sz val="8"/>
      <color theme="1"/>
      <name val="Arial Narrow"/>
      <family val="2"/>
    </font>
    <font>
      <sz val="11"/>
      <color theme="1"/>
      <name val="Calibri"/>
      <family val="2"/>
      <scheme val="minor"/>
    </font>
    <font>
      <sz val="10"/>
      <color theme="1"/>
      <name val="Arial Narrow"/>
      <family val="2"/>
    </font>
    <font>
      <b/>
      <sz val="11"/>
      <color rgb="FF3B4A1E"/>
      <name val="Arial Narrow"/>
      <family val="2"/>
    </font>
    <font>
      <sz val="11"/>
      <color rgb="FF3B4A1E"/>
      <name val="Arial Narrow"/>
      <family val="2"/>
    </font>
    <font>
      <b/>
      <sz val="11"/>
      <color theme="9" tint="-0.499984740745262"/>
      <name val="Arial Narrow"/>
      <family val="2"/>
    </font>
    <font>
      <sz val="10"/>
      <name val="Arial"/>
      <family val="2"/>
    </font>
    <font>
      <sz val="8"/>
      <color rgb="FF3B4A1E"/>
      <name val="Arial Narrow"/>
      <family val="2"/>
    </font>
    <font>
      <sz val="11"/>
      <name val="Arial Narrow"/>
      <family val="2"/>
    </font>
    <font>
      <b/>
      <sz val="8"/>
      <name val="Arial Narrow"/>
      <family val="2"/>
    </font>
    <font>
      <sz val="8"/>
      <name val="Arial Narrow"/>
      <family val="2"/>
    </font>
    <font>
      <sz val="8"/>
      <color theme="0" tint="-0.499984740745262"/>
      <name val="Arial Narrow"/>
      <family val="2"/>
    </font>
    <font>
      <sz val="8"/>
      <color theme="1"/>
      <name val="Arial Narrow"/>
      <family val="2"/>
    </font>
    <font>
      <b/>
      <vertAlign val="superscript"/>
      <sz val="8"/>
      <name val="Arial Narrow"/>
      <family val="2"/>
    </font>
    <font>
      <b/>
      <sz val="8"/>
      <color theme="0" tint="-0.499984740745262"/>
      <name val="Arial Narrow"/>
      <family val="2"/>
    </font>
    <font>
      <sz val="8"/>
      <color theme="0" tint="-0.249977111117893"/>
      <name val="Arial Narrow"/>
      <family val="2"/>
    </font>
    <font>
      <b/>
      <sz val="8"/>
      <color theme="0" tint="-0.249977111117893"/>
      <name val="Arial Narrow"/>
      <family val="2"/>
    </font>
    <font>
      <vertAlign val="superscript"/>
      <sz val="8"/>
      <name val="Arial Narrow"/>
      <family val="2"/>
    </font>
    <font>
      <b/>
      <sz val="11"/>
      <name val="Arial Narrow"/>
      <family val="2"/>
    </font>
    <font>
      <b/>
      <sz val="8"/>
      <color theme="1"/>
      <name val="Arial Narrow"/>
      <family val="2"/>
    </font>
    <font>
      <vertAlign val="superscript"/>
      <sz val="8"/>
      <color theme="1"/>
      <name val="Arial Narrow"/>
      <family val="2"/>
    </font>
    <font>
      <b/>
      <i/>
      <sz val="8"/>
      <name val="Helv"/>
    </font>
    <font>
      <sz val="11"/>
      <color rgb="FFFF0000"/>
      <name val="Arial Narrow"/>
      <family val="2"/>
    </font>
    <font>
      <sz val="11"/>
      <color theme="1"/>
      <name val="Arial Narrow"/>
      <family val="2"/>
    </font>
    <font>
      <b/>
      <sz val="11"/>
      <color rgb="FFFF0000"/>
      <name val="Arial Narrow"/>
      <family val="2"/>
    </font>
    <font>
      <b/>
      <sz val="11"/>
      <color theme="0"/>
      <name val="Arial Narrow"/>
      <family val="2"/>
    </font>
    <font>
      <b/>
      <sz val="11"/>
      <color theme="0" tint="-0.249977111117893"/>
      <name val="Arial Narrow"/>
      <family val="2"/>
    </font>
    <font>
      <sz val="11"/>
      <color theme="0" tint="-0.249977111117893"/>
      <name val="Arial Narrow"/>
      <family val="2"/>
    </font>
    <font>
      <b/>
      <sz val="11"/>
      <color theme="0" tint="-0.499984740745262"/>
      <name val="Arial Narrow"/>
      <family val="2"/>
    </font>
    <font>
      <sz val="11"/>
      <color theme="0" tint="-0.499984740745262"/>
      <name val="Arial Narrow"/>
      <family val="2"/>
    </font>
    <font>
      <b/>
      <vertAlign val="superscript"/>
      <sz val="11"/>
      <color theme="0" tint="-0.499984740745262"/>
      <name val="Arial Narrow"/>
      <family val="2"/>
    </font>
    <font>
      <vertAlign val="superscript"/>
      <sz val="8"/>
      <color theme="0" tint="-0.499984740745262"/>
      <name val="Arial Narrow"/>
      <family val="2"/>
    </font>
    <font>
      <b/>
      <strike/>
      <sz val="8"/>
      <color theme="0" tint="-0.249977111117893"/>
      <name val="Arial Narrow"/>
      <family val="2"/>
    </font>
    <font>
      <i/>
      <sz val="8"/>
      <color theme="1"/>
      <name val="Arial Narrow"/>
      <family val="2"/>
    </font>
    <font>
      <sz val="11"/>
      <color theme="9" tint="-0.499984740745262"/>
      <name val="Arial Narrow"/>
      <family val="2"/>
    </font>
    <font>
      <b/>
      <sz val="18"/>
      <color theme="9" tint="-0.499984740745262"/>
      <name val="Arial Narrow"/>
      <family val="2"/>
    </font>
    <font>
      <sz val="18"/>
      <color theme="9" tint="-0.499984740745262"/>
      <name val="Arial Narrow"/>
      <family val="2"/>
    </font>
    <font>
      <b/>
      <sz val="9"/>
      <color theme="9" tint="-0.499984740745262"/>
      <name val="Arial Narrow"/>
      <family val="2"/>
    </font>
    <font>
      <sz val="8"/>
      <color theme="9" tint="-0.499984740745262"/>
      <name val="Arial Narrow"/>
      <family val="2"/>
    </font>
    <font>
      <b/>
      <sz val="9"/>
      <color rgb="FF3B4A1E"/>
      <name val="Arial Narrow"/>
      <family val="2"/>
    </font>
    <font>
      <b/>
      <sz val="8"/>
      <color rgb="FF3B4A1E"/>
      <name val="Arial Narrow"/>
      <family val="2"/>
    </font>
    <font>
      <b/>
      <sz val="8"/>
      <color rgb="FFFF0000"/>
      <name val="Arial Narrow"/>
      <family val="2"/>
    </font>
    <font>
      <sz val="8"/>
      <color rgb="FFFF0000"/>
      <name val="Arial Narrow"/>
      <family val="2"/>
    </font>
    <font>
      <sz val="8"/>
      <color theme="0" tint="-0.34998626667073579"/>
      <name val="Arial Narrow"/>
      <family val="2"/>
    </font>
    <font>
      <sz val="11"/>
      <color theme="0" tint="-0.34998626667073579"/>
      <name val="Arial Narrow"/>
      <family val="2"/>
    </font>
    <font>
      <sz val="9"/>
      <name val="Arial"/>
      <family val="2"/>
    </font>
    <font>
      <sz val="8"/>
      <color rgb="FF000000"/>
      <name val="Arial Narrow"/>
      <family val="2"/>
    </font>
    <font>
      <b/>
      <sz val="8"/>
      <color rgb="FF000000"/>
      <name val="Arial Narrow"/>
      <family val="2"/>
    </font>
    <font>
      <b/>
      <sz val="11"/>
      <color theme="1"/>
      <name val="Arial Narrow"/>
      <family val="2"/>
    </font>
    <font>
      <vertAlign val="superscript"/>
      <sz val="11"/>
      <color theme="1"/>
      <name val="Arial Narrow"/>
      <family val="2"/>
    </font>
    <font>
      <b/>
      <vertAlign val="superscript"/>
      <sz val="11"/>
      <name val="Arial Narrow"/>
      <family val="2"/>
    </font>
    <font>
      <b/>
      <sz val="11"/>
      <color theme="0" tint="-0.34998626667073579"/>
      <name val="Arial Narrow"/>
      <family val="2"/>
    </font>
    <font>
      <b/>
      <vertAlign val="superscript"/>
      <sz val="11"/>
      <color theme="0" tint="-0.34998626667073579"/>
      <name val="Arial Narrow"/>
      <family val="2"/>
    </font>
    <font>
      <vertAlign val="superscript"/>
      <sz val="11"/>
      <name val="Arial Narrow"/>
      <family val="2"/>
    </font>
    <font>
      <sz val="11"/>
      <color rgb="FF000000"/>
      <name val="Arial Narrow"/>
      <family val="2"/>
    </font>
    <font>
      <sz val="11"/>
      <color indexed="8"/>
      <name val="Arial Narrow"/>
      <family val="2"/>
    </font>
    <font>
      <b/>
      <vertAlign val="superscript"/>
      <sz val="11"/>
      <color theme="1"/>
      <name val="Arial Narrow"/>
      <family val="2"/>
    </font>
  </fonts>
  <fills count="5">
    <fill>
      <patternFill patternType="none"/>
    </fill>
    <fill>
      <patternFill patternType="gray125"/>
    </fill>
    <fill>
      <patternFill patternType="solid">
        <fgColor rgb="FFE1FFE1"/>
        <bgColor indexed="64"/>
      </patternFill>
    </fill>
    <fill>
      <patternFill patternType="solid">
        <fgColor theme="0"/>
        <bgColor indexed="64"/>
      </patternFill>
    </fill>
    <fill>
      <patternFill patternType="solid">
        <fgColor rgb="FFFFFF00"/>
        <bgColor indexed="64"/>
      </patternFill>
    </fill>
  </fills>
  <borders count="47">
    <border>
      <left/>
      <right/>
      <top/>
      <bottom/>
      <diagonal/>
    </border>
    <border>
      <left/>
      <right style="thick">
        <color rgb="FF3B4A1E"/>
      </right>
      <top style="thin">
        <color rgb="FF3B4A1E"/>
      </top>
      <bottom/>
      <diagonal/>
    </border>
    <border>
      <left/>
      <right/>
      <top style="thin">
        <color auto="1"/>
      </top>
      <bottom/>
      <diagonal/>
    </border>
    <border>
      <left/>
      <right style="thick">
        <color rgb="FF3B4A1E"/>
      </right>
      <top/>
      <bottom/>
      <diagonal/>
    </border>
    <border>
      <left/>
      <right/>
      <top/>
      <bottom style="thin">
        <color rgb="FF3B4A1E"/>
      </bottom>
      <diagonal/>
    </border>
    <border>
      <left/>
      <right style="thick">
        <color rgb="FF3B4A1E"/>
      </right>
      <top/>
      <bottom style="thin">
        <color indexed="64"/>
      </bottom>
      <diagonal/>
    </border>
    <border>
      <left/>
      <right/>
      <top/>
      <bottom style="thin">
        <color indexed="64"/>
      </bottom>
      <diagonal/>
    </border>
    <border>
      <left/>
      <right/>
      <top style="thin">
        <color auto="1"/>
      </top>
      <bottom style="thin">
        <color auto="1"/>
      </bottom>
      <diagonal/>
    </border>
    <border>
      <left/>
      <right style="thick">
        <color indexed="64"/>
      </right>
      <top style="thin">
        <color indexed="64"/>
      </top>
      <bottom/>
      <diagonal/>
    </border>
    <border>
      <left/>
      <right style="thick">
        <color indexed="64"/>
      </right>
      <top/>
      <bottom/>
      <diagonal/>
    </border>
    <border>
      <left style="thick">
        <color indexed="64"/>
      </left>
      <right/>
      <top/>
      <bottom/>
      <diagonal/>
    </border>
    <border>
      <left/>
      <right style="thick">
        <color auto="1"/>
      </right>
      <top/>
      <bottom style="thin">
        <color auto="1"/>
      </bottom>
      <diagonal/>
    </border>
    <border>
      <left style="thick">
        <color indexed="64"/>
      </left>
      <right/>
      <top/>
      <bottom style="thin">
        <color auto="1"/>
      </bottom>
      <diagonal/>
    </border>
    <border>
      <left/>
      <right style="thick">
        <color auto="1"/>
      </right>
      <top style="thin">
        <color rgb="FF3B4A1E"/>
      </top>
      <bottom/>
      <diagonal/>
    </border>
    <border>
      <left/>
      <right style="thick">
        <color theme="9" tint="-0.499984740745262"/>
      </right>
      <top/>
      <bottom/>
      <diagonal/>
    </border>
    <border>
      <left/>
      <right/>
      <top style="thin">
        <color rgb="FF3B4A1E"/>
      </top>
      <bottom style="thin">
        <color rgb="FF3B4A1E"/>
      </bottom>
      <diagonal/>
    </border>
    <border>
      <left/>
      <right/>
      <top/>
      <bottom style="thin">
        <color theme="9" tint="-0.499984740745262"/>
      </bottom>
      <diagonal/>
    </border>
    <border>
      <left/>
      <right style="thick">
        <color rgb="FF3B4A1E"/>
      </right>
      <top/>
      <bottom style="thin">
        <color theme="9" tint="-0.499984740745262"/>
      </bottom>
      <diagonal/>
    </border>
    <border>
      <left style="thick">
        <color rgb="FF3B4A1E"/>
      </left>
      <right/>
      <top/>
      <bottom style="thin">
        <color auto="1"/>
      </bottom>
      <diagonal/>
    </border>
    <border>
      <left/>
      <right/>
      <top style="thin">
        <color auto="1"/>
      </top>
      <bottom style="thin">
        <color theme="9" tint="-0.499984740745262"/>
      </bottom>
      <diagonal/>
    </border>
    <border>
      <left style="thick">
        <color rgb="FF3B4A1E"/>
      </left>
      <right/>
      <top/>
      <bottom/>
      <diagonal/>
    </border>
    <border>
      <left style="thick">
        <color rgb="FF3B4A1E"/>
      </left>
      <right/>
      <top style="thin">
        <color rgb="FF3B4A1E"/>
      </top>
      <bottom style="thin">
        <color rgb="FF3B4A1E"/>
      </bottom>
      <diagonal/>
    </border>
    <border>
      <left/>
      <right/>
      <top style="thin">
        <color theme="9" tint="-0.499984740745262"/>
      </top>
      <bottom style="thin">
        <color theme="9" tint="-0.499984740745262"/>
      </bottom>
      <diagonal/>
    </border>
    <border>
      <left/>
      <right/>
      <top style="thin">
        <color theme="9" tint="-0.499984740745262"/>
      </top>
      <bottom style="thin">
        <color indexed="64"/>
      </bottom>
      <diagonal/>
    </border>
    <border>
      <left/>
      <right/>
      <top style="thin">
        <color theme="9" tint="-0.499984740745262"/>
      </top>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style="thin">
        <color theme="9" tint="-0.499984740745262"/>
      </top>
      <bottom/>
      <diagonal/>
    </border>
    <border>
      <left/>
      <right style="thick">
        <color theme="9" tint="-0.499984740745262"/>
      </right>
      <top/>
      <bottom style="thin">
        <color theme="9" tint="-0.499984740745262"/>
      </bottom>
      <diagonal/>
    </border>
    <border>
      <left/>
      <right style="thick">
        <color rgb="FF3B4A1E"/>
      </right>
      <top style="thin">
        <color theme="9" tint="-0.499984740745262"/>
      </top>
      <bottom style="thin">
        <color theme="9" tint="-0.499984740745262"/>
      </bottom>
      <diagonal/>
    </border>
    <border>
      <left style="thick">
        <color rgb="FF3B4A1E"/>
      </left>
      <right/>
      <top style="thin">
        <color theme="9" tint="-0.499984740745262"/>
      </top>
      <bottom/>
      <diagonal/>
    </border>
    <border>
      <left style="thick">
        <color rgb="FF3B4A1E"/>
      </left>
      <right/>
      <top/>
      <bottom style="thin">
        <color theme="9" tint="-0.499984740745262"/>
      </bottom>
      <diagonal/>
    </border>
    <border>
      <left/>
      <right style="thick">
        <color theme="9" tint="-0.499984740745262"/>
      </right>
      <top/>
      <bottom style="thin">
        <color indexed="64"/>
      </bottom>
      <diagonal/>
    </border>
    <border>
      <left style="thick">
        <color theme="9" tint="-0.499984740745262"/>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indexed="64"/>
      </bottom>
      <diagonal/>
    </border>
    <border>
      <left style="thin">
        <color theme="0"/>
      </left>
      <right style="thin">
        <color theme="0"/>
      </right>
      <top/>
      <bottom style="thin">
        <color theme="0"/>
      </bottom>
      <diagonal/>
    </border>
    <border>
      <left/>
      <right style="thick">
        <color theme="9" tint="-0.499984740745262"/>
      </right>
      <top style="thin">
        <color theme="0"/>
      </top>
      <bottom style="thin">
        <color theme="0"/>
      </bottom>
      <diagonal/>
    </border>
    <border>
      <left/>
      <right/>
      <top style="thin">
        <color theme="0"/>
      </top>
      <bottom style="thin">
        <color theme="0"/>
      </bottom>
      <diagonal/>
    </border>
    <border>
      <left/>
      <right style="thick">
        <color theme="9" tint="-0.499984740745262"/>
      </right>
      <top style="thin">
        <color theme="0"/>
      </top>
      <bottom/>
      <diagonal/>
    </border>
    <border>
      <left/>
      <right/>
      <top style="thin">
        <color theme="0"/>
      </top>
      <bottom/>
      <diagonal/>
    </border>
    <border>
      <left/>
      <right style="thick">
        <color theme="9" tint="-0.499984740745262"/>
      </right>
      <top/>
      <bottom style="thin">
        <color theme="0"/>
      </bottom>
      <diagonal/>
    </border>
    <border>
      <left/>
      <right/>
      <top/>
      <bottom style="thin">
        <color theme="0"/>
      </bottom>
      <diagonal/>
    </border>
    <border>
      <left style="thin">
        <color theme="0"/>
      </left>
      <right style="thin">
        <color theme="0"/>
      </right>
      <top/>
      <bottom style="thin">
        <color theme="9" tint="-0.499984740745262"/>
      </bottom>
      <diagonal/>
    </border>
    <border>
      <left style="thin">
        <color theme="0"/>
      </left>
      <right style="thin">
        <color theme="0"/>
      </right>
      <top style="thin">
        <color theme="0"/>
      </top>
      <bottom style="thin">
        <color theme="9" tint="-0.499984740745262"/>
      </bottom>
      <diagonal/>
    </border>
  </borders>
  <cellStyleXfs count="24">
    <xf numFmtId="0" fontId="0" fillId="0" borderId="0"/>
    <xf numFmtId="0" fontId="4" fillId="0" borderId="0"/>
    <xf numFmtId="0" fontId="3" fillId="0" borderId="0"/>
    <xf numFmtId="0" fontId="8" fillId="0" borderId="0"/>
    <xf numFmtId="0" fontId="8" fillId="0" borderId="0" applyProtection="0"/>
    <xf numFmtId="0" fontId="8" fillId="0" borderId="0"/>
    <xf numFmtId="0" fontId="8" fillId="0" borderId="0"/>
    <xf numFmtId="0" fontId="8" fillId="0" borderId="0"/>
    <xf numFmtId="0" fontId="8" fillId="0" borderId="0"/>
    <xf numFmtId="0" fontId="8" fillId="0" borderId="0"/>
    <xf numFmtId="0" fontId="12" fillId="0" borderId="0"/>
    <xf numFmtId="0" fontId="8" fillId="0" borderId="0" applyProtection="0"/>
    <xf numFmtId="0" fontId="8" fillId="0" borderId="0"/>
    <xf numFmtId="0" fontId="8" fillId="0" borderId="0"/>
    <xf numFmtId="0" fontId="8" fillId="0" borderId="0"/>
    <xf numFmtId="0" fontId="3" fillId="0" borderId="0"/>
    <xf numFmtId="0" fontId="12" fillId="0" borderId="0"/>
    <xf numFmtId="0" fontId="8" fillId="0" borderId="0"/>
    <xf numFmtId="0" fontId="23" fillId="0" borderId="6" applyBorder="0"/>
    <xf numFmtId="0" fontId="8" fillId="0" borderId="0"/>
    <xf numFmtId="0" fontId="8" fillId="0" borderId="0"/>
    <xf numFmtId="0" fontId="3" fillId="0" borderId="0"/>
    <xf numFmtId="0" fontId="8" fillId="0" borderId="0"/>
    <xf numFmtId="0" fontId="8" fillId="0" borderId="0"/>
  </cellStyleXfs>
  <cellXfs count="1187">
    <xf numFmtId="0" fontId="0" fillId="0" borderId="0" xfId="0"/>
    <xf numFmtId="0" fontId="7" fillId="0" borderId="0" xfId="2" applyFont="1"/>
    <xf numFmtId="0" fontId="10" fillId="0" borderId="0" xfId="2" applyFont="1"/>
    <xf numFmtId="0" fontId="10" fillId="0" borderId="0" xfId="2" applyFont="1" applyAlignment="1">
      <alignment horizontal="right"/>
    </xf>
    <xf numFmtId="0" fontId="12" fillId="0" borderId="0" xfId="2" applyFont="1"/>
    <xf numFmtId="3" fontId="11" fillId="0" borderId="0" xfId="2" applyNumberFormat="1" applyFont="1"/>
    <xf numFmtId="0" fontId="11" fillId="0" borderId="0" xfId="2" applyFont="1"/>
    <xf numFmtId="3" fontId="12" fillId="3" borderId="0" xfId="2" applyNumberFormat="1" applyFont="1" applyFill="1" applyAlignment="1">
      <alignment horizontal="right" vertical="center"/>
    </xf>
    <xf numFmtId="0" fontId="12" fillId="3" borderId="0" xfId="0" applyFont="1" applyFill="1"/>
    <xf numFmtId="0" fontId="13" fillId="3" borderId="0" xfId="2" applyFont="1" applyFill="1" applyAlignment="1">
      <alignment horizontal="right" vertical="center"/>
    </xf>
    <xf numFmtId="0" fontId="13" fillId="3" borderId="0" xfId="2" applyFont="1" applyFill="1" applyAlignment="1">
      <alignment vertical="center"/>
    </xf>
    <xf numFmtId="0" fontId="12" fillId="3" borderId="0" xfId="2" applyFont="1" applyFill="1" applyAlignment="1">
      <alignment vertical="center"/>
    </xf>
    <xf numFmtId="3" fontId="12" fillId="3" borderId="0" xfId="2" applyNumberFormat="1" applyFont="1" applyFill="1"/>
    <xf numFmtId="3" fontId="12" fillId="3" borderId="0" xfId="2" applyNumberFormat="1" applyFont="1" applyFill="1" applyAlignment="1">
      <alignment vertical="center"/>
    </xf>
    <xf numFmtId="0" fontId="17" fillId="0" borderId="0" xfId="2" applyFont="1"/>
    <xf numFmtId="0" fontId="12" fillId="0" borderId="0" xfId="0" applyFont="1"/>
    <xf numFmtId="167" fontId="12" fillId="0" borderId="0" xfId="0" applyNumberFormat="1" applyFont="1" applyAlignment="1">
      <alignment horizontal="right" vertical="center"/>
    </xf>
    <xf numFmtId="167" fontId="12" fillId="0" borderId="0" xfId="9" applyNumberFormat="1" applyFont="1" applyAlignment="1">
      <alignment vertical="center"/>
    </xf>
    <xf numFmtId="167" fontId="12" fillId="0" borderId="0" xfId="9" applyNumberFormat="1" applyFont="1" applyAlignment="1">
      <alignment horizontal="left" vertical="center"/>
    </xf>
    <xf numFmtId="0" fontId="12" fillId="0" borderId="0" xfId="0" applyFont="1" applyAlignment="1">
      <alignment vertical="center"/>
    </xf>
    <xf numFmtId="167" fontId="11" fillId="0" borderId="0" xfId="0" applyNumberFormat="1" applyFont="1" applyAlignment="1">
      <alignment horizontal="right" vertical="center"/>
    </xf>
    <xf numFmtId="167" fontId="11" fillId="0" borderId="0" xfId="9" applyNumberFormat="1" applyFont="1" applyAlignment="1">
      <alignment horizontal="left" vertical="center"/>
    </xf>
    <xf numFmtId="167" fontId="12" fillId="0" borderId="0" xfId="9" applyNumberFormat="1" applyFont="1" applyAlignment="1">
      <alignment horizontal="left" vertical="top"/>
    </xf>
    <xf numFmtId="0" fontId="7" fillId="0" borderId="0" xfId="0" applyFont="1" applyAlignment="1">
      <alignment horizontal="left" indent="3"/>
    </xf>
    <xf numFmtId="0" fontId="7" fillId="0" borderId="0" xfId="0" applyFont="1" applyAlignment="1">
      <alignment horizontal="left" vertical="center"/>
    </xf>
    <xf numFmtId="0" fontId="12" fillId="0" borderId="0" xfId="14" applyFont="1" applyAlignment="1">
      <alignment horizontal="left" vertical="center"/>
    </xf>
    <xf numFmtId="14" fontId="12" fillId="3" borderId="0" xfId="14" applyNumberFormat="1" applyFont="1" applyFill="1" applyAlignment="1">
      <alignment horizontal="right" vertical="center"/>
    </xf>
    <xf numFmtId="0" fontId="12" fillId="3" borderId="0" xfId="14" applyFont="1" applyFill="1" applyAlignment="1">
      <alignment horizontal="right" vertical="center"/>
    </xf>
    <xf numFmtId="0" fontId="12" fillId="3" borderId="0" xfId="14" applyFont="1" applyFill="1" applyAlignment="1">
      <alignment vertical="center"/>
    </xf>
    <xf numFmtId="3" fontId="12" fillId="0" borderId="0" xfId="0" applyNumberFormat="1" applyFont="1" applyAlignment="1">
      <alignment horizontal="right"/>
    </xf>
    <xf numFmtId="0" fontId="12" fillId="0" borderId="0" xfId="0" applyFont="1" applyAlignment="1">
      <alignment horizontal="right"/>
    </xf>
    <xf numFmtId="0" fontId="6" fillId="0" borderId="0" xfId="0" applyFont="1" applyAlignment="1">
      <alignment vertical="center"/>
    </xf>
    <xf numFmtId="0" fontId="20" fillId="0" borderId="0" xfId="0" applyFont="1" applyAlignment="1">
      <alignment horizontal="left"/>
    </xf>
    <xf numFmtId="0" fontId="7" fillId="0" borderId="0" xfId="0" applyFont="1" applyAlignment="1">
      <alignment horizontal="left"/>
    </xf>
    <xf numFmtId="0" fontId="10" fillId="0" borderId="0" xfId="0" applyFont="1"/>
    <xf numFmtId="3" fontId="12" fillId="0" borderId="0" xfId="0" applyNumberFormat="1" applyFont="1" applyAlignment="1">
      <alignment vertical="center"/>
    </xf>
    <xf numFmtId="0" fontId="24" fillId="0" borderId="0" xfId="0" applyFont="1"/>
    <xf numFmtId="0" fontId="6" fillId="0" borderId="0" xfId="19" applyFont="1" applyAlignment="1">
      <alignment vertical="center"/>
    </xf>
    <xf numFmtId="0" fontId="24" fillId="0" borderId="0" xfId="0" applyFont="1" applyAlignment="1">
      <alignment vertical="center"/>
    </xf>
    <xf numFmtId="0" fontId="25" fillId="0" borderId="0" xfId="0" applyFont="1"/>
    <xf numFmtId="0" fontId="24" fillId="0" borderId="4" xfId="0" applyFont="1" applyBorder="1"/>
    <xf numFmtId="0" fontId="25" fillId="0" borderId="0" xfId="0" applyFont="1" applyAlignment="1">
      <alignment wrapText="1"/>
    </xf>
    <xf numFmtId="3" fontId="25" fillId="0" borderId="0" xfId="0" applyNumberFormat="1" applyFont="1"/>
    <xf numFmtId="169" fontId="10" fillId="3" borderId="0" xfId="10" applyNumberFormat="1" applyFont="1" applyFill="1" applyAlignment="1">
      <alignment vertical="center"/>
    </xf>
    <xf numFmtId="0" fontId="12" fillId="3" borderId="0" xfId="10" applyFill="1"/>
    <xf numFmtId="0" fontId="6" fillId="0" borderId="0" xfId="13" applyFont="1" applyAlignment="1">
      <alignment vertical="center"/>
    </xf>
    <xf numFmtId="0" fontId="12" fillId="0" borderId="0" xfId="10"/>
    <xf numFmtId="169" fontId="6" fillId="0" borderId="0" xfId="10" applyNumberFormat="1" applyFont="1" applyAlignment="1">
      <alignment vertical="center"/>
    </xf>
    <xf numFmtId="0" fontId="10" fillId="0" borderId="0" xfId="20" applyFont="1" applyAlignment="1">
      <alignment vertical="center"/>
    </xf>
    <xf numFmtId="0" fontId="10" fillId="0" borderId="0" xfId="19" applyFont="1"/>
    <xf numFmtId="1" fontId="10" fillId="0" borderId="0" xfId="19" applyNumberFormat="1" applyFont="1"/>
    <xf numFmtId="0" fontId="24" fillId="0" borderId="0" xfId="18" applyFont="1" applyBorder="1" applyAlignment="1">
      <alignment horizontal="center" vertical="center"/>
    </xf>
    <xf numFmtId="183" fontId="26" fillId="0" borderId="0" xfId="0" applyNumberFormat="1" applyFont="1" applyAlignment="1">
      <alignment horizontal="right" vertical="center"/>
    </xf>
    <xf numFmtId="49" fontId="26" fillId="2" borderId="1" xfId="17" applyNumberFormat="1" applyFont="1" applyFill="1" applyBorder="1" applyAlignment="1">
      <alignment horizontal="center" vertical="center" wrapText="1"/>
    </xf>
    <xf numFmtId="49" fontId="26" fillId="2" borderId="21" xfId="17" applyNumberFormat="1" applyFont="1" applyFill="1" applyBorder="1" applyAlignment="1">
      <alignment horizontal="right" vertical="center" wrapText="1"/>
    </xf>
    <xf numFmtId="49" fontId="26" fillId="2" borderId="15" xfId="17" applyNumberFormat="1" applyFont="1" applyFill="1" applyBorder="1" applyAlignment="1">
      <alignment horizontal="right" vertical="center" wrapText="1"/>
    </xf>
    <xf numFmtId="49" fontId="26" fillId="0" borderId="3" xfId="17" applyNumberFormat="1" applyFont="1" applyBorder="1" applyAlignment="1">
      <alignment horizontal="center" vertical="center" wrapText="1"/>
    </xf>
    <xf numFmtId="49" fontId="26" fillId="0" borderId="20" xfId="17" applyNumberFormat="1" applyFont="1" applyBorder="1" applyAlignment="1">
      <alignment horizontal="right" vertical="center" wrapText="1"/>
    </xf>
    <xf numFmtId="49" fontId="26" fillId="0" borderId="0" xfId="17" applyNumberFormat="1" applyFont="1" applyAlignment="1">
      <alignment horizontal="right" vertical="center" wrapText="1"/>
    </xf>
    <xf numFmtId="0" fontId="26" fillId="2" borderId="3" xfId="17" applyFont="1" applyFill="1" applyBorder="1" applyAlignment="1">
      <alignment vertical="center"/>
    </xf>
    <xf numFmtId="183" fontId="26" fillId="2" borderId="20" xfId="0" applyNumberFormat="1" applyFont="1" applyFill="1" applyBorder="1" applyAlignment="1">
      <alignment horizontal="right" vertical="center"/>
    </xf>
    <xf numFmtId="183" fontId="26" fillId="2" borderId="0" xfId="0" applyNumberFormat="1" applyFont="1" applyFill="1" applyAlignment="1">
      <alignment horizontal="right" vertical="center"/>
    </xf>
    <xf numFmtId="0" fontId="24" fillId="0" borderId="3" xfId="17" applyFont="1" applyBorder="1" applyAlignment="1">
      <alignment vertical="center"/>
    </xf>
    <xf numFmtId="183" fontId="24" fillId="0" borderId="20" xfId="0" applyNumberFormat="1" applyFont="1" applyBorder="1" applyAlignment="1">
      <alignment horizontal="right" vertical="center"/>
    </xf>
    <xf numFmtId="183" fontId="24" fillId="0" borderId="0" xfId="0" applyNumberFormat="1" applyFont="1" applyAlignment="1">
      <alignment horizontal="right" vertical="center"/>
    </xf>
    <xf numFmtId="0" fontId="24" fillId="0" borderId="5" xfId="17" applyFont="1" applyBorder="1" applyAlignment="1">
      <alignment vertical="center"/>
    </xf>
    <xf numFmtId="183" fontId="24" fillId="0" borderId="18" xfId="0" applyNumberFormat="1" applyFont="1" applyBorder="1" applyAlignment="1">
      <alignment horizontal="right" vertical="center"/>
    </xf>
    <xf numFmtId="183" fontId="24" fillId="0" borderId="6" xfId="0" applyNumberFormat="1" applyFont="1" applyBorder="1" applyAlignment="1">
      <alignment horizontal="right" vertical="center"/>
    </xf>
    <xf numFmtId="3" fontId="24" fillId="0" borderId="0" xfId="0" applyNumberFormat="1" applyFont="1" applyAlignment="1">
      <alignment vertical="center"/>
    </xf>
    <xf numFmtId="0" fontId="26" fillId="0" borderId="0" xfId="0" applyFont="1" applyAlignment="1">
      <alignment horizontal="right" vertical="center"/>
    </xf>
    <xf numFmtId="3" fontId="10" fillId="0" borderId="0" xfId="0" applyNumberFormat="1" applyFont="1" applyAlignment="1">
      <alignment vertical="center"/>
    </xf>
    <xf numFmtId="0" fontId="10" fillId="0" borderId="0" xfId="0" applyFont="1" applyAlignment="1">
      <alignment vertical="center"/>
    </xf>
    <xf numFmtId="0" fontId="6" fillId="0" borderId="0" xfId="18" applyFont="1" applyBorder="1" applyAlignment="1">
      <alignment horizontal="center" vertical="center"/>
    </xf>
    <xf numFmtId="183" fontId="20" fillId="0" borderId="0" xfId="0" applyNumberFormat="1" applyFont="1" applyAlignment="1">
      <alignment horizontal="right" vertical="center"/>
    </xf>
    <xf numFmtId="3" fontId="24" fillId="0" borderId="4" xfId="0" applyNumberFormat="1" applyFont="1" applyBorder="1" applyAlignment="1">
      <alignment vertical="center"/>
    </xf>
    <xf numFmtId="0" fontId="24" fillId="0" borderId="4" xfId="0" applyFont="1" applyBorder="1" applyAlignment="1">
      <alignment vertical="center"/>
    </xf>
    <xf numFmtId="3" fontId="26" fillId="2" borderId="1" xfId="0" applyNumberFormat="1" applyFont="1" applyFill="1" applyBorder="1" applyAlignment="1">
      <alignment horizontal="center" vertical="center" wrapText="1"/>
    </xf>
    <xf numFmtId="0" fontId="26" fillId="2" borderId="15" xfId="0" applyFont="1" applyFill="1" applyBorder="1" applyAlignment="1">
      <alignment horizontal="right" vertical="center" wrapText="1"/>
    </xf>
    <xf numFmtId="0" fontId="24" fillId="0" borderId="3" xfId="0" applyFont="1" applyBorder="1" applyAlignment="1">
      <alignment horizontal="center" vertical="center" wrapText="1"/>
    </xf>
    <xf numFmtId="0" fontId="26" fillId="0" borderId="0" xfId="0" applyFont="1" applyAlignment="1">
      <alignment horizontal="right" vertical="center" wrapText="1"/>
    </xf>
    <xf numFmtId="3" fontId="26" fillId="2" borderId="3" xfId="0" applyNumberFormat="1" applyFont="1" applyFill="1" applyBorder="1" applyAlignment="1">
      <alignment vertical="center"/>
    </xf>
    <xf numFmtId="3" fontId="24" fillId="0" borderId="3" xfId="0" applyNumberFormat="1" applyFont="1" applyBorder="1" applyAlignment="1">
      <alignment horizontal="left" vertical="center" indent="1"/>
    </xf>
    <xf numFmtId="3" fontId="24" fillId="0" borderId="5" xfId="0" applyNumberFormat="1" applyFont="1" applyBorder="1" applyAlignment="1">
      <alignment horizontal="left" vertical="center" indent="1"/>
    </xf>
    <xf numFmtId="3" fontId="24" fillId="0" borderId="0" xfId="0" applyNumberFormat="1" applyFont="1" applyAlignment="1">
      <alignment horizontal="center" vertical="center"/>
    </xf>
    <xf numFmtId="3" fontId="6" fillId="0" borderId="0" xfId="0" applyNumberFormat="1" applyFont="1" applyAlignment="1">
      <alignment horizontal="right" vertical="center"/>
    </xf>
    <xf numFmtId="0" fontId="6" fillId="0" borderId="0" xfId="0" applyFont="1" applyAlignment="1">
      <alignment horizontal="center" vertical="center"/>
    </xf>
    <xf numFmtId="0" fontId="25" fillId="3" borderId="0" xfId="0" applyFont="1" applyFill="1"/>
    <xf numFmtId="169" fontId="6" fillId="0" borderId="0" xfId="10" applyNumberFormat="1" applyFont="1" applyAlignment="1">
      <alignment horizontal="right" vertical="center"/>
    </xf>
    <xf numFmtId="169" fontId="10" fillId="0" borderId="0" xfId="10" applyNumberFormat="1" applyFont="1"/>
    <xf numFmtId="169" fontId="10" fillId="0" borderId="0" xfId="10" applyNumberFormat="1" applyFont="1" applyAlignment="1">
      <alignment horizontal="right"/>
    </xf>
    <xf numFmtId="177" fontId="10" fillId="0" borderId="0" xfId="10" applyNumberFormat="1" applyFont="1" applyAlignment="1">
      <alignment horizontal="right"/>
    </xf>
    <xf numFmtId="0" fontId="10" fillId="0" borderId="0" xfId="13" applyFont="1" applyAlignment="1">
      <alignment vertical="center"/>
    </xf>
    <xf numFmtId="182" fontId="10" fillId="0" borderId="0" xfId="13" applyNumberFormat="1" applyFont="1" applyAlignment="1">
      <alignment horizontal="center" vertical="center"/>
    </xf>
    <xf numFmtId="0" fontId="10" fillId="3" borderId="0" xfId="0" applyFont="1" applyFill="1"/>
    <xf numFmtId="0" fontId="10" fillId="0" borderId="0" xfId="0" applyFont="1" applyAlignment="1">
      <alignment horizontal="right"/>
    </xf>
    <xf numFmtId="0" fontId="10" fillId="0" borderId="0" xfId="3" applyFont="1" applyAlignment="1">
      <alignment vertical="top"/>
    </xf>
    <xf numFmtId="2" fontId="10" fillId="0" borderId="0" xfId="3" applyNumberFormat="1" applyFont="1" applyAlignment="1">
      <alignment horizontal="right" vertical="center"/>
    </xf>
    <xf numFmtId="165" fontId="10" fillId="0" borderId="0" xfId="3" applyNumberFormat="1" applyFont="1" applyAlignment="1">
      <alignment horizontal="right" vertical="center"/>
    </xf>
    <xf numFmtId="0" fontId="10" fillId="0" borderId="0" xfId="13" applyFont="1"/>
    <xf numFmtId="0" fontId="10" fillId="0" borderId="0" xfId="13" applyFont="1" applyAlignment="1">
      <alignment horizontal="right"/>
    </xf>
    <xf numFmtId="0" fontId="10" fillId="3" borderId="0" xfId="10" applyFont="1" applyFill="1"/>
    <xf numFmtId="0" fontId="20" fillId="0" borderId="0" xfId="7" applyFont="1" applyAlignment="1">
      <alignment horizontal="right" vertical="center"/>
    </xf>
    <xf numFmtId="0" fontId="10" fillId="0" borderId="0" xfId="10" applyFont="1"/>
    <xf numFmtId="0" fontId="10" fillId="0" borderId="0" xfId="13" applyFont="1" applyAlignment="1">
      <alignment horizontal="center"/>
    </xf>
    <xf numFmtId="49" fontId="20" fillId="0" borderId="0" xfId="9" applyNumberFormat="1" applyFont="1" applyAlignment="1">
      <alignment vertical="center"/>
    </xf>
    <xf numFmtId="49" fontId="10" fillId="0" borderId="0" xfId="9" applyNumberFormat="1" applyFont="1" applyAlignment="1">
      <alignment vertical="center"/>
    </xf>
    <xf numFmtId="0" fontId="10" fillId="0" borderId="0" xfId="9" applyFont="1" applyAlignment="1">
      <alignment vertical="center"/>
    </xf>
    <xf numFmtId="1" fontId="20" fillId="0" borderId="0" xfId="9" applyNumberFormat="1" applyFont="1" applyAlignment="1">
      <alignment horizontal="right" vertical="center"/>
    </xf>
    <xf numFmtId="175" fontId="10" fillId="0" borderId="0" xfId="13" applyNumberFormat="1" applyFont="1"/>
    <xf numFmtId="166" fontId="20" fillId="0" borderId="0" xfId="9" applyNumberFormat="1" applyFont="1" applyAlignment="1">
      <alignment horizontal="right" vertical="center"/>
    </xf>
    <xf numFmtId="169" fontId="10" fillId="0" borderId="0" xfId="9" applyNumberFormat="1" applyFont="1" applyAlignment="1">
      <alignment vertical="center"/>
    </xf>
    <xf numFmtId="2" fontId="10" fillId="0" borderId="0" xfId="10" applyNumberFormat="1" applyFont="1"/>
    <xf numFmtId="4" fontId="10" fillId="0" borderId="0" xfId="9" applyNumberFormat="1" applyFont="1" applyAlignment="1">
      <alignment horizontal="right" vertical="center"/>
    </xf>
    <xf numFmtId="169" fontId="6" fillId="0" borderId="0" xfId="12" applyNumberFormat="1" applyFont="1" applyAlignment="1">
      <alignment horizontal="center" vertical="center"/>
    </xf>
    <xf numFmtId="0" fontId="20" fillId="0" borderId="0" xfId="10" applyFont="1" applyAlignment="1">
      <alignment horizontal="center" vertical="center"/>
    </xf>
    <xf numFmtId="0" fontId="10" fillId="0" borderId="0" xfId="10" applyFont="1" applyAlignment="1">
      <alignment horizontal="center" vertical="center"/>
    </xf>
    <xf numFmtId="0" fontId="10" fillId="0" borderId="0" xfId="9" applyFont="1" applyAlignment="1">
      <alignment horizontal="center" vertical="center"/>
    </xf>
    <xf numFmtId="167" fontId="20" fillId="0" borderId="0" xfId="9" applyNumberFormat="1" applyFont="1" applyAlignment="1">
      <alignment horizontal="center" vertical="center" wrapText="1"/>
    </xf>
    <xf numFmtId="167" fontId="20" fillId="0" borderId="0" xfId="10" applyNumberFormat="1" applyFont="1"/>
    <xf numFmtId="167" fontId="20" fillId="0" borderId="0" xfId="10" applyNumberFormat="1" applyFont="1" applyAlignment="1">
      <alignment horizontal="right"/>
    </xf>
    <xf numFmtId="14" fontId="20" fillId="0" borderId="0" xfId="10" applyNumberFormat="1" applyFont="1" applyAlignment="1">
      <alignment horizontal="right"/>
    </xf>
    <xf numFmtId="167" fontId="27" fillId="0" borderId="0" xfId="10" applyNumberFormat="1" applyFont="1" applyAlignment="1">
      <alignment horizontal="right"/>
    </xf>
    <xf numFmtId="14" fontId="20" fillId="0" borderId="0" xfId="9" applyNumberFormat="1" applyFont="1" applyAlignment="1">
      <alignment horizontal="right" vertical="center"/>
    </xf>
    <xf numFmtId="14" fontId="10" fillId="0" borderId="0" xfId="10" applyNumberFormat="1" applyFont="1" applyAlignment="1">
      <alignment horizontal="right"/>
    </xf>
    <xf numFmtId="167" fontId="10" fillId="0" borderId="0" xfId="9" applyNumberFormat="1" applyFont="1" applyAlignment="1">
      <alignment horizontal="left" vertical="center"/>
    </xf>
    <xf numFmtId="167" fontId="10" fillId="0" borderId="0" xfId="9" applyNumberFormat="1" applyFont="1" applyAlignment="1">
      <alignment horizontal="left" vertical="top"/>
    </xf>
    <xf numFmtId="167" fontId="10" fillId="0" borderId="0" xfId="9" applyNumberFormat="1" applyFont="1" applyAlignment="1">
      <alignment vertical="center"/>
    </xf>
    <xf numFmtId="14" fontId="10" fillId="3" borderId="0" xfId="9" applyNumberFormat="1" applyFont="1" applyFill="1" applyAlignment="1">
      <alignment horizontal="right" vertical="center"/>
    </xf>
    <xf numFmtId="167" fontId="10" fillId="0" borderId="0" xfId="0" applyNumberFormat="1" applyFont="1" applyAlignment="1">
      <alignment horizontal="right" vertical="center"/>
    </xf>
    <xf numFmtId="167" fontId="20" fillId="0" borderId="0" xfId="0" applyNumberFormat="1" applyFont="1" applyAlignment="1">
      <alignment horizontal="right" vertical="center"/>
    </xf>
    <xf numFmtId="14" fontId="10" fillId="0" borderId="0" xfId="9" applyNumberFormat="1" applyFont="1" applyAlignment="1">
      <alignment horizontal="right" vertical="center"/>
    </xf>
    <xf numFmtId="167" fontId="10" fillId="0" borderId="0" xfId="9" applyNumberFormat="1" applyFont="1" applyAlignment="1">
      <alignment horizontal="right" vertical="center"/>
    </xf>
    <xf numFmtId="2" fontId="10" fillId="0" borderId="0" xfId="0" applyNumberFormat="1" applyFont="1"/>
    <xf numFmtId="167" fontId="10" fillId="0" borderId="0" xfId="9" applyNumberFormat="1" applyFont="1" applyAlignment="1">
      <alignment vertical="center" wrapText="1"/>
    </xf>
    <xf numFmtId="167" fontId="10" fillId="0" borderId="0" xfId="0" applyNumberFormat="1" applyFont="1" applyAlignment="1">
      <alignment horizontal="right" vertical="top"/>
    </xf>
    <xf numFmtId="167" fontId="10" fillId="0" borderId="0" xfId="9" applyNumberFormat="1" applyFont="1" applyAlignment="1">
      <alignment wrapText="1"/>
    </xf>
    <xf numFmtId="167" fontId="10" fillId="0" borderId="0" xfId="9" applyNumberFormat="1" applyFont="1" applyAlignment="1">
      <alignment vertical="top"/>
    </xf>
    <xf numFmtId="14" fontId="10" fillId="0" borderId="0" xfId="9" applyNumberFormat="1" applyFont="1" applyAlignment="1">
      <alignment horizontal="right" vertical="top" wrapText="1"/>
    </xf>
    <xf numFmtId="0" fontId="20" fillId="0" borderId="0" xfId="2" applyFont="1"/>
    <xf numFmtId="3" fontId="10" fillId="0" borderId="0" xfId="2" applyNumberFormat="1" applyFont="1" applyAlignment="1">
      <alignment horizontal="right"/>
    </xf>
    <xf numFmtId="0" fontId="29" fillId="0" borderId="0" xfId="2" applyFont="1"/>
    <xf numFmtId="3" fontId="28" fillId="3" borderId="0" xfId="2" applyNumberFormat="1" applyFont="1" applyFill="1" applyAlignment="1">
      <alignment horizontal="right"/>
    </xf>
    <xf numFmtId="3" fontId="20" fillId="3" borderId="0" xfId="2" applyNumberFormat="1" applyFont="1" applyFill="1" applyAlignment="1">
      <alignment horizontal="right"/>
    </xf>
    <xf numFmtId="3" fontId="28" fillId="2" borderId="2" xfId="2" applyNumberFormat="1" applyFont="1" applyFill="1" applyBorder="1" applyAlignment="1">
      <alignment horizontal="center" vertical="center" wrapText="1"/>
    </xf>
    <xf numFmtId="3" fontId="28" fillId="2" borderId="7" xfId="0" applyNumberFormat="1" applyFont="1" applyFill="1" applyBorder="1" applyAlignment="1">
      <alignment horizontal="right" vertical="center" wrapText="1"/>
    </xf>
    <xf numFmtId="3" fontId="28" fillId="2" borderId="6" xfId="0" applyNumberFormat="1" applyFont="1" applyFill="1" applyBorder="1" applyAlignment="1">
      <alignment horizontal="right" wrapText="1"/>
    </xf>
    <xf numFmtId="0" fontId="28" fillId="0" borderId="9" xfId="2" applyFont="1" applyBorder="1" applyAlignment="1">
      <alignment horizontal="left" vertical="center" wrapText="1"/>
    </xf>
    <xf numFmtId="3" fontId="28" fillId="0" borderId="0" xfId="0" applyNumberFormat="1" applyFont="1" applyAlignment="1">
      <alignment horizontal="left" vertical="center"/>
    </xf>
    <xf numFmtId="3" fontId="28" fillId="0" borderId="0" xfId="0" applyNumberFormat="1" applyFont="1" applyAlignment="1">
      <alignment horizontal="left" wrapText="1"/>
    </xf>
    <xf numFmtId="0" fontId="29" fillId="0" borderId="0" xfId="2" applyFont="1" applyAlignment="1">
      <alignment horizontal="left"/>
    </xf>
    <xf numFmtId="0" fontId="10" fillId="0" borderId="0" xfId="2" applyFont="1" applyAlignment="1">
      <alignment horizontal="left"/>
    </xf>
    <xf numFmtId="0" fontId="28" fillId="0" borderId="9" xfId="2" applyFont="1" applyBorder="1" applyAlignment="1">
      <alignment vertical="center"/>
    </xf>
    <xf numFmtId="3" fontId="28" fillId="0" borderId="0" xfId="2" applyNumberFormat="1" applyFont="1" applyAlignment="1">
      <alignment vertical="center"/>
    </xf>
    <xf numFmtId="3" fontId="28" fillId="3" borderId="10" xfId="2" applyNumberFormat="1" applyFont="1" applyFill="1" applyBorder="1" applyAlignment="1">
      <alignment horizontal="right"/>
    </xf>
    <xf numFmtId="3" fontId="28" fillId="3" borderId="0" xfId="0" applyNumberFormat="1" applyFont="1" applyFill="1" applyAlignment="1">
      <alignment horizontal="left" wrapText="1"/>
    </xf>
    <xf numFmtId="3" fontId="29" fillId="0" borderId="0" xfId="2" applyNumberFormat="1" applyFont="1" applyAlignment="1">
      <alignment vertical="center"/>
    </xf>
    <xf numFmtId="3" fontId="29" fillId="3" borderId="10" xfId="2" applyNumberFormat="1" applyFont="1" applyFill="1" applyBorder="1" applyAlignment="1">
      <alignment horizontal="right"/>
    </xf>
    <xf numFmtId="3" fontId="29" fillId="3" borderId="0" xfId="2" applyNumberFormat="1" applyFont="1" applyFill="1" applyAlignment="1">
      <alignment horizontal="right"/>
    </xf>
    <xf numFmtId="3" fontId="28" fillId="3" borderId="0" xfId="2" applyNumberFormat="1" applyFont="1" applyFill="1" applyAlignment="1">
      <alignment vertical="center"/>
    </xf>
    <xf numFmtId="3" fontId="29" fillId="3" borderId="0" xfId="2" applyNumberFormat="1" applyFont="1" applyFill="1" applyAlignment="1">
      <alignment vertical="center"/>
    </xf>
    <xf numFmtId="4" fontId="28" fillId="0" borderId="0" xfId="2" applyNumberFormat="1" applyFont="1" applyAlignment="1">
      <alignment vertical="center"/>
    </xf>
    <xf numFmtId="0" fontId="29" fillId="0" borderId="9" xfId="2" applyFont="1" applyBorder="1" applyAlignment="1">
      <alignment vertical="center"/>
    </xf>
    <xf numFmtId="3" fontId="29" fillId="0" borderId="0" xfId="2" applyNumberFormat="1" applyFont="1" applyAlignment="1">
      <alignment horizontal="right" vertical="center"/>
    </xf>
    <xf numFmtId="0" fontId="29" fillId="0" borderId="9" xfId="0" applyFont="1" applyBorder="1" applyAlignment="1">
      <alignment vertical="center"/>
    </xf>
    <xf numFmtId="3" fontId="29" fillId="0" borderId="0" xfId="0" applyNumberFormat="1" applyFont="1" applyAlignment="1">
      <alignment vertical="center"/>
    </xf>
    <xf numFmtId="3" fontId="29" fillId="3" borderId="0" xfId="0" applyNumberFormat="1" applyFont="1" applyFill="1" applyAlignment="1">
      <alignment vertical="center"/>
    </xf>
    <xf numFmtId="3" fontId="29" fillId="3" borderId="0" xfId="2" applyNumberFormat="1" applyFont="1" applyFill="1" applyAlignment="1">
      <alignment horizontal="right" vertical="center"/>
    </xf>
    <xf numFmtId="0" fontId="29" fillId="0" borderId="11" xfId="2" applyFont="1" applyBorder="1" applyAlignment="1">
      <alignment vertical="center"/>
    </xf>
    <xf numFmtId="3" fontId="29" fillId="0" borderId="6" xfId="2" applyNumberFormat="1" applyFont="1" applyBorder="1" applyAlignment="1">
      <alignment vertical="center"/>
    </xf>
    <xf numFmtId="3" fontId="28" fillId="0" borderId="0" xfId="2" applyNumberFormat="1" applyFont="1" applyAlignment="1">
      <alignment horizontal="right"/>
    </xf>
    <xf numFmtId="3" fontId="29" fillId="3" borderId="12" xfId="2" applyNumberFormat="1" applyFont="1" applyFill="1" applyBorder="1" applyAlignment="1">
      <alignment horizontal="right"/>
    </xf>
    <xf numFmtId="3" fontId="29" fillId="3" borderId="6" xfId="2" applyNumberFormat="1" applyFont="1" applyFill="1" applyBorder="1" applyAlignment="1">
      <alignment horizontal="right"/>
    </xf>
    <xf numFmtId="3" fontId="29" fillId="3" borderId="6" xfId="2" applyNumberFormat="1" applyFont="1" applyFill="1" applyBorder="1" applyAlignment="1">
      <alignment vertical="center"/>
    </xf>
    <xf numFmtId="4" fontId="29" fillId="0" borderId="0" xfId="2" applyNumberFormat="1" applyFont="1"/>
    <xf numFmtId="4" fontId="10" fillId="0" borderId="0" xfId="2" applyNumberFormat="1" applyFont="1"/>
    <xf numFmtId="0" fontId="29" fillId="3" borderId="0" xfId="2" applyFont="1" applyFill="1"/>
    <xf numFmtId="3" fontId="29" fillId="3" borderId="0" xfId="2" applyNumberFormat="1" applyFont="1" applyFill="1"/>
    <xf numFmtId="0" fontId="10" fillId="3" borderId="0" xfId="2" applyFont="1" applyFill="1"/>
    <xf numFmtId="3" fontId="10" fillId="3" borderId="0" xfId="2" applyNumberFormat="1" applyFont="1" applyFill="1"/>
    <xf numFmtId="49" fontId="28" fillId="2" borderId="7" xfId="0" applyNumberFormat="1" applyFont="1" applyFill="1" applyBorder="1" applyAlignment="1">
      <alignment horizontal="right" vertical="center" wrapText="1"/>
    </xf>
    <xf numFmtId="0" fontId="28" fillId="3" borderId="9" xfId="2" applyFont="1" applyFill="1" applyBorder="1" applyAlignment="1">
      <alignment horizontal="left" vertical="center"/>
    </xf>
    <xf numFmtId="3" fontId="28" fillId="3" borderId="0" xfId="0" applyNumberFormat="1" applyFont="1" applyFill="1" applyAlignment="1">
      <alignment horizontal="right" vertical="center"/>
    </xf>
    <xf numFmtId="3" fontId="28" fillId="3" borderId="0" xfId="0" applyNumberFormat="1" applyFont="1" applyFill="1" applyAlignment="1">
      <alignment horizontal="right" wrapText="1"/>
    </xf>
    <xf numFmtId="0" fontId="28" fillId="3" borderId="9" xfId="2" applyFont="1" applyFill="1" applyBorder="1" applyAlignment="1">
      <alignment vertical="center"/>
    </xf>
    <xf numFmtId="3" fontId="28" fillId="3" borderId="0" xfId="0" applyNumberFormat="1" applyFont="1" applyFill="1"/>
    <xf numFmtId="0" fontId="20" fillId="3" borderId="0" xfId="0" applyFont="1" applyFill="1"/>
    <xf numFmtId="0" fontId="10" fillId="3" borderId="0" xfId="0" applyFont="1" applyFill="1" applyAlignment="1">
      <alignment vertical="top"/>
    </xf>
    <xf numFmtId="0" fontId="29" fillId="3" borderId="9" xfId="2" applyFont="1" applyFill="1" applyBorder="1" applyAlignment="1">
      <alignment vertical="center"/>
    </xf>
    <xf numFmtId="3" fontId="29" fillId="3" borderId="0" xfId="0" applyNumberFormat="1" applyFont="1" applyFill="1"/>
    <xf numFmtId="3" fontId="29" fillId="3" borderId="0" xfId="0" applyNumberFormat="1" applyFont="1" applyFill="1" applyAlignment="1">
      <alignment horizontal="right"/>
    </xf>
    <xf numFmtId="3" fontId="29" fillId="3" borderId="0" xfId="0" applyNumberFormat="1" applyFont="1" applyFill="1" applyAlignment="1">
      <alignment horizontal="right" wrapText="1"/>
    </xf>
    <xf numFmtId="0" fontId="29" fillId="3" borderId="9" xfId="0" applyFont="1" applyFill="1" applyBorder="1" applyAlignment="1">
      <alignment vertical="center"/>
    </xf>
    <xf numFmtId="0" fontId="29" fillId="3" borderId="11" xfId="2" applyFont="1" applyFill="1" applyBorder="1" applyAlignment="1">
      <alignment vertical="center"/>
    </xf>
    <xf numFmtId="3" fontId="29" fillId="3" borderId="6" xfId="0" applyNumberFormat="1" applyFont="1" applyFill="1" applyBorder="1"/>
    <xf numFmtId="3" fontId="29" fillId="3" borderId="6" xfId="0" applyNumberFormat="1" applyFont="1" applyFill="1" applyBorder="1" applyAlignment="1">
      <alignment horizontal="right" wrapText="1"/>
    </xf>
    <xf numFmtId="0" fontId="29" fillId="3" borderId="0" xfId="0" applyFont="1" applyFill="1"/>
    <xf numFmtId="164" fontId="28" fillId="3" borderId="0" xfId="0" applyNumberFormat="1" applyFont="1" applyFill="1"/>
    <xf numFmtId="164" fontId="20" fillId="3" borderId="0" xfId="0" applyNumberFormat="1" applyFont="1" applyFill="1"/>
    <xf numFmtId="0" fontId="31" fillId="3" borderId="6" xfId="0" applyFont="1" applyFill="1" applyBorder="1"/>
    <xf numFmtId="164" fontId="31" fillId="3" borderId="6" xfId="0" applyNumberFormat="1" applyFont="1" applyFill="1" applyBorder="1" applyAlignment="1">
      <alignment horizontal="right"/>
    </xf>
    <xf numFmtId="3" fontId="30" fillId="3" borderId="0" xfId="2" applyNumberFormat="1" applyFont="1" applyFill="1" applyAlignment="1">
      <alignment horizontal="right"/>
    </xf>
    <xf numFmtId="3" fontId="30" fillId="2" borderId="2" xfId="2" applyNumberFormat="1" applyFont="1" applyFill="1" applyBorder="1" applyAlignment="1">
      <alignment horizontal="right" vertical="center" wrapText="1"/>
    </xf>
    <xf numFmtId="3" fontId="30" fillId="2" borderId="7" xfId="2" applyNumberFormat="1" applyFont="1" applyFill="1" applyBorder="1" applyAlignment="1">
      <alignment horizontal="right" vertical="center" wrapText="1"/>
    </xf>
    <xf numFmtId="3" fontId="30" fillId="2" borderId="6" xfId="2" applyNumberFormat="1" applyFont="1" applyFill="1" applyBorder="1" applyAlignment="1">
      <alignment horizontal="right" vertical="center" wrapText="1"/>
    </xf>
    <xf numFmtId="0" fontId="30" fillId="3" borderId="9" xfId="2" applyFont="1" applyFill="1" applyBorder="1" applyAlignment="1">
      <alignment horizontal="left" vertical="center" wrapText="1"/>
    </xf>
    <xf numFmtId="3" fontId="30" fillId="3" borderId="0" xfId="2" applyNumberFormat="1" applyFont="1" applyFill="1" applyAlignment="1">
      <alignment horizontal="right" vertical="center" wrapText="1"/>
    </xf>
    <xf numFmtId="3" fontId="30" fillId="3" borderId="0" xfId="2" applyNumberFormat="1" applyFont="1" applyFill="1" applyAlignment="1">
      <alignment vertical="center" wrapText="1"/>
    </xf>
    <xf numFmtId="0" fontId="31" fillId="3" borderId="0" xfId="2" applyFont="1" applyFill="1" applyAlignment="1">
      <alignment horizontal="right" vertical="center"/>
    </xf>
    <xf numFmtId="0" fontId="30" fillId="3" borderId="0" xfId="2" applyFont="1" applyFill="1" applyAlignment="1">
      <alignment vertical="center" wrapText="1"/>
    </xf>
    <xf numFmtId="0" fontId="31" fillId="3" borderId="0" xfId="2" applyFont="1" applyFill="1" applyAlignment="1">
      <alignment vertical="center"/>
    </xf>
    <xf numFmtId="0" fontId="10" fillId="3" borderId="0" xfId="2" applyFont="1" applyFill="1" applyAlignment="1">
      <alignment vertical="center"/>
    </xf>
    <xf numFmtId="0" fontId="30" fillId="3" borderId="9" xfId="2" applyFont="1" applyFill="1" applyBorder="1" applyAlignment="1">
      <alignment vertical="center"/>
    </xf>
    <xf numFmtId="3" fontId="30" fillId="3" borderId="0" xfId="2" applyNumberFormat="1" applyFont="1" applyFill="1" applyAlignment="1">
      <alignment horizontal="right" vertical="center"/>
    </xf>
    <xf numFmtId="3" fontId="30" fillId="3" borderId="0" xfId="2" applyNumberFormat="1" applyFont="1" applyFill="1" applyAlignment="1">
      <alignment vertical="center"/>
    </xf>
    <xf numFmtId="0" fontId="30" fillId="3" borderId="0" xfId="2" applyFont="1" applyFill="1" applyAlignment="1">
      <alignment horizontal="right" vertical="center"/>
    </xf>
    <xf numFmtId="165" fontId="30" fillId="3" borderId="0" xfId="2" applyNumberFormat="1" applyFont="1" applyFill="1" applyAlignment="1">
      <alignment horizontal="right" vertical="center"/>
    </xf>
    <xf numFmtId="3" fontId="31" fillId="3" borderId="0" xfId="2" applyNumberFormat="1" applyFont="1" applyFill="1" applyAlignment="1">
      <alignment horizontal="right" vertical="center"/>
    </xf>
    <xf numFmtId="3" fontId="31" fillId="3" borderId="0" xfId="2" applyNumberFormat="1" applyFont="1" applyFill="1" applyAlignment="1">
      <alignment vertical="center"/>
    </xf>
    <xf numFmtId="0" fontId="31" fillId="3" borderId="9" xfId="2" applyFont="1" applyFill="1" applyBorder="1" applyAlignment="1">
      <alignment vertical="center"/>
    </xf>
    <xf numFmtId="0" fontId="31" fillId="3" borderId="9" xfId="0" applyFont="1" applyFill="1" applyBorder="1" applyAlignment="1">
      <alignment vertical="center"/>
    </xf>
    <xf numFmtId="0" fontId="31" fillId="3" borderId="11" xfId="2" applyFont="1" applyFill="1" applyBorder="1" applyAlignment="1">
      <alignment vertical="center"/>
    </xf>
    <xf numFmtId="3" fontId="31" fillId="3" borderId="6" xfId="2" applyNumberFormat="1" applyFont="1" applyFill="1" applyBorder="1" applyAlignment="1">
      <alignment horizontal="right" vertical="center"/>
    </xf>
    <xf numFmtId="3" fontId="31" fillId="3" borderId="6" xfId="2" applyNumberFormat="1" applyFont="1" applyFill="1" applyBorder="1" applyAlignment="1">
      <alignment vertical="center"/>
    </xf>
    <xf numFmtId="0" fontId="31" fillId="3" borderId="0" xfId="0" applyFont="1" applyFill="1"/>
    <xf numFmtId="0" fontId="31" fillId="3" borderId="0" xfId="0" applyFont="1" applyFill="1" applyAlignment="1">
      <alignment horizontal="right"/>
    </xf>
    <xf numFmtId="0" fontId="31" fillId="0" borderId="0" xfId="0" applyFont="1" applyAlignment="1">
      <alignment horizontal="right"/>
    </xf>
    <xf numFmtId="0" fontId="10" fillId="3" borderId="0" xfId="0" applyFont="1" applyFill="1" applyAlignment="1">
      <alignment horizontal="right"/>
    </xf>
    <xf numFmtId="0" fontId="11" fillId="0" borderId="0" xfId="2" applyFont="1" applyAlignment="1">
      <alignment horizontal="left" vertical="center"/>
    </xf>
    <xf numFmtId="3" fontId="12" fillId="0" borderId="0" xfId="2" applyNumberFormat="1" applyFont="1" applyAlignment="1">
      <alignment horizontal="left" vertical="center"/>
    </xf>
    <xf numFmtId="0" fontId="12" fillId="0" borderId="0" xfId="2" applyFont="1" applyAlignment="1">
      <alignment horizontal="left" vertical="center"/>
    </xf>
    <xf numFmtId="3" fontId="13" fillId="3" borderId="0" xfId="2" applyNumberFormat="1" applyFont="1" applyFill="1" applyAlignment="1">
      <alignment horizontal="right" vertical="center"/>
    </xf>
    <xf numFmtId="3" fontId="13" fillId="3" borderId="0" xfId="2" applyNumberFormat="1" applyFont="1" applyFill="1" applyAlignment="1">
      <alignment vertical="center"/>
    </xf>
    <xf numFmtId="0" fontId="16" fillId="3" borderId="0" xfId="2" applyFont="1" applyFill="1" applyAlignment="1">
      <alignment vertical="center"/>
    </xf>
    <xf numFmtId="3" fontId="16" fillId="3" borderId="0" xfId="2" applyNumberFormat="1" applyFont="1" applyFill="1" applyAlignment="1">
      <alignment horizontal="right" vertical="center"/>
    </xf>
    <xf numFmtId="0" fontId="16" fillId="3" borderId="0" xfId="2" applyFont="1" applyFill="1" applyAlignment="1">
      <alignment horizontal="left" vertical="center"/>
    </xf>
    <xf numFmtId="0" fontId="11" fillId="3" borderId="0" xfId="2" applyFont="1" applyFill="1" applyAlignment="1">
      <alignment horizontal="left" vertical="center"/>
    </xf>
    <xf numFmtId="0" fontId="13" fillId="3" borderId="0" xfId="0" applyFont="1" applyFill="1" applyAlignment="1">
      <alignment vertical="center"/>
    </xf>
    <xf numFmtId="0" fontId="13" fillId="3" borderId="0" xfId="0" applyFont="1" applyFill="1" applyAlignment="1">
      <alignment horizontal="right" vertical="center"/>
    </xf>
    <xf numFmtId="0" fontId="13" fillId="0" borderId="0" xfId="0" applyFont="1" applyAlignment="1">
      <alignment horizontal="right" vertical="center"/>
    </xf>
    <xf numFmtId="0" fontId="12" fillId="3" borderId="0" xfId="0" applyFont="1" applyFill="1" applyAlignment="1">
      <alignment vertical="center"/>
    </xf>
    <xf numFmtId="0" fontId="11" fillId="0" borderId="0" xfId="2" applyFont="1" applyAlignment="1">
      <alignment vertical="center"/>
    </xf>
    <xf numFmtId="0" fontId="12" fillId="3" borderId="0" xfId="0" applyFont="1" applyFill="1" applyAlignment="1">
      <alignment horizontal="right" vertical="center"/>
    </xf>
    <xf numFmtId="164" fontId="10" fillId="3" borderId="0" xfId="0" applyNumberFormat="1" applyFont="1" applyFill="1" applyAlignment="1">
      <alignment horizontal="right"/>
    </xf>
    <xf numFmtId="0" fontId="34" fillId="0" borderId="0" xfId="2" applyFont="1"/>
    <xf numFmtId="3" fontId="18" fillId="3" borderId="0" xfId="2" applyNumberFormat="1" applyFont="1" applyFill="1"/>
    <xf numFmtId="3" fontId="18" fillId="3" borderId="0" xfId="2" applyNumberFormat="1" applyFont="1" applyFill="1" applyAlignment="1">
      <alignment horizontal="right"/>
    </xf>
    <xf numFmtId="0" fontId="18" fillId="3" borderId="0" xfId="2" applyFont="1" applyFill="1"/>
    <xf numFmtId="3" fontId="11" fillId="3" borderId="0" xfId="2" applyNumberFormat="1" applyFont="1" applyFill="1"/>
    <xf numFmtId="0" fontId="18" fillId="0" borderId="0" xfId="2" applyFont="1"/>
    <xf numFmtId="3" fontId="18" fillId="0" borderId="0" xfId="2" applyNumberFormat="1" applyFont="1"/>
    <xf numFmtId="3" fontId="18" fillId="0" borderId="0" xfId="2" applyNumberFormat="1" applyFont="1" applyAlignment="1">
      <alignment horizontal="right"/>
    </xf>
    <xf numFmtId="0" fontId="11" fillId="3" borderId="0" xfId="2" applyFont="1" applyFill="1" applyAlignment="1">
      <alignment vertical="center"/>
    </xf>
    <xf numFmtId="3" fontId="11" fillId="0" borderId="0" xfId="2" applyNumberFormat="1" applyFont="1" applyAlignment="1">
      <alignment horizontal="right"/>
    </xf>
    <xf numFmtId="0" fontId="12" fillId="0" borderId="0" xfId="2" applyFont="1" applyAlignment="1">
      <alignment horizontal="left"/>
    </xf>
    <xf numFmtId="0" fontId="11" fillId="0" borderId="0" xfId="2" applyFont="1" applyAlignment="1">
      <alignment horizontal="left"/>
    </xf>
    <xf numFmtId="3" fontId="12" fillId="0" borderId="0" xfId="2" applyNumberFormat="1" applyFont="1" applyAlignment="1">
      <alignment horizontal="left"/>
    </xf>
    <xf numFmtId="14" fontId="12" fillId="3" borderId="0" xfId="9" applyNumberFormat="1" applyFont="1" applyFill="1" applyAlignment="1">
      <alignment horizontal="right" vertical="center"/>
    </xf>
    <xf numFmtId="167" fontId="20" fillId="0" borderId="0" xfId="0" applyNumberFormat="1" applyFont="1" applyAlignment="1">
      <alignment horizontal="right"/>
    </xf>
    <xf numFmtId="0" fontId="21" fillId="0" borderId="0" xfId="0" applyFont="1" applyAlignment="1">
      <alignment vertical="center"/>
    </xf>
    <xf numFmtId="0" fontId="12" fillId="0" borderId="0" xfId="0" applyFont="1" applyAlignment="1">
      <alignment horizontal="left"/>
    </xf>
    <xf numFmtId="0" fontId="21" fillId="0" borderId="0" xfId="0" applyFont="1" applyAlignment="1">
      <alignment horizontal="left" vertical="center"/>
    </xf>
    <xf numFmtId="0" fontId="11" fillId="0" borderId="0" xfId="7" applyFont="1" applyAlignment="1">
      <alignment horizontal="right" vertical="center"/>
    </xf>
    <xf numFmtId="169" fontId="12" fillId="0" borderId="0" xfId="9" applyNumberFormat="1" applyFont="1" applyAlignment="1">
      <alignment vertical="center"/>
    </xf>
    <xf numFmtId="169" fontId="12" fillId="0" borderId="0" xfId="9" applyNumberFormat="1" applyFont="1" applyAlignment="1">
      <alignment horizontal="right" vertical="center"/>
    </xf>
    <xf numFmtId="171" fontId="12" fillId="0" borderId="0" xfId="9" applyNumberFormat="1" applyFont="1" applyAlignment="1">
      <alignment horizontal="right" vertical="center"/>
    </xf>
    <xf numFmtId="173" fontId="12" fillId="0" borderId="0" xfId="9" applyNumberFormat="1" applyFont="1" applyAlignment="1">
      <alignment horizontal="right" vertical="center"/>
    </xf>
    <xf numFmtId="172" fontId="12" fillId="0" borderId="0" xfId="9" applyNumberFormat="1" applyFont="1" applyAlignment="1">
      <alignment vertical="center"/>
    </xf>
    <xf numFmtId="169" fontId="11" fillId="0" borderId="0" xfId="9" applyNumberFormat="1" applyFont="1" applyAlignment="1">
      <alignment horizontal="right" vertical="center"/>
    </xf>
    <xf numFmtId="169" fontId="12" fillId="0" borderId="0" xfId="9" applyNumberFormat="1" applyFont="1" applyAlignment="1">
      <alignment horizontal="left" vertical="center"/>
    </xf>
    <xf numFmtId="2" fontId="12" fillId="0" borderId="0" xfId="9" applyNumberFormat="1" applyFont="1" applyAlignment="1">
      <alignment horizontal="left" vertical="center"/>
    </xf>
    <xf numFmtId="4" fontId="12" fillId="0" borderId="0" xfId="9" applyNumberFormat="1" applyFont="1" applyAlignment="1">
      <alignment horizontal="left" vertical="center"/>
    </xf>
    <xf numFmtId="171" fontId="12" fillId="0" borderId="0" xfId="10" applyNumberFormat="1" applyAlignment="1">
      <alignment horizontal="left" vertical="center"/>
    </xf>
    <xf numFmtId="170" fontId="12" fillId="0" borderId="0" xfId="10" applyNumberFormat="1" applyAlignment="1">
      <alignment horizontal="left" vertical="center"/>
    </xf>
    <xf numFmtId="169" fontId="11" fillId="0" borderId="0" xfId="11" applyNumberFormat="1" applyFont="1" applyAlignment="1">
      <alignment horizontal="left" vertical="center"/>
    </xf>
    <xf numFmtId="0" fontId="12" fillId="0" borderId="0" xfId="13" applyFont="1"/>
    <xf numFmtId="167" fontId="11" fillId="0" borderId="0" xfId="11" applyNumberFormat="1" applyFont="1" applyAlignment="1">
      <alignment horizontal="left" vertical="center"/>
    </xf>
    <xf numFmtId="0" fontId="12" fillId="0" borderId="0" xfId="9" applyFont="1" applyAlignment="1">
      <alignment horizontal="left" vertical="center"/>
    </xf>
    <xf numFmtId="1" fontId="11" fillId="0" borderId="0" xfId="9" applyNumberFormat="1" applyFont="1" applyAlignment="1">
      <alignment horizontal="left" vertical="center"/>
    </xf>
    <xf numFmtId="0" fontId="10" fillId="0" borderId="0" xfId="0" applyFont="1" applyAlignment="1">
      <alignment horizontal="center" vertical="center"/>
    </xf>
    <xf numFmtId="14" fontId="12" fillId="0" borderId="0" xfId="14" applyNumberFormat="1" applyFont="1" applyAlignment="1">
      <alignment horizontal="left" vertical="center"/>
    </xf>
    <xf numFmtId="176" fontId="12" fillId="0" borderId="0" xfId="14" applyNumberFormat="1" applyFont="1" applyAlignment="1">
      <alignment horizontal="left" vertical="center"/>
    </xf>
    <xf numFmtId="167" fontId="11" fillId="3" borderId="0" xfId="11" applyNumberFormat="1" applyFont="1" applyFill="1" applyAlignment="1">
      <alignment vertical="center"/>
    </xf>
    <xf numFmtId="174" fontId="12" fillId="3" borderId="0" xfId="14" applyNumberFormat="1" applyFont="1" applyFill="1" applyAlignment="1">
      <alignment horizontal="right" vertical="center"/>
    </xf>
    <xf numFmtId="0" fontId="14" fillId="0" borderId="0" xfId="0" applyFont="1"/>
    <xf numFmtId="0" fontId="11" fillId="0" borderId="0" xfId="0" applyFont="1"/>
    <xf numFmtId="0" fontId="14" fillId="0" borderId="0" xfId="0" applyFont="1" applyAlignment="1">
      <alignment vertical="center"/>
    </xf>
    <xf numFmtId="0" fontId="11" fillId="0" borderId="0" xfId="0" applyFont="1" applyAlignment="1">
      <alignment horizontal="left" vertical="center"/>
    </xf>
    <xf numFmtId="0" fontId="14" fillId="0" borderId="0" xfId="0" applyFont="1" applyAlignment="1">
      <alignment horizontal="left" vertical="center"/>
    </xf>
    <xf numFmtId="165" fontId="12" fillId="0" borderId="0" xfId="3" applyNumberFormat="1" applyFont="1" applyAlignment="1">
      <alignment horizontal="left" vertical="center"/>
    </xf>
    <xf numFmtId="3" fontId="12" fillId="0" borderId="0" xfId="0" applyNumberFormat="1" applyFont="1" applyAlignment="1">
      <alignment horizontal="left" vertical="center"/>
    </xf>
    <xf numFmtId="0" fontId="12" fillId="0" borderId="0" xfId="0" applyFont="1" applyAlignment="1">
      <alignment vertical="justify"/>
    </xf>
    <xf numFmtId="0" fontId="20" fillId="0" borderId="0" xfId="0" applyFont="1" applyAlignment="1">
      <alignment horizontal="left" vertical="center"/>
    </xf>
    <xf numFmtId="179" fontId="10" fillId="0" borderId="0" xfId="0" applyNumberFormat="1" applyFont="1" applyAlignment="1">
      <alignment horizontal="center" vertical="center"/>
    </xf>
    <xf numFmtId="0" fontId="20" fillId="0" borderId="0" xfId="0" applyFont="1" applyAlignment="1">
      <alignment horizontal="right" vertical="center"/>
    </xf>
    <xf numFmtId="0" fontId="14" fillId="0" borderId="0" xfId="0" applyFont="1" applyAlignment="1">
      <alignment vertical="center" wrapText="1"/>
    </xf>
    <xf numFmtId="0" fontId="10" fillId="0" borderId="0" xfId="0" applyFont="1" applyAlignment="1">
      <alignment horizontal="left" vertical="top" indent="2"/>
    </xf>
    <xf numFmtId="181" fontId="20" fillId="0" borderId="0" xfId="0" applyNumberFormat="1" applyFont="1" applyAlignment="1">
      <alignment horizontal="right" vertical="center"/>
    </xf>
    <xf numFmtId="0" fontId="11" fillId="0" borderId="0" xfId="15" applyFont="1" applyAlignment="1">
      <alignment vertical="center"/>
    </xf>
    <xf numFmtId="0" fontId="12" fillId="0" borderId="0" xfId="3" applyFont="1" applyAlignment="1">
      <alignment vertical="center" wrapText="1"/>
    </xf>
    <xf numFmtId="0" fontId="12" fillId="0" borderId="0" xfId="3" applyFont="1" applyAlignment="1">
      <alignment vertical="center"/>
    </xf>
    <xf numFmtId="0" fontId="11" fillId="0" borderId="0" xfId="0" applyFont="1" applyAlignment="1">
      <alignment horizontal="left" indent="3"/>
    </xf>
    <xf numFmtId="169" fontId="12" fillId="0" borderId="0" xfId="10" applyNumberFormat="1" applyAlignment="1">
      <alignment horizontal="right"/>
    </xf>
    <xf numFmtId="169" fontId="12" fillId="0" borderId="0" xfId="10" applyNumberFormat="1"/>
    <xf numFmtId="169" fontId="11" fillId="0" borderId="0" xfId="16" applyNumberFormat="1" applyFont="1" applyAlignment="1">
      <alignment vertical="center"/>
    </xf>
    <xf numFmtId="3" fontId="6" fillId="0" borderId="0" xfId="0" applyNumberFormat="1" applyFont="1" applyAlignment="1">
      <alignment vertical="center"/>
    </xf>
    <xf numFmtId="3" fontId="14" fillId="0" borderId="0" xfId="0" applyNumberFormat="1" applyFont="1" applyAlignment="1">
      <alignment horizontal="left" vertical="center"/>
    </xf>
    <xf numFmtId="0" fontId="9" fillId="0" borderId="0" xfId="0" applyFont="1" applyAlignment="1">
      <alignment vertical="center"/>
    </xf>
    <xf numFmtId="3" fontId="11" fillId="0" borderId="0" xfId="0" applyNumberFormat="1" applyFont="1" applyAlignment="1">
      <alignment vertical="center"/>
    </xf>
    <xf numFmtId="0" fontId="21" fillId="0" borderId="0" xfId="0" applyFont="1" applyAlignment="1">
      <alignment horizontal="right" vertical="center"/>
    </xf>
    <xf numFmtId="3" fontId="12" fillId="0" borderId="0" xfId="0" applyNumberFormat="1" applyFont="1"/>
    <xf numFmtId="0" fontId="12" fillId="0" borderId="0" xfId="19" applyFont="1"/>
    <xf numFmtId="0" fontId="12" fillId="0" borderId="0" xfId="19" applyFont="1" applyAlignment="1">
      <alignment vertical="top"/>
    </xf>
    <xf numFmtId="0" fontId="36" fillId="3" borderId="0" xfId="1" applyFont="1" applyFill="1"/>
    <xf numFmtId="0" fontId="7" fillId="3" borderId="0" xfId="1" applyFont="1" applyFill="1" applyAlignment="1">
      <alignment horizontal="left"/>
    </xf>
    <xf numFmtId="0" fontId="7" fillId="3" borderId="0" xfId="1" applyFont="1" applyFill="1"/>
    <xf numFmtId="0" fontId="7" fillId="3" borderId="0" xfId="1" applyFont="1" applyFill="1" applyAlignment="1">
      <alignment horizontal="center"/>
    </xf>
    <xf numFmtId="0" fontId="7" fillId="3" borderId="0" xfId="1" applyFont="1" applyFill="1" applyAlignment="1">
      <alignment horizontal="left" vertical="center"/>
    </xf>
    <xf numFmtId="0" fontId="37" fillId="3" borderId="0" xfId="1" applyFont="1" applyFill="1" applyAlignment="1">
      <alignment horizontal="left" vertical="center"/>
    </xf>
    <xf numFmtId="0" fontId="38" fillId="3" borderId="0" xfId="1" applyFont="1" applyFill="1" applyAlignment="1">
      <alignment horizontal="left" vertical="center"/>
    </xf>
    <xf numFmtId="0" fontId="36" fillId="0" borderId="0" xfId="2" applyFont="1"/>
    <xf numFmtId="0" fontId="36" fillId="0" borderId="0" xfId="2" applyFont="1" applyAlignment="1">
      <alignment horizontal="right"/>
    </xf>
    <xf numFmtId="1" fontId="20" fillId="0" borderId="0" xfId="9" applyNumberFormat="1" applyFont="1" applyAlignment="1">
      <alignment vertical="center"/>
    </xf>
    <xf numFmtId="174" fontId="20" fillId="0" borderId="0" xfId="14" applyNumberFormat="1" applyFont="1" applyAlignment="1">
      <alignment vertical="center"/>
    </xf>
    <xf numFmtId="49" fontId="20" fillId="0" borderId="0" xfId="9" applyNumberFormat="1" applyFont="1" applyAlignment="1">
      <alignment horizontal="center" vertical="center" wrapText="1"/>
    </xf>
    <xf numFmtId="49" fontId="5" fillId="0" borderId="0" xfId="9" applyNumberFormat="1" applyFont="1" applyAlignment="1">
      <alignment vertical="center"/>
    </xf>
    <xf numFmtId="49" fontId="20" fillId="0" borderId="0" xfId="9" applyNumberFormat="1" applyFont="1" applyAlignment="1">
      <alignment horizontal="center" vertical="center"/>
    </xf>
    <xf numFmtId="1" fontId="20" fillId="0" borderId="0" xfId="9" applyNumberFormat="1" applyFont="1" applyAlignment="1">
      <alignment horizontal="right" vertical="center" wrapText="1"/>
    </xf>
    <xf numFmtId="0" fontId="11" fillId="0" borderId="14" xfId="2" applyFont="1" applyBorder="1" applyAlignment="1">
      <alignment vertical="center"/>
    </xf>
    <xf numFmtId="0" fontId="12" fillId="0" borderId="14" xfId="2" applyFont="1" applyBorder="1" applyAlignment="1">
      <alignment vertical="center"/>
    </xf>
    <xf numFmtId="0" fontId="12" fillId="0" borderId="27" xfId="2" applyFont="1" applyBorder="1" applyAlignment="1">
      <alignment vertical="center"/>
    </xf>
    <xf numFmtId="3" fontId="11" fillId="2" borderId="24" xfId="2" applyNumberFormat="1" applyFont="1" applyFill="1" applyBorder="1" applyAlignment="1">
      <alignment horizontal="right" vertical="center" wrapText="1"/>
    </xf>
    <xf numFmtId="3" fontId="11" fillId="2" borderId="16" xfId="2" applyNumberFormat="1" applyFont="1" applyFill="1" applyBorder="1" applyAlignment="1">
      <alignment horizontal="right" vertical="center"/>
    </xf>
    <xf numFmtId="3" fontId="11" fillId="2" borderId="16" xfId="2" applyNumberFormat="1" applyFont="1" applyFill="1" applyBorder="1" applyAlignment="1">
      <alignment horizontal="right" vertical="center" wrapText="1"/>
    </xf>
    <xf numFmtId="0" fontId="11" fillId="3" borderId="14" xfId="2" applyFont="1" applyFill="1" applyBorder="1" applyAlignment="1">
      <alignment horizontal="left" vertical="center" wrapText="1"/>
    </xf>
    <xf numFmtId="0" fontId="11" fillId="2" borderId="14" xfId="2" applyFont="1" applyFill="1" applyBorder="1" applyAlignment="1">
      <alignment horizontal="left" vertical="center"/>
    </xf>
    <xf numFmtId="3" fontId="11" fillId="2" borderId="0" xfId="2" applyNumberFormat="1" applyFont="1" applyFill="1" applyAlignment="1">
      <alignment vertical="center"/>
    </xf>
    <xf numFmtId="3" fontId="11" fillId="2" borderId="0" xfId="2" applyNumberFormat="1" applyFont="1" applyFill="1" applyAlignment="1">
      <alignment horizontal="right" vertical="center" wrapText="1"/>
    </xf>
    <xf numFmtId="0" fontId="11" fillId="2" borderId="0" xfId="2" applyFont="1" applyFill="1" applyAlignment="1">
      <alignment vertical="center" wrapText="1"/>
    </xf>
    <xf numFmtId="0" fontId="11" fillId="3" borderId="14" xfId="2" applyFont="1" applyFill="1" applyBorder="1" applyAlignment="1">
      <alignment vertical="center"/>
    </xf>
    <xf numFmtId="165" fontId="11" fillId="3" borderId="0" xfId="2" applyNumberFormat="1" applyFont="1" applyFill="1" applyAlignment="1">
      <alignment horizontal="right" vertical="center"/>
    </xf>
    <xf numFmtId="0" fontId="12" fillId="3" borderId="14" xfId="2" applyFont="1" applyFill="1" applyBorder="1" applyAlignment="1">
      <alignment vertical="center"/>
    </xf>
    <xf numFmtId="0" fontId="12" fillId="3" borderId="14" xfId="0" applyFont="1" applyFill="1" applyBorder="1" applyAlignment="1">
      <alignment vertical="center"/>
    </xf>
    <xf numFmtId="0" fontId="12" fillId="3" borderId="27" xfId="2" applyFont="1" applyFill="1" applyBorder="1" applyAlignment="1">
      <alignment vertical="center"/>
    </xf>
    <xf numFmtId="3" fontId="12" fillId="3" borderId="16" xfId="2" applyNumberFormat="1" applyFont="1" applyFill="1" applyBorder="1" applyAlignment="1">
      <alignment vertical="center"/>
    </xf>
    <xf numFmtId="3" fontId="11" fillId="3" borderId="0" xfId="2" applyNumberFormat="1" applyFont="1" applyFill="1" applyAlignment="1">
      <alignment horizontal="right"/>
    </xf>
    <xf numFmtId="3" fontId="11" fillId="2" borderId="22" xfId="2" applyNumberFormat="1" applyFont="1" applyFill="1" applyBorder="1" applyAlignment="1">
      <alignment horizontal="center" vertical="center" wrapText="1"/>
    </xf>
    <xf numFmtId="3" fontId="11" fillId="2" borderId="22" xfId="0" applyNumberFormat="1" applyFont="1" applyFill="1" applyBorder="1" applyAlignment="1">
      <alignment horizontal="right" vertical="center" wrapText="1"/>
    </xf>
    <xf numFmtId="49" fontId="11" fillId="2" borderId="22" xfId="0" applyNumberFormat="1" applyFont="1" applyFill="1" applyBorder="1" applyAlignment="1">
      <alignment horizontal="right" vertical="center" wrapText="1"/>
    </xf>
    <xf numFmtId="3" fontId="11" fillId="2" borderId="22" xfId="0" applyNumberFormat="1" applyFont="1" applyFill="1" applyBorder="1" applyAlignment="1">
      <alignment horizontal="right" wrapText="1"/>
    </xf>
    <xf numFmtId="0" fontId="11" fillId="3" borderId="14" xfId="2" applyFont="1" applyFill="1" applyBorder="1" applyAlignment="1">
      <alignment horizontal="left" vertical="center"/>
    </xf>
    <xf numFmtId="3" fontId="11" fillId="3" borderId="0" xfId="0" applyNumberFormat="1" applyFont="1" applyFill="1" applyAlignment="1">
      <alignment horizontal="right" vertical="center"/>
    </xf>
    <xf numFmtId="3" fontId="11" fillId="3" borderId="0" xfId="0" applyNumberFormat="1" applyFont="1" applyFill="1" applyAlignment="1">
      <alignment horizontal="right" wrapText="1"/>
    </xf>
    <xf numFmtId="3" fontId="11" fillId="2" borderId="0" xfId="0" applyNumberFormat="1" applyFont="1" applyFill="1"/>
    <xf numFmtId="3" fontId="12" fillId="3" borderId="0" xfId="0" applyNumberFormat="1" applyFont="1" applyFill="1"/>
    <xf numFmtId="3" fontId="12" fillId="3" borderId="0" xfId="0" applyNumberFormat="1" applyFont="1" applyFill="1" applyAlignment="1">
      <alignment horizontal="right"/>
    </xf>
    <xf numFmtId="3" fontId="12" fillId="3" borderId="16" xfId="0" applyNumberFormat="1" applyFont="1" applyFill="1" applyBorder="1"/>
    <xf numFmtId="0" fontId="11" fillId="0" borderId="14" xfId="2" applyFont="1" applyBorder="1" applyAlignment="1">
      <alignment horizontal="left" vertical="center" wrapText="1"/>
    </xf>
    <xf numFmtId="3" fontId="11" fillId="0" borderId="0" xfId="0" applyNumberFormat="1" applyFont="1" applyAlignment="1">
      <alignment horizontal="left" vertical="center"/>
    </xf>
    <xf numFmtId="3" fontId="11" fillId="0" borderId="0" xfId="0" applyNumberFormat="1" applyFont="1" applyAlignment="1">
      <alignment horizontal="left" wrapText="1"/>
    </xf>
    <xf numFmtId="3" fontId="11" fillId="2" borderId="0" xfId="2" applyNumberFormat="1" applyFont="1" applyFill="1" applyAlignment="1">
      <alignment horizontal="right"/>
    </xf>
    <xf numFmtId="3" fontId="11" fillId="2" borderId="0" xfId="0" applyNumberFormat="1" applyFont="1" applyFill="1" applyAlignment="1">
      <alignment horizontal="left" wrapText="1"/>
    </xf>
    <xf numFmtId="3" fontId="12" fillId="3" borderId="0" xfId="2" applyNumberFormat="1" applyFont="1" applyFill="1" applyAlignment="1">
      <alignment horizontal="right"/>
    </xf>
    <xf numFmtId="3" fontId="11" fillId="3" borderId="0" xfId="2" applyNumberFormat="1" applyFont="1" applyFill="1" applyAlignment="1">
      <alignment vertical="center"/>
    </xf>
    <xf numFmtId="0" fontId="12" fillId="0" borderId="14" xfId="0" applyFont="1" applyBorder="1" applyAlignment="1">
      <alignment vertical="center"/>
    </xf>
    <xf numFmtId="3" fontId="12" fillId="3" borderId="0" xfId="0" applyNumberFormat="1" applyFont="1" applyFill="1" applyAlignment="1">
      <alignment vertical="center"/>
    </xf>
    <xf numFmtId="0" fontId="12" fillId="4" borderId="14" xfId="2" applyFont="1" applyFill="1" applyBorder="1" applyAlignment="1">
      <alignment vertical="center"/>
    </xf>
    <xf numFmtId="3" fontId="12" fillId="3" borderId="16" xfId="2" applyNumberFormat="1" applyFont="1" applyFill="1" applyBorder="1" applyAlignment="1">
      <alignment horizontal="right"/>
    </xf>
    <xf numFmtId="1" fontId="11" fillId="0" borderId="0" xfId="9" applyNumberFormat="1" applyFont="1" applyAlignment="1">
      <alignment horizontal="right" vertical="center"/>
    </xf>
    <xf numFmtId="14" fontId="12" fillId="0" borderId="0" xfId="9" applyNumberFormat="1" applyFont="1" applyAlignment="1">
      <alignment horizontal="right" vertical="center"/>
    </xf>
    <xf numFmtId="4" fontId="12" fillId="0" borderId="0" xfId="9" applyNumberFormat="1" applyFont="1" applyAlignment="1">
      <alignment horizontal="right" vertical="center"/>
    </xf>
    <xf numFmtId="167" fontId="12" fillId="0" borderId="0" xfId="9" applyNumberFormat="1" applyFont="1" applyAlignment="1">
      <alignment horizontal="right" vertical="center"/>
    </xf>
    <xf numFmtId="167" fontId="12" fillId="0" borderId="0" xfId="9" applyNumberFormat="1" applyFont="1" applyAlignment="1">
      <alignment vertical="center" wrapText="1"/>
    </xf>
    <xf numFmtId="167" fontId="12" fillId="0" borderId="0" xfId="0" applyNumberFormat="1" applyFont="1" applyAlignment="1">
      <alignment horizontal="right" vertical="top"/>
    </xf>
    <xf numFmtId="167" fontId="12" fillId="0" borderId="0" xfId="9" applyNumberFormat="1" applyFont="1" applyAlignment="1">
      <alignment wrapText="1"/>
    </xf>
    <xf numFmtId="167" fontId="12" fillId="0" borderId="0" xfId="9" applyNumberFormat="1" applyFont="1" applyAlignment="1">
      <alignment vertical="top"/>
    </xf>
    <xf numFmtId="14" fontId="12" fillId="0" borderId="0" xfId="9" applyNumberFormat="1" applyFont="1" applyAlignment="1">
      <alignment horizontal="right" vertical="top" wrapText="1"/>
    </xf>
    <xf numFmtId="167" fontId="11" fillId="0" borderId="17" xfId="0" applyNumberFormat="1" applyFont="1" applyBorder="1"/>
    <xf numFmtId="167" fontId="11" fillId="0" borderId="16" xfId="9" applyNumberFormat="1" applyFont="1" applyBorder="1" applyAlignment="1">
      <alignment horizontal="left" vertical="center"/>
    </xf>
    <xf numFmtId="167" fontId="11" fillId="0" borderId="16" xfId="0" applyNumberFormat="1" applyFont="1" applyBorder="1"/>
    <xf numFmtId="14" fontId="11" fillId="0" borderId="16" xfId="0" applyNumberFormat="1" applyFont="1" applyBorder="1"/>
    <xf numFmtId="167" fontId="11" fillId="0" borderId="16" xfId="0" applyNumberFormat="1" applyFont="1" applyBorder="1" applyAlignment="1">
      <alignment horizontal="right"/>
    </xf>
    <xf numFmtId="0" fontId="11" fillId="2" borderId="22" xfId="9" applyFont="1" applyFill="1" applyBorder="1" applyAlignment="1">
      <alignment horizontal="center" vertical="center"/>
    </xf>
    <xf numFmtId="0" fontId="12" fillId="2" borderId="22" xfId="9" applyFont="1" applyFill="1" applyBorder="1" applyAlignment="1">
      <alignment horizontal="center" vertical="center"/>
    </xf>
    <xf numFmtId="169" fontId="12" fillId="2" borderId="22" xfId="9" applyNumberFormat="1" applyFont="1" applyFill="1" applyBorder="1" applyAlignment="1">
      <alignment vertical="center"/>
    </xf>
    <xf numFmtId="169" fontId="11" fillId="2" borderId="22" xfId="9" applyNumberFormat="1" applyFont="1" applyFill="1" applyBorder="1" applyAlignment="1">
      <alignment horizontal="right" vertical="center"/>
    </xf>
    <xf numFmtId="169" fontId="11" fillId="2" borderId="22" xfId="9" applyNumberFormat="1" applyFont="1" applyFill="1" applyBorder="1" applyAlignment="1">
      <alignment horizontal="right" vertical="center" wrapText="1"/>
    </xf>
    <xf numFmtId="169" fontId="12" fillId="2" borderId="22" xfId="9" applyNumberFormat="1" applyFont="1" applyFill="1" applyBorder="1" applyAlignment="1">
      <alignment horizontal="right" vertical="center"/>
    </xf>
    <xf numFmtId="169" fontId="11" fillId="0" borderId="14" xfId="9" applyNumberFormat="1" applyFont="1" applyBorder="1" applyAlignment="1">
      <alignment horizontal="left" vertical="center" wrapText="1"/>
    </xf>
    <xf numFmtId="4" fontId="11" fillId="0" borderId="0" xfId="9" applyNumberFormat="1" applyFont="1" applyAlignment="1">
      <alignment vertical="center"/>
    </xf>
    <xf numFmtId="4" fontId="11" fillId="0" borderId="0" xfId="9" applyNumberFormat="1" applyFont="1" applyAlignment="1">
      <alignment horizontal="center" vertical="center"/>
    </xf>
    <xf numFmtId="4" fontId="12" fillId="0" borderId="0" xfId="9" applyNumberFormat="1" applyFont="1" applyAlignment="1">
      <alignment horizontal="center" vertical="center"/>
    </xf>
    <xf numFmtId="174" fontId="11" fillId="0" borderId="0" xfId="0" applyNumberFormat="1" applyFont="1" applyAlignment="1">
      <alignment vertical="center"/>
    </xf>
    <xf numFmtId="4" fontId="12" fillId="0" borderId="0" xfId="10" applyNumberFormat="1" applyAlignment="1">
      <alignment horizontal="center"/>
    </xf>
    <xf numFmtId="4" fontId="11" fillId="0" borderId="24" xfId="9" applyNumberFormat="1" applyFont="1" applyBorder="1" applyAlignment="1">
      <alignment vertical="center"/>
    </xf>
    <xf numFmtId="169" fontId="11" fillId="2" borderId="14" xfId="9" applyNumberFormat="1" applyFont="1" applyFill="1" applyBorder="1" applyAlignment="1">
      <alignment vertical="center"/>
    </xf>
    <xf numFmtId="4" fontId="11" fillId="2" borderId="0" xfId="9" applyNumberFormat="1" applyFont="1" applyFill="1" applyAlignment="1">
      <alignment horizontal="right" vertical="center"/>
    </xf>
    <xf numFmtId="164" fontId="12" fillId="2" borderId="0" xfId="9" applyNumberFormat="1" applyFont="1" applyFill="1" applyAlignment="1">
      <alignment vertical="center"/>
    </xf>
    <xf numFmtId="165" fontId="11" fillId="2" borderId="0" xfId="9" applyNumberFormat="1" applyFont="1" applyFill="1" applyAlignment="1">
      <alignment horizontal="right" vertical="center"/>
    </xf>
    <xf numFmtId="169" fontId="12" fillId="0" borderId="14" xfId="9" applyNumberFormat="1" applyFont="1" applyBorder="1" applyAlignment="1">
      <alignment horizontal="left" vertical="center" indent="1"/>
    </xf>
    <xf numFmtId="165" fontId="12" fillId="0" borderId="0" xfId="9" applyNumberFormat="1" applyFont="1" applyAlignment="1">
      <alignment horizontal="right" vertical="center"/>
    </xf>
    <xf numFmtId="4" fontId="12" fillId="0" borderId="0" xfId="9" applyNumberFormat="1" applyFont="1" applyAlignment="1">
      <alignment vertical="center"/>
    </xf>
    <xf numFmtId="4" fontId="12" fillId="0" borderId="16" xfId="9" applyNumberFormat="1" applyFont="1" applyBorder="1" applyAlignment="1">
      <alignment horizontal="right" vertical="center"/>
    </xf>
    <xf numFmtId="169" fontId="11" fillId="2" borderId="25" xfId="9" applyNumberFormat="1" applyFont="1" applyFill="1" applyBorder="1" applyAlignment="1">
      <alignment horizontal="left" vertical="center" wrapText="1"/>
    </xf>
    <xf numFmtId="4" fontId="11" fillId="2" borderId="22" xfId="9" applyNumberFormat="1" applyFont="1" applyFill="1" applyBorder="1" applyAlignment="1">
      <alignment vertical="center"/>
    </xf>
    <xf numFmtId="4" fontId="11" fillId="2" borderId="22" xfId="9" applyNumberFormat="1" applyFont="1" applyFill="1" applyBorder="1" applyAlignment="1">
      <alignment horizontal="center" vertical="center"/>
    </xf>
    <xf numFmtId="4" fontId="12" fillId="2" borderId="22" xfId="9" applyNumberFormat="1" applyFont="1" applyFill="1" applyBorder="1" applyAlignment="1">
      <alignment horizontal="center" vertical="center"/>
    </xf>
    <xf numFmtId="174" fontId="11" fillId="2" borderId="22" xfId="0" applyNumberFormat="1" applyFont="1" applyFill="1" applyBorder="1" applyAlignment="1">
      <alignment vertical="center"/>
    </xf>
    <xf numFmtId="4" fontId="11" fillId="2" borderId="16" xfId="9" applyNumberFormat="1" applyFont="1" applyFill="1" applyBorder="1" applyAlignment="1">
      <alignment vertical="center"/>
    </xf>
    <xf numFmtId="169" fontId="12" fillId="0" borderId="22" xfId="10" applyNumberFormat="1" applyBorder="1"/>
    <xf numFmtId="169" fontId="11" fillId="0" borderId="26" xfId="9" applyNumberFormat="1" applyFont="1" applyBorder="1" applyAlignment="1">
      <alignment horizontal="left" vertical="center"/>
    </xf>
    <xf numFmtId="169" fontId="12" fillId="0" borderId="24" xfId="10" applyNumberFormat="1" applyBorder="1"/>
    <xf numFmtId="4" fontId="12" fillId="0" borderId="24" xfId="10" applyNumberFormat="1" applyBorder="1" applyAlignment="1">
      <alignment horizontal="center"/>
    </xf>
    <xf numFmtId="0" fontId="11" fillId="0" borderId="0" xfId="10" applyFont="1" applyAlignment="1">
      <alignment horizontal="center" vertical="center"/>
    </xf>
    <xf numFmtId="0" fontId="12" fillId="0" borderId="14" xfId="9" applyFont="1" applyBorder="1" applyAlignment="1">
      <alignment horizontal="left" vertical="center" indent="1"/>
    </xf>
    <xf numFmtId="0" fontId="12" fillId="0" borderId="0" xfId="10" applyAlignment="1">
      <alignment horizontal="center" vertical="center"/>
    </xf>
    <xf numFmtId="4" fontId="12" fillId="3" borderId="0" xfId="0" applyNumberFormat="1" applyFont="1" applyFill="1" applyAlignment="1">
      <alignment horizontal="right" vertical="center"/>
    </xf>
    <xf numFmtId="0" fontId="12" fillId="0" borderId="27" xfId="9" applyFont="1" applyBorder="1" applyAlignment="1">
      <alignment horizontal="left" vertical="center" indent="1"/>
    </xf>
    <xf numFmtId="0" fontId="12" fillId="0" borderId="16" xfId="9" applyFont="1" applyBorder="1" applyAlignment="1">
      <alignment horizontal="center" vertical="center"/>
    </xf>
    <xf numFmtId="169" fontId="12" fillId="0" borderId="16" xfId="10" applyNumberFormat="1" applyBorder="1"/>
    <xf numFmtId="4" fontId="12" fillId="3" borderId="16" xfId="0" applyNumberFormat="1" applyFont="1" applyFill="1" applyBorder="1" applyAlignment="1">
      <alignment horizontal="right" vertical="center"/>
    </xf>
    <xf numFmtId="167" fontId="12" fillId="3" borderId="16" xfId="0" applyNumberFormat="1" applyFont="1" applyFill="1" applyBorder="1" applyAlignment="1">
      <alignment horizontal="right" vertical="center"/>
    </xf>
    <xf numFmtId="169" fontId="11" fillId="2" borderId="27" xfId="9" applyNumberFormat="1" applyFont="1" applyFill="1" applyBorder="1" applyAlignment="1">
      <alignment horizontal="left" vertical="center" wrapText="1"/>
    </xf>
    <xf numFmtId="4" fontId="11" fillId="2" borderId="16" xfId="9" applyNumberFormat="1" applyFont="1" applyFill="1" applyBorder="1" applyAlignment="1">
      <alignment horizontal="center" vertical="center"/>
    </xf>
    <xf numFmtId="4" fontId="12" fillId="2" borderId="16" xfId="9" applyNumberFormat="1" applyFont="1" applyFill="1" applyBorder="1" applyAlignment="1">
      <alignment horizontal="center" vertical="center"/>
    </xf>
    <xf numFmtId="174" fontId="11" fillId="2" borderId="16" xfId="0" applyNumberFormat="1" applyFont="1" applyFill="1" applyBorder="1" applyAlignment="1">
      <alignment vertical="center"/>
    </xf>
    <xf numFmtId="49" fontId="11" fillId="0" borderId="0" xfId="9" applyNumberFormat="1" applyFont="1" applyAlignment="1">
      <alignment horizontal="center" vertical="center"/>
    </xf>
    <xf numFmtId="49" fontId="11" fillId="0" borderId="0" xfId="9" applyNumberFormat="1" applyFont="1" applyAlignment="1">
      <alignment horizontal="left" vertical="center" wrapText="1"/>
    </xf>
    <xf numFmtId="0" fontId="11" fillId="0" borderId="0" xfId="9" applyFont="1" applyAlignment="1">
      <alignment horizontal="left" vertical="center" wrapText="1"/>
    </xf>
    <xf numFmtId="175" fontId="11" fillId="0" borderId="0" xfId="9" applyNumberFormat="1" applyFont="1" applyAlignment="1">
      <alignment vertical="center"/>
    </xf>
    <xf numFmtId="0" fontId="12" fillId="0" borderId="0" xfId="9" applyFont="1" applyAlignment="1">
      <alignment vertical="center"/>
    </xf>
    <xf numFmtId="49" fontId="11" fillId="0" borderId="0" xfId="9" applyNumberFormat="1" applyFont="1" applyAlignment="1">
      <alignment vertical="center"/>
    </xf>
    <xf numFmtId="49" fontId="12" fillId="0" borderId="0" xfId="9" applyNumberFormat="1" applyFont="1" applyAlignment="1">
      <alignment vertical="center"/>
    </xf>
    <xf numFmtId="174" fontId="11" fillId="0" borderId="0" xfId="14" applyNumberFormat="1" applyFont="1" applyAlignment="1">
      <alignment vertical="center"/>
    </xf>
    <xf numFmtId="4" fontId="11" fillId="3" borderId="0" xfId="14" applyNumberFormat="1" applyFont="1" applyFill="1" applyAlignment="1">
      <alignment horizontal="right" vertical="center"/>
    </xf>
    <xf numFmtId="0" fontId="12" fillId="0" borderId="0" xfId="14" applyFont="1" applyAlignment="1">
      <alignment horizontal="center" vertical="center"/>
    </xf>
    <xf numFmtId="176" fontId="12" fillId="3" borderId="0" xfId="14" applyNumberFormat="1" applyFont="1" applyFill="1" applyAlignment="1">
      <alignment horizontal="right" vertical="center"/>
    </xf>
    <xf numFmtId="0" fontId="12" fillId="0" borderId="0" xfId="14" applyFont="1" applyAlignment="1">
      <alignment horizontal="left" vertical="center" wrapText="1"/>
    </xf>
    <xf numFmtId="14" fontId="12" fillId="0" borderId="0" xfId="14" applyNumberFormat="1" applyFont="1" applyAlignment="1">
      <alignment horizontal="right" vertical="center" wrapText="1"/>
    </xf>
    <xf numFmtId="176" fontId="12" fillId="0" borderId="0" xfId="14" applyNumberFormat="1" applyFont="1" applyAlignment="1">
      <alignment horizontal="right" vertical="center"/>
    </xf>
    <xf numFmtId="0" fontId="12" fillId="3" borderId="0" xfId="14" applyFont="1" applyFill="1" applyAlignment="1">
      <alignment horizontal="center" vertical="center"/>
    </xf>
    <xf numFmtId="0" fontId="12" fillId="3" borderId="0" xfId="14" applyFont="1" applyFill="1" applyAlignment="1">
      <alignment horizontal="left" vertical="center"/>
    </xf>
    <xf numFmtId="176" fontId="12" fillId="3" borderId="0" xfId="14" applyNumberFormat="1" applyFont="1" applyFill="1" applyAlignment="1">
      <alignment horizontal="right"/>
    </xf>
    <xf numFmtId="0" fontId="12" fillId="3" borderId="0" xfId="0" applyFont="1" applyFill="1" applyAlignment="1">
      <alignment horizontal="left" vertical="center" wrapText="1"/>
    </xf>
    <xf numFmtId="49" fontId="12" fillId="3" borderId="0" xfId="14" applyNumberFormat="1" applyFont="1" applyFill="1" applyAlignment="1">
      <alignment horizontal="left" vertical="center" wrapText="1"/>
    </xf>
    <xf numFmtId="0" fontId="12" fillId="3" borderId="0" xfId="10" applyFill="1" applyAlignment="1">
      <alignment vertical="center"/>
    </xf>
    <xf numFmtId="49" fontId="12" fillId="3" borderId="0" xfId="14" applyNumberFormat="1" applyFont="1" applyFill="1" applyAlignment="1">
      <alignment horizontal="left" vertical="center" indent="2"/>
    </xf>
    <xf numFmtId="49" fontId="12" fillId="3" borderId="0" xfId="14" applyNumberFormat="1" applyFont="1" applyFill="1" applyAlignment="1">
      <alignment horizontal="right" vertical="center" wrapText="1"/>
    </xf>
    <xf numFmtId="0" fontId="12" fillId="0" borderId="0" xfId="14" applyFont="1" applyAlignment="1">
      <alignment vertical="center"/>
    </xf>
    <xf numFmtId="0" fontId="12" fillId="0" borderId="27" xfId="3" applyFont="1" applyBorder="1"/>
    <xf numFmtId="14" fontId="12" fillId="0" borderId="16" xfId="3" applyNumberFormat="1" applyFont="1" applyBorder="1" applyAlignment="1">
      <alignment horizontal="right"/>
    </xf>
    <xf numFmtId="0" fontId="12" fillId="0" borderId="16" xfId="3" applyFont="1" applyBorder="1" applyAlignment="1">
      <alignment horizontal="right"/>
    </xf>
    <xf numFmtId="174" fontId="12" fillId="0" borderId="16" xfId="3" applyNumberFormat="1" applyFont="1" applyBorder="1" applyAlignment="1">
      <alignment horizontal="right"/>
    </xf>
    <xf numFmtId="0" fontId="12" fillId="0" borderId="27" xfId="0" applyFont="1" applyBorder="1" applyAlignment="1">
      <alignment vertical="center"/>
    </xf>
    <xf numFmtId="174" fontId="12" fillId="0" borderId="16" xfId="0" applyNumberFormat="1" applyFont="1" applyBorder="1" applyAlignment="1">
      <alignment horizontal="right" vertical="center"/>
    </xf>
    <xf numFmtId="178" fontId="12" fillId="0" borderId="16" xfId="0" applyNumberFormat="1" applyFont="1" applyBorder="1" applyAlignment="1">
      <alignment horizontal="right" vertical="center" wrapText="1"/>
    </xf>
    <xf numFmtId="0" fontId="21" fillId="2" borderId="22" xfId="10" applyFont="1" applyFill="1" applyBorder="1" applyAlignment="1">
      <alignment horizontal="center" vertical="center"/>
    </xf>
    <xf numFmtId="169" fontId="11" fillId="2" borderId="22" xfId="16" applyNumberFormat="1" applyFont="1" applyFill="1" applyBorder="1" applyAlignment="1">
      <alignment horizontal="right" vertical="center" wrapText="1"/>
    </xf>
    <xf numFmtId="169" fontId="11" fillId="0" borderId="0" xfId="16" applyNumberFormat="1" applyFont="1" applyAlignment="1">
      <alignment horizontal="right" vertical="center" wrapText="1"/>
    </xf>
    <xf numFmtId="177" fontId="11" fillId="2" borderId="0" xfId="10" applyNumberFormat="1" applyFont="1" applyFill="1" applyAlignment="1">
      <alignment horizontal="left" vertical="center"/>
    </xf>
    <xf numFmtId="169" fontId="12" fillId="0" borderId="0" xfId="10" applyNumberFormat="1" applyAlignment="1">
      <alignment horizontal="left" vertical="center" wrapText="1"/>
    </xf>
    <xf numFmtId="0" fontId="14" fillId="3" borderId="0" xfId="0" applyFont="1" applyFill="1" applyAlignment="1">
      <alignment horizontal="right" vertical="center"/>
    </xf>
    <xf numFmtId="0" fontId="14" fillId="3" borderId="0" xfId="0" applyFont="1" applyFill="1" applyAlignment="1">
      <alignment vertical="center"/>
    </xf>
    <xf numFmtId="0" fontId="22" fillId="3" borderId="0" xfId="0" applyFont="1" applyFill="1" applyAlignment="1">
      <alignment vertical="top"/>
    </xf>
    <xf numFmtId="3" fontId="14" fillId="3" borderId="0" xfId="0" applyNumberFormat="1" applyFont="1" applyFill="1" applyAlignment="1">
      <alignment horizontal="right" vertical="center"/>
    </xf>
    <xf numFmtId="0" fontId="14" fillId="3" borderId="27" xfId="0" applyFont="1" applyFill="1" applyBorder="1" applyAlignment="1">
      <alignment vertical="center"/>
    </xf>
    <xf numFmtId="3" fontId="14" fillId="3" borderId="16" xfId="0" applyNumberFormat="1" applyFont="1" applyFill="1" applyBorder="1" applyAlignment="1">
      <alignment horizontal="right" vertical="center"/>
    </xf>
    <xf numFmtId="0" fontId="22" fillId="3" borderId="16" xfId="0" applyFont="1" applyFill="1" applyBorder="1" applyAlignment="1">
      <alignment vertical="top"/>
    </xf>
    <xf numFmtId="4" fontId="11" fillId="2" borderId="19" xfId="9" applyNumberFormat="1" applyFont="1" applyFill="1" applyBorder="1" applyAlignment="1">
      <alignment vertical="center"/>
    </xf>
    <xf numFmtId="0" fontId="12" fillId="0" borderId="0" xfId="9" applyFont="1" applyAlignment="1">
      <alignment horizontal="center" vertical="center"/>
    </xf>
    <xf numFmtId="49" fontId="11" fillId="0" borderId="0" xfId="9" applyNumberFormat="1" applyFont="1" applyAlignment="1">
      <alignment horizontal="center" vertical="center" wrapText="1"/>
    </xf>
    <xf numFmtId="1" fontId="11" fillId="0" borderId="0" xfId="9" applyNumberFormat="1" applyFont="1" applyAlignment="1">
      <alignment horizontal="right" vertical="center" wrapText="1"/>
    </xf>
    <xf numFmtId="0" fontId="11" fillId="0" borderId="0" xfId="9" applyFont="1" applyAlignment="1">
      <alignment vertical="center" wrapText="1"/>
    </xf>
    <xf numFmtId="49" fontId="11" fillId="0" borderId="0" xfId="14" applyNumberFormat="1" applyFont="1" applyAlignment="1">
      <alignment horizontal="right" vertical="center" wrapText="1"/>
    </xf>
    <xf numFmtId="49" fontId="12" fillId="0" borderId="0" xfId="14" applyNumberFormat="1" applyFont="1" applyAlignment="1">
      <alignment vertical="center" wrapText="1"/>
    </xf>
    <xf numFmtId="4" fontId="11" fillId="0" borderId="0" xfId="14" applyNumberFormat="1" applyFont="1" applyAlignment="1">
      <alignment horizontal="right" vertical="center"/>
    </xf>
    <xf numFmtId="49" fontId="41" fillId="0" borderId="0" xfId="9" applyNumberFormat="1" applyFont="1" applyAlignment="1">
      <alignment vertical="center"/>
    </xf>
    <xf numFmtId="0" fontId="11" fillId="0" borderId="0" xfId="0" applyFont="1" applyAlignment="1">
      <alignment vertical="center" wrapText="1"/>
    </xf>
    <xf numFmtId="167" fontId="10" fillId="0" borderId="0" xfId="0" applyNumberFormat="1" applyFont="1"/>
    <xf numFmtId="0" fontId="25" fillId="0" borderId="0" xfId="0" applyFont="1" applyAlignment="1">
      <alignment horizontal="justify"/>
    </xf>
    <xf numFmtId="0" fontId="14" fillId="0" borderId="0" xfId="0" applyFont="1" applyAlignment="1">
      <alignment horizontal="justify"/>
    </xf>
    <xf numFmtId="2" fontId="10" fillId="3" borderId="0" xfId="0" applyNumberFormat="1" applyFont="1" applyFill="1"/>
    <xf numFmtId="167" fontId="10" fillId="3" borderId="0" xfId="0" applyNumberFormat="1" applyFont="1" applyFill="1"/>
    <xf numFmtId="0" fontId="12" fillId="0" borderId="0" xfId="22" applyFont="1" applyAlignment="1">
      <alignment horizontal="left" vertical="center"/>
    </xf>
    <xf numFmtId="164" fontId="12" fillId="3" borderId="0" xfId="0" applyNumberFormat="1" applyFont="1" applyFill="1" applyAlignment="1">
      <alignment horizontal="right"/>
    </xf>
    <xf numFmtId="0" fontId="20" fillId="0" borderId="0" xfId="2" applyFont="1" applyAlignment="1">
      <alignment horizontal="left" vertical="center" wrapText="1"/>
    </xf>
    <xf numFmtId="0" fontId="10" fillId="0" borderId="0" xfId="2" applyFont="1" applyAlignment="1">
      <alignment vertical="center"/>
    </xf>
    <xf numFmtId="3" fontId="10" fillId="3" borderId="0" xfId="2" applyNumberFormat="1" applyFont="1" applyFill="1" applyAlignment="1">
      <alignment vertical="center"/>
    </xf>
    <xf numFmtId="164" fontId="10" fillId="3" borderId="0" xfId="2" applyNumberFormat="1" applyFont="1" applyFill="1" applyAlignment="1">
      <alignment vertical="center"/>
    </xf>
    <xf numFmtId="3" fontId="45" fillId="0" borderId="0" xfId="2" applyNumberFormat="1" applyFont="1" applyAlignment="1">
      <alignment horizontal="left"/>
    </xf>
    <xf numFmtId="3" fontId="46" fillId="0" borderId="0" xfId="2" applyNumberFormat="1" applyFont="1" applyAlignment="1">
      <alignment horizontal="right"/>
    </xf>
    <xf numFmtId="0" fontId="46" fillId="0" borderId="0" xfId="2" applyFont="1"/>
    <xf numFmtId="169" fontId="11" fillId="3" borderId="0" xfId="9" applyNumberFormat="1" applyFont="1" applyFill="1" applyAlignment="1">
      <alignment horizontal="left" vertical="center" wrapText="1"/>
    </xf>
    <xf numFmtId="4" fontId="11" fillId="3" borderId="0" xfId="9" applyNumberFormat="1" applyFont="1" applyFill="1" applyAlignment="1">
      <alignment vertical="center"/>
    </xf>
    <xf numFmtId="4" fontId="11" fillId="3" borderId="0" xfId="9" applyNumberFormat="1" applyFont="1" applyFill="1" applyAlignment="1">
      <alignment horizontal="center" vertical="center"/>
    </xf>
    <xf numFmtId="4" fontId="12" fillId="3" borderId="0" xfId="9" applyNumberFormat="1" applyFont="1" applyFill="1" applyAlignment="1">
      <alignment horizontal="center" vertical="center"/>
    </xf>
    <xf numFmtId="174" fontId="11" fillId="3" borderId="0" xfId="0" applyNumberFormat="1" applyFont="1" applyFill="1" applyAlignment="1">
      <alignment vertical="center"/>
    </xf>
    <xf numFmtId="169" fontId="10" fillId="3" borderId="0" xfId="10" applyNumberFormat="1" applyFont="1" applyFill="1"/>
    <xf numFmtId="0" fontId="47" fillId="3" borderId="0" xfId="10" applyFont="1" applyFill="1"/>
    <xf numFmtId="0" fontId="12" fillId="3" borderId="35" xfId="0" applyFont="1" applyFill="1" applyBorder="1" applyAlignment="1">
      <alignment horizontal="left" vertical="center" wrapText="1"/>
    </xf>
    <xf numFmtId="0" fontId="12" fillId="3" borderId="0" xfId="10" applyFill="1" applyAlignment="1">
      <alignment horizontal="left" vertical="center" wrapText="1"/>
    </xf>
    <xf numFmtId="0" fontId="12" fillId="3" borderId="38" xfId="0" applyFont="1" applyFill="1" applyBorder="1" applyAlignment="1">
      <alignment horizontal="left" vertical="top" wrapText="1"/>
    </xf>
    <xf numFmtId="0" fontId="12" fillId="3" borderId="35" xfId="14" applyFont="1" applyFill="1" applyBorder="1" applyAlignment="1">
      <alignment vertical="center"/>
    </xf>
    <xf numFmtId="0" fontId="14" fillId="0" borderId="35" xfId="0" applyFont="1" applyBorder="1" applyAlignment="1">
      <alignment vertical="center"/>
    </xf>
    <xf numFmtId="185" fontId="48" fillId="3" borderId="35" xfId="0" applyNumberFormat="1" applyFont="1" applyFill="1" applyBorder="1" applyAlignment="1">
      <alignment horizontal="center" vertical="top" shrinkToFit="1"/>
    </xf>
    <xf numFmtId="0" fontId="12" fillId="3" borderId="35" xfId="10" applyFill="1" applyBorder="1" applyAlignment="1">
      <alignment vertical="center"/>
    </xf>
    <xf numFmtId="0" fontId="12" fillId="3" borderId="0" xfId="0" applyFont="1" applyFill="1" applyAlignment="1">
      <alignment horizontal="left" vertical="top" wrapText="1"/>
    </xf>
    <xf numFmtId="184" fontId="48" fillId="3" borderId="0" xfId="0" applyNumberFormat="1" applyFont="1" applyFill="1" applyAlignment="1">
      <alignment vertical="top" shrinkToFit="1"/>
    </xf>
    <xf numFmtId="185" fontId="48" fillId="3" borderId="0" xfId="0" applyNumberFormat="1" applyFont="1" applyFill="1" applyAlignment="1">
      <alignment horizontal="center" vertical="top" shrinkToFit="1"/>
    </xf>
    <xf numFmtId="4" fontId="49" fillId="3" borderId="35" xfId="0" applyNumberFormat="1" applyFont="1" applyFill="1" applyBorder="1" applyAlignment="1">
      <alignment horizontal="right" vertical="top" shrinkToFit="1"/>
    </xf>
    <xf numFmtId="184" fontId="12" fillId="3" borderId="0" xfId="14" applyNumberFormat="1" applyFont="1" applyFill="1" applyAlignment="1">
      <alignment vertical="top"/>
    </xf>
    <xf numFmtId="14" fontId="12" fillId="3" borderId="0" xfId="14" applyNumberFormat="1" applyFont="1" applyFill="1" applyAlignment="1">
      <alignment horizontal="center" vertical="top"/>
    </xf>
    <xf numFmtId="0" fontId="12" fillId="3" borderId="44" xfId="10" applyFill="1" applyBorder="1" applyAlignment="1">
      <alignment vertical="center"/>
    </xf>
    <xf numFmtId="0" fontId="44" fillId="3" borderId="0" xfId="0" applyFont="1" applyFill="1" applyAlignment="1">
      <alignment vertical="center"/>
    </xf>
    <xf numFmtId="0" fontId="11" fillId="3" borderId="0" xfId="14" applyFont="1" applyFill="1" applyAlignment="1">
      <alignment horizontal="right" vertical="center"/>
    </xf>
    <xf numFmtId="4" fontId="48" fillId="3" borderId="35" xfId="0" applyNumberFormat="1" applyFont="1" applyFill="1" applyBorder="1" applyAlignment="1">
      <alignment horizontal="right" vertical="top" shrinkToFit="1"/>
    </xf>
    <xf numFmtId="4" fontId="48" fillId="3" borderId="0" xfId="0" applyNumberFormat="1" applyFont="1" applyFill="1" applyAlignment="1">
      <alignment horizontal="right" vertical="top" shrinkToFit="1"/>
    </xf>
    <xf numFmtId="4" fontId="49" fillId="3" borderId="0" xfId="0" applyNumberFormat="1" applyFont="1" applyFill="1" applyAlignment="1">
      <alignment horizontal="right" vertical="top" shrinkToFit="1"/>
    </xf>
    <xf numFmtId="3" fontId="50" fillId="3" borderId="0" xfId="0" applyNumberFormat="1" applyFont="1" applyFill="1" applyAlignment="1">
      <alignment horizontal="right" vertical="center"/>
    </xf>
    <xf numFmtId="0" fontId="51" fillId="3" borderId="0" xfId="0" applyFont="1" applyFill="1" applyAlignment="1">
      <alignment vertical="top"/>
    </xf>
    <xf numFmtId="0" fontId="2" fillId="0" borderId="0" xfId="0" applyFont="1"/>
    <xf numFmtId="4" fontId="49" fillId="3" borderId="35" xfId="0" applyNumberFormat="1" applyFont="1" applyFill="1" applyBorder="1" applyAlignment="1">
      <alignment horizontal="right" vertical="top"/>
    </xf>
    <xf numFmtId="0" fontId="11" fillId="0" borderId="0" xfId="23" applyFont="1" applyAlignment="1">
      <alignment horizontal="right" vertical="center"/>
    </xf>
    <xf numFmtId="167" fontId="20" fillId="0" borderId="0" xfId="9" applyNumberFormat="1" applyFont="1" applyAlignment="1">
      <alignment horizontal="right" vertical="center" wrapText="1"/>
    </xf>
    <xf numFmtId="0" fontId="20" fillId="2" borderId="24" xfId="2" applyFont="1" applyFill="1" applyBorder="1" applyAlignment="1">
      <alignment horizontal="right" vertical="center" wrapText="1"/>
    </xf>
    <xf numFmtId="0" fontId="20" fillId="2" borderId="19" xfId="2" applyFont="1" applyFill="1" applyBorder="1" applyAlignment="1">
      <alignment horizontal="right" vertical="center" wrapText="1"/>
    </xf>
    <xf numFmtId="0" fontId="20" fillId="2" borderId="16" xfId="2" applyFont="1" applyFill="1" applyBorder="1" applyAlignment="1">
      <alignment horizontal="right" vertical="center" wrapText="1"/>
    </xf>
    <xf numFmtId="0" fontId="20" fillId="0" borderId="14" xfId="2" applyFont="1" applyBorder="1" applyAlignment="1">
      <alignment horizontal="center" vertical="center" wrapText="1"/>
    </xf>
    <xf numFmtId="0" fontId="20" fillId="2" borderId="14" xfId="2" applyFont="1" applyFill="1" applyBorder="1" applyAlignment="1">
      <alignment vertical="center"/>
    </xf>
    <xf numFmtId="0" fontId="20" fillId="0" borderId="14" xfId="2" applyFont="1" applyBorder="1" applyAlignment="1">
      <alignment vertical="center"/>
    </xf>
    <xf numFmtId="3" fontId="20" fillId="0" borderId="0" xfId="2" applyNumberFormat="1" applyFont="1" applyAlignment="1">
      <alignment horizontal="right" vertical="center"/>
    </xf>
    <xf numFmtId="0" fontId="10" fillId="0" borderId="14" xfId="2" applyFont="1" applyBorder="1" applyAlignment="1">
      <alignment vertical="center"/>
    </xf>
    <xf numFmtId="3" fontId="20" fillId="0" borderId="0" xfId="2" applyNumberFormat="1" applyFont="1"/>
    <xf numFmtId="3" fontId="10" fillId="0" borderId="0" xfId="2" applyNumberFormat="1" applyFont="1"/>
    <xf numFmtId="0" fontId="10" fillId="0" borderId="27" xfId="2" applyFont="1" applyBorder="1" applyAlignment="1">
      <alignment vertical="center"/>
    </xf>
    <xf numFmtId="3" fontId="20" fillId="0" borderId="16" xfId="2" applyNumberFormat="1" applyFont="1" applyBorder="1"/>
    <xf numFmtId="3" fontId="10" fillId="0" borderId="16" xfId="2" applyNumberFormat="1" applyFont="1" applyBorder="1"/>
    <xf numFmtId="164" fontId="10" fillId="0" borderId="16" xfId="2" applyNumberFormat="1" applyFont="1" applyBorder="1"/>
    <xf numFmtId="3" fontId="20" fillId="0" borderId="0" xfId="2" applyNumberFormat="1" applyFont="1" applyBorder="1" applyAlignment="1">
      <alignment horizontal="right" vertical="center" wrapText="1"/>
    </xf>
    <xf numFmtId="3" fontId="20" fillId="2" borderId="0" xfId="2" applyNumberFormat="1" applyFont="1" applyFill="1" applyBorder="1"/>
    <xf numFmtId="164" fontId="20" fillId="2" borderId="0" xfId="2" applyNumberFormat="1" applyFont="1" applyFill="1" applyBorder="1"/>
    <xf numFmtId="3" fontId="20" fillId="0" borderId="0" xfId="2" applyNumberFormat="1" applyFont="1" applyBorder="1" applyAlignment="1">
      <alignment horizontal="right" vertical="center"/>
    </xf>
    <xf numFmtId="0" fontId="10" fillId="0" borderId="0" xfId="2" applyFont="1" applyBorder="1"/>
    <xf numFmtId="3" fontId="20" fillId="0" borderId="0" xfId="2" applyNumberFormat="1" applyFont="1" applyBorder="1"/>
    <xf numFmtId="3" fontId="10" fillId="0" borderId="0" xfId="2" applyNumberFormat="1" applyFont="1" applyBorder="1"/>
    <xf numFmtId="164" fontId="10" fillId="0" borderId="0" xfId="2" applyNumberFormat="1" applyFont="1" applyBorder="1"/>
    <xf numFmtId="164" fontId="20" fillId="0" borderId="0" xfId="2" applyNumberFormat="1" applyFont="1" applyBorder="1"/>
    <xf numFmtId="165" fontId="20" fillId="0" borderId="0" xfId="2" applyNumberFormat="1" applyFont="1" applyBorder="1" applyAlignment="1">
      <alignment horizontal="right" vertical="center"/>
    </xf>
    <xf numFmtId="0" fontId="20" fillId="0" borderId="14" xfId="2" applyFont="1" applyBorder="1" applyAlignment="1">
      <alignment horizontal="center" vertical="center"/>
    </xf>
    <xf numFmtId="0" fontId="20" fillId="0" borderId="0" xfId="2" applyFont="1" applyAlignment="1">
      <alignment horizontal="right" vertical="center" wrapText="1"/>
    </xf>
    <xf numFmtId="3" fontId="20" fillId="2" borderId="0" xfId="2" applyNumberFormat="1" applyFont="1" applyFill="1" applyAlignment="1">
      <alignment horizontal="right" vertical="center"/>
    </xf>
    <xf numFmtId="166" fontId="20" fillId="2" borderId="0" xfId="2" applyNumberFormat="1" applyFont="1" applyFill="1" applyAlignment="1">
      <alignment horizontal="right" vertical="center"/>
    </xf>
    <xf numFmtId="0" fontId="25" fillId="2" borderId="0" xfId="0" applyFont="1" applyFill="1"/>
    <xf numFmtId="3" fontId="10" fillId="0" borderId="0" xfId="0" applyNumberFormat="1" applyFont="1"/>
    <xf numFmtId="3" fontId="10" fillId="0" borderId="0" xfId="2" applyNumberFormat="1" applyFont="1" applyAlignment="1">
      <alignment horizontal="right" vertical="center"/>
    </xf>
    <xf numFmtId="166" fontId="20" fillId="0" borderId="0" xfId="2" applyNumberFormat="1" applyFont="1" applyAlignment="1">
      <alignment horizontal="right" vertical="center"/>
    </xf>
    <xf numFmtId="3" fontId="10" fillId="3" borderId="0" xfId="2" applyNumberFormat="1" applyFont="1" applyFill="1" applyAlignment="1">
      <alignment horizontal="right" vertical="center"/>
    </xf>
    <xf numFmtId="3" fontId="20" fillId="0" borderId="16" xfId="2" applyNumberFormat="1" applyFont="1" applyBorder="1" applyAlignment="1">
      <alignment horizontal="right" vertical="center"/>
    </xf>
    <xf numFmtId="3" fontId="10" fillId="0" borderId="16" xfId="2" applyNumberFormat="1" applyFont="1" applyBorder="1" applyAlignment="1">
      <alignment horizontal="right" vertical="center"/>
    </xf>
    <xf numFmtId="166" fontId="20" fillId="0" borderId="16" xfId="2" applyNumberFormat="1" applyFont="1" applyBorder="1" applyAlignment="1">
      <alignment horizontal="right" vertical="center"/>
    </xf>
    <xf numFmtId="3" fontId="10" fillId="3" borderId="16" xfId="2" applyNumberFormat="1" applyFont="1" applyFill="1" applyBorder="1" applyAlignment="1">
      <alignment horizontal="right" vertical="center"/>
    </xf>
    <xf numFmtId="3" fontId="20" fillId="2" borderId="24" xfId="2" applyNumberFormat="1" applyFont="1" applyFill="1" applyBorder="1" applyAlignment="1">
      <alignment horizontal="right" vertical="center" wrapText="1"/>
    </xf>
    <xf numFmtId="3" fontId="20" fillId="2" borderId="16" xfId="2" applyNumberFormat="1" applyFont="1" applyFill="1" applyBorder="1" applyAlignment="1">
      <alignment horizontal="right" vertical="center"/>
    </xf>
    <xf numFmtId="3" fontId="20" fillId="2" borderId="16" xfId="2" applyNumberFormat="1" applyFont="1" applyFill="1" applyBorder="1" applyAlignment="1">
      <alignment horizontal="right" vertical="center" wrapText="1"/>
    </xf>
    <xf numFmtId="0" fontId="20" fillId="2" borderId="14" xfId="2" applyFont="1" applyFill="1" applyBorder="1" applyAlignment="1">
      <alignment horizontal="left" vertical="center"/>
    </xf>
    <xf numFmtId="3" fontId="20" fillId="2" borderId="0" xfId="2" applyNumberFormat="1" applyFont="1" applyFill="1" applyAlignment="1">
      <alignment horizontal="right" vertical="center" wrapText="1"/>
    </xf>
    <xf numFmtId="0" fontId="20" fillId="3" borderId="14" xfId="2" applyFont="1" applyFill="1" applyBorder="1" applyAlignment="1">
      <alignment vertical="center"/>
    </xf>
    <xf numFmtId="0" fontId="10" fillId="3" borderId="14" xfId="2" applyFont="1" applyFill="1" applyBorder="1" applyAlignment="1">
      <alignment vertical="center"/>
    </xf>
    <xf numFmtId="0" fontId="10" fillId="3" borderId="14" xfId="0" applyFont="1" applyFill="1" applyBorder="1" applyAlignment="1">
      <alignment vertical="center"/>
    </xf>
    <xf numFmtId="0" fontId="10" fillId="3" borderId="27" xfId="2" applyFont="1" applyFill="1" applyBorder="1" applyAlignment="1">
      <alignment vertical="center"/>
    </xf>
    <xf numFmtId="3" fontId="10" fillId="3" borderId="16" xfId="2" applyNumberFormat="1" applyFont="1" applyFill="1" applyBorder="1" applyAlignment="1">
      <alignment vertical="center"/>
    </xf>
    <xf numFmtId="3" fontId="20" fillId="2" borderId="22" xfId="2" applyNumberFormat="1" applyFont="1" applyFill="1" applyBorder="1" applyAlignment="1">
      <alignment horizontal="center" vertical="center" wrapText="1"/>
    </xf>
    <xf numFmtId="3" fontId="20" fillId="2" borderId="22" xfId="0" applyNumberFormat="1" applyFont="1" applyFill="1" applyBorder="1" applyAlignment="1">
      <alignment horizontal="right" vertical="center" wrapText="1"/>
    </xf>
    <xf numFmtId="49" fontId="20" fillId="2" borderId="22" xfId="0" applyNumberFormat="1" applyFont="1" applyFill="1" applyBorder="1" applyAlignment="1">
      <alignment horizontal="right" vertical="center" wrapText="1"/>
    </xf>
    <xf numFmtId="3" fontId="20" fillId="2" borderId="22" xfId="0" applyNumberFormat="1" applyFont="1" applyFill="1" applyBorder="1" applyAlignment="1">
      <alignment horizontal="right" wrapText="1"/>
    </xf>
    <xf numFmtId="0" fontId="20" fillId="3" borderId="14" xfId="2" applyFont="1" applyFill="1" applyBorder="1" applyAlignment="1">
      <alignment horizontal="left" vertical="center"/>
    </xf>
    <xf numFmtId="3" fontId="20" fillId="3" borderId="0" xfId="0" applyNumberFormat="1" applyFont="1" applyFill="1" applyAlignment="1">
      <alignment horizontal="right" vertical="center"/>
    </xf>
    <xf numFmtId="3" fontId="20" fillId="3" borderId="0" xfId="0" applyNumberFormat="1" applyFont="1" applyFill="1" applyAlignment="1">
      <alignment horizontal="right" wrapText="1"/>
    </xf>
    <xf numFmtId="3" fontId="20" fillId="2" borderId="0" xfId="0" applyNumberFormat="1" applyFont="1" applyFill="1"/>
    <xf numFmtId="3" fontId="10" fillId="3" borderId="0" xfId="0" applyNumberFormat="1" applyFont="1" applyFill="1"/>
    <xf numFmtId="3" fontId="10" fillId="3" borderId="0" xfId="0" applyNumberFormat="1" applyFont="1" applyFill="1" applyAlignment="1">
      <alignment horizontal="right"/>
    </xf>
    <xf numFmtId="3" fontId="10" fillId="3" borderId="16" xfId="0" applyNumberFormat="1" applyFont="1" applyFill="1" applyBorder="1"/>
    <xf numFmtId="3" fontId="10" fillId="3" borderId="16" xfId="0" applyNumberFormat="1" applyFont="1" applyFill="1" applyBorder="1" applyAlignment="1">
      <alignment horizontal="right"/>
    </xf>
    <xf numFmtId="0" fontId="20" fillId="0" borderId="14" xfId="2" applyFont="1" applyBorder="1" applyAlignment="1">
      <alignment horizontal="left" vertical="center" wrapText="1"/>
    </xf>
    <xf numFmtId="3" fontId="20" fillId="0" borderId="0" xfId="0" applyNumberFormat="1" applyFont="1" applyAlignment="1">
      <alignment horizontal="left" vertical="center"/>
    </xf>
    <xf numFmtId="3" fontId="20" fillId="0" borderId="0" xfId="0" applyNumberFormat="1" applyFont="1" applyAlignment="1">
      <alignment horizontal="left" wrapText="1"/>
    </xf>
    <xf numFmtId="3" fontId="20" fillId="2" borderId="0" xfId="2" applyNumberFormat="1" applyFont="1" applyFill="1" applyAlignment="1">
      <alignment horizontal="right"/>
    </xf>
    <xf numFmtId="3" fontId="20" fillId="2" borderId="0" xfId="0" applyNumberFormat="1" applyFont="1" applyFill="1" applyAlignment="1">
      <alignment horizontal="left" wrapText="1"/>
    </xf>
    <xf numFmtId="3" fontId="10" fillId="3" borderId="0" xfId="2" applyNumberFormat="1" applyFont="1" applyFill="1" applyAlignment="1">
      <alignment horizontal="right"/>
    </xf>
    <xf numFmtId="3" fontId="20" fillId="3" borderId="0" xfId="2" applyNumberFormat="1" applyFont="1" applyFill="1" applyAlignment="1">
      <alignment vertical="center"/>
    </xf>
    <xf numFmtId="0" fontId="10" fillId="0" borderId="14" xfId="0" applyFont="1" applyBorder="1" applyAlignment="1">
      <alignment vertical="center"/>
    </xf>
    <xf numFmtId="3" fontId="10" fillId="3" borderId="0" xfId="0" applyNumberFormat="1" applyFont="1" applyFill="1" applyAlignment="1">
      <alignment vertical="center"/>
    </xf>
    <xf numFmtId="3" fontId="10" fillId="3" borderId="16" xfId="2" applyNumberFormat="1" applyFont="1" applyFill="1" applyBorder="1" applyAlignment="1">
      <alignment horizontal="right"/>
    </xf>
    <xf numFmtId="49" fontId="53" fillId="2" borderId="22" xfId="7" applyNumberFormat="1" applyFont="1" applyFill="1" applyBorder="1" applyAlignment="1">
      <alignment horizontal="right" vertical="center" wrapText="1"/>
    </xf>
    <xf numFmtId="49" fontId="20" fillId="2" borderId="22" xfId="7" applyNumberFormat="1" applyFont="1" applyFill="1" applyBorder="1" applyAlignment="1">
      <alignment horizontal="right" vertical="center" wrapText="1"/>
    </xf>
    <xf numFmtId="49" fontId="20" fillId="2" borderId="24" xfId="7" applyNumberFormat="1" applyFont="1" applyFill="1" applyBorder="1" applyAlignment="1">
      <alignment horizontal="right" vertical="center" wrapText="1"/>
    </xf>
    <xf numFmtId="49" fontId="20" fillId="2" borderId="16" xfId="7" applyNumberFormat="1" applyFont="1" applyFill="1" applyBorder="1" applyAlignment="1">
      <alignment horizontal="right" vertical="center" wrapText="1"/>
    </xf>
    <xf numFmtId="0" fontId="20" fillId="0" borderId="14" xfId="7" applyFont="1" applyBorder="1" applyAlignment="1">
      <alignment horizontal="center" vertical="center" wrapText="1"/>
    </xf>
    <xf numFmtId="49" fontId="53" fillId="0" borderId="0" xfId="7" applyNumberFormat="1" applyFont="1" applyAlignment="1">
      <alignment horizontal="right" vertical="center" wrapText="1"/>
    </xf>
    <xf numFmtId="49" fontId="20" fillId="0" borderId="0" xfId="7" applyNumberFormat="1" applyFont="1" applyAlignment="1">
      <alignment horizontal="right" vertical="center" wrapText="1"/>
    </xf>
    <xf numFmtId="3" fontId="46" fillId="0" borderId="0" xfId="8" applyNumberFormat="1" applyFont="1" applyAlignment="1">
      <alignment horizontal="right" vertical="center"/>
    </xf>
    <xf numFmtId="3" fontId="46" fillId="0" borderId="0" xfId="2" applyNumberFormat="1" applyFont="1"/>
    <xf numFmtId="0" fontId="53" fillId="0" borderId="0" xfId="2" applyFont="1"/>
    <xf numFmtId="3" fontId="53" fillId="0" borderId="0" xfId="2" applyNumberFormat="1" applyFont="1" applyAlignment="1">
      <alignment horizontal="right" vertical="center"/>
    </xf>
    <xf numFmtId="4" fontId="20" fillId="0" borderId="0" xfId="2" applyNumberFormat="1" applyFont="1" applyAlignment="1">
      <alignment horizontal="right" vertical="center"/>
    </xf>
    <xf numFmtId="3" fontId="53" fillId="0" borderId="0" xfId="2" applyNumberFormat="1" applyFont="1"/>
    <xf numFmtId="3" fontId="46" fillId="0" borderId="0" xfId="2" applyNumberFormat="1" applyFont="1" applyAlignment="1">
      <alignment horizontal="right" vertical="center"/>
    </xf>
    <xf numFmtId="3" fontId="46" fillId="0" borderId="16" xfId="8" applyNumberFormat="1" applyFont="1" applyBorder="1" applyAlignment="1">
      <alignment horizontal="right" vertical="center"/>
    </xf>
    <xf numFmtId="3" fontId="53" fillId="0" borderId="16" xfId="2" applyNumberFormat="1" applyFont="1" applyBorder="1" applyAlignment="1">
      <alignment horizontal="right" vertical="center"/>
    </xf>
    <xf numFmtId="3" fontId="46" fillId="0" borderId="16" xfId="2" applyNumberFormat="1" applyFont="1" applyBorder="1" applyAlignment="1">
      <alignment horizontal="right" vertical="center"/>
    </xf>
    <xf numFmtId="3" fontId="53" fillId="2" borderId="0" xfId="2" applyNumberFormat="1" applyFont="1" applyFill="1" applyAlignment="1">
      <alignment horizontal="right"/>
    </xf>
    <xf numFmtId="3" fontId="53" fillId="2" borderId="0" xfId="0" applyNumberFormat="1" applyFont="1" applyFill="1" applyAlignment="1">
      <alignment horizontal="left" wrapText="1"/>
    </xf>
    <xf numFmtId="3" fontId="53" fillId="2" borderId="0" xfId="8" applyNumberFormat="1" applyFont="1" applyFill="1" applyAlignment="1">
      <alignment horizontal="right" vertical="center"/>
    </xf>
    <xf numFmtId="3" fontId="53" fillId="2" borderId="0" xfId="2" applyNumberFormat="1" applyFont="1" applyFill="1" applyAlignment="1">
      <alignment horizontal="right" vertical="center"/>
    </xf>
    <xf numFmtId="167" fontId="20" fillId="2" borderId="24" xfId="9" applyNumberFormat="1" applyFont="1" applyFill="1" applyBorder="1" applyAlignment="1">
      <alignment horizontal="center" vertical="center" wrapText="1"/>
    </xf>
    <xf numFmtId="1" fontId="20" fillId="2" borderId="22" xfId="9" applyNumberFormat="1" applyFont="1" applyFill="1" applyBorder="1" applyAlignment="1">
      <alignment horizontal="right" vertical="center"/>
    </xf>
    <xf numFmtId="167" fontId="20" fillId="2" borderId="16" xfId="9" applyNumberFormat="1" applyFont="1" applyFill="1" applyBorder="1" applyAlignment="1">
      <alignment horizontal="center" vertical="center" wrapText="1"/>
    </xf>
    <xf numFmtId="167" fontId="20" fillId="0" borderId="14" xfId="9" applyNumberFormat="1" applyFont="1" applyBorder="1" applyAlignment="1">
      <alignment horizontal="center" vertical="center" wrapText="1"/>
    </xf>
    <xf numFmtId="165" fontId="20" fillId="0" borderId="0" xfId="9" applyNumberFormat="1" applyFont="1" applyAlignment="1">
      <alignment horizontal="left" vertical="center" wrapText="1"/>
    </xf>
    <xf numFmtId="165" fontId="20" fillId="0" borderId="0" xfId="9" applyNumberFormat="1" applyFont="1" applyAlignment="1">
      <alignment horizontal="right" vertical="center"/>
    </xf>
    <xf numFmtId="167" fontId="20" fillId="2" borderId="14" xfId="0" applyNumberFormat="1" applyFont="1" applyFill="1" applyBorder="1" applyAlignment="1">
      <alignment horizontal="left" vertical="center"/>
    </xf>
    <xf numFmtId="167" fontId="20" fillId="2" borderId="0" xfId="0" applyNumberFormat="1" applyFont="1" applyFill="1" applyAlignment="1">
      <alignment horizontal="right" vertical="center"/>
    </xf>
    <xf numFmtId="167" fontId="10" fillId="3" borderId="14" xfId="0" applyNumberFormat="1" applyFont="1" applyFill="1" applyBorder="1" applyAlignment="1">
      <alignment vertical="top"/>
    </xf>
    <xf numFmtId="167" fontId="10" fillId="3" borderId="0" xfId="0" applyNumberFormat="1" applyFont="1" applyFill="1" applyAlignment="1">
      <alignment vertical="top"/>
    </xf>
    <xf numFmtId="165" fontId="10" fillId="3" borderId="0" xfId="0" applyNumberFormat="1" applyFont="1" applyFill="1" applyAlignment="1">
      <alignment vertical="top"/>
    </xf>
    <xf numFmtId="14" fontId="10" fillId="3" borderId="0" xfId="0" applyNumberFormat="1" applyFont="1" applyFill="1" applyAlignment="1">
      <alignment vertical="top"/>
    </xf>
    <xf numFmtId="165" fontId="10" fillId="3" borderId="0" xfId="0" applyNumberFormat="1" applyFont="1" applyFill="1" applyAlignment="1">
      <alignment horizontal="right" vertical="center"/>
    </xf>
    <xf numFmtId="167" fontId="10" fillId="3" borderId="0" xfId="0" applyNumberFormat="1" applyFont="1" applyFill="1" applyAlignment="1">
      <alignment horizontal="right" vertical="center"/>
    </xf>
    <xf numFmtId="168" fontId="10" fillId="3" borderId="0" xfId="0" applyNumberFormat="1" applyFont="1" applyFill="1" applyAlignment="1">
      <alignment horizontal="right" vertical="center"/>
    </xf>
    <xf numFmtId="167" fontId="20" fillId="0" borderId="14" xfId="0" applyNumberFormat="1" applyFont="1" applyBorder="1" applyAlignment="1">
      <alignment vertical="top"/>
    </xf>
    <xf numFmtId="167" fontId="20" fillId="0" borderId="0" xfId="9" applyNumberFormat="1" applyFont="1" applyAlignment="1">
      <alignment horizontal="left" vertical="top"/>
    </xf>
    <xf numFmtId="165" fontId="20" fillId="0" borderId="0" xfId="9" applyNumberFormat="1" applyFont="1" applyAlignment="1">
      <alignment vertical="top"/>
    </xf>
    <xf numFmtId="14" fontId="20" fillId="0" borderId="0" xfId="9" applyNumberFormat="1" applyFont="1" applyAlignment="1">
      <alignment horizontal="right" vertical="top"/>
    </xf>
    <xf numFmtId="4" fontId="20" fillId="0" borderId="0" xfId="0" applyNumberFormat="1" applyFont="1" applyAlignment="1">
      <alignment horizontal="right" vertical="center"/>
    </xf>
    <xf numFmtId="167" fontId="25" fillId="0" borderId="14" xfId="0" applyNumberFormat="1" applyFont="1" applyBorder="1" applyAlignment="1">
      <alignment vertical="center"/>
    </xf>
    <xf numFmtId="167" fontId="10" fillId="0" borderId="0" xfId="0" applyNumberFormat="1" applyFont="1" applyAlignment="1">
      <alignment vertical="top"/>
    </xf>
    <xf numFmtId="165" fontId="10" fillId="0" borderId="0" xfId="0" applyNumberFormat="1" applyFont="1" applyAlignment="1">
      <alignment vertical="center"/>
    </xf>
    <xf numFmtId="14" fontId="10" fillId="0" borderId="0" xfId="0" applyNumberFormat="1" applyFont="1" applyAlignment="1">
      <alignment vertical="center"/>
    </xf>
    <xf numFmtId="4" fontId="10" fillId="0" borderId="0" xfId="0" applyNumberFormat="1" applyFont="1" applyAlignment="1">
      <alignment horizontal="right" vertical="center"/>
    </xf>
    <xf numFmtId="14" fontId="10" fillId="0" borderId="0" xfId="0" applyNumberFormat="1" applyFont="1" applyAlignment="1">
      <alignment horizontal="right" vertical="center" wrapText="1"/>
    </xf>
    <xf numFmtId="167" fontId="10" fillId="0" borderId="0" xfId="0" applyNumberFormat="1" applyFont="1" applyAlignment="1">
      <alignment vertical="center"/>
    </xf>
    <xf numFmtId="14" fontId="10" fillId="0" borderId="0" xfId="0" applyNumberFormat="1" applyFont="1" applyAlignment="1">
      <alignment horizontal="right" vertical="center"/>
    </xf>
    <xf numFmtId="165" fontId="10" fillId="0" borderId="0" xfId="0" applyNumberFormat="1" applyFont="1" applyAlignment="1">
      <alignment horizontal="left" vertical="center" wrapText="1"/>
    </xf>
    <xf numFmtId="167" fontId="25" fillId="3" borderId="14" xfId="0" applyNumberFormat="1" applyFont="1" applyFill="1" applyBorder="1" applyAlignment="1">
      <alignment vertical="center"/>
    </xf>
    <xf numFmtId="167" fontId="25" fillId="0" borderId="14" xfId="9" applyNumberFormat="1" applyFont="1" applyBorder="1" applyAlignment="1">
      <alignment vertical="center" wrapText="1"/>
    </xf>
    <xf numFmtId="167" fontId="10" fillId="0" borderId="0" xfId="9" applyNumberFormat="1" applyFont="1" applyAlignment="1">
      <alignment vertical="top" wrapText="1"/>
    </xf>
    <xf numFmtId="167" fontId="10" fillId="0" borderId="14" xfId="9" applyNumberFormat="1" applyFont="1" applyBorder="1" applyAlignment="1">
      <alignment horizontal="left" vertical="center"/>
    </xf>
    <xf numFmtId="4" fontId="20" fillId="0" borderId="0" xfId="9" applyNumberFormat="1" applyFont="1" applyAlignment="1">
      <alignment horizontal="right" vertical="center"/>
    </xf>
    <xf numFmtId="167" fontId="20" fillId="0" borderId="0" xfId="9" applyNumberFormat="1" applyFont="1" applyAlignment="1">
      <alignment horizontal="right" vertical="center"/>
    </xf>
    <xf numFmtId="167" fontId="20" fillId="0" borderId="14" xfId="0" applyNumberFormat="1" applyFont="1" applyBorder="1" applyAlignment="1">
      <alignment vertical="center"/>
    </xf>
    <xf numFmtId="165" fontId="20" fillId="0" borderId="0" xfId="0" applyNumberFormat="1" applyFont="1" applyAlignment="1">
      <alignment vertical="center"/>
    </xf>
    <xf numFmtId="14" fontId="20" fillId="0" borderId="0" xfId="0" applyNumberFormat="1" applyFont="1" applyAlignment="1">
      <alignment vertical="center"/>
    </xf>
    <xf numFmtId="167" fontId="10" fillId="0" borderId="14" xfId="9" applyNumberFormat="1" applyFont="1" applyBorder="1" applyAlignment="1">
      <alignment vertical="center" wrapText="1"/>
    </xf>
    <xf numFmtId="165" fontId="10" fillId="0" borderId="0" xfId="9" applyNumberFormat="1" applyFont="1" applyAlignment="1">
      <alignment vertical="center"/>
    </xf>
    <xf numFmtId="167" fontId="10" fillId="0" borderId="14" xfId="9" applyNumberFormat="1" applyFont="1" applyBorder="1" applyAlignment="1">
      <alignment horizontal="left" vertical="center" wrapText="1"/>
    </xf>
    <xf numFmtId="167" fontId="10" fillId="0" borderId="0" xfId="9" applyNumberFormat="1" applyFont="1" applyAlignment="1">
      <alignment horizontal="left" vertical="top" wrapText="1"/>
    </xf>
    <xf numFmtId="165" fontId="10" fillId="0" borderId="0" xfId="9" applyNumberFormat="1" applyFont="1" applyAlignment="1">
      <alignment horizontal="left" vertical="center" wrapText="1"/>
    </xf>
    <xf numFmtId="167" fontId="10" fillId="0" borderId="27" xfId="9" applyNumberFormat="1" applyFont="1" applyBorder="1" applyAlignment="1">
      <alignment horizontal="left" vertical="center"/>
    </xf>
    <xf numFmtId="167" fontId="10" fillId="0" borderId="16" xfId="9" applyNumberFormat="1" applyFont="1" applyBorder="1" applyAlignment="1">
      <alignment horizontal="left" vertical="top"/>
    </xf>
    <xf numFmtId="167" fontId="10" fillId="0" borderId="16" xfId="9" applyNumberFormat="1" applyFont="1" applyBorder="1" applyAlignment="1">
      <alignment vertical="center"/>
    </xf>
    <xf numFmtId="14" fontId="10" fillId="0" borderId="16" xfId="9" applyNumberFormat="1" applyFont="1" applyBorder="1" applyAlignment="1">
      <alignment horizontal="right" vertical="center"/>
    </xf>
    <xf numFmtId="4" fontId="10" fillId="0" borderId="16" xfId="0" applyNumberFormat="1" applyFont="1" applyBorder="1" applyAlignment="1">
      <alignment horizontal="right" vertical="center"/>
    </xf>
    <xf numFmtId="167" fontId="10" fillId="0" borderId="16" xfId="0" applyNumberFormat="1" applyFont="1" applyBorder="1" applyAlignment="1">
      <alignment horizontal="right" vertical="center"/>
    </xf>
    <xf numFmtId="167" fontId="20" fillId="3" borderId="3" xfId="0" applyNumberFormat="1" applyFont="1" applyFill="1" applyBorder="1" applyAlignment="1">
      <alignment vertical="center"/>
    </xf>
    <xf numFmtId="167" fontId="20" fillId="3" borderId="0" xfId="9" applyNumberFormat="1" applyFont="1" applyFill="1" applyAlignment="1">
      <alignment horizontal="left" vertical="top"/>
    </xf>
    <xf numFmtId="167" fontId="20" fillId="3" borderId="0" xfId="9" applyNumberFormat="1" applyFont="1" applyFill="1" applyAlignment="1">
      <alignment vertical="center"/>
    </xf>
    <xf numFmtId="14" fontId="20" fillId="3" borderId="0" xfId="9" applyNumberFormat="1" applyFont="1" applyFill="1" applyAlignment="1">
      <alignment horizontal="right" vertical="center"/>
    </xf>
    <xf numFmtId="4" fontId="20" fillId="3" borderId="0" xfId="0" applyNumberFormat="1" applyFont="1" applyFill="1" applyAlignment="1">
      <alignment horizontal="right" vertical="center"/>
    </xf>
    <xf numFmtId="167" fontId="20" fillId="3" borderId="0" xfId="0" applyNumberFormat="1" applyFont="1" applyFill="1" applyAlignment="1">
      <alignment horizontal="right" vertical="center"/>
    </xf>
    <xf numFmtId="167" fontId="10" fillId="3" borderId="3" xfId="9" applyNumberFormat="1" applyFont="1" applyFill="1" applyBorder="1" applyAlignment="1">
      <alignment horizontal="left" vertical="center" indent="1"/>
    </xf>
    <xf numFmtId="167" fontId="10" fillId="3" borderId="0" xfId="9" applyNumberFormat="1" applyFont="1" applyFill="1" applyAlignment="1">
      <alignment horizontal="left" vertical="top"/>
    </xf>
    <xf numFmtId="167" fontId="10" fillId="3" borderId="0" xfId="9" applyNumberFormat="1" applyFont="1" applyFill="1" applyAlignment="1">
      <alignment vertical="center"/>
    </xf>
    <xf numFmtId="14" fontId="10" fillId="3" borderId="0" xfId="0" applyNumberFormat="1" applyFont="1" applyFill="1" applyAlignment="1">
      <alignment horizontal="right" vertical="center" wrapText="1"/>
    </xf>
    <xf numFmtId="4" fontId="10" fillId="3" borderId="0" xfId="0" applyNumberFormat="1" applyFont="1" applyFill="1" applyAlignment="1">
      <alignment horizontal="right" vertical="center"/>
    </xf>
    <xf numFmtId="167" fontId="10" fillId="3" borderId="3" xfId="9" applyNumberFormat="1" applyFont="1" applyFill="1" applyBorder="1" applyAlignment="1">
      <alignment horizontal="left" vertical="center" wrapText="1" indent="1"/>
    </xf>
    <xf numFmtId="167" fontId="10" fillId="3" borderId="0" xfId="9" applyNumberFormat="1" applyFont="1" applyFill="1" applyAlignment="1">
      <alignment vertical="top" wrapText="1"/>
    </xf>
    <xf numFmtId="167" fontId="10" fillId="3" borderId="3" xfId="9" applyNumberFormat="1" applyFont="1" applyFill="1" applyBorder="1" applyAlignment="1">
      <alignment horizontal="left" vertical="center"/>
    </xf>
    <xf numFmtId="167" fontId="20" fillId="0" borderId="3" xfId="0" applyNumberFormat="1" applyFont="1" applyBorder="1" applyAlignment="1">
      <alignment vertical="top"/>
    </xf>
    <xf numFmtId="167" fontId="20" fillId="0" borderId="0" xfId="0" applyNumberFormat="1" applyFont="1" applyAlignment="1">
      <alignment vertical="top"/>
    </xf>
    <xf numFmtId="14" fontId="20" fillId="0" borderId="0" xfId="0" applyNumberFormat="1" applyFont="1" applyAlignment="1">
      <alignment vertical="top"/>
    </xf>
    <xf numFmtId="167" fontId="20" fillId="0" borderId="0" xfId="0" applyNumberFormat="1" applyFont="1" applyAlignment="1">
      <alignment horizontal="right" vertical="top"/>
    </xf>
    <xf numFmtId="167" fontId="10" fillId="0" borderId="3" xfId="9" applyNumberFormat="1" applyFont="1" applyBorder="1" applyAlignment="1">
      <alignment horizontal="left" vertical="center" indent="1"/>
    </xf>
    <xf numFmtId="167" fontId="20" fillId="0" borderId="0" xfId="9" applyNumberFormat="1" applyFont="1" applyAlignment="1">
      <alignment horizontal="left" vertical="center"/>
    </xf>
    <xf numFmtId="167" fontId="10" fillId="0" borderId="3" xfId="9" applyNumberFormat="1" applyFont="1" applyBorder="1" applyAlignment="1">
      <alignment horizontal="left" vertical="top"/>
    </xf>
    <xf numFmtId="14" fontId="10" fillId="0" borderId="0" xfId="9" applyNumberFormat="1" applyFont="1" applyAlignment="1">
      <alignment horizontal="right" vertical="top"/>
    </xf>
    <xf numFmtId="167" fontId="20" fillId="0" borderId="3" xfId="0" applyNumberFormat="1" applyFont="1" applyBorder="1"/>
    <xf numFmtId="167" fontId="20" fillId="0" borderId="0" xfId="0" applyNumberFormat="1" applyFont="1"/>
    <xf numFmtId="14" fontId="20" fillId="0" borderId="0" xfId="0" applyNumberFormat="1" applyFont="1"/>
    <xf numFmtId="167" fontId="10" fillId="0" borderId="0" xfId="0" applyNumberFormat="1" applyFont="1" applyAlignment="1">
      <alignment horizontal="right"/>
    </xf>
    <xf numFmtId="167" fontId="10" fillId="0" borderId="3" xfId="9" applyNumberFormat="1" applyFont="1" applyBorder="1" applyAlignment="1">
      <alignment horizontal="left" vertical="center"/>
    </xf>
    <xf numFmtId="14" fontId="10" fillId="0" borderId="0" xfId="0" applyNumberFormat="1" applyFont="1"/>
    <xf numFmtId="167" fontId="10" fillId="0" borderId="3" xfId="9" applyNumberFormat="1" applyFont="1" applyBorder="1" applyAlignment="1">
      <alignment horizontal="left" vertical="center" wrapText="1" indent="1"/>
    </xf>
    <xf numFmtId="14" fontId="10" fillId="0" borderId="0" xfId="9" applyNumberFormat="1" applyFont="1" applyAlignment="1">
      <alignment horizontal="right" vertical="center" wrapText="1"/>
    </xf>
    <xf numFmtId="167" fontId="10" fillId="0" borderId="17" xfId="9" applyNumberFormat="1" applyFont="1" applyBorder="1" applyAlignment="1">
      <alignment vertical="center" wrapText="1"/>
    </xf>
    <xf numFmtId="167" fontId="10" fillId="0" borderId="16" xfId="9" applyNumberFormat="1" applyFont="1" applyBorder="1" applyAlignment="1">
      <alignment wrapText="1"/>
    </xf>
    <xf numFmtId="14" fontId="10" fillId="0" borderId="16" xfId="9" applyNumberFormat="1" applyFont="1" applyBorder="1" applyAlignment="1">
      <alignment horizontal="right" vertical="center" wrapText="1"/>
    </xf>
    <xf numFmtId="167" fontId="10" fillId="0" borderId="16" xfId="0" applyNumberFormat="1" applyFont="1" applyBorder="1" applyAlignment="1">
      <alignment horizontal="right" vertical="top"/>
    </xf>
    <xf numFmtId="167" fontId="10" fillId="0" borderId="0" xfId="9" applyNumberFormat="1" applyFont="1" applyAlignment="1">
      <alignment horizontal="left"/>
    </xf>
    <xf numFmtId="167" fontId="10" fillId="0" borderId="0" xfId="9" applyNumberFormat="1" applyFont="1" applyAlignment="1">
      <alignment horizontal="left" vertical="center" wrapText="1"/>
    </xf>
    <xf numFmtId="167" fontId="10" fillId="0" borderId="3" xfId="0" applyNumberFormat="1" applyFont="1" applyBorder="1" applyAlignment="1">
      <alignment horizontal="left" indent="1"/>
    </xf>
    <xf numFmtId="167" fontId="10" fillId="0" borderId="3" xfId="0" applyNumberFormat="1" applyFont="1" applyBorder="1"/>
    <xf numFmtId="167" fontId="20" fillId="0" borderId="0" xfId="9" applyNumberFormat="1" applyFont="1" applyAlignment="1">
      <alignment vertical="center"/>
    </xf>
    <xf numFmtId="49" fontId="20" fillId="2" borderId="25" xfId="9" applyNumberFormat="1" applyFont="1" applyFill="1" applyBorder="1" applyAlignment="1">
      <alignment horizontal="center" vertical="center" wrapText="1"/>
    </xf>
    <xf numFmtId="49" fontId="20" fillId="2" borderId="22" xfId="9" applyNumberFormat="1" applyFont="1" applyFill="1" applyBorder="1" applyAlignment="1">
      <alignment horizontal="center" vertical="center"/>
    </xf>
    <xf numFmtId="49" fontId="20" fillId="2" borderId="22" xfId="9" applyNumberFormat="1" applyFont="1" applyFill="1" applyBorder="1" applyAlignment="1">
      <alignment horizontal="center" vertical="center" wrapText="1"/>
    </xf>
    <xf numFmtId="1" fontId="20" fillId="2" borderId="22" xfId="9" applyNumberFormat="1" applyFont="1" applyFill="1" applyBorder="1" applyAlignment="1">
      <alignment horizontal="right" vertical="center" wrapText="1"/>
    </xf>
    <xf numFmtId="49" fontId="20" fillId="0" borderId="14" xfId="9" applyNumberFormat="1" applyFont="1" applyBorder="1" applyAlignment="1">
      <alignment horizontal="center" vertical="center" wrapText="1"/>
    </xf>
    <xf numFmtId="49" fontId="20" fillId="0" borderId="0" xfId="9" applyNumberFormat="1" applyFont="1" applyAlignment="1">
      <alignment horizontal="left" vertical="center" wrapText="1"/>
    </xf>
    <xf numFmtId="0" fontId="20" fillId="2" borderId="14" xfId="9" applyFont="1" applyFill="1" applyBorder="1" applyAlignment="1">
      <alignment vertical="center" wrapText="1"/>
    </xf>
    <xf numFmtId="0" fontId="20" fillId="2" borderId="0" xfId="9" applyFont="1" applyFill="1" applyAlignment="1">
      <alignment horizontal="left" vertical="center" wrapText="1"/>
    </xf>
    <xf numFmtId="0" fontId="10" fillId="2" borderId="0" xfId="9" applyFont="1" applyFill="1" applyAlignment="1">
      <alignment horizontal="center" vertical="center"/>
    </xf>
    <xf numFmtId="175" fontId="20" fillId="2" borderId="0" xfId="9" applyNumberFormat="1" applyFont="1" applyFill="1" applyAlignment="1">
      <alignment vertical="center"/>
    </xf>
    <xf numFmtId="0" fontId="20" fillId="0" borderId="14" xfId="9" applyFont="1" applyBorder="1" applyAlignment="1">
      <alignment vertical="center"/>
    </xf>
    <xf numFmtId="0" fontId="20" fillId="0" borderId="0" xfId="9" applyFont="1" applyAlignment="1">
      <alignment horizontal="left" vertical="center" wrapText="1" indent="1"/>
    </xf>
    <xf numFmtId="0" fontId="20" fillId="0" borderId="0" xfId="9" applyFont="1" applyAlignment="1">
      <alignment horizontal="left" vertical="center" wrapText="1"/>
    </xf>
    <xf numFmtId="175" fontId="20" fillId="0" borderId="0" xfId="9" applyNumberFormat="1" applyFont="1" applyAlignment="1">
      <alignment vertical="center"/>
    </xf>
    <xf numFmtId="0" fontId="10" fillId="0" borderId="14" xfId="9" applyFont="1" applyBorder="1" applyAlignment="1">
      <alignment horizontal="left" vertical="center" indent="2"/>
    </xf>
    <xf numFmtId="0" fontId="10" fillId="0" borderId="0" xfId="9" applyFont="1" applyAlignment="1">
      <alignment horizontal="left" vertical="center" indent="2"/>
    </xf>
    <xf numFmtId="175" fontId="10" fillId="0" borderId="0" xfId="13" applyNumberFormat="1" applyFont="1" applyAlignment="1">
      <alignment vertical="center"/>
    </xf>
    <xf numFmtId="0" fontId="10" fillId="0" borderId="14" xfId="9" applyFont="1" applyBorder="1" applyAlignment="1">
      <alignment horizontal="left" vertical="center" wrapText="1" indent="2"/>
    </xf>
    <xf numFmtId="175" fontId="20" fillId="0" borderId="0" xfId="13" applyNumberFormat="1" applyFont="1" applyAlignment="1">
      <alignment vertical="center"/>
    </xf>
    <xf numFmtId="0" fontId="10" fillId="0" borderId="0" xfId="0" applyFont="1" applyAlignment="1">
      <alignment horizontal="center" vertical="center" wrapText="1"/>
    </xf>
    <xf numFmtId="0" fontId="10" fillId="0" borderId="27" xfId="9" applyFont="1" applyBorder="1" applyAlignment="1">
      <alignment horizontal="left" vertical="center" indent="2"/>
    </xf>
    <xf numFmtId="0" fontId="10" fillId="0" borderId="16" xfId="13" applyFont="1" applyBorder="1"/>
    <xf numFmtId="0" fontId="10" fillId="0" borderId="16" xfId="0" applyFont="1" applyBorder="1" applyAlignment="1">
      <alignment horizontal="center" vertical="center"/>
    </xf>
    <xf numFmtId="175" fontId="10" fillId="0" borderId="16" xfId="13" applyNumberFormat="1" applyFont="1" applyBorder="1" applyAlignment="1">
      <alignment vertical="center"/>
    </xf>
    <xf numFmtId="49" fontId="20" fillId="2" borderId="26" xfId="14" applyNumberFormat="1" applyFont="1" applyFill="1" applyBorder="1" applyAlignment="1">
      <alignment horizontal="center" vertical="center" wrapText="1"/>
    </xf>
    <xf numFmtId="49" fontId="20" fillId="2" borderId="22" xfId="9" applyNumberFormat="1" applyFont="1" applyFill="1" applyBorder="1" applyAlignment="1">
      <alignment horizontal="left" vertical="center" wrapText="1"/>
    </xf>
    <xf numFmtId="49" fontId="20" fillId="2" borderId="22" xfId="14" applyNumberFormat="1" applyFont="1" applyFill="1" applyBorder="1" applyAlignment="1">
      <alignment horizontal="right" vertical="center" wrapText="1"/>
    </xf>
    <xf numFmtId="49" fontId="20" fillId="3" borderId="14" xfId="14" applyNumberFormat="1" applyFont="1" applyFill="1" applyBorder="1" applyAlignment="1">
      <alignment horizontal="center" vertical="center" wrapText="1"/>
    </xf>
    <xf numFmtId="49" fontId="20" fillId="3" borderId="0" xfId="9" applyNumberFormat="1" applyFont="1" applyFill="1" applyAlignment="1">
      <alignment horizontal="center" vertical="center" wrapText="1"/>
    </xf>
    <xf numFmtId="49" fontId="20" fillId="3" borderId="0" xfId="9" applyNumberFormat="1" applyFont="1" applyFill="1" applyAlignment="1">
      <alignment horizontal="left" vertical="center" wrapText="1"/>
    </xf>
    <xf numFmtId="49" fontId="20" fillId="3" borderId="0" xfId="14" applyNumberFormat="1" applyFont="1" applyFill="1" applyAlignment="1">
      <alignment horizontal="right" vertical="center" wrapText="1"/>
    </xf>
    <xf numFmtId="174" fontId="20" fillId="2" borderId="14" xfId="14" applyNumberFormat="1" applyFont="1" applyFill="1" applyBorder="1" applyAlignment="1">
      <alignment vertical="center"/>
    </xf>
    <xf numFmtId="174" fontId="20" fillId="2" borderId="0" xfId="14" applyNumberFormat="1" applyFont="1" applyFill="1" applyAlignment="1">
      <alignment vertical="center"/>
    </xf>
    <xf numFmtId="0" fontId="10" fillId="2" borderId="0" xfId="14" applyFont="1" applyFill="1" applyAlignment="1">
      <alignment vertical="center"/>
    </xf>
    <xf numFmtId="14" fontId="10" fillId="2" borderId="0" xfId="14" applyNumberFormat="1" applyFont="1" applyFill="1" applyAlignment="1">
      <alignment horizontal="right" vertical="center"/>
    </xf>
    <xf numFmtId="4" fontId="20" fillId="2" borderId="0" xfId="14" applyNumberFormat="1" applyFont="1" applyFill="1" applyAlignment="1">
      <alignment horizontal="right" vertical="center"/>
    </xf>
    <xf numFmtId="174" fontId="20" fillId="3" borderId="14" xfId="14" applyNumberFormat="1" applyFont="1" applyFill="1" applyBorder="1" applyAlignment="1">
      <alignment vertical="center"/>
    </xf>
    <xf numFmtId="174" fontId="20" fillId="3" borderId="0" xfId="14" applyNumberFormat="1" applyFont="1" applyFill="1" applyAlignment="1">
      <alignment vertical="center"/>
    </xf>
    <xf numFmtId="0" fontId="10" fillId="3" borderId="0" xfId="14" applyFont="1" applyFill="1" applyAlignment="1">
      <alignment vertical="center"/>
    </xf>
    <xf numFmtId="14" fontId="10" fillId="3" borderId="0" xfId="14" applyNumberFormat="1" applyFont="1" applyFill="1" applyAlignment="1">
      <alignment horizontal="right" vertical="center"/>
    </xf>
    <xf numFmtId="4" fontId="20" fillId="3" borderId="0" xfId="14" applyNumberFormat="1" applyFont="1" applyFill="1" applyAlignment="1">
      <alignment horizontal="right" vertical="center"/>
    </xf>
    <xf numFmtId="0" fontId="10" fillId="0" borderId="14" xfId="14" applyFont="1" applyBorder="1" applyAlignment="1">
      <alignment vertical="center"/>
    </xf>
    <xf numFmtId="0" fontId="10" fillId="0" borderId="0" xfId="14" applyFont="1" applyAlignment="1">
      <alignment horizontal="center" vertical="center"/>
    </xf>
    <xf numFmtId="0" fontId="10" fillId="0" borderId="0" xfId="14" applyFont="1" applyAlignment="1">
      <alignment horizontal="left" vertical="center"/>
    </xf>
    <xf numFmtId="176" fontId="10" fillId="3" borderId="0" xfId="14" applyNumberFormat="1" applyFont="1" applyFill="1" applyAlignment="1">
      <alignment horizontal="right" vertical="center"/>
    </xf>
    <xf numFmtId="49" fontId="10" fillId="0" borderId="14" xfId="14" applyNumberFormat="1" applyFont="1" applyBorder="1" applyAlignment="1">
      <alignment vertical="center" wrapText="1"/>
    </xf>
    <xf numFmtId="0" fontId="10" fillId="0" borderId="0" xfId="14" applyFont="1" applyAlignment="1">
      <alignment horizontal="left" vertical="center" wrapText="1"/>
    </xf>
    <xf numFmtId="14" fontId="10" fillId="3" borderId="0" xfId="14" applyNumberFormat="1" applyFont="1" applyFill="1" applyAlignment="1">
      <alignment horizontal="right" vertical="center" wrapText="1"/>
    </xf>
    <xf numFmtId="14" fontId="10" fillId="0" borderId="0" xfId="14" applyNumberFormat="1" applyFont="1" applyAlignment="1">
      <alignment horizontal="left" vertical="center" wrapText="1"/>
    </xf>
    <xf numFmtId="14" fontId="10" fillId="0" borderId="0" xfId="14" applyNumberFormat="1" applyFont="1" applyAlignment="1">
      <alignment horizontal="right" vertical="center" wrapText="1"/>
    </xf>
    <xf numFmtId="176" fontId="10" fillId="0" borderId="0" xfId="14" applyNumberFormat="1" applyFont="1" applyAlignment="1">
      <alignment horizontal="right" vertical="center"/>
    </xf>
    <xf numFmtId="49" fontId="10" fillId="3" borderId="14" xfId="14" applyNumberFormat="1" applyFont="1" applyFill="1" applyBorder="1" applyAlignment="1">
      <alignment vertical="center" wrapText="1"/>
    </xf>
    <xf numFmtId="0" fontId="10" fillId="3" borderId="0" xfId="14" applyFont="1" applyFill="1" applyAlignment="1">
      <alignment horizontal="center" vertical="center"/>
    </xf>
    <xf numFmtId="0" fontId="10" fillId="3" borderId="0" xfId="14" applyFont="1" applyFill="1" applyAlignment="1">
      <alignment horizontal="left" vertical="center"/>
    </xf>
    <xf numFmtId="0" fontId="10" fillId="3" borderId="14" xfId="14" applyFont="1" applyFill="1" applyBorder="1" applyAlignment="1">
      <alignment vertical="center"/>
    </xf>
    <xf numFmtId="0" fontId="10" fillId="3" borderId="0" xfId="14" applyFont="1" applyFill="1" applyAlignment="1">
      <alignment horizontal="left" vertical="center" wrapText="1"/>
    </xf>
    <xf numFmtId="0" fontId="10" fillId="0" borderId="14" xfId="14" applyFont="1" applyBorder="1" applyAlignment="1">
      <alignment vertical="center" wrapText="1"/>
    </xf>
    <xf numFmtId="0" fontId="10" fillId="0" borderId="14" xfId="14" applyFont="1" applyBorder="1" applyAlignment="1">
      <alignment wrapText="1"/>
    </xf>
    <xf numFmtId="0" fontId="10" fillId="0" borderId="0" xfId="14" applyFont="1" applyAlignment="1">
      <alignment horizontal="center"/>
    </xf>
    <xf numFmtId="0" fontId="10" fillId="0" borderId="0" xfId="14" applyFont="1" applyAlignment="1">
      <alignment horizontal="left"/>
    </xf>
    <xf numFmtId="14" fontId="10" fillId="3" borderId="0" xfId="14" applyNumberFormat="1" applyFont="1" applyFill="1" applyAlignment="1">
      <alignment horizontal="right"/>
    </xf>
    <xf numFmtId="176" fontId="10" fillId="3" borderId="0" xfId="14" applyNumberFormat="1" applyFont="1" applyFill="1" applyAlignment="1">
      <alignment horizontal="right"/>
    </xf>
    <xf numFmtId="0" fontId="10" fillId="0" borderId="32" xfId="14" applyFont="1" applyBorder="1" applyAlignment="1">
      <alignment horizontal="center" vertical="center"/>
    </xf>
    <xf numFmtId="49" fontId="10" fillId="0" borderId="27" xfId="14" applyNumberFormat="1" applyFont="1" applyBorder="1" applyAlignment="1">
      <alignment vertical="center" wrapText="1"/>
    </xf>
    <xf numFmtId="0" fontId="10" fillId="0" borderId="16" xfId="14" applyFont="1" applyBorder="1" applyAlignment="1">
      <alignment horizontal="center" vertical="center"/>
    </xf>
    <xf numFmtId="0" fontId="10" fillId="0" borderId="16" xfId="14" applyFont="1" applyBorder="1" applyAlignment="1">
      <alignment horizontal="left" vertical="center" wrapText="1"/>
    </xf>
    <xf numFmtId="14" fontId="10" fillId="0" borderId="16" xfId="14" applyNumberFormat="1" applyFont="1" applyBorder="1" applyAlignment="1">
      <alignment horizontal="right" vertical="center" wrapText="1"/>
    </xf>
    <xf numFmtId="176" fontId="10" fillId="0" borderId="16" xfId="14" applyNumberFormat="1" applyFont="1" applyBorder="1" applyAlignment="1">
      <alignment horizontal="right" vertical="center"/>
    </xf>
    <xf numFmtId="49" fontId="20" fillId="2" borderId="16" xfId="14" applyNumberFormat="1" applyFont="1" applyFill="1" applyBorder="1" applyAlignment="1">
      <alignment horizontal="right" vertical="center"/>
    </xf>
    <xf numFmtId="0" fontId="20" fillId="3" borderId="0" xfId="14" applyFont="1" applyFill="1" applyAlignment="1">
      <alignment horizontal="left" vertical="center"/>
    </xf>
    <xf numFmtId="0" fontId="20" fillId="3" borderId="14" xfId="14" applyFont="1" applyFill="1" applyBorder="1" applyAlignment="1">
      <alignment horizontal="left" vertical="center"/>
    </xf>
    <xf numFmtId="14" fontId="10" fillId="3" borderId="0" xfId="14" applyNumberFormat="1" applyFont="1" applyFill="1" applyAlignment="1">
      <alignment horizontal="center" vertical="center"/>
    </xf>
    <xf numFmtId="4" fontId="20" fillId="3" borderId="0" xfId="10" applyNumberFormat="1" applyFont="1" applyFill="1" applyAlignment="1">
      <alignment horizontal="right" vertical="center"/>
    </xf>
    <xf numFmtId="0" fontId="10" fillId="3" borderId="33" xfId="0" applyFont="1" applyFill="1" applyBorder="1" applyAlignment="1">
      <alignment horizontal="left" vertical="center" wrapText="1"/>
    </xf>
    <xf numFmtId="0" fontId="10" fillId="3" borderId="14" xfId="14" applyFont="1" applyFill="1" applyBorder="1" applyAlignment="1">
      <alignment horizontal="left" vertical="center" wrapText="1"/>
    </xf>
    <xf numFmtId="0" fontId="25" fillId="0" borderId="0" xfId="0" applyFont="1" applyAlignment="1">
      <alignment horizontal="left" vertical="center" wrapText="1"/>
    </xf>
    <xf numFmtId="0" fontId="10" fillId="3" borderId="34" xfId="0" applyFont="1" applyFill="1" applyBorder="1" applyAlignment="1">
      <alignment horizontal="left" vertical="center" wrapText="1"/>
    </xf>
    <xf numFmtId="184" fontId="56" fillId="3" borderId="34" xfId="0" applyNumberFormat="1" applyFont="1" applyFill="1" applyBorder="1" applyAlignment="1">
      <alignment horizontal="right" vertical="center" wrapText="1" shrinkToFit="1"/>
    </xf>
    <xf numFmtId="185" fontId="56" fillId="3" borderId="34" xfId="0" applyNumberFormat="1" applyFont="1" applyFill="1" applyBorder="1" applyAlignment="1">
      <alignment horizontal="left" vertical="center" wrapText="1" shrinkToFit="1"/>
    </xf>
    <xf numFmtId="4" fontId="56" fillId="3" borderId="34" xfId="0" applyNumberFormat="1" applyFont="1" applyFill="1" applyBorder="1" applyAlignment="1">
      <alignment horizontal="right" vertical="center" wrapText="1" shrinkToFit="1"/>
    </xf>
    <xf numFmtId="0" fontId="10" fillId="3" borderId="35" xfId="0" applyFont="1" applyFill="1" applyBorder="1" applyAlignment="1">
      <alignment horizontal="left" vertical="center" wrapText="1"/>
    </xf>
    <xf numFmtId="184" fontId="56" fillId="3" borderId="35" xfId="0" applyNumberFormat="1" applyFont="1" applyFill="1" applyBorder="1" applyAlignment="1">
      <alignment horizontal="right" vertical="center" wrapText="1" shrinkToFit="1"/>
    </xf>
    <xf numFmtId="185" fontId="56" fillId="3" borderId="35" xfId="0" applyNumberFormat="1" applyFont="1" applyFill="1" applyBorder="1" applyAlignment="1">
      <alignment horizontal="left" vertical="center" wrapText="1" shrinkToFit="1"/>
    </xf>
    <xf numFmtId="4" fontId="56" fillId="3" borderId="35" xfId="0" applyNumberFormat="1" applyFont="1" applyFill="1" applyBorder="1" applyAlignment="1">
      <alignment horizontal="right" vertical="center" wrapText="1" shrinkToFit="1"/>
    </xf>
    <xf numFmtId="0" fontId="10" fillId="3" borderId="46" xfId="0" applyFont="1" applyFill="1" applyBorder="1" applyAlignment="1">
      <alignment horizontal="left" vertical="center" wrapText="1"/>
    </xf>
    <xf numFmtId="0" fontId="10" fillId="3" borderId="27" xfId="14" applyFont="1" applyFill="1" applyBorder="1" applyAlignment="1">
      <alignment horizontal="left" vertical="center" wrapText="1"/>
    </xf>
    <xf numFmtId="0" fontId="10" fillId="3" borderId="16" xfId="14" applyFont="1" applyFill="1" applyBorder="1" applyAlignment="1">
      <alignment horizontal="left" vertical="center" wrapText="1"/>
    </xf>
    <xf numFmtId="0" fontId="25" fillId="0" borderId="16" xfId="0" applyFont="1" applyBorder="1" applyAlignment="1">
      <alignment horizontal="left" vertical="center" wrapText="1"/>
    </xf>
    <xf numFmtId="0" fontId="10" fillId="3" borderId="45" xfId="0" applyFont="1" applyFill="1" applyBorder="1" applyAlignment="1">
      <alignment horizontal="left" vertical="center" wrapText="1"/>
    </xf>
    <xf numFmtId="184" fontId="56" fillId="3" borderId="45" xfId="0" applyNumberFormat="1" applyFont="1" applyFill="1" applyBorder="1" applyAlignment="1">
      <alignment horizontal="right" vertical="center" wrapText="1" shrinkToFit="1"/>
    </xf>
    <xf numFmtId="185" fontId="56" fillId="3" borderId="45" xfId="0" applyNumberFormat="1" applyFont="1" applyFill="1" applyBorder="1" applyAlignment="1">
      <alignment horizontal="left" vertical="center" wrapText="1" shrinkToFit="1"/>
    </xf>
    <xf numFmtId="4" fontId="56" fillId="3" borderId="45" xfId="0" applyNumberFormat="1" applyFont="1" applyFill="1" applyBorder="1" applyAlignment="1">
      <alignment horizontal="right" vertical="center" wrapText="1" shrinkToFit="1"/>
    </xf>
    <xf numFmtId="0" fontId="10" fillId="3" borderId="39" xfId="14" applyFont="1" applyFill="1" applyBorder="1" applyAlignment="1">
      <alignment horizontal="left" vertical="center" wrapText="1"/>
    </xf>
    <xf numFmtId="0" fontId="10" fillId="3" borderId="40" xfId="14" applyFont="1" applyFill="1" applyBorder="1" applyAlignment="1">
      <alignment horizontal="left" vertical="center" wrapText="1"/>
    </xf>
    <xf numFmtId="0" fontId="25" fillId="0" borderId="40" xfId="0" applyFont="1" applyBorder="1" applyAlignment="1">
      <alignment horizontal="left" vertical="center" wrapText="1"/>
    </xf>
    <xf numFmtId="184" fontId="56" fillId="3" borderId="33" xfId="0" applyNumberFormat="1" applyFont="1" applyFill="1" applyBorder="1" applyAlignment="1">
      <alignment horizontal="right" vertical="center" wrapText="1" shrinkToFit="1"/>
    </xf>
    <xf numFmtId="185" fontId="56" fillId="3" borderId="33" xfId="0" applyNumberFormat="1" applyFont="1" applyFill="1" applyBorder="1" applyAlignment="1">
      <alignment horizontal="left" vertical="center" wrapText="1" shrinkToFit="1"/>
    </xf>
    <xf numFmtId="4" fontId="56" fillId="3" borderId="33" xfId="0" applyNumberFormat="1" applyFont="1" applyFill="1" applyBorder="1" applyAlignment="1">
      <alignment horizontal="right" vertical="center" wrapText="1" shrinkToFit="1"/>
    </xf>
    <xf numFmtId="0" fontId="10" fillId="3" borderId="41" xfId="14" applyFont="1" applyFill="1" applyBorder="1" applyAlignment="1">
      <alignment horizontal="left" vertical="center" wrapText="1"/>
    </xf>
    <xf numFmtId="0" fontId="10" fillId="3" borderId="42" xfId="14" applyFont="1" applyFill="1" applyBorder="1" applyAlignment="1">
      <alignment horizontal="left" vertical="center" wrapText="1"/>
    </xf>
    <xf numFmtId="0" fontId="25" fillId="0" borderId="42" xfId="0" applyFont="1" applyBorder="1" applyAlignment="1">
      <alignment horizontal="left" vertical="center" wrapText="1"/>
    </xf>
    <xf numFmtId="0" fontId="10" fillId="3" borderId="0" xfId="0" applyFont="1" applyFill="1" applyAlignment="1">
      <alignment horizontal="left" vertical="center" wrapText="1"/>
    </xf>
    <xf numFmtId="184" fontId="56" fillId="3" borderId="0" xfId="0" applyNumberFormat="1" applyFont="1" applyFill="1" applyAlignment="1">
      <alignment horizontal="right" vertical="center" wrapText="1" shrinkToFit="1"/>
    </xf>
    <xf numFmtId="185" fontId="56" fillId="3" borderId="0" xfId="0" applyNumberFormat="1" applyFont="1" applyFill="1" applyAlignment="1">
      <alignment horizontal="left" vertical="center" wrapText="1" shrinkToFit="1"/>
    </xf>
    <xf numFmtId="4" fontId="56" fillId="3" borderId="0" xfId="0" applyNumberFormat="1" applyFont="1" applyFill="1" applyAlignment="1">
      <alignment horizontal="right" vertical="center" wrapText="1" shrinkToFit="1"/>
    </xf>
    <xf numFmtId="0" fontId="10" fillId="3" borderId="38" xfId="0" applyFont="1" applyFill="1" applyBorder="1" applyAlignment="1">
      <alignment horizontal="left" vertical="top" wrapText="1"/>
    </xf>
    <xf numFmtId="0" fontId="25" fillId="0" borderId="0" xfId="0" applyFont="1" applyAlignment="1">
      <alignment vertical="center"/>
    </xf>
    <xf numFmtId="184" fontId="56" fillId="3" borderId="35" xfId="0" applyNumberFormat="1" applyFont="1" applyFill="1" applyBorder="1" applyAlignment="1">
      <alignment vertical="top" shrinkToFit="1"/>
    </xf>
    <xf numFmtId="185" fontId="56" fillId="3" borderId="35" xfId="0" applyNumberFormat="1" applyFont="1" applyFill="1" applyBorder="1" applyAlignment="1">
      <alignment horizontal="center" vertical="top" shrinkToFit="1"/>
    </xf>
    <xf numFmtId="4" fontId="56" fillId="3" borderId="35" xfId="0" applyNumberFormat="1" applyFont="1" applyFill="1" applyBorder="1" applyAlignment="1">
      <alignment horizontal="right" vertical="top" shrinkToFit="1"/>
    </xf>
    <xf numFmtId="0" fontId="10" fillId="3" borderId="33" xfId="0" applyFont="1" applyFill="1" applyBorder="1" applyAlignment="1">
      <alignment horizontal="left" vertical="top" wrapText="1"/>
    </xf>
    <xf numFmtId="0" fontId="10" fillId="3" borderId="14" xfId="14" applyFont="1" applyFill="1" applyBorder="1" applyAlignment="1">
      <alignment vertical="center" wrapText="1"/>
    </xf>
    <xf numFmtId="0" fontId="10" fillId="3" borderId="0" xfId="14" applyFont="1" applyFill="1" applyAlignment="1">
      <alignment vertical="center" wrapText="1"/>
    </xf>
    <xf numFmtId="0" fontId="10" fillId="3" borderId="14" xfId="14" applyFont="1" applyFill="1" applyBorder="1" applyAlignment="1">
      <alignment horizontal="left" vertical="center"/>
    </xf>
    <xf numFmtId="184" fontId="56" fillId="3" borderId="35" xfId="0" applyNumberFormat="1" applyFont="1" applyFill="1" applyBorder="1" applyAlignment="1">
      <alignment vertical="center" shrinkToFit="1"/>
    </xf>
    <xf numFmtId="185" fontId="56" fillId="3" borderId="35" xfId="0" applyNumberFormat="1" applyFont="1" applyFill="1" applyBorder="1" applyAlignment="1">
      <alignment horizontal="center" vertical="center" shrinkToFit="1"/>
    </xf>
    <xf numFmtId="4" fontId="56" fillId="3" borderId="35" xfId="0" applyNumberFormat="1" applyFont="1" applyFill="1" applyBorder="1" applyAlignment="1">
      <alignment horizontal="right" vertical="center" shrinkToFit="1"/>
    </xf>
    <xf numFmtId="0" fontId="10" fillId="3" borderId="14" xfId="14" applyFont="1" applyFill="1" applyBorder="1" applyAlignment="1">
      <alignment horizontal="justify" vertical="center" wrapText="1"/>
    </xf>
    <xf numFmtId="0" fontId="56" fillId="3" borderId="33" xfId="0" applyFont="1" applyFill="1" applyBorder="1" applyAlignment="1">
      <alignment horizontal="left" vertical="top" wrapText="1"/>
    </xf>
    <xf numFmtId="0" fontId="10" fillId="3" borderId="36" xfId="0" applyFont="1" applyFill="1" applyBorder="1" applyAlignment="1">
      <alignment horizontal="left" vertical="top" wrapText="1"/>
    </xf>
    <xf numFmtId="0" fontId="25" fillId="0" borderId="6" xfId="0" applyFont="1" applyBorder="1" applyAlignment="1">
      <alignment vertical="center"/>
    </xf>
    <xf numFmtId="4" fontId="56" fillId="3" borderId="37" xfId="0" applyNumberFormat="1" applyFont="1" applyFill="1" applyBorder="1" applyAlignment="1">
      <alignment horizontal="right" vertical="top" shrinkToFit="1"/>
    </xf>
    <xf numFmtId="0" fontId="10" fillId="3" borderId="46" xfId="0" applyFont="1" applyFill="1" applyBorder="1" applyAlignment="1">
      <alignment horizontal="left" vertical="top" wrapText="1"/>
    </xf>
    <xf numFmtId="0" fontId="10" fillId="3" borderId="27" xfId="14" applyFont="1" applyFill="1" applyBorder="1" applyAlignment="1">
      <alignment vertical="center"/>
    </xf>
    <xf numFmtId="0" fontId="10" fillId="3" borderId="16" xfId="14" applyFont="1" applyFill="1" applyBorder="1" applyAlignment="1">
      <alignment vertical="center"/>
    </xf>
    <xf numFmtId="0" fontId="25" fillId="0" borderId="16" xfId="0" applyFont="1" applyBorder="1" applyAlignment="1">
      <alignment vertical="center"/>
    </xf>
    <xf numFmtId="184" fontId="56" fillId="3" borderId="45" xfId="0" applyNumberFormat="1" applyFont="1" applyFill="1" applyBorder="1" applyAlignment="1">
      <alignment vertical="top" shrinkToFit="1"/>
    </xf>
    <xf numFmtId="185" fontId="56" fillId="3" borderId="45" xfId="0" applyNumberFormat="1" applyFont="1" applyFill="1" applyBorder="1" applyAlignment="1">
      <alignment horizontal="center" vertical="top" shrinkToFit="1"/>
    </xf>
    <xf numFmtId="4" fontId="56" fillId="3" borderId="45" xfId="0" applyNumberFormat="1" applyFont="1" applyFill="1" applyBorder="1" applyAlignment="1">
      <alignment horizontal="right" vertical="top" shrinkToFit="1"/>
    </xf>
    <xf numFmtId="0" fontId="10" fillId="3" borderId="34" xfId="0" applyFont="1" applyFill="1" applyBorder="1" applyAlignment="1">
      <alignment horizontal="left" vertical="top" wrapText="1"/>
    </xf>
    <xf numFmtId="0" fontId="10" fillId="3" borderId="39" xfId="14" applyFont="1" applyFill="1" applyBorder="1" applyAlignment="1">
      <alignment vertical="center"/>
    </xf>
    <xf numFmtId="0" fontId="10" fillId="3" borderId="40" xfId="14" applyFont="1" applyFill="1" applyBorder="1" applyAlignment="1">
      <alignment vertical="center"/>
    </xf>
    <xf numFmtId="0" fontId="25" fillId="0" borderId="40" xfId="0" applyFont="1" applyBorder="1" applyAlignment="1">
      <alignment vertical="center"/>
    </xf>
    <xf numFmtId="184" fontId="56" fillId="3" borderId="33" xfId="0" applyNumberFormat="1" applyFont="1" applyFill="1" applyBorder="1" applyAlignment="1">
      <alignment vertical="top" shrinkToFit="1"/>
    </xf>
    <xf numFmtId="185" fontId="56" fillId="3" borderId="33" xfId="0" applyNumberFormat="1" applyFont="1" applyFill="1" applyBorder="1" applyAlignment="1">
      <alignment horizontal="center" vertical="top" shrinkToFit="1"/>
    </xf>
    <xf numFmtId="4" fontId="56" fillId="3" borderId="33" xfId="0" applyNumberFormat="1" applyFont="1" applyFill="1" applyBorder="1" applyAlignment="1">
      <alignment horizontal="right" vertical="top" shrinkToFit="1"/>
    </xf>
    <xf numFmtId="0" fontId="10" fillId="3" borderId="0" xfId="14" applyFont="1" applyFill="1" applyBorder="1" applyAlignment="1">
      <alignment vertical="center"/>
    </xf>
    <xf numFmtId="0" fontId="25" fillId="0" borderId="0" xfId="0" applyFont="1" applyBorder="1" applyAlignment="1">
      <alignment vertical="center"/>
    </xf>
    <xf numFmtId="0" fontId="10" fillId="3" borderId="0" xfId="0" applyFont="1" applyFill="1" applyAlignment="1">
      <alignment horizontal="left" vertical="top" wrapText="1"/>
    </xf>
    <xf numFmtId="184" fontId="56" fillId="3" borderId="0" xfId="0" applyNumberFormat="1" applyFont="1" applyFill="1" applyAlignment="1">
      <alignment vertical="top" shrinkToFit="1"/>
    </xf>
    <xf numFmtId="185" fontId="56" fillId="3" borderId="0" xfId="0" applyNumberFormat="1" applyFont="1" applyFill="1" applyAlignment="1">
      <alignment horizontal="center" vertical="top" shrinkToFit="1"/>
    </xf>
    <xf numFmtId="4" fontId="56" fillId="3" borderId="0" xfId="0" applyNumberFormat="1" applyFont="1" applyFill="1" applyAlignment="1">
      <alignment horizontal="right" vertical="top" shrinkToFit="1"/>
    </xf>
    <xf numFmtId="0" fontId="10" fillId="3" borderId="35" xfId="10" applyFont="1" applyFill="1" applyBorder="1" applyAlignment="1">
      <alignment horizontal="left" vertical="center" wrapText="1"/>
    </xf>
    <xf numFmtId="184" fontId="10" fillId="3" borderId="35" xfId="14" applyNumberFormat="1" applyFont="1" applyFill="1" applyBorder="1" applyAlignment="1">
      <alignment vertical="top"/>
    </xf>
    <xf numFmtId="14" fontId="10" fillId="3" borderId="35" xfId="14" applyNumberFormat="1" applyFont="1" applyFill="1" applyBorder="1" applyAlignment="1">
      <alignment horizontal="center" vertical="top"/>
    </xf>
    <xf numFmtId="0" fontId="10" fillId="3" borderId="35" xfId="14" applyFont="1" applyFill="1" applyBorder="1" applyAlignment="1">
      <alignment horizontal="left" vertical="center"/>
    </xf>
    <xf numFmtId="0" fontId="10" fillId="3" borderId="37" xfId="14" applyFont="1" applyFill="1" applyBorder="1" applyAlignment="1">
      <alignment horizontal="left" vertical="center"/>
    </xf>
    <xf numFmtId="184" fontId="10" fillId="3" borderId="37" xfId="14" applyNumberFormat="1" applyFont="1" applyFill="1" applyBorder="1" applyAlignment="1">
      <alignment vertical="top"/>
    </xf>
    <xf numFmtId="14" fontId="10" fillId="3" borderId="37" xfId="14" applyNumberFormat="1" applyFont="1" applyFill="1" applyBorder="1" applyAlignment="1">
      <alignment horizontal="center" vertical="top"/>
    </xf>
    <xf numFmtId="0" fontId="10" fillId="3" borderId="45" xfId="14" applyFont="1" applyFill="1" applyBorder="1" applyAlignment="1">
      <alignment horizontal="left" vertical="center"/>
    </xf>
    <xf numFmtId="184" fontId="10" fillId="3" borderId="45" xfId="14" applyNumberFormat="1" applyFont="1" applyFill="1" applyBorder="1" applyAlignment="1">
      <alignment vertical="top"/>
    </xf>
    <xf numFmtId="14" fontId="10" fillId="3" borderId="45" xfId="14" applyNumberFormat="1" applyFont="1" applyFill="1" applyBorder="1" applyAlignment="1">
      <alignment horizontal="center" vertical="top"/>
    </xf>
    <xf numFmtId="0" fontId="10" fillId="3" borderId="43" xfId="14" applyFont="1" applyFill="1" applyBorder="1" applyAlignment="1">
      <alignment vertical="center"/>
    </xf>
    <xf numFmtId="0" fontId="10" fillId="3" borderId="44" xfId="14" applyFont="1" applyFill="1" applyBorder="1" applyAlignment="1">
      <alignment vertical="center"/>
    </xf>
    <xf numFmtId="0" fontId="25" fillId="0" borderId="44" xfId="0" applyFont="1" applyBorder="1" applyAlignment="1">
      <alignment vertical="center"/>
    </xf>
    <xf numFmtId="0" fontId="10" fillId="3" borderId="38" xfId="14" applyFont="1" applyFill="1" applyBorder="1" applyAlignment="1">
      <alignment horizontal="left" vertical="center"/>
    </xf>
    <xf numFmtId="184" fontId="10" fillId="3" borderId="38" xfId="14" applyNumberFormat="1" applyFont="1" applyFill="1" applyBorder="1" applyAlignment="1">
      <alignment vertical="top"/>
    </xf>
    <xf numFmtId="14" fontId="10" fillId="3" borderId="38" xfId="14" applyNumberFormat="1" applyFont="1" applyFill="1" applyBorder="1" applyAlignment="1">
      <alignment horizontal="center" vertical="top"/>
    </xf>
    <xf numFmtId="4" fontId="56" fillId="3" borderId="38" xfId="0" applyNumberFormat="1" applyFont="1" applyFill="1" applyBorder="1" applyAlignment="1">
      <alignment horizontal="right" vertical="top" shrinkToFit="1"/>
    </xf>
    <xf numFmtId="0" fontId="10" fillId="3" borderId="0" xfId="14" applyFont="1" applyFill="1" applyAlignment="1">
      <alignment horizontal="justify" vertical="center" wrapText="1"/>
    </xf>
    <xf numFmtId="0" fontId="10" fillId="3" borderId="31" xfId="14" applyFont="1" applyFill="1" applyBorder="1" applyAlignment="1">
      <alignment horizontal="justify" vertical="center" wrapText="1"/>
    </xf>
    <xf numFmtId="0" fontId="10" fillId="3" borderId="6" xfId="14" applyFont="1" applyFill="1" applyBorder="1" applyAlignment="1">
      <alignment horizontal="justify" vertical="center" wrapText="1"/>
    </xf>
    <xf numFmtId="49" fontId="20" fillId="2" borderId="25" xfId="13" applyNumberFormat="1" applyFont="1" applyFill="1" applyBorder="1" applyAlignment="1">
      <alignment horizontal="center" vertical="center" wrapText="1"/>
    </xf>
    <xf numFmtId="49" fontId="20" fillId="2" borderId="22" xfId="13" applyNumberFormat="1" applyFont="1" applyFill="1" applyBorder="1" applyAlignment="1">
      <alignment horizontal="right" vertical="center" wrapText="1"/>
    </xf>
    <xf numFmtId="49" fontId="20" fillId="0" borderId="14" xfId="13" applyNumberFormat="1" applyFont="1" applyBorder="1" applyAlignment="1">
      <alignment horizontal="center" vertical="center" wrapText="1"/>
    </xf>
    <xf numFmtId="49" fontId="20" fillId="0" borderId="0" xfId="13" applyNumberFormat="1" applyFont="1" applyAlignment="1">
      <alignment horizontal="center" vertical="center" wrapText="1"/>
    </xf>
    <xf numFmtId="49" fontId="20" fillId="0" borderId="0" xfId="13" applyNumberFormat="1" applyFont="1" applyAlignment="1">
      <alignment horizontal="right" vertical="center" wrapText="1"/>
    </xf>
    <xf numFmtId="0" fontId="20" fillId="2" borderId="14" xfId="3" applyFont="1" applyFill="1" applyBorder="1"/>
    <xf numFmtId="49" fontId="20" fillId="2" borderId="0" xfId="13" applyNumberFormat="1" applyFont="1" applyFill="1" applyAlignment="1">
      <alignment horizontal="right" vertical="center" wrapText="1"/>
    </xf>
    <xf numFmtId="49" fontId="20" fillId="2" borderId="0" xfId="13" applyNumberFormat="1" applyFont="1" applyFill="1" applyAlignment="1">
      <alignment horizontal="center" vertical="center" wrapText="1"/>
    </xf>
    <xf numFmtId="174" fontId="20" fillId="2" borderId="0" xfId="3" applyNumberFormat="1" applyFont="1" applyFill="1" applyAlignment="1">
      <alignment horizontal="right"/>
    </xf>
    <xf numFmtId="0" fontId="10" fillId="0" borderId="14" xfId="3" applyFont="1" applyBorder="1" applyAlignment="1">
      <alignment horizontal="left" vertical="center" indent="1"/>
    </xf>
    <xf numFmtId="14" fontId="10" fillId="0" borderId="0" xfId="3" applyNumberFormat="1" applyFont="1" applyAlignment="1">
      <alignment horizontal="right" vertical="center"/>
    </xf>
    <xf numFmtId="0" fontId="10" fillId="0" borderId="0" xfId="3" applyFont="1" applyAlignment="1">
      <alignment horizontal="right" vertical="center"/>
    </xf>
    <xf numFmtId="174" fontId="10" fillId="0" borderId="0" xfId="3" applyNumberFormat="1" applyFont="1" applyAlignment="1">
      <alignment horizontal="right" vertical="center"/>
    </xf>
    <xf numFmtId="14" fontId="10" fillId="0" borderId="32" xfId="3" applyNumberFormat="1" applyFont="1" applyBorder="1" applyAlignment="1">
      <alignment horizontal="right" vertical="center"/>
    </xf>
    <xf numFmtId="0" fontId="10" fillId="0" borderId="27" xfId="3" applyFont="1" applyBorder="1" applyAlignment="1">
      <alignment horizontal="left" vertical="center" indent="1"/>
    </xf>
    <xf numFmtId="14" fontId="10" fillId="0" borderId="16" xfId="3" applyNumberFormat="1" applyFont="1" applyBorder="1" applyAlignment="1">
      <alignment horizontal="right" vertical="center"/>
    </xf>
    <xf numFmtId="0" fontId="10" fillId="0" borderId="16" xfId="3" applyFont="1" applyBorder="1" applyAlignment="1">
      <alignment horizontal="right" vertical="center"/>
    </xf>
    <xf numFmtId="174" fontId="10" fillId="0" borderId="16" xfId="3" applyNumberFormat="1" applyFont="1" applyBorder="1" applyAlignment="1">
      <alignment horizontal="right" vertical="center"/>
    </xf>
    <xf numFmtId="3" fontId="20" fillId="2" borderId="0" xfId="3" applyNumberFormat="1" applyFont="1" applyFill="1" applyAlignment="1">
      <alignment horizontal="right" vertical="center"/>
    </xf>
    <xf numFmtId="165" fontId="20" fillId="2" borderId="0" xfId="3" applyNumberFormat="1" applyFont="1" applyFill="1" applyAlignment="1">
      <alignment horizontal="right" vertical="center"/>
    </xf>
    <xf numFmtId="0" fontId="10" fillId="0" borderId="14" xfId="3" applyFont="1" applyBorder="1" applyAlignment="1">
      <alignment vertical="center"/>
    </xf>
    <xf numFmtId="177" fontId="10" fillId="0" borderId="0" xfId="3" applyNumberFormat="1" applyFont="1" applyAlignment="1">
      <alignment horizontal="right" vertical="center"/>
    </xf>
    <xf numFmtId="0" fontId="10" fillId="0" borderId="27" xfId="3" applyFont="1" applyBorder="1" applyAlignment="1">
      <alignment vertical="center"/>
    </xf>
    <xf numFmtId="0" fontId="25" fillId="0" borderId="16" xfId="0" applyFont="1" applyBorder="1"/>
    <xf numFmtId="177" fontId="10" fillId="0" borderId="16" xfId="3" applyNumberFormat="1" applyFont="1" applyBorder="1" applyAlignment="1">
      <alignment horizontal="right" vertical="center"/>
    </xf>
    <xf numFmtId="3" fontId="10" fillId="0" borderId="0" xfId="3" applyNumberFormat="1" applyFont="1" applyAlignment="1">
      <alignment horizontal="right" vertical="center"/>
    </xf>
    <xf numFmtId="3" fontId="10" fillId="0" borderId="16" xfId="3" applyNumberFormat="1" applyFont="1" applyBorder="1" applyAlignment="1">
      <alignment horizontal="right" vertical="center"/>
    </xf>
    <xf numFmtId="165" fontId="10" fillId="0" borderId="16" xfId="3" applyNumberFormat="1" applyFont="1" applyBorder="1" applyAlignment="1">
      <alignment horizontal="right" vertical="center"/>
    </xf>
    <xf numFmtId="49" fontId="20" fillId="0" borderId="0" xfId="13" applyNumberFormat="1" applyFont="1" applyBorder="1" applyAlignment="1">
      <alignment horizontal="right" vertical="center" wrapText="1"/>
    </xf>
    <xf numFmtId="0" fontId="25" fillId="0" borderId="0" xfId="0" applyFont="1" applyBorder="1"/>
    <xf numFmtId="3" fontId="20" fillId="2" borderId="0" xfId="3" applyNumberFormat="1" applyFont="1" applyFill="1" applyBorder="1" applyAlignment="1">
      <alignment horizontal="right" vertical="center"/>
    </xf>
    <xf numFmtId="165" fontId="20" fillId="2" borderId="0" xfId="3" applyNumberFormat="1" applyFont="1" applyFill="1" applyBorder="1" applyAlignment="1">
      <alignment horizontal="right" vertical="center"/>
    </xf>
    <xf numFmtId="3" fontId="10" fillId="0" borderId="0" xfId="3" applyNumberFormat="1" applyFont="1" applyBorder="1" applyAlignment="1">
      <alignment horizontal="right" vertical="center"/>
    </xf>
    <xf numFmtId="165" fontId="10" fillId="0" borderId="0" xfId="3" applyNumberFormat="1" applyFont="1" applyBorder="1" applyAlignment="1">
      <alignment horizontal="right" vertical="center"/>
    </xf>
    <xf numFmtId="0" fontId="20" fillId="2" borderId="24" xfId="0" applyFont="1" applyFill="1" applyBorder="1" applyAlignment="1">
      <alignment horizontal="center" vertical="center" wrapText="1"/>
    </xf>
    <xf numFmtId="0" fontId="20" fillId="2" borderId="2" xfId="0" applyFont="1" applyFill="1" applyBorder="1" applyAlignment="1">
      <alignment horizontal="center" vertical="center"/>
    </xf>
    <xf numFmtId="0" fontId="10" fillId="2" borderId="0" xfId="0" applyFont="1" applyFill="1" applyAlignment="1">
      <alignment horizontal="right" vertical="center"/>
    </xf>
    <xf numFmtId="0" fontId="20" fillId="2" borderId="24" xfId="0" applyFont="1" applyFill="1" applyBorder="1" applyAlignment="1">
      <alignment horizontal="right" vertical="center" wrapText="1"/>
    </xf>
    <xf numFmtId="0" fontId="10" fillId="2" borderId="24" xfId="0" applyFont="1" applyFill="1" applyBorder="1" applyAlignment="1">
      <alignment horizontal="right" vertical="center"/>
    </xf>
    <xf numFmtId="0" fontId="10" fillId="2" borderId="16" xfId="0" applyFont="1" applyFill="1" applyBorder="1" applyAlignment="1">
      <alignment horizontal="right" vertical="center"/>
    </xf>
    <xf numFmtId="0" fontId="20" fillId="2" borderId="16" xfId="0" applyFont="1" applyFill="1" applyBorder="1" applyAlignment="1">
      <alignment horizontal="right" vertical="center"/>
    </xf>
    <xf numFmtId="49" fontId="20" fillId="0" borderId="14" xfId="0" applyNumberFormat="1" applyFont="1" applyBorder="1" applyAlignment="1">
      <alignment horizontal="center" vertical="center" wrapText="1"/>
    </xf>
    <xf numFmtId="0" fontId="10" fillId="0" borderId="0" xfId="0" applyFont="1" applyAlignment="1">
      <alignment horizontal="right" vertical="center"/>
    </xf>
    <xf numFmtId="0" fontId="20" fillId="0" borderId="0" xfId="0" applyFont="1" applyAlignment="1">
      <alignment horizontal="right" vertical="center" wrapText="1"/>
    </xf>
    <xf numFmtId="49" fontId="20" fillId="2" borderId="14" xfId="0" applyNumberFormat="1" applyFont="1" applyFill="1" applyBorder="1" applyAlignment="1">
      <alignment vertical="center" wrapText="1"/>
    </xf>
    <xf numFmtId="174" fontId="20" fillId="2" borderId="0" xfId="0" applyNumberFormat="1" applyFont="1" applyFill="1" applyAlignment="1">
      <alignment horizontal="right" vertical="center"/>
    </xf>
    <xf numFmtId="174" fontId="20" fillId="2" borderId="0" xfId="0" applyNumberFormat="1" applyFont="1" applyFill="1" applyAlignment="1">
      <alignment horizontal="right" vertical="center" wrapText="1"/>
    </xf>
    <xf numFmtId="177" fontId="20" fillId="2" borderId="0" xfId="0" applyNumberFormat="1" applyFont="1" applyFill="1" applyAlignment="1">
      <alignment horizontal="right" vertical="center" wrapText="1"/>
    </xf>
    <xf numFmtId="178" fontId="20" fillId="2" borderId="0" xfId="0" applyNumberFormat="1" applyFont="1" applyFill="1" applyAlignment="1">
      <alignment horizontal="right" vertical="center" wrapText="1"/>
    </xf>
    <xf numFmtId="174" fontId="10" fillId="0" borderId="0" xfId="0" applyNumberFormat="1" applyFont="1" applyAlignment="1">
      <alignment horizontal="right" vertical="center"/>
    </xf>
    <xf numFmtId="178" fontId="10" fillId="0" borderId="0" xfId="0" applyNumberFormat="1" applyFont="1" applyAlignment="1">
      <alignment horizontal="right" vertical="center" wrapText="1"/>
    </xf>
    <xf numFmtId="165" fontId="10" fillId="0" borderId="0" xfId="0" applyNumberFormat="1" applyFont="1" applyAlignment="1">
      <alignment horizontal="right" vertical="center"/>
    </xf>
    <xf numFmtId="0" fontId="57" fillId="0" borderId="14" xfId="0" applyFont="1" applyBorder="1" applyAlignment="1">
      <alignment vertical="center"/>
    </xf>
    <xf numFmtId="0" fontId="10" fillId="2" borderId="0" xfId="0" applyFont="1" applyFill="1" applyBorder="1" applyAlignment="1">
      <alignment horizontal="right" vertical="center"/>
    </xf>
    <xf numFmtId="0" fontId="10" fillId="0" borderId="27" xfId="0" applyFont="1" applyBorder="1" applyAlignment="1">
      <alignment vertical="center"/>
    </xf>
    <xf numFmtId="174" fontId="10" fillId="0" borderId="16" xfId="0" applyNumberFormat="1" applyFont="1" applyBorder="1" applyAlignment="1">
      <alignment horizontal="right" vertical="center"/>
    </xf>
    <xf numFmtId="178" fontId="10" fillId="0" borderId="16" xfId="0" applyNumberFormat="1" applyFont="1" applyBorder="1" applyAlignment="1">
      <alignment horizontal="right" vertical="center" wrapText="1"/>
    </xf>
    <xf numFmtId="0" fontId="20" fillId="2" borderId="25" xfId="0" applyFont="1" applyFill="1" applyBorder="1" applyAlignment="1">
      <alignment horizontal="center" vertical="center" wrapText="1"/>
    </xf>
    <xf numFmtId="0" fontId="20" fillId="2" borderId="22" xfId="0" applyFont="1" applyFill="1" applyBorder="1" applyAlignment="1">
      <alignment horizontal="right" vertical="center" wrapText="1"/>
    </xf>
    <xf numFmtId="0" fontId="20" fillId="3" borderId="14" xfId="0" applyFont="1" applyFill="1" applyBorder="1" applyAlignment="1">
      <alignment horizontal="center" vertical="center" wrapText="1"/>
    </xf>
    <xf numFmtId="4" fontId="20" fillId="3" borderId="0" xfId="0" applyNumberFormat="1" applyFont="1" applyFill="1" applyAlignment="1">
      <alignment horizontal="right" vertical="center" wrapText="1"/>
    </xf>
    <xf numFmtId="0" fontId="20" fillId="2" borderId="14" xfId="0" applyFont="1" applyFill="1" applyBorder="1" applyAlignment="1">
      <alignment vertical="center" wrapText="1"/>
    </xf>
    <xf numFmtId="180" fontId="20" fillId="2" borderId="0" xfId="0" applyNumberFormat="1" applyFont="1" applyFill="1" applyAlignment="1">
      <alignment horizontal="right" vertical="center"/>
    </xf>
    <xf numFmtId="180" fontId="10" fillId="0" borderId="0" xfId="0" applyNumberFormat="1" applyFont="1" applyAlignment="1">
      <alignment horizontal="right" vertical="center"/>
    </xf>
    <xf numFmtId="0" fontId="25" fillId="0" borderId="0" xfId="0" applyFont="1" applyAlignment="1">
      <alignment horizontal="right" vertical="center"/>
    </xf>
    <xf numFmtId="0" fontId="25" fillId="0" borderId="0" xfId="0" applyFont="1" applyAlignment="1">
      <alignment horizontal="right"/>
    </xf>
    <xf numFmtId="180" fontId="10" fillId="0" borderId="16" xfId="0" applyNumberFormat="1" applyFont="1" applyBorder="1" applyAlignment="1">
      <alignment horizontal="right" vertical="center"/>
    </xf>
    <xf numFmtId="180" fontId="10" fillId="3" borderId="16" xfId="0" applyNumberFormat="1" applyFont="1" applyFill="1" applyBorder="1" applyAlignment="1">
      <alignment horizontal="right" vertical="center"/>
    </xf>
    <xf numFmtId="0" fontId="20" fillId="2" borderId="25" xfId="3" applyFont="1" applyFill="1" applyBorder="1" applyAlignment="1">
      <alignment horizontal="center" vertical="center" wrapText="1"/>
    </xf>
    <xf numFmtId="0" fontId="20" fillId="2" borderId="22" xfId="3" applyFont="1" applyFill="1" applyBorder="1" applyAlignment="1">
      <alignment horizontal="right" vertical="center"/>
    </xf>
    <xf numFmtId="0" fontId="10" fillId="0" borderId="14" xfId="3" applyFont="1" applyBorder="1" applyAlignment="1">
      <alignment horizontal="center" vertical="center" wrapText="1"/>
    </xf>
    <xf numFmtId="174" fontId="20" fillId="0" borderId="0" xfId="3" applyNumberFormat="1" applyFont="1" applyAlignment="1">
      <alignment horizontal="right" vertical="center"/>
    </xf>
    <xf numFmtId="0" fontId="20" fillId="2" borderId="14" xfId="3" applyFont="1" applyFill="1" applyBorder="1" applyAlignment="1">
      <alignment vertical="center" wrapText="1"/>
    </xf>
    <xf numFmtId="174" fontId="20" fillId="2" borderId="0" xfId="3" applyNumberFormat="1" applyFont="1" applyFill="1" applyAlignment="1">
      <alignment horizontal="right" vertical="center"/>
    </xf>
    <xf numFmtId="0" fontId="20" fillId="2" borderId="14" xfId="13" applyFont="1" applyFill="1" applyBorder="1" applyAlignment="1">
      <alignment vertical="center" wrapText="1"/>
    </xf>
    <xf numFmtId="0" fontId="10" fillId="0" borderId="14" xfId="13" applyFont="1" applyBorder="1" applyAlignment="1">
      <alignment horizontal="left" vertical="center" wrapText="1" indent="1"/>
    </xf>
    <xf numFmtId="0" fontId="10" fillId="0" borderId="27" xfId="13" applyFont="1" applyBorder="1" applyAlignment="1">
      <alignment horizontal="left" vertical="center" wrapText="1" indent="1"/>
    </xf>
    <xf numFmtId="1" fontId="10" fillId="0" borderId="16" xfId="13" applyNumberFormat="1" applyFont="1" applyBorder="1" applyAlignment="1">
      <alignment horizontal="right" vertical="center"/>
    </xf>
    <xf numFmtId="1" fontId="10" fillId="0" borderId="16" xfId="13" applyNumberFormat="1" applyFont="1" applyBorder="1" applyAlignment="1">
      <alignment horizontal="right" vertical="center" wrapText="1"/>
    </xf>
    <xf numFmtId="0" fontId="10" fillId="0" borderId="16" xfId="0" applyFont="1" applyBorder="1" applyAlignment="1">
      <alignment horizontal="right" vertical="center"/>
    </xf>
    <xf numFmtId="0" fontId="20" fillId="2" borderId="16" xfId="13" applyFont="1" applyFill="1" applyBorder="1" applyAlignment="1">
      <alignment horizontal="right" vertical="center" wrapText="1"/>
    </xf>
    <xf numFmtId="0" fontId="25" fillId="2" borderId="16" xfId="0" applyFont="1" applyFill="1" applyBorder="1" applyAlignment="1">
      <alignment vertical="center"/>
    </xf>
    <xf numFmtId="0" fontId="25" fillId="2" borderId="24" xfId="0" applyFont="1" applyFill="1" applyBorder="1"/>
    <xf numFmtId="1" fontId="20" fillId="0" borderId="0" xfId="13" applyNumberFormat="1" applyFont="1" applyBorder="1" applyAlignment="1">
      <alignment horizontal="right" vertical="center" wrapText="1"/>
    </xf>
    <xf numFmtId="1" fontId="20" fillId="2" borderId="0" xfId="13" applyNumberFormat="1" applyFont="1" applyFill="1" applyBorder="1" applyAlignment="1">
      <alignment horizontal="right" vertical="center"/>
    </xf>
    <xf numFmtId="1" fontId="20" fillId="2" borderId="0" xfId="13" applyNumberFormat="1" applyFont="1" applyFill="1" applyBorder="1" applyAlignment="1">
      <alignment horizontal="right" vertical="center" wrapText="1"/>
    </xf>
    <xf numFmtId="0" fontId="25" fillId="2" borderId="0" xfId="0" applyFont="1" applyFill="1" applyBorder="1" applyAlignment="1">
      <alignment vertical="center"/>
    </xf>
    <xf numFmtId="0" fontId="20" fillId="2" borderId="0" xfId="0" applyFont="1" applyFill="1" applyBorder="1" applyAlignment="1">
      <alignment horizontal="right" vertical="center"/>
    </xf>
    <xf numFmtId="1" fontId="10" fillId="0" borderId="0" xfId="13" applyNumberFormat="1" applyFont="1" applyBorder="1" applyAlignment="1">
      <alignment horizontal="right" vertical="center"/>
    </xf>
    <xf numFmtId="1" fontId="10" fillId="0" borderId="0" xfId="13" applyNumberFormat="1" applyFont="1" applyBorder="1" applyAlignment="1">
      <alignment horizontal="right" vertical="center" wrapText="1"/>
    </xf>
    <xf numFmtId="0" fontId="10" fillId="0" borderId="0" xfId="0" applyFont="1" applyBorder="1" applyAlignment="1">
      <alignment horizontal="right" vertical="center"/>
    </xf>
    <xf numFmtId="1" fontId="10" fillId="0" borderId="0" xfId="0" applyNumberFormat="1" applyFont="1" applyBorder="1" applyAlignment="1">
      <alignment horizontal="right" vertical="center"/>
    </xf>
    <xf numFmtId="0" fontId="50" fillId="2" borderId="2" xfId="10" applyFont="1" applyFill="1" applyBorder="1" applyAlignment="1">
      <alignment vertical="center"/>
    </xf>
    <xf numFmtId="169" fontId="20" fillId="2" borderId="22" xfId="10" applyNumberFormat="1" applyFont="1" applyFill="1" applyBorder="1" applyAlignment="1">
      <alignment horizontal="right" vertical="center" wrapText="1"/>
    </xf>
    <xf numFmtId="169" fontId="20" fillId="2" borderId="22" xfId="16" applyNumberFormat="1" applyFont="1" applyFill="1" applyBorder="1" applyAlignment="1">
      <alignment horizontal="right" vertical="center" wrapText="1"/>
    </xf>
    <xf numFmtId="169" fontId="10" fillId="2" borderId="16" xfId="10" applyNumberFormat="1" applyFont="1" applyFill="1" applyBorder="1" applyAlignment="1">
      <alignment horizontal="right" vertical="center"/>
    </xf>
    <xf numFmtId="169" fontId="20" fillId="2" borderId="22" xfId="16" applyNumberFormat="1" applyFont="1" applyFill="1" applyBorder="1" applyAlignment="1">
      <alignment horizontal="left" vertical="center" wrapText="1"/>
    </xf>
    <xf numFmtId="169" fontId="20" fillId="0" borderId="14" xfId="10" applyNumberFormat="1" applyFont="1" applyBorder="1" applyAlignment="1">
      <alignment horizontal="center" vertical="center"/>
    </xf>
    <xf numFmtId="169" fontId="20" fillId="0" borderId="0" xfId="10" applyNumberFormat="1" applyFont="1" applyAlignment="1">
      <alignment horizontal="right" vertical="center" wrapText="1"/>
    </xf>
    <xf numFmtId="169" fontId="10" fillId="0" borderId="0" xfId="10" applyNumberFormat="1" applyFont="1" applyAlignment="1">
      <alignment horizontal="right" vertical="center"/>
    </xf>
    <xf numFmtId="169" fontId="20" fillId="0" borderId="0" xfId="16" applyNumberFormat="1" applyFont="1" applyAlignment="1">
      <alignment horizontal="right" vertical="center" wrapText="1"/>
    </xf>
    <xf numFmtId="169" fontId="20" fillId="0" borderId="0" xfId="16" applyNumberFormat="1" applyFont="1" applyAlignment="1">
      <alignment horizontal="left" vertical="center" wrapText="1"/>
    </xf>
    <xf numFmtId="169" fontId="20" fillId="2" borderId="14" xfId="10" applyNumberFormat="1" applyFont="1" applyFill="1" applyBorder="1" applyAlignment="1">
      <alignment horizontal="left" vertical="center" wrapText="1"/>
    </xf>
    <xf numFmtId="177" fontId="20" fillId="2" borderId="0" xfId="10" applyNumberFormat="1" applyFont="1" applyFill="1" applyAlignment="1">
      <alignment horizontal="right" vertical="center" wrapText="1"/>
    </xf>
    <xf numFmtId="177" fontId="10" fillId="2" borderId="0" xfId="10" applyNumberFormat="1" applyFont="1" applyFill="1" applyAlignment="1">
      <alignment horizontal="right" vertical="center"/>
    </xf>
    <xf numFmtId="177" fontId="20" fillId="2" borderId="0" xfId="10" applyNumberFormat="1" applyFont="1" applyFill="1" applyAlignment="1">
      <alignment horizontal="right" vertical="center"/>
    </xf>
    <xf numFmtId="177" fontId="20" fillId="2" borderId="0" xfId="10" applyNumberFormat="1" applyFont="1" applyFill="1" applyAlignment="1">
      <alignment horizontal="left" vertical="center"/>
    </xf>
    <xf numFmtId="177" fontId="20" fillId="2" borderId="0" xfId="10" applyNumberFormat="1" applyFont="1" applyFill="1" applyAlignment="1">
      <alignment horizontal="left"/>
    </xf>
    <xf numFmtId="169" fontId="10" fillId="0" borderId="14" xfId="10" applyNumberFormat="1" applyFont="1" applyBorder="1" applyAlignment="1">
      <alignment vertical="center" wrapText="1"/>
    </xf>
    <xf numFmtId="169" fontId="10" fillId="0" borderId="0" xfId="10" applyNumberFormat="1" applyFont="1" applyAlignment="1">
      <alignment horizontal="right" vertical="center" wrapText="1"/>
    </xf>
    <xf numFmtId="169" fontId="10" fillId="0" borderId="14" xfId="10" applyNumberFormat="1" applyFont="1" applyBorder="1" applyAlignment="1">
      <alignment vertical="center"/>
    </xf>
    <xf numFmtId="169" fontId="10" fillId="0" borderId="0" xfId="10" applyNumberFormat="1" applyFont="1" applyAlignment="1">
      <alignment horizontal="left" vertical="center" wrapText="1"/>
    </xf>
    <xf numFmtId="169" fontId="55" fillId="0" borderId="0" xfId="10" applyNumberFormat="1" applyFont="1" applyAlignment="1">
      <alignment horizontal="left" vertical="center"/>
    </xf>
    <xf numFmtId="169" fontId="19" fillId="0" borderId="0" xfId="10" applyNumberFormat="1" applyFont="1" applyAlignment="1">
      <alignment horizontal="left" vertical="center"/>
    </xf>
    <xf numFmtId="0" fontId="50" fillId="2" borderId="25" xfId="0" applyFont="1" applyFill="1" applyBorder="1" applyAlignment="1">
      <alignment vertical="center"/>
    </xf>
    <xf numFmtId="0" fontId="50" fillId="2" borderId="22" xfId="0" applyFont="1" applyFill="1" applyBorder="1" applyAlignment="1">
      <alignment vertical="center"/>
    </xf>
    <xf numFmtId="0" fontId="50" fillId="2" borderId="22" xfId="0" applyFont="1" applyFill="1" applyBorder="1" applyAlignment="1">
      <alignment horizontal="left" vertical="top"/>
    </xf>
    <xf numFmtId="0" fontId="25" fillId="2" borderId="22" xfId="0" applyFont="1" applyFill="1" applyBorder="1" applyAlignment="1">
      <alignment horizontal="right" vertical="center"/>
    </xf>
    <xf numFmtId="0" fontId="50" fillId="3" borderId="14" xfId="0" applyFont="1" applyFill="1" applyBorder="1" applyAlignment="1">
      <alignment vertical="center"/>
    </xf>
    <xf numFmtId="0" fontId="50" fillId="3" borderId="0" xfId="0" applyFont="1" applyFill="1" applyAlignment="1">
      <alignment vertical="center"/>
    </xf>
    <xf numFmtId="0" fontId="25" fillId="3" borderId="0" xfId="0" applyFont="1" applyFill="1" applyAlignment="1">
      <alignment horizontal="right" vertical="center"/>
    </xf>
    <xf numFmtId="0" fontId="50" fillId="2" borderId="14" xfId="0" applyFont="1" applyFill="1" applyBorder="1" applyAlignment="1">
      <alignment vertical="center"/>
    </xf>
    <xf numFmtId="3" fontId="50" fillId="3" borderId="0" xfId="0" applyNumberFormat="1" applyFont="1" applyFill="1" applyAlignment="1">
      <alignment vertical="center"/>
    </xf>
    <xf numFmtId="0" fontId="25" fillId="3" borderId="0" xfId="0" applyFont="1" applyFill="1" applyAlignment="1">
      <alignment vertical="center"/>
    </xf>
    <xf numFmtId="0" fontId="50" fillId="3" borderId="0" xfId="0" applyFont="1" applyFill="1" applyAlignment="1">
      <alignment horizontal="right" vertical="center"/>
    </xf>
    <xf numFmtId="0" fontId="25" fillId="3" borderId="14" xfId="0" applyFont="1" applyFill="1" applyBorder="1" applyAlignment="1">
      <alignment vertical="center"/>
    </xf>
    <xf numFmtId="3" fontId="25" fillId="3" borderId="0" xfId="0" applyNumberFormat="1" applyFont="1" applyFill="1" applyAlignment="1">
      <alignment horizontal="right" vertical="center"/>
    </xf>
    <xf numFmtId="0" fontId="25" fillId="3" borderId="14" xfId="0" applyFont="1" applyFill="1" applyBorder="1" applyAlignment="1">
      <alignment vertical="center" wrapText="1"/>
    </xf>
    <xf numFmtId="3" fontId="50" fillId="3" borderId="0" xfId="0" applyNumberFormat="1" applyFont="1" applyFill="1" applyBorder="1" applyAlignment="1">
      <alignment horizontal="right" vertical="center"/>
    </xf>
    <xf numFmtId="0" fontId="51" fillId="3" borderId="0" xfId="0" applyFont="1" applyFill="1" applyBorder="1" applyAlignment="1">
      <alignment vertical="top"/>
    </xf>
    <xf numFmtId="0" fontId="14" fillId="3" borderId="16" xfId="0" applyFont="1" applyFill="1" applyBorder="1" applyAlignment="1">
      <alignment vertical="center"/>
    </xf>
    <xf numFmtId="0" fontId="14" fillId="3" borderId="16" xfId="0" applyFont="1" applyFill="1" applyBorder="1" applyAlignment="1">
      <alignment horizontal="right" vertical="center"/>
    </xf>
    <xf numFmtId="0" fontId="2" fillId="0" borderId="16" xfId="0" applyFont="1" applyBorder="1"/>
    <xf numFmtId="0" fontId="50" fillId="3" borderId="0" xfId="0" applyFont="1" applyFill="1" applyBorder="1" applyAlignment="1">
      <alignment vertical="center"/>
    </xf>
    <xf numFmtId="0" fontId="50" fillId="3" borderId="0" xfId="0" applyFont="1" applyFill="1" applyBorder="1" applyAlignment="1">
      <alignment horizontal="left" vertical="top"/>
    </xf>
    <xf numFmtId="0" fontId="25" fillId="3" borderId="0" xfId="0" applyFont="1" applyFill="1" applyBorder="1" applyAlignment="1">
      <alignment horizontal="right" vertical="center"/>
    </xf>
    <xf numFmtId="3" fontId="50" fillId="2" borderId="0" xfId="0" applyNumberFormat="1" applyFont="1" applyFill="1" applyBorder="1" applyAlignment="1">
      <alignment vertical="center"/>
    </xf>
    <xf numFmtId="0" fontId="25" fillId="2" borderId="0" xfId="0" applyFont="1" applyFill="1" applyBorder="1" applyAlignment="1">
      <alignment horizontal="right" vertical="center"/>
    </xf>
    <xf numFmtId="3" fontId="50" fillId="2" borderId="0" xfId="0" applyNumberFormat="1" applyFont="1" applyFill="1" applyBorder="1"/>
    <xf numFmtId="3" fontId="50" fillId="3" borderId="0" xfId="0" applyNumberFormat="1" applyFont="1" applyFill="1" applyBorder="1" applyAlignment="1">
      <alignment vertical="center"/>
    </xf>
    <xf numFmtId="3" fontId="50" fillId="3" borderId="0" xfId="0" applyNumberFormat="1" applyFont="1" applyFill="1" applyBorder="1"/>
    <xf numFmtId="0" fontId="25" fillId="3" borderId="0" xfId="0" applyFont="1" applyFill="1" applyBorder="1" applyAlignment="1">
      <alignment vertical="center"/>
    </xf>
    <xf numFmtId="0" fontId="25" fillId="3" borderId="0" xfId="0" applyFont="1" applyFill="1" applyBorder="1"/>
    <xf numFmtId="0" fontId="50" fillId="3" borderId="0" xfId="0" applyFont="1" applyFill="1" applyBorder="1" applyAlignment="1">
      <alignment horizontal="right" vertical="center"/>
    </xf>
    <xf numFmtId="3" fontId="25" fillId="3" borderId="0" xfId="0" applyNumberFormat="1" applyFont="1" applyFill="1" applyBorder="1" applyAlignment="1">
      <alignment horizontal="right" vertical="center"/>
    </xf>
    <xf numFmtId="0" fontId="51" fillId="3" borderId="0" xfId="0" applyFont="1" applyFill="1" applyBorder="1" applyAlignment="1">
      <alignment horizontal="left" vertical="top"/>
    </xf>
    <xf numFmtId="0" fontId="50" fillId="3" borderId="14" xfId="0" applyFont="1" applyFill="1" applyBorder="1" applyAlignment="1">
      <alignment vertical="center" wrapText="1"/>
    </xf>
    <xf numFmtId="3" fontId="50" fillId="3" borderId="0" xfId="0" applyNumberFormat="1" applyFont="1" applyFill="1" applyAlignment="1">
      <alignment horizontal="right" vertical="center" wrapText="1"/>
    </xf>
    <xf numFmtId="0" fontId="51" fillId="3" borderId="0" xfId="0" applyFont="1" applyFill="1" applyAlignment="1">
      <alignment vertical="top" wrapText="1"/>
    </xf>
    <xf numFmtId="0" fontId="25" fillId="3" borderId="27" xfId="0" applyFont="1" applyFill="1" applyBorder="1" applyAlignment="1">
      <alignment vertical="center"/>
    </xf>
    <xf numFmtId="0" fontId="25" fillId="0" borderId="16" xfId="0" applyFont="1" applyBorder="1" applyAlignment="1">
      <alignment horizontal="right" vertical="center"/>
    </xf>
    <xf numFmtId="3" fontId="25" fillId="3" borderId="16" xfId="0" applyNumberFormat="1" applyFont="1" applyFill="1" applyBorder="1" applyAlignment="1">
      <alignment horizontal="right" vertical="center"/>
    </xf>
    <xf numFmtId="0" fontId="51" fillId="3" borderId="16" xfId="0" applyFont="1" applyFill="1" applyBorder="1" applyAlignment="1">
      <alignment vertical="top"/>
    </xf>
    <xf numFmtId="3" fontId="20" fillId="2" borderId="25" xfId="0" applyNumberFormat="1" applyFont="1" applyFill="1" applyBorder="1" applyAlignment="1">
      <alignment horizontal="center" vertical="center" wrapText="1"/>
    </xf>
    <xf numFmtId="0" fontId="10" fillId="0" borderId="14" xfId="0" applyFont="1" applyBorder="1" applyAlignment="1">
      <alignment horizontal="center" vertical="center" wrapText="1"/>
    </xf>
    <xf numFmtId="3" fontId="20" fillId="2" borderId="14" xfId="0" applyNumberFormat="1" applyFont="1" applyFill="1" applyBorder="1" applyAlignment="1">
      <alignment vertical="center"/>
    </xf>
    <xf numFmtId="183" fontId="20" fillId="2" borderId="0" xfId="0" applyNumberFormat="1" applyFont="1" applyFill="1" applyAlignment="1">
      <alignment horizontal="right" vertical="center"/>
    </xf>
    <xf numFmtId="3" fontId="10" fillId="0" borderId="14" xfId="0" applyNumberFormat="1" applyFont="1" applyBorder="1" applyAlignment="1">
      <alignment horizontal="left" vertical="center" indent="1"/>
    </xf>
    <xf numFmtId="183" fontId="10" fillId="0" borderId="0" xfId="0" applyNumberFormat="1" applyFont="1" applyAlignment="1">
      <alignment horizontal="right" vertical="center"/>
    </xf>
    <xf numFmtId="183" fontId="10" fillId="3" borderId="0" xfId="0" applyNumberFormat="1" applyFont="1" applyFill="1" applyAlignment="1">
      <alignment horizontal="right" vertical="center"/>
    </xf>
    <xf numFmtId="3" fontId="10" fillId="0" borderId="27" xfId="0" applyNumberFormat="1" applyFont="1" applyBorder="1" applyAlignment="1">
      <alignment horizontal="left" vertical="center" indent="1"/>
    </xf>
    <xf numFmtId="183" fontId="10" fillId="0" borderId="16" xfId="0" applyNumberFormat="1" applyFont="1" applyBorder="1" applyAlignment="1">
      <alignment horizontal="right" vertical="center"/>
    </xf>
    <xf numFmtId="49" fontId="20" fillId="2" borderId="25" xfId="17" applyNumberFormat="1" applyFont="1" applyFill="1" applyBorder="1" applyAlignment="1">
      <alignment horizontal="center" vertical="center" wrapText="1"/>
    </xf>
    <xf numFmtId="49" fontId="20" fillId="2" borderId="22" xfId="17" applyNumberFormat="1" applyFont="1" applyFill="1" applyBorder="1" applyAlignment="1">
      <alignment horizontal="right" vertical="center" wrapText="1"/>
    </xf>
    <xf numFmtId="49" fontId="20" fillId="0" borderId="14" xfId="17" applyNumberFormat="1" applyFont="1" applyBorder="1" applyAlignment="1">
      <alignment horizontal="center" vertical="center" wrapText="1"/>
    </xf>
    <xf numFmtId="0" fontId="20" fillId="2" borderId="14" xfId="17" applyFont="1" applyFill="1" applyBorder="1" applyAlignment="1">
      <alignment vertical="center"/>
    </xf>
    <xf numFmtId="0" fontId="10" fillId="0" borderId="14" xfId="17" applyFont="1" applyBorder="1" applyAlignment="1">
      <alignment vertical="center"/>
    </xf>
    <xf numFmtId="0" fontId="10" fillId="0" borderId="27" xfId="17" applyFont="1" applyBorder="1" applyAlignment="1">
      <alignment vertical="center"/>
    </xf>
    <xf numFmtId="0" fontId="10" fillId="0" borderId="0" xfId="0" applyFont="1" applyBorder="1"/>
    <xf numFmtId="183" fontId="20" fillId="2" borderId="0" xfId="0" applyNumberFormat="1" applyFont="1" applyFill="1" applyBorder="1" applyAlignment="1">
      <alignment horizontal="right" vertical="center"/>
    </xf>
    <xf numFmtId="183" fontId="10" fillId="0" borderId="0" xfId="0" applyNumberFormat="1" applyFont="1" applyBorder="1" applyAlignment="1">
      <alignment horizontal="right" vertical="center"/>
    </xf>
    <xf numFmtId="0" fontId="20" fillId="2" borderId="22" xfId="20" applyFont="1" applyFill="1" applyBorder="1" applyAlignment="1">
      <alignment horizontal="center" vertical="center" wrapText="1"/>
    </xf>
    <xf numFmtId="0" fontId="20" fillId="2" borderId="24" xfId="20" applyFont="1" applyFill="1" applyBorder="1" applyAlignment="1">
      <alignment horizontal="center" vertical="center" wrapText="1"/>
    </xf>
    <xf numFmtId="0" fontId="20" fillId="2" borderId="22" xfId="20" applyFont="1" applyFill="1" applyBorder="1" applyAlignment="1">
      <alignment horizontal="right" vertical="center" wrapText="1"/>
    </xf>
    <xf numFmtId="0" fontId="20" fillId="2" borderId="16" xfId="20" applyFont="1" applyFill="1" applyBorder="1" applyAlignment="1">
      <alignment horizontal="center" vertical="center" wrapText="1"/>
    </xf>
    <xf numFmtId="0" fontId="20" fillId="0" borderId="14" xfId="20" applyFont="1" applyBorder="1" applyAlignment="1">
      <alignment horizontal="center" vertical="center" wrapText="1"/>
    </xf>
    <xf numFmtId="1" fontId="20" fillId="2" borderId="14" xfId="20" applyNumberFormat="1" applyFont="1" applyFill="1" applyBorder="1"/>
    <xf numFmtId="1" fontId="20" fillId="0" borderId="14" xfId="20" applyNumberFormat="1" applyFont="1" applyBorder="1"/>
    <xf numFmtId="1" fontId="10" fillId="0" borderId="14" xfId="20" applyNumberFormat="1" applyFont="1" applyBorder="1" applyAlignment="1">
      <alignment horizontal="left" indent="1"/>
    </xf>
    <xf numFmtId="1" fontId="10" fillId="0" borderId="27" xfId="20" applyNumberFormat="1" applyFont="1" applyBorder="1" applyAlignment="1">
      <alignment horizontal="left" indent="1"/>
    </xf>
    <xf numFmtId="3" fontId="10" fillId="0" borderId="16" xfId="21" applyNumberFormat="1" applyFont="1" applyBorder="1" applyAlignment="1">
      <alignment horizontal="right" vertical="center"/>
    </xf>
    <xf numFmtId="165" fontId="10" fillId="0" borderId="16" xfId="20" applyNumberFormat="1" applyFont="1" applyBorder="1"/>
    <xf numFmtId="3" fontId="10" fillId="0" borderId="16" xfId="19" applyNumberFormat="1" applyFont="1" applyBorder="1"/>
    <xf numFmtId="3" fontId="10" fillId="0" borderId="16" xfId="0" applyNumberFormat="1" applyFont="1" applyBorder="1" applyAlignment="1">
      <alignment horizontal="right"/>
    </xf>
    <xf numFmtId="0" fontId="10" fillId="0" borderId="0" xfId="19" applyFont="1" applyBorder="1"/>
    <xf numFmtId="3" fontId="20" fillId="2" borderId="0" xfId="20" applyNumberFormat="1" applyFont="1" applyFill="1" applyBorder="1"/>
    <xf numFmtId="165" fontId="20" fillId="2" borderId="0" xfId="20" applyNumberFormat="1" applyFont="1" applyFill="1" applyBorder="1"/>
    <xf numFmtId="3" fontId="10" fillId="0" borderId="0" xfId="19" applyNumberFormat="1" applyFont="1" applyBorder="1"/>
    <xf numFmtId="3" fontId="20" fillId="2" borderId="0" xfId="0" applyNumberFormat="1" applyFont="1" applyFill="1" applyBorder="1" applyAlignment="1">
      <alignment horizontal="right"/>
    </xf>
    <xf numFmtId="3" fontId="20" fillId="0" borderId="0" xfId="20" applyNumberFormat="1" applyFont="1" applyBorder="1"/>
    <xf numFmtId="3" fontId="20" fillId="0" borderId="0" xfId="0" applyNumberFormat="1" applyFont="1" applyBorder="1" applyAlignment="1">
      <alignment horizontal="right"/>
    </xf>
    <xf numFmtId="165" fontId="20" fillId="0" borderId="0" xfId="20" applyNumberFormat="1" applyFont="1" applyBorder="1"/>
    <xf numFmtId="3" fontId="10" fillId="0" borderId="0" xfId="21" applyNumberFormat="1" applyFont="1" applyBorder="1" applyAlignment="1">
      <alignment horizontal="right" vertical="center"/>
    </xf>
    <xf numFmtId="165" fontId="10" fillId="0" borderId="0" xfId="20" applyNumberFormat="1" applyFont="1" applyBorder="1"/>
    <xf numFmtId="3" fontId="10" fillId="0" borderId="0" xfId="0" applyNumberFormat="1" applyFont="1" applyBorder="1" applyAlignment="1">
      <alignment horizontal="right"/>
    </xf>
    <xf numFmtId="183" fontId="10" fillId="3" borderId="0" xfId="0" applyNumberFormat="1" applyFont="1" applyFill="1" applyBorder="1" applyAlignment="1">
      <alignment horizontal="right" vertical="center"/>
    </xf>
    <xf numFmtId="0" fontId="7" fillId="3" borderId="0" xfId="1" applyFont="1" applyFill="1" applyAlignment="1">
      <alignment horizontal="center" wrapText="1"/>
    </xf>
    <xf numFmtId="0" fontId="37" fillId="3" borderId="0" xfId="0" applyFont="1" applyFill="1" applyAlignment="1">
      <alignment horizontal="left" vertical="center" wrapText="1"/>
    </xf>
    <xf numFmtId="0" fontId="12" fillId="0" borderId="24" xfId="22" applyFont="1" applyBorder="1" applyAlignment="1">
      <alignment horizontal="justify" vertical="center" wrapText="1"/>
    </xf>
    <xf numFmtId="0" fontId="39" fillId="0" borderId="0" xfId="3" applyFont="1" applyAlignment="1">
      <alignment horizontal="center" vertical="center" wrapText="1"/>
    </xf>
    <xf numFmtId="0" fontId="40" fillId="0" borderId="0" xfId="3" applyFont="1" applyAlignment="1">
      <alignment horizontal="center" vertical="center"/>
    </xf>
    <xf numFmtId="49" fontId="20" fillId="2" borderId="22" xfId="2" applyNumberFormat="1" applyFont="1" applyFill="1" applyBorder="1" applyAlignment="1">
      <alignment horizontal="center" vertical="center" wrapText="1"/>
    </xf>
    <xf numFmtId="0" fontId="20" fillId="2" borderId="26" xfId="2" applyFont="1" applyFill="1" applyBorder="1" applyAlignment="1">
      <alignment horizontal="center" vertical="center" wrapText="1"/>
    </xf>
    <xf numFmtId="0" fontId="20" fillId="2" borderId="27" xfId="2" applyFont="1" applyFill="1" applyBorder="1" applyAlignment="1">
      <alignment horizontal="center" vertical="center"/>
    </xf>
    <xf numFmtId="49" fontId="20" fillId="2" borderId="23" xfId="2" applyNumberFormat="1" applyFont="1" applyFill="1" applyBorder="1" applyAlignment="1">
      <alignment horizontal="center" vertical="center" wrapText="1"/>
    </xf>
    <xf numFmtId="0" fontId="12" fillId="0" borderId="0" xfId="22" applyFont="1" applyAlignment="1">
      <alignment horizontal="justify" vertical="center" wrapText="1"/>
    </xf>
    <xf numFmtId="0" fontId="0" fillId="0" borderId="0" xfId="0" applyAlignment="1">
      <alignment horizontal="justify" vertical="center" wrapText="1"/>
    </xf>
    <xf numFmtId="0" fontId="41" fillId="0" borderId="0" xfId="3" applyFont="1" applyAlignment="1">
      <alignment horizontal="center" vertical="center"/>
    </xf>
    <xf numFmtId="0" fontId="9" fillId="0" borderId="0" xfId="3" applyFont="1" applyAlignment="1">
      <alignment horizontal="center" vertical="center"/>
    </xf>
    <xf numFmtId="3" fontId="30" fillId="2" borderId="7" xfId="2" applyNumberFormat="1" applyFont="1" applyFill="1" applyBorder="1" applyAlignment="1">
      <alignment horizontal="center" vertical="center" wrapText="1"/>
    </xf>
    <xf numFmtId="0" fontId="30" fillId="3" borderId="0" xfId="4" applyFont="1" applyFill="1" applyAlignment="1">
      <alignment horizontal="center" vertical="center"/>
    </xf>
    <xf numFmtId="0" fontId="31" fillId="3" borderId="0" xfId="4" applyFont="1" applyFill="1" applyAlignment="1">
      <alignment horizontal="center" vertical="center"/>
    </xf>
    <xf numFmtId="0" fontId="30" fillId="2" borderId="8" xfId="2" applyFont="1" applyFill="1" applyBorder="1" applyAlignment="1">
      <alignment horizontal="center" vertical="center" wrapText="1"/>
    </xf>
    <xf numFmtId="0" fontId="30" fillId="2" borderId="9" xfId="2" applyFont="1" applyFill="1" applyBorder="1" applyAlignment="1">
      <alignment horizontal="center" vertical="center" wrapText="1"/>
    </xf>
    <xf numFmtId="3" fontId="30" fillId="2" borderId="2" xfId="2" applyNumberFormat="1" applyFont="1" applyFill="1" applyBorder="1" applyAlignment="1">
      <alignment horizontal="right" vertical="center" wrapText="1"/>
    </xf>
    <xf numFmtId="3" fontId="30" fillId="2" borderId="6" xfId="2" applyNumberFormat="1" applyFont="1" applyFill="1" applyBorder="1" applyAlignment="1">
      <alignment horizontal="right" vertical="center" wrapText="1"/>
    </xf>
    <xf numFmtId="0" fontId="11" fillId="2" borderId="26" xfId="2" applyFont="1" applyFill="1" applyBorder="1" applyAlignment="1">
      <alignment horizontal="center" vertical="center" wrapText="1"/>
    </xf>
    <xf numFmtId="0" fontId="11" fillId="2" borderId="27" xfId="2" applyFont="1" applyFill="1" applyBorder="1" applyAlignment="1">
      <alignment horizontal="center" vertical="center" wrapText="1"/>
    </xf>
    <xf numFmtId="3" fontId="11" fillId="2" borderId="22" xfId="2" applyNumberFormat="1" applyFont="1" applyFill="1" applyBorder="1" applyAlignment="1">
      <alignment horizontal="center" vertical="center" wrapText="1"/>
    </xf>
    <xf numFmtId="0" fontId="20" fillId="2" borderId="27" xfId="2" applyFont="1" applyFill="1" applyBorder="1" applyAlignment="1">
      <alignment horizontal="center" vertical="center" wrapText="1"/>
    </xf>
    <xf numFmtId="3" fontId="20" fillId="2" borderId="22" xfId="2" applyNumberFormat="1" applyFont="1" applyFill="1" applyBorder="1" applyAlignment="1">
      <alignment horizontal="center" vertical="center" wrapText="1"/>
    </xf>
    <xf numFmtId="0" fontId="28" fillId="3" borderId="0" xfId="2" applyFont="1" applyFill="1" applyAlignment="1">
      <alignment horizontal="center"/>
    </xf>
    <xf numFmtId="0" fontId="28" fillId="2" borderId="8" xfId="2" applyFont="1" applyFill="1" applyBorder="1" applyAlignment="1">
      <alignment horizontal="center" vertical="center" wrapText="1"/>
    </xf>
    <xf numFmtId="0" fontId="28" fillId="2" borderId="9" xfId="2" applyFont="1" applyFill="1" applyBorder="1" applyAlignment="1">
      <alignment horizontal="center" vertical="center" wrapText="1"/>
    </xf>
    <xf numFmtId="3" fontId="28" fillId="2" borderId="7" xfId="2" applyNumberFormat="1" applyFont="1" applyFill="1" applyBorder="1" applyAlignment="1">
      <alignment horizontal="center" vertical="center" wrapText="1"/>
    </xf>
    <xf numFmtId="0" fontId="11" fillId="2" borderId="25" xfId="2" applyFont="1" applyFill="1" applyBorder="1" applyAlignment="1">
      <alignment horizontal="center" vertical="center" wrapText="1"/>
    </xf>
    <xf numFmtId="0" fontId="20" fillId="2" borderId="25" xfId="2" applyFont="1" applyFill="1" applyBorder="1" applyAlignment="1">
      <alignment horizontal="center" vertical="center" wrapText="1"/>
    </xf>
    <xf numFmtId="0" fontId="28" fillId="0" borderId="0" xfId="0" applyFont="1" applyAlignment="1">
      <alignment horizontal="center"/>
    </xf>
    <xf numFmtId="0" fontId="28" fillId="0" borderId="0" xfId="2" applyFont="1" applyAlignment="1">
      <alignment horizontal="center"/>
    </xf>
    <xf numFmtId="0" fontId="28" fillId="2" borderId="13" xfId="2" applyFont="1" applyFill="1" applyBorder="1" applyAlignment="1">
      <alignment horizontal="center" vertical="center" wrapText="1"/>
    </xf>
    <xf numFmtId="0" fontId="14" fillId="0" borderId="0" xfId="0" applyFont="1" applyAlignment="1">
      <alignment horizontal="justify" vertical="center" wrapText="1"/>
    </xf>
    <xf numFmtId="49" fontId="39" fillId="0" borderId="0" xfId="5" applyNumberFormat="1" applyFont="1" applyAlignment="1">
      <alignment horizontal="center" vertical="center" wrapText="1"/>
    </xf>
    <xf numFmtId="0" fontId="40" fillId="0" borderId="0" xfId="6" applyFont="1" applyAlignment="1">
      <alignment horizontal="center" vertical="center"/>
    </xf>
    <xf numFmtId="49" fontId="20" fillId="2" borderId="22" xfId="7" applyNumberFormat="1" applyFont="1" applyFill="1" applyBorder="1" applyAlignment="1">
      <alignment horizontal="center" vertical="center" wrapText="1"/>
    </xf>
    <xf numFmtId="0" fontId="20" fillId="2" borderId="25" xfId="7" applyFont="1" applyFill="1" applyBorder="1" applyAlignment="1">
      <alignment horizontal="center" vertical="center" wrapText="1"/>
    </xf>
    <xf numFmtId="49" fontId="53" fillId="2" borderId="22" xfId="7" applyNumberFormat="1" applyFont="1" applyFill="1" applyBorder="1" applyAlignment="1">
      <alignment horizontal="center" vertical="center" wrapText="1"/>
    </xf>
    <xf numFmtId="0" fontId="0" fillId="0" borderId="24" xfId="0" applyBorder="1" applyAlignment="1">
      <alignment horizontal="justify" vertical="center" wrapText="1"/>
    </xf>
    <xf numFmtId="167" fontId="12" fillId="0" borderId="0" xfId="9" applyNumberFormat="1" applyFont="1" applyAlignment="1">
      <alignment horizontal="left" vertical="center" wrapText="1"/>
    </xf>
    <xf numFmtId="0" fontId="14" fillId="0" borderId="0" xfId="0" applyFont="1" applyAlignment="1">
      <alignment horizontal="left" vertical="center" wrapText="1"/>
    </xf>
    <xf numFmtId="49" fontId="41" fillId="0" borderId="0" xfId="5" applyNumberFormat="1" applyFont="1" applyAlignment="1">
      <alignment horizontal="center" vertical="center" wrapText="1"/>
    </xf>
    <xf numFmtId="167" fontId="20" fillId="2" borderId="25" xfId="9" applyNumberFormat="1" applyFont="1" applyFill="1" applyBorder="1" applyAlignment="1">
      <alignment horizontal="center" vertical="center" wrapText="1"/>
    </xf>
    <xf numFmtId="167" fontId="20" fillId="2" borderId="22" xfId="9" applyNumberFormat="1" applyFont="1" applyFill="1" applyBorder="1" applyAlignment="1">
      <alignment horizontal="center" vertical="center" wrapText="1"/>
    </xf>
    <xf numFmtId="49" fontId="20" fillId="2" borderId="22" xfId="9" applyNumberFormat="1" applyFont="1" applyFill="1" applyBorder="1" applyAlignment="1">
      <alignment horizontal="center" vertical="center" wrapText="1"/>
    </xf>
    <xf numFmtId="1" fontId="20" fillId="2" borderId="22" xfId="9" applyNumberFormat="1" applyFont="1" applyFill="1" applyBorder="1" applyAlignment="1">
      <alignment horizontal="center" vertical="center"/>
    </xf>
    <xf numFmtId="167" fontId="20" fillId="2" borderId="28" xfId="9" applyNumberFormat="1" applyFont="1" applyFill="1" applyBorder="1" applyAlignment="1">
      <alignment horizontal="center" vertical="center" wrapText="1"/>
    </xf>
    <xf numFmtId="0" fontId="9" fillId="0" borderId="0" xfId="6" applyFont="1" applyAlignment="1">
      <alignment horizontal="center" vertical="center"/>
    </xf>
    <xf numFmtId="167" fontId="20" fillId="2" borderId="29" xfId="9" applyNumberFormat="1" applyFont="1" applyFill="1" applyBorder="1" applyAlignment="1">
      <alignment horizontal="center" vertical="center" wrapText="1"/>
    </xf>
    <xf numFmtId="167" fontId="20" fillId="2" borderId="30" xfId="9" applyNumberFormat="1" applyFont="1" applyFill="1" applyBorder="1" applyAlignment="1">
      <alignment horizontal="center" vertical="center" wrapText="1"/>
    </xf>
    <xf numFmtId="1" fontId="20" fillId="2" borderId="19" xfId="9" applyNumberFormat="1" applyFont="1" applyFill="1" applyBorder="1" applyAlignment="1">
      <alignment horizontal="center" vertical="center"/>
    </xf>
    <xf numFmtId="167" fontId="20" fillId="0" borderId="0" xfId="9" applyNumberFormat="1" applyFont="1" applyAlignment="1">
      <alignment horizontal="right" vertical="center" wrapText="1"/>
    </xf>
    <xf numFmtId="0" fontId="11" fillId="2" borderId="22" xfId="9" applyFont="1" applyFill="1" applyBorder="1" applyAlignment="1">
      <alignment horizontal="center" vertical="center"/>
    </xf>
    <xf numFmtId="169" fontId="6" fillId="0" borderId="0" xfId="12" applyNumberFormat="1" applyFont="1" applyAlignment="1">
      <alignment horizontal="center" vertical="center"/>
    </xf>
    <xf numFmtId="169" fontId="11" fillId="2" borderId="25" xfId="9" applyNumberFormat="1" applyFont="1" applyFill="1" applyBorder="1" applyAlignment="1">
      <alignment horizontal="center" vertical="center" wrapText="1"/>
    </xf>
    <xf numFmtId="169" fontId="41" fillId="0" borderId="0" xfId="10" applyNumberFormat="1" applyFont="1" applyAlignment="1">
      <alignment horizontal="center" vertical="center"/>
    </xf>
    <xf numFmtId="49" fontId="5" fillId="0" borderId="0" xfId="9" applyNumberFormat="1" applyFont="1" applyAlignment="1">
      <alignment horizontal="center" vertical="center" wrapText="1"/>
    </xf>
    <xf numFmtId="49" fontId="6" fillId="0" borderId="0" xfId="9" applyNumberFormat="1" applyFont="1" applyAlignment="1">
      <alignment horizontal="center" vertical="center"/>
    </xf>
    <xf numFmtId="49" fontId="42" fillId="0" borderId="0" xfId="9" applyNumberFormat="1" applyFont="1" applyAlignment="1">
      <alignment horizontal="center" vertical="center" wrapText="1"/>
    </xf>
    <xf numFmtId="49" fontId="9" fillId="0" borderId="0" xfId="9" applyNumberFormat="1" applyFont="1" applyAlignment="1">
      <alignment horizontal="center" vertical="center"/>
    </xf>
    <xf numFmtId="49" fontId="41" fillId="0" borderId="0" xfId="9" applyNumberFormat="1" applyFont="1" applyAlignment="1">
      <alignment horizontal="center" vertical="center" wrapText="1"/>
    </xf>
    <xf numFmtId="0" fontId="12" fillId="0" borderId="0" xfId="13" applyFont="1" applyAlignment="1">
      <alignment horizontal="left" vertical="center" wrapText="1"/>
    </xf>
    <xf numFmtId="49" fontId="11" fillId="0" borderId="0" xfId="9" applyNumberFormat="1" applyFont="1" applyAlignment="1">
      <alignment horizontal="center" vertical="center" wrapText="1"/>
    </xf>
    <xf numFmtId="49" fontId="41" fillId="0" borderId="0" xfId="9" applyNumberFormat="1" applyFont="1" applyAlignment="1">
      <alignment horizontal="center" vertical="center"/>
    </xf>
    <xf numFmtId="0" fontId="11" fillId="0" borderId="24" xfId="0" applyFont="1" applyBorder="1" applyAlignment="1">
      <alignment horizontal="left" vertical="center" wrapText="1"/>
    </xf>
    <xf numFmtId="49" fontId="41" fillId="0" borderId="0" xfId="14" applyNumberFormat="1" applyFont="1" applyAlignment="1">
      <alignment horizontal="center" vertical="center"/>
    </xf>
    <xf numFmtId="49" fontId="20" fillId="2" borderId="24" xfId="14" applyNumberFormat="1" applyFont="1" applyFill="1" applyBorder="1" applyAlignment="1">
      <alignment horizontal="center" vertical="center" wrapText="1"/>
    </xf>
    <xf numFmtId="49" fontId="20" fillId="2" borderId="26" xfId="14" applyNumberFormat="1" applyFont="1" applyFill="1" applyBorder="1" applyAlignment="1">
      <alignment horizontal="center" vertical="center" wrapText="1"/>
    </xf>
    <xf numFmtId="49" fontId="20" fillId="2" borderId="16" xfId="14" applyNumberFormat="1" applyFont="1" applyFill="1" applyBorder="1" applyAlignment="1">
      <alignment horizontal="center" vertical="center" wrapText="1"/>
    </xf>
    <xf numFmtId="49" fontId="20" fillId="2" borderId="27" xfId="14" applyNumberFormat="1" applyFont="1" applyFill="1" applyBorder="1" applyAlignment="1">
      <alignment horizontal="center" vertical="center" wrapText="1"/>
    </xf>
    <xf numFmtId="49" fontId="20" fillId="2" borderId="22" xfId="14" applyNumberFormat="1" applyFont="1" applyFill="1" applyBorder="1" applyAlignment="1">
      <alignment horizontal="center" vertical="center"/>
    </xf>
    <xf numFmtId="49" fontId="20" fillId="2" borderId="24" xfId="14" applyNumberFormat="1" applyFont="1" applyFill="1" applyBorder="1" applyAlignment="1">
      <alignment horizontal="right" vertical="center" wrapText="1"/>
    </xf>
    <xf numFmtId="49" fontId="20" fillId="2" borderId="16" xfId="14" applyNumberFormat="1" applyFont="1" applyFill="1" applyBorder="1" applyAlignment="1">
      <alignment horizontal="right" vertical="center" wrapText="1"/>
    </xf>
    <xf numFmtId="49" fontId="43" fillId="3" borderId="0" xfId="14" applyNumberFormat="1" applyFont="1" applyFill="1" applyAlignment="1">
      <alignment horizontal="justify" vertical="center" wrapText="1"/>
    </xf>
    <xf numFmtId="0" fontId="44" fillId="3" borderId="0" xfId="0" applyFont="1" applyFill="1" applyAlignment="1">
      <alignment horizontal="justify" vertical="center" wrapText="1"/>
    </xf>
    <xf numFmtId="49" fontId="11" fillId="3" borderId="0" xfId="10" applyNumberFormat="1" applyFont="1" applyFill="1" applyAlignment="1">
      <alignment horizontal="justify" vertical="center" wrapText="1"/>
    </xf>
    <xf numFmtId="0" fontId="41" fillId="0" borderId="0" xfId="13" applyFont="1" applyAlignment="1">
      <alignment horizontal="center" vertical="center"/>
    </xf>
    <xf numFmtId="0" fontId="11" fillId="0" borderId="0" xfId="8" applyFont="1" applyAlignment="1">
      <alignment horizontal="justify" vertical="center" wrapText="1"/>
    </xf>
    <xf numFmtId="0" fontId="12" fillId="0" borderId="0" xfId="8" applyFont="1" applyAlignment="1">
      <alignment horizontal="justify" vertical="center" wrapText="1"/>
    </xf>
    <xf numFmtId="0" fontId="9" fillId="0" borderId="0" xfId="13" applyFont="1" applyAlignment="1">
      <alignment horizontal="center" vertical="center"/>
    </xf>
    <xf numFmtId="0" fontId="11" fillId="0" borderId="0" xfId="0" applyFont="1" applyAlignment="1">
      <alignment horizontal="left"/>
    </xf>
    <xf numFmtId="49" fontId="11" fillId="0" borderId="0" xfId="0" applyNumberFormat="1" applyFont="1" applyAlignment="1">
      <alignment horizontal="left" vertical="center" wrapText="1"/>
    </xf>
    <xf numFmtId="0" fontId="11" fillId="0" borderId="0" xfId="0" applyFont="1" applyAlignment="1">
      <alignment horizontal="left" vertical="center" wrapText="1"/>
    </xf>
    <xf numFmtId="0" fontId="41" fillId="0" borderId="0" xfId="0" applyFont="1" applyAlignment="1">
      <alignment horizontal="center" vertical="center"/>
    </xf>
    <xf numFmtId="0" fontId="6" fillId="0" borderId="0" xfId="0" applyFont="1" applyAlignment="1">
      <alignment horizontal="center" vertical="center"/>
    </xf>
    <xf numFmtId="49" fontId="20" fillId="2" borderId="25" xfId="0" applyNumberFormat="1" applyFont="1" applyFill="1" applyBorder="1" applyAlignment="1">
      <alignment horizontal="center" vertical="center" wrapText="1"/>
    </xf>
    <xf numFmtId="0" fontId="20" fillId="2" borderId="22" xfId="0" applyFont="1" applyFill="1" applyBorder="1" applyAlignment="1">
      <alignment horizontal="right" vertical="center" wrapText="1"/>
    </xf>
    <xf numFmtId="0" fontId="20" fillId="2" borderId="22" xfId="0" applyFont="1" applyFill="1" applyBorder="1" applyAlignment="1">
      <alignment horizontal="center" vertical="center"/>
    </xf>
    <xf numFmtId="0" fontId="20" fillId="2" borderId="24" xfId="0" applyFont="1" applyFill="1" applyBorder="1" applyAlignment="1">
      <alignment horizontal="right" vertical="center" wrapText="1"/>
    </xf>
    <xf numFmtId="0" fontId="20" fillId="2" borderId="16" xfId="0" applyFont="1" applyFill="1" applyBorder="1" applyAlignment="1">
      <alignment horizontal="right" vertical="center" wrapText="1"/>
    </xf>
    <xf numFmtId="0" fontId="14" fillId="0" borderId="24" xfId="0" applyFont="1" applyBorder="1" applyAlignment="1">
      <alignment horizontal="left" vertical="center" wrapText="1"/>
    </xf>
    <xf numFmtId="0" fontId="21" fillId="0" borderId="0" xfId="0" applyFont="1" applyAlignment="1">
      <alignment horizontal="left" vertical="center" wrapText="1"/>
    </xf>
    <xf numFmtId="0" fontId="9" fillId="0" borderId="0" xfId="0" applyFont="1" applyAlignment="1">
      <alignment horizontal="center" vertical="top"/>
    </xf>
    <xf numFmtId="0" fontId="21" fillId="0" borderId="24" xfId="0" applyFont="1" applyBorder="1" applyAlignment="1">
      <alignment horizontal="left" vertical="center" wrapText="1"/>
    </xf>
    <xf numFmtId="0" fontId="21" fillId="0" borderId="0" xfId="0" applyFont="1" applyAlignment="1">
      <alignment horizontal="justify" vertical="center" wrapText="1"/>
    </xf>
    <xf numFmtId="49" fontId="12" fillId="0" borderId="24" xfId="0" applyNumberFormat="1" applyFont="1" applyBorder="1" applyAlignment="1">
      <alignment horizontal="justify" vertical="center" wrapText="1"/>
    </xf>
    <xf numFmtId="169" fontId="12" fillId="0" borderId="0" xfId="16" applyNumberFormat="1" applyAlignment="1">
      <alignment horizontal="left" vertical="center"/>
    </xf>
    <xf numFmtId="0" fontId="12" fillId="0" borderId="0" xfId="16" applyAlignment="1">
      <alignment horizontal="left" vertical="center" wrapText="1"/>
    </xf>
    <xf numFmtId="0" fontId="41" fillId="3" borderId="0" xfId="13" applyFont="1" applyFill="1" applyAlignment="1">
      <alignment horizontal="center" vertical="center"/>
    </xf>
    <xf numFmtId="49" fontId="20" fillId="2" borderId="26" xfId="13" applyNumberFormat="1" applyFont="1" applyFill="1" applyBorder="1" applyAlignment="1">
      <alignment horizontal="center" vertical="center" wrapText="1"/>
    </xf>
    <xf numFmtId="49" fontId="20" fillId="2" borderId="27" xfId="13" applyNumberFormat="1" applyFont="1" applyFill="1" applyBorder="1" applyAlignment="1">
      <alignment horizontal="center" vertical="center" wrapText="1"/>
    </xf>
    <xf numFmtId="0" fontId="20" fillId="2" borderId="24" xfId="13" applyFont="1" applyFill="1" applyBorder="1" applyAlignment="1">
      <alignment horizontal="center" vertical="center" wrapText="1"/>
    </xf>
    <xf numFmtId="0" fontId="20" fillId="2" borderId="24" xfId="0" applyFont="1" applyFill="1" applyBorder="1" applyAlignment="1">
      <alignment horizontal="center" vertical="center"/>
    </xf>
    <xf numFmtId="169" fontId="12" fillId="0" borderId="24" xfId="10" applyNumberFormat="1" applyBorder="1" applyAlignment="1">
      <alignment horizontal="left" wrapText="1"/>
    </xf>
    <xf numFmtId="169" fontId="12" fillId="0" borderId="0" xfId="16" applyNumberFormat="1" applyAlignment="1">
      <alignment horizontal="left" wrapText="1"/>
    </xf>
    <xf numFmtId="169" fontId="20" fillId="2" borderId="25" xfId="10" applyNumberFormat="1" applyFont="1" applyFill="1" applyBorder="1" applyAlignment="1">
      <alignment horizontal="center" vertical="center" wrapText="1"/>
    </xf>
    <xf numFmtId="0" fontId="50" fillId="2" borderId="22" xfId="10" applyFont="1" applyFill="1" applyBorder="1" applyAlignment="1">
      <alignment horizontal="center" vertical="center"/>
    </xf>
    <xf numFmtId="0" fontId="14" fillId="3" borderId="0" xfId="0" applyFont="1" applyFill="1" applyAlignment="1">
      <alignment horizontal="left" vertical="center" wrapText="1"/>
    </xf>
    <xf numFmtId="0" fontId="14" fillId="3" borderId="0" xfId="0" applyFont="1" applyFill="1" applyAlignment="1">
      <alignment horizontal="justify" vertical="center" wrapText="1"/>
    </xf>
    <xf numFmtId="49" fontId="9" fillId="0" borderId="0" xfId="0" applyNumberFormat="1" applyFont="1" applyAlignment="1">
      <alignment horizontal="center" wrapText="1"/>
    </xf>
    <xf numFmtId="0" fontId="12" fillId="0" borderId="0" xfId="22" applyFont="1" applyBorder="1" applyAlignment="1">
      <alignment horizontal="left" vertical="center" wrapText="1"/>
    </xf>
    <xf numFmtId="0" fontId="12" fillId="0" borderId="0" xfId="22" applyFont="1" applyAlignment="1">
      <alignment horizontal="left" vertical="center" wrapText="1"/>
    </xf>
    <xf numFmtId="49" fontId="5" fillId="0" borderId="0" xfId="0" applyNumberFormat="1" applyFont="1" applyAlignment="1">
      <alignment horizontal="left" wrapText="1"/>
    </xf>
    <xf numFmtId="49" fontId="26" fillId="0" borderId="0" xfId="0" applyNumberFormat="1" applyFont="1" applyAlignment="1">
      <alignment horizontal="center" wrapText="1"/>
    </xf>
    <xf numFmtId="49" fontId="24" fillId="0" borderId="0" xfId="0" applyNumberFormat="1" applyFont="1" applyAlignment="1">
      <alignment horizontal="center" wrapText="1"/>
    </xf>
    <xf numFmtId="3" fontId="24" fillId="0" borderId="0" xfId="0" applyNumberFormat="1" applyFont="1" applyAlignment="1">
      <alignment horizontal="center" vertical="center"/>
    </xf>
    <xf numFmtId="49" fontId="41" fillId="0" borderId="0" xfId="0" applyNumberFormat="1" applyFont="1" applyAlignment="1">
      <alignment horizontal="center" wrapText="1"/>
    </xf>
    <xf numFmtId="0" fontId="24" fillId="0" borderId="0" xfId="18" applyFont="1" applyBorder="1" applyAlignment="1">
      <alignment horizontal="center" vertical="center"/>
    </xf>
    <xf numFmtId="49" fontId="26" fillId="0" borderId="0" xfId="18" applyNumberFormat="1" applyFont="1" applyBorder="1" applyAlignment="1">
      <alignment horizontal="center" vertical="center" wrapText="1"/>
    </xf>
    <xf numFmtId="49" fontId="41" fillId="0" borderId="0" xfId="18" applyNumberFormat="1" applyFont="1" applyBorder="1" applyAlignment="1">
      <alignment horizontal="center" vertical="center" wrapText="1"/>
    </xf>
    <xf numFmtId="0" fontId="9" fillId="0" borderId="0" xfId="18" applyFont="1" applyBorder="1" applyAlignment="1">
      <alignment horizontal="center" vertical="center"/>
    </xf>
    <xf numFmtId="0" fontId="41" fillId="0" borderId="0" xfId="19" applyFont="1" applyAlignment="1">
      <alignment horizontal="center" vertical="center" wrapText="1"/>
    </xf>
    <xf numFmtId="0" fontId="9" fillId="0" borderId="0" xfId="19" applyFont="1" applyAlignment="1">
      <alignment horizontal="center" vertical="center"/>
    </xf>
    <xf numFmtId="3" fontId="11" fillId="0" borderId="0" xfId="19" applyNumberFormat="1" applyFont="1" applyAlignment="1">
      <alignment horizontal="left" vertical="center" wrapText="1"/>
    </xf>
    <xf numFmtId="0" fontId="20" fillId="2" borderId="25" xfId="20" applyFont="1" applyFill="1" applyBorder="1" applyAlignment="1">
      <alignment horizontal="center" vertical="center" wrapText="1"/>
    </xf>
    <xf numFmtId="0" fontId="20" fillId="2" borderId="22" xfId="20" applyFont="1" applyFill="1" applyBorder="1" applyAlignment="1">
      <alignment horizontal="center" vertical="center" wrapText="1"/>
    </xf>
  </cellXfs>
  <cellStyles count="24">
    <cellStyle name="Cancel" xfId="6"/>
    <cellStyle name="Diseño 3" xfId="17"/>
    <cellStyle name="Estilo 1 2" xfId="8"/>
    <cellStyle name="Normal" xfId="0" builtinId="0"/>
    <cellStyle name="Normal 2" xfId="1"/>
    <cellStyle name="Normal 2 10" xfId="19"/>
    <cellStyle name="Normal 20 2 2" xfId="16"/>
    <cellStyle name="Normal 27" xfId="2"/>
    <cellStyle name="Normal 3" xfId="13"/>
    <cellStyle name="Normal 34" xfId="15"/>
    <cellStyle name="Normal 4" xfId="3"/>
    <cellStyle name="Normal 55" xfId="21"/>
    <cellStyle name="Normal 9" xfId="10"/>
    <cellStyle name="Normal_06 superficie agrícola" xfId="4"/>
    <cellStyle name="Normal_08 superficie deforestada-territorio nacional" xfId="11"/>
    <cellStyle name="Normal_29 Sólidos suspendidos totales" xfId="23"/>
    <cellStyle name="Normal_ELIMINAR-COM 2" xfId="7"/>
    <cellStyle name="Normal_eliminar-compendio" xfId="14"/>
    <cellStyle name="Normal_elimn 2" xfId="22"/>
    <cellStyle name="Normal_indicadores MILENIO-ENCO" xfId="12"/>
    <cellStyle name="Normal_Libro1" xfId="20"/>
    <cellStyle name="Normal_Marina2010" xfId="5"/>
    <cellStyle name="Normal_paracompletar-anp-Nelly 2" xfId="9"/>
    <cellStyle name="PEN-Titulo" xfId="18"/>
  </cellStyles>
  <dxfs count="0"/>
  <tableStyles count="0" defaultTableStyle="TableStyleMedium2" defaultPivotStyle="PivotStyleLight16"/>
  <colors>
    <mruColors>
      <color rgb="FFFFFF66"/>
      <color rgb="FFFFCC99"/>
      <color rgb="FFFF9966"/>
      <color rgb="FFF4AF52"/>
      <color rgb="FFFF8447"/>
      <color rgb="FFFFCC00"/>
      <color rgb="FFFFC043"/>
      <color rgb="FFFFCC66"/>
      <color rgb="FFFF6600"/>
      <color rgb="FFE1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3.xml"/><Relationship Id="rId21" Type="http://schemas.openxmlformats.org/officeDocument/2006/relationships/worksheet" Target="worksheets/sheet2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63" Type="http://schemas.openxmlformats.org/officeDocument/2006/relationships/externalLink" Target="externalLinks/externalLink40.xml"/><Relationship Id="rId68" Type="http://schemas.openxmlformats.org/officeDocument/2006/relationships/externalLink" Target="externalLinks/externalLink45.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53" Type="http://schemas.openxmlformats.org/officeDocument/2006/relationships/externalLink" Target="externalLinks/externalLink30.xml"/><Relationship Id="rId58" Type="http://schemas.openxmlformats.org/officeDocument/2006/relationships/externalLink" Target="externalLinks/externalLink35.xml"/><Relationship Id="rId74" Type="http://schemas.openxmlformats.org/officeDocument/2006/relationships/externalLink" Target="externalLinks/externalLink51.xml"/><Relationship Id="rId79" Type="http://schemas.openxmlformats.org/officeDocument/2006/relationships/externalLink" Target="externalLinks/externalLink56.xml"/><Relationship Id="rId5" Type="http://schemas.openxmlformats.org/officeDocument/2006/relationships/worksheet" Target="worksheets/sheet5.xml"/><Relationship Id="rId61" Type="http://schemas.openxmlformats.org/officeDocument/2006/relationships/externalLink" Target="externalLinks/externalLink38.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externalLink" Target="externalLinks/externalLink33.xml"/><Relationship Id="rId64" Type="http://schemas.openxmlformats.org/officeDocument/2006/relationships/externalLink" Target="externalLinks/externalLink41.xml"/><Relationship Id="rId69" Type="http://schemas.openxmlformats.org/officeDocument/2006/relationships/externalLink" Target="externalLinks/externalLink46.xml"/><Relationship Id="rId77"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externalLink" Target="externalLinks/externalLink28.xml"/><Relationship Id="rId72" Type="http://schemas.openxmlformats.org/officeDocument/2006/relationships/externalLink" Target="externalLinks/externalLink49.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externalLink" Target="externalLinks/externalLink36.xml"/><Relationship Id="rId67" Type="http://schemas.openxmlformats.org/officeDocument/2006/relationships/externalLink" Target="externalLinks/externalLink44.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62" Type="http://schemas.openxmlformats.org/officeDocument/2006/relationships/externalLink" Target="externalLinks/externalLink39.xml"/><Relationship Id="rId70" Type="http://schemas.openxmlformats.org/officeDocument/2006/relationships/externalLink" Target="externalLinks/externalLink47.xml"/><Relationship Id="rId75" Type="http://schemas.openxmlformats.org/officeDocument/2006/relationships/externalLink" Target="externalLinks/externalLink52.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externalLink" Target="externalLinks/externalLink34.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 Id="rId60" Type="http://schemas.openxmlformats.org/officeDocument/2006/relationships/externalLink" Target="externalLinks/externalLink37.xml"/><Relationship Id="rId65" Type="http://schemas.openxmlformats.org/officeDocument/2006/relationships/externalLink" Target="externalLinks/externalLink42.xml"/><Relationship Id="rId73" Type="http://schemas.openxmlformats.org/officeDocument/2006/relationships/externalLink" Target="externalLinks/externalLink50.xml"/><Relationship Id="rId78" Type="http://schemas.openxmlformats.org/officeDocument/2006/relationships/externalLink" Target="externalLinks/externalLink55.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6.xml"/><Relationship Id="rId34" Type="http://schemas.openxmlformats.org/officeDocument/2006/relationships/externalLink" Target="externalLinks/externalLink11.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76" Type="http://schemas.openxmlformats.org/officeDocument/2006/relationships/externalLink" Target="externalLinks/externalLink53.xml"/><Relationship Id="rId7" Type="http://schemas.openxmlformats.org/officeDocument/2006/relationships/worksheet" Target="worksheets/sheet7.xml"/><Relationship Id="rId71" Type="http://schemas.openxmlformats.org/officeDocument/2006/relationships/externalLink" Target="externalLinks/externalLink48.xml"/><Relationship Id="rId2" Type="http://schemas.openxmlformats.org/officeDocument/2006/relationships/worksheet" Target="worksheets/sheet2.xml"/><Relationship Id="rId29" Type="http://schemas.openxmlformats.org/officeDocument/2006/relationships/externalLink" Target="externalLinks/externalLink6.xml"/><Relationship Id="rId24" Type="http://schemas.openxmlformats.org/officeDocument/2006/relationships/externalLink" Target="externalLinks/externalLink1.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66" Type="http://schemas.openxmlformats.org/officeDocument/2006/relationships/externalLink" Target="externalLinks/externalLink4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yana\1-Anuario%20Ambiental%202015-4.12.15\Capitulo%203\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Anuario_Ambientales_2017\2%20AAAAAA%20AASUYANA-6.10.2017\1-7.9.17\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Pedidos%20abruptos\cavali.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sramos\AppData\Local\Temp\1-aaPara%20Trasladar\3\MIRI\CENSOS\Preliminar_Censo%202007\Libro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0</v>
          </cell>
          <cell r="G4">
            <v>0</v>
          </cell>
          <cell r="H4">
            <v>0</v>
          </cell>
          <cell r="I4">
            <v>0</v>
          </cell>
          <cell r="J4">
            <v>0</v>
          </cell>
          <cell r="K4">
            <v>0</v>
          </cell>
          <cell r="L4">
            <v>0</v>
          </cell>
          <cell r="M4">
            <v>2002</v>
          </cell>
          <cell r="N4">
            <v>2003</v>
          </cell>
          <cell r="O4" t="str">
            <v>2004</v>
          </cell>
          <cell r="P4">
            <v>0</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96240</v>
          </cell>
          <cell r="H4">
            <v>96240</v>
          </cell>
          <cell r="I4">
            <v>96240</v>
          </cell>
          <cell r="J4">
            <v>96240</v>
          </cell>
          <cell r="K4">
            <v>96240</v>
          </cell>
          <cell r="L4">
            <v>96240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museohn.unmsm.edu.pe/docs/pub_ictio/BIV00464.pdf" TargetMode="External"/><Relationship Id="rId2" Type="http://schemas.openxmlformats.org/officeDocument/2006/relationships/hyperlink" Target="https://sites.google.com/site/boletinunop/checklist" TargetMode="External"/><Relationship Id="rId1" Type="http://schemas.openxmlformats.org/officeDocument/2006/relationships/hyperlink" Target="http://museohn.unmsm.edu.pe/docs/pub_ictio/Ortega_et_al.2012Lista_Peces_Aguas_Cont.Peru.pdf" TargetMode="External"/><Relationship Id="rId6" Type="http://schemas.openxmlformats.org/officeDocument/2006/relationships/printerSettings" Target="../printerSettings/printerSettings16.bin"/><Relationship Id="rId5" Type="http://schemas.openxmlformats.org/officeDocument/2006/relationships/hyperlink" Target="http://reptile-database.reptarium.cz/advanced_search?location=peru&amp;submit=Search" TargetMode="External"/><Relationship Id="rId4" Type="http://schemas.openxmlformats.org/officeDocument/2006/relationships/hyperlink" Target="http://www.scielo.org.pe/pdf/rpb/v13n2/v13n02a004"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K36"/>
  <sheetViews>
    <sheetView zoomScaleNormal="100" workbookViewId="0">
      <selection activeCell="E8" sqref="E8"/>
    </sheetView>
  </sheetViews>
  <sheetFormatPr baseColWidth="10" defaultColWidth="11.28515625" defaultRowHeight="16.5" x14ac:dyDescent="0.3"/>
  <cols>
    <col min="1" max="1" width="11.7109375" style="312" customWidth="1"/>
    <col min="2" max="2" width="6.7109375" style="312" customWidth="1"/>
    <col min="3" max="3" width="64" style="312" customWidth="1"/>
    <col min="4" max="16384" width="11.28515625" style="312"/>
  </cols>
  <sheetData>
    <row r="1" spans="1:7" x14ac:dyDescent="0.3">
      <c r="A1" s="1059"/>
      <c r="B1" s="1059"/>
      <c r="C1" s="1059"/>
    </row>
    <row r="2" spans="1:7" ht="36.75" customHeight="1" x14ac:dyDescent="0.3"/>
    <row r="3" spans="1:7" ht="22.5" customHeight="1" x14ac:dyDescent="0.3">
      <c r="A3" s="1059"/>
      <c r="B3" s="1059"/>
      <c r="C3" s="1059"/>
    </row>
    <row r="4" spans="1:7" ht="33.75" customHeight="1" x14ac:dyDescent="0.3"/>
    <row r="5" spans="1:7" ht="33.75" customHeight="1" x14ac:dyDescent="0.3"/>
    <row r="6" spans="1:7" ht="33.75" customHeight="1" x14ac:dyDescent="0.3"/>
    <row r="7" spans="1:7" ht="33.75" customHeight="1" x14ac:dyDescent="0.3"/>
    <row r="8" spans="1:7" ht="33.75" customHeight="1" x14ac:dyDescent="0.3"/>
    <row r="9" spans="1:7" ht="37.5" customHeight="1" x14ac:dyDescent="0.3">
      <c r="A9" s="313"/>
      <c r="B9" s="314"/>
      <c r="E9" s="314"/>
      <c r="F9" s="314"/>
      <c r="G9" s="314"/>
    </row>
    <row r="10" spans="1:7" s="318" customFormat="1" ht="55.15" customHeight="1" x14ac:dyDescent="0.25">
      <c r="A10" s="317"/>
      <c r="B10" s="1060" t="s">
        <v>0</v>
      </c>
      <c r="C10" s="1060"/>
      <c r="E10" s="317"/>
      <c r="F10" s="317"/>
      <c r="G10" s="317"/>
    </row>
    <row r="11" spans="1:7" ht="37.5" customHeight="1" x14ac:dyDescent="0.3">
      <c r="A11" s="315"/>
      <c r="B11" s="314"/>
      <c r="C11" s="314"/>
    </row>
    <row r="14" spans="1:7" ht="24" customHeight="1" x14ac:dyDescent="0.3">
      <c r="G14" s="316"/>
    </row>
    <row r="15" spans="1:7" ht="24" customHeight="1" x14ac:dyDescent="0.3"/>
    <row r="16" spans="1:7" ht="24" customHeight="1" x14ac:dyDescent="0.3"/>
    <row r="36" spans="11:11" x14ac:dyDescent="0.3">
      <c r="K36" s="312" t="s">
        <v>1</v>
      </c>
    </row>
  </sheetData>
  <mergeCells count="3">
    <mergeCell ref="A1:C1"/>
    <mergeCell ref="A3:C3"/>
    <mergeCell ref="B10:C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X42"/>
  <sheetViews>
    <sheetView showGridLines="0" zoomScaleNormal="100" zoomScaleSheetLayoutView="100" workbookViewId="0">
      <selection activeCell="X23" sqref="X23"/>
    </sheetView>
  </sheetViews>
  <sheetFormatPr baseColWidth="10" defaultColWidth="11.28515625" defaultRowHeight="12.75" customHeight="1" x14ac:dyDescent="0.3"/>
  <cols>
    <col min="1" max="1" width="14.140625" style="2" customWidth="1"/>
    <col min="2" max="2" width="11.28515625" style="2" hidden="1" customWidth="1"/>
    <col min="3" max="4" width="11.28515625" style="3" hidden="1" customWidth="1"/>
    <col min="5" max="5" width="1" style="3" hidden="1" customWidth="1"/>
    <col min="6" max="7" width="11.28515625" style="3" hidden="1" customWidth="1"/>
    <col min="8" max="8" width="11.28515625" style="2" hidden="1" customWidth="1"/>
    <col min="9" max="9" width="2.28515625" style="3" hidden="1" customWidth="1"/>
    <col min="10" max="10" width="9.5703125" style="3" hidden="1" customWidth="1"/>
    <col min="11" max="11" width="7.5703125" style="3" hidden="1" customWidth="1"/>
    <col min="12" max="12" width="8.42578125" style="2" hidden="1" customWidth="1"/>
    <col min="13" max="13" width="2.28515625" style="3" hidden="1" customWidth="1"/>
    <col min="14" max="15" width="13.28515625" style="3" customWidth="1"/>
    <col min="16" max="16" width="13.28515625" style="2" customWidth="1"/>
    <col min="17" max="17" width="1.7109375" style="2" customWidth="1"/>
    <col min="18" max="18" width="9.5703125" style="2" hidden="1" customWidth="1"/>
    <col min="19" max="19" width="7.5703125" style="2" hidden="1" customWidth="1"/>
    <col min="20" max="20" width="8.42578125" style="2" hidden="1" customWidth="1"/>
    <col min="21" max="21" width="5" style="2" hidden="1" customWidth="1"/>
    <col min="22" max="24" width="13.28515625" style="2" customWidth="1"/>
    <col min="25" max="16384" width="11.28515625" style="2"/>
  </cols>
  <sheetData>
    <row r="1" spans="1:24" ht="27" customHeight="1" x14ac:dyDescent="0.3">
      <c r="A1" s="1" t="s">
        <v>2</v>
      </c>
      <c r="B1" s="319"/>
      <c r="C1" s="320"/>
      <c r="D1" s="320"/>
      <c r="E1" s="320"/>
      <c r="F1" s="320"/>
      <c r="G1" s="320"/>
      <c r="H1" s="319"/>
      <c r="I1" s="320"/>
      <c r="J1" s="320"/>
      <c r="K1" s="320"/>
      <c r="L1" s="319"/>
      <c r="M1" s="320"/>
      <c r="N1" s="320"/>
      <c r="O1" s="320"/>
      <c r="P1" s="319"/>
    </row>
    <row r="2" spans="1:24" ht="12.75" customHeight="1" x14ac:dyDescent="0.3">
      <c r="A2" s="319"/>
      <c r="B2" s="319"/>
      <c r="C2" s="320"/>
      <c r="D2" s="320"/>
      <c r="E2" s="320"/>
      <c r="F2" s="320"/>
      <c r="G2" s="320"/>
      <c r="H2" s="319"/>
      <c r="I2" s="320"/>
      <c r="J2" s="320"/>
      <c r="K2" s="320"/>
      <c r="L2" s="319"/>
      <c r="M2" s="320"/>
      <c r="N2" s="320"/>
      <c r="O2" s="320"/>
      <c r="P2" s="319"/>
    </row>
    <row r="3" spans="1:24" ht="12.6" customHeight="1" x14ac:dyDescent="0.3">
      <c r="A3" s="1062" t="s">
        <v>840</v>
      </c>
      <c r="B3" s="1062"/>
      <c r="C3" s="1062"/>
      <c r="D3" s="1062"/>
      <c r="E3" s="1062"/>
      <c r="F3" s="1062"/>
      <c r="G3" s="1062"/>
      <c r="H3" s="1062"/>
      <c r="I3" s="1062"/>
      <c r="J3" s="1062"/>
      <c r="K3" s="1062"/>
      <c r="L3" s="1062"/>
      <c r="M3" s="1062"/>
      <c r="N3" s="1062"/>
      <c r="O3" s="1062"/>
      <c r="P3" s="1062"/>
      <c r="Q3" s="1062"/>
      <c r="R3" s="1062"/>
      <c r="S3" s="1062"/>
      <c r="T3" s="1062"/>
      <c r="U3" s="1062"/>
      <c r="V3" s="1062"/>
      <c r="W3" s="1062"/>
      <c r="X3" s="1062"/>
    </row>
    <row r="4" spans="1:24" ht="12.75" customHeight="1" x14ac:dyDescent="0.3">
      <c r="A4" s="1063" t="s">
        <v>3</v>
      </c>
      <c r="B4" s="1063"/>
      <c r="C4" s="1063"/>
      <c r="D4" s="1063"/>
      <c r="E4" s="1063"/>
      <c r="F4" s="1063"/>
      <c r="G4" s="1063"/>
      <c r="H4" s="1063"/>
      <c r="I4" s="1063"/>
      <c r="J4" s="1063"/>
      <c r="K4" s="1063"/>
      <c r="L4" s="1063"/>
      <c r="M4" s="1063"/>
      <c r="N4" s="1063"/>
      <c r="O4" s="1063"/>
      <c r="P4" s="1063"/>
      <c r="Q4" s="1063"/>
      <c r="R4" s="1063"/>
      <c r="S4" s="1063"/>
      <c r="T4" s="1063"/>
      <c r="U4" s="1063"/>
      <c r="V4" s="1063"/>
      <c r="W4" s="1063"/>
      <c r="X4" s="1063"/>
    </row>
    <row r="6" spans="1:24" ht="15.95" customHeight="1" x14ac:dyDescent="0.3">
      <c r="A6" s="1065" t="s">
        <v>4</v>
      </c>
      <c r="B6" s="1067">
        <v>2016</v>
      </c>
      <c r="C6" s="1067"/>
      <c r="D6" s="1067"/>
      <c r="E6" s="523"/>
      <c r="F6" s="1067">
        <v>2017</v>
      </c>
      <c r="G6" s="1067"/>
      <c r="H6" s="1067"/>
      <c r="I6" s="523"/>
      <c r="J6" s="1064" t="s">
        <v>5</v>
      </c>
      <c r="K6" s="1064"/>
      <c r="L6" s="1064"/>
      <c r="M6" s="523"/>
      <c r="N6" s="1064" t="s">
        <v>6</v>
      </c>
      <c r="O6" s="1064"/>
      <c r="P6" s="1064"/>
      <c r="Q6" s="523"/>
      <c r="R6" s="1064" t="s">
        <v>7</v>
      </c>
      <c r="S6" s="1064"/>
      <c r="T6" s="1064"/>
      <c r="U6" s="523"/>
      <c r="V6" s="1064" t="s">
        <v>770</v>
      </c>
      <c r="W6" s="1064"/>
      <c r="X6" s="1064"/>
    </row>
    <row r="7" spans="1:24" ht="39" customHeight="1" x14ac:dyDescent="0.3">
      <c r="A7" s="1066"/>
      <c r="B7" s="524" t="s">
        <v>8</v>
      </c>
      <c r="C7" s="524" t="s">
        <v>9</v>
      </c>
      <c r="D7" s="524" t="s">
        <v>10</v>
      </c>
      <c r="E7" s="525"/>
      <c r="F7" s="524" t="s">
        <v>8</v>
      </c>
      <c r="G7" s="524" t="s">
        <v>9</v>
      </c>
      <c r="H7" s="524" t="s">
        <v>10</v>
      </c>
      <c r="I7" s="525"/>
      <c r="J7" s="525" t="s">
        <v>8</v>
      </c>
      <c r="K7" s="525" t="s">
        <v>9</v>
      </c>
      <c r="L7" s="525" t="s">
        <v>10</v>
      </c>
      <c r="M7" s="525"/>
      <c r="N7" s="525" t="s">
        <v>8</v>
      </c>
      <c r="O7" s="525" t="s">
        <v>9</v>
      </c>
      <c r="P7" s="525" t="s">
        <v>10</v>
      </c>
      <c r="Q7" s="525"/>
      <c r="R7" s="525" t="s">
        <v>8</v>
      </c>
      <c r="S7" s="525" t="s">
        <v>9</v>
      </c>
      <c r="T7" s="525" t="s">
        <v>10</v>
      </c>
      <c r="U7" s="525"/>
      <c r="V7" s="525" t="s">
        <v>8</v>
      </c>
      <c r="W7" s="525" t="s">
        <v>9</v>
      </c>
      <c r="X7" s="525" t="s">
        <v>10</v>
      </c>
    </row>
    <row r="8" spans="1:24" ht="3" customHeight="1" x14ac:dyDescent="0.3">
      <c r="A8" s="526"/>
      <c r="B8" s="537"/>
      <c r="C8" s="537"/>
      <c r="D8" s="537"/>
      <c r="E8" s="537"/>
      <c r="F8" s="537"/>
      <c r="G8" s="537"/>
      <c r="H8" s="537"/>
      <c r="I8" s="537"/>
      <c r="J8" s="537"/>
      <c r="K8" s="537"/>
      <c r="L8" s="537"/>
      <c r="M8" s="537"/>
      <c r="N8" s="537"/>
      <c r="O8" s="537"/>
      <c r="P8" s="537"/>
      <c r="Q8" s="537"/>
      <c r="R8" s="537"/>
      <c r="S8" s="537"/>
      <c r="T8" s="537"/>
      <c r="U8" s="537"/>
      <c r="V8" s="537"/>
      <c r="W8" s="537"/>
      <c r="X8" s="537"/>
    </row>
    <row r="9" spans="1:24" ht="15.95" customHeight="1" x14ac:dyDescent="0.3">
      <c r="A9" s="527" t="s">
        <v>11</v>
      </c>
      <c r="B9" s="538">
        <v>16167185</v>
      </c>
      <c r="C9" s="538">
        <v>6188214</v>
      </c>
      <c r="D9" s="538">
        <v>9978971</v>
      </c>
      <c r="E9" s="539"/>
      <c r="F9" s="538">
        <v>15995347</v>
      </c>
      <c r="G9" s="538">
        <v>6256959</v>
      </c>
      <c r="H9" s="538">
        <v>9738388</v>
      </c>
      <c r="I9" s="539"/>
      <c r="J9" s="538">
        <v>16488528</v>
      </c>
      <c r="K9" s="538">
        <v>6480230</v>
      </c>
      <c r="L9" s="538">
        <v>10008298</v>
      </c>
      <c r="M9" s="539"/>
      <c r="N9" s="538">
        <v>16225107</v>
      </c>
      <c r="O9" s="538">
        <v>6299211</v>
      </c>
      <c r="P9" s="538">
        <v>9925896</v>
      </c>
      <c r="Q9" s="539"/>
      <c r="R9" s="538"/>
      <c r="S9" s="538"/>
      <c r="T9" s="538"/>
      <c r="U9" s="539"/>
      <c r="V9" s="538">
        <v>16849437.823339235</v>
      </c>
      <c r="W9" s="538">
        <v>7495755.8466448886</v>
      </c>
      <c r="X9" s="538">
        <v>9353681.9725249428</v>
      </c>
    </row>
    <row r="10" spans="1:24" ht="3" customHeight="1" x14ac:dyDescent="0.3">
      <c r="A10" s="528"/>
      <c r="B10" s="540"/>
      <c r="C10" s="540"/>
      <c r="D10" s="540"/>
      <c r="E10" s="540"/>
      <c r="F10" s="540"/>
      <c r="G10" s="540"/>
      <c r="H10" s="540"/>
      <c r="I10" s="540"/>
      <c r="J10" s="540"/>
      <c r="K10" s="540"/>
      <c r="L10" s="540"/>
      <c r="M10" s="540"/>
      <c r="N10" s="541"/>
      <c r="O10" s="541"/>
      <c r="P10" s="541"/>
      <c r="Q10" s="541"/>
      <c r="R10" s="541"/>
      <c r="S10" s="541"/>
      <c r="T10" s="541"/>
      <c r="U10" s="541"/>
      <c r="V10" s="541"/>
      <c r="W10" s="541"/>
      <c r="X10" s="541"/>
    </row>
    <row r="11" spans="1:24" ht="15.95" customHeight="1" x14ac:dyDescent="0.3">
      <c r="A11" s="528" t="s">
        <v>12</v>
      </c>
      <c r="B11" s="540"/>
      <c r="C11" s="540"/>
      <c r="D11" s="540"/>
      <c r="E11" s="540"/>
      <c r="F11" s="540"/>
      <c r="G11" s="540"/>
      <c r="H11" s="540"/>
      <c r="I11" s="540"/>
      <c r="J11" s="540"/>
      <c r="K11" s="540"/>
      <c r="L11" s="540"/>
      <c r="M11" s="540"/>
      <c r="N11" s="541"/>
      <c r="O11" s="541"/>
      <c r="P11" s="541"/>
      <c r="Q11" s="541"/>
      <c r="R11" s="541"/>
      <c r="S11" s="541"/>
      <c r="T11" s="541"/>
      <c r="U11" s="541"/>
      <c r="V11" s="541"/>
      <c r="W11" s="541"/>
      <c r="X11" s="541"/>
    </row>
    <row r="12" spans="1:24" ht="15.95" customHeight="1" x14ac:dyDescent="0.3">
      <c r="A12" s="530" t="s">
        <v>13</v>
      </c>
      <c r="B12" s="542">
        <v>1452337</v>
      </c>
      <c r="C12" s="543">
        <v>1124604</v>
      </c>
      <c r="D12" s="543">
        <v>327733</v>
      </c>
      <c r="E12" s="544"/>
      <c r="F12" s="542">
        <v>1494695</v>
      </c>
      <c r="G12" s="543">
        <v>1199496</v>
      </c>
      <c r="H12" s="543">
        <v>295199</v>
      </c>
      <c r="I12" s="544"/>
      <c r="J12" s="542">
        <v>1538120</v>
      </c>
      <c r="K12" s="543">
        <v>1198115</v>
      </c>
      <c r="L12" s="543">
        <v>340005</v>
      </c>
      <c r="M12" s="544"/>
      <c r="N12" s="543">
        <v>1547120</v>
      </c>
      <c r="O12" s="543">
        <v>1201819</v>
      </c>
      <c r="P12" s="543">
        <v>345301</v>
      </c>
      <c r="Q12" s="541"/>
      <c r="R12" s="541"/>
      <c r="S12" s="541"/>
      <c r="T12" s="541"/>
      <c r="U12" s="541"/>
      <c r="V12" s="543">
        <v>1612056.9756087211</v>
      </c>
      <c r="W12" s="543">
        <v>1336942.0199798378</v>
      </c>
      <c r="X12" s="543">
        <v>275114.94910037128</v>
      </c>
    </row>
    <row r="13" spans="1:24" ht="15.95" customHeight="1" x14ac:dyDescent="0.3">
      <c r="A13" s="530" t="s">
        <v>14</v>
      </c>
      <c r="B13" s="542">
        <v>9038864</v>
      </c>
      <c r="C13" s="543">
        <v>2370380</v>
      </c>
      <c r="D13" s="543">
        <v>6668484</v>
      </c>
      <c r="E13" s="544"/>
      <c r="F13" s="542">
        <v>9125148</v>
      </c>
      <c r="G13" s="543">
        <v>2313642</v>
      </c>
      <c r="H13" s="543">
        <v>6811506</v>
      </c>
      <c r="I13" s="544"/>
      <c r="J13" s="542">
        <v>9581637</v>
      </c>
      <c r="K13" s="543">
        <v>2246170</v>
      </c>
      <c r="L13" s="543">
        <v>7335467</v>
      </c>
      <c r="M13" s="544"/>
      <c r="N13" s="543">
        <v>8901660</v>
      </c>
      <c r="O13" s="543">
        <v>2209055</v>
      </c>
      <c r="P13" s="543">
        <v>6692605</v>
      </c>
      <c r="Q13" s="541"/>
      <c r="R13" s="541"/>
      <c r="S13" s="541"/>
      <c r="T13" s="541"/>
      <c r="U13" s="541"/>
      <c r="V13" s="543">
        <v>9193426.4271374568</v>
      </c>
      <c r="W13" s="543">
        <v>2809534.787472331</v>
      </c>
      <c r="X13" s="543">
        <v>6383891.6393265417</v>
      </c>
    </row>
    <row r="14" spans="1:24" ht="15.95" customHeight="1" x14ac:dyDescent="0.3">
      <c r="A14" s="530" t="s">
        <v>15</v>
      </c>
      <c r="B14" s="542">
        <v>5675984</v>
      </c>
      <c r="C14" s="543">
        <v>2693230</v>
      </c>
      <c r="D14" s="543">
        <v>2982754</v>
      </c>
      <c r="E14" s="544"/>
      <c r="F14" s="542">
        <v>5375504</v>
      </c>
      <c r="G14" s="543">
        <v>2743821</v>
      </c>
      <c r="H14" s="543">
        <v>2631683</v>
      </c>
      <c r="I14" s="544"/>
      <c r="J14" s="542">
        <v>5368771</v>
      </c>
      <c r="K14" s="543">
        <v>3035945</v>
      </c>
      <c r="L14" s="543">
        <v>2332826</v>
      </c>
      <c r="M14" s="544"/>
      <c r="N14" s="543">
        <v>5776327</v>
      </c>
      <c r="O14" s="543">
        <v>2888337</v>
      </c>
      <c r="P14" s="543">
        <v>2887990</v>
      </c>
      <c r="Q14" s="541"/>
      <c r="R14" s="541"/>
      <c r="S14" s="541"/>
      <c r="T14" s="541"/>
      <c r="U14" s="541"/>
      <c r="V14" s="543">
        <v>6043954.4205920845</v>
      </c>
      <c r="W14" s="543">
        <v>3349279.0391921764</v>
      </c>
      <c r="X14" s="543">
        <v>2694675.3840976595</v>
      </c>
    </row>
    <row r="15" spans="1:24" ht="3" customHeight="1" x14ac:dyDescent="0.3">
      <c r="A15" s="528"/>
      <c r="B15" s="540"/>
      <c r="C15" s="540"/>
      <c r="D15" s="540"/>
      <c r="E15" s="540"/>
      <c r="F15" s="540"/>
      <c r="G15" s="540"/>
      <c r="H15" s="540"/>
      <c r="I15" s="540"/>
      <c r="J15" s="545"/>
      <c r="K15" s="541"/>
      <c r="L15" s="541"/>
      <c r="M15" s="540"/>
      <c r="N15" s="543"/>
      <c r="O15" s="543"/>
      <c r="P15" s="543"/>
      <c r="Q15" s="541"/>
      <c r="R15" s="541"/>
      <c r="S15" s="541"/>
      <c r="T15" s="541"/>
      <c r="U15" s="541"/>
      <c r="V15" s="543"/>
      <c r="W15" s="543"/>
      <c r="X15" s="543"/>
    </row>
    <row r="16" spans="1:24" ht="15.95" customHeight="1" x14ac:dyDescent="0.3">
      <c r="A16" s="528" t="s">
        <v>16</v>
      </c>
      <c r="B16" s="546"/>
      <c r="C16" s="546"/>
      <c r="D16" s="546"/>
      <c r="E16" s="546"/>
      <c r="F16" s="546"/>
      <c r="G16" s="546"/>
      <c r="H16" s="546"/>
      <c r="I16" s="546"/>
      <c r="J16" s="545"/>
      <c r="K16" s="541"/>
      <c r="L16" s="541"/>
      <c r="M16" s="546"/>
      <c r="N16" s="543"/>
      <c r="O16" s="543"/>
      <c r="P16" s="543"/>
      <c r="Q16" s="541"/>
      <c r="R16" s="541"/>
      <c r="S16" s="541"/>
      <c r="T16" s="541"/>
      <c r="U16" s="541"/>
      <c r="V16" s="543"/>
      <c r="W16" s="543"/>
      <c r="X16" s="543"/>
    </row>
    <row r="17" spans="1:24" ht="15.95" customHeight="1" x14ac:dyDescent="0.3">
      <c r="A17" s="530" t="s">
        <v>17</v>
      </c>
      <c r="B17" s="542">
        <v>657817</v>
      </c>
      <c r="C17" s="543">
        <v>232203</v>
      </c>
      <c r="D17" s="543">
        <v>425614</v>
      </c>
      <c r="E17" s="544"/>
      <c r="F17" s="542">
        <v>639032</v>
      </c>
      <c r="G17" s="543">
        <v>244932</v>
      </c>
      <c r="H17" s="543">
        <v>394100</v>
      </c>
      <c r="I17" s="544"/>
      <c r="J17" s="542">
        <v>581659</v>
      </c>
      <c r="K17" s="543">
        <v>264605</v>
      </c>
      <c r="L17" s="543">
        <v>317054</v>
      </c>
      <c r="M17" s="544"/>
      <c r="N17" s="543">
        <v>651305</v>
      </c>
      <c r="O17" s="543">
        <v>325026</v>
      </c>
      <c r="P17" s="543">
        <v>326279</v>
      </c>
      <c r="Q17" s="541"/>
      <c r="R17" s="541"/>
      <c r="S17" s="541"/>
      <c r="T17" s="541"/>
      <c r="U17" s="541"/>
      <c r="V17" s="543">
        <v>892594.02416218445</v>
      </c>
      <c r="W17" s="543">
        <v>324685.88186273573</v>
      </c>
      <c r="X17" s="543">
        <v>567908.14185537491</v>
      </c>
    </row>
    <row r="18" spans="1:24" ht="15.95" customHeight="1" x14ac:dyDescent="0.3">
      <c r="A18" s="530" t="s">
        <v>18</v>
      </c>
      <c r="B18" s="542">
        <v>312131</v>
      </c>
      <c r="C18" s="543">
        <v>223254</v>
      </c>
      <c r="D18" s="543">
        <v>88877</v>
      </c>
      <c r="E18" s="544"/>
      <c r="F18" s="542">
        <v>331605</v>
      </c>
      <c r="G18" s="543">
        <v>243972</v>
      </c>
      <c r="H18" s="543">
        <v>87633</v>
      </c>
      <c r="I18" s="544"/>
      <c r="J18" s="542">
        <v>216225</v>
      </c>
      <c r="K18" s="543">
        <v>178729</v>
      </c>
      <c r="L18" s="543">
        <v>37496</v>
      </c>
      <c r="M18" s="544"/>
      <c r="N18" s="543">
        <v>285868</v>
      </c>
      <c r="O18" s="543">
        <v>223158</v>
      </c>
      <c r="P18" s="543">
        <v>62710</v>
      </c>
      <c r="Q18" s="541"/>
      <c r="R18" s="541"/>
      <c r="S18" s="541"/>
      <c r="T18" s="541"/>
      <c r="U18" s="541"/>
      <c r="V18" s="543">
        <v>316272.71524986497</v>
      </c>
      <c r="W18" s="543">
        <v>254232.56254150695</v>
      </c>
      <c r="X18" s="543">
        <v>62040.152435176824</v>
      </c>
    </row>
    <row r="19" spans="1:24" ht="15.95" customHeight="1" x14ac:dyDescent="0.3">
      <c r="A19" s="530" t="s">
        <v>19</v>
      </c>
      <c r="B19" s="542">
        <v>115687</v>
      </c>
      <c r="C19" s="543">
        <v>88337</v>
      </c>
      <c r="D19" s="543">
        <v>27350</v>
      </c>
      <c r="E19" s="544"/>
      <c r="F19" s="542">
        <v>148435</v>
      </c>
      <c r="G19" s="543">
        <v>114430</v>
      </c>
      <c r="H19" s="543">
        <v>34005</v>
      </c>
      <c r="I19" s="544"/>
      <c r="J19" s="542">
        <v>113744</v>
      </c>
      <c r="K19" s="543">
        <v>92901</v>
      </c>
      <c r="L19" s="543">
        <v>20843</v>
      </c>
      <c r="M19" s="544"/>
      <c r="N19" s="543">
        <v>181112</v>
      </c>
      <c r="O19" s="543">
        <v>98184</v>
      </c>
      <c r="P19" s="543">
        <v>82928</v>
      </c>
      <c r="Q19" s="541"/>
      <c r="R19" s="541"/>
      <c r="S19" s="541"/>
      <c r="T19" s="541"/>
      <c r="U19" s="541"/>
      <c r="V19" s="543">
        <v>135424.26751420146</v>
      </c>
      <c r="W19" s="543">
        <v>109183.62341951396</v>
      </c>
      <c r="X19" s="543">
        <v>26240.644087484474</v>
      </c>
    </row>
    <row r="20" spans="1:24" ht="15.95" customHeight="1" x14ac:dyDescent="0.3">
      <c r="A20" s="530" t="s">
        <v>20</v>
      </c>
      <c r="B20" s="542">
        <v>855315</v>
      </c>
      <c r="C20" s="543">
        <v>142379</v>
      </c>
      <c r="D20" s="543">
        <v>712936</v>
      </c>
      <c r="E20" s="544"/>
      <c r="F20" s="542">
        <v>1193932</v>
      </c>
      <c r="G20" s="543">
        <v>149356</v>
      </c>
      <c r="H20" s="543">
        <v>1044576</v>
      </c>
      <c r="I20" s="544"/>
      <c r="J20" s="542">
        <v>1213373</v>
      </c>
      <c r="K20" s="543">
        <v>163902</v>
      </c>
      <c r="L20" s="543">
        <v>1049471</v>
      </c>
      <c r="M20" s="544"/>
      <c r="N20" s="543">
        <v>1425078</v>
      </c>
      <c r="O20" s="543">
        <v>137927</v>
      </c>
      <c r="P20" s="543">
        <v>1287151</v>
      </c>
      <c r="Q20" s="541"/>
      <c r="R20" s="541"/>
      <c r="S20" s="541"/>
      <c r="T20" s="541"/>
      <c r="U20" s="541"/>
      <c r="V20" s="543">
        <v>1148352.6805085882</v>
      </c>
      <c r="W20" s="543">
        <v>157222.94700969403</v>
      </c>
      <c r="X20" s="543">
        <v>991129.73347630643</v>
      </c>
    </row>
    <row r="21" spans="1:24" ht="15.95" customHeight="1" x14ac:dyDescent="0.3">
      <c r="A21" s="530" t="s">
        <v>21</v>
      </c>
      <c r="B21" s="542">
        <v>331169</v>
      </c>
      <c r="C21" s="543">
        <v>214273</v>
      </c>
      <c r="D21" s="543">
        <v>116896</v>
      </c>
      <c r="E21" s="544"/>
      <c r="F21" s="542">
        <v>320667</v>
      </c>
      <c r="G21" s="543">
        <v>201633</v>
      </c>
      <c r="H21" s="543">
        <v>119034</v>
      </c>
      <c r="I21" s="544"/>
      <c r="J21" s="542">
        <v>357586</v>
      </c>
      <c r="K21" s="543">
        <v>236509</v>
      </c>
      <c r="L21" s="543">
        <v>121077</v>
      </c>
      <c r="M21" s="544"/>
      <c r="N21" s="543">
        <v>386215</v>
      </c>
      <c r="O21" s="543">
        <v>268219</v>
      </c>
      <c r="P21" s="543">
        <v>117996</v>
      </c>
      <c r="Q21" s="541"/>
      <c r="R21" s="541"/>
      <c r="S21" s="541"/>
      <c r="T21" s="541"/>
      <c r="U21" s="541"/>
      <c r="V21" s="543">
        <v>372904.60336075409</v>
      </c>
      <c r="W21" s="543">
        <v>238993.55114063478</v>
      </c>
      <c r="X21" s="543">
        <v>133911.05193865104</v>
      </c>
    </row>
    <row r="22" spans="1:24" ht="15.95" customHeight="1" x14ac:dyDescent="0.3">
      <c r="A22" s="530" t="s">
        <v>22</v>
      </c>
      <c r="B22" s="542">
        <v>1289968</v>
      </c>
      <c r="C22" s="543">
        <v>606577</v>
      </c>
      <c r="D22" s="543">
        <v>683391</v>
      </c>
      <c r="E22" s="544"/>
      <c r="F22" s="542">
        <v>1330191</v>
      </c>
      <c r="G22" s="543">
        <v>474443</v>
      </c>
      <c r="H22" s="543">
        <v>855748</v>
      </c>
      <c r="I22" s="544"/>
      <c r="J22" s="542">
        <v>1409985</v>
      </c>
      <c r="K22" s="543">
        <v>534900</v>
      </c>
      <c r="L22" s="543">
        <v>875085</v>
      </c>
      <c r="M22" s="544"/>
      <c r="N22" s="543">
        <v>1116269</v>
      </c>
      <c r="O22" s="543">
        <v>551166</v>
      </c>
      <c r="P22" s="543">
        <v>565103</v>
      </c>
      <c r="Q22" s="541"/>
      <c r="R22" s="541"/>
      <c r="S22" s="541"/>
      <c r="T22" s="541"/>
      <c r="U22" s="541"/>
      <c r="V22" s="543">
        <v>1091669.0211966115</v>
      </c>
      <c r="W22" s="543">
        <v>598757.36366967717</v>
      </c>
      <c r="X22" s="543">
        <v>492911.6578133367</v>
      </c>
    </row>
    <row r="23" spans="1:24" ht="15.95" customHeight="1" x14ac:dyDescent="0.3">
      <c r="A23" s="530" t="s">
        <v>23</v>
      </c>
      <c r="B23" s="542">
        <v>1087236</v>
      </c>
      <c r="C23" s="543">
        <v>289654</v>
      </c>
      <c r="D23" s="543">
        <v>797582</v>
      </c>
      <c r="E23" s="544"/>
      <c r="F23" s="542">
        <v>843169</v>
      </c>
      <c r="G23" s="543">
        <v>274745</v>
      </c>
      <c r="H23" s="543">
        <v>568424</v>
      </c>
      <c r="I23" s="544"/>
      <c r="J23" s="542">
        <v>1087309</v>
      </c>
      <c r="K23" s="543">
        <v>254032</v>
      </c>
      <c r="L23" s="543">
        <v>833277</v>
      </c>
      <c r="M23" s="544"/>
      <c r="N23" s="543">
        <v>1272696</v>
      </c>
      <c r="O23" s="543">
        <v>265816</v>
      </c>
      <c r="P23" s="543">
        <v>1006880</v>
      </c>
      <c r="Q23" s="541"/>
      <c r="R23" s="541"/>
      <c r="S23" s="541"/>
      <c r="T23" s="541"/>
      <c r="U23" s="541"/>
      <c r="V23" s="543">
        <v>1498788.2293503862</v>
      </c>
      <c r="W23" s="543">
        <v>407515.67881101108</v>
      </c>
      <c r="X23" s="543">
        <v>1091272.5507243415</v>
      </c>
    </row>
    <row r="24" spans="1:24" ht="15.95" customHeight="1" x14ac:dyDescent="0.3">
      <c r="A24" s="530" t="s">
        <v>24</v>
      </c>
      <c r="B24" s="542">
        <v>234692</v>
      </c>
      <c r="C24" s="543">
        <v>92852</v>
      </c>
      <c r="D24" s="543">
        <v>141840</v>
      </c>
      <c r="E24" s="544"/>
      <c r="F24" s="542">
        <v>234629</v>
      </c>
      <c r="G24" s="543">
        <v>133821</v>
      </c>
      <c r="H24" s="543">
        <v>100808</v>
      </c>
      <c r="I24" s="544"/>
      <c r="J24" s="542">
        <v>151288</v>
      </c>
      <c r="K24" s="543">
        <v>118334</v>
      </c>
      <c r="L24" s="543">
        <v>32954</v>
      </c>
      <c r="M24" s="544"/>
      <c r="N24" s="543">
        <v>162799</v>
      </c>
      <c r="O24" s="543">
        <v>116828</v>
      </c>
      <c r="P24" s="543">
        <v>45971</v>
      </c>
      <c r="Q24" s="541"/>
      <c r="R24" s="541"/>
      <c r="S24" s="541"/>
      <c r="T24" s="541"/>
      <c r="U24" s="541"/>
      <c r="V24" s="543">
        <v>185114.67070665126</v>
      </c>
      <c r="W24" s="543">
        <v>142935.81223043072</v>
      </c>
      <c r="X24" s="543">
        <v>42178.858476220543</v>
      </c>
    </row>
    <row r="25" spans="1:24" ht="15.95" customHeight="1" x14ac:dyDescent="0.3">
      <c r="A25" s="530" t="s">
        <v>25</v>
      </c>
      <c r="B25" s="542">
        <v>1082202</v>
      </c>
      <c r="C25" s="543">
        <v>442343</v>
      </c>
      <c r="D25" s="543">
        <v>639859</v>
      </c>
      <c r="E25" s="544"/>
      <c r="F25" s="542">
        <v>1131332</v>
      </c>
      <c r="G25" s="543">
        <v>540447</v>
      </c>
      <c r="H25" s="543">
        <v>590885</v>
      </c>
      <c r="I25" s="544"/>
      <c r="J25" s="542">
        <v>1106101</v>
      </c>
      <c r="K25" s="543">
        <v>701055</v>
      </c>
      <c r="L25" s="543">
        <v>405046</v>
      </c>
      <c r="M25" s="544"/>
      <c r="N25" s="543">
        <v>1349127</v>
      </c>
      <c r="O25" s="543">
        <v>737405</v>
      </c>
      <c r="P25" s="543">
        <v>611722</v>
      </c>
      <c r="Q25" s="541"/>
      <c r="R25" s="541"/>
      <c r="S25" s="541"/>
      <c r="T25" s="541"/>
      <c r="U25" s="541"/>
      <c r="V25" s="543">
        <v>1339074.0947624873</v>
      </c>
      <c r="W25" s="543">
        <v>820981.04221392563</v>
      </c>
      <c r="X25" s="543">
        <v>518093.05244800844</v>
      </c>
    </row>
    <row r="26" spans="1:24" ht="15.95" customHeight="1" x14ac:dyDescent="0.3">
      <c r="A26" s="530" t="s">
        <v>26</v>
      </c>
      <c r="B26" s="542">
        <v>164899</v>
      </c>
      <c r="C26" s="543">
        <v>137382</v>
      </c>
      <c r="D26" s="543">
        <v>27517</v>
      </c>
      <c r="E26" s="544"/>
      <c r="F26" s="542">
        <v>184804</v>
      </c>
      <c r="G26" s="543">
        <v>149080</v>
      </c>
      <c r="H26" s="543">
        <v>35724</v>
      </c>
      <c r="I26" s="544"/>
      <c r="J26" s="542">
        <v>208632</v>
      </c>
      <c r="K26" s="543">
        <v>143600</v>
      </c>
      <c r="L26" s="543">
        <v>65032</v>
      </c>
      <c r="M26" s="544"/>
      <c r="N26" s="543">
        <v>183259</v>
      </c>
      <c r="O26" s="543">
        <v>148490</v>
      </c>
      <c r="P26" s="543">
        <v>34769</v>
      </c>
      <c r="Q26" s="541"/>
      <c r="R26" s="541"/>
      <c r="S26" s="541"/>
      <c r="T26" s="541"/>
      <c r="U26" s="541"/>
      <c r="V26" s="543">
        <v>170004.90755762722</v>
      </c>
      <c r="W26" s="543">
        <v>147466.12793541112</v>
      </c>
      <c r="X26" s="543">
        <v>22538.779594521264</v>
      </c>
    </row>
    <row r="27" spans="1:24" ht="15.95" customHeight="1" x14ac:dyDescent="0.3">
      <c r="A27" s="530" t="s">
        <v>27</v>
      </c>
      <c r="B27" s="542">
        <v>781919</v>
      </c>
      <c r="C27" s="543">
        <v>343697</v>
      </c>
      <c r="D27" s="543">
        <v>438222</v>
      </c>
      <c r="E27" s="544"/>
      <c r="F27" s="542">
        <v>804302</v>
      </c>
      <c r="G27" s="543">
        <v>468178</v>
      </c>
      <c r="H27" s="543">
        <v>336124</v>
      </c>
      <c r="I27" s="544"/>
      <c r="J27" s="542">
        <v>941260</v>
      </c>
      <c r="K27" s="543">
        <v>448033</v>
      </c>
      <c r="L27" s="543">
        <v>493227</v>
      </c>
      <c r="M27" s="544"/>
      <c r="N27" s="543">
        <v>750340</v>
      </c>
      <c r="O27" s="543">
        <v>418379</v>
      </c>
      <c r="P27" s="543">
        <v>331961</v>
      </c>
      <c r="Q27" s="541"/>
      <c r="R27" s="541"/>
      <c r="S27" s="541"/>
      <c r="T27" s="541"/>
      <c r="U27" s="541"/>
      <c r="V27" s="543">
        <v>762365.60385922214</v>
      </c>
      <c r="W27" s="543">
        <v>351141.91199574003</v>
      </c>
      <c r="X27" s="543">
        <v>411223.69154478866</v>
      </c>
    </row>
    <row r="28" spans="1:24" ht="15.95" customHeight="1" x14ac:dyDescent="0.3">
      <c r="A28" s="530" t="s">
        <v>28</v>
      </c>
      <c r="B28" s="542">
        <v>625317</v>
      </c>
      <c r="C28" s="543">
        <v>407883</v>
      </c>
      <c r="D28" s="543">
        <v>217434</v>
      </c>
      <c r="E28" s="544"/>
      <c r="F28" s="542">
        <v>568844</v>
      </c>
      <c r="G28" s="543">
        <v>378929</v>
      </c>
      <c r="H28" s="543">
        <v>189915</v>
      </c>
      <c r="I28" s="544"/>
      <c r="J28" s="542">
        <v>626343</v>
      </c>
      <c r="K28" s="543">
        <v>433575</v>
      </c>
      <c r="L28" s="543">
        <v>192768</v>
      </c>
      <c r="M28" s="544"/>
      <c r="N28" s="543">
        <v>628595</v>
      </c>
      <c r="O28" s="543">
        <v>372571</v>
      </c>
      <c r="P28" s="543">
        <v>256024</v>
      </c>
      <c r="Q28" s="541"/>
      <c r="R28" s="541"/>
      <c r="S28" s="541"/>
      <c r="T28" s="541"/>
      <c r="U28" s="541"/>
      <c r="V28" s="543">
        <v>679525.54915029916</v>
      </c>
      <c r="W28" s="543">
        <v>494151.47803461732</v>
      </c>
      <c r="X28" s="543">
        <v>185374.07067759265</v>
      </c>
    </row>
    <row r="29" spans="1:24" ht="15.95" customHeight="1" x14ac:dyDescent="0.3">
      <c r="A29" s="530" t="s">
        <v>29</v>
      </c>
      <c r="B29" s="542">
        <v>324118</v>
      </c>
      <c r="C29" s="543">
        <v>249334</v>
      </c>
      <c r="D29" s="543">
        <v>74784</v>
      </c>
      <c r="E29" s="544"/>
      <c r="F29" s="542">
        <v>328575</v>
      </c>
      <c r="G29" s="543">
        <v>272766</v>
      </c>
      <c r="H29" s="543">
        <v>55809</v>
      </c>
      <c r="I29" s="544"/>
      <c r="J29" s="542">
        <v>313241</v>
      </c>
      <c r="K29" s="543">
        <v>241936</v>
      </c>
      <c r="L29" s="543">
        <v>71305</v>
      </c>
      <c r="M29" s="544"/>
      <c r="N29" s="543">
        <v>337197</v>
      </c>
      <c r="O29" s="543">
        <v>266249</v>
      </c>
      <c r="P29" s="543">
        <v>70948</v>
      </c>
      <c r="Q29" s="541"/>
      <c r="R29" s="541"/>
      <c r="S29" s="541"/>
      <c r="T29" s="541"/>
      <c r="U29" s="541"/>
      <c r="V29" s="543">
        <v>368539.44784672558</v>
      </c>
      <c r="W29" s="543">
        <v>301849.24921466189</v>
      </c>
      <c r="X29" s="543">
        <v>66690.192337340719</v>
      </c>
    </row>
    <row r="30" spans="1:24" ht="15.95" customHeight="1" x14ac:dyDescent="0.3">
      <c r="A30" s="530" t="s">
        <v>30</v>
      </c>
      <c r="B30" s="542">
        <v>242974</v>
      </c>
      <c r="C30" s="543">
        <v>177625</v>
      </c>
      <c r="D30" s="543">
        <v>65349</v>
      </c>
      <c r="E30" s="544"/>
      <c r="F30" s="542">
        <v>227469</v>
      </c>
      <c r="G30" s="543">
        <v>176241</v>
      </c>
      <c r="H30" s="543">
        <v>51228</v>
      </c>
      <c r="I30" s="544"/>
      <c r="J30" s="542">
        <v>260785</v>
      </c>
      <c r="K30" s="543">
        <v>169676</v>
      </c>
      <c r="L30" s="543">
        <v>91109</v>
      </c>
      <c r="M30" s="544"/>
      <c r="N30" s="543">
        <v>218092</v>
      </c>
      <c r="O30" s="543">
        <v>165573</v>
      </c>
      <c r="P30" s="543">
        <v>52519</v>
      </c>
      <c r="Q30" s="541"/>
      <c r="R30" s="541"/>
      <c r="S30" s="541"/>
      <c r="T30" s="541"/>
      <c r="U30" s="541"/>
      <c r="V30" s="543">
        <v>293320.48834638228</v>
      </c>
      <c r="W30" s="543">
        <v>187271.63380347894</v>
      </c>
      <c r="X30" s="543">
        <v>106048.85454290312</v>
      </c>
    </row>
    <row r="31" spans="1:24" ht="15.95" customHeight="1" x14ac:dyDescent="0.3">
      <c r="A31" s="530" t="s">
        <v>31</v>
      </c>
      <c r="B31" s="542">
        <v>732283</v>
      </c>
      <c r="C31" s="543">
        <v>387661</v>
      </c>
      <c r="D31" s="543">
        <v>344622</v>
      </c>
      <c r="E31" s="544"/>
      <c r="F31" s="542">
        <v>713162</v>
      </c>
      <c r="G31" s="543">
        <v>393719</v>
      </c>
      <c r="H31" s="543">
        <v>319443</v>
      </c>
      <c r="I31" s="544"/>
      <c r="J31" s="542">
        <v>755335</v>
      </c>
      <c r="K31" s="543">
        <v>377392</v>
      </c>
      <c r="L31" s="543">
        <v>377943</v>
      </c>
      <c r="M31" s="544"/>
      <c r="N31" s="543">
        <v>772134</v>
      </c>
      <c r="O31" s="543">
        <v>344076</v>
      </c>
      <c r="P31" s="543">
        <v>428058</v>
      </c>
      <c r="Q31" s="541"/>
      <c r="R31" s="541"/>
      <c r="S31" s="541"/>
      <c r="T31" s="541"/>
      <c r="U31" s="541"/>
      <c r="V31" s="543">
        <v>699892.51095286547</v>
      </c>
      <c r="W31" s="543">
        <v>415227.73596318287</v>
      </c>
      <c r="X31" s="543">
        <v>284664.77583957999</v>
      </c>
    </row>
    <row r="32" spans="1:24" ht="15.95" customHeight="1" x14ac:dyDescent="0.3">
      <c r="A32" s="530" t="s">
        <v>32</v>
      </c>
      <c r="B32" s="542">
        <v>393330</v>
      </c>
      <c r="C32" s="543">
        <v>162966</v>
      </c>
      <c r="D32" s="543">
        <v>230364</v>
      </c>
      <c r="E32" s="544"/>
      <c r="F32" s="542">
        <v>415591</v>
      </c>
      <c r="G32" s="543">
        <v>158611</v>
      </c>
      <c r="H32" s="543">
        <v>256980</v>
      </c>
      <c r="I32" s="544"/>
      <c r="J32" s="542">
        <v>363395</v>
      </c>
      <c r="K32" s="543">
        <v>153006</v>
      </c>
      <c r="L32" s="543">
        <v>210389</v>
      </c>
      <c r="M32" s="544"/>
      <c r="N32" s="543">
        <v>352172</v>
      </c>
      <c r="O32" s="543">
        <v>144159</v>
      </c>
      <c r="P32" s="543">
        <v>208013</v>
      </c>
      <c r="Q32" s="541"/>
      <c r="R32" s="541"/>
      <c r="S32" s="541"/>
      <c r="T32" s="541"/>
      <c r="U32" s="541"/>
      <c r="V32" s="543">
        <v>565374.0517632477</v>
      </c>
      <c r="W32" s="543">
        <v>192947.16434311075</v>
      </c>
      <c r="X32" s="543">
        <v>372426.88796123251</v>
      </c>
    </row>
    <row r="33" spans="1:24" ht="15.95" customHeight="1" x14ac:dyDescent="0.3">
      <c r="A33" s="530" t="s">
        <v>33</v>
      </c>
      <c r="B33" s="542">
        <v>206873</v>
      </c>
      <c r="C33" s="543">
        <v>25649</v>
      </c>
      <c r="D33" s="543">
        <v>181224</v>
      </c>
      <c r="E33" s="544"/>
      <c r="F33" s="542">
        <v>130878</v>
      </c>
      <c r="G33" s="543">
        <v>23483</v>
      </c>
      <c r="H33" s="543">
        <v>107395</v>
      </c>
      <c r="I33" s="544"/>
      <c r="J33" s="542">
        <v>94327</v>
      </c>
      <c r="K33" s="543">
        <v>21299</v>
      </c>
      <c r="L33" s="543">
        <v>73028</v>
      </c>
      <c r="M33" s="544"/>
      <c r="N33" s="543">
        <v>145337</v>
      </c>
      <c r="O33" s="543">
        <v>24206</v>
      </c>
      <c r="P33" s="543">
        <v>121131</v>
      </c>
      <c r="Q33" s="541"/>
      <c r="R33" s="541"/>
      <c r="S33" s="541"/>
      <c r="T33" s="541"/>
      <c r="U33" s="541"/>
      <c r="V33" s="543">
        <v>193840.52448709577</v>
      </c>
      <c r="W33" s="543">
        <v>24842.95789485459</v>
      </c>
      <c r="X33" s="543">
        <v>168997.56659263422</v>
      </c>
    </row>
    <row r="34" spans="1:24" ht="15.95" customHeight="1" x14ac:dyDescent="0.3">
      <c r="A34" s="530" t="s">
        <v>34</v>
      </c>
      <c r="B34" s="542">
        <v>621496</v>
      </c>
      <c r="C34" s="543">
        <v>173088</v>
      </c>
      <c r="D34" s="543">
        <v>448408</v>
      </c>
      <c r="E34" s="544"/>
      <c r="F34" s="542">
        <v>578829</v>
      </c>
      <c r="G34" s="543">
        <v>198826</v>
      </c>
      <c r="H34" s="543">
        <v>380003</v>
      </c>
      <c r="I34" s="544"/>
      <c r="J34" s="542">
        <v>626552</v>
      </c>
      <c r="K34" s="543">
        <v>168281</v>
      </c>
      <c r="L34" s="543">
        <v>458271</v>
      </c>
      <c r="M34" s="544"/>
      <c r="N34" s="543">
        <v>582246</v>
      </c>
      <c r="O34" s="543">
        <v>177950</v>
      </c>
      <c r="P34" s="543">
        <v>404296</v>
      </c>
      <c r="Q34" s="541"/>
      <c r="R34" s="541"/>
      <c r="S34" s="541"/>
      <c r="T34" s="541"/>
      <c r="U34" s="541"/>
      <c r="V34" s="543">
        <v>593314.77899771149</v>
      </c>
      <c r="W34" s="543">
        <v>181821.80132527908</v>
      </c>
      <c r="X34" s="543">
        <v>411492.97810901178</v>
      </c>
    </row>
    <row r="35" spans="1:24" ht="15.95" customHeight="1" x14ac:dyDescent="0.3">
      <c r="A35" s="530" t="s">
        <v>35</v>
      </c>
      <c r="B35" s="542">
        <v>390015</v>
      </c>
      <c r="C35" s="543">
        <v>244139</v>
      </c>
      <c r="D35" s="543">
        <v>145876</v>
      </c>
      <c r="E35" s="544"/>
      <c r="F35" s="542">
        <v>378052</v>
      </c>
      <c r="G35" s="543">
        <v>272017</v>
      </c>
      <c r="H35" s="543">
        <v>106035</v>
      </c>
      <c r="I35" s="544"/>
      <c r="J35" s="542">
        <v>479692</v>
      </c>
      <c r="K35" s="543">
        <v>316258</v>
      </c>
      <c r="L35" s="543">
        <v>163434</v>
      </c>
      <c r="M35" s="544"/>
      <c r="N35" s="543">
        <v>489762</v>
      </c>
      <c r="O35" s="543">
        <v>320668</v>
      </c>
      <c r="P35" s="543">
        <v>169094</v>
      </c>
      <c r="Q35" s="541"/>
      <c r="R35" s="541"/>
      <c r="S35" s="541"/>
      <c r="T35" s="541"/>
      <c r="U35" s="541"/>
      <c r="V35" s="543">
        <v>471004.02703337505</v>
      </c>
      <c r="W35" s="543">
        <v>373659.29082067934</v>
      </c>
      <c r="X35" s="543">
        <v>97344.73616066559</v>
      </c>
    </row>
    <row r="36" spans="1:24" ht="15.95" customHeight="1" x14ac:dyDescent="0.3">
      <c r="A36" s="530" t="s">
        <v>36</v>
      </c>
      <c r="B36" s="542">
        <v>3595574</v>
      </c>
      <c r="C36" s="543">
        <v>367052</v>
      </c>
      <c r="D36" s="543">
        <v>3228522</v>
      </c>
      <c r="E36" s="544"/>
      <c r="F36" s="542">
        <v>3564030</v>
      </c>
      <c r="G36" s="543">
        <v>258773</v>
      </c>
      <c r="H36" s="543">
        <v>3305257</v>
      </c>
      <c r="I36" s="544"/>
      <c r="J36" s="542">
        <v>3736255</v>
      </c>
      <c r="K36" s="543">
        <v>306212</v>
      </c>
      <c r="L36" s="543">
        <v>3430043</v>
      </c>
      <c r="M36" s="544"/>
      <c r="N36" s="543">
        <v>3037254</v>
      </c>
      <c r="O36" s="543">
        <v>251164</v>
      </c>
      <c r="P36" s="543">
        <v>2786090</v>
      </c>
      <c r="Q36" s="541"/>
      <c r="R36" s="541"/>
      <c r="S36" s="541"/>
      <c r="T36" s="541"/>
      <c r="U36" s="541"/>
      <c r="V36" s="543">
        <v>3081798.0471297861</v>
      </c>
      <c r="W36" s="543">
        <v>416270.76220346597</v>
      </c>
      <c r="X36" s="543">
        <v>2665527.2854556353</v>
      </c>
    </row>
    <row r="37" spans="1:24" ht="15.95" customHeight="1" x14ac:dyDescent="0.3">
      <c r="A37" s="530" t="s">
        <v>37</v>
      </c>
      <c r="B37" s="542">
        <v>1505508</v>
      </c>
      <c r="C37" s="543">
        <v>830536</v>
      </c>
      <c r="D37" s="543">
        <v>674972</v>
      </c>
      <c r="E37" s="544"/>
      <c r="F37" s="542">
        <v>1292201</v>
      </c>
      <c r="G37" s="543">
        <v>734181</v>
      </c>
      <c r="H37" s="543">
        <v>558020</v>
      </c>
      <c r="I37" s="544"/>
      <c r="J37" s="542">
        <v>1198009</v>
      </c>
      <c r="K37" s="543">
        <v>716150</v>
      </c>
      <c r="L37" s="543">
        <v>481859</v>
      </c>
      <c r="M37" s="544"/>
      <c r="N37" s="543">
        <v>1121206</v>
      </c>
      <c r="O37" s="543">
        <v>605444</v>
      </c>
      <c r="P37" s="543">
        <v>515762</v>
      </c>
      <c r="Q37" s="541"/>
      <c r="R37" s="541"/>
      <c r="S37" s="541"/>
      <c r="T37" s="541"/>
      <c r="U37" s="541"/>
      <c r="V37" s="543">
        <v>1281885.1889570262</v>
      </c>
      <c r="W37" s="543">
        <v>927688.17461637768</v>
      </c>
      <c r="X37" s="543">
        <v>354197.01611105539</v>
      </c>
    </row>
    <row r="38" spans="1:24" ht="15.95" customHeight="1" x14ac:dyDescent="0.3">
      <c r="A38" s="530" t="s">
        <v>38</v>
      </c>
      <c r="B38" s="542">
        <v>120484</v>
      </c>
      <c r="C38" s="543">
        <v>102808</v>
      </c>
      <c r="D38" s="543">
        <v>17676</v>
      </c>
      <c r="E38" s="544"/>
      <c r="F38" s="542">
        <v>88136</v>
      </c>
      <c r="G38" s="543">
        <v>72180</v>
      </c>
      <c r="H38" s="543">
        <v>15956</v>
      </c>
      <c r="I38" s="544"/>
      <c r="J38" s="542">
        <v>82987</v>
      </c>
      <c r="K38" s="543">
        <v>71472</v>
      </c>
      <c r="L38" s="543">
        <v>11515</v>
      </c>
      <c r="M38" s="544"/>
      <c r="N38" s="543">
        <v>107295</v>
      </c>
      <c r="O38" s="543">
        <v>64971</v>
      </c>
      <c r="P38" s="543">
        <v>42324</v>
      </c>
      <c r="Q38" s="541"/>
      <c r="R38" s="541"/>
      <c r="S38" s="541"/>
      <c r="T38" s="541"/>
      <c r="U38" s="541"/>
      <c r="V38" s="543">
        <v>196429.51444741804</v>
      </c>
      <c r="W38" s="543">
        <v>70188.915959825899</v>
      </c>
      <c r="X38" s="543">
        <v>126240.59829196398</v>
      </c>
    </row>
    <row r="39" spans="1:24" ht="15.95" customHeight="1" x14ac:dyDescent="0.3">
      <c r="A39" s="530" t="s">
        <v>39</v>
      </c>
      <c r="B39" s="542">
        <v>23567</v>
      </c>
      <c r="C39" s="543">
        <v>20741</v>
      </c>
      <c r="D39" s="543">
        <v>2826</v>
      </c>
      <c r="E39" s="544"/>
      <c r="F39" s="542">
        <v>26522</v>
      </c>
      <c r="G39" s="543">
        <v>23397</v>
      </c>
      <c r="H39" s="543">
        <v>3125</v>
      </c>
      <c r="I39" s="544"/>
      <c r="J39" s="542">
        <v>26540</v>
      </c>
      <c r="K39" s="543">
        <v>23672</v>
      </c>
      <c r="L39" s="543">
        <v>2868</v>
      </c>
      <c r="M39" s="544"/>
      <c r="N39" s="543">
        <v>25305</v>
      </c>
      <c r="O39" s="543">
        <v>22510</v>
      </c>
      <c r="P39" s="543">
        <v>2795</v>
      </c>
      <c r="Q39" s="541"/>
      <c r="R39" s="541"/>
      <c r="S39" s="541"/>
      <c r="T39" s="541"/>
      <c r="U39" s="541"/>
      <c r="V39" s="543">
        <v>25789.393100440404</v>
      </c>
      <c r="W39" s="543">
        <v>23817.85270598203</v>
      </c>
      <c r="X39" s="543">
        <v>1971.540387874265</v>
      </c>
    </row>
    <row r="40" spans="1:24" ht="15.95" customHeight="1" x14ac:dyDescent="0.3">
      <c r="A40" s="533" t="s">
        <v>40</v>
      </c>
      <c r="B40" s="534">
        <v>472611</v>
      </c>
      <c r="C40" s="535">
        <v>225781</v>
      </c>
      <c r="D40" s="535">
        <v>246830</v>
      </c>
      <c r="E40" s="536"/>
      <c r="F40" s="534">
        <v>520960</v>
      </c>
      <c r="G40" s="535">
        <v>298799</v>
      </c>
      <c r="H40" s="535">
        <v>222161</v>
      </c>
      <c r="I40" s="536"/>
      <c r="J40" s="534">
        <v>537905</v>
      </c>
      <c r="K40" s="535">
        <v>344701</v>
      </c>
      <c r="L40" s="535">
        <v>193204</v>
      </c>
      <c r="M40" s="536"/>
      <c r="N40" s="535">
        <v>644444</v>
      </c>
      <c r="O40" s="535">
        <v>249072</v>
      </c>
      <c r="P40" s="535">
        <v>395372</v>
      </c>
      <c r="Q40" s="535"/>
      <c r="R40" s="535"/>
      <c r="S40" s="535"/>
      <c r="T40" s="535"/>
      <c r="U40" s="535"/>
      <c r="V40" s="535">
        <v>486159.4828981678</v>
      </c>
      <c r="W40" s="535">
        <v>332902.32692890067</v>
      </c>
      <c r="X40" s="535">
        <v>153257.15566339952</v>
      </c>
    </row>
    <row r="41" spans="1:24" ht="24" customHeight="1" x14ac:dyDescent="0.3">
      <c r="A41" s="1061" t="s">
        <v>842</v>
      </c>
      <c r="B41" s="1061"/>
      <c r="C41" s="1061"/>
      <c r="D41" s="1061"/>
      <c r="E41" s="1061"/>
      <c r="F41" s="1061"/>
      <c r="G41" s="1061"/>
      <c r="H41" s="1061"/>
      <c r="I41" s="1061"/>
      <c r="J41" s="1061"/>
      <c r="K41" s="1061"/>
      <c r="L41" s="1061"/>
      <c r="M41" s="1061"/>
      <c r="N41" s="1061"/>
      <c r="O41" s="1061"/>
      <c r="P41" s="1061"/>
      <c r="Q41" s="1061"/>
      <c r="R41" s="1061"/>
      <c r="S41" s="1061"/>
      <c r="T41" s="1061"/>
      <c r="U41" s="1061"/>
      <c r="V41" s="1061"/>
      <c r="W41" s="1061"/>
      <c r="X41" s="1061"/>
    </row>
    <row r="42" spans="1:24" s="229" customFormat="1" ht="12" customHeight="1" x14ac:dyDescent="0.25">
      <c r="A42" s="227" t="s">
        <v>841</v>
      </c>
      <c r="B42" s="228"/>
      <c r="C42" s="228"/>
      <c r="D42" s="228"/>
      <c r="E42" s="228"/>
      <c r="F42" s="228"/>
      <c r="G42" s="228"/>
      <c r="H42" s="228"/>
      <c r="I42" s="228"/>
      <c r="J42" s="228"/>
      <c r="K42" s="228"/>
      <c r="L42" s="228"/>
      <c r="M42" s="228"/>
      <c r="N42" s="228"/>
      <c r="O42" s="228"/>
      <c r="P42" s="228"/>
    </row>
  </sheetData>
  <mergeCells count="10">
    <mergeCell ref="A41:X41"/>
    <mergeCell ref="A3:X3"/>
    <mergeCell ref="A4:X4"/>
    <mergeCell ref="V6:X6"/>
    <mergeCell ref="R6:T6"/>
    <mergeCell ref="A6:A7"/>
    <mergeCell ref="B6:D6"/>
    <mergeCell ref="F6:H6"/>
    <mergeCell ref="J6:L6"/>
    <mergeCell ref="N6:P6"/>
  </mergeCells>
  <printOptions horizontalCentered="1"/>
  <pageMargins left="0.9055118110236221" right="0.70866141732283472" top="0.74803149606299213" bottom="0.74803149606299213" header="0.31496062992125984" footer="0.31496062992125984"/>
  <pageSetup paperSize="9" orientation="portrait" r:id="rId1"/>
  <ignoredErrors>
    <ignoredError sqref="J6:P6 R6:X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AD40"/>
  <sheetViews>
    <sheetView showGridLines="0" zoomScaleNormal="100" zoomScaleSheetLayoutView="100" workbookViewId="0">
      <selection activeCell="A4" sqref="A4:AD40"/>
    </sheetView>
  </sheetViews>
  <sheetFormatPr baseColWidth="10" defaultColWidth="11.28515625" defaultRowHeight="12.75" customHeight="1" x14ac:dyDescent="0.3"/>
  <cols>
    <col min="1" max="1" width="13.85546875" style="2" customWidth="1"/>
    <col min="2" max="2" width="8.7109375" style="2" hidden="1" customWidth="1"/>
    <col min="3" max="3" width="8" style="2" hidden="1" customWidth="1"/>
    <col min="4" max="4" width="7.7109375" style="2" hidden="1" customWidth="1"/>
    <col min="5" max="5" width="8.7109375" style="2" hidden="1" customWidth="1"/>
    <col min="6" max="6" width="8" style="2" hidden="1" customWidth="1"/>
    <col min="7" max="7" width="1.7109375" style="2" hidden="1" customWidth="1"/>
    <col min="8" max="9" width="8" style="2" hidden="1" customWidth="1"/>
    <col min="10" max="10" width="7.7109375" style="2" hidden="1" customWidth="1"/>
    <col min="11" max="11" width="8.28515625" style="2" hidden="1" customWidth="1"/>
    <col min="12" max="12" width="6.7109375" style="2" hidden="1" customWidth="1"/>
    <col min="13" max="13" width="1.7109375" style="2" hidden="1" customWidth="1"/>
    <col min="14" max="14" width="11" style="2" hidden="1" customWidth="1"/>
    <col min="15" max="15" width="6.85546875" style="2" hidden="1" customWidth="1"/>
    <col min="16" max="16" width="7.42578125" style="2" hidden="1" customWidth="1"/>
    <col min="17" max="17" width="9.85546875" style="2" hidden="1" customWidth="1"/>
    <col min="18" max="18" width="7.42578125" style="2" hidden="1" customWidth="1"/>
    <col min="19" max="19" width="1.7109375" style="2" hidden="1" customWidth="1"/>
    <col min="20" max="22" width="10.140625" style="2" customWidth="1"/>
    <col min="23" max="23" width="13.28515625" style="2" customWidth="1"/>
    <col min="24" max="24" width="10.140625" style="2" customWidth="1"/>
    <col min="25" max="25" width="1.7109375" style="2" customWidth="1"/>
    <col min="26" max="28" width="10.140625" style="2" customWidth="1"/>
    <col min="29" max="29" width="13.28515625" style="2" customWidth="1"/>
    <col min="30" max="30" width="10.140625" style="2" customWidth="1"/>
    <col min="31" max="16384" width="11.28515625" style="2"/>
  </cols>
  <sheetData>
    <row r="1" spans="1:30" ht="12.75" customHeight="1" x14ac:dyDescent="0.3">
      <c r="A1" s="1070" t="s">
        <v>843</v>
      </c>
      <c r="B1" s="1070"/>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row>
    <row r="2" spans="1:30" ht="12.75" customHeight="1" x14ac:dyDescent="0.3">
      <c r="A2" s="1071" t="s">
        <v>41</v>
      </c>
      <c r="B2" s="1071"/>
      <c r="C2" s="1071"/>
      <c r="D2" s="1071"/>
      <c r="E2" s="1071"/>
      <c r="F2" s="1071"/>
      <c r="G2" s="1071"/>
      <c r="H2" s="1071"/>
      <c r="I2" s="1071"/>
      <c r="J2" s="1071"/>
      <c r="K2" s="1071"/>
      <c r="L2" s="1071"/>
      <c r="M2" s="1071"/>
      <c r="N2" s="1071"/>
      <c r="O2" s="1071"/>
      <c r="P2" s="1071"/>
      <c r="Q2" s="1071"/>
      <c r="R2" s="1071"/>
      <c r="S2" s="1071"/>
      <c r="T2" s="1071"/>
      <c r="U2" s="1071"/>
      <c r="V2" s="1071"/>
      <c r="W2" s="1071"/>
      <c r="X2" s="1071"/>
      <c r="Y2" s="1071"/>
      <c r="Z2" s="1071"/>
      <c r="AA2" s="1071"/>
      <c r="AB2" s="1071"/>
      <c r="AC2" s="1071"/>
      <c r="AD2" s="1071"/>
    </row>
    <row r="3" spans="1:30" ht="6" customHeight="1" x14ac:dyDescent="0.3"/>
    <row r="4" spans="1:30" s="34" customFormat="1" ht="15.95" customHeight="1" x14ac:dyDescent="0.3">
      <c r="A4" s="1065" t="s">
        <v>4</v>
      </c>
      <c r="B4" s="1067">
        <v>2016</v>
      </c>
      <c r="C4" s="1067"/>
      <c r="D4" s="1067"/>
      <c r="E4" s="1067"/>
      <c r="F4" s="1067"/>
      <c r="G4" s="523"/>
      <c r="H4" s="1067">
        <v>2017</v>
      </c>
      <c r="I4" s="1067"/>
      <c r="J4" s="1067"/>
      <c r="K4" s="1067"/>
      <c r="L4" s="1067"/>
      <c r="M4" s="523"/>
      <c r="N4" s="1064" t="s">
        <v>5</v>
      </c>
      <c r="O4" s="1064"/>
      <c r="P4" s="1064"/>
      <c r="Q4" s="1064"/>
      <c r="R4" s="1064"/>
      <c r="S4" s="523"/>
      <c r="T4" s="1064" t="s">
        <v>6</v>
      </c>
      <c r="U4" s="1064"/>
      <c r="V4" s="1064"/>
      <c r="W4" s="1064"/>
      <c r="X4" s="1064"/>
      <c r="Y4" s="523"/>
      <c r="Z4" s="1064" t="s">
        <v>770</v>
      </c>
      <c r="AA4" s="1064"/>
      <c r="AB4" s="1064"/>
      <c r="AC4" s="1064"/>
      <c r="AD4" s="1064"/>
    </row>
    <row r="5" spans="1:30" s="34" customFormat="1" ht="51" customHeight="1" x14ac:dyDescent="0.3">
      <c r="A5" s="1066"/>
      <c r="B5" s="524" t="s">
        <v>9</v>
      </c>
      <c r="C5" s="524" t="s">
        <v>42</v>
      </c>
      <c r="D5" s="524" t="s">
        <v>43</v>
      </c>
      <c r="E5" s="524" t="s">
        <v>44</v>
      </c>
      <c r="F5" s="524" t="s">
        <v>45</v>
      </c>
      <c r="G5" s="525"/>
      <c r="H5" s="524" t="s">
        <v>9</v>
      </c>
      <c r="I5" s="524" t="s">
        <v>42</v>
      </c>
      <c r="J5" s="524" t="s">
        <v>43</v>
      </c>
      <c r="K5" s="524" t="s">
        <v>44</v>
      </c>
      <c r="L5" s="524" t="s">
        <v>45</v>
      </c>
      <c r="M5" s="525"/>
      <c r="N5" s="525" t="s">
        <v>46</v>
      </c>
      <c r="O5" s="525" t="s">
        <v>42</v>
      </c>
      <c r="P5" s="525" t="s">
        <v>43</v>
      </c>
      <c r="Q5" s="525" t="s">
        <v>44</v>
      </c>
      <c r="R5" s="525" t="s">
        <v>45</v>
      </c>
      <c r="S5" s="525"/>
      <c r="T5" s="525" t="s">
        <v>46</v>
      </c>
      <c r="U5" s="525" t="s">
        <v>42</v>
      </c>
      <c r="V5" s="525" t="s">
        <v>43</v>
      </c>
      <c r="W5" s="525" t="s">
        <v>44</v>
      </c>
      <c r="X5" s="525" t="s">
        <v>45</v>
      </c>
      <c r="Y5" s="525"/>
      <c r="Z5" s="525" t="s">
        <v>46</v>
      </c>
      <c r="AA5" s="525" t="s">
        <v>42</v>
      </c>
      <c r="AB5" s="525" t="s">
        <v>43</v>
      </c>
      <c r="AC5" s="525" t="s">
        <v>44</v>
      </c>
      <c r="AD5" s="525" t="s">
        <v>45</v>
      </c>
    </row>
    <row r="6" spans="1:30" s="34" customFormat="1" ht="12.75" hidden="1" customHeight="1" x14ac:dyDescent="0.3">
      <c r="A6" s="547"/>
      <c r="B6" s="548"/>
      <c r="C6" s="548"/>
      <c r="D6" s="548"/>
      <c r="E6" s="548"/>
      <c r="F6" s="548"/>
      <c r="G6" s="548"/>
      <c r="H6" s="548"/>
      <c r="I6" s="548"/>
      <c r="J6" s="548"/>
      <c r="K6" s="548"/>
      <c r="L6" s="548"/>
      <c r="M6" s="548"/>
      <c r="N6" s="548"/>
      <c r="O6" s="548"/>
      <c r="P6" s="548"/>
      <c r="Q6" s="548"/>
      <c r="R6" s="548"/>
      <c r="S6" s="548"/>
      <c r="T6" s="548"/>
      <c r="U6" s="548"/>
      <c r="V6" s="548"/>
      <c r="W6" s="548"/>
      <c r="X6" s="548"/>
      <c r="Y6" s="548"/>
      <c r="Z6" s="548"/>
      <c r="AA6" s="548"/>
      <c r="AB6" s="548"/>
      <c r="AC6" s="548"/>
      <c r="AD6" s="548"/>
    </row>
    <row r="7" spans="1:30" s="34" customFormat="1" ht="15.95" customHeight="1" x14ac:dyDescent="0.3">
      <c r="A7" s="527" t="s">
        <v>11</v>
      </c>
      <c r="B7" s="549">
        <v>6188214</v>
      </c>
      <c r="C7" s="549">
        <v>3288807</v>
      </c>
      <c r="D7" s="549">
        <v>1048375</v>
      </c>
      <c r="E7" s="549">
        <v>1300687</v>
      </c>
      <c r="F7" s="549">
        <v>550345</v>
      </c>
      <c r="G7" s="550"/>
      <c r="H7" s="549">
        <v>6256958</v>
      </c>
      <c r="I7" s="549">
        <v>3302599</v>
      </c>
      <c r="J7" s="549">
        <v>1064037</v>
      </c>
      <c r="K7" s="549">
        <v>1390389</v>
      </c>
      <c r="L7" s="549">
        <v>499933</v>
      </c>
      <c r="M7" s="551"/>
      <c r="N7" s="549">
        <v>6480230</v>
      </c>
      <c r="O7" s="549">
        <v>3425873</v>
      </c>
      <c r="P7" s="549">
        <v>952182</v>
      </c>
      <c r="Q7" s="549">
        <v>1671525</v>
      </c>
      <c r="R7" s="549">
        <v>430650</v>
      </c>
      <c r="S7" s="551"/>
      <c r="T7" s="549">
        <v>6299211</v>
      </c>
      <c r="U7" s="549">
        <v>3389890</v>
      </c>
      <c r="V7" s="549">
        <v>992021</v>
      </c>
      <c r="W7" s="549">
        <v>1429680</v>
      </c>
      <c r="X7" s="549">
        <v>487620</v>
      </c>
      <c r="Y7" s="551"/>
      <c r="Z7" s="549">
        <v>7495755.8466448886</v>
      </c>
      <c r="AA7" s="549">
        <v>3952907.0912673925</v>
      </c>
      <c r="AB7" s="549">
        <v>1242462.414857758</v>
      </c>
      <c r="AC7" s="549">
        <v>1809383.4399104905</v>
      </c>
      <c r="AD7" s="549">
        <v>491002.90468310524</v>
      </c>
    </row>
    <row r="8" spans="1:30" s="34" customFormat="1" ht="3" customHeight="1" x14ac:dyDescent="0.3">
      <c r="A8" s="528"/>
      <c r="B8" s="529"/>
      <c r="C8" s="529"/>
      <c r="D8" s="529"/>
      <c r="E8" s="529"/>
      <c r="F8" s="529"/>
      <c r="G8" s="529"/>
      <c r="H8" s="529"/>
      <c r="I8" s="529"/>
      <c r="J8" s="529"/>
      <c r="K8" s="529"/>
      <c r="L8" s="529"/>
      <c r="M8" s="529"/>
      <c r="N8" s="529"/>
      <c r="O8" s="529"/>
      <c r="P8" s="529"/>
      <c r="Q8" s="529"/>
      <c r="R8" s="529"/>
      <c r="S8" s="529"/>
      <c r="T8" s="42"/>
      <c r="U8" s="42"/>
      <c r="V8" s="42"/>
      <c r="W8" s="42"/>
      <c r="X8" s="42"/>
      <c r="AA8" s="552"/>
      <c r="AB8" s="552"/>
      <c r="AC8" s="552"/>
      <c r="AD8" s="552"/>
    </row>
    <row r="9" spans="1:30" s="34" customFormat="1" ht="15.95" customHeight="1" x14ac:dyDescent="0.3">
      <c r="A9" s="528" t="s">
        <v>12</v>
      </c>
      <c r="B9" s="529"/>
      <c r="C9" s="529"/>
      <c r="D9" s="529"/>
      <c r="E9" s="529"/>
      <c r="F9" s="529"/>
      <c r="G9" s="529"/>
      <c r="H9" s="529"/>
      <c r="I9" s="529"/>
      <c r="J9" s="529"/>
      <c r="K9" s="529"/>
      <c r="L9" s="529"/>
      <c r="M9" s="529"/>
      <c r="N9" s="529"/>
      <c r="O9" s="529"/>
      <c r="P9" s="529"/>
      <c r="Q9" s="529"/>
      <c r="R9" s="529"/>
      <c r="S9" s="529"/>
      <c r="AA9" s="552"/>
      <c r="AB9" s="552"/>
      <c r="AC9" s="552"/>
      <c r="AD9" s="552"/>
    </row>
    <row r="10" spans="1:30" s="34" customFormat="1" ht="15.95" customHeight="1" x14ac:dyDescent="0.3">
      <c r="A10" s="530" t="s">
        <v>13</v>
      </c>
      <c r="B10" s="529">
        <v>1124604</v>
      </c>
      <c r="C10" s="553">
        <v>658666</v>
      </c>
      <c r="D10" s="553">
        <v>192106</v>
      </c>
      <c r="E10" s="553">
        <v>273832</v>
      </c>
      <c r="F10" s="553" t="s">
        <v>47</v>
      </c>
      <c r="G10" s="554"/>
      <c r="H10" s="529">
        <v>1199496</v>
      </c>
      <c r="I10" s="553">
        <v>718450</v>
      </c>
      <c r="J10" s="553">
        <v>254893</v>
      </c>
      <c r="K10" s="553">
        <v>226153</v>
      </c>
      <c r="L10" s="553" t="s">
        <v>47</v>
      </c>
      <c r="M10" s="554"/>
      <c r="N10" s="529">
        <v>1198115</v>
      </c>
      <c r="O10" s="553">
        <v>708044</v>
      </c>
      <c r="P10" s="553">
        <v>215184</v>
      </c>
      <c r="Q10" s="553">
        <v>274887</v>
      </c>
      <c r="R10" s="553" t="s">
        <v>47</v>
      </c>
      <c r="S10" s="554"/>
      <c r="T10" s="555">
        <v>1201819</v>
      </c>
      <c r="U10" s="555">
        <v>727488</v>
      </c>
      <c r="V10" s="555">
        <v>226767</v>
      </c>
      <c r="W10" s="555">
        <v>247564</v>
      </c>
      <c r="X10" s="555" t="s">
        <v>47</v>
      </c>
      <c r="Z10" s="552">
        <v>1336942.0199798378</v>
      </c>
      <c r="AA10" s="552">
        <v>829331.4448855127</v>
      </c>
      <c r="AB10" s="552">
        <v>230010.38045381109</v>
      </c>
      <c r="AC10" s="552">
        <v>277600.19959402725</v>
      </c>
      <c r="AD10" s="555" t="s">
        <v>47</v>
      </c>
    </row>
    <row r="11" spans="1:30" s="34" customFormat="1" ht="15.95" customHeight="1" x14ac:dyDescent="0.3">
      <c r="A11" s="530" t="s">
        <v>14</v>
      </c>
      <c r="B11" s="529">
        <v>2370380</v>
      </c>
      <c r="C11" s="553">
        <v>825234</v>
      </c>
      <c r="D11" s="553">
        <v>660557</v>
      </c>
      <c r="E11" s="553">
        <v>334244</v>
      </c>
      <c r="F11" s="553">
        <v>550345</v>
      </c>
      <c r="G11" s="554"/>
      <c r="H11" s="529">
        <v>2313642</v>
      </c>
      <c r="I11" s="553">
        <v>924072</v>
      </c>
      <c r="J11" s="553">
        <v>549990</v>
      </c>
      <c r="K11" s="553">
        <v>339647</v>
      </c>
      <c r="L11" s="553">
        <v>499933</v>
      </c>
      <c r="M11" s="554"/>
      <c r="N11" s="529">
        <v>2246170</v>
      </c>
      <c r="O11" s="553">
        <v>957282</v>
      </c>
      <c r="P11" s="553">
        <v>493523</v>
      </c>
      <c r="Q11" s="553">
        <v>364715</v>
      </c>
      <c r="R11" s="553">
        <v>430650</v>
      </c>
      <c r="S11" s="554"/>
      <c r="T11" s="555">
        <v>2209055</v>
      </c>
      <c r="U11" s="555">
        <v>849091</v>
      </c>
      <c r="V11" s="555">
        <v>553623</v>
      </c>
      <c r="W11" s="555">
        <v>318721</v>
      </c>
      <c r="X11" s="555">
        <v>487620</v>
      </c>
      <c r="Z11" s="552">
        <v>2809534.787472331</v>
      </c>
      <c r="AA11" s="552">
        <v>1009329.5176625509</v>
      </c>
      <c r="AB11" s="552">
        <v>799962.0637179726</v>
      </c>
      <c r="AC11" s="552">
        <v>509240.30112759705</v>
      </c>
      <c r="AD11" s="552">
        <v>491002.90468309028</v>
      </c>
    </row>
    <row r="12" spans="1:30" s="34" customFormat="1" ht="15.95" customHeight="1" x14ac:dyDescent="0.3">
      <c r="A12" s="530" t="s">
        <v>15</v>
      </c>
      <c r="B12" s="529">
        <v>2693230</v>
      </c>
      <c r="C12" s="553">
        <v>1804907</v>
      </c>
      <c r="D12" s="553">
        <v>195712</v>
      </c>
      <c r="E12" s="553">
        <v>692611</v>
      </c>
      <c r="F12" s="553" t="s">
        <v>47</v>
      </c>
      <c r="G12" s="554"/>
      <c r="H12" s="529">
        <v>2743820</v>
      </c>
      <c r="I12" s="553">
        <v>1660078</v>
      </c>
      <c r="J12" s="553">
        <v>259154</v>
      </c>
      <c r="K12" s="553">
        <v>824588</v>
      </c>
      <c r="L12" s="553" t="s">
        <v>47</v>
      </c>
      <c r="M12" s="554"/>
      <c r="N12" s="529">
        <v>3035945</v>
      </c>
      <c r="O12" s="553">
        <v>1760547</v>
      </c>
      <c r="P12" s="553">
        <v>243475</v>
      </c>
      <c r="Q12" s="553">
        <v>1031923</v>
      </c>
      <c r="R12" s="553" t="s">
        <v>47</v>
      </c>
      <c r="S12" s="554"/>
      <c r="T12" s="555">
        <v>2888337</v>
      </c>
      <c r="U12" s="555">
        <v>1813311</v>
      </c>
      <c r="V12" s="555">
        <v>211631</v>
      </c>
      <c r="W12" s="555">
        <v>863395</v>
      </c>
      <c r="X12" s="555" t="s">
        <v>47</v>
      </c>
      <c r="Z12" s="552">
        <v>3349279.0391921764</v>
      </c>
      <c r="AA12" s="552">
        <v>2114246.1287189694</v>
      </c>
      <c r="AB12" s="552">
        <v>212489.97068592353</v>
      </c>
      <c r="AC12" s="552">
        <v>1022542.9391887259</v>
      </c>
      <c r="AD12" s="555" t="s">
        <v>47</v>
      </c>
    </row>
    <row r="13" spans="1:30" s="34" customFormat="1" ht="3" customHeight="1" x14ac:dyDescent="0.3">
      <c r="A13" s="528"/>
      <c r="B13" s="529"/>
      <c r="C13" s="529"/>
      <c r="D13" s="529"/>
      <c r="E13" s="529"/>
      <c r="F13" s="529"/>
      <c r="G13" s="529"/>
      <c r="H13" s="529"/>
      <c r="I13" s="529"/>
      <c r="J13" s="529"/>
      <c r="K13" s="529"/>
      <c r="L13" s="529"/>
      <c r="M13" s="529"/>
      <c r="N13" s="529"/>
      <c r="O13" s="553"/>
      <c r="P13" s="553"/>
      <c r="Q13" s="553"/>
      <c r="R13" s="553"/>
      <c r="S13" s="529"/>
      <c r="T13" s="553"/>
      <c r="U13" s="553"/>
      <c r="V13" s="553"/>
      <c r="W13" s="553"/>
      <c r="X13" s="553"/>
      <c r="Z13" s="552"/>
      <c r="AA13" s="552"/>
      <c r="AB13" s="552"/>
      <c r="AC13" s="552"/>
      <c r="AD13" s="552"/>
    </row>
    <row r="14" spans="1:30" s="34" customFormat="1" ht="15.95" customHeight="1" x14ac:dyDescent="0.3">
      <c r="A14" s="528" t="s">
        <v>16</v>
      </c>
      <c r="B14" s="529"/>
      <c r="C14" s="529"/>
      <c r="D14" s="529"/>
      <c r="E14" s="529"/>
      <c r="F14" s="529"/>
      <c r="G14" s="529"/>
      <c r="H14" s="529"/>
      <c r="I14" s="529"/>
      <c r="J14" s="529"/>
      <c r="K14" s="529"/>
      <c r="L14" s="529"/>
      <c r="M14" s="529"/>
      <c r="N14" s="529"/>
      <c r="O14" s="553"/>
      <c r="P14" s="553"/>
      <c r="Q14" s="553"/>
      <c r="R14" s="553"/>
      <c r="S14" s="529"/>
      <c r="T14" s="553"/>
      <c r="U14" s="553"/>
      <c r="V14" s="553"/>
      <c r="W14" s="553"/>
      <c r="X14" s="553"/>
      <c r="Z14" s="552"/>
      <c r="AA14" s="552"/>
      <c r="AB14" s="552"/>
      <c r="AC14" s="552"/>
      <c r="AD14" s="552"/>
    </row>
    <row r="15" spans="1:30" s="34" customFormat="1" ht="15.95" customHeight="1" x14ac:dyDescent="0.3">
      <c r="A15" s="530" t="s">
        <v>17</v>
      </c>
      <c r="B15" s="529">
        <v>232202</v>
      </c>
      <c r="C15" s="553">
        <v>174621</v>
      </c>
      <c r="D15" s="553">
        <v>17184</v>
      </c>
      <c r="E15" s="553">
        <v>36872</v>
      </c>
      <c r="F15" s="553">
        <v>3525</v>
      </c>
      <c r="G15" s="554"/>
      <c r="H15" s="529">
        <v>244933</v>
      </c>
      <c r="I15" s="553">
        <v>174166</v>
      </c>
      <c r="J15" s="553">
        <v>14402</v>
      </c>
      <c r="K15" s="553">
        <v>50285</v>
      </c>
      <c r="L15" s="553">
        <v>6080</v>
      </c>
      <c r="M15" s="554"/>
      <c r="N15" s="529">
        <v>264605</v>
      </c>
      <c r="O15" s="553">
        <v>196712</v>
      </c>
      <c r="P15" s="553">
        <v>13897</v>
      </c>
      <c r="Q15" s="553">
        <v>49737</v>
      </c>
      <c r="R15" s="553">
        <v>4259</v>
      </c>
      <c r="S15" s="554"/>
      <c r="T15" s="555">
        <v>325027</v>
      </c>
      <c r="U15" s="555">
        <v>214364</v>
      </c>
      <c r="V15" s="555">
        <v>22564</v>
      </c>
      <c r="W15" s="555">
        <v>82231</v>
      </c>
      <c r="X15" s="555">
        <v>5868</v>
      </c>
      <c r="Z15" s="552">
        <v>324685.88186273573</v>
      </c>
      <c r="AA15" s="552">
        <v>216606.22593524729</v>
      </c>
      <c r="AB15" s="552">
        <v>24990.253774190893</v>
      </c>
      <c r="AC15" s="552">
        <v>79522.791046899976</v>
      </c>
      <c r="AD15" s="552">
        <v>3566.6119029120478</v>
      </c>
    </row>
    <row r="16" spans="1:30" s="34" customFormat="1" ht="15.95" customHeight="1" x14ac:dyDescent="0.3">
      <c r="A16" s="530" t="s">
        <v>18</v>
      </c>
      <c r="B16" s="529">
        <v>223254</v>
      </c>
      <c r="C16" s="553">
        <v>98024</v>
      </c>
      <c r="D16" s="553">
        <v>50543</v>
      </c>
      <c r="E16" s="553">
        <v>34964</v>
      </c>
      <c r="F16" s="553">
        <v>39723</v>
      </c>
      <c r="G16" s="554"/>
      <c r="H16" s="529">
        <v>243972</v>
      </c>
      <c r="I16" s="553">
        <v>117624</v>
      </c>
      <c r="J16" s="553">
        <v>45590</v>
      </c>
      <c r="K16" s="553">
        <v>46946</v>
      </c>
      <c r="L16" s="553">
        <v>33812</v>
      </c>
      <c r="M16" s="554"/>
      <c r="N16" s="529">
        <v>178729</v>
      </c>
      <c r="O16" s="553">
        <v>98061</v>
      </c>
      <c r="P16" s="553">
        <v>29775</v>
      </c>
      <c r="Q16" s="553">
        <v>32840</v>
      </c>
      <c r="R16" s="553">
        <v>18053</v>
      </c>
      <c r="S16" s="554"/>
      <c r="T16" s="555">
        <v>223158</v>
      </c>
      <c r="U16" s="555">
        <v>125821</v>
      </c>
      <c r="V16" s="555">
        <v>33573</v>
      </c>
      <c r="W16" s="555">
        <v>50624</v>
      </c>
      <c r="X16" s="555">
        <v>13140</v>
      </c>
      <c r="Z16" s="552">
        <v>254232.56254150695</v>
      </c>
      <c r="AA16" s="552">
        <v>128636.16462966859</v>
      </c>
      <c r="AB16" s="552">
        <v>47529.733462801662</v>
      </c>
      <c r="AC16" s="552">
        <v>49581.061589594232</v>
      </c>
      <c r="AD16" s="552">
        <v>28485.602859443283</v>
      </c>
    </row>
    <row r="17" spans="1:30" s="34" customFormat="1" ht="15.95" customHeight="1" x14ac:dyDescent="0.3">
      <c r="A17" s="530" t="s">
        <v>19</v>
      </c>
      <c r="B17" s="529">
        <v>88337</v>
      </c>
      <c r="C17" s="553">
        <v>11984</v>
      </c>
      <c r="D17" s="553">
        <v>39126</v>
      </c>
      <c r="E17" s="553">
        <v>12287</v>
      </c>
      <c r="F17" s="553">
        <v>24940</v>
      </c>
      <c r="G17" s="554"/>
      <c r="H17" s="529">
        <v>114430</v>
      </c>
      <c r="I17" s="553">
        <v>31541</v>
      </c>
      <c r="J17" s="553">
        <v>34292</v>
      </c>
      <c r="K17" s="553">
        <v>24292</v>
      </c>
      <c r="L17" s="553">
        <v>24305</v>
      </c>
      <c r="M17" s="554"/>
      <c r="N17" s="529">
        <v>92901</v>
      </c>
      <c r="O17" s="553">
        <v>25070</v>
      </c>
      <c r="P17" s="553">
        <v>31995</v>
      </c>
      <c r="Q17" s="553">
        <v>16209</v>
      </c>
      <c r="R17" s="553">
        <v>19627</v>
      </c>
      <c r="S17" s="554"/>
      <c r="T17" s="555">
        <v>98183</v>
      </c>
      <c r="U17" s="555">
        <v>17319</v>
      </c>
      <c r="V17" s="555">
        <v>41137</v>
      </c>
      <c r="W17" s="555">
        <v>13529</v>
      </c>
      <c r="X17" s="555">
        <v>26198</v>
      </c>
      <c r="Z17" s="552">
        <v>109183.62341951396</v>
      </c>
      <c r="AA17" s="552">
        <v>21270.84975142168</v>
      </c>
      <c r="AB17" s="552">
        <v>46860.619930038141</v>
      </c>
      <c r="AC17" s="552">
        <v>20807.291366908634</v>
      </c>
      <c r="AD17" s="552">
        <v>20244.862371145384</v>
      </c>
    </row>
    <row r="18" spans="1:30" s="34" customFormat="1" ht="15.95" customHeight="1" x14ac:dyDescent="0.3">
      <c r="A18" s="530" t="s">
        <v>20</v>
      </c>
      <c r="B18" s="529">
        <v>142379</v>
      </c>
      <c r="C18" s="553">
        <v>85468</v>
      </c>
      <c r="D18" s="553">
        <v>37513</v>
      </c>
      <c r="E18" s="553">
        <v>14382</v>
      </c>
      <c r="F18" s="553">
        <v>5016</v>
      </c>
      <c r="G18" s="554"/>
      <c r="H18" s="529">
        <v>149356</v>
      </c>
      <c r="I18" s="553">
        <v>83815</v>
      </c>
      <c r="J18" s="553">
        <v>41994</v>
      </c>
      <c r="K18" s="553">
        <v>14233</v>
      </c>
      <c r="L18" s="553">
        <v>9314</v>
      </c>
      <c r="M18" s="554"/>
      <c r="N18" s="529">
        <v>163902</v>
      </c>
      <c r="O18" s="553">
        <v>92017</v>
      </c>
      <c r="P18" s="553">
        <v>28186</v>
      </c>
      <c r="Q18" s="553">
        <v>37097</v>
      </c>
      <c r="R18" s="553">
        <v>6602</v>
      </c>
      <c r="S18" s="554"/>
      <c r="T18" s="555">
        <v>137927</v>
      </c>
      <c r="U18" s="555">
        <v>83717</v>
      </c>
      <c r="V18" s="555">
        <v>33303</v>
      </c>
      <c r="W18" s="555">
        <v>9558</v>
      </c>
      <c r="X18" s="555">
        <v>11349</v>
      </c>
      <c r="Z18" s="552">
        <v>157222.94700969403</v>
      </c>
      <c r="AA18" s="552">
        <v>97868.750415864692</v>
      </c>
      <c r="AB18" s="552">
        <v>42660.120061170099</v>
      </c>
      <c r="AC18" s="552">
        <v>13665.196340298548</v>
      </c>
      <c r="AD18" s="552">
        <v>3028.8803001083434</v>
      </c>
    </row>
    <row r="19" spans="1:30" s="34" customFormat="1" ht="15.95" customHeight="1" x14ac:dyDescent="0.3">
      <c r="A19" s="530" t="s">
        <v>21</v>
      </c>
      <c r="B19" s="529">
        <v>214273</v>
      </c>
      <c r="C19" s="553">
        <v>80215</v>
      </c>
      <c r="D19" s="553">
        <v>52863</v>
      </c>
      <c r="E19" s="553">
        <v>62062</v>
      </c>
      <c r="F19" s="553">
        <v>19133</v>
      </c>
      <c r="G19" s="554"/>
      <c r="H19" s="529">
        <v>201633</v>
      </c>
      <c r="I19" s="553">
        <v>86165</v>
      </c>
      <c r="J19" s="553">
        <v>50301</v>
      </c>
      <c r="K19" s="553">
        <v>29828</v>
      </c>
      <c r="L19" s="553">
        <v>35339</v>
      </c>
      <c r="M19" s="554"/>
      <c r="N19" s="529">
        <v>236508</v>
      </c>
      <c r="O19" s="553">
        <v>99054</v>
      </c>
      <c r="P19" s="553">
        <v>54107</v>
      </c>
      <c r="Q19" s="553">
        <v>49686</v>
      </c>
      <c r="R19" s="553">
        <v>33661</v>
      </c>
      <c r="S19" s="554"/>
      <c r="T19" s="555">
        <v>268220</v>
      </c>
      <c r="U19" s="555">
        <v>64584</v>
      </c>
      <c r="V19" s="555">
        <v>53375</v>
      </c>
      <c r="W19" s="555">
        <v>38061</v>
      </c>
      <c r="X19" s="555">
        <v>112200</v>
      </c>
      <c r="Z19" s="552">
        <v>238993.55114063478</v>
      </c>
      <c r="AA19" s="552">
        <v>91760.528261877247</v>
      </c>
      <c r="AB19" s="552">
        <v>75996.089013917794</v>
      </c>
      <c r="AC19" s="552">
        <v>48906.971624938153</v>
      </c>
      <c r="AD19" s="552">
        <v>22329.962249983029</v>
      </c>
    </row>
    <row r="20" spans="1:30" s="34" customFormat="1" ht="15.95" customHeight="1" x14ac:dyDescent="0.3">
      <c r="A20" s="530" t="s">
        <v>22</v>
      </c>
      <c r="B20" s="529">
        <v>606577</v>
      </c>
      <c r="C20" s="553">
        <v>340307</v>
      </c>
      <c r="D20" s="553">
        <v>91676</v>
      </c>
      <c r="E20" s="553">
        <v>77156</v>
      </c>
      <c r="F20" s="553">
        <v>97438</v>
      </c>
      <c r="G20" s="554"/>
      <c r="H20" s="529">
        <v>474443</v>
      </c>
      <c r="I20" s="553">
        <v>341930</v>
      </c>
      <c r="J20" s="553">
        <v>59484</v>
      </c>
      <c r="K20" s="553">
        <v>41194</v>
      </c>
      <c r="L20" s="553">
        <v>31835</v>
      </c>
      <c r="M20" s="554"/>
      <c r="N20" s="529">
        <v>534900</v>
      </c>
      <c r="O20" s="553">
        <v>351049</v>
      </c>
      <c r="P20" s="553">
        <v>61057</v>
      </c>
      <c r="Q20" s="553">
        <v>90499</v>
      </c>
      <c r="R20" s="553">
        <v>32295</v>
      </c>
      <c r="S20" s="554"/>
      <c r="T20" s="555">
        <v>551166</v>
      </c>
      <c r="U20" s="555">
        <v>375553</v>
      </c>
      <c r="V20" s="555">
        <v>70963</v>
      </c>
      <c r="W20" s="555">
        <v>93408</v>
      </c>
      <c r="X20" s="555">
        <v>11242</v>
      </c>
      <c r="Z20" s="552">
        <v>598757.36366967717</v>
      </c>
      <c r="AA20" s="552">
        <v>353631.58056162496</v>
      </c>
      <c r="AB20" s="552">
        <v>106905.66794714818</v>
      </c>
      <c r="AC20" s="552">
        <v>104056.85801140821</v>
      </c>
      <c r="AD20" s="552">
        <v>34163.256806180099</v>
      </c>
    </row>
    <row r="21" spans="1:30" s="34" customFormat="1" ht="15.95" customHeight="1" x14ac:dyDescent="0.3">
      <c r="A21" s="530" t="s">
        <v>23</v>
      </c>
      <c r="B21" s="529">
        <v>289654</v>
      </c>
      <c r="C21" s="553">
        <v>128650</v>
      </c>
      <c r="D21" s="553">
        <v>97230</v>
      </c>
      <c r="E21" s="553">
        <v>21370</v>
      </c>
      <c r="F21" s="553">
        <v>42404</v>
      </c>
      <c r="G21" s="554"/>
      <c r="H21" s="529">
        <v>274745</v>
      </c>
      <c r="I21" s="553">
        <v>136491</v>
      </c>
      <c r="J21" s="553">
        <v>78415</v>
      </c>
      <c r="K21" s="553">
        <v>18579</v>
      </c>
      <c r="L21" s="553">
        <v>41260</v>
      </c>
      <c r="M21" s="554"/>
      <c r="N21" s="529">
        <v>254031</v>
      </c>
      <c r="O21" s="553">
        <v>121505</v>
      </c>
      <c r="P21" s="553">
        <v>62542</v>
      </c>
      <c r="Q21" s="553">
        <v>25914</v>
      </c>
      <c r="R21" s="553">
        <v>44070</v>
      </c>
      <c r="S21" s="554"/>
      <c r="T21" s="555">
        <v>265815</v>
      </c>
      <c r="U21" s="555">
        <v>113210</v>
      </c>
      <c r="V21" s="555">
        <v>80332</v>
      </c>
      <c r="W21" s="555">
        <v>19992</v>
      </c>
      <c r="X21" s="555">
        <v>52281</v>
      </c>
      <c r="Z21" s="552">
        <v>407515.67881101108</v>
      </c>
      <c r="AA21" s="552">
        <v>127234.78524220918</v>
      </c>
      <c r="AB21" s="552">
        <v>85438.553065761967</v>
      </c>
      <c r="AC21" s="552">
        <v>57798.94198667867</v>
      </c>
      <c r="AD21" s="552">
        <v>137043.39836423824</v>
      </c>
    </row>
    <row r="22" spans="1:30" s="34" customFormat="1" ht="15.95" customHeight="1" x14ac:dyDescent="0.3">
      <c r="A22" s="530" t="s">
        <v>24</v>
      </c>
      <c r="B22" s="529">
        <v>92852</v>
      </c>
      <c r="C22" s="553">
        <v>16471</v>
      </c>
      <c r="D22" s="553">
        <v>32379</v>
      </c>
      <c r="E22" s="553">
        <v>17911</v>
      </c>
      <c r="F22" s="553">
        <v>26091</v>
      </c>
      <c r="G22" s="554"/>
      <c r="H22" s="529">
        <v>133821</v>
      </c>
      <c r="I22" s="553">
        <v>36864</v>
      </c>
      <c r="J22" s="553">
        <v>19887</v>
      </c>
      <c r="K22" s="553">
        <v>26804</v>
      </c>
      <c r="L22" s="553">
        <v>50266</v>
      </c>
      <c r="M22" s="554"/>
      <c r="N22" s="529">
        <v>118334</v>
      </c>
      <c r="O22" s="553">
        <v>38344</v>
      </c>
      <c r="P22" s="553">
        <v>27705</v>
      </c>
      <c r="Q22" s="553">
        <v>12241</v>
      </c>
      <c r="R22" s="553">
        <v>40044</v>
      </c>
      <c r="S22" s="554"/>
      <c r="T22" s="555">
        <v>116828</v>
      </c>
      <c r="U22" s="555">
        <v>32097</v>
      </c>
      <c r="V22" s="555">
        <v>26712</v>
      </c>
      <c r="W22" s="555">
        <v>16242</v>
      </c>
      <c r="X22" s="555">
        <v>41777</v>
      </c>
      <c r="Z22" s="552">
        <v>142935.81223043072</v>
      </c>
      <c r="AA22" s="552">
        <v>24653.296731745646</v>
      </c>
      <c r="AB22" s="552">
        <v>60539.241306775089</v>
      </c>
      <c r="AC22" s="552">
        <v>17049.392133149795</v>
      </c>
      <c r="AD22" s="552">
        <v>40693.882058759918</v>
      </c>
    </row>
    <row r="23" spans="1:30" s="34" customFormat="1" ht="15.95" customHeight="1" x14ac:dyDescent="0.3">
      <c r="A23" s="530" t="s">
        <v>25</v>
      </c>
      <c r="B23" s="529">
        <v>442343</v>
      </c>
      <c r="C23" s="553">
        <v>286412</v>
      </c>
      <c r="D23" s="553">
        <v>47659</v>
      </c>
      <c r="E23" s="553">
        <v>63010</v>
      </c>
      <c r="F23" s="553">
        <v>45262</v>
      </c>
      <c r="G23" s="554"/>
      <c r="H23" s="529">
        <v>540447</v>
      </c>
      <c r="I23" s="553">
        <v>276978</v>
      </c>
      <c r="J23" s="553">
        <v>80535</v>
      </c>
      <c r="K23" s="553">
        <v>116531</v>
      </c>
      <c r="L23" s="553">
        <v>66403</v>
      </c>
      <c r="M23" s="554"/>
      <c r="N23" s="529">
        <v>701055</v>
      </c>
      <c r="O23" s="553">
        <v>336598</v>
      </c>
      <c r="P23" s="553">
        <v>91857</v>
      </c>
      <c r="Q23" s="553">
        <v>204569</v>
      </c>
      <c r="R23" s="553">
        <v>68031</v>
      </c>
      <c r="S23" s="554"/>
      <c r="T23" s="555">
        <v>737405</v>
      </c>
      <c r="U23" s="555">
        <v>407598</v>
      </c>
      <c r="V23" s="555">
        <v>92787</v>
      </c>
      <c r="W23" s="555">
        <v>169719</v>
      </c>
      <c r="X23" s="555">
        <v>67301</v>
      </c>
      <c r="Z23" s="552">
        <v>820981.04221392563</v>
      </c>
      <c r="AA23" s="552">
        <v>485510.68119899253</v>
      </c>
      <c r="AB23" s="552">
        <v>75148.820920561222</v>
      </c>
      <c r="AC23" s="552">
        <v>207586.42934390254</v>
      </c>
      <c r="AD23" s="552">
        <v>52735.109268653228</v>
      </c>
    </row>
    <row r="24" spans="1:30" s="34" customFormat="1" ht="15.95" customHeight="1" x14ac:dyDescent="0.3">
      <c r="A24" s="530" t="s">
        <v>26</v>
      </c>
      <c r="B24" s="529">
        <v>137382</v>
      </c>
      <c r="C24" s="553">
        <v>69671</v>
      </c>
      <c r="D24" s="553">
        <v>16773</v>
      </c>
      <c r="E24" s="553">
        <v>50498</v>
      </c>
      <c r="F24" s="553">
        <v>440</v>
      </c>
      <c r="G24" s="554"/>
      <c r="H24" s="529">
        <v>149080</v>
      </c>
      <c r="I24" s="553">
        <v>91269</v>
      </c>
      <c r="J24" s="553">
        <v>15584</v>
      </c>
      <c r="K24" s="553">
        <v>41283</v>
      </c>
      <c r="L24" s="553">
        <v>944</v>
      </c>
      <c r="M24" s="554"/>
      <c r="N24" s="529">
        <v>143601</v>
      </c>
      <c r="O24" s="553">
        <v>89157</v>
      </c>
      <c r="P24" s="553">
        <v>14082</v>
      </c>
      <c r="Q24" s="553">
        <v>40308</v>
      </c>
      <c r="R24" s="553">
        <v>54</v>
      </c>
      <c r="S24" s="554"/>
      <c r="T24" s="555">
        <v>148491</v>
      </c>
      <c r="U24" s="555">
        <v>87106</v>
      </c>
      <c r="V24" s="555">
        <v>18015</v>
      </c>
      <c r="W24" s="555">
        <v>43181</v>
      </c>
      <c r="X24" s="555">
        <v>189</v>
      </c>
      <c r="Z24" s="552">
        <v>147466.12793541112</v>
      </c>
      <c r="AA24" s="552">
        <v>94952.242796146209</v>
      </c>
      <c r="AB24" s="552">
        <v>16075.657370750274</v>
      </c>
      <c r="AC24" s="552">
        <v>36302.944032251027</v>
      </c>
      <c r="AD24" s="552">
        <v>135.283736263734</v>
      </c>
    </row>
    <row r="25" spans="1:30" s="34" customFormat="1" ht="15.95" customHeight="1" x14ac:dyDescent="0.3">
      <c r="A25" s="530" t="s">
        <v>27</v>
      </c>
      <c r="B25" s="529">
        <v>343697</v>
      </c>
      <c r="C25" s="553">
        <v>209053</v>
      </c>
      <c r="D25" s="553">
        <v>65293</v>
      </c>
      <c r="E25" s="553">
        <v>62042</v>
      </c>
      <c r="F25" s="553">
        <v>7309</v>
      </c>
      <c r="G25" s="554"/>
      <c r="H25" s="529">
        <v>468178</v>
      </c>
      <c r="I25" s="553">
        <v>196415</v>
      </c>
      <c r="J25" s="553">
        <v>95396</v>
      </c>
      <c r="K25" s="553">
        <v>103828</v>
      </c>
      <c r="L25" s="553">
        <v>72539</v>
      </c>
      <c r="M25" s="554"/>
      <c r="N25" s="529">
        <v>448033</v>
      </c>
      <c r="O25" s="553">
        <v>223841</v>
      </c>
      <c r="P25" s="553">
        <v>42459</v>
      </c>
      <c r="Q25" s="553">
        <v>170613</v>
      </c>
      <c r="R25" s="553">
        <v>11120</v>
      </c>
      <c r="S25" s="554"/>
      <c r="T25" s="555">
        <v>418379</v>
      </c>
      <c r="U25" s="555">
        <v>191111</v>
      </c>
      <c r="V25" s="555">
        <v>46266</v>
      </c>
      <c r="W25" s="555">
        <v>170797</v>
      </c>
      <c r="X25" s="555">
        <v>10205</v>
      </c>
      <c r="Z25" s="552">
        <v>351141.91199574003</v>
      </c>
      <c r="AA25" s="552">
        <v>234056.60060735233</v>
      </c>
      <c r="AB25" s="552">
        <v>76090.844064493212</v>
      </c>
      <c r="AC25" s="552">
        <v>33889.404889327532</v>
      </c>
      <c r="AD25" s="552">
        <v>7105.0624345664401</v>
      </c>
    </row>
    <row r="26" spans="1:30" s="34" customFormat="1" ht="15.95" customHeight="1" x14ac:dyDescent="0.3">
      <c r="A26" s="530" t="s">
        <v>28</v>
      </c>
      <c r="B26" s="529">
        <v>407883</v>
      </c>
      <c r="C26" s="553">
        <v>184636</v>
      </c>
      <c r="D26" s="553">
        <v>93488</v>
      </c>
      <c r="E26" s="553">
        <v>60280</v>
      </c>
      <c r="F26" s="553">
        <v>69479</v>
      </c>
      <c r="G26" s="554"/>
      <c r="H26" s="529">
        <v>378929</v>
      </c>
      <c r="I26" s="553">
        <v>207688</v>
      </c>
      <c r="J26" s="553">
        <v>86073</v>
      </c>
      <c r="K26" s="553">
        <v>50177</v>
      </c>
      <c r="L26" s="553">
        <v>34991</v>
      </c>
      <c r="M26" s="554"/>
      <c r="N26" s="529">
        <v>433575</v>
      </c>
      <c r="O26" s="553">
        <v>221680</v>
      </c>
      <c r="P26" s="553">
        <v>75910</v>
      </c>
      <c r="Q26" s="553">
        <v>87403</v>
      </c>
      <c r="R26" s="553">
        <v>48582</v>
      </c>
      <c r="S26" s="554"/>
      <c r="T26" s="555">
        <v>372571</v>
      </c>
      <c r="U26" s="555">
        <v>209357</v>
      </c>
      <c r="V26" s="555">
        <v>83997</v>
      </c>
      <c r="W26" s="555">
        <v>26300</v>
      </c>
      <c r="X26" s="555">
        <v>52917</v>
      </c>
      <c r="Z26" s="552">
        <v>494151.47803461732</v>
      </c>
      <c r="AA26" s="552">
        <v>258816.66444922227</v>
      </c>
      <c r="AB26" s="552">
        <v>115449.60151807914</v>
      </c>
      <c r="AC26" s="552">
        <v>81756.511542274879</v>
      </c>
      <c r="AD26" s="552">
        <v>38128.700599577773</v>
      </c>
    </row>
    <row r="27" spans="1:30" s="34" customFormat="1" ht="15.95" customHeight="1" x14ac:dyDescent="0.3">
      <c r="A27" s="530" t="s">
        <v>29</v>
      </c>
      <c r="B27" s="529">
        <v>249334</v>
      </c>
      <c r="C27" s="553">
        <v>129087</v>
      </c>
      <c r="D27" s="553">
        <v>56443</v>
      </c>
      <c r="E27" s="553">
        <v>63597</v>
      </c>
      <c r="F27" s="553">
        <v>207</v>
      </c>
      <c r="G27" s="554"/>
      <c r="H27" s="529">
        <v>272766</v>
      </c>
      <c r="I27" s="553">
        <v>122799</v>
      </c>
      <c r="J27" s="553">
        <v>76326</v>
      </c>
      <c r="K27" s="553">
        <v>72371</v>
      </c>
      <c r="L27" s="553">
        <v>1270</v>
      </c>
      <c r="M27" s="554"/>
      <c r="N27" s="529">
        <v>241936</v>
      </c>
      <c r="O27" s="553">
        <v>112328</v>
      </c>
      <c r="P27" s="553">
        <v>65262</v>
      </c>
      <c r="Q27" s="553">
        <v>63044</v>
      </c>
      <c r="R27" s="553">
        <v>1302</v>
      </c>
      <c r="S27" s="554"/>
      <c r="T27" s="555">
        <v>266249</v>
      </c>
      <c r="U27" s="555">
        <v>121942</v>
      </c>
      <c r="V27" s="555">
        <v>62316</v>
      </c>
      <c r="W27" s="555">
        <v>81580</v>
      </c>
      <c r="X27" s="555">
        <v>411</v>
      </c>
      <c r="Z27" s="552">
        <v>301849.24921466189</v>
      </c>
      <c r="AA27" s="552">
        <v>144851.32418454951</v>
      </c>
      <c r="AB27" s="552">
        <v>70390.61504782339</v>
      </c>
      <c r="AC27" s="552">
        <v>85280.231630884198</v>
      </c>
      <c r="AD27" s="552">
        <v>1327.0834047619066</v>
      </c>
    </row>
    <row r="28" spans="1:30" s="34" customFormat="1" ht="15.95" customHeight="1" x14ac:dyDescent="0.3">
      <c r="A28" s="530" t="s">
        <v>30</v>
      </c>
      <c r="B28" s="529">
        <v>177625</v>
      </c>
      <c r="C28" s="553">
        <v>129151</v>
      </c>
      <c r="D28" s="553">
        <v>16196</v>
      </c>
      <c r="E28" s="553">
        <v>31184</v>
      </c>
      <c r="F28" s="553">
        <v>1094</v>
      </c>
      <c r="G28" s="554"/>
      <c r="H28" s="529">
        <v>176241</v>
      </c>
      <c r="I28" s="553">
        <v>140714</v>
      </c>
      <c r="J28" s="553">
        <v>18188</v>
      </c>
      <c r="K28" s="553">
        <v>16346</v>
      </c>
      <c r="L28" s="553">
        <v>993</v>
      </c>
      <c r="M28" s="554"/>
      <c r="N28" s="529">
        <v>169676</v>
      </c>
      <c r="O28" s="553">
        <v>131288</v>
      </c>
      <c r="P28" s="553">
        <v>17814</v>
      </c>
      <c r="Q28" s="553">
        <v>19880</v>
      </c>
      <c r="R28" s="553">
        <v>694</v>
      </c>
      <c r="S28" s="554"/>
      <c r="T28" s="555">
        <v>165573</v>
      </c>
      <c r="U28" s="555">
        <v>132767</v>
      </c>
      <c r="V28" s="555">
        <v>15306</v>
      </c>
      <c r="W28" s="555">
        <v>15463</v>
      </c>
      <c r="X28" s="555">
        <v>2037</v>
      </c>
      <c r="Z28" s="552">
        <v>187271.63380347894</v>
      </c>
      <c r="AA28" s="552">
        <v>144472.13488918351</v>
      </c>
      <c r="AB28" s="552">
        <v>13073.089045760596</v>
      </c>
      <c r="AC28" s="552">
        <v>28564.280565496545</v>
      </c>
      <c r="AD28" s="552">
        <v>1162.1293030377008</v>
      </c>
    </row>
    <row r="29" spans="1:30" s="34" customFormat="1" ht="15.95" customHeight="1" x14ac:dyDescent="0.3">
      <c r="A29" s="530" t="s">
        <v>31</v>
      </c>
      <c r="B29" s="529">
        <v>387661</v>
      </c>
      <c r="C29" s="553">
        <v>181907</v>
      </c>
      <c r="D29" s="553">
        <v>38491</v>
      </c>
      <c r="E29" s="553">
        <v>167263</v>
      </c>
      <c r="F29" s="553" t="s">
        <v>47</v>
      </c>
      <c r="G29" s="554"/>
      <c r="H29" s="529">
        <v>393719</v>
      </c>
      <c r="I29" s="553">
        <v>158500</v>
      </c>
      <c r="J29" s="553">
        <v>45018</v>
      </c>
      <c r="K29" s="553">
        <v>190201</v>
      </c>
      <c r="L29" s="553" t="s">
        <v>47</v>
      </c>
      <c r="M29" s="554"/>
      <c r="N29" s="529">
        <v>377392</v>
      </c>
      <c r="O29" s="553">
        <v>148588</v>
      </c>
      <c r="P29" s="553">
        <v>54974</v>
      </c>
      <c r="Q29" s="553">
        <v>173830</v>
      </c>
      <c r="R29" s="553" t="s">
        <v>47</v>
      </c>
      <c r="S29" s="554"/>
      <c r="T29" s="555">
        <v>344076</v>
      </c>
      <c r="U29" s="555">
        <v>140296</v>
      </c>
      <c r="V29" s="555">
        <v>44192</v>
      </c>
      <c r="W29" s="555">
        <v>159588</v>
      </c>
      <c r="X29" s="555" t="s">
        <v>47</v>
      </c>
      <c r="Z29" s="552">
        <v>415227.73596318287</v>
      </c>
      <c r="AA29" s="552">
        <v>180323.20494960871</v>
      </c>
      <c r="AB29" s="552">
        <v>36236.675239297831</v>
      </c>
      <c r="AC29" s="552">
        <v>198667.85570578245</v>
      </c>
      <c r="AD29" s="555" t="s">
        <v>47</v>
      </c>
    </row>
    <row r="30" spans="1:30" s="34" customFormat="1" ht="15.95" customHeight="1" x14ac:dyDescent="0.3">
      <c r="A30" s="530" t="s">
        <v>32</v>
      </c>
      <c r="B30" s="529">
        <v>162966</v>
      </c>
      <c r="C30" s="553">
        <v>84353</v>
      </c>
      <c r="D30" s="553">
        <v>7265</v>
      </c>
      <c r="E30" s="553">
        <v>71348</v>
      </c>
      <c r="F30" s="553" t="s">
        <v>47</v>
      </c>
      <c r="G30" s="554"/>
      <c r="H30" s="529">
        <v>158611</v>
      </c>
      <c r="I30" s="553">
        <v>71530</v>
      </c>
      <c r="J30" s="553">
        <v>10497</v>
      </c>
      <c r="K30" s="553">
        <v>76584</v>
      </c>
      <c r="L30" s="553" t="s">
        <v>47</v>
      </c>
      <c r="M30" s="554"/>
      <c r="N30" s="529">
        <v>153006</v>
      </c>
      <c r="O30" s="553">
        <v>82053</v>
      </c>
      <c r="P30" s="553">
        <v>10655</v>
      </c>
      <c r="Q30" s="553">
        <v>60298</v>
      </c>
      <c r="R30" s="553" t="s">
        <v>47</v>
      </c>
      <c r="S30" s="554"/>
      <c r="T30" s="555">
        <v>144158</v>
      </c>
      <c r="U30" s="555">
        <v>63686</v>
      </c>
      <c r="V30" s="555">
        <v>10528</v>
      </c>
      <c r="W30" s="555">
        <v>69944</v>
      </c>
      <c r="X30" s="555" t="s">
        <v>47</v>
      </c>
      <c r="Z30" s="552">
        <v>192947.16434311075</v>
      </c>
      <c r="AA30" s="552">
        <v>101665.70447161577</v>
      </c>
      <c r="AB30" s="552">
        <v>13092.802422312996</v>
      </c>
      <c r="AC30" s="552">
        <v>78188.657571784322</v>
      </c>
      <c r="AD30" s="555" t="s">
        <v>47</v>
      </c>
    </row>
    <row r="31" spans="1:30" s="34" customFormat="1" ht="15.95" customHeight="1" x14ac:dyDescent="0.3">
      <c r="A31" s="530" t="s">
        <v>33</v>
      </c>
      <c r="B31" s="529">
        <v>25649</v>
      </c>
      <c r="C31" s="553">
        <v>9561</v>
      </c>
      <c r="D31" s="553">
        <v>1918</v>
      </c>
      <c r="E31" s="553">
        <v>12097</v>
      </c>
      <c r="F31" s="553">
        <v>2073</v>
      </c>
      <c r="G31" s="554"/>
      <c r="H31" s="529">
        <v>23482</v>
      </c>
      <c r="I31" s="553">
        <v>10020</v>
      </c>
      <c r="J31" s="553">
        <v>1425</v>
      </c>
      <c r="K31" s="553">
        <v>9777</v>
      </c>
      <c r="L31" s="553">
        <v>2260</v>
      </c>
      <c r="M31" s="554"/>
      <c r="N31" s="529">
        <v>21299</v>
      </c>
      <c r="O31" s="553">
        <v>9546</v>
      </c>
      <c r="P31" s="553">
        <v>1221</v>
      </c>
      <c r="Q31" s="553">
        <v>8880</v>
      </c>
      <c r="R31" s="553">
        <v>1652</v>
      </c>
      <c r="S31" s="554"/>
      <c r="T31" s="555">
        <v>24206</v>
      </c>
      <c r="U31" s="555">
        <v>10809</v>
      </c>
      <c r="V31" s="555">
        <v>1964</v>
      </c>
      <c r="W31" s="555">
        <v>9648</v>
      </c>
      <c r="X31" s="555">
        <v>1785</v>
      </c>
      <c r="Z31" s="552">
        <v>24842.95789485459</v>
      </c>
      <c r="AA31" s="552">
        <v>11556.981266310695</v>
      </c>
      <c r="AB31" s="552">
        <v>2606.9306765256829</v>
      </c>
      <c r="AC31" s="552">
        <v>9434.1581108192568</v>
      </c>
      <c r="AD31" s="552">
        <v>1244.8878424703605</v>
      </c>
    </row>
    <row r="32" spans="1:30" s="34" customFormat="1" ht="15.95" customHeight="1" x14ac:dyDescent="0.3">
      <c r="A32" s="530" t="s">
        <v>34</v>
      </c>
      <c r="B32" s="529">
        <v>173087</v>
      </c>
      <c r="C32" s="553">
        <v>126616</v>
      </c>
      <c r="D32" s="553">
        <v>14117</v>
      </c>
      <c r="E32" s="553">
        <v>23420</v>
      </c>
      <c r="F32" s="553">
        <v>8934</v>
      </c>
      <c r="G32" s="554"/>
      <c r="H32" s="529">
        <v>198826</v>
      </c>
      <c r="I32" s="553">
        <v>139309</v>
      </c>
      <c r="J32" s="553">
        <v>13437</v>
      </c>
      <c r="K32" s="553">
        <v>29443</v>
      </c>
      <c r="L32" s="553">
        <v>16637</v>
      </c>
      <c r="M32" s="554"/>
      <c r="N32" s="529">
        <v>168281</v>
      </c>
      <c r="O32" s="553">
        <v>101041</v>
      </c>
      <c r="P32" s="553">
        <v>11291</v>
      </c>
      <c r="Q32" s="553">
        <v>39361</v>
      </c>
      <c r="R32" s="553">
        <v>16588</v>
      </c>
      <c r="S32" s="554"/>
      <c r="T32" s="555">
        <v>177950</v>
      </c>
      <c r="U32" s="555">
        <v>123043</v>
      </c>
      <c r="V32" s="555">
        <v>8764</v>
      </c>
      <c r="W32" s="555">
        <v>30296</v>
      </c>
      <c r="X32" s="555">
        <v>15847</v>
      </c>
      <c r="Z32" s="552">
        <v>181821.80132527908</v>
      </c>
      <c r="AA32" s="552">
        <v>121183.99743053</v>
      </c>
      <c r="AB32" s="552">
        <v>12553.930090037571</v>
      </c>
      <c r="AC32" s="552">
        <v>22889.076447766496</v>
      </c>
      <c r="AD32" s="552">
        <v>25194.79735694523</v>
      </c>
    </row>
    <row r="33" spans="1:30" s="34" customFormat="1" ht="15.95" customHeight="1" x14ac:dyDescent="0.3">
      <c r="A33" s="530" t="s">
        <v>35</v>
      </c>
      <c r="B33" s="529">
        <v>244139</v>
      </c>
      <c r="C33" s="553">
        <v>151806</v>
      </c>
      <c r="D33" s="553">
        <v>45485</v>
      </c>
      <c r="E33" s="553">
        <v>43831</v>
      </c>
      <c r="F33" s="553">
        <v>3017</v>
      </c>
      <c r="G33" s="554"/>
      <c r="H33" s="529">
        <v>272017</v>
      </c>
      <c r="I33" s="553">
        <v>173250</v>
      </c>
      <c r="J33" s="553">
        <v>51745</v>
      </c>
      <c r="K33" s="553">
        <v>45794</v>
      </c>
      <c r="L33" s="553">
        <v>1228</v>
      </c>
      <c r="M33" s="554"/>
      <c r="N33" s="529">
        <v>316258</v>
      </c>
      <c r="O33" s="553">
        <v>191118</v>
      </c>
      <c r="P33" s="553">
        <v>52202</v>
      </c>
      <c r="Q33" s="553">
        <v>71901</v>
      </c>
      <c r="R33" s="553">
        <v>1037</v>
      </c>
      <c r="S33" s="554"/>
      <c r="T33" s="555">
        <v>320668</v>
      </c>
      <c r="U33" s="555">
        <v>178114</v>
      </c>
      <c r="V33" s="555">
        <v>65874</v>
      </c>
      <c r="W33" s="555">
        <v>75313</v>
      </c>
      <c r="X33" s="555">
        <v>1367</v>
      </c>
      <c r="Z33" s="552">
        <v>373659.29082067934</v>
      </c>
      <c r="AA33" s="552">
        <v>223433.71791263801</v>
      </c>
      <c r="AB33" s="552">
        <v>60653.345677295256</v>
      </c>
      <c r="AC33" s="552">
        <v>87750.791285953368</v>
      </c>
      <c r="AD33" s="552">
        <v>1821.4358296703779</v>
      </c>
    </row>
    <row r="34" spans="1:30" s="34" customFormat="1" ht="15.95" customHeight="1" x14ac:dyDescent="0.3">
      <c r="A34" s="530" t="s">
        <v>36</v>
      </c>
      <c r="B34" s="529">
        <v>367052</v>
      </c>
      <c r="C34" s="553">
        <v>64466</v>
      </c>
      <c r="D34" s="553">
        <v>141575</v>
      </c>
      <c r="E34" s="553">
        <v>10297</v>
      </c>
      <c r="F34" s="553">
        <v>150714</v>
      </c>
      <c r="G34" s="554"/>
      <c r="H34" s="529">
        <v>258773</v>
      </c>
      <c r="I34" s="553">
        <v>48124</v>
      </c>
      <c r="J34" s="553">
        <v>126471</v>
      </c>
      <c r="K34" s="553">
        <v>16875</v>
      </c>
      <c r="L34" s="553">
        <v>67303</v>
      </c>
      <c r="M34" s="554"/>
      <c r="N34" s="529">
        <v>306212</v>
      </c>
      <c r="O34" s="553">
        <v>77066</v>
      </c>
      <c r="P34" s="553">
        <v>117822</v>
      </c>
      <c r="Q34" s="553">
        <v>31106</v>
      </c>
      <c r="R34" s="553">
        <v>80218</v>
      </c>
      <c r="S34" s="554"/>
      <c r="T34" s="555">
        <v>251164</v>
      </c>
      <c r="U34" s="555">
        <v>57539</v>
      </c>
      <c r="V34" s="555">
        <v>114345</v>
      </c>
      <c r="W34" s="555">
        <v>20387</v>
      </c>
      <c r="X34" s="555">
        <v>58893</v>
      </c>
      <c r="Z34" s="552">
        <v>416270.76220346597</v>
      </c>
      <c r="AA34" s="552">
        <v>92803.955253690976</v>
      </c>
      <c r="AB34" s="552">
        <v>185878.43116212581</v>
      </c>
      <c r="AC34" s="552">
        <v>67079.593763673591</v>
      </c>
      <c r="AD34" s="552">
        <v>70508.782040975551</v>
      </c>
    </row>
    <row r="35" spans="1:30" s="34" customFormat="1" ht="15.95" customHeight="1" x14ac:dyDescent="0.3">
      <c r="A35" s="530" t="s">
        <v>37</v>
      </c>
      <c r="B35" s="529">
        <v>830537</v>
      </c>
      <c r="C35" s="553">
        <v>543372</v>
      </c>
      <c r="D35" s="553">
        <v>57829</v>
      </c>
      <c r="E35" s="553">
        <v>229336</v>
      </c>
      <c r="F35" s="553" t="s">
        <v>47</v>
      </c>
      <c r="G35" s="554"/>
      <c r="H35" s="529">
        <v>734180</v>
      </c>
      <c r="I35" s="553">
        <v>444616</v>
      </c>
      <c r="J35" s="553">
        <v>65356</v>
      </c>
      <c r="K35" s="553">
        <v>224208</v>
      </c>
      <c r="L35" s="553" t="s">
        <v>47</v>
      </c>
      <c r="M35" s="554"/>
      <c r="N35" s="529">
        <v>716150</v>
      </c>
      <c r="O35" s="553">
        <v>436691</v>
      </c>
      <c r="P35" s="553">
        <v>57126</v>
      </c>
      <c r="Q35" s="553">
        <v>222333</v>
      </c>
      <c r="R35" s="553" t="s">
        <v>47</v>
      </c>
      <c r="S35" s="554"/>
      <c r="T35" s="555">
        <v>605444</v>
      </c>
      <c r="U35" s="555">
        <v>435176</v>
      </c>
      <c r="V35" s="555">
        <v>40321</v>
      </c>
      <c r="W35" s="555">
        <v>129947</v>
      </c>
      <c r="X35" s="555" t="s">
        <v>47</v>
      </c>
      <c r="Z35" s="552">
        <v>927688.17461637768</v>
      </c>
      <c r="AA35" s="552">
        <v>561008.59396327019</v>
      </c>
      <c r="AB35" s="552">
        <v>47905.84555357846</v>
      </c>
      <c r="AC35" s="552">
        <v>318773.73519876791</v>
      </c>
      <c r="AD35" s="555" t="s">
        <v>47</v>
      </c>
    </row>
    <row r="36" spans="1:30" s="34" customFormat="1" ht="15.95" customHeight="1" x14ac:dyDescent="0.3">
      <c r="A36" s="530" t="s">
        <v>38</v>
      </c>
      <c r="B36" s="529">
        <v>102808</v>
      </c>
      <c r="C36" s="553">
        <v>34148</v>
      </c>
      <c r="D36" s="553">
        <v>3981</v>
      </c>
      <c r="E36" s="553">
        <v>61133</v>
      </c>
      <c r="F36" s="553">
        <v>3546</v>
      </c>
      <c r="G36" s="554"/>
      <c r="H36" s="529">
        <v>72180</v>
      </c>
      <c r="I36" s="553">
        <v>37371</v>
      </c>
      <c r="J36" s="553">
        <v>3890</v>
      </c>
      <c r="K36" s="553">
        <v>27765</v>
      </c>
      <c r="L36" s="553">
        <v>3154</v>
      </c>
      <c r="M36" s="554"/>
      <c r="N36" s="529">
        <v>71472</v>
      </c>
      <c r="O36" s="553">
        <v>37015</v>
      </c>
      <c r="P36" s="553">
        <v>3972</v>
      </c>
      <c r="Q36" s="553">
        <v>27724</v>
      </c>
      <c r="R36" s="553">
        <v>2761</v>
      </c>
      <c r="S36" s="554"/>
      <c r="T36" s="555">
        <v>64970</v>
      </c>
      <c r="U36" s="555">
        <v>33594</v>
      </c>
      <c r="V36" s="555">
        <v>3828</v>
      </c>
      <c r="W36" s="555">
        <v>24935</v>
      </c>
      <c r="X36" s="555">
        <v>2613</v>
      </c>
      <c r="Z36" s="552">
        <v>70188.915959825899</v>
      </c>
      <c r="AA36" s="552">
        <v>38171.768968985896</v>
      </c>
      <c r="AB36" s="552">
        <v>4237.7730795422613</v>
      </c>
      <c r="AC36" s="552">
        <v>25696.19795787898</v>
      </c>
      <c r="AD36" s="552">
        <v>2083.1759534188009</v>
      </c>
    </row>
    <row r="37" spans="1:30" s="34" customFormat="1" ht="15.95" customHeight="1" x14ac:dyDescent="0.3">
      <c r="A37" s="530" t="s">
        <v>39</v>
      </c>
      <c r="B37" s="529">
        <v>20742</v>
      </c>
      <c r="C37" s="553">
        <v>15152</v>
      </c>
      <c r="D37" s="553">
        <v>2001</v>
      </c>
      <c r="E37" s="553">
        <v>3589</v>
      </c>
      <c r="F37" s="553" t="s">
        <v>47</v>
      </c>
      <c r="G37" s="554"/>
      <c r="H37" s="529">
        <v>23397</v>
      </c>
      <c r="I37" s="553">
        <v>14016</v>
      </c>
      <c r="J37" s="553">
        <v>7399</v>
      </c>
      <c r="K37" s="553">
        <v>1982</v>
      </c>
      <c r="L37" s="553" t="s">
        <v>47</v>
      </c>
      <c r="M37" s="554"/>
      <c r="N37" s="529">
        <v>23672</v>
      </c>
      <c r="O37" s="553">
        <v>12156</v>
      </c>
      <c r="P37" s="553">
        <v>7458</v>
      </c>
      <c r="Q37" s="553">
        <v>4058</v>
      </c>
      <c r="R37" s="553" t="s">
        <v>47</v>
      </c>
      <c r="S37" s="554"/>
      <c r="T37" s="555">
        <v>22510</v>
      </c>
      <c r="U37" s="555">
        <v>11979</v>
      </c>
      <c r="V37" s="555">
        <v>5977</v>
      </c>
      <c r="W37" s="555">
        <v>4554</v>
      </c>
      <c r="X37" s="555" t="s">
        <v>47</v>
      </c>
      <c r="Z37" s="552">
        <v>23817.85270598203</v>
      </c>
      <c r="AA37" s="552">
        <v>17005.471637404884</v>
      </c>
      <c r="AB37" s="552">
        <v>3980.7787996337283</v>
      </c>
      <c r="AC37" s="552">
        <v>2831.6022689434158</v>
      </c>
      <c r="AD37" s="555" t="s">
        <v>47</v>
      </c>
    </row>
    <row r="38" spans="1:30" s="34" customFormat="1" ht="15.95" customHeight="1" x14ac:dyDescent="0.3">
      <c r="A38" s="533" t="s">
        <v>40</v>
      </c>
      <c r="B38" s="556">
        <v>225781</v>
      </c>
      <c r="C38" s="557">
        <v>133676</v>
      </c>
      <c r="D38" s="557">
        <v>21347</v>
      </c>
      <c r="E38" s="557">
        <v>70758</v>
      </c>
      <c r="F38" s="557" t="s">
        <v>47</v>
      </c>
      <c r="G38" s="558"/>
      <c r="H38" s="556">
        <v>298799</v>
      </c>
      <c r="I38" s="557">
        <v>161405</v>
      </c>
      <c r="J38" s="557">
        <v>22332</v>
      </c>
      <c r="K38" s="557">
        <v>115062</v>
      </c>
      <c r="L38" s="557" t="s">
        <v>47</v>
      </c>
      <c r="M38" s="558"/>
      <c r="N38" s="556">
        <v>344702</v>
      </c>
      <c r="O38" s="557">
        <v>193895</v>
      </c>
      <c r="P38" s="557">
        <v>18813</v>
      </c>
      <c r="Q38" s="557">
        <v>131994</v>
      </c>
      <c r="R38" s="557" t="s">
        <v>47</v>
      </c>
      <c r="S38" s="558"/>
      <c r="T38" s="559">
        <v>249073</v>
      </c>
      <c r="U38" s="559">
        <v>159108</v>
      </c>
      <c r="V38" s="559">
        <v>15582</v>
      </c>
      <c r="W38" s="559">
        <v>74383</v>
      </c>
      <c r="X38" s="559" t="s">
        <v>47</v>
      </c>
      <c r="Y38" s="559"/>
      <c r="Z38" s="559">
        <v>332902.32692890067</v>
      </c>
      <c r="AA38" s="559">
        <v>181431.86575812372</v>
      </c>
      <c r="AB38" s="559">
        <v>18166.995628134904</v>
      </c>
      <c r="AC38" s="559">
        <v>133303.46549506232</v>
      </c>
      <c r="AD38" s="559" t="s">
        <v>47</v>
      </c>
    </row>
    <row r="39" spans="1:30" ht="12" customHeight="1" x14ac:dyDescent="0.3">
      <c r="A39" s="1068" t="s">
        <v>842</v>
      </c>
      <c r="B39" s="1069"/>
      <c r="C39" s="1069"/>
      <c r="D39" s="1069"/>
      <c r="E39" s="1069"/>
      <c r="F39" s="1069"/>
      <c r="G39" s="1069"/>
      <c r="H39" s="1069"/>
      <c r="I39" s="1069"/>
      <c r="J39" s="1069"/>
      <c r="K39" s="1069"/>
      <c r="L39" s="1069"/>
      <c r="M39" s="1069"/>
      <c r="N39" s="1069"/>
      <c r="O39" s="1069"/>
      <c r="P39" s="1069"/>
      <c r="Q39" s="1069"/>
      <c r="R39" s="1069"/>
      <c r="S39" s="1069"/>
      <c r="T39" s="1069"/>
      <c r="U39" s="1069"/>
      <c r="V39" s="1069"/>
      <c r="W39" s="1069"/>
      <c r="X39" s="1069"/>
      <c r="Y39" s="1069"/>
      <c r="Z39" s="1069"/>
      <c r="AA39" s="1069"/>
      <c r="AB39" s="1069"/>
      <c r="AC39" s="1069"/>
      <c r="AD39" s="1069"/>
    </row>
    <row r="40" spans="1:30" s="229" customFormat="1" ht="12" customHeight="1" x14ac:dyDescent="0.25">
      <c r="A40" s="227" t="s">
        <v>841</v>
      </c>
      <c r="B40" s="228"/>
      <c r="C40" s="228"/>
      <c r="D40" s="228"/>
      <c r="E40" s="228"/>
      <c r="F40" s="228"/>
      <c r="G40" s="228"/>
      <c r="H40" s="228"/>
      <c r="I40" s="228"/>
      <c r="J40" s="228"/>
      <c r="K40" s="228"/>
      <c r="L40" s="228"/>
      <c r="M40" s="228"/>
      <c r="N40" s="228"/>
      <c r="O40" s="228"/>
      <c r="P40" s="228"/>
    </row>
  </sheetData>
  <mergeCells count="9">
    <mergeCell ref="A39:AD39"/>
    <mergeCell ref="A1:AD1"/>
    <mergeCell ref="A2:AD2"/>
    <mergeCell ref="Z4:AD4"/>
    <mergeCell ref="A4:A5"/>
    <mergeCell ref="B4:F4"/>
    <mergeCell ref="H4:L4"/>
    <mergeCell ref="N4:R4"/>
    <mergeCell ref="T4:X4"/>
  </mergeCells>
  <printOptions horizontalCentered="1"/>
  <pageMargins left="0.70866141732283472" right="0.51181102362204722" top="0.74803149606299213" bottom="0.74803149606299213" header="0.31496062992125984" footer="0.31496062992125984"/>
  <pageSetup paperSize="9" scale="89" orientation="portrait" r:id="rId1"/>
  <ignoredErrors>
    <ignoredError sqref="N4:X4 Z4:AD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AT41"/>
  <sheetViews>
    <sheetView showGridLines="0" topLeftCell="AL1" zoomScaleNormal="100" workbookViewId="0">
      <selection activeCell="AL4" sqref="AL4:AT41"/>
    </sheetView>
  </sheetViews>
  <sheetFormatPr baseColWidth="10" defaultColWidth="11.28515625" defaultRowHeight="12.75" customHeight="1" x14ac:dyDescent="0.3"/>
  <cols>
    <col min="1" max="1" width="13.28515625" style="223" hidden="1" customWidth="1"/>
    <col min="2" max="2" width="8.28515625" style="224" hidden="1" customWidth="1"/>
    <col min="3" max="3" width="1.28515625" style="223" hidden="1" customWidth="1"/>
    <col min="4" max="4" width="9.28515625" style="224" hidden="1" customWidth="1"/>
    <col min="5" max="5" width="1.28515625" style="224" hidden="1" customWidth="1"/>
    <col min="6" max="7" width="9.28515625" style="224" hidden="1" customWidth="1"/>
    <col min="8" max="8" width="1.28515625" style="224" hidden="1" customWidth="1"/>
    <col min="9" max="9" width="7.7109375" style="224" hidden="1" customWidth="1"/>
    <col min="10" max="10" width="1.28515625" style="223" hidden="1" customWidth="1"/>
    <col min="11" max="11" width="7.7109375" style="223" hidden="1" customWidth="1"/>
    <col min="12" max="12" width="1.28515625" style="223" hidden="1" customWidth="1"/>
    <col min="13" max="13" width="7.7109375" style="225" hidden="1" customWidth="1"/>
    <col min="14" max="14" width="13.28515625" style="223" hidden="1" customWidth="1"/>
    <col min="15" max="15" width="8" style="224" hidden="1" customWidth="1"/>
    <col min="16" max="16" width="1.28515625" style="223" hidden="1" customWidth="1"/>
    <col min="17" max="17" width="9.28515625" style="224" hidden="1" customWidth="1"/>
    <col min="18" max="18" width="1.28515625" style="224" hidden="1" customWidth="1"/>
    <col min="19" max="20" width="9.28515625" style="224" hidden="1" customWidth="1"/>
    <col min="21" max="21" width="1.28515625" style="224" hidden="1" customWidth="1"/>
    <col min="22" max="22" width="7.7109375" style="224" hidden="1" customWidth="1"/>
    <col min="23" max="23" width="1.28515625" style="223" hidden="1" customWidth="1"/>
    <col min="24" max="24" width="7.7109375" style="223" hidden="1" customWidth="1"/>
    <col min="25" max="25" width="1.28515625" style="223" hidden="1" customWidth="1"/>
    <col min="26" max="26" width="7.7109375" style="223" hidden="1" customWidth="1"/>
    <col min="27" max="27" width="7.7109375" style="93" hidden="1" customWidth="1"/>
    <col min="28" max="28" width="18" style="93" hidden="1" customWidth="1"/>
    <col min="29" max="29" width="6.85546875" style="226" hidden="1" customWidth="1"/>
    <col min="30" max="30" width="8.5703125" style="226" hidden="1" customWidth="1"/>
    <col min="31" max="31" width="9.42578125" style="226" hidden="1" customWidth="1"/>
    <col min="32" max="32" width="7.28515625" style="226" hidden="1" customWidth="1"/>
    <col min="33" max="33" width="1.28515625" style="226" hidden="1" customWidth="1"/>
    <col min="34" max="34" width="6.85546875" style="226" hidden="1" customWidth="1"/>
    <col min="35" max="35" width="9.7109375" style="93" hidden="1" customWidth="1"/>
    <col min="36" max="36" width="9.42578125" style="93" hidden="1" customWidth="1"/>
    <col min="37" max="37" width="5.5703125" style="93" hidden="1" customWidth="1"/>
    <col min="38" max="38" width="15.85546875" style="93" customWidth="1"/>
    <col min="39" max="39" width="9.85546875" style="93" customWidth="1"/>
    <col min="40" max="40" width="13" style="93" customWidth="1"/>
    <col min="41" max="41" width="12.42578125" style="93" customWidth="1"/>
    <col min="42" max="42" width="9.85546875" style="93" customWidth="1"/>
    <col min="43" max="43" width="1.7109375" style="93" customWidth="1"/>
    <col min="44" max="44" width="9.85546875" style="93" customWidth="1"/>
    <col min="45" max="45" width="13" style="93" customWidth="1"/>
    <col min="46" max="46" width="12.42578125" style="93" customWidth="1"/>
    <col min="47" max="16384" width="11.28515625" style="93"/>
  </cols>
  <sheetData>
    <row r="1" spans="1:46" ht="12.75" customHeight="1" x14ac:dyDescent="0.3">
      <c r="A1" s="1073" t="s">
        <v>48</v>
      </c>
      <c r="B1" s="1073"/>
      <c r="C1" s="1073"/>
      <c r="D1" s="1073"/>
      <c r="E1" s="1073"/>
      <c r="F1" s="1073"/>
      <c r="G1" s="1073"/>
      <c r="H1" s="1073"/>
      <c r="I1" s="1073"/>
      <c r="J1" s="1073"/>
      <c r="K1" s="1073"/>
      <c r="L1" s="1073"/>
      <c r="M1" s="1073"/>
      <c r="N1" s="1073" t="s">
        <v>48</v>
      </c>
      <c r="O1" s="1073"/>
      <c r="P1" s="1073"/>
      <c r="Q1" s="1073"/>
      <c r="R1" s="1073"/>
      <c r="S1" s="1073"/>
      <c r="T1" s="1073"/>
      <c r="U1" s="1073"/>
      <c r="V1" s="1073"/>
      <c r="W1" s="1073"/>
      <c r="X1" s="1073"/>
      <c r="Y1" s="1073"/>
      <c r="Z1" s="1073"/>
      <c r="AB1" s="1070" t="s">
        <v>773</v>
      </c>
      <c r="AC1" s="1070"/>
      <c r="AD1" s="1070"/>
      <c r="AE1" s="1070"/>
      <c r="AF1" s="1070"/>
      <c r="AG1" s="1070"/>
      <c r="AH1" s="1070"/>
      <c r="AI1" s="1070"/>
      <c r="AJ1" s="1070"/>
      <c r="AL1" s="1070" t="s">
        <v>844</v>
      </c>
      <c r="AM1" s="1070"/>
      <c r="AN1" s="1070"/>
      <c r="AO1" s="1070"/>
      <c r="AP1" s="1070"/>
      <c r="AQ1" s="1070"/>
      <c r="AR1" s="1070"/>
      <c r="AS1" s="1070"/>
      <c r="AT1" s="1070"/>
    </row>
    <row r="2" spans="1:46" ht="12.75" customHeight="1" x14ac:dyDescent="0.3">
      <c r="A2" s="1074" t="s">
        <v>49</v>
      </c>
      <c r="B2" s="1074"/>
      <c r="C2" s="1074"/>
      <c r="D2" s="1074"/>
      <c r="E2" s="1074"/>
      <c r="F2" s="1074"/>
      <c r="G2" s="1074"/>
      <c r="H2" s="1074"/>
      <c r="I2" s="1074"/>
      <c r="J2" s="1074"/>
      <c r="K2" s="1074"/>
      <c r="L2" s="1074"/>
      <c r="M2" s="1074"/>
      <c r="N2" s="1074" t="s">
        <v>49</v>
      </c>
      <c r="O2" s="1074"/>
      <c r="P2" s="1074"/>
      <c r="Q2" s="1074"/>
      <c r="R2" s="1074"/>
      <c r="S2" s="1074"/>
      <c r="T2" s="1074"/>
      <c r="U2" s="1074"/>
      <c r="V2" s="1074"/>
      <c r="W2" s="1074"/>
      <c r="X2" s="1074"/>
      <c r="Y2" s="1074"/>
      <c r="Z2" s="1074"/>
      <c r="AB2" s="1071" t="s">
        <v>49</v>
      </c>
      <c r="AC2" s="1071"/>
      <c r="AD2" s="1071"/>
      <c r="AE2" s="1071"/>
      <c r="AF2" s="1071"/>
      <c r="AG2" s="1071"/>
      <c r="AH2" s="1071"/>
      <c r="AI2" s="1071"/>
      <c r="AJ2" s="1071"/>
      <c r="AL2" s="1071" t="s">
        <v>49</v>
      </c>
      <c r="AM2" s="1071"/>
      <c r="AN2" s="1071"/>
      <c r="AO2" s="1071"/>
      <c r="AP2" s="1071"/>
      <c r="AQ2" s="1071"/>
      <c r="AR2" s="1071"/>
      <c r="AS2" s="1071"/>
      <c r="AT2" s="1071"/>
    </row>
    <row r="3" spans="1:46" s="86" customFormat="1" ht="12.75" customHeight="1" x14ac:dyDescent="0.3">
      <c r="A3" s="198"/>
      <c r="B3" s="199"/>
      <c r="C3" s="199"/>
      <c r="D3" s="199"/>
      <c r="E3" s="199"/>
      <c r="F3" s="199"/>
      <c r="G3" s="199"/>
      <c r="H3" s="199"/>
      <c r="I3" s="199"/>
      <c r="J3" s="199"/>
      <c r="K3" s="199"/>
      <c r="L3" s="199"/>
      <c r="M3" s="199"/>
      <c r="N3" s="199"/>
      <c r="O3" s="199"/>
      <c r="P3" s="199"/>
      <c r="Q3" s="199"/>
      <c r="R3" s="199"/>
      <c r="S3" s="199"/>
      <c r="T3" s="199"/>
      <c r="U3" s="199"/>
      <c r="V3" s="199"/>
      <c r="W3" s="199"/>
      <c r="X3" s="199"/>
      <c r="Y3" s="199"/>
      <c r="Z3" s="200" t="s">
        <v>50</v>
      </c>
      <c r="AB3" s="242"/>
      <c r="AC3" s="242"/>
      <c r="AD3" s="242"/>
      <c r="AE3" s="242"/>
      <c r="AF3" s="242"/>
      <c r="AG3" s="242"/>
      <c r="AH3" s="242"/>
      <c r="AI3" s="242"/>
      <c r="AJ3" s="142"/>
      <c r="AL3" s="483"/>
      <c r="AM3" s="483"/>
      <c r="AN3" s="483"/>
      <c r="AO3" s="483"/>
      <c r="AP3" s="483"/>
      <c r="AQ3" s="483"/>
      <c r="AR3" s="483"/>
      <c r="AS3" s="483"/>
      <c r="AT3" s="344"/>
    </row>
    <row r="4" spans="1:46" s="177" customFormat="1" ht="24" customHeight="1" x14ac:dyDescent="0.3">
      <c r="A4" s="1075" t="s">
        <v>4</v>
      </c>
      <c r="B4" s="1077" t="s">
        <v>51</v>
      </c>
      <c r="C4" s="1077"/>
      <c r="D4" s="1072" t="s">
        <v>52</v>
      </c>
      <c r="E4" s="1072"/>
      <c r="F4" s="1072"/>
      <c r="G4" s="1072"/>
      <c r="H4" s="201"/>
      <c r="I4" s="1077" t="s">
        <v>51</v>
      </c>
      <c r="J4" s="201"/>
      <c r="K4" s="1072" t="s">
        <v>53</v>
      </c>
      <c r="L4" s="1072"/>
      <c r="M4" s="1072"/>
      <c r="N4" s="1075" t="s">
        <v>4</v>
      </c>
      <c r="O4" s="1077" t="s">
        <v>51</v>
      </c>
      <c r="P4" s="1077"/>
      <c r="Q4" s="1072" t="s">
        <v>52</v>
      </c>
      <c r="R4" s="1072"/>
      <c r="S4" s="1072"/>
      <c r="T4" s="1072"/>
      <c r="U4" s="201"/>
      <c r="V4" s="1077" t="s">
        <v>51</v>
      </c>
      <c r="W4" s="201"/>
      <c r="X4" s="1072" t="s">
        <v>53</v>
      </c>
      <c r="Y4" s="1072"/>
      <c r="Z4" s="1072"/>
      <c r="AB4" s="1079" t="s">
        <v>4</v>
      </c>
      <c r="AC4" s="1081" t="s">
        <v>52</v>
      </c>
      <c r="AD4" s="1081"/>
      <c r="AE4" s="1081"/>
      <c r="AF4" s="1081"/>
      <c r="AG4" s="330"/>
      <c r="AH4" s="1081" t="s">
        <v>53</v>
      </c>
      <c r="AI4" s="1081"/>
      <c r="AJ4" s="1081"/>
      <c r="AL4" s="1065" t="s">
        <v>4</v>
      </c>
      <c r="AM4" s="1083" t="s">
        <v>52</v>
      </c>
      <c r="AN4" s="1083"/>
      <c r="AO4" s="1083"/>
      <c r="AP4" s="1083"/>
      <c r="AQ4" s="560"/>
      <c r="AR4" s="1083" t="s">
        <v>53</v>
      </c>
      <c r="AS4" s="1083"/>
      <c r="AT4" s="1083"/>
    </row>
    <row r="5" spans="1:46" s="177" customFormat="1" ht="37.5" customHeight="1" x14ac:dyDescent="0.3">
      <c r="A5" s="1076"/>
      <c r="B5" s="1078"/>
      <c r="C5" s="1078"/>
      <c r="D5" s="202" t="s">
        <v>54</v>
      </c>
      <c r="E5" s="202"/>
      <c r="F5" s="202" t="s">
        <v>55</v>
      </c>
      <c r="G5" s="202" t="s">
        <v>56</v>
      </c>
      <c r="H5" s="203"/>
      <c r="I5" s="1078"/>
      <c r="J5" s="203"/>
      <c r="K5" s="202" t="s">
        <v>724</v>
      </c>
      <c r="L5" s="202"/>
      <c r="M5" s="202" t="s">
        <v>55</v>
      </c>
      <c r="N5" s="1076"/>
      <c r="O5" s="1078"/>
      <c r="P5" s="1078"/>
      <c r="Q5" s="202" t="s">
        <v>54</v>
      </c>
      <c r="R5" s="202"/>
      <c r="S5" s="202" t="s">
        <v>55</v>
      </c>
      <c r="T5" s="202" t="s">
        <v>56</v>
      </c>
      <c r="U5" s="203"/>
      <c r="V5" s="1078"/>
      <c r="W5" s="203"/>
      <c r="X5" s="202" t="s">
        <v>724</v>
      </c>
      <c r="Y5" s="202"/>
      <c r="Z5" s="202" t="s">
        <v>55</v>
      </c>
      <c r="AB5" s="1080"/>
      <c r="AC5" s="331" t="s">
        <v>51</v>
      </c>
      <c r="AD5" s="332" t="s">
        <v>54</v>
      </c>
      <c r="AE5" s="332" t="s">
        <v>55</v>
      </c>
      <c r="AF5" s="332" t="s">
        <v>56</v>
      </c>
      <c r="AG5" s="332"/>
      <c r="AH5" s="331" t="s">
        <v>51</v>
      </c>
      <c r="AI5" s="332" t="s">
        <v>778</v>
      </c>
      <c r="AJ5" s="332" t="s">
        <v>55</v>
      </c>
      <c r="AL5" s="1082"/>
      <c r="AM5" s="561" t="s">
        <v>51</v>
      </c>
      <c r="AN5" s="562" t="s">
        <v>54</v>
      </c>
      <c r="AO5" s="562" t="s">
        <v>55</v>
      </c>
      <c r="AP5" s="562" t="s">
        <v>56</v>
      </c>
      <c r="AQ5" s="562"/>
      <c r="AR5" s="561" t="s">
        <v>51</v>
      </c>
      <c r="AS5" s="562" t="s">
        <v>897</v>
      </c>
      <c r="AT5" s="562" t="s">
        <v>55</v>
      </c>
    </row>
    <row r="6" spans="1:46" s="210" customFormat="1" ht="12.75" hidden="1" customHeight="1" x14ac:dyDescent="0.25">
      <c r="A6" s="204">
        <v>2017</v>
      </c>
      <c r="B6" s="205"/>
      <c r="C6" s="206"/>
      <c r="D6" s="205"/>
      <c r="E6" s="207"/>
      <c r="F6" s="205"/>
      <c r="G6" s="205"/>
      <c r="H6" s="208"/>
      <c r="I6" s="205"/>
      <c r="J6" s="205"/>
      <c r="K6" s="206"/>
      <c r="L6" s="209"/>
      <c r="M6" s="206"/>
      <c r="N6" s="204">
        <v>2018</v>
      </c>
      <c r="O6" s="209"/>
      <c r="P6" s="209"/>
      <c r="Q6" s="209"/>
      <c r="R6" s="209"/>
      <c r="S6" s="209"/>
      <c r="T6" s="209"/>
      <c r="U6" s="209"/>
      <c r="V6" s="209"/>
      <c r="W6" s="209"/>
      <c r="X6" s="209"/>
      <c r="Y6" s="209"/>
      <c r="Z6" s="209"/>
      <c r="AB6" s="333"/>
      <c r="AC6" s="11"/>
      <c r="AD6" s="11"/>
      <c r="AE6" s="11"/>
      <c r="AF6" s="11"/>
      <c r="AG6" s="11"/>
      <c r="AH6" s="11"/>
      <c r="AI6" s="11"/>
      <c r="AJ6" s="11"/>
      <c r="AM6" s="484"/>
      <c r="AN6" s="485"/>
      <c r="AO6" s="485"/>
      <c r="AP6" s="485"/>
      <c r="AQ6" s="485"/>
      <c r="AR6" s="485"/>
      <c r="AS6" s="485"/>
      <c r="AT6" s="485"/>
    </row>
    <row r="7" spans="1:46" s="210" customFormat="1" ht="15.95" customHeight="1" x14ac:dyDescent="0.25">
      <c r="A7" s="211" t="s">
        <v>57</v>
      </c>
      <c r="B7" s="212">
        <v>3302600</v>
      </c>
      <c r="C7" s="212"/>
      <c r="D7" s="212">
        <v>989173</v>
      </c>
      <c r="E7" s="212"/>
      <c r="F7" s="212">
        <v>2203668</v>
      </c>
      <c r="G7" s="212">
        <v>109759</v>
      </c>
      <c r="H7" s="212"/>
      <c r="I7" s="212">
        <v>3719768</v>
      </c>
      <c r="J7" s="212"/>
      <c r="K7" s="212">
        <v>1611682</v>
      </c>
      <c r="L7" s="212"/>
      <c r="M7" s="212">
        <v>2108086</v>
      </c>
      <c r="N7" s="211" t="s">
        <v>57</v>
      </c>
      <c r="O7" s="213">
        <v>3425873</v>
      </c>
      <c r="P7" s="206"/>
      <c r="Q7" s="205">
        <v>988030</v>
      </c>
      <c r="R7" s="214"/>
      <c r="S7" s="205">
        <v>2326692</v>
      </c>
      <c r="T7" s="205">
        <v>111151</v>
      </c>
      <c r="U7" s="208"/>
      <c r="V7" s="213">
        <v>3911649</v>
      </c>
      <c r="W7" s="213"/>
      <c r="X7" s="213">
        <v>1668760</v>
      </c>
      <c r="Y7" s="213"/>
      <c r="Z7" s="213">
        <v>2242889</v>
      </c>
      <c r="AB7" s="334" t="s">
        <v>57</v>
      </c>
      <c r="AC7" s="335">
        <v>3389891</v>
      </c>
      <c r="AD7" s="336">
        <v>872975</v>
      </c>
      <c r="AE7" s="336">
        <v>2362355</v>
      </c>
      <c r="AF7" s="336">
        <v>154561</v>
      </c>
      <c r="AG7" s="337"/>
      <c r="AH7" s="335">
        <v>3990022</v>
      </c>
      <c r="AI7" s="335">
        <v>1596681</v>
      </c>
      <c r="AJ7" s="335">
        <v>2393341</v>
      </c>
      <c r="AL7" s="563" t="s">
        <v>57</v>
      </c>
      <c r="AM7" s="564">
        <v>3952907.0912673925</v>
      </c>
      <c r="AN7" s="564">
        <v>978104.62534708553</v>
      </c>
      <c r="AO7" s="564">
        <v>2796836.1744996975</v>
      </c>
      <c r="AP7" s="564">
        <v>177966.29142063129</v>
      </c>
      <c r="AQ7" s="564"/>
      <c r="AR7" s="564">
        <v>4222137.8125</v>
      </c>
      <c r="AS7" s="564">
        <v>1687496.1881187758</v>
      </c>
      <c r="AT7" s="564">
        <v>2534641.6103021936</v>
      </c>
    </row>
    <row r="8" spans="1:46" s="210" customFormat="1" ht="12.75" hidden="1" customHeight="1" x14ac:dyDescent="0.25">
      <c r="A8" s="211"/>
      <c r="B8" s="212"/>
      <c r="C8" s="212"/>
      <c r="D8" s="212"/>
      <c r="E8" s="212"/>
      <c r="F8" s="212"/>
      <c r="G8" s="212"/>
      <c r="H8" s="215"/>
      <c r="I8" s="216"/>
      <c r="J8" s="216"/>
      <c r="K8" s="216"/>
      <c r="L8" s="216"/>
      <c r="M8" s="216"/>
      <c r="N8" s="211"/>
      <c r="O8" s="215"/>
      <c r="P8" s="215"/>
      <c r="Q8" s="215"/>
      <c r="R8" s="215"/>
      <c r="S8" s="215"/>
      <c r="T8" s="215"/>
      <c r="U8" s="215"/>
      <c r="V8" s="217"/>
      <c r="W8" s="217"/>
      <c r="X8" s="217"/>
      <c r="Y8" s="217"/>
      <c r="Z8" s="217"/>
      <c r="AB8" s="338"/>
      <c r="AC8" s="339"/>
      <c r="AD8" s="339"/>
      <c r="AE8" s="339"/>
      <c r="AF8" s="339"/>
      <c r="AG8" s="339"/>
      <c r="AH8" s="12"/>
      <c r="AI8" s="12"/>
      <c r="AJ8" s="12"/>
      <c r="AL8" s="565"/>
      <c r="AM8" s="486"/>
      <c r="AN8" s="486"/>
      <c r="AO8" s="486"/>
      <c r="AP8" s="486"/>
    </row>
    <row r="9" spans="1:46" s="210" customFormat="1" ht="15.95" customHeight="1" x14ac:dyDescent="0.25">
      <c r="A9" s="211" t="s">
        <v>12</v>
      </c>
      <c r="B9" s="216"/>
      <c r="C9" s="216"/>
      <c r="D9" s="216"/>
      <c r="E9" s="216"/>
      <c r="F9" s="216"/>
      <c r="G9" s="216"/>
      <c r="H9" s="217"/>
      <c r="I9" s="216"/>
      <c r="J9" s="216"/>
      <c r="K9" s="216"/>
      <c r="L9" s="216"/>
      <c r="M9" s="216"/>
      <c r="N9" s="211" t="s">
        <v>12</v>
      </c>
      <c r="O9" s="217"/>
      <c r="P9" s="217"/>
      <c r="Q9" s="217"/>
      <c r="R9" s="217"/>
      <c r="S9" s="217"/>
      <c r="T9" s="217"/>
      <c r="U9" s="217"/>
      <c r="V9" s="217"/>
      <c r="W9" s="217"/>
      <c r="X9" s="217"/>
      <c r="Y9" s="217"/>
      <c r="Z9" s="217"/>
      <c r="AB9" s="338" t="s">
        <v>12</v>
      </c>
      <c r="AC9" s="12"/>
      <c r="AD9" s="12"/>
      <c r="AE9" s="12"/>
      <c r="AF9" s="12"/>
      <c r="AG9" s="12"/>
      <c r="AH9" s="12"/>
      <c r="AI9" s="12"/>
      <c r="AJ9" s="12"/>
      <c r="AL9" s="565" t="s">
        <v>12</v>
      </c>
      <c r="AM9" s="487"/>
      <c r="AN9" s="487"/>
      <c r="AO9" s="487"/>
      <c r="AP9" s="487"/>
      <c r="AQ9" s="487"/>
      <c r="AR9" s="487"/>
      <c r="AS9" s="487"/>
      <c r="AT9" s="487"/>
    </row>
    <row r="10" spans="1:46" s="210" customFormat="1" ht="15.95" customHeight="1" x14ac:dyDescent="0.25">
      <c r="A10" s="218" t="s">
        <v>13</v>
      </c>
      <c r="B10" s="216">
        <v>718450</v>
      </c>
      <c r="C10" s="216"/>
      <c r="D10" s="216">
        <v>413488</v>
      </c>
      <c r="E10" s="216"/>
      <c r="F10" s="216">
        <v>303806</v>
      </c>
      <c r="G10" s="216">
        <v>1156</v>
      </c>
      <c r="H10" s="217"/>
      <c r="I10" s="216">
        <v>916202</v>
      </c>
      <c r="J10" s="216"/>
      <c r="K10" s="216">
        <v>628411</v>
      </c>
      <c r="L10" s="216"/>
      <c r="M10" s="216">
        <v>287791</v>
      </c>
      <c r="N10" s="218" t="s">
        <v>13</v>
      </c>
      <c r="O10" s="217">
        <v>708044</v>
      </c>
      <c r="P10" s="217"/>
      <c r="Q10" s="217">
        <v>400258</v>
      </c>
      <c r="R10" s="217"/>
      <c r="S10" s="217">
        <v>306538</v>
      </c>
      <c r="T10" s="217">
        <v>1248</v>
      </c>
      <c r="U10" s="217"/>
      <c r="V10" s="217">
        <v>934562</v>
      </c>
      <c r="W10" s="217"/>
      <c r="X10" s="217">
        <v>645148</v>
      </c>
      <c r="Y10" s="217"/>
      <c r="Z10" s="217">
        <v>289414</v>
      </c>
      <c r="AB10" s="340" t="s">
        <v>13</v>
      </c>
      <c r="AC10" s="13">
        <v>727488</v>
      </c>
      <c r="AD10" s="13">
        <v>404270</v>
      </c>
      <c r="AE10" s="13">
        <v>313229</v>
      </c>
      <c r="AF10" s="13">
        <v>9989</v>
      </c>
      <c r="AG10" s="13"/>
      <c r="AH10" s="13">
        <v>929637</v>
      </c>
      <c r="AI10" s="13">
        <v>637799</v>
      </c>
      <c r="AJ10" s="13">
        <v>291838</v>
      </c>
      <c r="AL10" s="566" t="s">
        <v>13</v>
      </c>
      <c r="AM10" s="486">
        <v>829331.4448855127</v>
      </c>
      <c r="AN10" s="486">
        <v>451976.58229101426</v>
      </c>
      <c r="AO10" s="486">
        <v>375073.04538601375</v>
      </c>
      <c r="AP10" s="486">
        <v>2281.8172084823964</v>
      </c>
      <c r="AQ10" s="486"/>
      <c r="AR10" s="486">
        <v>735522.3125</v>
      </c>
      <c r="AS10" s="486">
        <v>530183.30110645026</v>
      </c>
      <c r="AT10" s="486">
        <v>205338.98198371855</v>
      </c>
    </row>
    <row r="11" spans="1:46" s="210" customFormat="1" ht="15.95" customHeight="1" x14ac:dyDescent="0.25">
      <c r="A11" s="218" t="s">
        <v>14</v>
      </c>
      <c r="B11" s="216">
        <v>924072</v>
      </c>
      <c r="C11" s="216"/>
      <c r="D11" s="216">
        <v>398881</v>
      </c>
      <c r="E11" s="216"/>
      <c r="F11" s="216">
        <v>440826</v>
      </c>
      <c r="G11" s="216">
        <v>84365</v>
      </c>
      <c r="H11" s="217"/>
      <c r="I11" s="216">
        <v>1172660</v>
      </c>
      <c r="J11" s="216"/>
      <c r="K11" s="216">
        <v>703134</v>
      </c>
      <c r="L11" s="216"/>
      <c r="M11" s="216">
        <v>469526</v>
      </c>
      <c r="N11" s="218" t="s">
        <v>14</v>
      </c>
      <c r="O11" s="217">
        <v>957282</v>
      </c>
      <c r="P11" s="217"/>
      <c r="Q11" s="217">
        <v>413597</v>
      </c>
      <c r="R11" s="217"/>
      <c r="S11" s="217">
        <v>466064</v>
      </c>
      <c r="T11" s="217">
        <v>77621</v>
      </c>
      <c r="U11" s="217"/>
      <c r="V11" s="217">
        <v>1247398</v>
      </c>
      <c r="W11" s="217"/>
      <c r="X11" s="217">
        <v>712922</v>
      </c>
      <c r="Y11" s="217"/>
      <c r="Z11" s="217">
        <v>534476</v>
      </c>
      <c r="AB11" s="340" t="s">
        <v>14</v>
      </c>
      <c r="AC11" s="13">
        <v>849091</v>
      </c>
      <c r="AD11" s="13">
        <v>288536</v>
      </c>
      <c r="AE11" s="13">
        <v>468918</v>
      </c>
      <c r="AF11" s="13">
        <v>91637</v>
      </c>
      <c r="AG11" s="13"/>
      <c r="AH11" s="13">
        <v>1335235</v>
      </c>
      <c r="AI11" s="13">
        <v>663578</v>
      </c>
      <c r="AJ11" s="13">
        <v>671657</v>
      </c>
      <c r="AL11" s="566" t="s">
        <v>14</v>
      </c>
      <c r="AM11" s="486">
        <v>1009329.5176625509</v>
      </c>
      <c r="AN11" s="486">
        <v>274955.78738456819</v>
      </c>
      <c r="AO11" s="486">
        <v>627384.64873354172</v>
      </c>
      <c r="AP11" s="486">
        <v>106989.08154443806</v>
      </c>
      <c r="AQ11" s="486"/>
      <c r="AR11" s="486">
        <v>1774549.875</v>
      </c>
      <c r="AS11" s="486">
        <v>334854.95843620721</v>
      </c>
      <c r="AT11" s="486">
        <v>1439694.9636445511</v>
      </c>
    </row>
    <row r="12" spans="1:46" s="210" customFormat="1" ht="15.95" customHeight="1" x14ac:dyDescent="0.25">
      <c r="A12" s="218" t="s">
        <v>15</v>
      </c>
      <c r="B12" s="216">
        <v>1660078</v>
      </c>
      <c r="C12" s="216"/>
      <c r="D12" s="216">
        <v>176804</v>
      </c>
      <c r="E12" s="216"/>
      <c r="F12" s="216">
        <v>1459036</v>
      </c>
      <c r="G12" s="216">
        <v>24238</v>
      </c>
      <c r="H12" s="217"/>
      <c r="I12" s="216">
        <v>1630906</v>
      </c>
      <c r="J12" s="216"/>
      <c r="K12" s="216">
        <v>280137</v>
      </c>
      <c r="L12" s="216"/>
      <c r="M12" s="216">
        <v>1350769</v>
      </c>
      <c r="N12" s="218" t="s">
        <v>15</v>
      </c>
      <c r="O12" s="217">
        <v>1760547</v>
      </c>
      <c r="P12" s="217"/>
      <c r="Q12" s="217">
        <v>174175</v>
      </c>
      <c r="R12" s="217"/>
      <c r="S12" s="217">
        <v>1554090</v>
      </c>
      <c r="T12" s="217">
        <v>32282</v>
      </c>
      <c r="U12" s="217"/>
      <c r="V12" s="217">
        <v>1729689</v>
      </c>
      <c r="W12" s="217"/>
      <c r="X12" s="217">
        <v>310690</v>
      </c>
      <c r="Y12" s="217"/>
      <c r="Z12" s="217">
        <v>1418999</v>
      </c>
      <c r="AB12" s="340" t="s">
        <v>15</v>
      </c>
      <c r="AC12" s="13">
        <v>1813312</v>
      </c>
      <c r="AD12" s="13">
        <v>180169</v>
      </c>
      <c r="AE12" s="13">
        <v>1580208</v>
      </c>
      <c r="AF12" s="13">
        <v>52935</v>
      </c>
      <c r="AG12" s="13"/>
      <c r="AH12" s="13">
        <v>1725150</v>
      </c>
      <c r="AI12" s="13">
        <v>295304</v>
      </c>
      <c r="AJ12" s="13">
        <v>1429846</v>
      </c>
      <c r="AL12" s="566" t="s">
        <v>15</v>
      </c>
      <c r="AM12" s="486">
        <v>2114246.1287189694</v>
      </c>
      <c r="AN12" s="486">
        <v>251172.25567141094</v>
      </c>
      <c r="AO12" s="486">
        <v>1794378.4803798706</v>
      </c>
      <c r="AP12" s="486">
        <v>68695.392667689404</v>
      </c>
      <c r="AQ12" s="486"/>
      <c r="AR12" s="486">
        <v>1712065.625</v>
      </c>
      <c r="AS12" s="486">
        <v>822457.92857611843</v>
      </c>
      <c r="AT12" s="486">
        <v>889607.66467392398</v>
      </c>
    </row>
    <row r="13" spans="1:46" s="210" customFormat="1" ht="3" customHeight="1" x14ac:dyDescent="0.25">
      <c r="A13" s="211"/>
      <c r="B13" s="216"/>
      <c r="C13" s="216"/>
      <c r="D13" s="216"/>
      <c r="E13" s="216"/>
      <c r="F13" s="216"/>
      <c r="G13" s="216"/>
      <c r="H13" s="217"/>
      <c r="I13" s="216"/>
      <c r="J13" s="216"/>
      <c r="K13" s="216"/>
      <c r="L13" s="216"/>
      <c r="M13" s="216"/>
      <c r="N13" s="211"/>
      <c r="O13" s="217"/>
      <c r="P13" s="217"/>
      <c r="Q13" s="217"/>
      <c r="R13" s="217"/>
      <c r="S13" s="217"/>
      <c r="T13" s="217"/>
      <c r="U13" s="217"/>
      <c r="V13" s="217"/>
      <c r="W13" s="217"/>
      <c r="X13" s="217"/>
      <c r="Y13" s="217"/>
      <c r="Z13" s="217"/>
      <c r="AB13" s="338"/>
      <c r="AC13" s="12"/>
      <c r="AD13" s="12"/>
      <c r="AE13" s="12"/>
      <c r="AF13" s="12"/>
      <c r="AG13" s="12"/>
      <c r="AH13" s="12"/>
      <c r="AI13" s="12"/>
      <c r="AJ13" s="12"/>
      <c r="AL13" s="565"/>
      <c r="AM13" s="486"/>
      <c r="AN13" s="486"/>
      <c r="AO13" s="486"/>
      <c r="AP13" s="486"/>
      <c r="AR13" s="486"/>
      <c r="AS13" s="486"/>
      <c r="AT13" s="486"/>
    </row>
    <row r="14" spans="1:46" s="210" customFormat="1" ht="15.95" customHeight="1" x14ac:dyDescent="0.25">
      <c r="A14" s="211" t="s">
        <v>16</v>
      </c>
      <c r="B14" s="216"/>
      <c r="C14" s="216"/>
      <c r="D14" s="216"/>
      <c r="E14" s="216"/>
      <c r="F14" s="216"/>
      <c r="G14" s="216"/>
      <c r="H14" s="217"/>
      <c r="I14" s="216"/>
      <c r="J14" s="216"/>
      <c r="K14" s="216"/>
      <c r="L14" s="216"/>
      <c r="M14" s="216"/>
      <c r="N14" s="211" t="s">
        <v>16</v>
      </c>
      <c r="O14" s="217"/>
      <c r="P14" s="217"/>
      <c r="Q14" s="217"/>
      <c r="R14" s="217"/>
      <c r="S14" s="217"/>
      <c r="T14" s="217"/>
      <c r="U14" s="217"/>
      <c r="V14" s="217"/>
      <c r="W14" s="217"/>
      <c r="X14" s="217"/>
      <c r="Y14" s="217"/>
      <c r="Z14" s="217"/>
      <c r="AB14" s="338" t="s">
        <v>16</v>
      </c>
      <c r="AC14" s="12"/>
      <c r="AD14" s="12"/>
      <c r="AE14" s="12"/>
      <c r="AF14" s="12"/>
      <c r="AG14" s="12"/>
      <c r="AH14" s="12"/>
      <c r="AI14" s="12"/>
      <c r="AJ14" s="12"/>
      <c r="AL14" s="565" t="s">
        <v>16</v>
      </c>
      <c r="AM14" s="486"/>
      <c r="AN14" s="486"/>
      <c r="AO14" s="486"/>
      <c r="AP14" s="486"/>
      <c r="AR14" s="486"/>
      <c r="AS14" s="486"/>
      <c r="AT14" s="486"/>
    </row>
    <row r="15" spans="1:46" s="210" customFormat="1" ht="15.95" customHeight="1" x14ac:dyDescent="0.25">
      <c r="A15" s="218" t="s">
        <v>17</v>
      </c>
      <c r="B15" s="216">
        <v>174166</v>
      </c>
      <c r="C15" s="216"/>
      <c r="D15" s="216">
        <v>26055</v>
      </c>
      <c r="E15" s="216"/>
      <c r="F15" s="216">
        <v>145712</v>
      </c>
      <c r="G15" s="216">
        <v>2399</v>
      </c>
      <c r="H15" s="217"/>
      <c r="I15" s="216">
        <v>219837</v>
      </c>
      <c r="J15" s="216"/>
      <c r="K15" s="216">
        <v>25964</v>
      </c>
      <c r="L15" s="216"/>
      <c r="M15" s="216">
        <v>193873</v>
      </c>
      <c r="N15" s="218" t="s">
        <v>17</v>
      </c>
      <c r="O15" s="217">
        <v>196712</v>
      </c>
      <c r="P15" s="217"/>
      <c r="Q15" s="217">
        <v>24685</v>
      </c>
      <c r="R15" s="217"/>
      <c r="S15" s="217">
        <v>166335</v>
      </c>
      <c r="T15" s="217">
        <v>5692</v>
      </c>
      <c r="U15" s="217"/>
      <c r="V15" s="217">
        <v>209379</v>
      </c>
      <c r="W15" s="217"/>
      <c r="X15" s="217">
        <v>30482</v>
      </c>
      <c r="Y15" s="217"/>
      <c r="Z15" s="217">
        <v>178897</v>
      </c>
      <c r="AB15" s="340" t="s">
        <v>17</v>
      </c>
      <c r="AC15" s="13">
        <v>214364</v>
      </c>
      <c r="AD15" s="13">
        <v>28340</v>
      </c>
      <c r="AE15" s="13">
        <v>181104</v>
      </c>
      <c r="AF15" s="13">
        <v>4920</v>
      </c>
      <c r="AG15" s="13"/>
      <c r="AH15" s="13">
        <v>232158</v>
      </c>
      <c r="AI15" s="13">
        <v>40907</v>
      </c>
      <c r="AJ15" s="13">
        <v>191251</v>
      </c>
      <c r="AL15" s="566" t="s">
        <v>17</v>
      </c>
      <c r="AM15" s="486">
        <v>216606.22593524729</v>
      </c>
      <c r="AN15" s="486">
        <v>33345.612908093222</v>
      </c>
      <c r="AO15" s="486">
        <v>177668.43162940728</v>
      </c>
      <c r="AP15" s="486">
        <v>5592.1813977466536</v>
      </c>
      <c r="AQ15" s="486"/>
      <c r="AR15" s="486">
        <v>242339.671875</v>
      </c>
      <c r="AS15" s="486">
        <v>52331.433351444983</v>
      </c>
      <c r="AT15" s="486">
        <v>190008.24585621274</v>
      </c>
    </row>
    <row r="16" spans="1:46" s="210" customFormat="1" ht="15.95" customHeight="1" x14ac:dyDescent="0.25">
      <c r="A16" s="218" t="s">
        <v>18</v>
      </c>
      <c r="B16" s="216">
        <v>117624</v>
      </c>
      <c r="C16" s="216"/>
      <c r="D16" s="216">
        <v>69185</v>
      </c>
      <c r="E16" s="216"/>
      <c r="F16" s="216">
        <v>38021</v>
      </c>
      <c r="G16" s="216">
        <v>10418</v>
      </c>
      <c r="H16" s="217"/>
      <c r="I16" s="216">
        <v>133111</v>
      </c>
      <c r="J16" s="216"/>
      <c r="K16" s="216">
        <v>96185</v>
      </c>
      <c r="L16" s="216"/>
      <c r="M16" s="216">
        <v>36926</v>
      </c>
      <c r="N16" s="218" t="s">
        <v>18</v>
      </c>
      <c r="O16" s="217">
        <v>98061</v>
      </c>
      <c r="P16" s="217"/>
      <c r="Q16" s="217">
        <v>58506</v>
      </c>
      <c r="R16" s="217"/>
      <c r="S16" s="217">
        <v>38320</v>
      </c>
      <c r="T16" s="217">
        <v>1235</v>
      </c>
      <c r="U16" s="217"/>
      <c r="V16" s="217">
        <v>110247</v>
      </c>
      <c r="W16" s="217"/>
      <c r="X16" s="217">
        <v>73948</v>
      </c>
      <c r="Y16" s="217"/>
      <c r="Z16" s="217">
        <v>36299</v>
      </c>
      <c r="AB16" s="340" t="s">
        <v>18</v>
      </c>
      <c r="AC16" s="13">
        <v>125822</v>
      </c>
      <c r="AD16" s="13">
        <v>74954</v>
      </c>
      <c r="AE16" s="13">
        <v>47665</v>
      </c>
      <c r="AF16" s="13">
        <v>3203</v>
      </c>
      <c r="AG16" s="13"/>
      <c r="AH16" s="13">
        <v>132580</v>
      </c>
      <c r="AI16" s="13">
        <v>93193</v>
      </c>
      <c r="AJ16" s="13">
        <v>39387</v>
      </c>
      <c r="AL16" s="566" t="s">
        <v>18</v>
      </c>
      <c r="AM16" s="486">
        <v>128636.16462966859</v>
      </c>
      <c r="AN16" s="486">
        <v>58684.870006484089</v>
      </c>
      <c r="AO16" s="486">
        <v>67139.507952822547</v>
      </c>
      <c r="AP16" s="486">
        <v>2811.7866703621867</v>
      </c>
      <c r="AQ16" s="486"/>
      <c r="AR16" s="486">
        <v>132502.765625</v>
      </c>
      <c r="AS16" s="486">
        <v>77392.742969686908</v>
      </c>
      <c r="AT16" s="486">
        <v>55110.023996520235</v>
      </c>
    </row>
    <row r="17" spans="1:46" s="210" customFormat="1" ht="15.95" customHeight="1" x14ac:dyDescent="0.25">
      <c r="A17" s="218" t="s">
        <v>19</v>
      </c>
      <c r="B17" s="216">
        <v>31541</v>
      </c>
      <c r="C17" s="216"/>
      <c r="D17" s="216">
        <v>24081</v>
      </c>
      <c r="E17" s="216"/>
      <c r="F17" s="216">
        <v>6264</v>
      </c>
      <c r="G17" s="216">
        <v>1196</v>
      </c>
      <c r="H17" s="217"/>
      <c r="I17" s="216">
        <v>47792</v>
      </c>
      <c r="J17" s="216"/>
      <c r="K17" s="216">
        <v>43030</v>
      </c>
      <c r="L17" s="216"/>
      <c r="M17" s="216">
        <v>4762</v>
      </c>
      <c r="N17" s="218" t="s">
        <v>19</v>
      </c>
      <c r="O17" s="217">
        <v>25070</v>
      </c>
      <c r="P17" s="217"/>
      <c r="Q17" s="217">
        <v>17418</v>
      </c>
      <c r="R17" s="217"/>
      <c r="S17" s="217">
        <v>6409</v>
      </c>
      <c r="T17" s="217">
        <v>1243</v>
      </c>
      <c r="U17" s="217"/>
      <c r="V17" s="217">
        <v>43651</v>
      </c>
      <c r="W17" s="217"/>
      <c r="X17" s="217">
        <v>38697</v>
      </c>
      <c r="Y17" s="217"/>
      <c r="Z17" s="217">
        <v>4954</v>
      </c>
      <c r="AB17" s="340" t="s">
        <v>19</v>
      </c>
      <c r="AC17" s="13">
        <v>17319</v>
      </c>
      <c r="AD17" s="13">
        <v>8037</v>
      </c>
      <c r="AE17" s="13">
        <v>7430</v>
      </c>
      <c r="AF17" s="13">
        <v>1852</v>
      </c>
      <c r="AG17" s="13"/>
      <c r="AH17" s="13">
        <v>44629</v>
      </c>
      <c r="AI17" s="13">
        <v>38875</v>
      </c>
      <c r="AJ17" s="13">
        <v>5754</v>
      </c>
      <c r="AL17" s="566" t="s">
        <v>19</v>
      </c>
      <c r="AM17" s="486">
        <v>21270.84975142168</v>
      </c>
      <c r="AN17" s="486">
        <v>7771.8303409689042</v>
      </c>
      <c r="AO17" s="486">
        <v>9647.1373635758573</v>
      </c>
      <c r="AP17" s="486">
        <v>3851.8820468769381</v>
      </c>
      <c r="AQ17" s="486"/>
      <c r="AR17" s="486">
        <v>47047.79296875</v>
      </c>
      <c r="AS17" s="486">
        <v>40521.300248773863</v>
      </c>
      <c r="AT17" s="486">
        <v>6526.4911333919317</v>
      </c>
    </row>
    <row r="18" spans="1:46" s="210" customFormat="1" ht="15.95" customHeight="1" x14ac:dyDescent="0.25">
      <c r="A18" s="218" t="s">
        <v>20</v>
      </c>
      <c r="B18" s="216">
        <v>83815</v>
      </c>
      <c r="C18" s="216"/>
      <c r="D18" s="216">
        <v>36642</v>
      </c>
      <c r="E18" s="216"/>
      <c r="F18" s="216">
        <v>47139</v>
      </c>
      <c r="G18" s="216">
        <v>34</v>
      </c>
      <c r="H18" s="217"/>
      <c r="I18" s="216">
        <v>132290</v>
      </c>
      <c r="J18" s="216"/>
      <c r="K18" s="216">
        <v>85867</v>
      </c>
      <c r="L18" s="216"/>
      <c r="M18" s="216">
        <v>46423</v>
      </c>
      <c r="N18" s="218" t="s">
        <v>20</v>
      </c>
      <c r="O18" s="217">
        <v>92017</v>
      </c>
      <c r="P18" s="217"/>
      <c r="Q18" s="217">
        <v>41033</v>
      </c>
      <c r="R18" s="217"/>
      <c r="S18" s="217">
        <v>50845</v>
      </c>
      <c r="T18" s="217">
        <v>139</v>
      </c>
      <c r="U18" s="217"/>
      <c r="V18" s="217">
        <v>148715</v>
      </c>
      <c r="W18" s="217"/>
      <c r="X18" s="217">
        <v>84569</v>
      </c>
      <c r="Y18" s="217"/>
      <c r="Z18" s="217">
        <v>64146</v>
      </c>
      <c r="AB18" s="340" t="s">
        <v>20</v>
      </c>
      <c r="AC18" s="13">
        <v>83717</v>
      </c>
      <c r="AD18" s="13">
        <v>36539</v>
      </c>
      <c r="AE18" s="13">
        <v>46947</v>
      </c>
      <c r="AF18" s="13">
        <v>231</v>
      </c>
      <c r="AG18" s="13"/>
      <c r="AH18" s="13">
        <v>171542</v>
      </c>
      <c r="AI18" s="13">
        <v>87257</v>
      </c>
      <c r="AJ18" s="13">
        <v>84285</v>
      </c>
      <c r="AL18" s="566" t="s">
        <v>20</v>
      </c>
      <c r="AM18" s="486">
        <v>97868.750415864692</v>
      </c>
      <c r="AN18" s="486">
        <v>45395.264091847414</v>
      </c>
      <c r="AO18" s="486">
        <v>52461.149191325079</v>
      </c>
      <c r="AP18" s="486">
        <v>12.337132692307522</v>
      </c>
      <c r="AQ18" s="486"/>
      <c r="AR18" s="486">
        <v>140488.5625</v>
      </c>
      <c r="AS18" s="486">
        <v>93505.609930413309</v>
      </c>
      <c r="AT18" s="486">
        <v>46982.955944414796</v>
      </c>
    </row>
    <row r="19" spans="1:46" s="210" customFormat="1" ht="15.95" customHeight="1" x14ac:dyDescent="0.25">
      <c r="A19" s="218" t="s">
        <v>21</v>
      </c>
      <c r="B19" s="216">
        <v>86165</v>
      </c>
      <c r="C19" s="216"/>
      <c r="D19" s="216">
        <v>22912</v>
      </c>
      <c r="E19" s="216"/>
      <c r="F19" s="216">
        <v>59746</v>
      </c>
      <c r="G19" s="216">
        <v>3507</v>
      </c>
      <c r="H19" s="217"/>
      <c r="I19" s="216">
        <v>116840</v>
      </c>
      <c r="J19" s="216"/>
      <c r="K19" s="216">
        <v>53611</v>
      </c>
      <c r="L19" s="216"/>
      <c r="M19" s="216">
        <v>63229</v>
      </c>
      <c r="N19" s="218" t="s">
        <v>21</v>
      </c>
      <c r="O19" s="217">
        <v>99054</v>
      </c>
      <c r="P19" s="217"/>
      <c r="Q19" s="217">
        <v>30541</v>
      </c>
      <c r="R19" s="217"/>
      <c r="S19" s="217">
        <v>65090</v>
      </c>
      <c r="T19" s="217">
        <v>3423</v>
      </c>
      <c r="U19" s="217"/>
      <c r="V19" s="217">
        <v>147142</v>
      </c>
      <c r="W19" s="217"/>
      <c r="X19" s="217">
        <v>75100</v>
      </c>
      <c r="Y19" s="217"/>
      <c r="Z19" s="217">
        <v>72042</v>
      </c>
      <c r="AB19" s="340" t="s">
        <v>21</v>
      </c>
      <c r="AC19" s="13">
        <v>64582</v>
      </c>
      <c r="AD19" s="13">
        <v>14451</v>
      </c>
      <c r="AE19" s="13">
        <v>45618</v>
      </c>
      <c r="AF19" s="13">
        <v>4513</v>
      </c>
      <c r="AG19" s="13"/>
      <c r="AH19" s="13">
        <v>106077</v>
      </c>
      <c r="AI19" s="13">
        <v>57465</v>
      </c>
      <c r="AJ19" s="13">
        <v>48612</v>
      </c>
      <c r="AL19" s="566" t="s">
        <v>21</v>
      </c>
      <c r="AM19" s="486">
        <v>91760.528261877247</v>
      </c>
      <c r="AN19" s="486">
        <v>13780.803602647547</v>
      </c>
      <c r="AO19" s="486">
        <v>73817.269432655346</v>
      </c>
      <c r="AP19" s="486">
        <v>4162.4552265741868</v>
      </c>
      <c r="AQ19" s="486"/>
      <c r="AR19" s="486">
        <v>153476.03125</v>
      </c>
      <c r="AS19" s="486">
        <v>67531.660638334943</v>
      </c>
      <c r="AT19" s="486">
        <v>85944.369767190365</v>
      </c>
    </row>
    <row r="20" spans="1:46" s="210" customFormat="1" ht="15.95" customHeight="1" x14ac:dyDescent="0.25">
      <c r="A20" s="218" t="s">
        <v>22</v>
      </c>
      <c r="B20" s="216">
        <v>341929</v>
      </c>
      <c r="C20" s="216"/>
      <c r="D20" s="216">
        <v>92006</v>
      </c>
      <c r="E20" s="216"/>
      <c r="F20" s="216">
        <v>214126</v>
      </c>
      <c r="G20" s="216">
        <v>35797</v>
      </c>
      <c r="H20" s="217"/>
      <c r="I20" s="216">
        <v>392055</v>
      </c>
      <c r="J20" s="216"/>
      <c r="K20" s="216">
        <v>112784</v>
      </c>
      <c r="L20" s="216"/>
      <c r="M20" s="216">
        <v>279271</v>
      </c>
      <c r="N20" s="218" t="s">
        <v>22</v>
      </c>
      <c r="O20" s="217">
        <v>351049</v>
      </c>
      <c r="P20" s="217"/>
      <c r="Q20" s="217">
        <v>109070</v>
      </c>
      <c r="R20" s="217"/>
      <c r="S20" s="217">
        <v>211214</v>
      </c>
      <c r="T20" s="217">
        <v>30765</v>
      </c>
      <c r="U20" s="217"/>
      <c r="V20" s="217">
        <v>396526</v>
      </c>
      <c r="W20" s="217"/>
      <c r="X20" s="217">
        <v>134867</v>
      </c>
      <c r="Y20" s="217"/>
      <c r="Z20" s="217">
        <v>261659</v>
      </c>
      <c r="AB20" s="340" t="s">
        <v>22</v>
      </c>
      <c r="AC20" s="13">
        <v>375553</v>
      </c>
      <c r="AD20" s="13">
        <v>88866</v>
      </c>
      <c r="AE20" s="13">
        <v>244945</v>
      </c>
      <c r="AF20" s="13">
        <v>41742</v>
      </c>
      <c r="AG20" s="13"/>
      <c r="AH20" s="13">
        <v>423008</v>
      </c>
      <c r="AI20" s="13">
        <v>125229</v>
      </c>
      <c r="AJ20" s="13">
        <v>297779</v>
      </c>
      <c r="AL20" s="566" t="s">
        <v>22</v>
      </c>
      <c r="AM20" s="486">
        <v>353631.58056162496</v>
      </c>
      <c r="AN20" s="486">
        <v>57668.493353898644</v>
      </c>
      <c r="AO20" s="486">
        <v>267874.12990336993</v>
      </c>
      <c r="AP20" s="486">
        <v>28088.957304356554</v>
      </c>
      <c r="AQ20" s="486"/>
      <c r="AR20" s="486">
        <v>419149.5625</v>
      </c>
      <c r="AS20" s="486">
        <v>130333.45657934526</v>
      </c>
      <c r="AT20" s="486">
        <v>288816.10068772064</v>
      </c>
    </row>
    <row r="21" spans="1:46" s="210" customFormat="1" ht="15.95" customHeight="1" x14ac:dyDescent="0.25">
      <c r="A21" s="218" t="s">
        <v>23</v>
      </c>
      <c r="B21" s="216">
        <v>136492</v>
      </c>
      <c r="C21" s="216"/>
      <c r="D21" s="216">
        <v>21619</v>
      </c>
      <c r="E21" s="216"/>
      <c r="F21" s="216">
        <v>107493</v>
      </c>
      <c r="G21" s="216">
        <v>7380</v>
      </c>
      <c r="H21" s="217"/>
      <c r="I21" s="216">
        <v>169848</v>
      </c>
      <c r="J21" s="216"/>
      <c r="K21" s="216">
        <v>72175</v>
      </c>
      <c r="L21" s="216"/>
      <c r="M21" s="216">
        <v>97673</v>
      </c>
      <c r="N21" s="218" t="s">
        <v>23</v>
      </c>
      <c r="O21" s="217">
        <v>121505</v>
      </c>
      <c r="P21" s="217"/>
      <c r="Q21" s="217">
        <v>26225</v>
      </c>
      <c r="R21" s="217"/>
      <c r="S21" s="217">
        <v>88277</v>
      </c>
      <c r="T21" s="217">
        <v>7003</v>
      </c>
      <c r="U21" s="217"/>
      <c r="V21" s="217">
        <v>156903</v>
      </c>
      <c r="W21" s="217"/>
      <c r="X21" s="217">
        <v>76904</v>
      </c>
      <c r="Y21" s="217"/>
      <c r="Z21" s="217">
        <v>79999</v>
      </c>
      <c r="AB21" s="340" t="s">
        <v>23</v>
      </c>
      <c r="AC21" s="13">
        <v>113210</v>
      </c>
      <c r="AD21" s="13">
        <v>9103</v>
      </c>
      <c r="AE21" s="13">
        <v>95459</v>
      </c>
      <c r="AF21" s="13">
        <v>8648</v>
      </c>
      <c r="AG21" s="13"/>
      <c r="AH21" s="13">
        <v>172186</v>
      </c>
      <c r="AI21" s="13">
        <v>75975</v>
      </c>
      <c r="AJ21" s="13">
        <v>96211</v>
      </c>
      <c r="AL21" s="566" t="s">
        <v>23</v>
      </c>
      <c r="AM21" s="486">
        <v>127234.78524220918</v>
      </c>
      <c r="AN21" s="486">
        <v>11396.591595724125</v>
      </c>
      <c r="AO21" s="486">
        <v>93063.823930770086</v>
      </c>
      <c r="AP21" s="486">
        <v>22774.369715715056</v>
      </c>
      <c r="AQ21" s="486"/>
      <c r="AR21" s="486">
        <v>195493.015625</v>
      </c>
      <c r="AS21" s="486">
        <v>83869.819835715971</v>
      </c>
      <c r="AT21" s="486">
        <v>111623.19840040074</v>
      </c>
    </row>
    <row r="22" spans="1:46" s="210" customFormat="1" ht="15.95" customHeight="1" x14ac:dyDescent="0.25">
      <c r="A22" s="218" t="s">
        <v>24</v>
      </c>
      <c r="B22" s="216">
        <v>36864</v>
      </c>
      <c r="C22" s="216"/>
      <c r="D22" s="216">
        <v>27948</v>
      </c>
      <c r="E22" s="216"/>
      <c r="F22" s="216">
        <v>7003</v>
      </c>
      <c r="G22" s="216">
        <v>1913</v>
      </c>
      <c r="H22" s="217"/>
      <c r="I22" s="216">
        <v>40178</v>
      </c>
      <c r="J22" s="216"/>
      <c r="K22" s="216">
        <v>34055</v>
      </c>
      <c r="L22" s="216"/>
      <c r="M22" s="216">
        <v>6123</v>
      </c>
      <c r="N22" s="218" t="s">
        <v>24</v>
      </c>
      <c r="O22" s="217">
        <v>38344</v>
      </c>
      <c r="P22" s="217"/>
      <c r="Q22" s="217">
        <v>26133</v>
      </c>
      <c r="R22" s="217"/>
      <c r="S22" s="217">
        <v>9253</v>
      </c>
      <c r="T22" s="217">
        <v>2958</v>
      </c>
      <c r="U22" s="217"/>
      <c r="V22" s="217">
        <v>49523</v>
      </c>
      <c r="W22" s="217"/>
      <c r="X22" s="217">
        <v>40688</v>
      </c>
      <c r="Y22" s="217"/>
      <c r="Z22" s="217">
        <v>8835</v>
      </c>
      <c r="AB22" s="340" t="s">
        <v>24</v>
      </c>
      <c r="AC22" s="13">
        <v>32097</v>
      </c>
      <c r="AD22" s="13">
        <v>18761</v>
      </c>
      <c r="AE22" s="13">
        <v>10861</v>
      </c>
      <c r="AF22" s="13">
        <v>2475</v>
      </c>
      <c r="AG22" s="13"/>
      <c r="AH22" s="13">
        <v>44012</v>
      </c>
      <c r="AI22" s="13">
        <v>34921</v>
      </c>
      <c r="AJ22" s="13">
        <v>9091</v>
      </c>
      <c r="AL22" s="566" t="s">
        <v>24</v>
      </c>
      <c r="AM22" s="486">
        <v>24653.296731745646</v>
      </c>
      <c r="AN22" s="486">
        <v>8026.1786309522322</v>
      </c>
      <c r="AO22" s="486">
        <v>15368.38035424281</v>
      </c>
      <c r="AP22" s="486">
        <v>1258.7377465506445</v>
      </c>
      <c r="AQ22" s="486"/>
      <c r="AR22" s="486">
        <v>70634.578125</v>
      </c>
      <c r="AS22" s="486">
        <v>56596.902545911144</v>
      </c>
      <c r="AT22" s="486">
        <v>14037.677120405951</v>
      </c>
    </row>
    <row r="23" spans="1:46" s="210" customFormat="1" ht="15.95" customHeight="1" x14ac:dyDescent="0.25">
      <c r="A23" s="218" t="s">
        <v>25</v>
      </c>
      <c r="B23" s="216">
        <v>276979</v>
      </c>
      <c r="C23" s="216"/>
      <c r="D23" s="216">
        <v>45115</v>
      </c>
      <c r="E23" s="216"/>
      <c r="F23" s="216">
        <v>221049</v>
      </c>
      <c r="G23" s="216">
        <v>10815</v>
      </c>
      <c r="H23" s="217"/>
      <c r="I23" s="216">
        <v>309743</v>
      </c>
      <c r="J23" s="216"/>
      <c r="K23" s="216">
        <v>102272</v>
      </c>
      <c r="L23" s="216"/>
      <c r="M23" s="216">
        <v>207471</v>
      </c>
      <c r="N23" s="218" t="s">
        <v>25</v>
      </c>
      <c r="O23" s="217">
        <v>336598</v>
      </c>
      <c r="P23" s="217"/>
      <c r="Q23" s="217">
        <v>45806</v>
      </c>
      <c r="R23" s="217"/>
      <c r="S23" s="217">
        <v>283574</v>
      </c>
      <c r="T23" s="217">
        <v>7218</v>
      </c>
      <c r="U23" s="217"/>
      <c r="V23" s="217">
        <v>383210</v>
      </c>
      <c r="W23" s="217"/>
      <c r="X23" s="217">
        <v>98558</v>
      </c>
      <c r="Y23" s="217"/>
      <c r="Z23" s="217">
        <v>284652</v>
      </c>
      <c r="AB23" s="340" t="s">
        <v>25</v>
      </c>
      <c r="AC23" s="13">
        <v>407598</v>
      </c>
      <c r="AD23" s="13">
        <v>47357</v>
      </c>
      <c r="AE23" s="13">
        <v>344965</v>
      </c>
      <c r="AF23" s="13">
        <v>15276</v>
      </c>
      <c r="AG23" s="13"/>
      <c r="AH23" s="13">
        <v>418206</v>
      </c>
      <c r="AI23" s="13">
        <v>91899</v>
      </c>
      <c r="AJ23" s="13">
        <v>326307</v>
      </c>
      <c r="AL23" s="566" t="s">
        <v>25</v>
      </c>
      <c r="AM23" s="486">
        <v>485510.68119899253</v>
      </c>
      <c r="AN23" s="486">
        <v>63427.560790217212</v>
      </c>
      <c r="AO23" s="486">
        <v>402899.87256985315</v>
      </c>
      <c r="AP23" s="486">
        <v>19183.247838923147</v>
      </c>
      <c r="AQ23" s="486"/>
      <c r="AR23" s="486">
        <v>398502.03125</v>
      </c>
      <c r="AS23" s="486">
        <v>95448.623767972604</v>
      </c>
      <c r="AT23" s="486">
        <v>303053.39510002226</v>
      </c>
    </row>
    <row r="24" spans="1:46" s="210" customFormat="1" ht="15.95" customHeight="1" x14ac:dyDescent="0.25">
      <c r="A24" s="218" t="s">
        <v>26</v>
      </c>
      <c r="B24" s="216">
        <v>91269</v>
      </c>
      <c r="C24" s="216"/>
      <c r="D24" s="216">
        <v>36480</v>
      </c>
      <c r="E24" s="216"/>
      <c r="F24" s="216">
        <v>54783</v>
      </c>
      <c r="G24" s="216">
        <v>6</v>
      </c>
      <c r="H24" s="217"/>
      <c r="I24" s="216">
        <v>92217</v>
      </c>
      <c r="J24" s="216"/>
      <c r="K24" s="216">
        <v>35183</v>
      </c>
      <c r="L24" s="216"/>
      <c r="M24" s="216">
        <v>57034</v>
      </c>
      <c r="N24" s="218" t="s">
        <v>26</v>
      </c>
      <c r="O24" s="217">
        <v>89157</v>
      </c>
      <c r="P24" s="217"/>
      <c r="Q24" s="217">
        <v>33222</v>
      </c>
      <c r="R24" s="217"/>
      <c r="S24" s="217">
        <v>55905</v>
      </c>
      <c r="T24" s="217">
        <v>30</v>
      </c>
      <c r="U24" s="217"/>
      <c r="V24" s="217">
        <v>99610</v>
      </c>
      <c r="W24" s="217"/>
      <c r="X24" s="217">
        <v>42048</v>
      </c>
      <c r="Y24" s="217"/>
      <c r="Z24" s="217">
        <v>57562</v>
      </c>
      <c r="AB24" s="340" t="s">
        <v>26</v>
      </c>
      <c r="AC24" s="13">
        <v>87105</v>
      </c>
      <c r="AD24" s="13">
        <v>25227</v>
      </c>
      <c r="AE24" s="13">
        <v>61857</v>
      </c>
      <c r="AF24" s="13">
        <v>21</v>
      </c>
      <c r="AG24" s="13"/>
      <c r="AH24" s="13">
        <v>89163</v>
      </c>
      <c r="AI24" s="13">
        <v>34065</v>
      </c>
      <c r="AJ24" s="13">
        <v>55098</v>
      </c>
      <c r="AL24" s="566" t="s">
        <v>26</v>
      </c>
      <c r="AM24" s="486">
        <v>94952.242796146209</v>
      </c>
      <c r="AN24" s="486">
        <v>34282.655568751245</v>
      </c>
      <c r="AO24" s="486">
        <v>60598.485946160748</v>
      </c>
      <c r="AP24" s="486">
        <v>71.101281234276755</v>
      </c>
      <c r="AQ24" s="486"/>
      <c r="AR24" s="486">
        <v>54261.03125</v>
      </c>
      <c r="AS24" s="486">
        <v>39667.301182239426</v>
      </c>
      <c r="AT24" s="486">
        <v>14593.729535424374</v>
      </c>
    </row>
    <row r="25" spans="1:46" s="210" customFormat="1" ht="15.95" customHeight="1" x14ac:dyDescent="0.25">
      <c r="A25" s="218" t="s">
        <v>27</v>
      </c>
      <c r="B25" s="216">
        <v>196415</v>
      </c>
      <c r="C25" s="216"/>
      <c r="D25" s="216">
        <v>43130</v>
      </c>
      <c r="E25" s="216"/>
      <c r="F25" s="216">
        <v>150849</v>
      </c>
      <c r="G25" s="216">
        <v>2436</v>
      </c>
      <c r="H25" s="217"/>
      <c r="I25" s="216">
        <v>173224</v>
      </c>
      <c r="J25" s="216"/>
      <c r="K25" s="216">
        <v>57644</v>
      </c>
      <c r="L25" s="216"/>
      <c r="M25" s="216">
        <v>115580</v>
      </c>
      <c r="N25" s="218" t="s">
        <v>27</v>
      </c>
      <c r="O25" s="217">
        <v>223841</v>
      </c>
      <c r="P25" s="217"/>
      <c r="Q25" s="217">
        <v>41819</v>
      </c>
      <c r="R25" s="217"/>
      <c r="S25" s="217">
        <v>179614</v>
      </c>
      <c r="T25" s="217">
        <v>2408</v>
      </c>
      <c r="U25" s="217"/>
      <c r="V25" s="217">
        <v>194694</v>
      </c>
      <c r="W25" s="217"/>
      <c r="X25" s="217">
        <v>54384</v>
      </c>
      <c r="Y25" s="217"/>
      <c r="Z25" s="217">
        <v>140310</v>
      </c>
      <c r="AB25" s="340" t="s">
        <v>27</v>
      </c>
      <c r="AC25" s="13">
        <v>191111</v>
      </c>
      <c r="AD25" s="13">
        <v>23713</v>
      </c>
      <c r="AE25" s="13">
        <v>164204</v>
      </c>
      <c r="AF25" s="13">
        <v>3194</v>
      </c>
      <c r="AG25" s="13"/>
      <c r="AH25" s="13">
        <v>251176</v>
      </c>
      <c r="AI25" s="13">
        <v>53900</v>
      </c>
      <c r="AJ25" s="13">
        <v>197276</v>
      </c>
      <c r="AL25" s="566" t="s">
        <v>27</v>
      </c>
      <c r="AM25" s="486">
        <v>234056.60060735233</v>
      </c>
      <c r="AN25" s="486">
        <v>36475.885476402429</v>
      </c>
      <c r="AO25" s="486">
        <v>196479.97041415866</v>
      </c>
      <c r="AP25" s="486">
        <v>1100.7447167916541</v>
      </c>
      <c r="AQ25" s="486"/>
      <c r="AR25" s="486">
        <v>240851.921875</v>
      </c>
      <c r="AS25" s="486">
        <v>74020.310862305094</v>
      </c>
      <c r="AT25" s="486">
        <v>166831.60697595929</v>
      </c>
    </row>
    <row r="26" spans="1:46" s="210" customFormat="1" ht="15.95" customHeight="1" x14ac:dyDescent="0.25">
      <c r="A26" s="218" t="s">
        <v>28</v>
      </c>
      <c r="B26" s="216">
        <v>207688</v>
      </c>
      <c r="C26" s="216"/>
      <c r="D26" s="216">
        <v>149175</v>
      </c>
      <c r="E26" s="216"/>
      <c r="F26" s="216">
        <v>40316</v>
      </c>
      <c r="G26" s="216">
        <v>18197</v>
      </c>
      <c r="H26" s="217"/>
      <c r="I26" s="216">
        <v>222002</v>
      </c>
      <c r="J26" s="216"/>
      <c r="K26" s="216">
        <v>172783</v>
      </c>
      <c r="L26" s="216"/>
      <c r="M26" s="216">
        <v>49219</v>
      </c>
      <c r="N26" s="218" t="s">
        <v>28</v>
      </c>
      <c r="O26" s="217">
        <v>221680</v>
      </c>
      <c r="P26" s="217"/>
      <c r="Q26" s="217">
        <v>147586</v>
      </c>
      <c r="R26" s="217"/>
      <c r="S26" s="217">
        <v>48796</v>
      </c>
      <c r="T26" s="217">
        <v>25298</v>
      </c>
      <c r="U26" s="217"/>
      <c r="V26" s="217">
        <v>233609</v>
      </c>
      <c r="W26" s="217"/>
      <c r="X26" s="217">
        <v>176355</v>
      </c>
      <c r="Y26" s="217"/>
      <c r="Z26" s="217">
        <v>57254</v>
      </c>
      <c r="AB26" s="340" t="s">
        <v>28</v>
      </c>
      <c r="AC26" s="13">
        <v>209357</v>
      </c>
      <c r="AD26" s="13">
        <v>131869</v>
      </c>
      <c r="AE26" s="13">
        <v>54235</v>
      </c>
      <c r="AF26" s="7">
        <v>23253</v>
      </c>
      <c r="AG26" s="13"/>
      <c r="AH26" s="13">
        <v>210224</v>
      </c>
      <c r="AI26" s="13">
        <v>146107</v>
      </c>
      <c r="AJ26" s="13">
        <v>64117</v>
      </c>
      <c r="AL26" s="566" t="s">
        <v>28</v>
      </c>
      <c r="AM26" s="486">
        <v>258816.66444922227</v>
      </c>
      <c r="AN26" s="486">
        <v>150256.98724902063</v>
      </c>
      <c r="AO26" s="486">
        <v>71232.698632900065</v>
      </c>
      <c r="AP26" s="486">
        <v>37326.978567301718</v>
      </c>
      <c r="AQ26" s="486"/>
      <c r="AR26" s="486">
        <v>168810.578125</v>
      </c>
      <c r="AS26" s="486">
        <v>132185.37754314597</v>
      </c>
      <c r="AT26" s="486">
        <v>36625.2079175033</v>
      </c>
    </row>
    <row r="27" spans="1:46" s="210" customFormat="1" ht="15.95" customHeight="1" x14ac:dyDescent="0.25">
      <c r="A27" s="218" t="s">
        <v>29</v>
      </c>
      <c r="B27" s="216">
        <v>122799</v>
      </c>
      <c r="C27" s="216"/>
      <c r="D27" s="216">
        <v>92758</v>
      </c>
      <c r="E27" s="216"/>
      <c r="F27" s="216">
        <v>30025</v>
      </c>
      <c r="G27" s="216">
        <v>16</v>
      </c>
      <c r="H27" s="217"/>
      <c r="I27" s="216">
        <v>165620</v>
      </c>
      <c r="J27" s="216"/>
      <c r="K27" s="216">
        <v>142440</v>
      </c>
      <c r="L27" s="216"/>
      <c r="M27" s="216">
        <v>23180</v>
      </c>
      <c r="N27" s="218" t="s">
        <v>29</v>
      </c>
      <c r="O27" s="217">
        <v>112328</v>
      </c>
      <c r="P27" s="217"/>
      <c r="Q27" s="217">
        <v>82576</v>
      </c>
      <c r="R27" s="217"/>
      <c r="S27" s="217">
        <v>29679</v>
      </c>
      <c r="T27" s="217">
        <v>73</v>
      </c>
      <c r="U27" s="217"/>
      <c r="V27" s="217">
        <v>162524</v>
      </c>
      <c r="W27" s="217"/>
      <c r="X27" s="217">
        <v>136520</v>
      </c>
      <c r="Y27" s="217"/>
      <c r="Z27" s="217">
        <v>26004</v>
      </c>
      <c r="AB27" s="340" t="s">
        <v>29</v>
      </c>
      <c r="AC27" s="13">
        <v>121942</v>
      </c>
      <c r="AD27" s="13">
        <v>86166</v>
      </c>
      <c r="AE27" s="13">
        <v>35776</v>
      </c>
      <c r="AF27" s="7" t="s">
        <v>47</v>
      </c>
      <c r="AG27" s="13"/>
      <c r="AH27" s="13">
        <v>171145</v>
      </c>
      <c r="AI27" s="13">
        <v>139641</v>
      </c>
      <c r="AJ27" s="13">
        <v>31504</v>
      </c>
      <c r="AL27" s="566" t="s">
        <v>29</v>
      </c>
      <c r="AM27" s="486">
        <v>144851.32418454951</v>
      </c>
      <c r="AN27" s="486">
        <v>105026.47067304319</v>
      </c>
      <c r="AO27" s="486">
        <v>39390.868766584746</v>
      </c>
      <c r="AP27" s="486">
        <v>433.98474492174626</v>
      </c>
      <c r="AQ27" s="486"/>
      <c r="AR27" s="486">
        <v>138655.96875</v>
      </c>
      <c r="AS27" s="486">
        <v>121277.48211387845</v>
      </c>
      <c r="AT27" s="486">
        <v>17378.480145906364</v>
      </c>
    </row>
    <row r="28" spans="1:46" s="210" customFormat="1" ht="15.95" customHeight="1" x14ac:dyDescent="0.25">
      <c r="A28" s="219" t="s">
        <v>30</v>
      </c>
      <c r="B28" s="216">
        <v>140713</v>
      </c>
      <c r="C28" s="216"/>
      <c r="D28" s="216">
        <v>73623</v>
      </c>
      <c r="E28" s="216"/>
      <c r="F28" s="216">
        <v>66861</v>
      </c>
      <c r="G28" s="216">
        <v>229</v>
      </c>
      <c r="H28" s="217"/>
      <c r="I28" s="216">
        <v>149968</v>
      </c>
      <c r="J28" s="216"/>
      <c r="K28" s="216">
        <v>92712</v>
      </c>
      <c r="L28" s="216"/>
      <c r="M28" s="216">
        <v>57256</v>
      </c>
      <c r="N28" s="219" t="s">
        <v>30</v>
      </c>
      <c r="O28" s="217">
        <v>131288</v>
      </c>
      <c r="P28" s="217"/>
      <c r="Q28" s="217">
        <v>66598</v>
      </c>
      <c r="R28" s="217"/>
      <c r="S28" s="217">
        <v>64462</v>
      </c>
      <c r="T28" s="217">
        <v>228</v>
      </c>
      <c r="U28" s="217"/>
      <c r="V28" s="217">
        <v>165216</v>
      </c>
      <c r="W28" s="217"/>
      <c r="X28" s="217">
        <v>104607</v>
      </c>
      <c r="Y28" s="217"/>
      <c r="Z28" s="217">
        <v>60609</v>
      </c>
      <c r="AB28" s="341" t="s">
        <v>30</v>
      </c>
      <c r="AC28" s="13">
        <v>132767</v>
      </c>
      <c r="AD28" s="13">
        <v>71282</v>
      </c>
      <c r="AE28" s="13">
        <v>61364</v>
      </c>
      <c r="AF28" s="7">
        <v>121</v>
      </c>
      <c r="AG28" s="13"/>
      <c r="AH28" s="13">
        <v>167579</v>
      </c>
      <c r="AI28" s="13">
        <v>109505</v>
      </c>
      <c r="AJ28" s="13">
        <v>58074</v>
      </c>
      <c r="AL28" s="567" t="s">
        <v>30</v>
      </c>
      <c r="AM28" s="486">
        <v>144472.13488918351</v>
      </c>
      <c r="AN28" s="486">
        <v>66649.091790719642</v>
      </c>
      <c r="AO28" s="486">
        <v>77736.887940884975</v>
      </c>
      <c r="AP28" s="486">
        <v>86.155157579059733</v>
      </c>
      <c r="AQ28" s="486"/>
      <c r="AR28" s="486">
        <v>137615.828125</v>
      </c>
      <c r="AS28" s="486">
        <v>83596.750044539251</v>
      </c>
      <c r="AT28" s="486">
        <v>54019.081062769576</v>
      </c>
    </row>
    <row r="29" spans="1:46" s="210" customFormat="1" ht="15.95" customHeight="1" x14ac:dyDescent="0.25">
      <c r="A29" s="218" t="s">
        <v>31</v>
      </c>
      <c r="B29" s="216">
        <v>158500</v>
      </c>
      <c r="C29" s="216"/>
      <c r="D29" s="216">
        <v>45049</v>
      </c>
      <c r="E29" s="216"/>
      <c r="F29" s="216">
        <v>109732</v>
      </c>
      <c r="G29" s="216">
        <v>3719</v>
      </c>
      <c r="H29" s="217"/>
      <c r="I29" s="216">
        <v>139183</v>
      </c>
      <c r="J29" s="216"/>
      <c r="K29" s="216">
        <v>53318</v>
      </c>
      <c r="L29" s="216"/>
      <c r="M29" s="216">
        <v>85865</v>
      </c>
      <c r="N29" s="218" t="s">
        <v>31</v>
      </c>
      <c r="O29" s="217">
        <v>148588</v>
      </c>
      <c r="P29" s="217"/>
      <c r="Q29" s="217">
        <v>40506</v>
      </c>
      <c r="R29" s="217"/>
      <c r="S29" s="217">
        <v>103359</v>
      </c>
      <c r="T29" s="217">
        <v>4723</v>
      </c>
      <c r="U29" s="217"/>
      <c r="V29" s="217">
        <v>137951</v>
      </c>
      <c r="W29" s="217"/>
      <c r="X29" s="217">
        <v>57511</v>
      </c>
      <c r="Y29" s="217"/>
      <c r="Z29" s="217">
        <v>80440</v>
      </c>
      <c r="AB29" s="340" t="s">
        <v>31</v>
      </c>
      <c r="AC29" s="13">
        <v>140296</v>
      </c>
      <c r="AD29" s="13">
        <v>28657</v>
      </c>
      <c r="AE29" s="13">
        <v>104426</v>
      </c>
      <c r="AF29" s="7">
        <v>7213</v>
      </c>
      <c r="AG29" s="13"/>
      <c r="AH29" s="13">
        <v>120198</v>
      </c>
      <c r="AI29" s="13">
        <v>36676</v>
      </c>
      <c r="AJ29" s="13">
        <v>83522</v>
      </c>
      <c r="AL29" s="566" t="s">
        <v>31</v>
      </c>
      <c r="AM29" s="486">
        <v>180323.20494960871</v>
      </c>
      <c r="AN29" s="486">
        <v>46470.556556508702</v>
      </c>
      <c r="AO29" s="486">
        <v>115271.38143358658</v>
      </c>
      <c r="AP29" s="486">
        <v>18581.266959513578</v>
      </c>
      <c r="AQ29" s="486"/>
      <c r="AR29" s="486">
        <v>140242.875</v>
      </c>
      <c r="AS29" s="486">
        <v>51586.171001616764</v>
      </c>
      <c r="AT29" s="486">
        <v>88656.705491608547</v>
      </c>
    </row>
    <row r="30" spans="1:46" s="210" customFormat="1" ht="15.95" customHeight="1" x14ac:dyDescent="0.25">
      <c r="A30" s="218" t="s">
        <v>32</v>
      </c>
      <c r="B30" s="216">
        <v>71530</v>
      </c>
      <c r="C30" s="216"/>
      <c r="D30" s="216">
        <v>3871</v>
      </c>
      <c r="E30" s="216"/>
      <c r="F30" s="216">
        <v>66297</v>
      </c>
      <c r="G30" s="216">
        <v>1362</v>
      </c>
      <c r="H30" s="217"/>
      <c r="I30" s="216">
        <v>55163</v>
      </c>
      <c r="J30" s="216"/>
      <c r="K30" s="216">
        <v>7925</v>
      </c>
      <c r="L30" s="216"/>
      <c r="M30" s="216">
        <v>47238</v>
      </c>
      <c r="N30" s="218" t="s">
        <v>32</v>
      </c>
      <c r="O30" s="217">
        <v>82053</v>
      </c>
      <c r="P30" s="217"/>
      <c r="Q30" s="217">
        <v>2847</v>
      </c>
      <c r="R30" s="217"/>
      <c r="S30" s="217">
        <v>77631</v>
      </c>
      <c r="T30" s="217">
        <v>1575</v>
      </c>
      <c r="U30" s="217"/>
      <c r="V30" s="217">
        <v>67837</v>
      </c>
      <c r="W30" s="217"/>
      <c r="X30" s="217">
        <v>9756</v>
      </c>
      <c r="Y30" s="217"/>
      <c r="Z30" s="217">
        <v>58081</v>
      </c>
      <c r="AB30" s="340" t="s">
        <v>32</v>
      </c>
      <c r="AC30" s="13">
        <v>63686</v>
      </c>
      <c r="AD30" s="13">
        <v>1942</v>
      </c>
      <c r="AE30" s="13">
        <v>60614</v>
      </c>
      <c r="AF30" s="7">
        <v>1130</v>
      </c>
      <c r="AG30" s="13"/>
      <c r="AH30" s="13">
        <v>55944</v>
      </c>
      <c r="AI30" s="13">
        <v>8277</v>
      </c>
      <c r="AJ30" s="13">
        <v>47667</v>
      </c>
      <c r="AL30" s="566" t="s">
        <v>32</v>
      </c>
      <c r="AM30" s="486">
        <v>101665.70447161577</v>
      </c>
      <c r="AN30" s="486">
        <v>3144.3179038387248</v>
      </c>
      <c r="AO30" s="486">
        <v>96842.038562974136</v>
      </c>
      <c r="AP30" s="486">
        <v>1679.3480048028948</v>
      </c>
      <c r="AQ30" s="486"/>
      <c r="AR30" s="486">
        <v>81716.015625</v>
      </c>
      <c r="AS30" s="486">
        <v>12208.699657253141</v>
      </c>
      <c r="AT30" s="486">
        <v>69507.31814704134</v>
      </c>
    </row>
    <row r="31" spans="1:46" s="210" customFormat="1" ht="15.95" customHeight="1" x14ac:dyDescent="0.25">
      <c r="A31" s="218" t="s">
        <v>33</v>
      </c>
      <c r="B31" s="216">
        <v>10020</v>
      </c>
      <c r="C31" s="216"/>
      <c r="D31" s="216">
        <v>937</v>
      </c>
      <c r="E31" s="216"/>
      <c r="F31" s="216">
        <v>9061</v>
      </c>
      <c r="G31" s="216">
        <v>22</v>
      </c>
      <c r="H31" s="217"/>
      <c r="I31" s="216">
        <v>9971</v>
      </c>
      <c r="J31" s="216"/>
      <c r="K31" s="216">
        <v>1766</v>
      </c>
      <c r="L31" s="216"/>
      <c r="M31" s="216">
        <v>8205</v>
      </c>
      <c r="N31" s="218" t="s">
        <v>33</v>
      </c>
      <c r="O31" s="217">
        <v>9546</v>
      </c>
      <c r="P31" s="217"/>
      <c r="Q31" s="217">
        <v>819</v>
      </c>
      <c r="R31" s="217"/>
      <c r="S31" s="217">
        <v>8636</v>
      </c>
      <c r="T31" s="217">
        <v>91</v>
      </c>
      <c r="U31" s="217"/>
      <c r="V31" s="217">
        <v>11620</v>
      </c>
      <c r="W31" s="217"/>
      <c r="X31" s="217">
        <v>2126</v>
      </c>
      <c r="Y31" s="217"/>
      <c r="Z31" s="217">
        <v>9494</v>
      </c>
      <c r="AB31" s="340" t="s">
        <v>33</v>
      </c>
      <c r="AC31" s="13">
        <v>10810</v>
      </c>
      <c r="AD31" s="13">
        <v>662</v>
      </c>
      <c r="AE31" s="13">
        <v>10114</v>
      </c>
      <c r="AF31" s="7">
        <v>34</v>
      </c>
      <c r="AG31" s="13"/>
      <c r="AH31" s="13">
        <v>11612</v>
      </c>
      <c r="AI31" s="13">
        <v>1773</v>
      </c>
      <c r="AJ31" s="13">
        <v>9839</v>
      </c>
      <c r="AL31" s="566" t="s">
        <v>33</v>
      </c>
      <c r="AM31" s="486">
        <v>11556.981266310695</v>
      </c>
      <c r="AN31" s="486">
        <v>1179.2633590770088</v>
      </c>
      <c r="AO31" s="486">
        <v>10253.61456129116</v>
      </c>
      <c r="AP31" s="486">
        <v>124.10334594252991</v>
      </c>
      <c r="AQ31" s="486"/>
      <c r="AR31" s="486">
        <v>20490.552734375</v>
      </c>
      <c r="AS31" s="486">
        <v>2849.4730858825069</v>
      </c>
      <c r="AT31" s="486">
        <v>17641.079050899789</v>
      </c>
    </row>
    <row r="32" spans="1:46" s="210" customFormat="1" ht="15.95" customHeight="1" x14ac:dyDescent="0.25">
      <c r="A32" s="218" t="s">
        <v>34</v>
      </c>
      <c r="B32" s="216">
        <v>139309</v>
      </c>
      <c r="C32" s="216"/>
      <c r="D32" s="216">
        <v>9638</v>
      </c>
      <c r="E32" s="216"/>
      <c r="F32" s="216">
        <v>126094</v>
      </c>
      <c r="G32" s="216">
        <v>3577</v>
      </c>
      <c r="H32" s="217"/>
      <c r="I32" s="216">
        <v>127321</v>
      </c>
      <c r="J32" s="216"/>
      <c r="K32" s="216">
        <v>12587</v>
      </c>
      <c r="L32" s="216"/>
      <c r="M32" s="216">
        <v>114734</v>
      </c>
      <c r="N32" s="218" t="s">
        <v>34</v>
      </c>
      <c r="O32" s="217">
        <v>101041</v>
      </c>
      <c r="P32" s="217"/>
      <c r="Q32" s="217">
        <v>10305</v>
      </c>
      <c r="R32" s="217"/>
      <c r="S32" s="217">
        <v>87367</v>
      </c>
      <c r="T32" s="217">
        <v>3369</v>
      </c>
      <c r="U32" s="217"/>
      <c r="V32" s="217">
        <v>127867</v>
      </c>
      <c r="W32" s="217"/>
      <c r="X32" s="217">
        <v>15197</v>
      </c>
      <c r="Y32" s="217"/>
      <c r="Z32" s="217">
        <v>112670</v>
      </c>
      <c r="AB32" s="340" t="s">
        <v>34</v>
      </c>
      <c r="AC32" s="13">
        <v>123043</v>
      </c>
      <c r="AD32" s="13">
        <v>9370</v>
      </c>
      <c r="AE32" s="13">
        <v>105307</v>
      </c>
      <c r="AF32" s="7">
        <v>8366</v>
      </c>
      <c r="AG32" s="13"/>
      <c r="AH32" s="13">
        <v>163062</v>
      </c>
      <c r="AI32" s="13">
        <v>12768</v>
      </c>
      <c r="AJ32" s="13">
        <v>150294</v>
      </c>
      <c r="AL32" s="566" t="s">
        <v>34</v>
      </c>
      <c r="AM32" s="486">
        <v>121183.99743053</v>
      </c>
      <c r="AN32" s="486">
        <v>9495.3444235218576</v>
      </c>
      <c r="AO32" s="486">
        <v>98270.589005797927</v>
      </c>
      <c r="AP32" s="486">
        <v>13418.064001210199</v>
      </c>
      <c r="AQ32" s="486"/>
      <c r="AR32" s="486">
        <v>93074.53125</v>
      </c>
      <c r="AS32" s="486">
        <v>12452.946655107826</v>
      </c>
      <c r="AT32" s="486">
        <v>80621.586988401687</v>
      </c>
    </row>
    <row r="33" spans="1:46" s="210" customFormat="1" ht="15.95" customHeight="1" x14ac:dyDescent="0.25">
      <c r="A33" s="218" t="s">
        <v>35</v>
      </c>
      <c r="B33" s="216">
        <v>173250</v>
      </c>
      <c r="C33" s="216"/>
      <c r="D33" s="216">
        <v>87290</v>
      </c>
      <c r="E33" s="216"/>
      <c r="F33" s="216">
        <v>85781</v>
      </c>
      <c r="G33" s="216">
        <v>179</v>
      </c>
      <c r="H33" s="217"/>
      <c r="I33" s="216">
        <v>233746</v>
      </c>
      <c r="J33" s="216"/>
      <c r="K33" s="216">
        <v>150300</v>
      </c>
      <c r="L33" s="216"/>
      <c r="M33" s="216">
        <v>83446</v>
      </c>
      <c r="N33" s="218" t="s">
        <v>35</v>
      </c>
      <c r="O33" s="217">
        <v>191118</v>
      </c>
      <c r="P33" s="217"/>
      <c r="Q33" s="217">
        <v>98182</v>
      </c>
      <c r="R33" s="217"/>
      <c r="S33" s="217">
        <v>91485</v>
      </c>
      <c r="T33" s="217">
        <v>1451</v>
      </c>
      <c r="U33" s="217"/>
      <c r="V33" s="217">
        <v>250223</v>
      </c>
      <c r="W33" s="217"/>
      <c r="X33" s="217">
        <v>166530</v>
      </c>
      <c r="Y33" s="217"/>
      <c r="Z33" s="217">
        <v>83693</v>
      </c>
      <c r="AB33" s="340" t="s">
        <v>35</v>
      </c>
      <c r="AC33" s="13">
        <v>178114</v>
      </c>
      <c r="AD33" s="13">
        <v>84453</v>
      </c>
      <c r="AE33" s="13">
        <v>82608</v>
      </c>
      <c r="AF33" s="7">
        <v>11053</v>
      </c>
      <c r="AG33" s="13"/>
      <c r="AH33" s="13">
        <v>232862</v>
      </c>
      <c r="AI33" s="13">
        <v>159936</v>
      </c>
      <c r="AJ33" s="13">
        <v>72926</v>
      </c>
      <c r="AL33" s="566" t="s">
        <v>35</v>
      </c>
      <c r="AM33" s="486">
        <v>223433.71791263801</v>
      </c>
      <c r="AN33" s="486">
        <v>108672.65300868252</v>
      </c>
      <c r="AO33" s="486">
        <v>112116.13867872371</v>
      </c>
      <c r="AP33" s="486">
        <v>2644.9262252319477</v>
      </c>
      <c r="AQ33" s="486"/>
      <c r="AR33" s="486">
        <v>244933.265625</v>
      </c>
      <c r="AS33" s="486">
        <v>153033.71419342727</v>
      </c>
      <c r="AT33" s="486">
        <v>91899.559047949035</v>
      </c>
    </row>
    <row r="34" spans="1:46" s="210" customFormat="1" ht="15.95" customHeight="1" x14ac:dyDescent="0.25">
      <c r="A34" s="218" t="s">
        <v>58</v>
      </c>
      <c r="B34" s="216">
        <v>48124</v>
      </c>
      <c r="C34" s="216"/>
      <c r="D34" s="216">
        <v>5602</v>
      </c>
      <c r="E34" s="216"/>
      <c r="F34" s="216">
        <v>42329</v>
      </c>
      <c r="G34" s="216">
        <v>193</v>
      </c>
      <c r="H34" s="217"/>
      <c r="I34" s="216">
        <v>153805</v>
      </c>
      <c r="J34" s="216"/>
      <c r="K34" s="216">
        <v>111981</v>
      </c>
      <c r="L34" s="216"/>
      <c r="M34" s="216">
        <v>41824</v>
      </c>
      <c r="N34" s="218" t="s">
        <v>58</v>
      </c>
      <c r="O34" s="217">
        <v>77066</v>
      </c>
      <c r="P34" s="217"/>
      <c r="Q34" s="217">
        <v>13584</v>
      </c>
      <c r="R34" s="217"/>
      <c r="S34" s="217">
        <v>62276</v>
      </c>
      <c r="T34" s="217">
        <v>1206</v>
      </c>
      <c r="U34" s="217"/>
      <c r="V34" s="217">
        <v>166719</v>
      </c>
      <c r="W34" s="217"/>
      <c r="X34" s="217">
        <v>103233</v>
      </c>
      <c r="Y34" s="217"/>
      <c r="Z34" s="217">
        <v>63486</v>
      </c>
      <c r="AB34" s="340" t="s">
        <v>58</v>
      </c>
      <c r="AC34" s="13">
        <v>57540</v>
      </c>
      <c r="AD34" s="13">
        <v>2836</v>
      </c>
      <c r="AE34" s="13">
        <v>54138</v>
      </c>
      <c r="AF34" s="7">
        <v>566</v>
      </c>
      <c r="AG34" s="13"/>
      <c r="AH34" s="13">
        <v>160627</v>
      </c>
      <c r="AI34" s="13">
        <v>106868</v>
      </c>
      <c r="AJ34" s="13">
        <v>53759</v>
      </c>
      <c r="AL34" s="566" t="s">
        <v>58</v>
      </c>
      <c r="AM34" s="486">
        <v>92803.955253690976</v>
      </c>
      <c r="AN34" s="486">
        <v>2579.0164003026343</v>
      </c>
      <c r="AO34" s="486">
        <v>89879.908076313121</v>
      </c>
      <c r="AP34" s="486">
        <v>345.03077707524164</v>
      </c>
      <c r="AQ34" s="486"/>
      <c r="AR34" s="486">
        <v>403254.34375</v>
      </c>
      <c r="AS34" s="486">
        <v>149353.32773864234</v>
      </c>
      <c r="AT34" s="486">
        <v>253901.00588184889</v>
      </c>
    </row>
    <row r="35" spans="1:46" s="210" customFormat="1" ht="15.95" customHeight="1" x14ac:dyDescent="0.25">
      <c r="A35" s="218" t="s">
        <v>37</v>
      </c>
      <c r="B35" s="216">
        <v>444616</v>
      </c>
      <c r="C35" s="216"/>
      <c r="D35" s="216">
        <v>50317</v>
      </c>
      <c r="E35" s="216"/>
      <c r="F35" s="216">
        <v>392216</v>
      </c>
      <c r="G35" s="216">
        <v>2083</v>
      </c>
      <c r="H35" s="217"/>
      <c r="I35" s="216">
        <v>437547</v>
      </c>
      <c r="J35" s="216"/>
      <c r="K35" s="216">
        <v>98388</v>
      </c>
      <c r="L35" s="216"/>
      <c r="M35" s="216">
        <v>339159</v>
      </c>
      <c r="N35" s="218" t="s">
        <v>37</v>
      </c>
      <c r="O35" s="217">
        <v>436691</v>
      </c>
      <c r="P35" s="217"/>
      <c r="Q35" s="217">
        <v>48935</v>
      </c>
      <c r="R35" s="217"/>
      <c r="S35" s="217">
        <v>382585</v>
      </c>
      <c r="T35" s="217">
        <v>5171</v>
      </c>
      <c r="U35" s="217"/>
      <c r="V35" s="217">
        <v>432701</v>
      </c>
      <c r="W35" s="217"/>
      <c r="X35" s="217">
        <v>102938</v>
      </c>
      <c r="Y35" s="217"/>
      <c r="Z35" s="217">
        <v>329763</v>
      </c>
      <c r="AB35" s="340" t="s">
        <v>37</v>
      </c>
      <c r="AC35" s="13">
        <v>435176</v>
      </c>
      <c r="AD35" s="13">
        <v>62203</v>
      </c>
      <c r="AE35" s="13">
        <v>367251</v>
      </c>
      <c r="AF35" s="7">
        <v>5722</v>
      </c>
      <c r="AG35" s="13"/>
      <c r="AH35" s="13">
        <v>430886</v>
      </c>
      <c r="AI35" s="13">
        <v>103893</v>
      </c>
      <c r="AJ35" s="13">
        <v>326993</v>
      </c>
      <c r="AL35" s="566" t="s">
        <v>37</v>
      </c>
      <c r="AM35" s="486">
        <v>561008.59396327019</v>
      </c>
      <c r="AN35" s="486">
        <v>88752.268776671161</v>
      </c>
      <c r="AO35" s="486">
        <v>466127.26867591526</v>
      </c>
      <c r="AP35" s="486">
        <v>6129.0565106846534</v>
      </c>
      <c r="AQ35" s="486"/>
      <c r="AR35" s="486">
        <v>488156.3125</v>
      </c>
      <c r="AS35" s="486">
        <v>121406.32819004489</v>
      </c>
      <c r="AT35" s="486">
        <v>366749.99239456205</v>
      </c>
    </row>
    <row r="36" spans="1:46" s="210" customFormat="1" ht="15.95" customHeight="1" x14ac:dyDescent="0.25">
      <c r="A36" s="218" t="s">
        <v>38</v>
      </c>
      <c r="B36" s="216">
        <v>37371</v>
      </c>
      <c r="C36" s="216"/>
      <c r="D36" s="216">
        <v>5261</v>
      </c>
      <c r="E36" s="216"/>
      <c r="F36" s="216">
        <v>31851</v>
      </c>
      <c r="G36" s="216">
        <v>259</v>
      </c>
      <c r="H36" s="217"/>
      <c r="I36" s="216">
        <v>31312</v>
      </c>
      <c r="J36" s="216"/>
      <c r="K36" s="216">
        <v>6637</v>
      </c>
      <c r="L36" s="216"/>
      <c r="M36" s="216">
        <v>24675</v>
      </c>
      <c r="N36" s="218" t="s">
        <v>38</v>
      </c>
      <c r="O36" s="217">
        <v>37015</v>
      </c>
      <c r="P36" s="217"/>
      <c r="Q36" s="217">
        <v>4978</v>
      </c>
      <c r="R36" s="217"/>
      <c r="S36" s="217">
        <v>31764</v>
      </c>
      <c r="T36" s="217">
        <v>273</v>
      </c>
      <c r="U36" s="217"/>
      <c r="V36" s="217">
        <v>34431</v>
      </c>
      <c r="W36" s="217"/>
      <c r="X36" s="217">
        <v>7694</v>
      </c>
      <c r="Y36" s="217"/>
      <c r="Z36" s="217">
        <v>26737</v>
      </c>
      <c r="AB36" s="340" t="s">
        <v>38</v>
      </c>
      <c r="AC36" s="13">
        <v>33595</v>
      </c>
      <c r="AD36" s="13">
        <v>4788</v>
      </c>
      <c r="AE36" s="13">
        <v>28581</v>
      </c>
      <c r="AF36" s="7">
        <v>226</v>
      </c>
      <c r="AG36" s="13"/>
      <c r="AH36" s="13">
        <v>32472</v>
      </c>
      <c r="AI36" s="13">
        <v>7423</v>
      </c>
      <c r="AJ36" s="13">
        <v>25049</v>
      </c>
      <c r="AL36" s="566" t="s">
        <v>38</v>
      </c>
      <c r="AM36" s="486">
        <v>38171.768968985896</v>
      </c>
      <c r="AN36" s="486">
        <v>4637.250560944949</v>
      </c>
      <c r="AO36" s="486">
        <v>33319.28570692581</v>
      </c>
      <c r="AP36" s="486">
        <v>215.23270111510755</v>
      </c>
      <c r="AQ36" s="486"/>
      <c r="AR36" s="486">
        <v>35232.640625</v>
      </c>
      <c r="AS36" s="486">
        <v>6812.6144716745293</v>
      </c>
      <c r="AT36" s="486">
        <v>28420.025590198842</v>
      </c>
    </row>
    <row r="37" spans="1:46" s="210" customFormat="1" ht="15.95" customHeight="1" x14ac:dyDescent="0.25">
      <c r="A37" s="218" t="s">
        <v>39</v>
      </c>
      <c r="B37" s="216">
        <v>14016</v>
      </c>
      <c r="C37" s="216"/>
      <c r="D37" s="216">
        <v>5506</v>
      </c>
      <c r="E37" s="216"/>
      <c r="F37" s="216">
        <v>8510</v>
      </c>
      <c r="G37" s="216" t="s">
        <v>47</v>
      </c>
      <c r="H37" s="217"/>
      <c r="I37" s="216">
        <v>28773</v>
      </c>
      <c r="J37" s="216"/>
      <c r="K37" s="216">
        <v>20764</v>
      </c>
      <c r="L37" s="216"/>
      <c r="M37" s="216">
        <v>8009</v>
      </c>
      <c r="N37" s="218" t="s">
        <v>39</v>
      </c>
      <c r="O37" s="217">
        <v>12156</v>
      </c>
      <c r="P37" s="217"/>
      <c r="Q37" s="217">
        <v>4714</v>
      </c>
      <c r="R37" s="217"/>
      <c r="S37" s="217">
        <v>7442</v>
      </c>
      <c r="T37" s="216" t="s">
        <v>47</v>
      </c>
      <c r="U37" s="217"/>
      <c r="V37" s="217">
        <v>24444</v>
      </c>
      <c r="W37" s="217"/>
      <c r="X37" s="217">
        <v>17897</v>
      </c>
      <c r="Y37" s="217"/>
      <c r="Z37" s="217">
        <v>6547</v>
      </c>
      <c r="AB37" s="340" t="s">
        <v>39</v>
      </c>
      <c r="AC37" s="13">
        <v>11979</v>
      </c>
      <c r="AD37" s="13">
        <v>4184</v>
      </c>
      <c r="AE37" s="13">
        <v>7795</v>
      </c>
      <c r="AF37" s="7" t="s">
        <v>47</v>
      </c>
      <c r="AG37" s="13"/>
      <c r="AH37" s="13">
        <v>23783</v>
      </c>
      <c r="AI37" s="13">
        <v>16671</v>
      </c>
      <c r="AJ37" s="13">
        <v>7112</v>
      </c>
      <c r="AL37" s="566" t="s">
        <v>39</v>
      </c>
      <c r="AM37" s="486">
        <v>17005.471637404884</v>
      </c>
      <c r="AN37" s="486">
        <v>8020.2201736657198</v>
      </c>
      <c r="AO37" s="486">
        <v>8985.2514637391523</v>
      </c>
      <c r="AP37" s="486">
        <v>0</v>
      </c>
      <c r="AQ37" s="486"/>
      <c r="AR37" s="486">
        <v>23451.09765625</v>
      </c>
      <c r="AS37" s="486">
        <v>15079.998748799922</v>
      </c>
      <c r="AT37" s="486">
        <v>8371.09907198363</v>
      </c>
    </row>
    <row r="38" spans="1:46" s="210" customFormat="1" ht="15.95" customHeight="1" x14ac:dyDescent="0.25">
      <c r="A38" s="220" t="s">
        <v>40</v>
      </c>
      <c r="B38" s="221">
        <v>161405</v>
      </c>
      <c r="C38" s="221"/>
      <c r="D38" s="221">
        <v>14973</v>
      </c>
      <c r="E38" s="221"/>
      <c r="F38" s="221">
        <v>142410</v>
      </c>
      <c r="G38" s="221">
        <v>4022</v>
      </c>
      <c r="H38" s="222"/>
      <c r="I38" s="221">
        <v>138222</v>
      </c>
      <c r="J38" s="221"/>
      <c r="K38" s="221">
        <v>21311</v>
      </c>
      <c r="L38" s="221"/>
      <c r="M38" s="221">
        <v>116911</v>
      </c>
      <c r="N38" s="220" t="s">
        <v>40</v>
      </c>
      <c r="O38" s="222">
        <v>193895</v>
      </c>
      <c r="P38" s="222"/>
      <c r="Q38" s="222">
        <v>11942</v>
      </c>
      <c r="R38" s="222"/>
      <c r="S38" s="222">
        <v>176374</v>
      </c>
      <c r="T38" s="222">
        <v>5579</v>
      </c>
      <c r="U38" s="222"/>
      <c r="V38" s="222">
        <v>156907</v>
      </c>
      <c r="W38" s="222"/>
      <c r="X38" s="222">
        <v>18151</v>
      </c>
      <c r="Y38" s="222"/>
      <c r="Z38" s="222">
        <v>138756</v>
      </c>
      <c r="AB38" s="342" t="s">
        <v>40</v>
      </c>
      <c r="AC38" s="343">
        <v>159108</v>
      </c>
      <c r="AD38" s="343">
        <v>9215</v>
      </c>
      <c r="AE38" s="343">
        <v>139091</v>
      </c>
      <c r="AF38" s="343">
        <v>10802</v>
      </c>
      <c r="AG38" s="343"/>
      <c r="AH38" s="343">
        <v>124891</v>
      </c>
      <c r="AI38" s="343">
        <v>13457</v>
      </c>
      <c r="AJ38" s="343">
        <v>111434</v>
      </c>
      <c r="AL38" s="568" t="s">
        <v>40</v>
      </c>
      <c r="AM38" s="569">
        <v>181431.86575812372</v>
      </c>
      <c r="AN38" s="569">
        <v>12965.438105068681</v>
      </c>
      <c r="AO38" s="569">
        <v>160392.08430563196</v>
      </c>
      <c r="AP38" s="569">
        <v>8074.343347423418</v>
      </c>
      <c r="AQ38" s="569"/>
      <c r="AR38" s="569">
        <v>151756.8125</v>
      </c>
      <c r="AS38" s="569">
        <v>14434.142762681751</v>
      </c>
      <c r="AT38" s="569">
        <v>137322.67499390189</v>
      </c>
    </row>
    <row r="39" spans="1:46" s="210" customFormat="1" ht="12" customHeight="1" x14ac:dyDescent="0.25">
      <c r="A39" s="209"/>
      <c r="B39" s="216"/>
      <c r="C39" s="216"/>
      <c r="D39" s="216"/>
      <c r="E39" s="216"/>
      <c r="F39" s="216"/>
      <c r="G39" s="216"/>
      <c r="H39" s="217"/>
      <c r="I39" s="216"/>
      <c r="J39" s="216"/>
      <c r="K39" s="216"/>
      <c r="L39" s="216"/>
      <c r="M39" s="216"/>
      <c r="N39" s="209"/>
      <c r="O39" s="217"/>
      <c r="P39" s="217"/>
      <c r="Q39" s="217"/>
      <c r="R39" s="217"/>
      <c r="S39" s="217"/>
      <c r="T39" s="217"/>
      <c r="U39" s="217"/>
      <c r="V39" s="217"/>
      <c r="W39" s="217"/>
      <c r="X39" s="217"/>
      <c r="Y39" s="217"/>
      <c r="Z39" s="217"/>
      <c r="AB39" s="11"/>
      <c r="AC39" s="13"/>
      <c r="AD39" s="13"/>
      <c r="AE39" s="13"/>
      <c r="AF39" s="13"/>
      <c r="AG39" s="13"/>
      <c r="AH39" s="13"/>
      <c r="AI39" s="13"/>
      <c r="AJ39" s="13"/>
      <c r="AL39" s="1068" t="s">
        <v>837</v>
      </c>
      <c r="AM39" s="1069"/>
      <c r="AN39" s="1069"/>
      <c r="AO39" s="1069"/>
      <c r="AP39" s="1069"/>
      <c r="AQ39" s="1069"/>
      <c r="AR39" s="1069"/>
      <c r="AS39" s="1069"/>
      <c r="AT39" s="1069"/>
    </row>
    <row r="40" spans="1:46" s="11" customFormat="1" ht="12" customHeight="1" x14ac:dyDescent="0.25">
      <c r="A40" s="232"/>
      <c r="B40" s="230"/>
      <c r="C40" s="230"/>
      <c r="D40" s="230"/>
      <c r="E40" s="10"/>
      <c r="F40" s="230"/>
      <c r="G40" s="230"/>
      <c r="H40" s="10"/>
      <c r="I40" s="230"/>
      <c r="J40" s="230"/>
      <c r="K40" s="230"/>
      <c r="L40" s="10"/>
      <c r="M40" s="233" t="s">
        <v>59</v>
      </c>
      <c r="N40" s="234" t="s">
        <v>725</v>
      </c>
      <c r="O40" s="230"/>
      <c r="P40" s="231"/>
      <c r="Q40" s="230"/>
      <c r="R40" s="9"/>
      <c r="S40" s="230"/>
      <c r="T40" s="230"/>
      <c r="U40" s="10"/>
      <c r="V40" s="230"/>
      <c r="W40" s="230"/>
      <c r="X40" s="231"/>
      <c r="Y40" s="10"/>
      <c r="Z40" s="231"/>
      <c r="AB40" s="235" t="s">
        <v>726</v>
      </c>
      <c r="AC40" s="7"/>
      <c r="AD40" s="7"/>
      <c r="AE40" s="7"/>
      <c r="AF40" s="7"/>
      <c r="AH40" s="7"/>
      <c r="AI40" s="13"/>
      <c r="AJ40" s="13"/>
      <c r="AL40" s="235" t="s">
        <v>726</v>
      </c>
    </row>
    <row r="41" spans="1:46" s="239" customFormat="1" ht="12" customHeight="1" x14ac:dyDescent="0.25">
      <c r="A41" s="236"/>
      <c r="B41" s="237"/>
      <c r="C41" s="236"/>
      <c r="D41" s="237"/>
      <c r="E41" s="237"/>
      <c r="F41" s="237"/>
      <c r="G41" s="237"/>
      <c r="H41" s="237"/>
      <c r="I41" s="237"/>
      <c r="J41" s="236"/>
      <c r="K41" s="236"/>
      <c r="L41" s="236"/>
      <c r="M41" s="238"/>
      <c r="N41" s="236"/>
      <c r="O41" s="237"/>
      <c r="P41" s="236"/>
      <c r="Q41" s="237"/>
      <c r="R41" s="237"/>
      <c r="S41" s="237"/>
      <c r="T41" s="237"/>
      <c r="U41" s="237"/>
      <c r="V41" s="237"/>
      <c r="W41" s="236"/>
      <c r="X41" s="236"/>
      <c r="Y41" s="236"/>
      <c r="Z41" s="236"/>
      <c r="AB41" s="240" t="s">
        <v>720</v>
      </c>
      <c r="AC41" s="241"/>
      <c r="AD41" s="241"/>
      <c r="AE41" s="241"/>
      <c r="AF41" s="241"/>
      <c r="AG41" s="241"/>
      <c r="AH41" s="241"/>
      <c r="AL41" s="240" t="s">
        <v>839</v>
      </c>
    </row>
  </sheetData>
  <mergeCells count="27">
    <mergeCell ref="X4:Z4"/>
    <mergeCell ref="AL1:AT1"/>
    <mergeCell ref="AL2:AT2"/>
    <mergeCell ref="AL4:AL5"/>
    <mergeCell ref="AM4:AP4"/>
    <mergeCell ref="AR4:AT4"/>
    <mergeCell ref="N4:N5"/>
    <mergeCell ref="O4:O5"/>
    <mergeCell ref="P4:P5"/>
    <mergeCell ref="Q4:T4"/>
    <mergeCell ref="V4:V5"/>
    <mergeCell ref="AL39:AT39"/>
    <mergeCell ref="K4:M4"/>
    <mergeCell ref="A1:M1"/>
    <mergeCell ref="N1:Z1"/>
    <mergeCell ref="AB1:AJ1"/>
    <mergeCell ref="A2:M2"/>
    <mergeCell ref="N2:Z2"/>
    <mergeCell ref="AB2:AJ2"/>
    <mergeCell ref="A4:A5"/>
    <mergeCell ref="B4:B5"/>
    <mergeCell ref="C4:C5"/>
    <mergeCell ref="D4:G4"/>
    <mergeCell ref="I4:I5"/>
    <mergeCell ref="AB4:AB5"/>
    <mergeCell ref="AC4:AF4"/>
    <mergeCell ref="AH4:AJ4"/>
  </mergeCells>
  <printOptions horizontalCentered="1"/>
  <pageMargins left="0.9055118110236221"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AN57"/>
  <sheetViews>
    <sheetView showGridLines="0" topLeftCell="AD1" zoomScaleNormal="100" zoomScaleSheetLayoutView="100" workbookViewId="0">
      <selection activeCell="AF23" sqref="AF23"/>
    </sheetView>
  </sheetViews>
  <sheetFormatPr baseColWidth="10" defaultColWidth="11.28515625" defaultRowHeight="12.75" customHeight="1" x14ac:dyDescent="0.3"/>
  <cols>
    <col min="1" max="3" width="0" style="195" hidden="1" customWidth="1"/>
    <col min="4" max="4" width="2" style="195" hidden="1" customWidth="1"/>
    <col min="5" max="6" width="0" style="195" hidden="1" customWidth="1"/>
    <col min="7" max="7" width="2" style="195" hidden="1" customWidth="1"/>
    <col min="8" max="10" width="0" style="195" hidden="1" customWidth="1"/>
    <col min="11" max="11" width="8.7109375" style="195" hidden="1" customWidth="1"/>
    <col min="12" max="12" width="0" style="195" hidden="1" customWidth="1"/>
    <col min="13" max="13" width="1.7109375" style="195" hidden="1" customWidth="1"/>
    <col min="14" max="14" width="8.7109375" style="195" hidden="1" customWidth="1"/>
    <col min="15" max="15" width="0" style="195" hidden="1" customWidth="1"/>
    <col min="16" max="16" width="1.7109375" style="195" hidden="1" customWidth="1"/>
    <col min="17" max="17" width="8.7109375" style="195" hidden="1" customWidth="1"/>
    <col min="18" max="18" width="0" style="195" hidden="1" customWidth="1"/>
    <col min="19" max="19" width="0" style="93" hidden="1" customWidth="1"/>
    <col min="20" max="20" width="18.140625" style="93" hidden="1" customWidth="1"/>
    <col min="21" max="21" width="7.5703125" style="93" hidden="1" customWidth="1"/>
    <col min="22" max="22" width="10.28515625" style="93" hidden="1" customWidth="1"/>
    <col min="23" max="23" width="1.7109375" style="93" hidden="1" customWidth="1"/>
    <col min="24" max="24" width="7.5703125" style="93" hidden="1" customWidth="1"/>
    <col min="25" max="25" width="10.28515625" style="93" hidden="1" customWidth="1"/>
    <col min="26" max="26" width="1.7109375" style="93" hidden="1" customWidth="1"/>
    <col min="27" max="27" width="7.5703125" style="93" hidden="1" customWidth="1"/>
    <col min="28" max="28" width="10.28515625" style="93" hidden="1" customWidth="1"/>
    <col min="29" max="29" width="1.5703125" style="93" hidden="1" customWidth="1"/>
    <col min="30" max="30" width="15.140625" style="93" customWidth="1"/>
    <col min="31" max="31" width="10.42578125" style="93" customWidth="1"/>
    <col min="32" max="32" width="14" style="93" customWidth="1"/>
    <col min="33" max="33" width="1.7109375" style="93" customWidth="1"/>
    <col min="34" max="34" width="10.42578125" style="93" customWidth="1"/>
    <col min="35" max="35" width="14" style="93" customWidth="1"/>
    <col min="36" max="36" width="1.7109375" style="93" customWidth="1"/>
    <col min="37" max="37" width="10.42578125" style="93" customWidth="1"/>
    <col min="38" max="38" width="14" style="93" customWidth="1"/>
    <col min="39" max="16384" width="11.28515625" style="93"/>
  </cols>
  <sheetData>
    <row r="1" spans="1:38" ht="12.75" customHeight="1" x14ac:dyDescent="0.3">
      <c r="A1" s="1084" t="s">
        <v>60</v>
      </c>
      <c r="B1" s="1084"/>
      <c r="C1" s="1084"/>
      <c r="D1" s="1084"/>
      <c r="E1" s="1084"/>
      <c r="F1" s="1084"/>
      <c r="G1" s="1084"/>
      <c r="H1" s="1084"/>
      <c r="I1" s="1084"/>
      <c r="J1" s="1084" t="s">
        <v>60</v>
      </c>
      <c r="K1" s="1084"/>
      <c r="L1" s="1084"/>
      <c r="M1" s="1084"/>
      <c r="N1" s="1084"/>
      <c r="O1" s="1084"/>
      <c r="P1" s="1084"/>
      <c r="Q1" s="1084"/>
      <c r="R1" s="1084"/>
      <c r="T1" s="1070" t="s">
        <v>61</v>
      </c>
      <c r="U1" s="1070"/>
      <c r="V1" s="1070"/>
      <c r="W1" s="1070"/>
      <c r="X1" s="1070"/>
      <c r="Y1" s="1070"/>
      <c r="Z1" s="1070"/>
      <c r="AA1" s="1070"/>
      <c r="AB1" s="1070"/>
      <c r="AD1" s="1070" t="s">
        <v>61</v>
      </c>
      <c r="AE1" s="1070"/>
      <c r="AF1" s="1070"/>
      <c r="AG1" s="1070"/>
      <c r="AH1" s="1070"/>
      <c r="AI1" s="1070"/>
      <c r="AJ1" s="1070"/>
      <c r="AK1" s="1070"/>
      <c r="AL1" s="1070"/>
    </row>
    <row r="2" spans="1:38" ht="12.75" customHeight="1" x14ac:dyDescent="0.3">
      <c r="A2" s="1084" t="s">
        <v>62</v>
      </c>
      <c r="B2" s="1084"/>
      <c r="C2" s="1084"/>
      <c r="D2" s="1084"/>
      <c r="E2" s="1084"/>
      <c r="F2" s="1084"/>
      <c r="G2" s="1084"/>
      <c r="H2" s="1084"/>
      <c r="I2" s="1084"/>
      <c r="J2" s="1084" t="s">
        <v>62</v>
      </c>
      <c r="K2" s="1084"/>
      <c r="L2" s="1084"/>
      <c r="M2" s="1084"/>
      <c r="N2" s="1084"/>
      <c r="O2" s="1084"/>
      <c r="P2" s="1084"/>
      <c r="Q2" s="1084"/>
      <c r="R2" s="1084"/>
      <c r="T2" s="1070" t="s">
        <v>774</v>
      </c>
      <c r="U2" s="1070"/>
      <c r="V2" s="1070"/>
      <c r="W2" s="1070"/>
      <c r="X2" s="1070"/>
      <c r="Y2" s="1070"/>
      <c r="Z2" s="1070"/>
      <c r="AA2" s="1070"/>
      <c r="AB2" s="1070"/>
      <c r="AD2" s="1070" t="s">
        <v>836</v>
      </c>
      <c r="AE2" s="1070"/>
      <c r="AF2" s="1070"/>
      <c r="AG2" s="1070"/>
      <c r="AH2" s="1070"/>
      <c r="AI2" s="1070"/>
      <c r="AJ2" s="1070"/>
      <c r="AK2" s="1070"/>
      <c r="AL2" s="1070"/>
    </row>
    <row r="3" spans="1:38" ht="12.75" customHeight="1" x14ac:dyDescent="0.3">
      <c r="A3" s="175"/>
      <c r="B3" s="176"/>
      <c r="C3" s="176"/>
      <c r="D3" s="176"/>
      <c r="E3" s="176"/>
      <c r="F3" s="176"/>
      <c r="G3" s="176"/>
      <c r="H3" s="176"/>
      <c r="I3" s="141"/>
      <c r="J3" s="175"/>
      <c r="K3" s="176"/>
      <c r="L3" s="176"/>
      <c r="M3" s="176"/>
      <c r="N3" s="176"/>
      <c r="O3" s="176"/>
      <c r="P3" s="176"/>
      <c r="Q3" s="176"/>
      <c r="R3" s="141" t="s">
        <v>50</v>
      </c>
      <c r="T3" s="177"/>
      <c r="U3" s="178"/>
      <c r="V3" s="178"/>
      <c r="W3" s="178"/>
      <c r="X3" s="178"/>
      <c r="Y3" s="178"/>
      <c r="Z3" s="178"/>
      <c r="AA3" s="178"/>
      <c r="AB3" s="142"/>
      <c r="AD3" s="177"/>
      <c r="AE3" s="178"/>
      <c r="AF3" s="178"/>
      <c r="AG3" s="178"/>
      <c r="AH3" s="178"/>
      <c r="AI3" s="178"/>
      <c r="AJ3" s="178"/>
      <c r="AK3" s="178"/>
      <c r="AL3" s="142"/>
    </row>
    <row r="4" spans="1:38" ht="21.95" customHeight="1" x14ac:dyDescent="0.3">
      <c r="A4" s="1085" t="s">
        <v>4</v>
      </c>
      <c r="B4" s="1087" t="s">
        <v>57</v>
      </c>
      <c r="C4" s="1087"/>
      <c r="D4" s="143"/>
      <c r="E4" s="1087" t="s">
        <v>63</v>
      </c>
      <c r="F4" s="1087"/>
      <c r="G4" s="143"/>
      <c r="H4" s="1087" t="s">
        <v>64</v>
      </c>
      <c r="I4" s="1087"/>
      <c r="J4" s="1085" t="s">
        <v>4</v>
      </c>
      <c r="K4" s="1087" t="s">
        <v>57</v>
      </c>
      <c r="L4" s="1087"/>
      <c r="M4" s="143"/>
      <c r="N4" s="1087" t="s">
        <v>63</v>
      </c>
      <c r="O4" s="1087"/>
      <c r="P4" s="143"/>
      <c r="Q4" s="1087" t="s">
        <v>64</v>
      </c>
      <c r="R4" s="1087"/>
      <c r="T4" s="1088" t="s">
        <v>4</v>
      </c>
      <c r="U4" s="1081" t="s">
        <v>57</v>
      </c>
      <c r="V4" s="1081"/>
      <c r="W4" s="345"/>
      <c r="X4" s="1081" t="s">
        <v>63</v>
      </c>
      <c r="Y4" s="1081"/>
      <c r="Z4" s="345"/>
      <c r="AA4" s="1081" t="s">
        <v>64</v>
      </c>
      <c r="AB4" s="1081"/>
      <c r="AD4" s="1089" t="s">
        <v>4</v>
      </c>
      <c r="AE4" s="1083" t="s">
        <v>57</v>
      </c>
      <c r="AF4" s="1083"/>
      <c r="AG4" s="570"/>
      <c r="AH4" s="1083" t="s">
        <v>63</v>
      </c>
      <c r="AI4" s="1083"/>
      <c r="AJ4" s="570"/>
      <c r="AK4" s="1083" t="s">
        <v>64</v>
      </c>
      <c r="AL4" s="1083"/>
    </row>
    <row r="5" spans="1:38" ht="45" customHeight="1" x14ac:dyDescent="0.3">
      <c r="A5" s="1086"/>
      <c r="B5" s="144" t="s">
        <v>65</v>
      </c>
      <c r="C5" s="179" t="s">
        <v>66</v>
      </c>
      <c r="D5" s="145"/>
      <c r="E5" s="144" t="s">
        <v>65</v>
      </c>
      <c r="F5" s="179" t="s">
        <v>66</v>
      </c>
      <c r="G5" s="145"/>
      <c r="H5" s="144" t="s">
        <v>65</v>
      </c>
      <c r="I5" s="179" t="s">
        <v>66</v>
      </c>
      <c r="J5" s="1086"/>
      <c r="K5" s="144" t="s">
        <v>65</v>
      </c>
      <c r="L5" s="179" t="s">
        <v>66</v>
      </c>
      <c r="M5" s="145"/>
      <c r="N5" s="144" t="s">
        <v>65</v>
      </c>
      <c r="O5" s="179" t="s">
        <v>66</v>
      </c>
      <c r="P5" s="145"/>
      <c r="Q5" s="144" t="s">
        <v>65</v>
      </c>
      <c r="R5" s="179" t="s">
        <v>66</v>
      </c>
      <c r="T5" s="1088"/>
      <c r="U5" s="346" t="s">
        <v>65</v>
      </c>
      <c r="V5" s="347" t="s">
        <v>66</v>
      </c>
      <c r="W5" s="348"/>
      <c r="X5" s="346" t="s">
        <v>65</v>
      </c>
      <c r="Y5" s="347" t="s">
        <v>66</v>
      </c>
      <c r="Z5" s="348"/>
      <c r="AA5" s="346" t="s">
        <v>65</v>
      </c>
      <c r="AB5" s="347" t="s">
        <v>66</v>
      </c>
      <c r="AD5" s="1089"/>
      <c r="AE5" s="571" t="s">
        <v>65</v>
      </c>
      <c r="AF5" s="572" t="s">
        <v>66</v>
      </c>
      <c r="AG5" s="573"/>
      <c r="AH5" s="571" t="s">
        <v>65</v>
      </c>
      <c r="AI5" s="572" t="s">
        <v>66</v>
      </c>
      <c r="AJ5" s="573"/>
      <c r="AK5" s="571" t="s">
        <v>65</v>
      </c>
      <c r="AL5" s="572" t="s">
        <v>66</v>
      </c>
    </row>
    <row r="6" spans="1:38" ht="12.75" hidden="1" customHeight="1" x14ac:dyDescent="0.3">
      <c r="A6" s="180">
        <v>2017</v>
      </c>
      <c r="B6" s="181"/>
      <c r="C6" s="182"/>
      <c r="D6" s="182"/>
      <c r="E6" s="181"/>
      <c r="F6" s="182"/>
      <c r="G6" s="182"/>
      <c r="H6" s="181"/>
      <c r="I6" s="182"/>
      <c r="J6" s="180">
        <v>2018</v>
      </c>
      <c r="K6" s="181"/>
      <c r="L6" s="182"/>
      <c r="M6" s="182"/>
      <c r="N6" s="181"/>
      <c r="O6" s="182"/>
      <c r="P6" s="182"/>
      <c r="Q6" s="181"/>
      <c r="R6" s="182"/>
      <c r="T6" s="349"/>
      <c r="U6" s="350"/>
      <c r="V6" s="351"/>
      <c r="W6" s="351"/>
      <c r="X6" s="350"/>
      <c r="Y6" s="351"/>
      <c r="Z6" s="351"/>
      <c r="AA6" s="350"/>
      <c r="AB6" s="351"/>
      <c r="AD6" s="574"/>
      <c r="AE6" s="575"/>
      <c r="AF6" s="576"/>
      <c r="AG6" s="576"/>
      <c r="AH6" s="575"/>
      <c r="AI6" s="576"/>
      <c r="AJ6" s="576"/>
      <c r="AK6" s="575"/>
      <c r="AL6" s="576"/>
    </row>
    <row r="7" spans="1:38" s="185" customFormat="1" ht="15.95" customHeight="1" x14ac:dyDescent="0.3">
      <c r="A7" s="183" t="s">
        <v>57</v>
      </c>
      <c r="B7" s="184">
        <v>191081</v>
      </c>
      <c r="C7" s="184">
        <v>166965</v>
      </c>
      <c r="D7" s="184"/>
      <c r="E7" s="184">
        <v>166360</v>
      </c>
      <c r="F7" s="184">
        <v>165889</v>
      </c>
      <c r="G7" s="184"/>
      <c r="H7" s="184">
        <v>24721</v>
      </c>
      <c r="I7" s="184">
        <v>1076</v>
      </c>
      <c r="J7" s="183" t="s">
        <v>57</v>
      </c>
      <c r="K7" s="182">
        <v>189913</v>
      </c>
      <c r="L7" s="182">
        <v>162222</v>
      </c>
      <c r="M7" s="182"/>
      <c r="N7" s="182">
        <v>153821</v>
      </c>
      <c r="O7" s="182">
        <v>160303</v>
      </c>
      <c r="P7" s="182"/>
      <c r="Q7" s="182">
        <v>36092</v>
      </c>
      <c r="R7" s="182">
        <v>1919</v>
      </c>
      <c r="T7" s="334" t="s">
        <v>57</v>
      </c>
      <c r="U7" s="352">
        <v>190667</v>
      </c>
      <c r="V7" s="352">
        <v>177273</v>
      </c>
      <c r="W7" s="352"/>
      <c r="X7" s="352">
        <v>154479</v>
      </c>
      <c r="Y7" s="352">
        <v>175441</v>
      </c>
      <c r="Z7" s="352"/>
      <c r="AA7" s="352">
        <v>36188</v>
      </c>
      <c r="AB7" s="352">
        <v>1832</v>
      </c>
      <c r="AD7" s="563" t="s">
        <v>57</v>
      </c>
      <c r="AE7" s="577">
        <v>172639.04409396445</v>
      </c>
      <c r="AF7" s="577">
        <v>159789.91847987438</v>
      </c>
      <c r="AG7" s="577"/>
      <c r="AH7" s="577">
        <v>114063.40710180027</v>
      </c>
      <c r="AI7" s="577">
        <v>153594.54537024166</v>
      </c>
      <c r="AJ7" s="577"/>
      <c r="AK7" s="577">
        <v>58575.636992164458</v>
      </c>
      <c r="AL7" s="577">
        <v>6195.3731096330348</v>
      </c>
    </row>
    <row r="8" spans="1:38" ht="15.95" customHeight="1" x14ac:dyDescent="0.3">
      <c r="A8" s="183"/>
      <c r="B8" s="158"/>
      <c r="C8" s="158"/>
      <c r="D8" s="158"/>
      <c r="E8" s="159"/>
      <c r="F8" s="159"/>
      <c r="G8" s="159"/>
      <c r="H8" s="159"/>
      <c r="I8" s="159"/>
      <c r="J8" s="183"/>
      <c r="K8" s="158"/>
      <c r="L8" s="158"/>
      <c r="M8" s="158"/>
      <c r="N8" s="159"/>
      <c r="O8" s="159"/>
      <c r="P8" s="159"/>
      <c r="Q8" s="159"/>
      <c r="R8" s="159"/>
      <c r="T8" s="338" t="s">
        <v>12</v>
      </c>
      <c r="U8" s="353"/>
      <c r="V8" s="353"/>
      <c r="W8" s="353"/>
      <c r="X8" s="353"/>
      <c r="Y8" s="353"/>
      <c r="Z8" s="353"/>
      <c r="AA8" s="353"/>
      <c r="AB8" s="353"/>
      <c r="AD8" s="565" t="s">
        <v>12</v>
      </c>
      <c r="AE8" s="578"/>
      <c r="AF8" s="578"/>
      <c r="AG8" s="578"/>
      <c r="AH8" s="578"/>
      <c r="AI8" s="578"/>
      <c r="AJ8" s="578"/>
      <c r="AK8" s="578"/>
      <c r="AL8" s="578"/>
    </row>
    <row r="9" spans="1:38" s="186" customFormat="1" ht="15.95" customHeight="1" x14ac:dyDescent="0.3">
      <c r="A9" s="183" t="s">
        <v>12</v>
      </c>
      <c r="B9" s="158"/>
      <c r="C9" s="158"/>
      <c r="D9" s="158"/>
      <c r="E9" s="159"/>
      <c r="F9" s="159"/>
      <c r="G9" s="159"/>
      <c r="H9" s="159"/>
      <c r="I9" s="159"/>
      <c r="J9" s="183" t="s">
        <v>12</v>
      </c>
      <c r="K9" s="158"/>
      <c r="L9" s="158"/>
      <c r="M9" s="158"/>
      <c r="N9" s="159"/>
      <c r="O9" s="159"/>
      <c r="P9" s="159"/>
      <c r="Q9" s="159"/>
      <c r="R9" s="159"/>
      <c r="T9" s="340" t="s">
        <v>13</v>
      </c>
      <c r="U9" s="353">
        <v>1981</v>
      </c>
      <c r="V9" s="353">
        <v>2046</v>
      </c>
      <c r="W9" s="353"/>
      <c r="X9" s="353">
        <v>1925</v>
      </c>
      <c r="Y9" s="353">
        <v>2037</v>
      </c>
      <c r="Z9" s="353"/>
      <c r="AA9" s="353">
        <v>56</v>
      </c>
      <c r="AB9" s="353">
        <v>9</v>
      </c>
      <c r="AD9" s="566" t="s">
        <v>13</v>
      </c>
      <c r="AE9" s="578">
        <v>2188.2440466244111</v>
      </c>
      <c r="AF9" s="578">
        <v>2761.1989964180439</v>
      </c>
      <c r="AG9" s="578"/>
      <c r="AH9" s="578">
        <v>2128.9046021112886</v>
      </c>
      <c r="AI9" s="578">
        <v>2749.6767741958215</v>
      </c>
      <c r="AJ9" s="578"/>
      <c r="AK9" s="578">
        <v>59.339444513122231</v>
      </c>
      <c r="AL9" s="578">
        <v>11.52222222222222</v>
      </c>
    </row>
    <row r="10" spans="1:38" ht="15.95" customHeight="1" x14ac:dyDescent="0.3">
      <c r="A10" s="187" t="s">
        <v>13</v>
      </c>
      <c r="B10" s="188">
        <v>1080</v>
      </c>
      <c r="C10" s="188">
        <v>1900</v>
      </c>
      <c r="D10" s="188"/>
      <c r="E10" s="188">
        <v>1080</v>
      </c>
      <c r="F10" s="188">
        <v>1900</v>
      </c>
      <c r="G10" s="188"/>
      <c r="H10" s="189" t="s">
        <v>47</v>
      </c>
      <c r="I10" s="189" t="s">
        <v>47</v>
      </c>
      <c r="J10" s="187" t="s">
        <v>13</v>
      </c>
      <c r="K10" s="190">
        <v>1054</v>
      </c>
      <c r="L10" s="188">
        <v>946</v>
      </c>
      <c r="M10" s="188"/>
      <c r="N10" s="190">
        <v>871</v>
      </c>
      <c r="O10" s="188">
        <v>923</v>
      </c>
      <c r="P10" s="188"/>
      <c r="Q10" s="190">
        <v>183</v>
      </c>
      <c r="R10" s="189">
        <v>23</v>
      </c>
      <c r="T10" s="340" t="s">
        <v>14</v>
      </c>
      <c r="U10" s="353">
        <v>47841</v>
      </c>
      <c r="V10" s="353">
        <v>100647</v>
      </c>
      <c r="W10" s="353"/>
      <c r="X10" s="353">
        <v>43338</v>
      </c>
      <c r="Y10" s="353">
        <v>100366</v>
      </c>
      <c r="Z10" s="353"/>
      <c r="AA10" s="353">
        <v>4503</v>
      </c>
      <c r="AB10" s="353">
        <v>281</v>
      </c>
      <c r="AD10" s="566" t="s">
        <v>14</v>
      </c>
      <c r="AE10" s="578">
        <v>50433.698485696121</v>
      </c>
      <c r="AF10" s="578">
        <v>96060.859176037877</v>
      </c>
      <c r="AG10" s="578"/>
      <c r="AH10" s="578">
        <v>38360.69616345453</v>
      </c>
      <c r="AI10" s="578">
        <v>94783.27868849579</v>
      </c>
      <c r="AJ10" s="578"/>
      <c r="AK10" s="578">
        <v>12073.002322241522</v>
      </c>
      <c r="AL10" s="578">
        <v>1277.5804875420631</v>
      </c>
    </row>
    <row r="11" spans="1:38" ht="15.95" customHeight="1" x14ac:dyDescent="0.3">
      <c r="A11" s="187" t="s">
        <v>14</v>
      </c>
      <c r="B11" s="188">
        <v>40639</v>
      </c>
      <c r="C11" s="188">
        <v>89903</v>
      </c>
      <c r="D11" s="188"/>
      <c r="E11" s="188">
        <v>36912</v>
      </c>
      <c r="F11" s="188">
        <v>89845</v>
      </c>
      <c r="G11" s="188"/>
      <c r="H11" s="188">
        <v>3727</v>
      </c>
      <c r="I11" s="188">
        <v>58</v>
      </c>
      <c r="J11" s="187" t="s">
        <v>14</v>
      </c>
      <c r="K11" s="190">
        <v>45481</v>
      </c>
      <c r="L11" s="188">
        <v>91103</v>
      </c>
      <c r="M11" s="188"/>
      <c r="N11" s="190">
        <v>40940</v>
      </c>
      <c r="O11" s="188">
        <v>90845</v>
      </c>
      <c r="P11" s="188"/>
      <c r="Q11" s="190">
        <v>4541</v>
      </c>
      <c r="R11" s="188">
        <v>258</v>
      </c>
      <c r="T11" s="340" t="s">
        <v>15</v>
      </c>
      <c r="U11" s="353">
        <v>140845</v>
      </c>
      <c r="V11" s="353">
        <v>74580</v>
      </c>
      <c r="W11" s="353"/>
      <c r="X11" s="353">
        <v>109216</v>
      </c>
      <c r="Y11" s="353">
        <v>73038</v>
      </c>
      <c r="Z11" s="353"/>
      <c r="AA11" s="353">
        <v>31629</v>
      </c>
      <c r="AB11" s="353">
        <v>1542</v>
      </c>
      <c r="AD11" s="566" t="s">
        <v>15</v>
      </c>
      <c r="AE11" s="578">
        <v>120017.1015616443</v>
      </c>
      <c r="AF11" s="578">
        <v>60967.86030741877</v>
      </c>
      <c r="AG11" s="578"/>
      <c r="AH11" s="578">
        <v>73573.806336234236</v>
      </c>
      <c r="AI11" s="578">
        <v>56061.589907549896</v>
      </c>
      <c r="AJ11" s="578"/>
      <c r="AK11" s="578">
        <v>46443.295225409864</v>
      </c>
      <c r="AL11" s="578">
        <v>4906.2703998687502</v>
      </c>
    </row>
    <row r="12" spans="1:38" ht="3" customHeight="1" x14ac:dyDescent="0.3">
      <c r="A12" s="187" t="s">
        <v>15</v>
      </c>
      <c r="B12" s="188">
        <v>149362</v>
      </c>
      <c r="C12" s="188">
        <v>75162</v>
      </c>
      <c r="D12" s="188"/>
      <c r="E12" s="188">
        <v>128368</v>
      </c>
      <c r="F12" s="188">
        <v>74144</v>
      </c>
      <c r="G12" s="188"/>
      <c r="H12" s="188">
        <v>20994</v>
      </c>
      <c r="I12" s="188">
        <v>1018</v>
      </c>
      <c r="J12" s="187" t="s">
        <v>15</v>
      </c>
      <c r="K12" s="190">
        <v>143378</v>
      </c>
      <c r="L12" s="188">
        <v>70173</v>
      </c>
      <c r="M12" s="188"/>
      <c r="N12" s="190">
        <v>112010</v>
      </c>
      <c r="O12" s="188">
        <v>68535</v>
      </c>
      <c r="P12" s="188"/>
      <c r="Q12" s="190">
        <v>31368</v>
      </c>
      <c r="R12" s="188">
        <v>1638</v>
      </c>
      <c r="T12" s="338"/>
      <c r="U12" s="353"/>
      <c r="V12" s="353"/>
      <c r="W12" s="353"/>
      <c r="X12" s="353"/>
      <c r="Y12" s="353"/>
      <c r="Z12" s="353"/>
      <c r="AA12" s="353"/>
      <c r="AB12" s="353"/>
      <c r="AD12" s="565"/>
      <c r="AE12" s="578"/>
      <c r="AF12" s="578"/>
      <c r="AG12" s="578"/>
      <c r="AH12" s="578"/>
      <c r="AI12" s="578"/>
      <c r="AJ12" s="578"/>
      <c r="AK12" s="578"/>
      <c r="AL12" s="578"/>
    </row>
    <row r="13" spans="1:38" ht="15.95" customHeight="1" x14ac:dyDescent="0.3">
      <c r="A13" s="183"/>
      <c r="B13" s="158"/>
      <c r="C13" s="158"/>
      <c r="D13" s="158"/>
      <c r="E13" s="159"/>
      <c r="F13" s="159"/>
      <c r="G13" s="159"/>
      <c r="H13" s="159"/>
      <c r="I13" s="159"/>
      <c r="J13" s="183"/>
      <c r="K13" s="190"/>
      <c r="L13" s="158"/>
      <c r="M13" s="158"/>
      <c r="N13" s="190"/>
      <c r="O13" s="159"/>
      <c r="P13" s="159"/>
      <c r="Q13" s="190"/>
      <c r="R13" s="159"/>
      <c r="T13" s="338" t="s">
        <v>16</v>
      </c>
      <c r="U13" s="353"/>
      <c r="V13" s="353"/>
      <c r="W13" s="353"/>
      <c r="X13" s="353"/>
      <c r="Y13" s="353"/>
      <c r="Z13" s="353"/>
      <c r="AA13" s="353"/>
      <c r="AB13" s="353"/>
      <c r="AD13" s="565" t="s">
        <v>16</v>
      </c>
      <c r="AE13" s="578"/>
      <c r="AF13" s="578"/>
      <c r="AG13" s="578"/>
      <c r="AH13" s="578"/>
      <c r="AI13" s="578"/>
      <c r="AJ13" s="578"/>
      <c r="AK13" s="578"/>
      <c r="AL13" s="578"/>
    </row>
    <row r="14" spans="1:38" ht="15.95" customHeight="1" x14ac:dyDescent="0.3">
      <c r="A14" s="183" t="s">
        <v>16</v>
      </c>
      <c r="B14" s="158"/>
      <c r="C14" s="158"/>
      <c r="D14" s="158"/>
      <c r="E14" s="159"/>
      <c r="F14" s="159"/>
      <c r="G14" s="159"/>
      <c r="H14" s="159"/>
      <c r="I14" s="159"/>
      <c r="J14" s="183" t="s">
        <v>16</v>
      </c>
      <c r="K14" s="182"/>
      <c r="L14" s="158"/>
      <c r="M14" s="158"/>
      <c r="N14" s="182"/>
      <c r="O14" s="159"/>
      <c r="P14" s="159"/>
      <c r="Q14" s="182"/>
      <c r="R14" s="159"/>
      <c r="T14" s="340" t="s">
        <v>17</v>
      </c>
      <c r="U14" s="353">
        <v>17355</v>
      </c>
      <c r="V14" s="353">
        <v>9263</v>
      </c>
      <c r="W14" s="353"/>
      <c r="X14" s="353">
        <v>9645</v>
      </c>
      <c r="Y14" s="353">
        <v>9023</v>
      </c>
      <c r="Z14" s="353"/>
      <c r="AA14" s="353">
        <v>7710</v>
      </c>
      <c r="AB14" s="353">
        <v>240</v>
      </c>
      <c r="AD14" s="566" t="s">
        <v>17</v>
      </c>
      <c r="AE14" s="578">
        <v>13081.103855030899</v>
      </c>
      <c r="AF14" s="578">
        <v>8783.1309521728672</v>
      </c>
      <c r="AG14" s="578"/>
      <c r="AH14" s="578">
        <v>7710.9055160939624</v>
      </c>
      <c r="AI14" s="578">
        <v>8221.8394961289105</v>
      </c>
      <c r="AJ14" s="578"/>
      <c r="AK14" s="578">
        <v>5370.1983389369216</v>
      </c>
      <c r="AL14" s="578">
        <v>561.29145604395592</v>
      </c>
    </row>
    <row r="15" spans="1:38" ht="15.95" customHeight="1" x14ac:dyDescent="0.3">
      <c r="A15" s="187" t="s">
        <v>17</v>
      </c>
      <c r="B15" s="188">
        <v>15037</v>
      </c>
      <c r="C15" s="188">
        <v>7633</v>
      </c>
      <c r="D15" s="188"/>
      <c r="E15" s="188">
        <v>11251</v>
      </c>
      <c r="F15" s="188">
        <v>7576</v>
      </c>
      <c r="G15" s="188"/>
      <c r="H15" s="188">
        <v>3786</v>
      </c>
      <c r="I15" s="188">
        <v>57</v>
      </c>
      <c r="J15" s="187" t="s">
        <v>17</v>
      </c>
      <c r="K15" s="190">
        <v>12614</v>
      </c>
      <c r="L15" s="188">
        <v>8781</v>
      </c>
      <c r="M15" s="188"/>
      <c r="N15" s="190">
        <v>9984</v>
      </c>
      <c r="O15" s="188">
        <v>8609</v>
      </c>
      <c r="P15" s="188"/>
      <c r="Q15" s="190">
        <v>2630</v>
      </c>
      <c r="R15" s="188">
        <v>172</v>
      </c>
      <c r="T15" s="340" t="s">
        <v>18</v>
      </c>
      <c r="U15" s="353">
        <v>2159</v>
      </c>
      <c r="V15" s="353">
        <v>8088</v>
      </c>
      <c r="W15" s="353"/>
      <c r="X15" s="353">
        <v>2159</v>
      </c>
      <c r="Y15" s="353">
        <v>8088</v>
      </c>
      <c r="Z15" s="353"/>
      <c r="AA15" s="354" t="s">
        <v>47</v>
      </c>
      <c r="AB15" s="354" t="s">
        <v>47</v>
      </c>
      <c r="AD15" s="566" t="s">
        <v>18</v>
      </c>
      <c r="AE15" s="578">
        <v>1233.7989254574204</v>
      </c>
      <c r="AF15" s="578">
        <v>6024.7680860805858</v>
      </c>
      <c r="AG15" s="578"/>
      <c r="AH15" s="578">
        <v>1233.7989254574204</v>
      </c>
      <c r="AI15" s="578">
        <v>6024.7680860805858</v>
      </c>
      <c r="AJ15" s="578"/>
      <c r="AK15" s="579" t="s">
        <v>47</v>
      </c>
      <c r="AL15" s="579" t="s">
        <v>47</v>
      </c>
    </row>
    <row r="16" spans="1:38" ht="15.95" customHeight="1" x14ac:dyDescent="0.3">
      <c r="A16" s="187" t="s">
        <v>18</v>
      </c>
      <c r="B16" s="188">
        <v>2314</v>
      </c>
      <c r="C16" s="188">
        <v>7854</v>
      </c>
      <c r="D16" s="188"/>
      <c r="E16" s="188">
        <v>2314</v>
      </c>
      <c r="F16" s="188">
        <v>7854</v>
      </c>
      <c r="G16" s="188"/>
      <c r="H16" s="189" t="s">
        <v>47</v>
      </c>
      <c r="I16" s="189" t="s">
        <v>47</v>
      </c>
      <c r="J16" s="187" t="s">
        <v>18</v>
      </c>
      <c r="K16" s="190">
        <v>1828</v>
      </c>
      <c r="L16" s="188">
        <v>7726</v>
      </c>
      <c r="M16" s="188"/>
      <c r="N16" s="190">
        <v>1828</v>
      </c>
      <c r="O16" s="188">
        <v>7726</v>
      </c>
      <c r="P16" s="188"/>
      <c r="Q16" s="190" t="s">
        <v>47</v>
      </c>
      <c r="R16" s="190" t="s">
        <v>47</v>
      </c>
      <c r="T16" s="340" t="s">
        <v>19</v>
      </c>
      <c r="U16" s="353">
        <v>1101</v>
      </c>
      <c r="V16" s="353">
        <v>2064</v>
      </c>
      <c r="W16" s="353"/>
      <c r="X16" s="353">
        <v>1101</v>
      </c>
      <c r="Y16" s="353">
        <v>2064</v>
      </c>
      <c r="Z16" s="353"/>
      <c r="AA16" s="354" t="s">
        <v>47</v>
      </c>
      <c r="AB16" s="354" t="s">
        <v>47</v>
      </c>
      <c r="AD16" s="566" t="s">
        <v>19</v>
      </c>
      <c r="AE16" s="578">
        <v>1446.7798034221432</v>
      </c>
      <c r="AF16" s="578">
        <v>2998.0858807858795</v>
      </c>
      <c r="AG16" s="578"/>
      <c r="AH16" s="578">
        <v>1446.7798034221432</v>
      </c>
      <c r="AI16" s="578">
        <v>2998.0858807858795</v>
      </c>
      <c r="AJ16" s="578"/>
      <c r="AK16" s="579" t="s">
        <v>47</v>
      </c>
      <c r="AL16" s="579" t="s">
        <v>47</v>
      </c>
    </row>
    <row r="17" spans="1:38" ht="15.95" customHeight="1" x14ac:dyDescent="0.3">
      <c r="A17" s="187" t="s">
        <v>19</v>
      </c>
      <c r="B17" s="188">
        <v>1478</v>
      </c>
      <c r="C17" s="188">
        <v>2217</v>
      </c>
      <c r="D17" s="188"/>
      <c r="E17" s="188">
        <v>1478</v>
      </c>
      <c r="F17" s="188">
        <v>2217</v>
      </c>
      <c r="G17" s="188"/>
      <c r="H17" s="189" t="s">
        <v>47</v>
      </c>
      <c r="I17" s="189" t="s">
        <v>47</v>
      </c>
      <c r="J17" s="187" t="s">
        <v>19</v>
      </c>
      <c r="K17" s="190">
        <v>1148</v>
      </c>
      <c r="L17" s="188">
        <v>3061</v>
      </c>
      <c r="M17" s="188"/>
      <c r="N17" s="190">
        <v>1148</v>
      </c>
      <c r="O17" s="188">
        <v>3061</v>
      </c>
      <c r="P17" s="188"/>
      <c r="Q17" s="190" t="s">
        <v>47</v>
      </c>
      <c r="R17" s="190" t="s">
        <v>47</v>
      </c>
      <c r="T17" s="340" t="s">
        <v>20</v>
      </c>
      <c r="U17" s="353">
        <v>78</v>
      </c>
      <c r="V17" s="353">
        <v>89</v>
      </c>
      <c r="W17" s="353"/>
      <c r="X17" s="353">
        <v>78</v>
      </c>
      <c r="Y17" s="353">
        <v>89</v>
      </c>
      <c r="Z17" s="353"/>
      <c r="AA17" s="354" t="s">
        <v>47</v>
      </c>
      <c r="AB17" s="354" t="s">
        <v>47</v>
      </c>
      <c r="AD17" s="566" t="s">
        <v>20</v>
      </c>
      <c r="AE17" s="578">
        <v>1.1205357309829977</v>
      </c>
      <c r="AF17" s="578">
        <v>44.821428571428577</v>
      </c>
      <c r="AG17" s="578"/>
      <c r="AH17" s="578">
        <v>1.1205357309829977</v>
      </c>
      <c r="AI17" s="578">
        <v>44.821428571428577</v>
      </c>
      <c r="AJ17" s="578"/>
      <c r="AK17" s="579" t="s">
        <v>47</v>
      </c>
      <c r="AL17" s="579" t="s">
        <v>47</v>
      </c>
    </row>
    <row r="18" spans="1:38" ht="15.95" customHeight="1" x14ac:dyDescent="0.3">
      <c r="A18" s="187" t="s">
        <v>21</v>
      </c>
      <c r="B18" s="188">
        <v>10100</v>
      </c>
      <c r="C18" s="188">
        <v>12455</v>
      </c>
      <c r="D18" s="188"/>
      <c r="E18" s="188">
        <v>10100</v>
      </c>
      <c r="F18" s="188">
        <v>12455</v>
      </c>
      <c r="G18" s="188"/>
      <c r="H18" s="189" t="s">
        <v>47</v>
      </c>
      <c r="I18" s="189" t="s">
        <v>47</v>
      </c>
      <c r="J18" s="187" t="s">
        <v>21</v>
      </c>
      <c r="K18" s="190">
        <v>20939</v>
      </c>
      <c r="L18" s="188">
        <v>12238</v>
      </c>
      <c r="M18" s="188"/>
      <c r="N18" s="190">
        <v>17829</v>
      </c>
      <c r="O18" s="188">
        <v>12063</v>
      </c>
      <c r="P18" s="188"/>
      <c r="Q18" s="190">
        <v>3110</v>
      </c>
      <c r="R18" s="189">
        <v>175</v>
      </c>
      <c r="T18" s="340" t="s">
        <v>21</v>
      </c>
      <c r="U18" s="353">
        <v>12190</v>
      </c>
      <c r="V18" s="353">
        <v>12967</v>
      </c>
      <c r="W18" s="353"/>
      <c r="X18" s="353">
        <v>10105</v>
      </c>
      <c r="Y18" s="353">
        <v>12878</v>
      </c>
      <c r="Z18" s="353"/>
      <c r="AA18" s="353">
        <v>2085</v>
      </c>
      <c r="AB18" s="353">
        <v>89</v>
      </c>
      <c r="AD18" s="566" t="s">
        <v>21</v>
      </c>
      <c r="AE18" s="578">
        <v>14936.865317143314</v>
      </c>
      <c r="AF18" s="578">
        <v>14245.693212410082</v>
      </c>
      <c r="AG18" s="578"/>
      <c r="AH18" s="578">
        <v>9039.5036992546629</v>
      </c>
      <c r="AI18" s="578">
        <v>13605.096363475881</v>
      </c>
      <c r="AJ18" s="578"/>
      <c r="AK18" s="578">
        <v>5897.3616178886523</v>
      </c>
      <c r="AL18" s="578">
        <v>640.59684893419831</v>
      </c>
    </row>
    <row r="19" spans="1:38" ht="15.95" customHeight="1" x14ac:dyDescent="0.3">
      <c r="A19" s="187" t="s">
        <v>22</v>
      </c>
      <c r="B19" s="188">
        <v>36627</v>
      </c>
      <c r="C19" s="188">
        <v>29136</v>
      </c>
      <c r="D19" s="188"/>
      <c r="E19" s="188">
        <v>34644</v>
      </c>
      <c r="F19" s="188">
        <v>29136</v>
      </c>
      <c r="G19" s="188"/>
      <c r="H19" s="188">
        <v>1983</v>
      </c>
      <c r="I19" s="189" t="s">
        <v>47</v>
      </c>
      <c r="J19" s="187" t="s">
        <v>22</v>
      </c>
      <c r="K19" s="190">
        <v>21294</v>
      </c>
      <c r="L19" s="188">
        <v>23756</v>
      </c>
      <c r="M19" s="188"/>
      <c r="N19" s="190">
        <v>19734</v>
      </c>
      <c r="O19" s="188">
        <v>23756</v>
      </c>
      <c r="P19" s="188"/>
      <c r="Q19" s="190">
        <v>1560</v>
      </c>
      <c r="R19" s="190" t="s">
        <v>47</v>
      </c>
      <c r="T19" s="340" t="s">
        <v>22</v>
      </c>
      <c r="U19" s="353">
        <v>23770</v>
      </c>
      <c r="V19" s="353">
        <v>29097</v>
      </c>
      <c r="W19" s="353"/>
      <c r="X19" s="353">
        <v>21899</v>
      </c>
      <c r="Y19" s="353">
        <v>29097</v>
      </c>
      <c r="Z19" s="353"/>
      <c r="AA19" s="353">
        <v>1871</v>
      </c>
      <c r="AB19" s="354" t="s">
        <v>47</v>
      </c>
      <c r="AD19" s="566" t="s">
        <v>22</v>
      </c>
      <c r="AE19" s="578">
        <v>17570.270837806031</v>
      </c>
      <c r="AF19" s="578">
        <v>27272.092875428156</v>
      </c>
      <c r="AG19" s="578"/>
      <c r="AH19" s="578">
        <v>12891.562869151552</v>
      </c>
      <c r="AI19" s="578">
        <v>26744.41904301057</v>
      </c>
      <c r="AJ19" s="578"/>
      <c r="AK19" s="578">
        <v>4678.7079686544594</v>
      </c>
      <c r="AL19" s="579">
        <v>527.67383241758239</v>
      </c>
    </row>
    <row r="20" spans="1:38" ht="15.95" customHeight="1" x14ac:dyDescent="0.3">
      <c r="A20" s="187" t="s">
        <v>23</v>
      </c>
      <c r="B20" s="188">
        <v>15053</v>
      </c>
      <c r="C20" s="188">
        <v>11678</v>
      </c>
      <c r="D20" s="188"/>
      <c r="E20" s="188">
        <v>14318</v>
      </c>
      <c r="F20" s="188">
        <v>11555</v>
      </c>
      <c r="G20" s="188"/>
      <c r="H20" s="188">
        <v>735</v>
      </c>
      <c r="I20" s="188">
        <v>123</v>
      </c>
      <c r="J20" s="187" t="s">
        <v>23</v>
      </c>
      <c r="K20" s="190">
        <v>11017</v>
      </c>
      <c r="L20" s="188">
        <v>9269</v>
      </c>
      <c r="M20" s="188"/>
      <c r="N20" s="190">
        <v>11017</v>
      </c>
      <c r="O20" s="188">
        <v>9269</v>
      </c>
      <c r="P20" s="188"/>
      <c r="Q20" s="190" t="s">
        <v>47</v>
      </c>
      <c r="R20" s="190" t="s">
        <v>47</v>
      </c>
      <c r="T20" s="340" t="s">
        <v>23</v>
      </c>
      <c r="U20" s="353">
        <v>17589</v>
      </c>
      <c r="V20" s="353">
        <v>12169</v>
      </c>
      <c r="W20" s="353"/>
      <c r="X20" s="353">
        <v>12744</v>
      </c>
      <c r="Y20" s="353">
        <v>11910</v>
      </c>
      <c r="Z20" s="353"/>
      <c r="AA20" s="353">
        <v>4845</v>
      </c>
      <c r="AB20" s="353">
        <v>259</v>
      </c>
      <c r="AD20" s="566" t="s">
        <v>23</v>
      </c>
      <c r="AE20" s="578">
        <v>6865.3788512307656</v>
      </c>
      <c r="AF20" s="578">
        <v>8581.5417301448506</v>
      </c>
      <c r="AG20" s="578"/>
      <c r="AH20" s="578">
        <v>5582.4770655164748</v>
      </c>
      <c r="AI20" s="578">
        <v>8453.2515515734231</v>
      </c>
      <c r="AJ20" s="578"/>
      <c r="AK20" s="578">
        <v>1282.9017857142858</v>
      </c>
      <c r="AL20" s="578">
        <v>128.29017857142858</v>
      </c>
    </row>
    <row r="21" spans="1:38" ht="15.95" customHeight="1" x14ac:dyDescent="0.3">
      <c r="A21" s="187" t="s">
        <v>24</v>
      </c>
      <c r="B21" s="188">
        <v>2403</v>
      </c>
      <c r="C21" s="188">
        <v>5080</v>
      </c>
      <c r="D21" s="188"/>
      <c r="E21" s="188">
        <v>2403</v>
      </c>
      <c r="F21" s="188">
        <v>5080</v>
      </c>
      <c r="G21" s="188"/>
      <c r="H21" s="189" t="s">
        <v>47</v>
      </c>
      <c r="I21" s="189" t="s">
        <v>47</v>
      </c>
      <c r="J21" s="187" t="s">
        <v>24</v>
      </c>
      <c r="K21" s="190">
        <v>3989</v>
      </c>
      <c r="L21" s="188">
        <v>5951</v>
      </c>
      <c r="M21" s="188"/>
      <c r="N21" s="190">
        <v>3989</v>
      </c>
      <c r="O21" s="188">
        <v>5951</v>
      </c>
      <c r="P21" s="188"/>
      <c r="Q21" s="190" t="s">
        <v>47</v>
      </c>
      <c r="R21" s="190" t="s">
        <v>47</v>
      </c>
      <c r="T21" s="340" t="s">
        <v>24</v>
      </c>
      <c r="U21" s="353">
        <v>2019</v>
      </c>
      <c r="V21" s="353">
        <v>5127</v>
      </c>
      <c r="W21" s="353"/>
      <c r="X21" s="353">
        <v>2019</v>
      </c>
      <c r="Y21" s="353">
        <v>5127</v>
      </c>
      <c r="Z21" s="353"/>
      <c r="AA21" s="354" t="s">
        <v>47</v>
      </c>
      <c r="AB21" s="354" t="s">
        <v>47</v>
      </c>
      <c r="AD21" s="566" t="s">
        <v>24</v>
      </c>
      <c r="AE21" s="578">
        <v>2880.5175866898298</v>
      </c>
      <c r="AF21" s="578">
        <v>5956.9017094017154</v>
      </c>
      <c r="AG21" s="578"/>
      <c r="AH21" s="578">
        <v>2494.6783006015953</v>
      </c>
      <c r="AI21" s="578">
        <v>5894.16361416362</v>
      </c>
      <c r="AJ21" s="578"/>
      <c r="AK21" s="579">
        <v>385.83928608823385</v>
      </c>
      <c r="AL21" s="579">
        <v>62.738095238095227</v>
      </c>
    </row>
    <row r="22" spans="1:38" ht="15.95" customHeight="1" x14ac:dyDescent="0.3">
      <c r="A22" s="187" t="s">
        <v>25</v>
      </c>
      <c r="B22" s="188">
        <v>7578</v>
      </c>
      <c r="C22" s="188">
        <v>5999</v>
      </c>
      <c r="D22" s="188"/>
      <c r="E22" s="188">
        <v>7578</v>
      </c>
      <c r="F22" s="188">
        <v>5999</v>
      </c>
      <c r="G22" s="188"/>
      <c r="H22" s="189" t="s">
        <v>47</v>
      </c>
      <c r="I22" s="189" t="s">
        <v>47</v>
      </c>
      <c r="J22" s="187" t="s">
        <v>25</v>
      </c>
      <c r="K22" s="190">
        <v>8102</v>
      </c>
      <c r="L22" s="188">
        <v>6502</v>
      </c>
      <c r="M22" s="188"/>
      <c r="N22" s="190">
        <v>6067</v>
      </c>
      <c r="O22" s="188">
        <v>6343</v>
      </c>
      <c r="P22" s="188"/>
      <c r="Q22" s="190">
        <v>2035</v>
      </c>
      <c r="R22" s="189">
        <v>159</v>
      </c>
      <c r="T22" s="340" t="s">
        <v>25</v>
      </c>
      <c r="U22" s="353">
        <v>8913</v>
      </c>
      <c r="V22" s="353">
        <v>7484</v>
      </c>
      <c r="W22" s="353"/>
      <c r="X22" s="353">
        <v>6895</v>
      </c>
      <c r="Y22" s="353">
        <v>7282</v>
      </c>
      <c r="Z22" s="353"/>
      <c r="AA22" s="353">
        <v>2018</v>
      </c>
      <c r="AB22" s="353">
        <v>202</v>
      </c>
      <c r="AD22" s="566" t="s">
        <v>25</v>
      </c>
      <c r="AE22" s="578">
        <v>9304.4157281409953</v>
      </c>
      <c r="AF22" s="578">
        <v>8040.6298670465449</v>
      </c>
      <c r="AG22" s="578"/>
      <c r="AH22" s="578">
        <v>5172.1721667753172</v>
      </c>
      <c r="AI22" s="578">
        <v>7384.0162460995907</v>
      </c>
      <c r="AJ22" s="578"/>
      <c r="AK22" s="578">
        <v>4132.2435613656653</v>
      </c>
      <c r="AL22" s="578">
        <v>656.61362094695426</v>
      </c>
    </row>
    <row r="23" spans="1:38" ht="15.95" customHeight="1" x14ac:dyDescent="0.3">
      <c r="A23" s="187" t="s">
        <v>26</v>
      </c>
      <c r="B23" s="188">
        <v>1</v>
      </c>
      <c r="C23" s="188">
        <v>87</v>
      </c>
      <c r="D23" s="188"/>
      <c r="E23" s="188">
        <v>1</v>
      </c>
      <c r="F23" s="188">
        <v>87</v>
      </c>
      <c r="G23" s="188"/>
      <c r="H23" s="189" t="s">
        <v>47</v>
      </c>
      <c r="I23" s="189" t="s">
        <v>47</v>
      </c>
      <c r="J23" s="187" t="s">
        <v>26</v>
      </c>
      <c r="K23" s="190" t="s">
        <v>47</v>
      </c>
      <c r="L23" s="188">
        <v>32</v>
      </c>
      <c r="M23" s="188"/>
      <c r="N23" s="190" t="s">
        <v>47</v>
      </c>
      <c r="O23" s="188">
        <v>32</v>
      </c>
      <c r="P23" s="188"/>
      <c r="Q23" s="190" t="s">
        <v>47</v>
      </c>
      <c r="R23" s="190" t="s">
        <v>47</v>
      </c>
      <c r="T23" s="340" t="s">
        <v>26</v>
      </c>
      <c r="U23" s="354" t="s">
        <v>47</v>
      </c>
      <c r="V23" s="354">
        <v>14</v>
      </c>
      <c r="W23" s="354"/>
      <c r="X23" s="354" t="s">
        <v>47</v>
      </c>
      <c r="Y23" s="353">
        <v>14</v>
      </c>
      <c r="Z23" s="353"/>
      <c r="AA23" s="354" t="s">
        <v>47</v>
      </c>
      <c r="AB23" s="354" t="s">
        <v>47</v>
      </c>
      <c r="AD23" s="566" t="s">
        <v>26</v>
      </c>
      <c r="AE23" s="579">
        <v>110.08745912748977</v>
      </c>
      <c r="AF23" s="579">
        <v>50.346724703867551</v>
      </c>
      <c r="AG23" s="579"/>
      <c r="AH23" s="579">
        <v>1.7456223927959276</v>
      </c>
      <c r="AI23" s="578">
        <v>36.36713286713286</v>
      </c>
      <c r="AJ23" s="578"/>
      <c r="AK23" s="579">
        <v>108.34183673469389</v>
      </c>
      <c r="AL23" s="579">
        <v>13.979591836734695</v>
      </c>
    </row>
    <row r="24" spans="1:38" ht="15.95" customHeight="1" x14ac:dyDescent="0.3">
      <c r="A24" s="187" t="s">
        <v>27</v>
      </c>
      <c r="B24" s="188">
        <v>26579</v>
      </c>
      <c r="C24" s="188">
        <v>17068</v>
      </c>
      <c r="D24" s="188"/>
      <c r="E24" s="188">
        <v>24498</v>
      </c>
      <c r="F24" s="188">
        <v>16860</v>
      </c>
      <c r="G24" s="188"/>
      <c r="H24" s="188">
        <v>2081</v>
      </c>
      <c r="I24" s="188">
        <v>208</v>
      </c>
      <c r="J24" s="187" t="s">
        <v>27</v>
      </c>
      <c r="K24" s="190">
        <v>35839</v>
      </c>
      <c r="L24" s="188">
        <v>18088</v>
      </c>
      <c r="M24" s="188"/>
      <c r="N24" s="190">
        <v>28076</v>
      </c>
      <c r="O24" s="188">
        <v>17846</v>
      </c>
      <c r="P24" s="188"/>
      <c r="Q24" s="190">
        <v>7763</v>
      </c>
      <c r="R24" s="188">
        <v>242</v>
      </c>
      <c r="T24" s="340" t="s">
        <v>27</v>
      </c>
      <c r="U24" s="353">
        <v>32095</v>
      </c>
      <c r="V24" s="353">
        <v>19549</v>
      </c>
      <c r="W24" s="353"/>
      <c r="X24" s="353">
        <v>28957</v>
      </c>
      <c r="Y24" s="353">
        <v>19325</v>
      </c>
      <c r="Z24" s="353"/>
      <c r="AA24" s="353">
        <v>3138</v>
      </c>
      <c r="AB24" s="353">
        <v>224</v>
      </c>
      <c r="AD24" s="566" t="s">
        <v>27</v>
      </c>
      <c r="AE24" s="578">
        <v>28374.875575922852</v>
      </c>
      <c r="AF24" s="578">
        <v>14859.994580816017</v>
      </c>
      <c r="AG24" s="578"/>
      <c r="AH24" s="578">
        <v>19046.249159972096</v>
      </c>
      <c r="AI24" s="578">
        <v>13488.582340278776</v>
      </c>
      <c r="AJ24" s="578"/>
      <c r="AK24" s="578">
        <v>9328.6264159507482</v>
      </c>
      <c r="AL24" s="578">
        <v>1371.4122405372407</v>
      </c>
    </row>
    <row r="25" spans="1:38" ht="15.95" customHeight="1" x14ac:dyDescent="0.3">
      <c r="A25" s="187" t="s">
        <v>28</v>
      </c>
      <c r="B25" s="188">
        <v>2109</v>
      </c>
      <c r="C25" s="188">
        <v>5176</v>
      </c>
      <c r="D25" s="188"/>
      <c r="E25" s="188">
        <v>2109</v>
      </c>
      <c r="F25" s="188">
        <v>5176</v>
      </c>
      <c r="G25" s="188"/>
      <c r="H25" s="189" t="s">
        <v>47</v>
      </c>
      <c r="I25" s="189" t="s">
        <v>47</v>
      </c>
      <c r="J25" s="187" t="s">
        <v>28</v>
      </c>
      <c r="K25" s="190">
        <v>2064</v>
      </c>
      <c r="L25" s="188">
        <v>5370</v>
      </c>
      <c r="M25" s="188"/>
      <c r="N25" s="190">
        <v>2064</v>
      </c>
      <c r="O25" s="188">
        <v>5370</v>
      </c>
      <c r="P25" s="188"/>
      <c r="Q25" s="190" t="s">
        <v>47</v>
      </c>
      <c r="R25" s="190" t="s">
        <v>47</v>
      </c>
      <c r="T25" s="340" t="s">
        <v>28</v>
      </c>
      <c r="U25" s="353">
        <v>3951</v>
      </c>
      <c r="V25" s="353">
        <v>6866</v>
      </c>
      <c r="W25" s="353"/>
      <c r="X25" s="353">
        <v>3951</v>
      </c>
      <c r="Y25" s="353">
        <v>6866</v>
      </c>
      <c r="Z25" s="353"/>
      <c r="AA25" s="354" t="s">
        <v>47</v>
      </c>
      <c r="AB25" s="354" t="s">
        <v>47</v>
      </c>
      <c r="AD25" s="566" t="s">
        <v>28</v>
      </c>
      <c r="AE25" s="578">
        <v>2892.946845957435</v>
      </c>
      <c r="AF25" s="578">
        <v>5183.536270780497</v>
      </c>
      <c r="AG25" s="578"/>
      <c r="AH25" s="578">
        <v>2892.946845957435</v>
      </c>
      <c r="AI25" s="578">
        <v>5183.536270780497</v>
      </c>
      <c r="AJ25" s="578"/>
      <c r="AK25" s="579" t="s">
        <v>47</v>
      </c>
      <c r="AL25" s="579" t="s">
        <v>47</v>
      </c>
    </row>
    <row r="26" spans="1:38" ht="15.95" customHeight="1" x14ac:dyDescent="0.3">
      <c r="A26" s="187" t="s">
        <v>29</v>
      </c>
      <c r="B26" s="188">
        <v>62</v>
      </c>
      <c r="C26" s="188">
        <v>282</v>
      </c>
      <c r="D26" s="188"/>
      <c r="E26" s="188">
        <v>62</v>
      </c>
      <c r="F26" s="188">
        <v>282</v>
      </c>
      <c r="G26" s="188"/>
      <c r="H26" s="189" t="s">
        <v>47</v>
      </c>
      <c r="I26" s="189" t="s">
        <v>47</v>
      </c>
      <c r="J26" s="187" t="s">
        <v>29</v>
      </c>
      <c r="K26" s="190">
        <v>125</v>
      </c>
      <c r="L26" s="188">
        <v>236</v>
      </c>
      <c r="M26" s="188"/>
      <c r="N26" s="190">
        <v>125</v>
      </c>
      <c r="O26" s="188">
        <v>236</v>
      </c>
      <c r="P26" s="188"/>
      <c r="Q26" s="190" t="s">
        <v>47</v>
      </c>
      <c r="R26" s="190" t="s">
        <v>47</v>
      </c>
      <c r="T26" s="340" t="s">
        <v>29</v>
      </c>
      <c r="U26" s="353">
        <v>630</v>
      </c>
      <c r="V26" s="353">
        <v>812</v>
      </c>
      <c r="W26" s="353"/>
      <c r="X26" s="353">
        <v>630</v>
      </c>
      <c r="Y26" s="353">
        <v>812</v>
      </c>
      <c r="Z26" s="353"/>
      <c r="AA26" s="354" t="s">
        <v>47</v>
      </c>
      <c r="AB26" s="354" t="s">
        <v>47</v>
      </c>
      <c r="AD26" s="566" t="s">
        <v>29</v>
      </c>
      <c r="AE26" s="578">
        <v>662.43702226485959</v>
      </c>
      <c r="AF26" s="578">
        <v>1416.3787185037186</v>
      </c>
      <c r="AG26" s="578"/>
      <c r="AH26" s="578">
        <v>662.43702226485959</v>
      </c>
      <c r="AI26" s="578">
        <v>1416.3787185037186</v>
      </c>
      <c r="AJ26" s="578"/>
      <c r="AK26" s="579" t="s">
        <v>47</v>
      </c>
      <c r="AL26" s="579" t="s">
        <v>47</v>
      </c>
    </row>
    <row r="27" spans="1:38" ht="15.95" customHeight="1" x14ac:dyDescent="0.3">
      <c r="A27" s="191" t="s">
        <v>30</v>
      </c>
      <c r="B27" s="188">
        <v>159</v>
      </c>
      <c r="C27" s="188">
        <v>627</v>
      </c>
      <c r="D27" s="188"/>
      <c r="E27" s="188">
        <v>159</v>
      </c>
      <c r="F27" s="188">
        <v>627</v>
      </c>
      <c r="G27" s="188"/>
      <c r="H27" s="189" t="s">
        <v>47</v>
      </c>
      <c r="I27" s="189" t="s">
        <v>47</v>
      </c>
      <c r="J27" s="191" t="s">
        <v>30</v>
      </c>
      <c r="K27" s="190">
        <v>60</v>
      </c>
      <c r="L27" s="188">
        <v>437</v>
      </c>
      <c r="M27" s="188"/>
      <c r="N27" s="190">
        <v>60</v>
      </c>
      <c r="O27" s="188">
        <v>437</v>
      </c>
      <c r="P27" s="188"/>
      <c r="Q27" s="190" t="s">
        <v>47</v>
      </c>
      <c r="R27" s="190" t="s">
        <v>47</v>
      </c>
      <c r="T27" s="341" t="s">
        <v>30</v>
      </c>
      <c r="U27" s="353">
        <v>226</v>
      </c>
      <c r="V27" s="353">
        <v>350</v>
      </c>
      <c r="W27" s="353"/>
      <c r="X27" s="353">
        <v>226</v>
      </c>
      <c r="Y27" s="353">
        <v>350</v>
      </c>
      <c r="Z27" s="353"/>
      <c r="AA27" s="354" t="s">
        <v>47</v>
      </c>
      <c r="AB27" s="354" t="s">
        <v>47</v>
      </c>
      <c r="AD27" s="567" t="s">
        <v>30</v>
      </c>
      <c r="AE27" s="578">
        <v>388.69155686245188</v>
      </c>
      <c r="AF27" s="578">
        <v>555.09846938775502</v>
      </c>
      <c r="AG27" s="578"/>
      <c r="AH27" s="578">
        <v>388.69155686245188</v>
      </c>
      <c r="AI27" s="578">
        <v>555.09846938775502</v>
      </c>
      <c r="AJ27" s="578"/>
      <c r="AK27" s="579" t="s">
        <v>47</v>
      </c>
      <c r="AL27" s="579" t="s">
        <v>47</v>
      </c>
    </row>
    <row r="28" spans="1:38" ht="15.95" customHeight="1" x14ac:dyDescent="0.3">
      <c r="A28" s="187" t="s">
        <v>31</v>
      </c>
      <c r="B28" s="188">
        <v>5975</v>
      </c>
      <c r="C28" s="188">
        <v>6451</v>
      </c>
      <c r="D28" s="188"/>
      <c r="E28" s="188">
        <v>5975</v>
      </c>
      <c r="F28" s="188">
        <v>6451</v>
      </c>
      <c r="G28" s="188"/>
      <c r="H28" s="189" t="s">
        <v>47</v>
      </c>
      <c r="I28" s="189" t="s">
        <v>47</v>
      </c>
      <c r="J28" s="187" t="s">
        <v>31</v>
      </c>
      <c r="K28" s="190">
        <v>5042</v>
      </c>
      <c r="L28" s="188">
        <v>5203</v>
      </c>
      <c r="M28" s="188"/>
      <c r="N28" s="190">
        <v>4686</v>
      </c>
      <c r="O28" s="188">
        <v>5143</v>
      </c>
      <c r="P28" s="188"/>
      <c r="Q28" s="190">
        <v>356</v>
      </c>
      <c r="R28" s="189">
        <v>60</v>
      </c>
      <c r="T28" s="340" t="s">
        <v>31</v>
      </c>
      <c r="U28" s="353">
        <v>6821</v>
      </c>
      <c r="V28" s="353">
        <v>6755</v>
      </c>
      <c r="W28" s="353"/>
      <c r="X28" s="353">
        <v>6006</v>
      </c>
      <c r="Y28" s="353">
        <v>6755</v>
      </c>
      <c r="Z28" s="353"/>
      <c r="AA28" s="353">
        <v>815</v>
      </c>
      <c r="AB28" s="354" t="s">
        <v>47</v>
      </c>
      <c r="AD28" s="566" t="s">
        <v>31</v>
      </c>
      <c r="AE28" s="578">
        <v>6802.509476544361</v>
      </c>
      <c r="AF28" s="578">
        <v>6532.6594980020063</v>
      </c>
      <c r="AG28" s="578"/>
      <c r="AH28" s="578">
        <v>5322.8286081450342</v>
      </c>
      <c r="AI28" s="578">
        <v>6309.0154566267147</v>
      </c>
      <c r="AJ28" s="578"/>
      <c r="AK28" s="578">
        <v>1479.6808683993249</v>
      </c>
      <c r="AL28" s="579">
        <v>223.64404137529138</v>
      </c>
    </row>
    <row r="29" spans="1:38" ht="15.95" customHeight="1" x14ac:dyDescent="0.3">
      <c r="A29" s="187" t="s">
        <v>32</v>
      </c>
      <c r="B29" s="188">
        <v>2311</v>
      </c>
      <c r="C29" s="188">
        <v>1116</v>
      </c>
      <c r="D29" s="188"/>
      <c r="E29" s="188">
        <v>1743</v>
      </c>
      <c r="F29" s="188">
        <v>1069</v>
      </c>
      <c r="G29" s="188"/>
      <c r="H29" s="188">
        <v>568</v>
      </c>
      <c r="I29" s="188">
        <v>47</v>
      </c>
      <c r="J29" s="187" t="s">
        <v>32</v>
      </c>
      <c r="K29" s="190">
        <v>2765</v>
      </c>
      <c r="L29" s="188">
        <v>1141</v>
      </c>
      <c r="M29" s="188"/>
      <c r="N29" s="190">
        <v>1707</v>
      </c>
      <c r="O29" s="188">
        <v>1104</v>
      </c>
      <c r="P29" s="188"/>
      <c r="Q29" s="190">
        <v>1058</v>
      </c>
      <c r="R29" s="188">
        <v>37</v>
      </c>
      <c r="T29" s="340" t="s">
        <v>32</v>
      </c>
      <c r="U29" s="353">
        <v>4363</v>
      </c>
      <c r="V29" s="353">
        <v>1555</v>
      </c>
      <c r="W29" s="353"/>
      <c r="X29" s="353">
        <v>2282</v>
      </c>
      <c r="Y29" s="353">
        <v>1513</v>
      </c>
      <c r="Z29" s="353"/>
      <c r="AA29" s="353">
        <v>2081</v>
      </c>
      <c r="AB29" s="353">
        <v>42</v>
      </c>
      <c r="AD29" s="566" t="s">
        <v>32</v>
      </c>
      <c r="AE29" s="578">
        <v>4435.749515861994</v>
      </c>
      <c r="AF29" s="578">
        <v>1197.8046897546903</v>
      </c>
      <c r="AG29" s="578"/>
      <c r="AH29" s="578">
        <v>1394.7571643716174</v>
      </c>
      <c r="AI29" s="578">
        <v>975.32133977133935</v>
      </c>
      <c r="AJ29" s="578"/>
      <c r="AK29" s="578">
        <v>3040.9923514903758</v>
      </c>
      <c r="AL29" s="578">
        <v>222.48334998335</v>
      </c>
    </row>
    <row r="30" spans="1:38" ht="15.95" customHeight="1" x14ac:dyDescent="0.3">
      <c r="A30" s="187" t="s">
        <v>33</v>
      </c>
      <c r="B30" s="188">
        <v>1</v>
      </c>
      <c r="C30" s="188">
        <v>30</v>
      </c>
      <c r="D30" s="188"/>
      <c r="E30" s="188">
        <v>1</v>
      </c>
      <c r="F30" s="188">
        <v>30</v>
      </c>
      <c r="G30" s="188"/>
      <c r="H30" s="189" t="s">
        <v>47</v>
      </c>
      <c r="I30" s="189" t="s">
        <v>47</v>
      </c>
      <c r="J30" s="187" t="s">
        <v>33</v>
      </c>
      <c r="K30" s="190">
        <v>17</v>
      </c>
      <c r="L30" s="188">
        <v>134</v>
      </c>
      <c r="M30" s="188"/>
      <c r="N30" s="190">
        <v>17</v>
      </c>
      <c r="O30" s="188">
        <v>134</v>
      </c>
      <c r="P30" s="188"/>
      <c r="Q30" s="190" t="s">
        <v>47</v>
      </c>
      <c r="R30" s="190" t="s">
        <v>47</v>
      </c>
      <c r="T30" s="340" t="s">
        <v>33</v>
      </c>
      <c r="U30" s="353">
        <v>75</v>
      </c>
      <c r="V30" s="353">
        <v>334</v>
      </c>
      <c r="W30" s="353"/>
      <c r="X30" s="353">
        <v>75</v>
      </c>
      <c r="Y30" s="353">
        <v>334</v>
      </c>
      <c r="Z30" s="353"/>
      <c r="AA30" s="354" t="s">
        <v>47</v>
      </c>
      <c r="AB30" s="354" t="s">
        <v>47</v>
      </c>
      <c r="AD30" s="566" t="s">
        <v>33</v>
      </c>
      <c r="AE30" s="578">
        <v>68.312570286223533</v>
      </c>
      <c r="AF30" s="578">
        <v>219.74242517519826</v>
      </c>
      <c r="AG30" s="578"/>
      <c r="AH30" s="578">
        <v>68.312570286223533</v>
      </c>
      <c r="AI30" s="578">
        <v>219.74242517519826</v>
      </c>
      <c r="AJ30" s="578"/>
      <c r="AK30" s="579" t="s">
        <v>47</v>
      </c>
      <c r="AL30" s="579" t="s">
        <v>47</v>
      </c>
    </row>
    <row r="31" spans="1:38" ht="15.95" customHeight="1" x14ac:dyDescent="0.3">
      <c r="A31" s="187" t="s">
        <v>34</v>
      </c>
      <c r="B31" s="188">
        <v>6334</v>
      </c>
      <c r="C31" s="188">
        <v>3456</v>
      </c>
      <c r="D31" s="188"/>
      <c r="E31" s="188">
        <v>4503</v>
      </c>
      <c r="F31" s="188">
        <v>3358</v>
      </c>
      <c r="G31" s="188"/>
      <c r="H31" s="188">
        <v>1831</v>
      </c>
      <c r="I31" s="188">
        <v>98</v>
      </c>
      <c r="J31" s="187" t="s">
        <v>34</v>
      </c>
      <c r="K31" s="190">
        <v>6351</v>
      </c>
      <c r="L31" s="188">
        <v>3529</v>
      </c>
      <c r="M31" s="188"/>
      <c r="N31" s="190">
        <v>5322</v>
      </c>
      <c r="O31" s="188">
        <v>3431</v>
      </c>
      <c r="P31" s="188"/>
      <c r="Q31" s="190">
        <v>1029</v>
      </c>
      <c r="R31" s="188">
        <v>98</v>
      </c>
      <c r="T31" s="340" t="s">
        <v>34</v>
      </c>
      <c r="U31" s="353">
        <v>6603</v>
      </c>
      <c r="V31" s="353">
        <v>3482</v>
      </c>
      <c r="W31" s="353"/>
      <c r="X31" s="353">
        <v>5151</v>
      </c>
      <c r="Y31" s="353">
        <v>3346</v>
      </c>
      <c r="Z31" s="353"/>
      <c r="AA31" s="353">
        <v>1452</v>
      </c>
      <c r="AB31" s="353">
        <v>136</v>
      </c>
      <c r="AD31" s="566" t="s">
        <v>34</v>
      </c>
      <c r="AE31" s="578">
        <v>6636.1167515084908</v>
      </c>
      <c r="AF31" s="578">
        <v>2917.5402930402952</v>
      </c>
      <c r="AG31" s="578"/>
      <c r="AH31" s="578">
        <v>3247.4399656869959</v>
      </c>
      <c r="AI31" s="578">
        <v>2773.6474358974378</v>
      </c>
      <c r="AJ31" s="578"/>
      <c r="AK31" s="578">
        <v>3388.6767858214935</v>
      </c>
      <c r="AL31" s="578">
        <v>143.89285714285711</v>
      </c>
    </row>
    <row r="32" spans="1:38" ht="15.95" customHeight="1" x14ac:dyDescent="0.3">
      <c r="A32" s="187" t="s">
        <v>35</v>
      </c>
      <c r="B32" s="188">
        <v>1198</v>
      </c>
      <c r="C32" s="188">
        <v>2312</v>
      </c>
      <c r="D32" s="188"/>
      <c r="E32" s="188">
        <v>1198</v>
      </c>
      <c r="F32" s="188">
        <v>2312</v>
      </c>
      <c r="G32" s="188"/>
      <c r="H32" s="189" t="s">
        <v>47</v>
      </c>
      <c r="I32" s="189" t="s">
        <v>47</v>
      </c>
      <c r="J32" s="187" t="s">
        <v>35</v>
      </c>
      <c r="K32" s="190">
        <v>510</v>
      </c>
      <c r="L32" s="188">
        <v>1349</v>
      </c>
      <c r="M32" s="188"/>
      <c r="N32" s="190">
        <v>510</v>
      </c>
      <c r="O32" s="188">
        <v>1349</v>
      </c>
      <c r="P32" s="188"/>
      <c r="Q32" s="190" t="s">
        <v>47</v>
      </c>
      <c r="R32" s="190" t="s">
        <v>47</v>
      </c>
      <c r="T32" s="340" t="s">
        <v>35</v>
      </c>
      <c r="U32" s="353">
        <v>1407</v>
      </c>
      <c r="V32" s="353">
        <v>2164</v>
      </c>
      <c r="W32" s="353"/>
      <c r="X32" s="353">
        <v>1407</v>
      </c>
      <c r="Y32" s="353">
        <v>2164</v>
      </c>
      <c r="Z32" s="353"/>
      <c r="AA32" s="354" t="s">
        <v>47</v>
      </c>
      <c r="AB32" s="354" t="s">
        <v>47</v>
      </c>
      <c r="AD32" s="566" t="s">
        <v>35</v>
      </c>
      <c r="AE32" s="578">
        <v>2994.3499267440675</v>
      </c>
      <c r="AF32" s="578">
        <v>2095.2087912087918</v>
      </c>
      <c r="AG32" s="578"/>
      <c r="AH32" s="578">
        <v>1875.2427838869237</v>
      </c>
      <c r="AI32" s="578">
        <v>2020.6016483516489</v>
      </c>
      <c r="AJ32" s="578"/>
      <c r="AK32" s="579">
        <v>1119.1071428571427</v>
      </c>
      <c r="AL32" s="579">
        <v>74.607142857142847</v>
      </c>
    </row>
    <row r="33" spans="1:40" ht="15.95" customHeight="1" x14ac:dyDescent="0.3">
      <c r="A33" s="187" t="s">
        <v>58</v>
      </c>
      <c r="B33" s="188">
        <v>8456</v>
      </c>
      <c r="C33" s="188">
        <v>29245</v>
      </c>
      <c r="D33" s="188"/>
      <c r="E33" s="188">
        <v>8456</v>
      </c>
      <c r="F33" s="188">
        <v>29245</v>
      </c>
      <c r="G33" s="188"/>
      <c r="H33" s="189" t="s">
        <v>47</v>
      </c>
      <c r="I33" s="189" t="s">
        <v>47</v>
      </c>
      <c r="J33" s="187" t="s">
        <v>58</v>
      </c>
      <c r="K33" s="190">
        <v>9204</v>
      </c>
      <c r="L33" s="188">
        <v>30378</v>
      </c>
      <c r="M33" s="188"/>
      <c r="N33" s="190">
        <v>9204</v>
      </c>
      <c r="O33" s="188">
        <v>30378</v>
      </c>
      <c r="P33" s="188"/>
      <c r="Q33" s="190" t="s">
        <v>47</v>
      </c>
      <c r="R33" s="190" t="s">
        <v>47</v>
      </c>
      <c r="T33" s="340" t="s">
        <v>58</v>
      </c>
      <c r="U33" s="353">
        <v>9367</v>
      </c>
      <c r="V33" s="353">
        <v>29665</v>
      </c>
      <c r="W33" s="353"/>
      <c r="X33" s="353">
        <v>9367</v>
      </c>
      <c r="Y33" s="353">
        <v>29665</v>
      </c>
      <c r="Z33" s="353"/>
      <c r="AA33" s="354" t="s">
        <v>47</v>
      </c>
      <c r="AB33" s="354" t="s">
        <v>47</v>
      </c>
      <c r="AD33" s="566" t="s">
        <v>58</v>
      </c>
      <c r="AE33" s="578">
        <v>8972.5437925063598</v>
      </c>
      <c r="AF33" s="578">
        <v>25051.597435897438</v>
      </c>
      <c r="AG33" s="578"/>
      <c r="AH33" s="578">
        <v>8972.5437925063598</v>
      </c>
      <c r="AI33" s="578">
        <v>25051.597435897438</v>
      </c>
      <c r="AJ33" s="578"/>
      <c r="AK33" s="579" t="s">
        <v>47</v>
      </c>
      <c r="AL33" s="579" t="s">
        <v>47</v>
      </c>
    </row>
    <row r="34" spans="1:40" ht="15.95" customHeight="1" x14ac:dyDescent="0.3">
      <c r="A34" s="187" t="s">
        <v>37</v>
      </c>
      <c r="B34" s="188">
        <v>31917</v>
      </c>
      <c r="C34" s="188">
        <v>14268</v>
      </c>
      <c r="D34" s="188"/>
      <c r="E34" s="188">
        <v>25376</v>
      </c>
      <c r="F34" s="188">
        <v>14113</v>
      </c>
      <c r="G34" s="188"/>
      <c r="H34" s="188">
        <v>6541</v>
      </c>
      <c r="I34" s="188">
        <v>155</v>
      </c>
      <c r="J34" s="187" t="s">
        <v>37</v>
      </c>
      <c r="K34" s="190">
        <v>29700</v>
      </c>
      <c r="L34" s="188">
        <v>13900</v>
      </c>
      <c r="M34" s="188"/>
      <c r="N34" s="190">
        <v>23095</v>
      </c>
      <c r="O34" s="188">
        <v>13579</v>
      </c>
      <c r="P34" s="188"/>
      <c r="Q34" s="190">
        <v>6605</v>
      </c>
      <c r="R34" s="188">
        <v>321</v>
      </c>
      <c r="T34" s="340" t="s">
        <v>37</v>
      </c>
      <c r="U34" s="353">
        <v>25971</v>
      </c>
      <c r="V34" s="353">
        <v>14491</v>
      </c>
      <c r="W34" s="353"/>
      <c r="X34" s="353">
        <v>22143</v>
      </c>
      <c r="Y34" s="353">
        <v>14331</v>
      </c>
      <c r="Z34" s="353"/>
      <c r="AA34" s="353">
        <v>3828</v>
      </c>
      <c r="AB34" s="353">
        <v>160</v>
      </c>
      <c r="AD34" s="566" t="s">
        <v>37</v>
      </c>
      <c r="AE34" s="578">
        <v>28162.632479554577</v>
      </c>
      <c r="AF34" s="578">
        <v>13571.902773417089</v>
      </c>
      <c r="AG34" s="578"/>
      <c r="AH34" s="578">
        <v>19471.147384572178</v>
      </c>
      <c r="AI34" s="578">
        <v>12902.801909994792</v>
      </c>
      <c r="AJ34" s="578"/>
      <c r="AK34" s="578">
        <v>8691.4850949823704</v>
      </c>
      <c r="AL34" s="578">
        <v>669.10086342229192</v>
      </c>
    </row>
    <row r="35" spans="1:40" ht="15.95" customHeight="1" x14ac:dyDescent="0.3">
      <c r="A35" s="187" t="s">
        <v>38</v>
      </c>
      <c r="B35" s="189" t="s">
        <v>47</v>
      </c>
      <c r="C35" s="188">
        <v>18</v>
      </c>
      <c r="D35" s="188"/>
      <c r="E35" s="189" t="s">
        <v>47</v>
      </c>
      <c r="F35" s="188">
        <v>18</v>
      </c>
      <c r="G35" s="188"/>
      <c r="H35" s="189" t="s">
        <v>47</v>
      </c>
      <c r="I35" s="189" t="s">
        <v>47</v>
      </c>
      <c r="J35" s="187" t="s">
        <v>38</v>
      </c>
      <c r="K35" s="190">
        <v>2</v>
      </c>
      <c r="L35" s="188">
        <v>18</v>
      </c>
      <c r="M35" s="188"/>
      <c r="N35" s="190">
        <v>2</v>
      </c>
      <c r="O35" s="188">
        <v>18</v>
      </c>
      <c r="P35" s="188"/>
      <c r="Q35" s="190" t="s">
        <v>47</v>
      </c>
      <c r="R35" s="190" t="s">
        <v>47</v>
      </c>
      <c r="T35" s="340" t="s">
        <v>38</v>
      </c>
      <c r="U35" s="353">
        <v>1</v>
      </c>
      <c r="V35" s="354" t="s">
        <v>47</v>
      </c>
      <c r="W35" s="353"/>
      <c r="X35" s="353">
        <v>1</v>
      </c>
      <c r="Y35" s="354" t="s">
        <v>47</v>
      </c>
      <c r="Z35" s="354" t="s">
        <v>47</v>
      </c>
      <c r="AA35" s="354" t="s">
        <v>47</v>
      </c>
      <c r="AB35" s="354" t="s">
        <v>47</v>
      </c>
      <c r="AD35" s="566" t="s">
        <v>38</v>
      </c>
      <c r="AE35" s="578">
        <v>1.251260688417547</v>
      </c>
      <c r="AF35" s="579">
        <v>37.57539682539683</v>
      </c>
      <c r="AG35" s="578"/>
      <c r="AH35" s="578">
        <v>1.251260688417547</v>
      </c>
      <c r="AI35" s="579">
        <v>37.57539682539683</v>
      </c>
      <c r="AJ35" s="579"/>
      <c r="AK35" s="579" t="s">
        <v>47</v>
      </c>
      <c r="AL35" s="579" t="s">
        <v>47</v>
      </c>
    </row>
    <row r="36" spans="1:40" ht="15.95" customHeight="1" x14ac:dyDescent="0.3">
      <c r="A36" s="187" t="s">
        <v>39</v>
      </c>
      <c r="B36" s="188">
        <v>106</v>
      </c>
      <c r="C36" s="188">
        <v>63</v>
      </c>
      <c r="D36" s="188"/>
      <c r="E36" s="188">
        <v>106</v>
      </c>
      <c r="F36" s="188">
        <v>63</v>
      </c>
      <c r="G36" s="188"/>
      <c r="H36" s="189" t="s">
        <v>47</v>
      </c>
      <c r="I36" s="189" t="s">
        <v>47</v>
      </c>
      <c r="J36" s="187" t="s">
        <v>39</v>
      </c>
      <c r="K36" s="190">
        <v>307</v>
      </c>
      <c r="L36" s="188">
        <v>138</v>
      </c>
      <c r="M36" s="188"/>
      <c r="N36" s="190">
        <v>124</v>
      </c>
      <c r="O36" s="188">
        <v>115</v>
      </c>
      <c r="P36" s="188"/>
      <c r="Q36" s="190">
        <v>183</v>
      </c>
      <c r="R36" s="189">
        <v>23</v>
      </c>
      <c r="T36" s="340" t="s">
        <v>39</v>
      </c>
      <c r="U36" s="353">
        <v>182</v>
      </c>
      <c r="V36" s="353">
        <v>90</v>
      </c>
      <c r="W36" s="353"/>
      <c r="X36" s="353">
        <v>126</v>
      </c>
      <c r="Y36" s="353">
        <v>81</v>
      </c>
      <c r="Z36" s="353"/>
      <c r="AA36" s="353">
        <v>56</v>
      </c>
      <c r="AB36" s="353">
        <v>9</v>
      </c>
      <c r="AD36" s="566" t="s">
        <v>39</v>
      </c>
      <c r="AE36" s="578">
        <v>127.32055576921981</v>
      </c>
      <c r="AF36" s="578">
        <v>47.369135802469131</v>
      </c>
      <c r="AG36" s="578"/>
      <c r="AH36" s="578">
        <v>67.981111256097577</v>
      </c>
      <c r="AI36" s="578">
        <v>35.846913580246913</v>
      </c>
      <c r="AJ36" s="578"/>
      <c r="AK36" s="578">
        <v>59.339444513122231</v>
      </c>
      <c r="AL36" s="579">
        <v>11.52222222222222</v>
      </c>
    </row>
    <row r="37" spans="1:40" ht="15.95" customHeight="1" x14ac:dyDescent="0.3">
      <c r="A37" s="192" t="s">
        <v>40</v>
      </c>
      <c r="B37" s="193">
        <v>15283</v>
      </c>
      <c r="C37" s="193">
        <v>4714</v>
      </c>
      <c r="D37" s="193"/>
      <c r="E37" s="193">
        <v>8087</v>
      </c>
      <c r="F37" s="193">
        <v>4326</v>
      </c>
      <c r="G37" s="193"/>
      <c r="H37" s="193">
        <v>7196</v>
      </c>
      <c r="I37" s="193">
        <v>388</v>
      </c>
      <c r="J37" s="192" t="s">
        <v>40</v>
      </c>
      <c r="K37" s="194">
        <v>16996</v>
      </c>
      <c r="L37" s="193">
        <v>4985</v>
      </c>
      <c r="M37" s="193"/>
      <c r="N37" s="194">
        <v>7233</v>
      </c>
      <c r="O37" s="193">
        <v>4353</v>
      </c>
      <c r="P37" s="193"/>
      <c r="Q37" s="194">
        <v>9763</v>
      </c>
      <c r="R37" s="193">
        <v>632</v>
      </c>
      <c r="T37" s="342" t="s">
        <v>40</v>
      </c>
      <c r="U37" s="355">
        <v>13801</v>
      </c>
      <c r="V37" s="355">
        <v>4798</v>
      </c>
      <c r="W37" s="355"/>
      <c r="X37" s="355">
        <v>7512</v>
      </c>
      <c r="Y37" s="355">
        <v>4327</v>
      </c>
      <c r="Z37" s="355"/>
      <c r="AA37" s="355">
        <v>6289</v>
      </c>
      <c r="AB37" s="355">
        <v>471</v>
      </c>
      <c r="AD37" s="568" t="s">
        <v>40</v>
      </c>
      <c r="AE37" s="580">
        <v>14688.967863713096</v>
      </c>
      <c r="AF37" s="580">
        <v>4105.4975345167595</v>
      </c>
      <c r="AG37" s="580"/>
      <c r="AH37" s="580">
        <v>5076.833370946104</v>
      </c>
      <c r="AI37" s="581">
        <v>3217.9707664130719</v>
      </c>
      <c r="AJ37" s="580"/>
      <c r="AK37" s="580">
        <v>9612.1344927670216</v>
      </c>
      <c r="AL37" s="580">
        <v>887.5267681036911</v>
      </c>
    </row>
    <row r="38" spans="1:40" s="8" customFormat="1" ht="12" customHeight="1" x14ac:dyDescent="0.25">
      <c r="A38" s="243"/>
      <c r="B38" s="244"/>
      <c r="C38" s="244"/>
      <c r="D38" s="244"/>
      <c r="E38" s="244"/>
      <c r="F38" s="244"/>
      <c r="G38" s="244"/>
      <c r="H38" s="244"/>
      <c r="I38" s="245" t="s">
        <v>59</v>
      </c>
      <c r="J38" s="246" t="s">
        <v>67</v>
      </c>
      <c r="K38" s="244"/>
      <c r="L38" s="244"/>
      <c r="M38" s="244"/>
      <c r="N38" s="244"/>
      <c r="O38" s="244"/>
      <c r="P38" s="244"/>
      <c r="Q38" s="244"/>
      <c r="R38" s="245"/>
      <c r="T38" s="6" t="s">
        <v>720</v>
      </c>
      <c r="U38" s="247"/>
      <c r="V38" s="247"/>
      <c r="W38" s="247"/>
      <c r="X38" s="247"/>
      <c r="Y38" s="247"/>
      <c r="Z38" s="247"/>
      <c r="AA38" s="247"/>
      <c r="AB38" s="12"/>
      <c r="AD38" s="482" t="s">
        <v>837</v>
      </c>
      <c r="AE38" s="287"/>
      <c r="AF38" s="287"/>
      <c r="AG38" s="287"/>
      <c r="AH38" s="287"/>
      <c r="AI38" s="287"/>
      <c r="AJ38" s="287"/>
      <c r="AK38" s="287"/>
      <c r="AL38" s="287"/>
      <c r="AM38" s="287"/>
      <c r="AN38" s="287"/>
    </row>
    <row r="39" spans="1:40" ht="12" customHeight="1" x14ac:dyDescent="0.3">
      <c r="B39" s="196"/>
      <c r="C39" s="196"/>
      <c r="K39" s="196"/>
      <c r="L39" s="196"/>
      <c r="U39" s="197"/>
      <c r="V39" s="197"/>
      <c r="AD39" s="6" t="s">
        <v>839</v>
      </c>
      <c r="AE39" s="197"/>
      <c r="AF39" s="197"/>
    </row>
    <row r="40" spans="1:40" ht="12.75" customHeight="1" x14ac:dyDescent="0.3">
      <c r="B40" s="196"/>
      <c r="C40" s="196"/>
      <c r="K40" s="196"/>
      <c r="L40" s="196"/>
      <c r="U40" s="197"/>
      <c r="V40" s="197"/>
      <c r="AE40" s="197"/>
      <c r="AF40" s="197"/>
    </row>
    <row r="41" spans="1:40" ht="12.75" customHeight="1" x14ac:dyDescent="0.3">
      <c r="B41" s="196"/>
      <c r="C41" s="196"/>
      <c r="K41" s="196"/>
      <c r="L41" s="196"/>
      <c r="U41" s="197"/>
      <c r="V41" s="197"/>
      <c r="AE41" s="197"/>
      <c r="AF41" s="197"/>
    </row>
    <row r="42" spans="1:40" ht="12.75" customHeight="1" x14ac:dyDescent="0.3">
      <c r="B42" s="196"/>
      <c r="C42" s="196"/>
      <c r="K42" s="196"/>
      <c r="L42" s="196"/>
      <c r="U42" s="197"/>
      <c r="V42" s="197"/>
      <c r="AE42" s="197"/>
      <c r="AF42" s="197"/>
    </row>
    <row r="43" spans="1:40" ht="12.75" customHeight="1" x14ac:dyDescent="0.3">
      <c r="B43" s="196"/>
      <c r="C43" s="196"/>
      <c r="K43" s="196"/>
      <c r="L43" s="196"/>
      <c r="U43" s="197"/>
      <c r="V43" s="197"/>
      <c r="AE43" s="197"/>
      <c r="AF43" s="197"/>
    </row>
    <row r="44" spans="1:40" ht="12.75" customHeight="1" x14ac:dyDescent="0.3">
      <c r="B44" s="196"/>
      <c r="C44" s="196"/>
      <c r="K44" s="196"/>
      <c r="L44" s="196"/>
      <c r="U44" s="197"/>
      <c r="V44" s="197"/>
      <c r="AE44" s="197"/>
      <c r="AF44" s="197"/>
    </row>
    <row r="45" spans="1:40" ht="12.75" customHeight="1" x14ac:dyDescent="0.3">
      <c r="B45" s="196"/>
      <c r="C45" s="196"/>
      <c r="K45" s="196"/>
      <c r="L45" s="196"/>
      <c r="U45" s="197"/>
      <c r="V45" s="197"/>
      <c r="AE45" s="197"/>
      <c r="AF45" s="197"/>
    </row>
    <row r="46" spans="1:40" ht="12.75" customHeight="1" x14ac:dyDescent="0.3">
      <c r="B46" s="196"/>
      <c r="C46" s="196"/>
      <c r="K46" s="196"/>
      <c r="L46" s="196"/>
      <c r="U46" s="197"/>
      <c r="V46" s="197"/>
      <c r="AE46" s="197"/>
      <c r="AF46" s="197"/>
    </row>
    <row r="47" spans="1:40" ht="12.75" customHeight="1" x14ac:dyDescent="0.3">
      <c r="B47" s="196"/>
      <c r="C47" s="196"/>
      <c r="K47" s="196"/>
      <c r="L47" s="196"/>
      <c r="U47" s="197"/>
      <c r="V47" s="197"/>
      <c r="AE47" s="197"/>
      <c r="AF47" s="197"/>
    </row>
    <row r="48" spans="1:40" ht="12.75" customHeight="1" x14ac:dyDescent="0.3">
      <c r="B48" s="196"/>
      <c r="C48" s="196"/>
      <c r="K48" s="196"/>
      <c r="L48" s="196"/>
      <c r="U48" s="197"/>
      <c r="V48" s="197"/>
      <c r="AE48" s="197"/>
      <c r="AF48" s="197"/>
    </row>
    <row r="49" spans="2:32" ht="12.75" customHeight="1" x14ac:dyDescent="0.3">
      <c r="B49" s="196"/>
      <c r="C49" s="196"/>
      <c r="K49" s="196"/>
      <c r="L49" s="196"/>
      <c r="U49" s="197"/>
      <c r="V49" s="197"/>
      <c r="AE49" s="197"/>
      <c r="AF49" s="197"/>
    </row>
    <row r="50" spans="2:32" ht="12.75" customHeight="1" x14ac:dyDescent="0.3">
      <c r="B50" s="196"/>
      <c r="C50" s="196"/>
      <c r="K50" s="196"/>
      <c r="L50" s="196"/>
      <c r="U50" s="197"/>
      <c r="V50" s="197"/>
      <c r="AE50" s="197"/>
      <c r="AF50" s="197"/>
    </row>
    <row r="51" spans="2:32" ht="12.75" customHeight="1" x14ac:dyDescent="0.3">
      <c r="B51" s="196"/>
      <c r="C51" s="196"/>
      <c r="K51" s="196"/>
      <c r="L51" s="196"/>
      <c r="U51" s="197"/>
      <c r="V51" s="197"/>
      <c r="AE51" s="197"/>
      <c r="AF51" s="197"/>
    </row>
    <row r="52" spans="2:32" ht="12.75" customHeight="1" x14ac:dyDescent="0.3">
      <c r="B52" s="196"/>
      <c r="C52" s="196"/>
      <c r="K52" s="196"/>
      <c r="L52" s="196"/>
      <c r="U52" s="197"/>
      <c r="V52" s="197"/>
      <c r="AE52" s="197"/>
      <c r="AF52" s="197"/>
    </row>
    <row r="53" spans="2:32" ht="12.75" customHeight="1" x14ac:dyDescent="0.3">
      <c r="B53" s="196"/>
      <c r="C53" s="196"/>
      <c r="K53" s="196"/>
      <c r="L53" s="196"/>
      <c r="U53" s="197"/>
      <c r="V53" s="197"/>
      <c r="AE53" s="197"/>
      <c r="AF53" s="197"/>
    </row>
    <row r="54" spans="2:32" ht="12.75" customHeight="1" x14ac:dyDescent="0.3">
      <c r="B54" s="196"/>
      <c r="C54" s="196"/>
      <c r="K54" s="196"/>
      <c r="L54" s="196"/>
      <c r="U54" s="197"/>
      <c r="V54" s="197"/>
      <c r="AE54" s="197"/>
      <c r="AF54" s="197"/>
    </row>
    <row r="55" spans="2:32" ht="12.75" customHeight="1" x14ac:dyDescent="0.3">
      <c r="B55" s="196"/>
      <c r="C55" s="196"/>
      <c r="K55" s="196"/>
      <c r="L55" s="196"/>
      <c r="U55" s="197"/>
      <c r="V55" s="197"/>
      <c r="AE55" s="197"/>
      <c r="AF55" s="197"/>
    </row>
    <row r="56" spans="2:32" ht="12.75" customHeight="1" x14ac:dyDescent="0.3">
      <c r="B56" s="196"/>
      <c r="C56" s="196"/>
      <c r="K56" s="196"/>
      <c r="L56" s="196"/>
      <c r="U56" s="197"/>
      <c r="V56" s="197"/>
      <c r="AE56" s="197"/>
      <c r="AF56" s="197"/>
    </row>
    <row r="57" spans="2:32" ht="12.75" customHeight="1" x14ac:dyDescent="0.3">
      <c r="B57" s="196"/>
      <c r="C57" s="196"/>
      <c r="K57" s="196"/>
      <c r="L57" s="196"/>
      <c r="U57" s="197"/>
      <c r="V57" s="197"/>
      <c r="AE57" s="197"/>
      <c r="AF57" s="197"/>
    </row>
  </sheetData>
  <mergeCells count="24">
    <mergeCell ref="AD1:AL1"/>
    <mergeCell ref="AD2:AL2"/>
    <mergeCell ref="AD4:AD5"/>
    <mergeCell ref="AE4:AF4"/>
    <mergeCell ref="AH4:AI4"/>
    <mergeCell ref="AK4:AL4"/>
    <mergeCell ref="AA4:AB4"/>
    <mergeCell ref="A4:A5"/>
    <mergeCell ref="B4:C4"/>
    <mergeCell ref="E4:F4"/>
    <mergeCell ref="H4:I4"/>
    <mergeCell ref="J4:J5"/>
    <mergeCell ref="K4:L4"/>
    <mergeCell ref="N4:O4"/>
    <mergeCell ref="Q4:R4"/>
    <mergeCell ref="T4:T5"/>
    <mergeCell ref="U4:V4"/>
    <mergeCell ref="X4:Y4"/>
    <mergeCell ref="A1:I1"/>
    <mergeCell ref="J1:R1"/>
    <mergeCell ref="T1:AB1"/>
    <mergeCell ref="A2:I2"/>
    <mergeCell ref="J2:R2"/>
    <mergeCell ref="T2:AB2"/>
  </mergeCells>
  <printOptions horizontalCentered="1"/>
  <pageMargins left="0.9055118110236221" right="0.70866141732283472" top="1.1417322834645669" bottom="1.1417322834645669"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AL98"/>
  <sheetViews>
    <sheetView showGridLines="0" topLeftCell="AD22" zoomScaleNormal="100" zoomScaleSheetLayoutView="100" workbookViewId="0">
      <selection activeCell="AD4" sqref="AD4:AL40"/>
    </sheetView>
  </sheetViews>
  <sheetFormatPr baseColWidth="10" defaultColWidth="11.28515625" defaultRowHeight="12.75" customHeight="1" x14ac:dyDescent="0.3"/>
  <cols>
    <col min="1" max="1" width="13.28515625" style="140" hidden="1" customWidth="1"/>
    <col min="2" max="2" width="8.7109375" style="140" hidden="1" customWidth="1"/>
    <col min="3" max="3" width="11.7109375" style="140" hidden="1" customWidth="1"/>
    <col min="4" max="4" width="1.28515625" style="140" hidden="1" customWidth="1"/>
    <col min="5" max="5" width="8.7109375" style="140" hidden="1" customWidth="1"/>
    <col min="6" max="6" width="11.7109375" style="140" hidden="1" customWidth="1"/>
    <col min="7" max="7" width="1.28515625" style="140" hidden="1" customWidth="1"/>
    <col min="8" max="8" width="8.7109375" style="140" hidden="1" customWidth="1"/>
    <col min="9" max="9" width="11.7109375" style="140" hidden="1" customWidth="1"/>
    <col min="10" max="10" width="13.28515625" style="140" hidden="1" customWidth="1"/>
    <col min="11" max="11" width="9.28515625" style="140" hidden="1" customWidth="1"/>
    <col min="12" max="12" width="12.28515625" style="140" hidden="1" customWidth="1"/>
    <col min="13" max="13" width="1.28515625" style="140" hidden="1" customWidth="1"/>
    <col min="14" max="14" width="9.28515625" style="140" hidden="1" customWidth="1"/>
    <col min="15" max="15" width="12.28515625" style="140" hidden="1" customWidth="1"/>
    <col min="16" max="16" width="1.28515625" style="140" hidden="1" customWidth="1"/>
    <col min="17" max="17" width="9.28515625" style="140" hidden="1" customWidth="1"/>
    <col min="18" max="18" width="12.28515625" style="140" hidden="1" customWidth="1"/>
    <col min="19" max="19" width="11.28515625" style="140" hidden="1" customWidth="1"/>
    <col min="20" max="20" width="16.28515625" style="2" hidden="1" customWidth="1"/>
    <col min="21" max="21" width="9.85546875" style="2" hidden="1" customWidth="1"/>
    <col min="22" max="22" width="13.5703125" style="2" hidden="1" customWidth="1"/>
    <col min="23" max="23" width="1.28515625" style="2" hidden="1" customWidth="1"/>
    <col min="24" max="24" width="9.85546875" style="2" hidden="1" customWidth="1"/>
    <col min="25" max="25" width="13.5703125" style="2" hidden="1" customWidth="1"/>
    <col min="26" max="26" width="1.28515625" style="2" hidden="1" customWidth="1"/>
    <col min="27" max="27" width="8.85546875" style="2" hidden="1" customWidth="1"/>
    <col min="28" max="28" width="10.140625" style="2" hidden="1" customWidth="1"/>
    <col min="29" max="29" width="2" style="2" hidden="1" customWidth="1"/>
    <col min="30" max="30" width="15.140625" style="2" customWidth="1"/>
    <col min="31" max="31" width="10.42578125" style="2" customWidth="1"/>
    <col min="32" max="32" width="14.85546875" style="2" customWidth="1"/>
    <col min="33" max="33" width="1.7109375" style="2" customWidth="1"/>
    <col min="34" max="34" width="10.42578125" style="2" customWidth="1"/>
    <col min="35" max="35" width="14.85546875" style="2" customWidth="1"/>
    <col min="36" max="36" width="1.7109375" style="2" customWidth="1"/>
    <col min="37" max="37" width="10.42578125" style="2" customWidth="1"/>
    <col min="38" max="38" width="14.85546875" style="2" customWidth="1"/>
    <col min="39" max="16384" width="11.28515625" style="2"/>
  </cols>
  <sheetData>
    <row r="1" spans="1:38" ht="12.75" customHeight="1" x14ac:dyDescent="0.3">
      <c r="A1" s="1090" t="s">
        <v>68</v>
      </c>
      <c r="B1" s="1090"/>
      <c r="C1" s="1090"/>
      <c r="D1" s="1090"/>
      <c r="E1" s="1090"/>
      <c r="F1" s="1090"/>
      <c r="G1" s="1090"/>
      <c r="H1" s="1090"/>
      <c r="I1" s="1090"/>
      <c r="J1" s="1090" t="s">
        <v>68</v>
      </c>
      <c r="K1" s="1090"/>
      <c r="L1" s="1090"/>
      <c r="M1" s="1090"/>
      <c r="N1" s="1090"/>
      <c r="O1" s="1090"/>
      <c r="P1" s="1090"/>
      <c r="Q1" s="1090"/>
      <c r="R1" s="1090"/>
      <c r="T1" s="1070" t="s">
        <v>69</v>
      </c>
      <c r="U1" s="1070"/>
      <c r="V1" s="1070"/>
      <c r="W1" s="1070"/>
      <c r="X1" s="1070"/>
      <c r="Y1" s="1070"/>
      <c r="Z1" s="1070"/>
      <c r="AA1" s="1070"/>
      <c r="AB1" s="1070"/>
      <c r="AD1" s="1070" t="s">
        <v>69</v>
      </c>
      <c r="AE1" s="1070"/>
      <c r="AF1" s="1070"/>
      <c r="AG1" s="1070"/>
      <c r="AH1" s="1070"/>
      <c r="AI1" s="1070"/>
      <c r="AJ1" s="1070"/>
      <c r="AK1" s="1070"/>
      <c r="AL1" s="1070"/>
    </row>
    <row r="2" spans="1:38" ht="12.75" customHeight="1" x14ac:dyDescent="0.3">
      <c r="A2" s="1091" t="s">
        <v>70</v>
      </c>
      <c r="B2" s="1091"/>
      <c r="C2" s="1091"/>
      <c r="D2" s="1091"/>
      <c r="E2" s="1091"/>
      <c r="F2" s="1091"/>
      <c r="G2" s="1091"/>
      <c r="H2" s="1091"/>
      <c r="I2" s="1091"/>
      <c r="J2" s="1091" t="s">
        <v>70</v>
      </c>
      <c r="K2" s="1091"/>
      <c r="L2" s="1091"/>
      <c r="M2" s="1091"/>
      <c r="N2" s="1091"/>
      <c r="O2" s="1091"/>
      <c r="P2" s="1091"/>
      <c r="Q2" s="1091"/>
      <c r="R2" s="1091"/>
      <c r="T2" s="1070" t="s">
        <v>775</v>
      </c>
      <c r="U2" s="1070"/>
      <c r="V2" s="1070"/>
      <c r="W2" s="1070"/>
      <c r="X2" s="1070"/>
      <c r="Y2" s="1070"/>
      <c r="Z2" s="1070"/>
      <c r="AA2" s="1070"/>
      <c r="AB2" s="1070"/>
      <c r="AD2" s="1070" t="s">
        <v>838</v>
      </c>
      <c r="AE2" s="1070"/>
      <c r="AF2" s="1070"/>
      <c r="AG2" s="1070"/>
      <c r="AH2" s="1070"/>
      <c r="AI2" s="1070"/>
      <c r="AJ2" s="1070"/>
      <c r="AK2" s="1070"/>
      <c r="AL2" s="1070"/>
    </row>
    <row r="3" spans="1:38" ht="12.75" customHeight="1" x14ac:dyDescent="0.3">
      <c r="I3" s="141"/>
      <c r="R3" s="141" t="s">
        <v>50</v>
      </c>
      <c r="AB3" s="142"/>
      <c r="AL3" s="142"/>
    </row>
    <row r="4" spans="1:38" ht="21.95" customHeight="1" x14ac:dyDescent="0.3">
      <c r="A4" s="1092" t="s">
        <v>4</v>
      </c>
      <c r="B4" s="1087" t="s">
        <v>57</v>
      </c>
      <c r="C4" s="1087"/>
      <c r="D4" s="143"/>
      <c r="E4" s="1087" t="s">
        <v>63</v>
      </c>
      <c r="F4" s="1087"/>
      <c r="G4" s="143"/>
      <c r="H4" s="1087" t="s">
        <v>64</v>
      </c>
      <c r="I4" s="1087"/>
      <c r="J4" s="1092" t="s">
        <v>4</v>
      </c>
      <c r="K4" s="1087" t="s">
        <v>57</v>
      </c>
      <c r="L4" s="1087"/>
      <c r="M4" s="143"/>
      <c r="N4" s="1087" t="s">
        <v>63</v>
      </c>
      <c r="O4" s="1087"/>
      <c r="P4" s="143"/>
      <c r="Q4" s="1087" t="s">
        <v>64</v>
      </c>
      <c r="R4" s="1087"/>
      <c r="T4" s="1088" t="s">
        <v>4</v>
      </c>
      <c r="U4" s="1081" t="s">
        <v>57</v>
      </c>
      <c r="V4" s="1081"/>
      <c r="W4" s="345"/>
      <c r="X4" s="1081" t="s">
        <v>63</v>
      </c>
      <c r="Y4" s="1081"/>
      <c r="Z4" s="345"/>
      <c r="AA4" s="1081" t="s">
        <v>64</v>
      </c>
      <c r="AB4" s="1081"/>
      <c r="AD4" s="1089" t="s">
        <v>4</v>
      </c>
      <c r="AE4" s="1083" t="s">
        <v>57</v>
      </c>
      <c r="AF4" s="1083"/>
      <c r="AG4" s="570"/>
      <c r="AH4" s="1083" t="s">
        <v>63</v>
      </c>
      <c r="AI4" s="1083"/>
      <c r="AJ4" s="570"/>
      <c r="AK4" s="1083" t="s">
        <v>64</v>
      </c>
      <c r="AL4" s="1083"/>
    </row>
    <row r="5" spans="1:38" ht="45" customHeight="1" x14ac:dyDescent="0.3">
      <c r="A5" s="1086"/>
      <c r="B5" s="144" t="s">
        <v>65</v>
      </c>
      <c r="C5" s="144" t="s">
        <v>66</v>
      </c>
      <c r="D5" s="145"/>
      <c r="E5" s="144" t="s">
        <v>65</v>
      </c>
      <c r="F5" s="144" t="s">
        <v>66</v>
      </c>
      <c r="G5" s="145"/>
      <c r="H5" s="144" t="s">
        <v>65</v>
      </c>
      <c r="I5" s="144" t="s">
        <v>66</v>
      </c>
      <c r="J5" s="1086"/>
      <c r="K5" s="144" t="s">
        <v>65</v>
      </c>
      <c r="L5" s="144" t="s">
        <v>66</v>
      </c>
      <c r="M5" s="145"/>
      <c r="N5" s="144" t="s">
        <v>65</v>
      </c>
      <c r="O5" s="144" t="s">
        <v>66</v>
      </c>
      <c r="P5" s="145"/>
      <c r="Q5" s="144" t="s">
        <v>65</v>
      </c>
      <c r="R5" s="144" t="s">
        <v>66</v>
      </c>
      <c r="T5" s="1088"/>
      <c r="U5" s="346" t="s">
        <v>65</v>
      </c>
      <c r="V5" s="346" t="s">
        <v>66</v>
      </c>
      <c r="W5" s="348"/>
      <c r="X5" s="346" t="s">
        <v>65</v>
      </c>
      <c r="Y5" s="346" t="s">
        <v>66</v>
      </c>
      <c r="Z5" s="348"/>
      <c r="AA5" s="346" t="s">
        <v>65</v>
      </c>
      <c r="AB5" s="346" t="s">
        <v>66</v>
      </c>
      <c r="AD5" s="1089"/>
      <c r="AE5" s="571" t="s">
        <v>65</v>
      </c>
      <c r="AF5" s="571" t="s">
        <v>66</v>
      </c>
      <c r="AG5" s="573"/>
      <c r="AH5" s="571" t="s">
        <v>65</v>
      </c>
      <c r="AI5" s="571" t="s">
        <v>66</v>
      </c>
      <c r="AJ5" s="573"/>
      <c r="AK5" s="571" t="s">
        <v>65</v>
      </c>
      <c r="AL5" s="571" t="s">
        <v>66</v>
      </c>
    </row>
    <row r="6" spans="1:38" s="150" customFormat="1" ht="3" customHeight="1" x14ac:dyDescent="0.3">
      <c r="A6" s="146">
        <v>2017</v>
      </c>
      <c r="B6" s="147"/>
      <c r="C6" s="148"/>
      <c r="D6" s="148"/>
      <c r="E6" s="147"/>
      <c r="F6" s="148"/>
      <c r="G6" s="148"/>
      <c r="H6" s="147"/>
      <c r="I6" s="148"/>
      <c r="J6" s="146">
        <v>2018</v>
      </c>
      <c r="K6" s="147"/>
      <c r="L6" s="148"/>
      <c r="M6" s="148"/>
      <c r="N6" s="147"/>
      <c r="O6" s="148"/>
      <c r="P6" s="148"/>
      <c r="Q6" s="147"/>
      <c r="R6" s="148"/>
      <c r="S6" s="149"/>
      <c r="T6" s="356"/>
      <c r="U6" s="357"/>
      <c r="V6" s="358"/>
      <c r="W6" s="358"/>
      <c r="X6" s="357"/>
      <c r="Y6" s="358"/>
      <c r="Z6" s="358"/>
      <c r="AA6" s="357"/>
      <c r="AB6" s="358"/>
      <c r="AD6" s="582"/>
      <c r="AE6" s="583"/>
      <c r="AF6" s="584"/>
      <c r="AG6" s="584"/>
      <c r="AH6" s="583"/>
      <c r="AI6" s="584"/>
      <c r="AJ6" s="584"/>
      <c r="AK6" s="583"/>
      <c r="AL6" s="584"/>
    </row>
    <row r="7" spans="1:38" ht="15.95" customHeight="1" x14ac:dyDescent="0.3">
      <c r="A7" s="151" t="s">
        <v>57</v>
      </c>
      <c r="B7" s="152">
        <v>378521</v>
      </c>
      <c r="C7" s="152">
        <v>178149</v>
      </c>
      <c r="D7" s="152"/>
      <c r="E7" s="152">
        <v>254958</v>
      </c>
      <c r="F7" s="152">
        <v>172581</v>
      </c>
      <c r="G7" s="152"/>
      <c r="H7" s="152">
        <v>123563</v>
      </c>
      <c r="I7" s="152">
        <v>5568</v>
      </c>
      <c r="J7" s="151" t="s">
        <v>57</v>
      </c>
      <c r="K7" s="153">
        <v>408189</v>
      </c>
      <c r="L7" s="141">
        <v>184322</v>
      </c>
      <c r="M7" s="154"/>
      <c r="N7" s="141">
        <v>274464</v>
      </c>
      <c r="O7" s="141">
        <v>178814</v>
      </c>
      <c r="P7" s="154"/>
      <c r="Q7" s="141">
        <v>133725</v>
      </c>
      <c r="R7" s="141">
        <v>5508</v>
      </c>
      <c r="T7" s="334" t="s">
        <v>57</v>
      </c>
      <c r="U7" s="359">
        <v>437991</v>
      </c>
      <c r="V7" s="359">
        <v>186440</v>
      </c>
      <c r="W7" s="360"/>
      <c r="X7" s="359">
        <v>276328</v>
      </c>
      <c r="Y7" s="359">
        <v>180705</v>
      </c>
      <c r="Z7" s="360"/>
      <c r="AA7" s="359">
        <v>161663</v>
      </c>
      <c r="AB7" s="359">
        <v>5735</v>
      </c>
      <c r="AD7" s="563" t="s">
        <v>57</v>
      </c>
      <c r="AE7" s="585">
        <v>418609.48192735197</v>
      </c>
      <c r="AF7" s="585">
        <v>204583.02105803252</v>
      </c>
      <c r="AG7" s="586"/>
      <c r="AH7" s="585">
        <v>171416.77777971732</v>
      </c>
      <c r="AI7" s="585">
        <v>182984.07968649617</v>
      </c>
      <c r="AJ7" s="586"/>
      <c r="AK7" s="585">
        <v>247192.70414763826</v>
      </c>
      <c r="AL7" s="585">
        <v>21598.941371536002</v>
      </c>
    </row>
    <row r="8" spans="1:38" ht="3" customHeight="1" x14ac:dyDescent="0.3">
      <c r="A8" s="151"/>
      <c r="B8" s="152"/>
      <c r="C8" s="152"/>
      <c r="D8" s="152"/>
      <c r="E8" s="155"/>
      <c r="F8" s="152"/>
      <c r="G8" s="155"/>
      <c r="H8" s="155"/>
      <c r="I8" s="152"/>
      <c r="J8" s="151"/>
      <c r="K8" s="156"/>
      <c r="L8" s="157"/>
      <c r="M8" s="158"/>
      <c r="N8" s="157"/>
      <c r="O8" s="157"/>
      <c r="P8" s="159"/>
      <c r="Q8" s="157"/>
      <c r="R8" s="157"/>
      <c r="T8" s="327"/>
      <c r="U8" s="361"/>
      <c r="V8" s="361"/>
      <c r="W8" s="362"/>
      <c r="X8" s="361"/>
      <c r="Y8" s="361"/>
      <c r="Z8" s="13"/>
      <c r="AA8" s="361"/>
      <c r="AB8" s="361"/>
      <c r="AD8" s="528"/>
      <c r="AE8" s="587"/>
      <c r="AF8" s="587"/>
      <c r="AG8" s="588"/>
      <c r="AH8" s="587"/>
      <c r="AI8" s="587"/>
      <c r="AJ8" s="486"/>
      <c r="AK8" s="587"/>
      <c r="AL8" s="587"/>
    </row>
    <row r="9" spans="1:38" ht="15.95" customHeight="1" x14ac:dyDescent="0.3">
      <c r="A9" s="151" t="s">
        <v>12</v>
      </c>
      <c r="B9" s="152"/>
      <c r="C9" s="160"/>
      <c r="D9" s="152"/>
      <c r="E9" s="155"/>
      <c r="F9" s="160"/>
      <c r="G9" s="155"/>
      <c r="H9" s="155"/>
      <c r="I9" s="160"/>
      <c r="J9" s="151" t="s">
        <v>12</v>
      </c>
      <c r="K9" s="156"/>
      <c r="L9" s="157"/>
      <c r="M9" s="158"/>
      <c r="N9" s="157"/>
      <c r="O9" s="157"/>
      <c r="P9" s="159"/>
      <c r="Q9" s="157"/>
      <c r="R9" s="157"/>
      <c r="T9" s="327" t="s">
        <v>12</v>
      </c>
      <c r="U9" s="361"/>
      <c r="V9" s="361"/>
      <c r="W9" s="362"/>
      <c r="X9" s="361"/>
      <c r="Y9" s="361"/>
      <c r="Z9" s="13"/>
      <c r="AA9" s="361"/>
      <c r="AB9" s="361"/>
      <c r="AD9" s="528" t="s">
        <v>12</v>
      </c>
      <c r="AE9" s="587"/>
      <c r="AF9" s="587"/>
      <c r="AG9" s="588"/>
      <c r="AH9" s="587"/>
      <c r="AI9" s="587"/>
      <c r="AJ9" s="486"/>
      <c r="AK9" s="587"/>
      <c r="AL9" s="587"/>
    </row>
    <row r="10" spans="1:38" ht="15.95" customHeight="1" x14ac:dyDescent="0.3">
      <c r="A10" s="161" t="s">
        <v>13</v>
      </c>
      <c r="B10" s="155">
        <v>284075</v>
      </c>
      <c r="C10" s="155">
        <v>95085</v>
      </c>
      <c r="D10" s="155"/>
      <c r="E10" s="155">
        <v>191739</v>
      </c>
      <c r="F10" s="155">
        <v>90470</v>
      </c>
      <c r="G10" s="155"/>
      <c r="H10" s="155">
        <v>92336</v>
      </c>
      <c r="I10" s="155">
        <v>4615</v>
      </c>
      <c r="J10" s="161" t="s">
        <v>13</v>
      </c>
      <c r="K10" s="156">
        <v>303383</v>
      </c>
      <c r="L10" s="157">
        <v>100710</v>
      </c>
      <c r="M10" s="159"/>
      <c r="N10" s="157">
        <v>213699</v>
      </c>
      <c r="O10" s="157">
        <v>96668</v>
      </c>
      <c r="P10" s="159"/>
      <c r="Q10" s="157">
        <v>89684</v>
      </c>
      <c r="R10" s="157">
        <v>4042</v>
      </c>
      <c r="T10" s="328" t="s">
        <v>13</v>
      </c>
      <c r="U10" s="361">
        <v>342020</v>
      </c>
      <c r="V10" s="361">
        <v>103621</v>
      </c>
      <c r="W10" s="13"/>
      <c r="X10" s="361">
        <v>212940</v>
      </c>
      <c r="Y10" s="361">
        <v>98696</v>
      </c>
      <c r="Z10" s="13"/>
      <c r="AA10" s="361">
        <v>129080</v>
      </c>
      <c r="AB10" s="361">
        <v>4925</v>
      </c>
      <c r="AD10" s="530" t="s">
        <v>13</v>
      </c>
      <c r="AE10" s="587">
        <v>310092.90863684355</v>
      </c>
      <c r="AF10" s="587">
        <v>104308.02884474637</v>
      </c>
      <c r="AG10" s="486"/>
      <c r="AH10" s="587">
        <v>114075.18913158402</v>
      </c>
      <c r="AI10" s="587">
        <v>86371.0426938288</v>
      </c>
      <c r="AJ10" s="486"/>
      <c r="AK10" s="587">
        <v>196017.71950525799</v>
      </c>
      <c r="AL10" s="587">
        <v>17936.986150917604</v>
      </c>
    </row>
    <row r="11" spans="1:38" ht="15.95" customHeight="1" x14ac:dyDescent="0.3">
      <c r="A11" s="161" t="s">
        <v>14</v>
      </c>
      <c r="B11" s="155">
        <v>60980</v>
      </c>
      <c r="C11" s="155">
        <v>78518</v>
      </c>
      <c r="D11" s="155"/>
      <c r="E11" s="155">
        <v>55707</v>
      </c>
      <c r="F11" s="155">
        <v>78382</v>
      </c>
      <c r="G11" s="155"/>
      <c r="H11" s="155">
        <v>5273</v>
      </c>
      <c r="I11" s="155">
        <v>136</v>
      </c>
      <c r="J11" s="161" t="s">
        <v>14</v>
      </c>
      <c r="K11" s="156">
        <v>54940</v>
      </c>
      <c r="L11" s="157">
        <v>80445</v>
      </c>
      <c r="M11" s="159"/>
      <c r="N11" s="157">
        <v>52629</v>
      </c>
      <c r="O11" s="157">
        <v>80302</v>
      </c>
      <c r="P11" s="159"/>
      <c r="Q11" s="157">
        <v>2311</v>
      </c>
      <c r="R11" s="157">
        <v>143</v>
      </c>
      <c r="T11" s="328" t="s">
        <v>14</v>
      </c>
      <c r="U11" s="361">
        <v>57334</v>
      </c>
      <c r="V11" s="361">
        <v>79976</v>
      </c>
      <c r="W11" s="13"/>
      <c r="X11" s="361">
        <v>54495</v>
      </c>
      <c r="Y11" s="361">
        <v>79737</v>
      </c>
      <c r="Z11" s="13"/>
      <c r="AA11" s="361">
        <v>2839</v>
      </c>
      <c r="AB11" s="361">
        <v>239</v>
      </c>
      <c r="AD11" s="530" t="s">
        <v>14</v>
      </c>
      <c r="AE11" s="587">
        <v>77180.813104432091</v>
      </c>
      <c r="AF11" s="587">
        <v>96181.736891761815</v>
      </c>
      <c r="AG11" s="486"/>
      <c r="AH11" s="587">
        <v>52039.684810369748</v>
      </c>
      <c r="AI11" s="587">
        <v>93773.94519809245</v>
      </c>
      <c r="AJ11" s="486"/>
      <c r="AK11" s="587">
        <v>25141.128294062182</v>
      </c>
      <c r="AL11" s="587">
        <v>2407.7916936692118</v>
      </c>
    </row>
    <row r="12" spans="1:38" ht="15.95" customHeight="1" x14ac:dyDescent="0.3">
      <c r="A12" s="161" t="s">
        <v>15</v>
      </c>
      <c r="B12" s="155">
        <v>33466</v>
      </c>
      <c r="C12" s="155">
        <v>4546</v>
      </c>
      <c r="D12" s="155"/>
      <c r="E12" s="155">
        <v>7512</v>
      </c>
      <c r="F12" s="155">
        <v>3729</v>
      </c>
      <c r="G12" s="155"/>
      <c r="H12" s="155">
        <v>25954</v>
      </c>
      <c r="I12" s="155">
        <v>817</v>
      </c>
      <c r="J12" s="161" t="s">
        <v>15</v>
      </c>
      <c r="K12" s="156">
        <v>49866</v>
      </c>
      <c r="L12" s="157">
        <v>3167</v>
      </c>
      <c r="M12" s="159"/>
      <c r="N12" s="157">
        <v>8136</v>
      </c>
      <c r="O12" s="157">
        <v>1844</v>
      </c>
      <c r="P12" s="159"/>
      <c r="Q12" s="157">
        <v>41730</v>
      </c>
      <c r="R12" s="157">
        <v>1323</v>
      </c>
      <c r="T12" s="328" t="s">
        <v>15</v>
      </c>
      <c r="U12" s="361">
        <v>38637</v>
      </c>
      <c r="V12" s="361">
        <v>2843</v>
      </c>
      <c r="W12" s="13"/>
      <c r="X12" s="361">
        <v>8893</v>
      </c>
      <c r="Y12" s="361">
        <v>2272</v>
      </c>
      <c r="Z12" s="13"/>
      <c r="AA12" s="361">
        <v>29744</v>
      </c>
      <c r="AB12" s="361">
        <v>571</v>
      </c>
      <c r="AD12" s="530" t="s">
        <v>15</v>
      </c>
      <c r="AE12" s="587">
        <v>31335.760186088082</v>
      </c>
      <c r="AF12" s="587">
        <v>4093.2553215303224</v>
      </c>
      <c r="AG12" s="486"/>
      <c r="AH12" s="587">
        <v>5301.9038377694105</v>
      </c>
      <c r="AI12" s="587">
        <v>2839.0917945810802</v>
      </c>
      <c r="AJ12" s="486"/>
      <c r="AK12" s="587">
        <v>26033.856348318674</v>
      </c>
      <c r="AL12" s="587">
        <v>1254.1635269492415</v>
      </c>
    </row>
    <row r="13" spans="1:38" ht="3" customHeight="1" x14ac:dyDescent="0.3">
      <c r="A13" s="151"/>
      <c r="B13" s="152"/>
      <c r="C13" s="155"/>
      <c r="D13" s="152"/>
      <c r="E13" s="155"/>
      <c r="F13" s="155"/>
      <c r="G13" s="155"/>
      <c r="H13" s="155"/>
      <c r="I13" s="155"/>
      <c r="J13" s="151"/>
      <c r="K13" s="156"/>
      <c r="L13" s="157"/>
      <c r="M13" s="158"/>
      <c r="N13" s="157"/>
      <c r="O13" s="157"/>
      <c r="P13" s="159"/>
      <c r="Q13" s="157"/>
      <c r="R13" s="157"/>
      <c r="T13" s="327"/>
      <c r="U13" s="361"/>
      <c r="V13" s="361"/>
      <c r="W13" s="362"/>
      <c r="X13" s="361"/>
      <c r="Y13" s="361"/>
      <c r="Z13" s="13"/>
      <c r="AA13" s="361"/>
      <c r="AB13" s="361"/>
      <c r="AD13" s="528"/>
      <c r="AE13" s="587"/>
      <c r="AF13" s="587"/>
      <c r="AG13" s="588"/>
      <c r="AH13" s="587"/>
      <c r="AI13" s="587"/>
      <c r="AJ13" s="486"/>
      <c r="AK13" s="587"/>
      <c r="AL13" s="587"/>
    </row>
    <row r="14" spans="1:38" ht="15.95" customHeight="1" x14ac:dyDescent="0.3">
      <c r="A14" s="151" t="s">
        <v>16</v>
      </c>
      <c r="B14" s="152"/>
      <c r="C14" s="160"/>
      <c r="D14" s="152"/>
      <c r="E14" s="155"/>
      <c r="F14" s="160"/>
      <c r="G14" s="155"/>
      <c r="H14" s="155"/>
      <c r="I14" s="160"/>
      <c r="J14" s="151" t="s">
        <v>16</v>
      </c>
      <c r="K14" s="156"/>
      <c r="L14" s="157"/>
      <c r="M14" s="158"/>
      <c r="N14" s="157"/>
      <c r="O14" s="157"/>
      <c r="P14" s="159"/>
      <c r="Q14" s="157"/>
      <c r="R14" s="157"/>
      <c r="T14" s="327" t="s">
        <v>16</v>
      </c>
      <c r="U14" s="361"/>
      <c r="V14" s="361"/>
      <c r="W14" s="362"/>
      <c r="X14" s="361"/>
      <c r="Y14" s="361"/>
      <c r="Z14" s="13"/>
      <c r="AA14" s="361"/>
      <c r="AB14" s="361"/>
      <c r="AD14" s="528" t="s">
        <v>16</v>
      </c>
      <c r="AE14" s="587"/>
      <c r="AF14" s="587"/>
      <c r="AG14" s="588"/>
      <c r="AH14" s="587"/>
      <c r="AI14" s="587"/>
      <c r="AJ14" s="486"/>
      <c r="AK14" s="587"/>
      <c r="AL14" s="587"/>
    </row>
    <row r="15" spans="1:38" ht="15.95" customHeight="1" x14ac:dyDescent="0.3">
      <c r="A15" s="161" t="s">
        <v>17</v>
      </c>
      <c r="B15" s="155">
        <v>2333</v>
      </c>
      <c r="C15" s="155">
        <v>1060</v>
      </c>
      <c r="D15" s="155"/>
      <c r="E15" s="155">
        <v>1357</v>
      </c>
      <c r="F15" s="155">
        <v>971</v>
      </c>
      <c r="G15" s="155"/>
      <c r="H15" s="155">
        <v>976</v>
      </c>
      <c r="I15" s="155">
        <v>89</v>
      </c>
      <c r="J15" s="161" t="s">
        <v>17</v>
      </c>
      <c r="K15" s="156">
        <v>3195</v>
      </c>
      <c r="L15" s="157">
        <v>811</v>
      </c>
      <c r="M15" s="159"/>
      <c r="N15" s="157">
        <v>1597</v>
      </c>
      <c r="O15" s="157">
        <v>722</v>
      </c>
      <c r="P15" s="159"/>
      <c r="Q15" s="157">
        <v>1598</v>
      </c>
      <c r="R15" s="157">
        <v>89</v>
      </c>
      <c r="T15" s="328" t="s">
        <v>17</v>
      </c>
      <c r="U15" s="361">
        <v>2740</v>
      </c>
      <c r="V15" s="361">
        <v>1058</v>
      </c>
      <c r="W15" s="13"/>
      <c r="X15" s="361">
        <v>2049</v>
      </c>
      <c r="Y15" s="361">
        <v>1058</v>
      </c>
      <c r="Z15" s="13"/>
      <c r="AA15" s="361">
        <v>691</v>
      </c>
      <c r="AB15" s="361" t="s">
        <v>47</v>
      </c>
      <c r="AD15" s="530" t="s">
        <v>17</v>
      </c>
      <c r="AE15" s="587">
        <v>9175.2629119088742</v>
      </c>
      <c r="AF15" s="587">
        <v>1291.9207142857147</v>
      </c>
      <c r="AG15" s="486"/>
      <c r="AH15" s="587">
        <v>1220.9643317988007</v>
      </c>
      <c r="AI15" s="587">
        <v>1112.26</v>
      </c>
      <c r="AJ15" s="486"/>
      <c r="AK15" s="587">
        <v>7954.2985801100731</v>
      </c>
      <c r="AL15" s="587">
        <v>179.66071428571428</v>
      </c>
    </row>
    <row r="16" spans="1:38" ht="15.95" customHeight="1" x14ac:dyDescent="0.3">
      <c r="A16" s="161" t="s">
        <v>18</v>
      </c>
      <c r="B16" s="155">
        <v>23381</v>
      </c>
      <c r="C16" s="155">
        <v>14514</v>
      </c>
      <c r="D16" s="155"/>
      <c r="E16" s="155">
        <v>16151</v>
      </c>
      <c r="F16" s="155">
        <v>14161</v>
      </c>
      <c r="G16" s="155"/>
      <c r="H16" s="155">
        <v>7230</v>
      </c>
      <c r="I16" s="155">
        <v>353</v>
      </c>
      <c r="J16" s="161" t="s">
        <v>18</v>
      </c>
      <c r="K16" s="156">
        <v>26666</v>
      </c>
      <c r="L16" s="157">
        <v>18053</v>
      </c>
      <c r="M16" s="159"/>
      <c r="N16" s="157">
        <v>19037</v>
      </c>
      <c r="O16" s="157">
        <v>17627</v>
      </c>
      <c r="P16" s="159"/>
      <c r="Q16" s="157">
        <v>7629</v>
      </c>
      <c r="R16" s="157">
        <v>426</v>
      </c>
      <c r="T16" s="328" t="s">
        <v>18</v>
      </c>
      <c r="U16" s="361">
        <v>39169</v>
      </c>
      <c r="V16" s="361">
        <v>17703</v>
      </c>
      <c r="W16" s="13"/>
      <c r="X16" s="361">
        <v>22364</v>
      </c>
      <c r="Y16" s="361">
        <v>17336</v>
      </c>
      <c r="Z16" s="13"/>
      <c r="AA16" s="361">
        <v>16805</v>
      </c>
      <c r="AB16" s="361">
        <v>367</v>
      </c>
      <c r="AD16" s="530" t="s">
        <v>18</v>
      </c>
      <c r="AE16" s="587">
        <v>24911.737114646668</v>
      </c>
      <c r="AF16" s="587">
        <v>18470.408274017675</v>
      </c>
      <c r="AG16" s="486"/>
      <c r="AH16" s="587">
        <v>14107.549545656142</v>
      </c>
      <c r="AI16" s="587">
        <v>17271.377622377651</v>
      </c>
      <c r="AJ16" s="486"/>
      <c r="AK16" s="587">
        <v>10804.187568990532</v>
      </c>
      <c r="AL16" s="587">
        <v>1199.0306516400265</v>
      </c>
    </row>
    <row r="17" spans="1:38" ht="15.95" customHeight="1" x14ac:dyDescent="0.3">
      <c r="A17" s="161" t="s">
        <v>19</v>
      </c>
      <c r="B17" s="155">
        <v>1264</v>
      </c>
      <c r="C17" s="155">
        <v>3696</v>
      </c>
      <c r="D17" s="155"/>
      <c r="E17" s="155">
        <v>1264</v>
      </c>
      <c r="F17" s="155">
        <v>3696</v>
      </c>
      <c r="G17" s="155"/>
      <c r="H17" s="162" t="s">
        <v>47</v>
      </c>
      <c r="I17" s="162" t="s">
        <v>47</v>
      </c>
      <c r="J17" s="161" t="s">
        <v>19</v>
      </c>
      <c r="K17" s="156">
        <v>1312</v>
      </c>
      <c r="L17" s="157">
        <v>4571</v>
      </c>
      <c r="M17" s="159"/>
      <c r="N17" s="157">
        <v>1312</v>
      </c>
      <c r="O17" s="157">
        <v>4571</v>
      </c>
      <c r="P17" s="159"/>
      <c r="Q17" s="157" t="s">
        <v>47</v>
      </c>
      <c r="R17" s="157" t="s">
        <v>47</v>
      </c>
      <c r="T17" s="328" t="s">
        <v>19</v>
      </c>
      <c r="U17" s="361">
        <v>1200</v>
      </c>
      <c r="V17" s="361">
        <v>4159</v>
      </c>
      <c r="W17" s="13"/>
      <c r="X17" s="361">
        <v>1200</v>
      </c>
      <c r="Y17" s="361">
        <v>4159</v>
      </c>
      <c r="Z17" s="13"/>
      <c r="AA17" s="361" t="s">
        <v>47</v>
      </c>
      <c r="AB17" s="361" t="s">
        <v>47</v>
      </c>
      <c r="AD17" s="530" t="s">
        <v>19</v>
      </c>
      <c r="AE17" s="587">
        <v>1113.50729365954</v>
      </c>
      <c r="AF17" s="587">
        <v>4175.1029503829468</v>
      </c>
      <c r="AG17" s="486"/>
      <c r="AH17" s="587">
        <v>1113.50729365954</v>
      </c>
      <c r="AI17" s="587">
        <v>4175.1029503829468</v>
      </c>
      <c r="AJ17" s="486"/>
      <c r="AK17" s="587" t="s">
        <v>47</v>
      </c>
      <c r="AL17" s="587" t="s">
        <v>47</v>
      </c>
    </row>
    <row r="18" spans="1:38" ht="15.95" customHeight="1" x14ac:dyDescent="0.3">
      <c r="A18" s="161" t="s">
        <v>20</v>
      </c>
      <c r="B18" s="155">
        <v>42788</v>
      </c>
      <c r="C18" s="155">
        <v>17406</v>
      </c>
      <c r="D18" s="155"/>
      <c r="E18" s="155">
        <v>36385</v>
      </c>
      <c r="F18" s="155">
        <v>16999</v>
      </c>
      <c r="G18" s="155"/>
      <c r="H18" s="155">
        <v>6403</v>
      </c>
      <c r="I18" s="155">
        <v>407</v>
      </c>
      <c r="J18" s="161" t="s">
        <v>20</v>
      </c>
      <c r="K18" s="156">
        <v>36741</v>
      </c>
      <c r="L18" s="157">
        <v>15828</v>
      </c>
      <c r="M18" s="159"/>
      <c r="N18" s="157">
        <v>33750</v>
      </c>
      <c r="O18" s="157">
        <v>15562</v>
      </c>
      <c r="P18" s="159"/>
      <c r="Q18" s="157">
        <v>2991</v>
      </c>
      <c r="R18" s="157">
        <v>266</v>
      </c>
      <c r="T18" s="328" t="s">
        <v>20</v>
      </c>
      <c r="U18" s="361">
        <v>40204</v>
      </c>
      <c r="V18" s="361">
        <v>16649</v>
      </c>
      <c r="W18" s="13"/>
      <c r="X18" s="361">
        <v>36383</v>
      </c>
      <c r="Y18" s="361">
        <v>16446</v>
      </c>
      <c r="Z18" s="13"/>
      <c r="AA18" s="361">
        <v>3821</v>
      </c>
      <c r="AB18" s="361">
        <v>203</v>
      </c>
      <c r="AD18" s="530" t="s">
        <v>20</v>
      </c>
      <c r="AE18" s="587">
        <v>55767.481793904895</v>
      </c>
      <c r="AF18" s="587">
        <v>17091.610282574653</v>
      </c>
      <c r="AG18" s="486"/>
      <c r="AH18" s="587">
        <v>18176.912974756986</v>
      </c>
      <c r="AI18" s="587">
        <v>13621.640502354841</v>
      </c>
      <c r="AJ18" s="486"/>
      <c r="AK18" s="587">
        <v>37590.568819147651</v>
      </c>
      <c r="AL18" s="587">
        <v>3469.9697802197784</v>
      </c>
    </row>
    <row r="19" spans="1:38" ht="15.95" customHeight="1" x14ac:dyDescent="0.3">
      <c r="A19" s="161" t="s">
        <v>21</v>
      </c>
      <c r="B19" s="155">
        <v>5983</v>
      </c>
      <c r="C19" s="155">
        <v>10020</v>
      </c>
      <c r="D19" s="155"/>
      <c r="E19" s="155">
        <v>5983</v>
      </c>
      <c r="F19" s="155">
        <v>10020</v>
      </c>
      <c r="G19" s="155"/>
      <c r="H19" s="162" t="s">
        <v>47</v>
      </c>
      <c r="I19" s="162" t="s">
        <v>47</v>
      </c>
      <c r="J19" s="161" t="s">
        <v>21</v>
      </c>
      <c r="K19" s="156">
        <v>7215</v>
      </c>
      <c r="L19" s="157">
        <v>10114</v>
      </c>
      <c r="M19" s="159"/>
      <c r="N19" s="157">
        <v>7215</v>
      </c>
      <c r="O19" s="157">
        <v>10114</v>
      </c>
      <c r="P19" s="159"/>
      <c r="Q19" s="157" t="s">
        <v>47</v>
      </c>
      <c r="R19" s="157" t="s">
        <v>47</v>
      </c>
      <c r="T19" s="328" t="s">
        <v>21</v>
      </c>
      <c r="U19" s="361">
        <v>6271</v>
      </c>
      <c r="V19" s="361">
        <v>11609</v>
      </c>
      <c r="W19" s="13"/>
      <c r="X19" s="361">
        <v>5827</v>
      </c>
      <c r="Y19" s="361">
        <v>11520</v>
      </c>
      <c r="Z19" s="13"/>
      <c r="AA19" s="361">
        <v>444</v>
      </c>
      <c r="AB19" s="361">
        <v>89</v>
      </c>
      <c r="AD19" s="530" t="s">
        <v>21</v>
      </c>
      <c r="AE19" s="587">
        <v>7721.2513846690999</v>
      </c>
      <c r="AF19" s="587">
        <v>15516.50829692395</v>
      </c>
      <c r="AG19" s="486"/>
      <c r="AH19" s="587">
        <v>6156.5241101865586</v>
      </c>
      <c r="AI19" s="587">
        <v>15306.477790281997</v>
      </c>
      <c r="AJ19" s="486"/>
      <c r="AK19" s="587">
        <v>1564.7272744825455</v>
      </c>
      <c r="AL19" s="587">
        <v>210.03050664195243</v>
      </c>
    </row>
    <row r="20" spans="1:38" ht="15.95" customHeight="1" x14ac:dyDescent="0.3">
      <c r="A20" s="161" t="s">
        <v>22</v>
      </c>
      <c r="B20" s="155">
        <v>9554</v>
      </c>
      <c r="C20" s="155">
        <v>5323</v>
      </c>
      <c r="D20" s="155"/>
      <c r="E20" s="155">
        <v>8067</v>
      </c>
      <c r="F20" s="155">
        <v>5323</v>
      </c>
      <c r="G20" s="155"/>
      <c r="H20" s="155">
        <v>1487</v>
      </c>
      <c r="I20" s="162" t="s">
        <v>47</v>
      </c>
      <c r="J20" s="161" t="s">
        <v>22</v>
      </c>
      <c r="K20" s="156">
        <v>14324</v>
      </c>
      <c r="L20" s="157">
        <v>5255</v>
      </c>
      <c r="M20" s="159"/>
      <c r="N20" s="157">
        <v>6817</v>
      </c>
      <c r="O20" s="157">
        <v>4965</v>
      </c>
      <c r="P20" s="159"/>
      <c r="Q20" s="157">
        <v>7507</v>
      </c>
      <c r="R20" s="157">
        <v>290</v>
      </c>
      <c r="T20" s="328" t="s">
        <v>22</v>
      </c>
      <c r="U20" s="361">
        <v>12236</v>
      </c>
      <c r="V20" s="361">
        <v>6457</v>
      </c>
      <c r="W20" s="13"/>
      <c r="X20" s="361">
        <v>7561</v>
      </c>
      <c r="Y20" s="361">
        <v>6277</v>
      </c>
      <c r="Z20" s="13"/>
      <c r="AA20" s="361">
        <v>4675</v>
      </c>
      <c r="AB20" s="361">
        <v>180</v>
      </c>
      <c r="AD20" s="530" t="s">
        <v>22</v>
      </c>
      <c r="AE20" s="587">
        <v>5572.1512829887879</v>
      </c>
      <c r="AF20" s="587">
        <v>7845.8344927394082</v>
      </c>
      <c r="AG20" s="486"/>
      <c r="AH20" s="587">
        <v>5120.2762829887888</v>
      </c>
      <c r="AI20" s="587">
        <v>7755.4594927394082</v>
      </c>
      <c r="AJ20" s="486"/>
      <c r="AK20" s="587">
        <v>451.875</v>
      </c>
      <c r="AL20" s="587">
        <v>90.375</v>
      </c>
    </row>
    <row r="21" spans="1:38" ht="15.95" customHeight="1" x14ac:dyDescent="0.3">
      <c r="A21" s="161" t="s">
        <v>23</v>
      </c>
      <c r="B21" s="155">
        <v>4900</v>
      </c>
      <c r="C21" s="155">
        <v>10010</v>
      </c>
      <c r="D21" s="155"/>
      <c r="E21" s="155">
        <v>4900</v>
      </c>
      <c r="F21" s="155">
        <v>10010</v>
      </c>
      <c r="G21" s="155"/>
      <c r="H21" s="162" t="s">
        <v>47</v>
      </c>
      <c r="I21" s="162" t="s">
        <v>47</v>
      </c>
      <c r="J21" s="161" t="s">
        <v>23</v>
      </c>
      <c r="K21" s="156">
        <v>3677</v>
      </c>
      <c r="L21" s="157">
        <v>7910</v>
      </c>
      <c r="M21" s="159"/>
      <c r="N21" s="157">
        <v>3677</v>
      </c>
      <c r="O21" s="157">
        <v>7910</v>
      </c>
      <c r="P21" s="159"/>
      <c r="Q21" s="157" t="s">
        <v>47</v>
      </c>
      <c r="R21" s="157" t="s">
        <v>47</v>
      </c>
      <c r="T21" s="328" t="s">
        <v>23</v>
      </c>
      <c r="U21" s="361">
        <v>3617</v>
      </c>
      <c r="V21" s="361">
        <v>6814</v>
      </c>
      <c r="W21" s="13"/>
      <c r="X21" s="361">
        <v>3004</v>
      </c>
      <c r="Y21" s="361">
        <v>6814</v>
      </c>
      <c r="Z21" s="13"/>
      <c r="AA21" s="361">
        <v>613</v>
      </c>
      <c r="AB21" s="361" t="s">
        <v>47</v>
      </c>
      <c r="AD21" s="530" t="s">
        <v>23</v>
      </c>
      <c r="AE21" s="587">
        <v>3313.9807210042904</v>
      </c>
      <c r="AF21" s="587">
        <v>8556.7881118881069</v>
      </c>
      <c r="AG21" s="486"/>
      <c r="AH21" s="587">
        <v>3313.9807210042904</v>
      </c>
      <c r="AI21" s="587">
        <v>8556.7881118881069</v>
      </c>
      <c r="AJ21" s="486"/>
      <c r="AK21" s="587" t="s">
        <v>47</v>
      </c>
      <c r="AL21" s="587" t="s">
        <v>47</v>
      </c>
    </row>
    <row r="22" spans="1:38" ht="15.95" customHeight="1" x14ac:dyDescent="0.3">
      <c r="A22" s="161" t="s">
        <v>24</v>
      </c>
      <c r="B22" s="155">
        <v>1138</v>
      </c>
      <c r="C22" s="155">
        <v>2891</v>
      </c>
      <c r="D22" s="155"/>
      <c r="E22" s="155">
        <v>1138</v>
      </c>
      <c r="F22" s="155">
        <v>2891</v>
      </c>
      <c r="G22" s="155"/>
      <c r="H22" s="162" t="s">
        <v>47</v>
      </c>
      <c r="I22" s="162" t="s">
        <v>47</v>
      </c>
      <c r="J22" s="161" t="s">
        <v>24</v>
      </c>
      <c r="K22" s="156">
        <v>3107</v>
      </c>
      <c r="L22" s="157">
        <v>2976</v>
      </c>
      <c r="M22" s="159"/>
      <c r="N22" s="157">
        <v>3107</v>
      </c>
      <c r="O22" s="157">
        <v>2976</v>
      </c>
      <c r="P22" s="159"/>
      <c r="Q22" s="157" t="s">
        <v>47</v>
      </c>
      <c r="R22" s="157" t="s">
        <v>47</v>
      </c>
      <c r="T22" s="328" t="s">
        <v>24</v>
      </c>
      <c r="U22" s="361">
        <v>1361</v>
      </c>
      <c r="V22" s="361">
        <v>1967</v>
      </c>
      <c r="W22" s="13"/>
      <c r="X22" s="361">
        <v>1361</v>
      </c>
      <c r="Y22" s="361">
        <v>1967</v>
      </c>
      <c r="Z22" s="13"/>
      <c r="AA22" s="361" t="s">
        <v>47</v>
      </c>
      <c r="AB22" s="361" t="s">
        <v>47</v>
      </c>
      <c r="AD22" s="530" t="s">
        <v>24</v>
      </c>
      <c r="AE22" s="587">
        <v>2149.2026943276846</v>
      </c>
      <c r="AF22" s="587">
        <v>4102.9105616605648</v>
      </c>
      <c r="AG22" s="486"/>
      <c r="AH22" s="587">
        <v>2149.2026943276846</v>
      </c>
      <c r="AI22" s="587">
        <v>4102.9105616605648</v>
      </c>
      <c r="AJ22" s="486"/>
      <c r="AK22" s="587" t="s">
        <v>47</v>
      </c>
      <c r="AL22" s="587" t="s">
        <v>47</v>
      </c>
    </row>
    <row r="23" spans="1:38" ht="15.95" customHeight="1" x14ac:dyDescent="0.3">
      <c r="A23" s="161" t="s">
        <v>25</v>
      </c>
      <c r="B23" s="155">
        <v>17224</v>
      </c>
      <c r="C23" s="155">
        <v>2942</v>
      </c>
      <c r="D23" s="155"/>
      <c r="E23" s="155">
        <v>1683</v>
      </c>
      <c r="F23" s="155">
        <v>2600</v>
      </c>
      <c r="G23" s="155"/>
      <c r="H23" s="155">
        <v>15541</v>
      </c>
      <c r="I23" s="155">
        <v>342</v>
      </c>
      <c r="J23" s="161" t="s">
        <v>25</v>
      </c>
      <c r="K23" s="156">
        <v>11856</v>
      </c>
      <c r="L23" s="157">
        <v>3733</v>
      </c>
      <c r="M23" s="159"/>
      <c r="N23" s="157">
        <v>2168</v>
      </c>
      <c r="O23" s="157">
        <v>3531</v>
      </c>
      <c r="P23" s="159"/>
      <c r="Q23" s="157">
        <v>9688</v>
      </c>
      <c r="R23" s="157">
        <v>202</v>
      </c>
      <c r="T23" s="328" t="s">
        <v>25</v>
      </c>
      <c r="U23" s="361">
        <v>16184</v>
      </c>
      <c r="V23" s="361">
        <v>3796</v>
      </c>
      <c r="W23" s="13"/>
      <c r="X23" s="361">
        <v>1738</v>
      </c>
      <c r="Y23" s="361">
        <v>3594</v>
      </c>
      <c r="Z23" s="13"/>
      <c r="AA23" s="361">
        <v>14446</v>
      </c>
      <c r="AB23" s="361">
        <v>202</v>
      </c>
      <c r="AD23" s="530" t="s">
        <v>25</v>
      </c>
      <c r="AE23" s="587">
        <v>3076.7720712438668</v>
      </c>
      <c r="AF23" s="587">
        <v>4021.9333310722232</v>
      </c>
      <c r="AG23" s="486"/>
      <c r="AH23" s="587">
        <v>3076.7720712438668</v>
      </c>
      <c r="AI23" s="587">
        <v>4021.9333310722232</v>
      </c>
      <c r="AJ23" s="486"/>
      <c r="AK23" s="587" t="s">
        <v>47</v>
      </c>
      <c r="AL23" s="587" t="s">
        <v>47</v>
      </c>
    </row>
    <row r="24" spans="1:38" ht="15.95" customHeight="1" x14ac:dyDescent="0.3">
      <c r="A24" s="161" t="s">
        <v>26</v>
      </c>
      <c r="B24" s="155">
        <v>24995</v>
      </c>
      <c r="C24" s="155">
        <v>16209</v>
      </c>
      <c r="D24" s="155"/>
      <c r="E24" s="155">
        <v>18565</v>
      </c>
      <c r="F24" s="155">
        <v>15895</v>
      </c>
      <c r="G24" s="155"/>
      <c r="H24" s="155">
        <v>6430</v>
      </c>
      <c r="I24" s="155">
        <v>314</v>
      </c>
      <c r="J24" s="161" t="s">
        <v>26</v>
      </c>
      <c r="K24" s="156">
        <v>29583</v>
      </c>
      <c r="L24" s="157">
        <v>17203</v>
      </c>
      <c r="M24" s="159"/>
      <c r="N24" s="157">
        <v>23553</v>
      </c>
      <c r="O24" s="157">
        <v>16788</v>
      </c>
      <c r="P24" s="159"/>
      <c r="Q24" s="157">
        <v>6030</v>
      </c>
      <c r="R24" s="157">
        <v>415</v>
      </c>
      <c r="T24" s="328" t="s">
        <v>26</v>
      </c>
      <c r="U24" s="361">
        <v>26761</v>
      </c>
      <c r="V24" s="361">
        <v>18237</v>
      </c>
      <c r="W24" s="13"/>
      <c r="X24" s="361">
        <v>21523</v>
      </c>
      <c r="Y24" s="361">
        <v>18026</v>
      </c>
      <c r="Z24" s="13"/>
      <c r="AA24" s="361">
        <v>5238</v>
      </c>
      <c r="AB24" s="361">
        <v>211</v>
      </c>
      <c r="AD24" s="530" t="s">
        <v>26</v>
      </c>
      <c r="AE24" s="587">
        <v>31023.54321464611</v>
      </c>
      <c r="AF24" s="587">
        <v>19567.589083169591</v>
      </c>
      <c r="AG24" s="486"/>
      <c r="AH24" s="587">
        <v>13116.143410732484</v>
      </c>
      <c r="AI24" s="587">
        <v>17633.418215301277</v>
      </c>
      <c r="AJ24" s="486"/>
      <c r="AK24" s="587">
        <v>17907.399803913628</v>
      </c>
      <c r="AL24" s="587">
        <v>1934.1708678683974</v>
      </c>
    </row>
    <row r="25" spans="1:38" ht="15.95" customHeight="1" x14ac:dyDescent="0.3">
      <c r="A25" s="161" t="s">
        <v>27</v>
      </c>
      <c r="B25" s="155">
        <v>3643</v>
      </c>
      <c r="C25" s="155">
        <v>4511</v>
      </c>
      <c r="D25" s="155"/>
      <c r="E25" s="155">
        <v>3643</v>
      </c>
      <c r="F25" s="155">
        <v>4511</v>
      </c>
      <c r="G25" s="155"/>
      <c r="H25" s="162" t="s">
        <v>47</v>
      </c>
      <c r="I25" s="162" t="s">
        <v>47</v>
      </c>
      <c r="J25" s="161" t="s">
        <v>27</v>
      </c>
      <c r="K25" s="156">
        <v>3500</v>
      </c>
      <c r="L25" s="157">
        <v>3666</v>
      </c>
      <c r="M25" s="159"/>
      <c r="N25" s="157">
        <v>3500</v>
      </c>
      <c r="O25" s="157">
        <v>3666</v>
      </c>
      <c r="P25" s="159"/>
      <c r="Q25" s="157" t="s">
        <v>47</v>
      </c>
      <c r="R25" s="157" t="s">
        <v>47</v>
      </c>
      <c r="T25" s="328" t="s">
        <v>27</v>
      </c>
      <c r="U25" s="361">
        <v>2799</v>
      </c>
      <c r="V25" s="361">
        <v>3100</v>
      </c>
      <c r="W25" s="13"/>
      <c r="X25" s="361">
        <v>2799</v>
      </c>
      <c r="Y25" s="361">
        <v>3100</v>
      </c>
      <c r="Z25" s="13"/>
      <c r="AA25" s="361" t="s">
        <v>47</v>
      </c>
      <c r="AB25" s="361" t="s">
        <v>47</v>
      </c>
      <c r="AD25" s="530" t="s">
        <v>27</v>
      </c>
      <c r="AE25" s="587">
        <v>3349.2928553402776</v>
      </c>
      <c r="AF25" s="587">
        <v>3729.68478842586</v>
      </c>
      <c r="AG25" s="486"/>
      <c r="AH25" s="587">
        <v>1748.2795462411341</v>
      </c>
      <c r="AI25" s="587">
        <v>3495.6962680176966</v>
      </c>
      <c r="AJ25" s="486"/>
      <c r="AK25" s="587">
        <v>1601.0133090991415</v>
      </c>
      <c r="AL25" s="587">
        <v>233.98852040816331</v>
      </c>
    </row>
    <row r="26" spans="1:38" ht="15.95" customHeight="1" x14ac:dyDescent="0.3">
      <c r="A26" s="161" t="s">
        <v>28</v>
      </c>
      <c r="B26" s="155">
        <v>53117</v>
      </c>
      <c r="C26" s="155">
        <v>13360</v>
      </c>
      <c r="D26" s="155"/>
      <c r="E26" s="155">
        <v>33576</v>
      </c>
      <c r="F26" s="155">
        <v>12415</v>
      </c>
      <c r="G26" s="155"/>
      <c r="H26" s="155">
        <v>19541</v>
      </c>
      <c r="I26" s="155">
        <v>945</v>
      </c>
      <c r="J26" s="161" t="s">
        <v>28</v>
      </c>
      <c r="K26" s="156">
        <v>38591</v>
      </c>
      <c r="L26" s="157">
        <v>15327</v>
      </c>
      <c r="M26" s="159"/>
      <c r="N26" s="157">
        <v>28783</v>
      </c>
      <c r="O26" s="157">
        <v>14543</v>
      </c>
      <c r="P26" s="159"/>
      <c r="Q26" s="157">
        <v>9808</v>
      </c>
      <c r="R26" s="157">
        <v>784</v>
      </c>
      <c r="T26" s="328" t="s">
        <v>28</v>
      </c>
      <c r="U26" s="361">
        <v>39348</v>
      </c>
      <c r="V26" s="361">
        <v>15624</v>
      </c>
      <c r="W26" s="13"/>
      <c r="X26" s="361">
        <v>29512</v>
      </c>
      <c r="Y26" s="361">
        <v>14626</v>
      </c>
      <c r="Z26" s="13"/>
      <c r="AA26" s="361">
        <v>9836</v>
      </c>
      <c r="AB26" s="361">
        <v>998</v>
      </c>
      <c r="AD26" s="530" t="s">
        <v>28</v>
      </c>
      <c r="AE26" s="587">
        <v>32140.045643364287</v>
      </c>
      <c r="AF26" s="587">
        <v>13710.844600591703</v>
      </c>
      <c r="AG26" s="486"/>
      <c r="AH26" s="587">
        <v>11616.033876589963</v>
      </c>
      <c r="AI26" s="587">
        <v>11634.378941251043</v>
      </c>
      <c r="AJ26" s="486"/>
      <c r="AK26" s="587">
        <v>20524.011766774347</v>
      </c>
      <c r="AL26" s="587">
        <v>2076.4656593406594</v>
      </c>
    </row>
    <row r="27" spans="1:38" ht="15.95" customHeight="1" x14ac:dyDescent="0.3">
      <c r="A27" s="161" t="s">
        <v>29</v>
      </c>
      <c r="B27" s="155">
        <v>50426</v>
      </c>
      <c r="C27" s="155">
        <v>12908</v>
      </c>
      <c r="D27" s="155"/>
      <c r="E27" s="155">
        <v>25068</v>
      </c>
      <c r="F27" s="155">
        <v>11749</v>
      </c>
      <c r="G27" s="155"/>
      <c r="H27" s="155">
        <v>25358</v>
      </c>
      <c r="I27" s="155">
        <v>1159</v>
      </c>
      <c r="J27" s="161" t="s">
        <v>29</v>
      </c>
      <c r="K27" s="156">
        <v>51591</v>
      </c>
      <c r="L27" s="157">
        <v>13737</v>
      </c>
      <c r="M27" s="159"/>
      <c r="N27" s="157">
        <v>32086</v>
      </c>
      <c r="O27" s="157">
        <v>13314</v>
      </c>
      <c r="P27" s="159"/>
      <c r="Q27" s="157">
        <v>19505</v>
      </c>
      <c r="R27" s="157">
        <v>423</v>
      </c>
      <c r="T27" s="328" t="s">
        <v>29</v>
      </c>
      <c r="U27" s="361">
        <v>47807</v>
      </c>
      <c r="V27" s="361">
        <v>11726</v>
      </c>
      <c r="W27" s="13"/>
      <c r="X27" s="361">
        <v>28571</v>
      </c>
      <c r="Y27" s="361">
        <v>10945</v>
      </c>
      <c r="Z27" s="13"/>
      <c r="AA27" s="361">
        <v>19236</v>
      </c>
      <c r="AB27" s="361">
        <v>781</v>
      </c>
      <c r="AD27" s="530" t="s">
        <v>29</v>
      </c>
      <c r="AE27" s="587">
        <v>59894.600660570279</v>
      </c>
      <c r="AF27" s="587">
        <v>15612.412937062933</v>
      </c>
      <c r="AG27" s="486"/>
      <c r="AH27" s="587">
        <v>17554.925758402271</v>
      </c>
      <c r="AI27" s="587">
        <v>12517.279315129315</v>
      </c>
      <c r="AJ27" s="486"/>
      <c r="AK27" s="587">
        <v>42339.674902168023</v>
      </c>
      <c r="AL27" s="587">
        <v>3095.1336219336226</v>
      </c>
    </row>
    <row r="28" spans="1:38" ht="15.95" customHeight="1" x14ac:dyDescent="0.3">
      <c r="A28" s="163" t="s">
        <v>30</v>
      </c>
      <c r="B28" s="164">
        <v>58009</v>
      </c>
      <c r="C28" s="155">
        <v>27386</v>
      </c>
      <c r="D28" s="164"/>
      <c r="E28" s="155">
        <v>48439</v>
      </c>
      <c r="F28" s="155">
        <v>26729</v>
      </c>
      <c r="G28" s="155"/>
      <c r="H28" s="155">
        <v>9570</v>
      </c>
      <c r="I28" s="155">
        <v>657</v>
      </c>
      <c r="J28" s="163" t="s">
        <v>30</v>
      </c>
      <c r="K28" s="156">
        <v>58873</v>
      </c>
      <c r="L28" s="157">
        <v>27052</v>
      </c>
      <c r="M28" s="165"/>
      <c r="N28" s="157">
        <v>49864</v>
      </c>
      <c r="O28" s="157">
        <v>26416</v>
      </c>
      <c r="P28" s="159"/>
      <c r="Q28" s="157">
        <v>9009</v>
      </c>
      <c r="R28" s="157">
        <v>636</v>
      </c>
      <c r="T28" s="363" t="s">
        <v>30</v>
      </c>
      <c r="U28" s="361">
        <v>76478</v>
      </c>
      <c r="V28" s="361">
        <v>28233</v>
      </c>
      <c r="W28" s="364"/>
      <c r="X28" s="361">
        <v>59441</v>
      </c>
      <c r="Y28" s="361">
        <v>27465</v>
      </c>
      <c r="Z28" s="13"/>
      <c r="AA28" s="361">
        <v>17037</v>
      </c>
      <c r="AB28" s="361">
        <v>768</v>
      </c>
      <c r="AD28" s="589" t="s">
        <v>30</v>
      </c>
      <c r="AE28" s="587">
        <v>73035.910007164755</v>
      </c>
      <c r="AF28" s="587">
        <v>31230.82074022539</v>
      </c>
      <c r="AG28" s="590"/>
      <c r="AH28" s="587">
        <v>32125.624102668859</v>
      </c>
      <c r="AI28" s="587">
        <v>27742.84050649084</v>
      </c>
      <c r="AJ28" s="486"/>
      <c r="AK28" s="587">
        <v>40910.285904495875</v>
      </c>
      <c r="AL28" s="587">
        <v>3487.9802337345195</v>
      </c>
    </row>
    <row r="29" spans="1:38" ht="15.95" customHeight="1" x14ac:dyDescent="0.3">
      <c r="A29" s="161" t="s">
        <v>33</v>
      </c>
      <c r="B29" s="155">
        <v>2082</v>
      </c>
      <c r="C29" s="155">
        <v>3869</v>
      </c>
      <c r="D29" s="155"/>
      <c r="E29" s="155">
        <v>2082</v>
      </c>
      <c r="F29" s="155">
        <v>3869</v>
      </c>
      <c r="G29" s="155"/>
      <c r="H29" s="162" t="s">
        <v>47</v>
      </c>
      <c r="I29" s="162" t="s">
        <v>47</v>
      </c>
      <c r="J29" s="161" t="s">
        <v>31</v>
      </c>
      <c r="K29" s="156">
        <v>2575</v>
      </c>
      <c r="L29" s="157" t="s">
        <v>47</v>
      </c>
      <c r="M29" s="166"/>
      <c r="N29" s="157" t="s">
        <v>47</v>
      </c>
      <c r="O29" s="157" t="s">
        <v>47</v>
      </c>
      <c r="P29" s="166"/>
      <c r="Q29" s="157">
        <v>2575</v>
      </c>
      <c r="R29" s="157" t="s">
        <v>47</v>
      </c>
      <c r="T29" s="328" t="s">
        <v>31</v>
      </c>
      <c r="U29" s="361">
        <v>359</v>
      </c>
      <c r="V29" s="361">
        <v>60</v>
      </c>
      <c r="W29" s="7"/>
      <c r="X29" s="361">
        <v>0</v>
      </c>
      <c r="Y29" s="361">
        <v>0</v>
      </c>
      <c r="Z29" s="7"/>
      <c r="AA29" s="361">
        <v>359</v>
      </c>
      <c r="AB29" s="361">
        <v>60</v>
      </c>
      <c r="AD29" s="530" t="s">
        <v>31</v>
      </c>
      <c r="AE29" s="587">
        <v>23.972980871295125</v>
      </c>
      <c r="AF29" s="587">
        <v>68.494230769230768</v>
      </c>
      <c r="AG29" s="555"/>
      <c r="AH29" s="587">
        <v>23.972980871295125</v>
      </c>
      <c r="AI29" s="587">
        <v>68.494230769230768</v>
      </c>
      <c r="AJ29" s="555"/>
      <c r="AK29" s="587" t="s">
        <v>47</v>
      </c>
      <c r="AL29" s="587" t="s">
        <v>47</v>
      </c>
    </row>
    <row r="30" spans="1:38" ht="15.95" customHeight="1" x14ac:dyDescent="0.3">
      <c r="A30" s="161" t="s">
        <v>34</v>
      </c>
      <c r="B30" s="155">
        <v>134</v>
      </c>
      <c r="C30" s="155">
        <v>371</v>
      </c>
      <c r="D30" s="155"/>
      <c r="E30" s="155">
        <v>134</v>
      </c>
      <c r="F30" s="155">
        <v>371</v>
      </c>
      <c r="G30" s="155"/>
      <c r="H30" s="162" t="s">
        <v>47</v>
      </c>
      <c r="I30" s="162" t="s">
        <v>47</v>
      </c>
      <c r="J30" s="161" t="s">
        <v>32</v>
      </c>
      <c r="K30" s="156">
        <v>0</v>
      </c>
      <c r="L30" s="157">
        <v>0</v>
      </c>
      <c r="M30" s="166"/>
      <c r="N30" s="157">
        <v>0</v>
      </c>
      <c r="O30" s="157">
        <v>0</v>
      </c>
      <c r="P30" s="166"/>
      <c r="Q30" s="157">
        <v>0</v>
      </c>
      <c r="R30" s="157">
        <v>0</v>
      </c>
      <c r="T30" s="365" t="s">
        <v>32</v>
      </c>
      <c r="U30" s="361">
        <v>34</v>
      </c>
      <c r="V30" s="361">
        <v>7</v>
      </c>
      <c r="W30" s="7"/>
      <c r="X30" s="361">
        <v>0</v>
      </c>
      <c r="Y30" s="361">
        <v>7</v>
      </c>
      <c r="Z30" s="7"/>
      <c r="AA30" s="361">
        <v>34</v>
      </c>
      <c r="AB30" s="361">
        <v>0</v>
      </c>
      <c r="AD30" s="530" t="s">
        <v>32</v>
      </c>
      <c r="AE30" s="587">
        <v>28.435897435897434</v>
      </c>
      <c r="AF30" s="587">
        <v>18.051282051282051</v>
      </c>
      <c r="AG30" s="555"/>
      <c r="AH30" s="587">
        <v>28.435897435897434</v>
      </c>
      <c r="AI30" s="587">
        <v>18.051282051282051</v>
      </c>
      <c r="AJ30" s="555"/>
      <c r="AK30" s="587" t="s">
        <v>47</v>
      </c>
      <c r="AL30" s="587" t="s">
        <v>47</v>
      </c>
    </row>
    <row r="31" spans="1:38" ht="15.95" customHeight="1" x14ac:dyDescent="0.3">
      <c r="A31" s="161" t="s">
        <v>35</v>
      </c>
      <c r="B31" s="155">
        <v>34065</v>
      </c>
      <c r="C31" s="155">
        <v>18591</v>
      </c>
      <c r="D31" s="155"/>
      <c r="E31" s="155">
        <v>25519</v>
      </c>
      <c r="F31" s="155">
        <v>18083</v>
      </c>
      <c r="G31" s="155"/>
      <c r="H31" s="155">
        <v>8546</v>
      </c>
      <c r="I31" s="162">
        <v>508</v>
      </c>
      <c r="J31" s="161" t="s">
        <v>33</v>
      </c>
      <c r="K31" s="156">
        <v>1740</v>
      </c>
      <c r="L31" s="157">
        <v>4014</v>
      </c>
      <c r="M31" s="159"/>
      <c r="N31" s="157">
        <v>1672</v>
      </c>
      <c r="O31" s="157">
        <v>4004</v>
      </c>
      <c r="P31" s="159"/>
      <c r="Q31" s="157">
        <v>68</v>
      </c>
      <c r="R31" s="157">
        <v>10</v>
      </c>
      <c r="T31" s="328" t="s">
        <v>33</v>
      </c>
      <c r="U31" s="361">
        <v>1887</v>
      </c>
      <c r="V31" s="361">
        <v>4018</v>
      </c>
      <c r="W31" s="13"/>
      <c r="X31" s="361">
        <v>1887</v>
      </c>
      <c r="Y31" s="361">
        <v>4018</v>
      </c>
      <c r="Z31" s="13"/>
      <c r="AA31" s="361" t="s">
        <v>47</v>
      </c>
      <c r="AB31" s="361" t="s">
        <v>47</v>
      </c>
      <c r="AD31" s="530" t="s">
        <v>33</v>
      </c>
      <c r="AE31" s="587">
        <v>2030.5873183070714</v>
      </c>
      <c r="AF31" s="587">
        <v>4113.8245314442911</v>
      </c>
      <c r="AG31" s="486"/>
      <c r="AH31" s="587">
        <v>2030.5873183070714</v>
      </c>
      <c r="AI31" s="587">
        <v>4113.8245314442911</v>
      </c>
      <c r="AJ31" s="486"/>
      <c r="AK31" s="587" t="s">
        <v>47</v>
      </c>
      <c r="AL31" s="587" t="s">
        <v>47</v>
      </c>
    </row>
    <row r="32" spans="1:38" ht="15.95" customHeight="1" x14ac:dyDescent="0.3">
      <c r="A32" s="161" t="s">
        <v>58</v>
      </c>
      <c r="B32" s="155">
        <v>109</v>
      </c>
      <c r="C32" s="155">
        <v>701</v>
      </c>
      <c r="D32" s="155"/>
      <c r="E32" s="155">
        <v>109</v>
      </c>
      <c r="F32" s="155">
        <v>701</v>
      </c>
      <c r="G32" s="155"/>
      <c r="H32" s="162" t="s">
        <v>47</v>
      </c>
      <c r="I32" s="162" t="s">
        <v>47</v>
      </c>
      <c r="J32" s="161" t="s">
        <v>34</v>
      </c>
      <c r="K32" s="156">
        <v>234</v>
      </c>
      <c r="L32" s="157">
        <v>533</v>
      </c>
      <c r="M32" s="159"/>
      <c r="N32" s="157">
        <v>234</v>
      </c>
      <c r="O32" s="157">
        <v>533</v>
      </c>
      <c r="P32" s="159"/>
      <c r="Q32" s="157" t="s">
        <v>47</v>
      </c>
      <c r="R32" s="157" t="s">
        <v>47</v>
      </c>
      <c r="T32" s="328" t="s">
        <v>34</v>
      </c>
      <c r="U32" s="361">
        <v>198</v>
      </c>
      <c r="V32" s="361">
        <v>416</v>
      </c>
      <c r="W32" s="13"/>
      <c r="X32" s="361">
        <v>198</v>
      </c>
      <c r="Y32" s="361">
        <v>416</v>
      </c>
      <c r="Z32" s="13"/>
      <c r="AA32" s="361" t="s">
        <v>47</v>
      </c>
      <c r="AB32" s="361" t="s">
        <v>47</v>
      </c>
      <c r="AD32" s="530" t="s">
        <v>34</v>
      </c>
      <c r="AE32" s="587">
        <v>89.885326531174996</v>
      </c>
      <c r="AF32" s="587">
        <v>403.7741452991454</v>
      </c>
      <c r="AG32" s="486"/>
      <c r="AH32" s="587">
        <v>89.885326531174996</v>
      </c>
      <c r="AI32" s="587">
        <v>403.7741452991454</v>
      </c>
      <c r="AJ32" s="486"/>
      <c r="AK32" s="587" t="s">
        <v>47</v>
      </c>
      <c r="AL32" s="587" t="s">
        <v>47</v>
      </c>
    </row>
    <row r="33" spans="1:38" ht="15.95" customHeight="1" x14ac:dyDescent="0.3">
      <c r="A33" s="161" t="s">
        <v>37</v>
      </c>
      <c r="B33" s="155">
        <v>10740</v>
      </c>
      <c r="C33" s="155">
        <v>1094</v>
      </c>
      <c r="D33" s="155"/>
      <c r="E33" s="155">
        <v>3678</v>
      </c>
      <c r="F33" s="155">
        <v>785</v>
      </c>
      <c r="G33" s="155"/>
      <c r="H33" s="155">
        <v>7062</v>
      </c>
      <c r="I33" s="155">
        <v>309</v>
      </c>
      <c r="J33" s="161" t="s">
        <v>35</v>
      </c>
      <c r="K33" s="156">
        <v>55779</v>
      </c>
      <c r="L33" s="157">
        <v>19009</v>
      </c>
      <c r="M33" s="159"/>
      <c r="N33" s="157">
        <v>32550</v>
      </c>
      <c r="O33" s="157">
        <v>18318</v>
      </c>
      <c r="P33" s="159"/>
      <c r="Q33" s="157">
        <v>23229</v>
      </c>
      <c r="R33" s="157">
        <v>691</v>
      </c>
      <c r="T33" s="328" t="s">
        <v>35</v>
      </c>
      <c r="U33" s="361">
        <v>67825</v>
      </c>
      <c r="V33" s="361">
        <v>21530</v>
      </c>
      <c r="W33" s="13"/>
      <c r="X33" s="361">
        <v>27831</v>
      </c>
      <c r="Y33" s="361">
        <v>20514</v>
      </c>
      <c r="Z33" s="13"/>
      <c r="AA33" s="361">
        <v>39994</v>
      </c>
      <c r="AB33" s="361">
        <v>1016</v>
      </c>
      <c r="AD33" s="530" t="s">
        <v>35</v>
      </c>
      <c r="AE33" s="587">
        <v>53861.756874570958</v>
      </c>
      <c r="AF33" s="587">
        <v>20723.212454212484</v>
      </c>
      <c r="AG33" s="486"/>
      <c r="AH33" s="587">
        <v>24961.862413310573</v>
      </c>
      <c r="AI33" s="587">
        <v>17784.146520146543</v>
      </c>
      <c r="AJ33" s="486"/>
      <c r="AK33" s="587">
        <v>28899.894461260315</v>
      </c>
      <c r="AL33" s="587">
        <v>2939.065934065934</v>
      </c>
    </row>
    <row r="34" spans="1:38" ht="15.95" customHeight="1" x14ac:dyDescent="0.3">
      <c r="A34" s="161" t="s">
        <v>38</v>
      </c>
      <c r="B34" s="155">
        <v>11839</v>
      </c>
      <c r="C34" s="155">
        <v>7649</v>
      </c>
      <c r="D34" s="155"/>
      <c r="E34" s="155">
        <v>7748</v>
      </c>
      <c r="F34" s="155">
        <v>7461</v>
      </c>
      <c r="G34" s="155"/>
      <c r="H34" s="155">
        <v>4091</v>
      </c>
      <c r="I34" s="155">
        <v>188</v>
      </c>
      <c r="J34" s="161" t="s">
        <v>58</v>
      </c>
      <c r="K34" s="156">
        <v>69</v>
      </c>
      <c r="L34" s="157">
        <v>163</v>
      </c>
      <c r="M34" s="159"/>
      <c r="N34" s="157">
        <v>69</v>
      </c>
      <c r="O34" s="157">
        <v>163</v>
      </c>
      <c r="P34" s="159"/>
      <c r="Q34" s="157" t="s">
        <v>47</v>
      </c>
      <c r="R34" s="157" t="s">
        <v>47</v>
      </c>
      <c r="T34" s="328" t="s">
        <v>58</v>
      </c>
      <c r="U34" s="361">
        <v>378</v>
      </c>
      <c r="V34" s="361">
        <v>163</v>
      </c>
      <c r="W34" s="13"/>
      <c r="X34" s="361">
        <v>378</v>
      </c>
      <c r="Y34" s="361">
        <v>163</v>
      </c>
      <c r="Z34" s="13"/>
      <c r="AA34" s="361" t="s">
        <v>47</v>
      </c>
      <c r="AB34" s="361" t="s">
        <v>47</v>
      </c>
      <c r="AD34" s="530" t="s">
        <v>58</v>
      </c>
      <c r="AE34" s="587">
        <v>59.503055492222366</v>
      </c>
      <c r="AF34" s="587">
        <v>510.02619047619044</v>
      </c>
      <c r="AG34" s="486"/>
      <c r="AH34" s="587">
        <v>59.503055492222366</v>
      </c>
      <c r="AI34" s="587">
        <v>510.02619047619044</v>
      </c>
      <c r="AJ34" s="486"/>
      <c r="AK34" s="587" t="s">
        <v>47</v>
      </c>
      <c r="AL34" s="587" t="s">
        <v>47</v>
      </c>
    </row>
    <row r="35" spans="1:38" ht="15.95" customHeight="1" x14ac:dyDescent="0.3">
      <c r="A35" s="161" t="s">
        <v>39</v>
      </c>
      <c r="B35" s="155">
        <v>17748</v>
      </c>
      <c r="C35" s="155">
        <v>3488</v>
      </c>
      <c r="D35" s="155"/>
      <c r="E35" s="155">
        <v>8794</v>
      </c>
      <c r="F35" s="155">
        <v>3268</v>
      </c>
      <c r="G35" s="155"/>
      <c r="H35" s="155">
        <v>8954</v>
      </c>
      <c r="I35" s="155">
        <v>220</v>
      </c>
      <c r="J35" s="161" t="s">
        <v>37</v>
      </c>
      <c r="K35" s="156">
        <v>22990</v>
      </c>
      <c r="L35" s="157">
        <v>1349</v>
      </c>
      <c r="M35" s="159"/>
      <c r="N35" s="157">
        <v>3182</v>
      </c>
      <c r="O35" s="157">
        <v>630</v>
      </c>
      <c r="P35" s="159"/>
      <c r="Q35" s="157">
        <v>19808</v>
      </c>
      <c r="R35" s="157">
        <v>719</v>
      </c>
      <c r="T35" s="328" t="s">
        <v>37</v>
      </c>
      <c r="U35" s="361">
        <v>17169</v>
      </c>
      <c r="V35" s="361">
        <v>624</v>
      </c>
      <c r="W35" s="13"/>
      <c r="X35" s="361">
        <v>3269</v>
      </c>
      <c r="Y35" s="361">
        <v>315</v>
      </c>
      <c r="Z35" s="13"/>
      <c r="AA35" s="361">
        <v>13900</v>
      </c>
      <c r="AB35" s="361">
        <v>309</v>
      </c>
      <c r="AD35" s="530" t="s">
        <v>37</v>
      </c>
      <c r="AE35" s="587">
        <v>18989.690145698092</v>
      </c>
      <c r="AF35" s="587">
        <v>1609.3205782312925</v>
      </c>
      <c r="AG35" s="486"/>
      <c r="AH35" s="587">
        <v>1124.2367730938963</v>
      </c>
      <c r="AI35" s="587">
        <v>558.60714285714289</v>
      </c>
      <c r="AJ35" s="486"/>
      <c r="AK35" s="587">
        <v>17865.453372604195</v>
      </c>
      <c r="AL35" s="587">
        <v>1050.7134353741496</v>
      </c>
    </row>
    <row r="36" spans="1:38" ht="15.95" customHeight="1" x14ac:dyDescent="0.3">
      <c r="A36" s="167" t="s">
        <v>40</v>
      </c>
      <c r="B36" s="168">
        <v>3049</v>
      </c>
      <c r="C36" s="168">
        <v>150</v>
      </c>
      <c r="D36" s="168"/>
      <c r="E36" s="168">
        <v>675</v>
      </c>
      <c r="F36" s="168">
        <v>73</v>
      </c>
      <c r="G36" s="168"/>
      <c r="H36" s="168">
        <v>2374</v>
      </c>
      <c r="I36" s="168">
        <v>77</v>
      </c>
      <c r="J36" s="161" t="s">
        <v>38</v>
      </c>
      <c r="K36" s="156">
        <v>15435</v>
      </c>
      <c r="L36" s="157">
        <v>8507</v>
      </c>
      <c r="M36" s="159"/>
      <c r="N36" s="157">
        <v>9587</v>
      </c>
      <c r="O36" s="157">
        <v>8222</v>
      </c>
      <c r="P36" s="159"/>
      <c r="Q36" s="157">
        <v>5848</v>
      </c>
      <c r="R36" s="157">
        <v>285</v>
      </c>
      <c r="T36" s="328" t="s">
        <v>38</v>
      </c>
      <c r="U36" s="361">
        <v>16362</v>
      </c>
      <c r="V36" s="361">
        <v>8247</v>
      </c>
      <c r="W36" s="13"/>
      <c r="X36" s="361">
        <v>9845</v>
      </c>
      <c r="Y36" s="361">
        <v>7867</v>
      </c>
      <c r="Z36" s="13"/>
      <c r="AA36" s="361">
        <v>6517</v>
      </c>
      <c r="AB36" s="361">
        <v>380</v>
      </c>
      <c r="AD36" s="530" t="s">
        <v>38</v>
      </c>
      <c r="AE36" s="587">
        <v>15479.202191443015</v>
      </c>
      <c r="AF36" s="587">
        <v>8291.2709512709498</v>
      </c>
      <c r="AG36" s="486"/>
      <c r="AH36" s="587">
        <v>7963.0865243602511</v>
      </c>
      <c r="AI36" s="587">
        <v>7473.5456765456711</v>
      </c>
      <c r="AJ36" s="486"/>
      <c r="AK36" s="587">
        <v>7516.115667082764</v>
      </c>
      <c r="AL36" s="587">
        <v>817.72527472527452</v>
      </c>
    </row>
    <row r="37" spans="1:38" ht="15.95" customHeight="1" x14ac:dyDescent="0.3">
      <c r="I37" s="169" t="s">
        <v>59</v>
      </c>
      <c r="J37" s="161" t="s">
        <v>39</v>
      </c>
      <c r="K37" s="156">
        <v>18515</v>
      </c>
      <c r="L37" s="157">
        <v>4488</v>
      </c>
      <c r="M37" s="159"/>
      <c r="N37" s="157">
        <v>10637</v>
      </c>
      <c r="O37" s="157">
        <v>4239</v>
      </c>
      <c r="P37" s="159"/>
      <c r="Q37" s="157">
        <v>7878</v>
      </c>
      <c r="R37" s="157">
        <v>249</v>
      </c>
      <c r="T37" s="328" t="s">
        <v>39</v>
      </c>
      <c r="U37" s="361">
        <v>17120</v>
      </c>
      <c r="V37" s="361">
        <v>4220</v>
      </c>
      <c r="W37" s="13"/>
      <c r="X37" s="361">
        <v>9495</v>
      </c>
      <c r="Y37" s="361">
        <v>4049</v>
      </c>
      <c r="Z37" s="13"/>
      <c r="AA37" s="361">
        <v>7625</v>
      </c>
      <c r="AB37" s="361">
        <v>171</v>
      </c>
      <c r="AD37" s="530" t="s">
        <v>39</v>
      </c>
      <c r="AE37" s="587">
        <v>15587.604091966365</v>
      </c>
      <c r="AF37" s="587">
        <v>3896.8881519714837</v>
      </c>
      <c r="AG37" s="486"/>
      <c r="AH37" s="587">
        <v>4538.5107700612743</v>
      </c>
      <c r="AI37" s="587">
        <v>3106.0463579630232</v>
      </c>
      <c r="AJ37" s="486"/>
      <c r="AK37" s="587">
        <v>11049.093321905089</v>
      </c>
      <c r="AL37" s="587">
        <v>790.84179400846062</v>
      </c>
    </row>
    <row r="38" spans="1:38" ht="15.95" customHeight="1" x14ac:dyDescent="0.3">
      <c r="J38" s="167" t="s">
        <v>40</v>
      </c>
      <c r="K38" s="170">
        <v>621</v>
      </c>
      <c r="L38" s="171">
        <v>23</v>
      </c>
      <c r="M38" s="172"/>
      <c r="N38" s="171">
        <v>67</v>
      </c>
      <c r="O38" s="171" t="s">
        <v>47</v>
      </c>
      <c r="P38" s="172"/>
      <c r="Q38" s="171">
        <v>554</v>
      </c>
      <c r="R38" s="171">
        <v>23</v>
      </c>
      <c r="T38" s="329" t="s">
        <v>40</v>
      </c>
      <c r="U38" s="366">
        <v>484</v>
      </c>
      <c r="V38" s="366">
        <v>23</v>
      </c>
      <c r="W38" s="343"/>
      <c r="X38" s="366">
        <v>92</v>
      </c>
      <c r="Y38" s="366">
        <v>23</v>
      </c>
      <c r="Z38" s="343"/>
      <c r="AA38" s="366">
        <v>392</v>
      </c>
      <c r="AB38" s="366" t="s">
        <v>47</v>
      </c>
      <c r="AD38" s="533" t="s">
        <v>40</v>
      </c>
      <c r="AE38" s="591">
        <v>214.10439560439559</v>
      </c>
      <c r="AF38" s="591">
        <v>23.789377289377288</v>
      </c>
      <c r="AG38" s="569"/>
      <c r="AH38" s="591" t="s">
        <v>47</v>
      </c>
      <c r="AI38" s="591" t="s">
        <v>47</v>
      </c>
      <c r="AJ38" s="569"/>
      <c r="AK38" s="591">
        <v>214.10439560439559</v>
      </c>
      <c r="AL38" s="591">
        <v>23.789377289377288</v>
      </c>
    </row>
    <row r="39" spans="1:38" s="210" customFormat="1" ht="12" customHeight="1" x14ac:dyDescent="0.25">
      <c r="A39" s="209"/>
      <c r="B39" s="216"/>
      <c r="C39" s="216"/>
      <c r="D39" s="216"/>
      <c r="E39" s="216"/>
      <c r="F39" s="216"/>
      <c r="G39" s="216"/>
      <c r="H39" s="217"/>
      <c r="I39" s="216"/>
      <c r="J39" s="216"/>
      <c r="K39" s="216"/>
      <c r="L39" s="216"/>
      <c r="M39" s="216"/>
      <c r="N39" s="209"/>
      <c r="O39" s="217"/>
      <c r="P39" s="217"/>
      <c r="Q39" s="217"/>
      <c r="R39" s="217"/>
      <c r="S39" s="217"/>
      <c r="T39" s="217"/>
      <c r="U39" s="217"/>
      <c r="V39" s="217"/>
      <c r="W39" s="217"/>
      <c r="X39" s="217"/>
      <c r="Y39" s="217"/>
      <c r="Z39" s="217"/>
      <c r="AB39" s="11"/>
      <c r="AC39" s="13"/>
      <c r="AD39" s="1068" t="s">
        <v>837</v>
      </c>
      <c r="AE39" s="1069"/>
      <c r="AF39" s="1069"/>
      <c r="AG39" s="1069"/>
      <c r="AH39" s="1069"/>
      <c r="AI39" s="1069"/>
      <c r="AJ39" s="1069"/>
      <c r="AK39" s="1069"/>
      <c r="AL39" s="1069"/>
    </row>
    <row r="40" spans="1:38" s="4" customFormat="1" ht="12" customHeight="1" x14ac:dyDescent="0.25">
      <c r="A40" s="248"/>
      <c r="B40" s="249"/>
      <c r="C40" s="249"/>
      <c r="D40" s="249"/>
      <c r="E40" s="249"/>
      <c r="F40" s="249"/>
      <c r="G40" s="249"/>
      <c r="H40" s="249"/>
      <c r="I40" s="14"/>
      <c r="J40" s="248" t="s">
        <v>67</v>
      </c>
      <c r="K40" s="249"/>
      <c r="L40" s="249"/>
      <c r="M40" s="249"/>
      <c r="N40" s="249"/>
      <c r="O40" s="249"/>
      <c r="P40" s="249"/>
      <c r="Q40" s="249"/>
      <c r="R40" s="250"/>
      <c r="S40" s="14"/>
      <c r="T40" s="251" t="s">
        <v>720</v>
      </c>
      <c r="U40" s="5"/>
      <c r="V40" s="5"/>
      <c r="W40" s="5"/>
      <c r="X40" s="5"/>
      <c r="Y40" s="5"/>
      <c r="Z40" s="5"/>
      <c r="AA40" s="5"/>
      <c r="AB40" s="252"/>
      <c r="AD40" s="251" t="s">
        <v>839</v>
      </c>
      <c r="AE40" s="5"/>
      <c r="AF40" s="5"/>
      <c r="AG40" s="5"/>
      <c r="AH40" s="5"/>
      <c r="AI40" s="5"/>
      <c r="AJ40" s="5"/>
      <c r="AK40" s="5"/>
      <c r="AL40" s="252"/>
    </row>
    <row r="41" spans="1:38" ht="12.75" customHeight="1" x14ac:dyDescent="0.3">
      <c r="A41" s="173"/>
      <c r="B41" s="173"/>
      <c r="J41" s="173"/>
      <c r="K41" s="173"/>
      <c r="T41" s="174"/>
      <c r="U41" s="174"/>
      <c r="AD41" s="174"/>
      <c r="AE41" s="174"/>
    </row>
    <row r="42" spans="1:38" ht="12.75" customHeight="1" x14ac:dyDescent="0.3">
      <c r="A42" s="173"/>
      <c r="B42" s="173"/>
      <c r="J42" s="173"/>
      <c r="K42" s="173"/>
      <c r="T42" s="1070" t="s">
        <v>69</v>
      </c>
      <c r="U42" s="1070"/>
      <c r="V42" s="1070"/>
      <c r="W42" s="1070"/>
      <c r="X42" s="1070"/>
      <c r="Y42" s="1070"/>
      <c r="Z42" s="1070"/>
      <c r="AA42" s="1070"/>
      <c r="AB42" s="1070"/>
    </row>
    <row r="43" spans="1:38" ht="12.75" customHeight="1" x14ac:dyDescent="0.3">
      <c r="A43" s="173"/>
      <c r="B43" s="173"/>
      <c r="J43" s="173"/>
      <c r="K43" s="173"/>
      <c r="T43" s="1070" t="s">
        <v>777</v>
      </c>
      <c r="U43" s="1070"/>
      <c r="V43" s="1070"/>
      <c r="W43" s="1070"/>
      <c r="X43" s="1070"/>
      <c r="Y43" s="1070"/>
      <c r="Z43" s="1070"/>
      <c r="AA43" s="1070"/>
      <c r="AB43" s="1070"/>
      <c r="AD43" s="174"/>
      <c r="AE43" s="174"/>
    </row>
    <row r="44" spans="1:38" ht="12.75" customHeight="1" x14ac:dyDescent="0.3">
      <c r="A44" s="173"/>
      <c r="B44" s="173"/>
      <c r="J44" s="173"/>
      <c r="K44" s="173"/>
      <c r="AB44" s="142"/>
      <c r="AD44" s="174"/>
      <c r="AE44" s="174"/>
    </row>
    <row r="45" spans="1:38" ht="12.75" customHeight="1" x14ac:dyDescent="0.3">
      <c r="A45" s="173"/>
      <c r="B45" s="173"/>
      <c r="J45" s="173"/>
      <c r="K45" s="173"/>
      <c r="T45" s="1088" t="s">
        <v>4</v>
      </c>
      <c r="U45" s="1081" t="s">
        <v>57</v>
      </c>
      <c r="V45" s="1081"/>
      <c r="W45" s="345"/>
      <c r="X45" s="1081" t="s">
        <v>63</v>
      </c>
      <c r="Y45" s="1081"/>
      <c r="Z45" s="345"/>
      <c r="AA45" s="1081" t="s">
        <v>64</v>
      </c>
      <c r="AB45" s="1081"/>
      <c r="AD45" s="174"/>
      <c r="AE45" s="174"/>
    </row>
    <row r="46" spans="1:38" ht="25.7" customHeight="1" x14ac:dyDescent="0.3">
      <c r="A46" s="173"/>
      <c r="B46" s="173"/>
      <c r="J46" s="173"/>
      <c r="K46" s="173"/>
      <c r="T46" s="1088"/>
      <c r="U46" s="346" t="s">
        <v>65</v>
      </c>
      <c r="V46" s="346" t="s">
        <v>66</v>
      </c>
      <c r="W46" s="348"/>
      <c r="X46" s="346" t="s">
        <v>65</v>
      </c>
      <c r="Y46" s="346" t="s">
        <v>66</v>
      </c>
      <c r="Z46" s="348"/>
      <c r="AA46" s="346" t="s">
        <v>65</v>
      </c>
      <c r="AB46" s="346" t="s">
        <v>66</v>
      </c>
      <c r="AD46" s="174"/>
      <c r="AE46" s="174"/>
    </row>
    <row r="47" spans="1:38" ht="12.75" customHeight="1" x14ac:dyDescent="0.3">
      <c r="A47" s="173"/>
      <c r="B47" s="173"/>
      <c r="J47" s="173"/>
      <c r="K47" s="173"/>
      <c r="T47" s="174"/>
      <c r="U47" s="174"/>
    </row>
    <row r="48" spans="1:38" ht="12.75" customHeight="1" x14ac:dyDescent="0.3">
      <c r="A48" s="173"/>
      <c r="B48" s="173"/>
      <c r="J48" s="173"/>
      <c r="K48" s="173"/>
      <c r="T48" s="174"/>
      <c r="U48" s="174"/>
    </row>
    <row r="49" spans="1:21" ht="12.75" customHeight="1" x14ac:dyDescent="0.3">
      <c r="A49" s="173"/>
      <c r="B49" s="173"/>
      <c r="J49" s="173"/>
      <c r="K49" s="173"/>
      <c r="T49" s="174"/>
      <c r="U49" s="174"/>
    </row>
    <row r="50" spans="1:21" ht="12.75" customHeight="1" x14ac:dyDescent="0.3">
      <c r="A50" s="173"/>
      <c r="B50" s="173"/>
      <c r="J50" s="173"/>
      <c r="K50" s="173"/>
      <c r="T50" s="174"/>
      <c r="U50" s="174"/>
    </row>
    <row r="51" spans="1:21" ht="12.75" customHeight="1" x14ac:dyDescent="0.3">
      <c r="A51" s="173"/>
      <c r="B51" s="173"/>
      <c r="J51" s="173"/>
      <c r="K51" s="173"/>
      <c r="T51" s="174"/>
      <c r="U51" s="174"/>
    </row>
    <row r="52" spans="1:21" ht="12.75" customHeight="1" x14ac:dyDescent="0.3">
      <c r="A52" s="173"/>
      <c r="B52" s="173"/>
      <c r="J52" s="173"/>
      <c r="K52" s="173"/>
      <c r="T52" s="174"/>
      <c r="U52" s="174"/>
    </row>
    <row r="53" spans="1:21" ht="12.75" customHeight="1" x14ac:dyDescent="0.3">
      <c r="A53" s="173"/>
      <c r="B53" s="173"/>
      <c r="J53" s="173"/>
      <c r="K53" s="173"/>
      <c r="T53" s="174"/>
      <c r="U53" s="174"/>
    </row>
    <row r="54" spans="1:21" ht="12.75" customHeight="1" x14ac:dyDescent="0.3">
      <c r="A54" s="173"/>
      <c r="B54" s="173"/>
      <c r="J54" s="173"/>
      <c r="K54" s="173"/>
      <c r="T54" s="174"/>
      <c r="U54" s="174"/>
    </row>
    <row r="55" spans="1:21" ht="12.75" customHeight="1" x14ac:dyDescent="0.3">
      <c r="A55" s="173"/>
      <c r="B55" s="173"/>
      <c r="J55" s="173"/>
      <c r="K55" s="173"/>
      <c r="T55" s="174"/>
      <c r="U55" s="174"/>
    </row>
    <row r="56" spans="1:21" ht="12.75" customHeight="1" x14ac:dyDescent="0.3">
      <c r="A56" s="173"/>
      <c r="B56" s="173"/>
      <c r="J56" s="173"/>
      <c r="K56" s="173"/>
      <c r="T56" s="174"/>
      <c r="U56" s="174"/>
    </row>
    <row r="57" spans="1:21" ht="12.75" customHeight="1" x14ac:dyDescent="0.3">
      <c r="A57" s="173"/>
      <c r="B57" s="173"/>
      <c r="J57" s="173"/>
      <c r="K57" s="173"/>
      <c r="T57" s="174"/>
      <c r="U57" s="174"/>
    </row>
    <row r="58" spans="1:21" ht="12.75" customHeight="1" x14ac:dyDescent="0.3">
      <c r="A58" s="173"/>
      <c r="B58" s="173"/>
      <c r="J58" s="173"/>
      <c r="K58" s="173"/>
      <c r="T58" s="174"/>
      <c r="U58" s="174"/>
    </row>
    <row r="59" spans="1:21" ht="12.75" customHeight="1" x14ac:dyDescent="0.3">
      <c r="A59" s="173"/>
      <c r="B59" s="173"/>
      <c r="J59" s="173"/>
      <c r="K59" s="173"/>
      <c r="T59" s="174"/>
      <c r="U59" s="174"/>
    </row>
    <row r="60" spans="1:21" ht="12.75" customHeight="1" x14ac:dyDescent="0.3">
      <c r="A60" s="173"/>
      <c r="B60" s="173"/>
      <c r="J60" s="173"/>
      <c r="K60" s="173"/>
      <c r="T60" s="174"/>
      <c r="U60" s="174"/>
    </row>
    <row r="61" spans="1:21" ht="12.75" customHeight="1" x14ac:dyDescent="0.3">
      <c r="A61" s="173"/>
      <c r="B61" s="173"/>
      <c r="J61" s="173"/>
      <c r="K61" s="173"/>
      <c r="T61" s="174"/>
      <c r="U61" s="174"/>
    </row>
    <row r="62" spans="1:21" ht="12.75" customHeight="1" x14ac:dyDescent="0.3">
      <c r="A62" s="173"/>
      <c r="B62" s="173"/>
      <c r="J62" s="173"/>
      <c r="K62" s="173"/>
      <c r="T62" s="174"/>
      <c r="U62" s="174"/>
    </row>
    <row r="63" spans="1:21" ht="12.75" customHeight="1" x14ac:dyDescent="0.3">
      <c r="A63" s="173"/>
      <c r="B63" s="173"/>
      <c r="J63" s="173"/>
      <c r="K63" s="173"/>
      <c r="T63" s="174"/>
      <c r="U63" s="174"/>
    </row>
    <row r="64" spans="1:21" ht="12.75" customHeight="1" x14ac:dyDescent="0.3">
      <c r="A64" s="173"/>
      <c r="B64" s="173"/>
      <c r="J64" s="173"/>
      <c r="K64" s="173"/>
      <c r="T64" s="174"/>
      <c r="U64" s="174"/>
    </row>
    <row r="65" spans="1:21" ht="12.75" customHeight="1" x14ac:dyDescent="0.3">
      <c r="A65" s="173"/>
      <c r="B65" s="173"/>
      <c r="J65" s="173"/>
      <c r="K65" s="173"/>
      <c r="T65" s="174"/>
      <c r="U65" s="174"/>
    </row>
    <row r="66" spans="1:21" ht="12.75" customHeight="1" x14ac:dyDescent="0.3">
      <c r="A66" s="173"/>
      <c r="B66" s="173"/>
      <c r="J66" s="173"/>
      <c r="K66" s="173"/>
      <c r="T66" s="174"/>
      <c r="U66" s="174"/>
    </row>
    <row r="67" spans="1:21" ht="12.75" customHeight="1" x14ac:dyDescent="0.3">
      <c r="A67" s="173"/>
      <c r="B67" s="173"/>
      <c r="J67" s="173"/>
      <c r="K67" s="173"/>
      <c r="T67" s="174"/>
      <c r="U67" s="174"/>
    </row>
    <row r="68" spans="1:21" ht="12.75" customHeight="1" x14ac:dyDescent="0.3">
      <c r="A68" s="173"/>
      <c r="B68" s="173"/>
      <c r="J68" s="173"/>
      <c r="K68" s="173"/>
      <c r="T68" s="174"/>
      <c r="U68" s="174"/>
    </row>
    <row r="69" spans="1:21" ht="12.75" customHeight="1" x14ac:dyDescent="0.3">
      <c r="A69" s="173"/>
      <c r="B69" s="173"/>
      <c r="J69" s="173"/>
      <c r="K69" s="173"/>
      <c r="T69" s="174"/>
      <c r="U69" s="174"/>
    </row>
    <row r="70" spans="1:21" ht="12.75" customHeight="1" x14ac:dyDescent="0.3">
      <c r="A70" s="173"/>
      <c r="B70" s="173"/>
      <c r="J70" s="173"/>
      <c r="K70" s="173"/>
      <c r="T70" s="174"/>
      <c r="U70" s="174"/>
    </row>
    <row r="71" spans="1:21" ht="12.75" customHeight="1" x14ac:dyDescent="0.3">
      <c r="A71" s="173"/>
      <c r="B71" s="173"/>
      <c r="J71" s="173"/>
      <c r="K71" s="173"/>
      <c r="T71" s="174"/>
      <c r="U71" s="174"/>
    </row>
    <row r="72" spans="1:21" ht="12.75" customHeight="1" x14ac:dyDescent="0.3">
      <c r="A72" s="173"/>
      <c r="B72" s="173"/>
      <c r="J72" s="173"/>
      <c r="K72" s="173"/>
      <c r="T72" s="174"/>
      <c r="U72" s="174"/>
    </row>
    <row r="73" spans="1:21" ht="12.75" customHeight="1" x14ac:dyDescent="0.3">
      <c r="A73" s="173"/>
      <c r="B73" s="173"/>
      <c r="J73" s="173"/>
      <c r="K73" s="173"/>
      <c r="T73" s="174"/>
      <c r="U73" s="174"/>
    </row>
    <row r="74" spans="1:21" ht="12.75" customHeight="1" x14ac:dyDescent="0.3">
      <c r="A74" s="173"/>
      <c r="B74" s="173"/>
      <c r="J74" s="173"/>
      <c r="K74" s="173"/>
      <c r="T74" s="174"/>
      <c r="U74" s="174"/>
    </row>
    <row r="75" spans="1:21" ht="12.75" customHeight="1" x14ac:dyDescent="0.3">
      <c r="A75" s="173"/>
      <c r="B75" s="173"/>
      <c r="J75" s="173"/>
      <c r="K75" s="173"/>
      <c r="T75" s="174"/>
      <c r="U75" s="174"/>
    </row>
    <row r="76" spans="1:21" ht="12.75" customHeight="1" x14ac:dyDescent="0.3">
      <c r="A76" s="173"/>
      <c r="B76" s="173"/>
      <c r="J76" s="173"/>
      <c r="K76" s="173"/>
      <c r="T76" s="174"/>
      <c r="U76" s="174"/>
    </row>
    <row r="77" spans="1:21" ht="12.75" customHeight="1" x14ac:dyDescent="0.3">
      <c r="A77" s="173"/>
      <c r="B77" s="173"/>
      <c r="J77" s="173"/>
      <c r="K77" s="173"/>
      <c r="T77" s="174"/>
      <c r="U77" s="174"/>
    </row>
    <row r="78" spans="1:21" ht="12.75" customHeight="1" x14ac:dyDescent="0.3">
      <c r="A78" s="173"/>
      <c r="B78" s="173"/>
      <c r="J78" s="173"/>
      <c r="K78" s="173"/>
      <c r="T78" s="174"/>
      <c r="U78" s="174"/>
    </row>
    <row r="79" spans="1:21" ht="12.75" customHeight="1" x14ac:dyDescent="0.3">
      <c r="A79" s="173"/>
      <c r="B79" s="173"/>
      <c r="J79" s="173"/>
      <c r="K79" s="173"/>
      <c r="T79" s="174"/>
      <c r="U79" s="174"/>
    </row>
    <row r="80" spans="1:21" ht="12.75" customHeight="1" x14ac:dyDescent="0.3">
      <c r="A80" s="173"/>
      <c r="B80" s="173"/>
      <c r="J80" s="173"/>
      <c r="K80" s="173"/>
      <c r="T80" s="174"/>
      <c r="U80" s="174"/>
    </row>
    <row r="81" spans="1:21" ht="12.75" customHeight="1" x14ac:dyDescent="0.3">
      <c r="A81" s="173"/>
      <c r="B81" s="173"/>
      <c r="J81" s="173"/>
      <c r="K81" s="173"/>
      <c r="T81" s="174"/>
      <c r="U81" s="174"/>
    </row>
    <row r="82" spans="1:21" ht="12.75" customHeight="1" x14ac:dyDescent="0.3">
      <c r="A82" s="173"/>
      <c r="B82" s="173"/>
      <c r="J82" s="173"/>
      <c r="K82" s="173"/>
      <c r="T82" s="174"/>
      <c r="U82" s="174"/>
    </row>
    <row r="83" spans="1:21" ht="12.75" customHeight="1" x14ac:dyDescent="0.3">
      <c r="A83" s="173"/>
      <c r="B83" s="173"/>
      <c r="J83" s="173"/>
      <c r="K83" s="173"/>
      <c r="T83" s="174"/>
      <c r="U83" s="174"/>
    </row>
    <row r="84" spans="1:21" ht="12.75" customHeight="1" x14ac:dyDescent="0.3">
      <c r="A84" s="173"/>
      <c r="B84" s="173"/>
      <c r="J84" s="173"/>
      <c r="K84" s="173"/>
      <c r="T84" s="174"/>
      <c r="U84" s="174"/>
    </row>
    <row r="85" spans="1:21" ht="12.75" customHeight="1" x14ac:dyDescent="0.3">
      <c r="A85" s="173"/>
      <c r="B85" s="173"/>
      <c r="J85" s="173"/>
      <c r="K85" s="173"/>
      <c r="T85" s="174"/>
      <c r="U85" s="174"/>
    </row>
    <row r="86" spans="1:21" ht="12.75" customHeight="1" x14ac:dyDescent="0.3">
      <c r="A86" s="173"/>
      <c r="B86" s="173"/>
      <c r="J86" s="173"/>
      <c r="K86" s="173"/>
      <c r="T86" s="174"/>
      <c r="U86" s="174"/>
    </row>
    <row r="87" spans="1:21" ht="12.75" customHeight="1" x14ac:dyDescent="0.3">
      <c r="A87" s="173"/>
      <c r="B87" s="173"/>
      <c r="J87" s="173"/>
      <c r="K87" s="173"/>
      <c r="T87" s="174"/>
      <c r="U87" s="174"/>
    </row>
    <row r="88" spans="1:21" ht="12.75" customHeight="1" x14ac:dyDescent="0.3">
      <c r="A88" s="173"/>
      <c r="B88" s="173"/>
      <c r="J88" s="173"/>
      <c r="K88" s="173"/>
      <c r="T88" s="174"/>
      <c r="U88" s="174"/>
    </row>
    <row r="89" spans="1:21" ht="12.75" customHeight="1" x14ac:dyDescent="0.3">
      <c r="A89" s="173"/>
      <c r="B89" s="173"/>
      <c r="J89" s="173"/>
      <c r="K89" s="173"/>
      <c r="T89" s="174"/>
      <c r="U89" s="174"/>
    </row>
    <row r="90" spans="1:21" ht="12.75" customHeight="1" x14ac:dyDescent="0.3">
      <c r="A90" s="173"/>
      <c r="B90" s="173"/>
      <c r="J90" s="173"/>
      <c r="K90" s="173"/>
      <c r="T90" s="174"/>
      <c r="U90" s="174"/>
    </row>
    <row r="91" spans="1:21" ht="12.75" customHeight="1" x14ac:dyDescent="0.3">
      <c r="A91" s="173"/>
      <c r="B91" s="173"/>
      <c r="J91" s="173"/>
      <c r="K91" s="173"/>
      <c r="T91" s="174"/>
      <c r="U91" s="174"/>
    </row>
    <row r="92" spans="1:21" ht="12.75" customHeight="1" x14ac:dyDescent="0.3">
      <c r="A92" s="173"/>
      <c r="B92" s="173"/>
      <c r="J92" s="173"/>
      <c r="K92" s="173"/>
      <c r="T92" s="174"/>
      <c r="U92" s="174"/>
    </row>
    <row r="93" spans="1:21" ht="12.75" customHeight="1" x14ac:dyDescent="0.3">
      <c r="A93" s="173"/>
      <c r="B93" s="173"/>
      <c r="J93" s="173"/>
      <c r="K93" s="173"/>
      <c r="T93" s="174"/>
      <c r="U93" s="174"/>
    </row>
    <row r="94" spans="1:21" ht="12.75" customHeight="1" x14ac:dyDescent="0.3">
      <c r="A94" s="173"/>
      <c r="B94" s="173"/>
      <c r="J94" s="173"/>
      <c r="K94" s="173"/>
      <c r="T94" s="174"/>
      <c r="U94" s="174"/>
    </row>
    <row r="95" spans="1:21" ht="12.75" customHeight="1" x14ac:dyDescent="0.3">
      <c r="A95" s="173"/>
      <c r="B95" s="173"/>
      <c r="J95" s="173"/>
      <c r="K95" s="173"/>
      <c r="T95" s="174"/>
      <c r="U95" s="174"/>
    </row>
    <row r="96" spans="1:21" ht="12.75" customHeight="1" x14ac:dyDescent="0.3">
      <c r="A96" s="173"/>
      <c r="B96" s="173"/>
      <c r="J96" s="173"/>
      <c r="K96" s="173"/>
      <c r="T96" s="174"/>
      <c r="U96" s="174"/>
    </row>
    <row r="97" spans="1:21" ht="12.75" customHeight="1" x14ac:dyDescent="0.3">
      <c r="A97" s="173"/>
      <c r="B97" s="173"/>
      <c r="J97" s="173"/>
      <c r="K97" s="173"/>
      <c r="T97" s="174"/>
      <c r="U97" s="174"/>
    </row>
    <row r="98" spans="1:21" ht="12.75" customHeight="1" x14ac:dyDescent="0.3">
      <c r="A98" s="173"/>
      <c r="B98" s="173"/>
      <c r="J98" s="173"/>
      <c r="K98" s="173"/>
      <c r="T98" s="174"/>
      <c r="U98" s="174"/>
    </row>
  </sheetData>
  <mergeCells count="31">
    <mergeCell ref="AD39:AL39"/>
    <mergeCell ref="AD1:AL1"/>
    <mergeCell ref="AD2:AL2"/>
    <mergeCell ref="AD4:AD5"/>
    <mergeCell ref="AE4:AF4"/>
    <mergeCell ref="AH4:AI4"/>
    <mergeCell ref="AK4:AL4"/>
    <mergeCell ref="AA4:AB4"/>
    <mergeCell ref="A4:A5"/>
    <mergeCell ref="B4:C4"/>
    <mergeCell ref="E4:F4"/>
    <mergeCell ref="H4:I4"/>
    <mergeCell ref="J4:J5"/>
    <mergeCell ref="K4:L4"/>
    <mergeCell ref="N4:O4"/>
    <mergeCell ref="Q4:R4"/>
    <mergeCell ref="T4:T5"/>
    <mergeCell ref="U4:V4"/>
    <mergeCell ref="X4:Y4"/>
    <mergeCell ref="A1:I1"/>
    <mergeCell ref="J1:R1"/>
    <mergeCell ref="T1:AB1"/>
    <mergeCell ref="A2:I2"/>
    <mergeCell ref="J2:R2"/>
    <mergeCell ref="T2:AB2"/>
    <mergeCell ref="T42:AB42"/>
    <mergeCell ref="T43:AB43"/>
    <mergeCell ref="T45:T46"/>
    <mergeCell ref="U45:V45"/>
    <mergeCell ref="X45:Y45"/>
    <mergeCell ref="AA45:AB45"/>
  </mergeCells>
  <printOptions horizontalCentered="1"/>
  <pageMargins left="0.9055118110236221"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AF44"/>
  <sheetViews>
    <sheetView showGridLines="0" zoomScaleNormal="100" zoomScaleSheetLayoutView="100" workbookViewId="0">
      <pane xSplit="13" ySplit="6" topLeftCell="V13" activePane="bottomRight" state="frozen"/>
      <selection activeCell="A41" sqref="A41:X41"/>
      <selection pane="topRight" activeCell="A41" sqref="A41:X41"/>
      <selection pane="bottomLeft" activeCell="A41" sqref="A41:X41"/>
      <selection pane="bottomRight" activeCell="A4" sqref="A4:AF41"/>
    </sheetView>
  </sheetViews>
  <sheetFormatPr baseColWidth="10" defaultColWidth="11.28515625" defaultRowHeight="12.75" customHeight="1" x14ac:dyDescent="0.3"/>
  <cols>
    <col min="1" max="1" width="14.85546875" style="2" customWidth="1"/>
    <col min="2" max="2" width="7.7109375" style="489" hidden="1" customWidth="1"/>
    <col min="3" max="3" width="8.28515625" style="489" hidden="1" customWidth="1"/>
    <col min="4" max="4" width="8.7109375" style="489" hidden="1" customWidth="1"/>
    <col min="5" max="5" width="7.7109375" style="489" hidden="1" customWidth="1"/>
    <col min="6" max="6" width="6.28515625" style="489" hidden="1" customWidth="1"/>
    <col min="7" max="7" width="1.7109375" style="489" hidden="1" customWidth="1"/>
    <col min="8" max="8" width="7.7109375" style="489" hidden="1" customWidth="1"/>
    <col min="9" max="9" width="8.28515625" style="489" hidden="1" customWidth="1"/>
    <col min="10" max="10" width="8.7109375" style="489" hidden="1" customWidth="1"/>
    <col min="11" max="11" width="7.7109375" style="489" hidden="1" customWidth="1"/>
    <col min="12" max="12" width="6.28515625" style="489" hidden="1" customWidth="1"/>
    <col min="13" max="13" width="1.7109375" style="489" hidden="1" customWidth="1"/>
    <col min="14" max="14" width="8.42578125" style="489" hidden="1" customWidth="1"/>
    <col min="15" max="15" width="8.5703125" style="489" hidden="1" customWidth="1"/>
    <col min="16" max="16" width="9.140625" style="489" hidden="1" customWidth="1"/>
    <col min="17" max="17" width="1.7109375" style="489" hidden="1" customWidth="1"/>
    <col min="18" max="18" width="7" style="489" hidden="1" customWidth="1"/>
    <col min="19" max="19" width="1.7109375" style="489" hidden="1" customWidth="1"/>
    <col min="20" max="20" width="5.7109375" style="489" hidden="1" customWidth="1"/>
    <col min="21" max="21" width="1.7109375" style="139" hidden="1" customWidth="1"/>
    <col min="22" max="23" width="12" style="139" customWidth="1"/>
    <col min="24" max="24" width="13.5703125" style="139" customWidth="1"/>
    <col min="25" max="25" width="10.42578125" style="139" customWidth="1"/>
    <col min="26" max="26" width="9.85546875" style="139" customWidth="1"/>
    <col min="27" max="27" width="1.7109375" style="2" customWidth="1"/>
    <col min="28" max="29" width="12" style="2" customWidth="1"/>
    <col min="30" max="30" width="13.5703125" style="2" customWidth="1"/>
    <col min="31" max="31" width="10.42578125" style="138" customWidth="1"/>
    <col min="32" max="32" width="9.85546875" style="2" customWidth="1"/>
    <col min="33" max="16384" width="11.28515625" style="2"/>
  </cols>
  <sheetData>
    <row r="1" spans="1:32" ht="12.75" customHeight="1" x14ac:dyDescent="0.3">
      <c r="A1" s="1094" t="s">
        <v>845</v>
      </c>
      <c r="B1" s="1094"/>
      <c r="C1" s="1094"/>
      <c r="D1" s="1094"/>
      <c r="E1" s="1094"/>
      <c r="F1" s="1094"/>
      <c r="G1" s="1094"/>
      <c r="H1" s="1094"/>
      <c r="I1" s="1094"/>
      <c r="J1" s="1094"/>
      <c r="K1" s="1094"/>
      <c r="L1" s="1094"/>
      <c r="M1" s="1094"/>
      <c r="N1" s="1094"/>
      <c r="O1" s="1094"/>
      <c r="P1" s="1094"/>
      <c r="Q1" s="1094"/>
      <c r="R1" s="1094"/>
      <c r="S1" s="1094"/>
      <c r="T1" s="1094"/>
      <c r="U1" s="1094"/>
      <c r="V1" s="1094"/>
      <c r="W1" s="1094"/>
      <c r="X1" s="1094"/>
      <c r="Y1" s="1094"/>
      <c r="Z1" s="1094"/>
      <c r="AA1" s="1094"/>
      <c r="AB1" s="1094"/>
      <c r="AC1" s="1094"/>
      <c r="AD1" s="1094"/>
      <c r="AE1" s="1094"/>
      <c r="AF1" s="1094"/>
    </row>
    <row r="2" spans="1:32" ht="12.75" customHeight="1" x14ac:dyDescent="0.3">
      <c r="A2" s="1095" t="s">
        <v>71</v>
      </c>
      <c r="B2" s="1095"/>
      <c r="C2" s="1095"/>
      <c r="D2" s="1095"/>
      <c r="E2" s="1095"/>
      <c r="F2" s="1095"/>
      <c r="G2" s="1095"/>
      <c r="H2" s="1095"/>
      <c r="I2" s="1095"/>
      <c r="J2" s="1095"/>
      <c r="K2" s="1095"/>
      <c r="L2" s="1095"/>
      <c r="M2" s="1095"/>
      <c r="N2" s="1095"/>
      <c r="O2" s="1095"/>
      <c r="P2" s="1095"/>
      <c r="Q2" s="1095"/>
      <c r="R2" s="1095"/>
      <c r="S2" s="1095"/>
      <c r="T2" s="1095"/>
      <c r="U2" s="1095"/>
      <c r="V2" s="1095"/>
      <c r="W2" s="1095"/>
      <c r="X2" s="1095"/>
      <c r="Y2" s="1095"/>
      <c r="Z2" s="1095"/>
      <c r="AA2" s="1095"/>
      <c r="AB2" s="1095"/>
      <c r="AC2" s="1095"/>
      <c r="AD2" s="1095"/>
      <c r="AE2" s="1095"/>
      <c r="AF2" s="1095"/>
    </row>
    <row r="4" spans="1:32" ht="23.25" customHeight="1" x14ac:dyDescent="0.3">
      <c r="A4" s="1097" t="s">
        <v>4</v>
      </c>
      <c r="B4" s="1098">
        <v>2016</v>
      </c>
      <c r="C4" s="1098"/>
      <c r="D4" s="1098"/>
      <c r="E4" s="1098"/>
      <c r="F4" s="1098"/>
      <c r="G4" s="592"/>
      <c r="H4" s="1096">
        <v>2017</v>
      </c>
      <c r="I4" s="1096"/>
      <c r="J4" s="1096"/>
      <c r="K4" s="1096"/>
      <c r="L4" s="1096"/>
      <c r="M4" s="592"/>
      <c r="N4" s="1098" t="s">
        <v>5</v>
      </c>
      <c r="O4" s="1098"/>
      <c r="P4" s="1098"/>
      <c r="Q4" s="1098"/>
      <c r="R4" s="1098"/>
      <c r="S4" s="1098"/>
      <c r="T4" s="1098"/>
      <c r="U4" s="593"/>
      <c r="V4" s="1096" t="s">
        <v>6</v>
      </c>
      <c r="W4" s="1096"/>
      <c r="X4" s="1096"/>
      <c r="Y4" s="1096"/>
      <c r="Z4" s="1096"/>
      <c r="AA4" s="594"/>
      <c r="AB4" s="1096" t="s">
        <v>770</v>
      </c>
      <c r="AC4" s="1096"/>
      <c r="AD4" s="1096"/>
      <c r="AE4" s="1096"/>
      <c r="AF4" s="1096"/>
    </row>
    <row r="5" spans="1:32" ht="52.5" customHeight="1" x14ac:dyDescent="0.3">
      <c r="A5" s="1097"/>
      <c r="B5" s="592" t="s">
        <v>72</v>
      </c>
      <c r="C5" s="592" t="s">
        <v>73</v>
      </c>
      <c r="D5" s="592" t="s">
        <v>74</v>
      </c>
      <c r="E5" s="592" t="s">
        <v>75</v>
      </c>
      <c r="F5" s="592" t="s">
        <v>898</v>
      </c>
      <c r="G5" s="592"/>
      <c r="H5" s="592" t="s">
        <v>72</v>
      </c>
      <c r="I5" s="592" t="s">
        <v>73</v>
      </c>
      <c r="J5" s="592" t="s">
        <v>74</v>
      </c>
      <c r="K5" s="592" t="s">
        <v>75</v>
      </c>
      <c r="L5" s="592" t="s">
        <v>898</v>
      </c>
      <c r="M5" s="592"/>
      <c r="N5" s="592" t="s">
        <v>10</v>
      </c>
      <c r="O5" s="592" t="s">
        <v>73</v>
      </c>
      <c r="P5" s="592" t="s">
        <v>728</v>
      </c>
      <c r="Q5" s="592"/>
      <c r="R5" s="592" t="s">
        <v>75</v>
      </c>
      <c r="S5" s="592"/>
      <c r="T5" s="592" t="s">
        <v>898</v>
      </c>
      <c r="U5" s="593"/>
      <c r="V5" s="593" t="s">
        <v>10</v>
      </c>
      <c r="W5" s="593" t="s">
        <v>73</v>
      </c>
      <c r="X5" s="593" t="s">
        <v>729</v>
      </c>
      <c r="Y5" s="593" t="s">
        <v>75</v>
      </c>
      <c r="Z5" s="593" t="s">
        <v>899</v>
      </c>
      <c r="AA5" s="595"/>
      <c r="AB5" s="593" t="s">
        <v>10</v>
      </c>
      <c r="AC5" s="593" t="s">
        <v>73</v>
      </c>
      <c r="AD5" s="593" t="s">
        <v>729</v>
      </c>
      <c r="AE5" s="593" t="s">
        <v>75</v>
      </c>
      <c r="AF5" s="593" t="s">
        <v>899</v>
      </c>
    </row>
    <row r="6" spans="1:32" ht="3" customHeight="1" x14ac:dyDescent="0.3">
      <c r="A6" s="596"/>
      <c r="B6" s="597"/>
      <c r="C6" s="597"/>
      <c r="D6" s="597"/>
      <c r="E6" s="597"/>
      <c r="F6" s="597"/>
      <c r="G6" s="597"/>
      <c r="H6" s="597"/>
      <c r="I6" s="597"/>
      <c r="J6" s="597"/>
      <c r="K6" s="597"/>
      <c r="L6" s="597"/>
      <c r="M6" s="597"/>
      <c r="N6" s="597"/>
      <c r="O6" s="597"/>
      <c r="P6" s="597"/>
      <c r="Q6" s="597"/>
      <c r="R6" s="597"/>
      <c r="S6" s="597"/>
      <c r="T6" s="597"/>
      <c r="U6" s="598"/>
      <c r="V6" s="598"/>
      <c r="W6" s="598"/>
      <c r="X6" s="598"/>
      <c r="Y6" s="598"/>
      <c r="Z6" s="598"/>
      <c r="AA6" s="598"/>
      <c r="AB6" s="598"/>
      <c r="AC6" s="598"/>
      <c r="AD6" s="598"/>
      <c r="AE6" s="598"/>
      <c r="AF6" s="598"/>
    </row>
    <row r="7" spans="1:32" ht="15.95" customHeight="1" x14ac:dyDescent="0.3">
      <c r="A7" s="563" t="s">
        <v>11</v>
      </c>
      <c r="B7" s="609">
        <v>9978971</v>
      </c>
      <c r="C7" s="609">
        <v>452616</v>
      </c>
      <c r="D7" s="610">
        <v>4958428</v>
      </c>
      <c r="E7" s="609">
        <v>3743032</v>
      </c>
      <c r="F7" s="609">
        <v>824895</v>
      </c>
      <c r="G7" s="610"/>
      <c r="H7" s="609">
        <v>9738388</v>
      </c>
      <c r="I7" s="609">
        <v>691093</v>
      </c>
      <c r="J7" s="611">
        <v>4821056</v>
      </c>
      <c r="K7" s="611">
        <v>3394667</v>
      </c>
      <c r="L7" s="611">
        <v>831572</v>
      </c>
      <c r="M7" s="612"/>
      <c r="N7" s="612">
        <v>10008298</v>
      </c>
      <c r="O7" s="612">
        <v>339091</v>
      </c>
      <c r="P7" s="612">
        <v>5873310</v>
      </c>
      <c r="Q7" s="612"/>
      <c r="R7" s="612">
        <v>2920178</v>
      </c>
      <c r="S7" s="612"/>
      <c r="T7" s="612">
        <v>875719</v>
      </c>
      <c r="U7" s="549"/>
      <c r="V7" s="549">
        <v>9925896</v>
      </c>
      <c r="W7" s="549">
        <v>238768</v>
      </c>
      <c r="X7" s="549">
        <v>5582924</v>
      </c>
      <c r="Y7" s="549">
        <v>3318264</v>
      </c>
      <c r="Z7" s="549">
        <v>785940</v>
      </c>
      <c r="AA7" s="549"/>
      <c r="AB7" s="549">
        <v>9353681.9725249428</v>
      </c>
      <c r="AC7" s="549">
        <v>489022.04082788114</v>
      </c>
      <c r="AD7" s="549">
        <v>4997387.6393632852</v>
      </c>
      <c r="AE7" s="549">
        <v>3183472.9803711316</v>
      </c>
      <c r="AF7" s="549">
        <v>683799.30944067484</v>
      </c>
    </row>
    <row r="8" spans="1:32" ht="3" customHeight="1" x14ac:dyDescent="0.3">
      <c r="A8" s="528"/>
      <c r="B8" s="599"/>
      <c r="C8" s="599"/>
      <c r="D8" s="599"/>
      <c r="E8" s="600"/>
      <c r="F8" s="600"/>
      <c r="G8" s="490"/>
      <c r="H8" s="601"/>
      <c r="I8" s="490"/>
      <c r="J8" s="490"/>
      <c r="K8" s="490"/>
      <c r="L8" s="490"/>
      <c r="M8" s="490"/>
      <c r="N8" s="602"/>
      <c r="O8" s="602"/>
      <c r="P8" s="602"/>
      <c r="Q8" s="602"/>
      <c r="R8" s="602"/>
      <c r="S8" s="602"/>
      <c r="T8" s="602"/>
      <c r="U8" s="529"/>
      <c r="V8" s="529"/>
      <c r="W8" s="529"/>
      <c r="X8" s="529"/>
      <c r="Y8" s="529"/>
      <c r="Z8" s="529"/>
      <c r="AA8" s="603"/>
    </row>
    <row r="9" spans="1:32" ht="15.95" customHeight="1" x14ac:dyDescent="0.3">
      <c r="A9" s="528" t="s">
        <v>12</v>
      </c>
      <c r="B9" s="599"/>
      <c r="C9" s="599"/>
      <c r="D9" s="599"/>
      <c r="E9" s="600"/>
      <c r="F9" s="600"/>
      <c r="G9" s="600"/>
      <c r="H9" s="604"/>
      <c r="I9" s="600"/>
      <c r="J9" s="600"/>
      <c r="K9" s="600"/>
      <c r="L9" s="600"/>
      <c r="M9" s="600"/>
      <c r="N9" s="602"/>
      <c r="O9" s="602"/>
      <c r="P9" s="602"/>
      <c r="Q9" s="602"/>
      <c r="R9" s="602"/>
      <c r="S9" s="602"/>
      <c r="T9" s="602"/>
      <c r="U9" s="529"/>
      <c r="V9" s="529"/>
      <c r="W9" s="529"/>
      <c r="X9" s="529"/>
      <c r="Y9" s="529"/>
      <c r="Z9" s="529"/>
      <c r="AA9" s="603"/>
      <c r="AB9" s="532"/>
      <c r="AC9" s="532"/>
      <c r="AD9" s="532"/>
      <c r="AE9" s="531"/>
      <c r="AF9" s="532"/>
    </row>
    <row r="10" spans="1:32" ht="15.95" customHeight="1" x14ac:dyDescent="0.3">
      <c r="A10" s="530" t="s">
        <v>13</v>
      </c>
      <c r="B10" s="599">
        <v>327733</v>
      </c>
      <c r="C10" s="599">
        <v>2097</v>
      </c>
      <c r="D10" s="599">
        <v>42781</v>
      </c>
      <c r="E10" s="599">
        <v>118365</v>
      </c>
      <c r="F10" s="599">
        <v>164490</v>
      </c>
      <c r="G10" s="602"/>
      <c r="H10" s="599">
        <v>295200</v>
      </c>
      <c r="I10" s="599">
        <v>2008</v>
      </c>
      <c r="J10" s="599">
        <v>17424</v>
      </c>
      <c r="K10" s="599">
        <v>90940</v>
      </c>
      <c r="L10" s="599">
        <v>184828</v>
      </c>
      <c r="M10" s="602"/>
      <c r="N10" s="602">
        <v>340005</v>
      </c>
      <c r="O10" s="605">
        <v>1223</v>
      </c>
      <c r="P10" s="605">
        <v>16560</v>
      </c>
      <c r="Q10" s="605"/>
      <c r="R10" s="605">
        <v>139038</v>
      </c>
      <c r="S10" s="605"/>
      <c r="T10" s="605">
        <v>183184</v>
      </c>
      <c r="U10" s="553"/>
      <c r="V10" s="529">
        <v>345301</v>
      </c>
      <c r="W10" s="553">
        <v>466</v>
      </c>
      <c r="X10" s="553">
        <v>18128</v>
      </c>
      <c r="Y10" s="553">
        <v>151856</v>
      </c>
      <c r="Z10" s="553">
        <v>174851</v>
      </c>
      <c r="AA10" s="603"/>
      <c r="AB10" s="532">
        <v>275114.94910037128</v>
      </c>
      <c r="AC10" s="532">
        <v>360.19585682951174</v>
      </c>
      <c r="AD10" s="532">
        <v>41394.512691021293</v>
      </c>
      <c r="AE10" s="532">
        <v>81726.580761087491</v>
      </c>
      <c r="AF10" s="532">
        <v>151633.65979143308</v>
      </c>
    </row>
    <row r="11" spans="1:32" ht="15.95" customHeight="1" x14ac:dyDescent="0.3">
      <c r="A11" s="530" t="s">
        <v>14</v>
      </c>
      <c r="B11" s="599">
        <v>6668484</v>
      </c>
      <c r="C11" s="599">
        <v>411700</v>
      </c>
      <c r="D11" s="599">
        <v>4843561</v>
      </c>
      <c r="E11" s="599">
        <v>851934</v>
      </c>
      <c r="F11" s="599">
        <v>561289</v>
      </c>
      <c r="G11" s="602"/>
      <c r="H11" s="599">
        <v>6811506</v>
      </c>
      <c r="I11" s="599">
        <v>660758</v>
      </c>
      <c r="J11" s="599">
        <v>4749792</v>
      </c>
      <c r="K11" s="599">
        <v>855424</v>
      </c>
      <c r="L11" s="599">
        <v>545532</v>
      </c>
      <c r="M11" s="602"/>
      <c r="N11" s="602">
        <v>7335467</v>
      </c>
      <c r="O11" s="605">
        <v>326281</v>
      </c>
      <c r="P11" s="605">
        <v>5774050</v>
      </c>
      <c r="Q11" s="605"/>
      <c r="R11" s="605">
        <v>634049</v>
      </c>
      <c r="S11" s="605"/>
      <c r="T11" s="605">
        <v>601087</v>
      </c>
      <c r="U11" s="553"/>
      <c r="V11" s="529">
        <v>6692605</v>
      </c>
      <c r="W11" s="553">
        <v>232441</v>
      </c>
      <c r="X11" s="553">
        <v>5460335</v>
      </c>
      <c r="Y11" s="553">
        <v>502632</v>
      </c>
      <c r="Z11" s="553">
        <v>497197</v>
      </c>
      <c r="AA11" s="603"/>
      <c r="AB11" s="532">
        <v>6383891.6393265417</v>
      </c>
      <c r="AC11" s="532">
        <v>465896.55914211588</v>
      </c>
      <c r="AD11" s="532">
        <v>4862736.1523263548</v>
      </c>
      <c r="AE11" s="532">
        <v>612716.21797145566</v>
      </c>
      <c r="AF11" s="532">
        <v>442542.7093650772</v>
      </c>
    </row>
    <row r="12" spans="1:32" ht="15.95" customHeight="1" x14ac:dyDescent="0.3">
      <c r="A12" s="530" t="s">
        <v>15</v>
      </c>
      <c r="B12" s="599">
        <v>2982754</v>
      </c>
      <c r="C12" s="599">
        <v>38819</v>
      </c>
      <c r="D12" s="599">
        <v>72086</v>
      </c>
      <c r="E12" s="599">
        <v>2772733</v>
      </c>
      <c r="F12" s="599">
        <v>99116</v>
      </c>
      <c r="G12" s="602"/>
      <c r="H12" s="599">
        <v>2631682</v>
      </c>
      <c r="I12" s="599">
        <v>28327</v>
      </c>
      <c r="J12" s="599">
        <v>53840</v>
      </c>
      <c r="K12" s="599">
        <v>2448303</v>
      </c>
      <c r="L12" s="599">
        <v>101212</v>
      </c>
      <c r="M12" s="602"/>
      <c r="N12" s="602">
        <v>2332826</v>
      </c>
      <c r="O12" s="605">
        <v>11587</v>
      </c>
      <c r="P12" s="605">
        <v>82700</v>
      </c>
      <c r="Q12" s="605"/>
      <c r="R12" s="605">
        <v>2147091</v>
      </c>
      <c r="S12" s="605"/>
      <c r="T12" s="605">
        <v>91448</v>
      </c>
      <c r="U12" s="553"/>
      <c r="V12" s="529">
        <v>2887990</v>
      </c>
      <c r="W12" s="553">
        <v>5861</v>
      </c>
      <c r="X12" s="553">
        <v>104461</v>
      </c>
      <c r="Y12" s="553">
        <v>2663776</v>
      </c>
      <c r="Z12" s="553">
        <v>113892</v>
      </c>
      <c r="AA12" s="603"/>
      <c r="AB12" s="532">
        <v>2694675.3840976595</v>
      </c>
      <c r="AC12" s="532">
        <v>22765.285828923817</v>
      </c>
      <c r="AD12" s="532">
        <v>93256.974345780633</v>
      </c>
      <c r="AE12" s="532">
        <v>2489030.1816383102</v>
      </c>
      <c r="AF12" s="532">
        <v>89622.940284141165</v>
      </c>
    </row>
    <row r="13" spans="1:32" ht="3" customHeight="1" x14ac:dyDescent="0.3">
      <c r="A13" s="528"/>
      <c r="B13" s="599"/>
      <c r="C13" s="599"/>
      <c r="D13" s="599"/>
      <c r="E13" s="599"/>
      <c r="F13" s="599"/>
      <c r="G13" s="602"/>
      <c r="H13" s="599"/>
      <c r="I13" s="599"/>
      <c r="J13" s="599"/>
      <c r="K13" s="599"/>
      <c r="L13" s="599"/>
      <c r="M13" s="602"/>
      <c r="N13" s="604"/>
      <c r="O13" s="600"/>
      <c r="P13" s="600"/>
      <c r="Q13" s="600"/>
      <c r="R13" s="600"/>
      <c r="S13" s="600"/>
      <c r="T13" s="600"/>
      <c r="U13" s="532"/>
      <c r="V13" s="529"/>
      <c r="W13" s="553"/>
      <c r="X13" s="553"/>
      <c r="Y13" s="553"/>
      <c r="Z13" s="553"/>
      <c r="AA13" s="603"/>
      <c r="AB13" s="532"/>
      <c r="AC13" s="532"/>
      <c r="AD13" s="529"/>
      <c r="AE13" s="531"/>
      <c r="AF13" s="532"/>
    </row>
    <row r="14" spans="1:32" ht="15.95" customHeight="1" x14ac:dyDescent="0.3">
      <c r="A14" s="528" t="s">
        <v>16</v>
      </c>
      <c r="B14" s="599"/>
      <c r="C14" s="599"/>
      <c r="D14" s="599"/>
      <c r="E14" s="599"/>
      <c r="F14" s="599"/>
      <c r="G14" s="600"/>
      <c r="H14" s="599"/>
      <c r="I14" s="599"/>
      <c r="J14" s="599"/>
      <c r="K14" s="599"/>
      <c r="L14" s="599"/>
      <c r="M14" s="600"/>
      <c r="N14" s="604"/>
      <c r="O14" s="600"/>
      <c r="P14" s="600"/>
      <c r="Q14" s="600"/>
      <c r="R14" s="600"/>
      <c r="S14" s="600"/>
      <c r="T14" s="600"/>
      <c r="U14" s="532"/>
      <c r="V14" s="529"/>
      <c r="W14" s="553"/>
      <c r="X14" s="553"/>
      <c r="Y14" s="553"/>
      <c r="Z14" s="553"/>
      <c r="AA14" s="603"/>
      <c r="AB14" s="532"/>
      <c r="AC14" s="532"/>
      <c r="AD14" s="532"/>
      <c r="AE14" s="531"/>
      <c r="AF14" s="532"/>
    </row>
    <row r="15" spans="1:32" ht="15.95" customHeight="1" x14ac:dyDescent="0.3">
      <c r="A15" s="530" t="s">
        <v>17</v>
      </c>
      <c r="B15" s="599">
        <v>425615</v>
      </c>
      <c r="C15" s="599">
        <v>26888</v>
      </c>
      <c r="D15" s="599">
        <v>41241</v>
      </c>
      <c r="E15" s="599">
        <v>330823</v>
      </c>
      <c r="F15" s="599">
        <v>26663</v>
      </c>
      <c r="G15" s="602"/>
      <c r="H15" s="599">
        <v>394100</v>
      </c>
      <c r="I15" s="599">
        <v>40726</v>
      </c>
      <c r="J15" s="599">
        <v>25323</v>
      </c>
      <c r="K15" s="599">
        <v>306628</v>
      </c>
      <c r="L15" s="599">
        <v>21423</v>
      </c>
      <c r="M15" s="602"/>
      <c r="N15" s="602">
        <v>317054</v>
      </c>
      <c r="O15" s="605">
        <v>11678</v>
      </c>
      <c r="P15" s="605">
        <v>27067</v>
      </c>
      <c r="Q15" s="605"/>
      <c r="R15" s="605">
        <v>248113</v>
      </c>
      <c r="S15" s="605"/>
      <c r="T15" s="605">
        <v>30196</v>
      </c>
      <c r="U15" s="553"/>
      <c r="V15" s="529">
        <v>326279</v>
      </c>
      <c r="W15" s="553">
        <v>10573</v>
      </c>
      <c r="X15" s="553">
        <v>25610</v>
      </c>
      <c r="Y15" s="553">
        <v>269767</v>
      </c>
      <c r="Z15" s="553">
        <v>20329</v>
      </c>
      <c r="AA15" s="603"/>
      <c r="AB15" s="532">
        <v>567908.14185537491</v>
      </c>
      <c r="AC15" s="532">
        <v>18224.557131510635</v>
      </c>
      <c r="AD15" s="532">
        <v>16467.384403990833</v>
      </c>
      <c r="AE15" s="532">
        <v>517240.91993446607</v>
      </c>
      <c r="AF15" s="532">
        <v>15975.280016921497</v>
      </c>
    </row>
    <row r="16" spans="1:32" ht="15.95" customHeight="1" x14ac:dyDescent="0.3">
      <c r="A16" s="530" t="s">
        <v>18</v>
      </c>
      <c r="B16" s="599">
        <v>88877</v>
      </c>
      <c r="C16" s="599">
        <v>2318</v>
      </c>
      <c r="D16" s="599">
        <v>43917</v>
      </c>
      <c r="E16" s="599">
        <v>23954</v>
      </c>
      <c r="F16" s="599">
        <v>18688</v>
      </c>
      <c r="G16" s="602"/>
      <c r="H16" s="599">
        <v>87633</v>
      </c>
      <c r="I16" s="599">
        <v>2567</v>
      </c>
      <c r="J16" s="599">
        <v>39737</v>
      </c>
      <c r="K16" s="599">
        <v>14115</v>
      </c>
      <c r="L16" s="599">
        <v>31214</v>
      </c>
      <c r="M16" s="602"/>
      <c r="N16" s="602">
        <v>37496</v>
      </c>
      <c r="O16" s="605">
        <v>1166</v>
      </c>
      <c r="P16" s="605">
        <v>12251</v>
      </c>
      <c r="Q16" s="605"/>
      <c r="R16" s="605">
        <v>8105</v>
      </c>
      <c r="S16" s="605"/>
      <c r="T16" s="605">
        <v>15974</v>
      </c>
      <c r="U16" s="553"/>
      <c r="V16" s="529">
        <v>62711</v>
      </c>
      <c r="W16" s="553">
        <v>158</v>
      </c>
      <c r="X16" s="553">
        <v>14907</v>
      </c>
      <c r="Y16" s="553">
        <v>11707</v>
      </c>
      <c r="Z16" s="553">
        <v>35939</v>
      </c>
      <c r="AA16" s="603"/>
      <c r="AB16" s="532">
        <v>62040.152435176824</v>
      </c>
      <c r="AC16" s="532">
        <v>5147.8486777092603</v>
      </c>
      <c r="AD16" s="532">
        <v>32235.544192898822</v>
      </c>
      <c r="AE16" s="532">
        <v>9161.3179267377309</v>
      </c>
      <c r="AF16" s="532">
        <v>15495.441651943669</v>
      </c>
    </row>
    <row r="17" spans="1:32" ht="15.95" customHeight="1" x14ac:dyDescent="0.3">
      <c r="A17" s="530" t="s">
        <v>19</v>
      </c>
      <c r="B17" s="599">
        <v>27350</v>
      </c>
      <c r="C17" s="599">
        <v>2748</v>
      </c>
      <c r="D17" s="599">
        <v>13778</v>
      </c>
      <c r="E17" s="599">
        <v>6551</v>
      </c>
      <c r="F17" s="599">
        <v>4273</v>
      </c>
      <c r="G17" s="602"/>
      <c r="H17" s="599">
        <v>34005</v>
      </c>
      <c r="I17" s="599">
        <v>1588</v>
      </c>
      <c r="J17" s="599">
        <v>15486</v>
      </c>
      <c r="K17" s="599">
        <v>10034</v>
      </c>
      <c r="L17" s="599">
        <v>6897</v>
      </c>
      <c r="M17" s="602"/>
      <c r="N17" s="602">
        <v>20843</v>
      </c>
      <c r="O17" s="605">
        <v>76</v>
      </c>
      <c r="P17" s="605">
        <v>10816</v>
      </c>
      <c r="Q17" s="605"/>
      <c r="R17" s="605">
        <v>6946</v>
      </c>
      <c r="S17" s="605"/>
      <c r="T17" s="605">
        <v>3005</v>
      </c>
      <c r="U17" s="553"/>
      <c r="V17" s="529">
        <v>82929</v>
      </c>
      <c r="W17" s="553">
        <v>184</v>
      </c>
      <c r="X17" s="553">
        <v>61432</v>
      </c>
      <c r="Y17" s="553">
        <v>14936</v>
      </c>
      <c r="Z17" s="553">
        <v>6377</v>
      </c>
      <c r="AA17" s="603"/>
      <c r="AB17" s="532">
        <v>26240.644087484474</v>
      </c>
      <c r="AC17" s="532">
        <v>196.52823626374007</v>
      </c>
      <c r="AD17" s="532">
        <v>10917.779408807328</v>
      </c>
      <c r="AE17" s="532">
        <v>11588.084749462443</v>
      </c>
      <c r="AF17" s="532">
        <v>3538.2517068426459</v>
      </c>
    </row>
    <row r="18" spans="1:32" ht="15.95" customHeight="1" x14ac:dyDescent="0.3">
      <c r="A18" s="530" t="s">
        <v>20</v>
      </c>
      <c r="B18" s="599">
        <v>712936</v>
      </c>
      <c r="C18" s="599">
        <v>13422</v>
      </c>
      <c r="D18" s="599">
        <v>613328</v>
      </c>
      <c r="E18" s="599">
        <v>3373</v>
      </c>
      <c r="F18" s="599">
        <v>82813</v>
      </c>
      <c r="G18" s="602"/>
      <c r="H18" s="599">
        <v>1044576</v>
      </c>
      <c r="I18" s="599">
        <v>74938</v>
      </c>
      <c r="J18" s="599">
        <v>813752</v>
      </c>
      <c r="K18" s="599">
        <v>34205</v>
      </c>
      <c r="L18" s="599">
        <v>121681</v>
      </c>
      <c r="M18" s="602"/>
      <c r="N18" s="602">
        <v>1049471</v>
      </c>
      <c r="O18" s="605">
        <v>44334</v>
      </c>
      <c r="P18" s="605">
        <v>810201</v>
      </c>
      <c r="Q18" s="605"/>
      <c r="R18" s="605">
        <v>80680</v>
      </c>
      <c r="S18" s="605"/>
      <c r="T18" s="605">
        <v>114256</v>
      </c>
      <c r="U18" s="553"/>
      <c r="V18" s="529">
        <v>1287150</v>
      </c>
      <c r="W18" s="553">
        <v>42534</v>
      </c>
      <c r="X18" s="553">
        <v>1084123</v>
      </c>
      <c r="Y18" s="553">
        <v>7471</v>
      </c>
      <c r="Z18" s="553">
        <v>153022</v>
      </c>
      <c r="AA18" s="603"/>
      <c r="AB18" s="532">
        <v>991129.73347630643</v>
      </c>
      <c r="AC18" s="532">
        <v>3586.7992244531292</v>
      </c>
      <c r="AD18" s="532">
        <v>873018.24800346699</v>
      </c>
      <c r="AE18" s="532">
        <v>69824.840850862238</v>
      </c>
      <c r="AF18" s="532">
        <v>44699.845352703182</v>
      </c>
    </row>
    <row r="19" spans="1:32" ht="15.95" customHeight="1" x14ac:dyDescent="0.3">
      <c r="A19" s="530" t="s">
        <v>21</v>
      </c>
      <c r="B19" s="599">
        <v>116896</v>
      </c>
      <c r="C19" s="599">
        <v>8030</v>
      </c>
      <c r="D19" s="599">
        <v>68390</v>
      </c>
      <c r="E19" s="599">
        <v>30958</v>
      </c>
      <c r="F19" s="599">
        <v>9518</v>
      </c>
      <c r="G19" s="602"/>
      <c r="H19" s="599">
        <v>119034</v>
      </c>
      <c r="I19" s="599">
        <v>25986</v>
      </c>
      <c r="J19" s="599">
        <v>49628</v>
      </c>
      <c r="K19" s="599">
        <v>35822</v>
      </c>
      <c r="L19" s="599">
        <v>7598</v>
      </c>
      <c r="M19" s="602"/>
      <c r="N19" s="602">
        <v>121077</v>
      </c>
      <c r="O19" s="605">
        <v>3568</v>
      </c>
      <c r="P19" s="605">
        <v>59310</v>
      </c>
      <c r="Q19" s="605"/>
      <c r="R19" s="605">
        <v>37307</v>
      </c>
      <c r="S19" s="605"/>
      <c r="T19" s="605">
        <v>20892</v>
      </c>
      <c r="U19" s="553"/>
      <c r="V19" s="529">
        <v>117995</v>
      </c>
      <c r="W19" s="553">
        <v>5871</v>
      </c>
      <c r="X19" s="553">
        <v>55227</v>
      </c>
      <c r="Y19" s="553">
        <v>39479</v>
      </c>
      <c r="Z19" s="553">
        <v>17418</v>
      </c>
      <c r="AA19" s="603"/>
      <c r="AB19" s="532">
        <v>133911.05193865104</v>
      </c>
      <c r="AC19" s="532">
        <v>16922.14471822471</v>
      </c>
      <c r="AD19" s="532">
        <v>80149.193767695353</v>
      </c>
      <c r="AE19" s="532">
        <v>25468.609481983382</v>
      </c>
      <c r="AF19" s="532">
        <v>11371.104071562298</v>
      </c>
    </row>
    <row r="20" spans="1:32" ht="15.95" customHeight="1" x14ac:dyDescent="0.3">
      <c r="A20" s="530" t="s">
        <v>22</v>
      </c>
      <c r="B20" s="599">
        <v>683391</v>
      </c>
      <c r="C20" s="599">
        <v>53995</v>
      </c>
      <c r="D20" s="599">
        <v>296508</v>
      </c>
      <c r="E20" s="599">
        <v>279403</v>
      </c>
      <c r="F20" s="599">
        <v>53485</v>
      </c>
      <c r="G20" s="602"/>
      <c r="H20" s="599">
        <v>855749</v>
      </c>
      <c r="I20" s="599">
        <v>150108</v>
      </c>
      <c r="J20" s="599">
        <v>424395</v>
      </c>
      <c r="K20" s="599">
        <v>236157</v>
      </c>
      <c r="L20" s="599">
        <v>45089</v>
      </c>
      <c r="M20" s="602"/>
      <c r="N20" s="602">
        <v>875085</v>
      </c>
      <c r="O20" s="605">
        <v>65225</v>
      </c>
      <c r="P20" s="605">
        <v>563567</v>
      </c>
      <c r="Q20" s="605"/>
      <c r="R20" s="605">
        <v>184335</v>
      </c>
      <c r="S20" s="605"/>
      <c r="T20" s="605">
        <v>61958</v>
      </c>
      <c r="U20" s="553"/>
      <c r="V20" s="529">
        <v>565103</v>
      </c>
      <c r="W20" s="553">
        <v>40529</v>
      </c>
      <c r="X20" s="553">
        <v>245371</v>
      </c>
      <c r="Y20" s="553">
        <v>228268</v>
      </c>
      <c r="Z20" s="553">
        <v>50935</v>
      </c>
      <c r="AA20" s="603"/>
      <c r="AB20" s="532">
        <v>492911.6578133367</v>
      </c>
      <c r="AC20" s="532">
        <v>16986.055761524767</v>
      </c>
      <c r="AD20" s="532">
        <v>186128.4723268665</v>
      </c>
      <c r="AE20" s="532">
        <v>254694.26078476693</v>
      </c>
      <c r="AF20" s="532">
        <v>35102.868965584319</v>
      </c>
    </row>
    <row r="21" spans="1:32" ht="15.95" customHeight="1" x14ac:dyDescent="0.3">
      <c r="A21" s="530" t="s">
        <v>23</v>
      </c>
      <c r="B21" s="599">
        <v>797583</v>
      </c>
      <c r="C21" s="599">
        <v>24533</v>
      </c>
      <c r="D21" s="599">
        <v>367280</v>
      </c>
      <c r="E21" s="599">
        <v>389498</v>
      </c>
      <c r="F21" s="599">
        <v>16272</v>
      </c>
      <c r="G21" s="602"/>
      <c r="H21" s="599">
        <v>568424</v>
      </c>
      <c r="I21" s="599">
        <v>33306</v>
      </c>
      <c r="J21" s="599">
        <v>181115</v>
      </c>
      <c r="K21" s="599">
        <v>301625</v>
      </c>
      <c r="L21" s="599">
        <v>52378</v>
      </c>
      <c r="M21" s="602"/>
      <c r="N21" s="602">
        <v>833277</v>
      </c>
      <c r="O21" s="605">
        <v>313</v>
      </c>
      <c r="P21" s="605">
        <v>566338</v>
      </c>
      <c r="Q21" s="605"/>
      <c r="R21" s="605">
        <v>198854</v>
      </c>
      <c r="S21" s="605"/>
      <c r="T21" s="605">
        <v>67772</v>
      </c>
      <c r="U21" s="553"/>
      <c r="V21" s="529">
        <v>1006880</v>
      </c>
      <c r="W21" s="553">
        <v>10856</v>
      </c>
      <c r="X21" s="553">
        <v>736497</v>
      </c>
      <c r="Y21" s="553">
        <v>203622</v>
      </c>
      <c r="Z21" s="553">
        <v>55905</v>
      </c>
      <c r="AA21" s="603"/>
      <c r="AB21" s="532">
        <v>1091272.5507243415</v>
      </c>
      <c r="AC21" s="532">
        <v>29547.001847421849</v>
      </c>
      <c r="AD21" s="532">
        <v>609983.98556834226</v>
      </c>
      <c r="AE21" s="532">
        <v>314451.53586685518</v>
      </c>
      <c r="AF21" s="532">
        <v>137290.02717641412</v>
      </c>
    </row>
    <row r="22" spans="1:32" ht="15.95" customHeight="1" x14ac:dyDescent="0.3">
      <c r="A22" s="530" t="s">
        <v>24</v>
      </c>
      <c r="B22" s="599">
        <v>141840</v>
      </c>
      <c r="C22" s="599">
        <v>5671</v>
      </c>
      <c r="D22" s="599">
        <v>90429</v>
      </c>
      <c r="E22" s="599">
        <v>7854</v>
      </c>
      <c r="F22" s="599">
        <v>37886</v>
      </c>
      <c r="G22" s="602"/>
      <c r="H22" s="599">
        <v>100809</v>
      </c>
      <c r="I22" s="599">
        <v>8711</v>
      </c>
      <c r="J22" s="599">
        <v>65732</v>
      </c>
      <c r="K22" s="599">
        <v>13477</v>
      </c>
      <c r="L22" s="599">
        <v>12889</v>
      </c>
      <c r="M22" s="602"/>
      <c r="N22" s="602">
        <v>32954</v>
      </c>
      <c r="O22" s="605">
        <v>1573</v>
      </c>
      <c r="P22" s="605">
        <v>18564</v>
      </c>
      <c r="Q22" s="605"/>
      <c r="R22" s="605">
        <v>3981</v>
      </c>
      <c r="S22" s="605"/>
      <c r="T22" s="605">
        <v>8836</v>
      </c>
      <c r="U22" s="553"/>
      <c r="V22" s="529">
        <v>45971</v>
      </c>
      <c r="W22" s="553">
        <v>411</v>
      </c>
      <c r="X22" s="553">
        <v>24362</v>
      </c>
      <c r="Y22" s="553">
        <v>6379</v>
      </c>
      <c r="Z22" s="553">
        <v>14819</v>
      </c>
      <c r="AA22" s="603"/>
      <c r="AB22" s="532">
        <v>42178.858476220543</v>
      </c>
      <c r="AC22" s="532">
        <v>2129.1186080585903</v>
      </c>
      <c r="AD22" s="532">
        <v>28625.365773198831</v>
      </c>
      <c r="AE22" s="532">
        <v>5941.8115566543256</v>
      </c>
      <c r="AF22" s="532">
        <v>5482.5625383088363</v>
      </c>
    </row>
    <row r="23" spans="1:32" ht="15.95" customHeight="1" x14ac:dyDescent="0.3">
      <c r="A23" s="530" t="s">
        <v>25</v>
      </c>
      <c r="B23" s="599">
        <v>639858</v>
      </c>
      <c r="C23" s="599">
        <v>27228</v>
      </c>
      <c r="D23" s="599">
        <v>66774</v>
      </c>
      <c r="E23" s="599">
        <v>503917</v>
      </c>
      <c r="F23" s="599">
        <v>41939</v>
      </c>
      <c r="G23" s="602"/>
      <c r="H23" s="599">
        <v>590885</v>
      </c>
      <c r="I23" s="599">
        <v>8122</v>
      </c>
      <c r="J23" s="599">
        <v>58885</v>
      </c>
      <c r="K23" s="599">
        <v>473502</v>
      </c>
      <c r="L23" s="599">
        <v>50376</v>
      </c>
      <c r="M23" s="602"/>
      <c r="N23" s="602">
        <v>405046</v>
      </c>
      <c r="O23" s="605">
        <v>7894</v>
      </c>
      <c r="P23" s="605">
        <v>56438</v>
      </c>
      <c r="Q23" s="605"/>
      <c r="R23" s="605">
        <v>306556</v>
      </c>
      <c r="S23" s="605"/>
      <c r="T23" s="605">
        <v>34158</v>
      </c>
      <c r="U23" s="553"/>
      <c r="V23" s="529">
        <v>611722</v>
      </c>
      <c r="W23" s="553">
        <v>9012</v>
      </c>
      <c r="X23" s="553">
        <v>83788</v>
      </c>
      <c r="Y23" s="553">
        <v>470302</v>
      </c>
      <c r="Z23" s="553">
        <v>48620</v>
      </c>
      <c r="AA23" s="603"/>
      <c r="AB23" s="532">
        <v>518093.05244800844</v>
      </c>
      <c r="AC23" s="532">
        <v>3428.5787245854253</v>
      </c>
      <c r="AD23" s="532">
        <v>105124.86540794144</v>
      </c>
      <c r="AE23" s="532">
        <v>350259.55501070991</v>
      </c>
      <c r="AF23" s="532">
        <v>59280.053228058074</v>
      </c>
    </row>
    <row r="24" spans="1:32" ht="15.95" customHeight="1" x14ac:dyDescent="0.3">
      <c r="A24" s="530" t="s">
        <v>26</v>
      </c>
      <c r="B24" s="599">
        <v>27517</v>
      </c>
      <c r="C24" s="599">
        <v>7</v>
      </c>
      <c r="D24" s="599">
        <v>1587</v>
      </c>
      <c r="E24" s="599">
        <v>494</v>
      </c>
      <c r="F24" s="599">
        <v>25429</v>
      </c>
      <c r="G24" s="602"/>
      <c r="H24" s="599">
        <v>35723</v>
      </c>
      <c r="I24" s="599">
        <v>415</v>
      </c>
      <c r="J24" s="599">
        <v>1583</v>
      </c>
      <c r="K24" s="599">
        <v>2231</v>
      </c>
      <c r="L24" s="599">
        <v>31494</v>
      </c>
      <c r="M24" s="602"/>
      <c r="N24" s="602">
        <v>65032</v>
      </c>
      <c r="O24" s="605">
        <v>386</v>
      </c>
      <c r="P24" s="605">
        <v>13586</v>
      </c>
      <c r="Q24" s="605"/>
      <c r="R24" s="605">
        <v>1726</v>
      </c>
      <c r="S24" s="605"/>
      <c r="T24" s="605">
        <v>49334</v>
      </c>
      <c r="U24" s="553"/>
      <c r="V24" s="529">
        <v>34769</v>
      </c>
      <c r="W24" s="553">
        <v>363</v>
      </c>
      <c r="X24" s="553">
        <v>10350</v>
      </c>
      <c r="Y24" s="553">
        <v>1261</v>
      </c>
      <c r="Z24" s="553">
        <v>22795</v>
      </c>
      <c r="AA24" s="603"/>
      <c r="AB24" s="532">
        <v>22538.779594521264</v>
      </c>
      <c r="AC24" s="532">
        <v>241.03612244897633</v>
      </c>
      <c r="AD24" s="532">
        <v>9142.8572650510268</v>
      </c>
      <c r="AE24" s="532">
        <v>3559.6779904017881</v>
      </c>
      <c r="AF24" s="532">
        <v>9595.208216619485</v>
      </c>
    </row>
    <row r="25" spans="1:32" ht="15.95" customHeight="1" x14ac:dyDescent="0.3">
      <c r="A25" s="530" t="s">
        <v>27</v>
      </c>
      <c r="B25" s="599">
        <v>438223</v>
      </c>
      <c r="C25" s="599">
        <v>53977</v>
      </c>
      <c r="D25" s="599">
        <v>136196</v>
      </c>
      <c r="E25" s="599">
        <v>229092</v>
      </c>
      <c r="F25" s="599">
        <v>18958</v>
      </c>
      <c r="G25" s="602"/>
      <c r="H25" s="599">
        <v>336124</v>
      </c>
      <c r="I25" s="599">
        <v>104158</v>
      </c>
      <c r="J25" s="599">
        <v>69460</v>
      </c>
      <c r="K25" s="599">
        <v>120787</v>
      </c>
      <c r="L25" s="599">
        <v>41719</v>
      </c>
      <c r="M25" s="602"/>
      <c r="N25" s="602">
        <v>493227</v>
      </c>
      <c r="O25" s="605">
        <v>51228</v>
      </c>
      <c r="P25" s="605">
        <v>251926</v>
      </c>
      <c r="Q25" s="605"/>
      <c r="R25" s="605">
        <v>147837</v>
      </c>
      <c r="S25" s="605"/>
      <c r="T25" s="605">
        <v>42236</v>
      </c>
      <c r="U25" s="553"/>
      <c r="V25" s="529">
        <v>331960</v>
      </c>
      <c r="W25" s="553">
        <v>51694</v>
      </c>
      <c r="X25" s="553">
        <v>135731</v>
      </c>
      <c r="Y25" s="553">
        <v>120724</v>
      </c>
      <c r="Z25" s="553">
        <v>23811</v>
      </c>
      <c r="AA25" s="603"/>
      <c r="AB25" s="532">
        <v>411223.69154478866</v>
      </c>
      <c r="AC25" s="532">
        <v>67185.931865569379</v>
      </c>
      <c r="AD25" s="532">
        <v>161320.06617373787</v>
      </c>
      <c r="AE25" s="532">
        <v>157203.52879495066</v>
      </c>
      <c r="AF25" s="532">
        <v>25514.164479671574</v>
      </c>
    </row>
    <row r="26" spans="1:32" ht="15.95" customHeight="1" x14ac:dyDescent="0.3">
      <c r="A26" s="530" t="s">
        <v>28</v>
      </c>
      <c r="B26" s="599">
        <v>217434</v>
      </c>
      <c r="C26" s="599">
        <v>6364</v>
      </c>
      <c r="D26" s="599">
        <v>76909</v>
      </c>
      <c r="E26" s="599">
        <v>70594</v>
      </c>
      <c r="F26" s="599">
        <v>63567</v>
      </c>
      <c r="G26" s="602"/>
      <c r="H26" s="599">
        <v>189914</v>
      </c>
      <c r="I26" s="599">
        <v>9759</v>
      </c>
      <c r="J26" s="599">
        <v>66597</v>
      </c>
      <c r="K26" s="599">
        <v>39659</v>
      </c>
      <c r="L26" s="599">
        <v>73899</v>
      </c>
      <c r="M26" s="602"/>
      <c r="N26" s="602">
        <v>192768</v>
      </c>
      <c r="O26" s="605">
        <v>978</v>
      </c>
      <c r="P26" s="605">
        <v>82000</v>
      </c>
      <c r="Q26" s="605"/>
      <c r="R26" s="605">
        <v>47572</v>
      </c>
      <c r="S26" s="605"/>
      <c r="T26" s="605">
        <v>62218</v>
      </c>
      <c r="U26" s="553"/>
      <c r="V26" s="529">
        <v>256025</v>
      </c>
      <c r="W26" s="553">
        <v>1306</v>
      </c>
      <c r="X26" s="553">
        <v>144566</v>
      </c>
      <c r="Y26" s="553">
        <v>48730</v>
      </c>
      <c r="Z26" s="553">
        <v>61423</v>
      </c>
      <c r="AA26" s="603"/>
      <c r="AB26" s="532">
        <v>185374.07067759265</v>
      </c>
      <c r="AC26" s="532">
        <v>3129.9335923077601</v>
      </c>
      <c r="AD26" s="532">
        <v>67422.439590852504</v>
      </c>
      <c r="AE26" s="532">
        <v>52544.251564226928</v>
      </c>
      <c r="AF26" s="532">
        <v>62277.446024485653</v>
      </c>
    </row>
    <row r="27" spans="1:32" ht="15.95" customHeight="1" x14ac:dyDescent="0.3">
      <c r="A27" s="530" t="s">
        <v>29</v>
      </c>
      <c r="B27" s="599">
        <v>74784</v>
      </c>
      <c r="C27" s="599">
        <v>355</v>
      </c>
      <c r="D27" s="599">
        <v>5397</v>
      </c>
      <c r="E27" s="599">
        <v>47626</v>
      </c>
      <c r="F27" s="599">
        <v>21406</v>
      </c>
      <c r="G27" s="602"/>
      <c r="H27" s="599">
        <v>55810</v>
      </c>
      <c r="I27" s="599">
        <v>610</v>
      </c>
      <c r="J27" s="599">
        <v>7253</v>
      </c>
      <c r="K27" s="599">
        <v>24835</v>
      </c>
      <c r="L27" s="599">
        <v>23112</v>
      </c>
      <c r="M27" s="602"/>
      <c r="N27" s="602">
        <v>71305</v>
      </c>
      <c r="O27" s="605">
        <v>1083</v>
      </c>
      <c r="P27" s="605">
        <v>6188</v>
      </c>
      <c r="Q27" s="605"/>
      <c r="R27" s="605">
        <v>41368</v>
      </c>
      <c r="S27" s="605"/>
      <c r="T27" s="605">
        <v>22666</v>
      </c>
      <c r="U27" s="553"/>
      <c r="V27" s="529">
        <v>70947</v>
      </c>
      <c r="W27" s="553">
        <v>454</v>
      </c>
      <c r="X27" s="553">
        <v>13108</v>
      </c>
      <c r="Y27" s="553">
        <v>34002</v>
      </c>
      <c r="Z27" s="553">
        <v>23383</v>
      </c>
      <c r="AA27" s="603"/>
      <c r="AB27" s="532">
        <v>66690.192337340719</v>
      </c>
      <c r="AC27" s="532">
        <v>956.46134068977062</v>
      </c>
      <c r="AD27" s="532">
        <v>4726.7847777013967</v>
      </c>
      <c r="AE27" s="532">
        <v>41417.529237049552</v>
      </c>
      <c r="AF27" s="532">
        <v>19589.416981447808</v>
      </c>
    </row>
    <row r="28" spans="1:32" ht="15.95" customHeight="1" x14ac:dyDescent="0.3">
      <c r="A28" s="530" t="s">
        <v>30</v>
      </c>
      <c r="B28" s="599">
        <v>65349</v>
      </c>
      <c r="C28" s="599">
        <v>6156</v>
      </c>
      <c r="D28" s="599">
        <v>9291</v>
      </c>
      <c r="E28" s="599">
        <v>20347</v>
      </c>
      <c r="F28" s="599">
        <v>29555</v>
      </c>
      <c r="G28" s="602"/>
      <c r="H28" s="599">
        <v>51227</v>
      </c>
      <c r="I28" s="599">
        <v>4859</v>
      </c>
      <c r="J28" s="599">
        <v>3384</v>
      </c>
      <c r="K28" s="599">
        <v>1876</v>
      </c>
      <c r="L28" s="599">
        <v>41108</v>
      </c>
      <c r="M28" s="602"/>
      <c r="N28" s="602">
        <v>91109</v>
      </c>
      <c r="O28" s="605">
        <v>7904</v>
      </c>
      <c r="P28" s="605">
        <v>42486</v>
      </c>
      <c r="Q28" s="605"/>
      <c r="R28" s="605">
        <v>2008</v>
      </c>
      <c r="S28" s="605"/>
      <c r="T28" s="605">
        <v>38711</v>
      </c>
      <c r="U28" s="553"/>
      <c r="V28" s="529">
        <v>52519</v>
      </c>
      <c r="W28" s="553">
        <v>3133</v>
      </c>
      <c r="X28" s="553">
        <v>2050</v>
      </c>
      <c r="Y28" s="553">
        <v>4360</v>
      </c>
      <c r="Z28" s="553">
        <v>42976</v>
      </c>
      <c r="AA28" s="603"/>
      <c r="AB28" s="532">
        <v>106048.85454290312</v>
      </c>
      <c r="AC28" s="532">
        <v>3612.7601998993614</v>
      </c>
      <c r="AD28" s="532">
        <v>62605.398434835355</v>
      </c>
      <c r="AE28" s="532">
        <v>4910.1943780505781</v>
      </c>
      <c r="AF28" s="532">
        <v>34920.501530117923</v>
      </c>
    </row>
    <row r="29" spans="1:32" ht="15.95" customHeight="1" x14ac:dyDescent="0.3">
      <c r="A29" s="530" t="s">
        <v>31</v>
      </c>
      <c r="B29" s="599">
        <v>344622</v>
      </c>
      <c r="C29" s="599">
        <v>4223</v>
      </c>
      <c r="D29" s="599">
        <v>6225</v>
      </c>
      <c r="E29" s="599">
        <v>327271</v>
      </c>
      <c r="F29" s="599">
        <v>6903</v>
      </c>
      <c r="G29" s="602"/>
      <c r="H29" s="599">
        <v>319442</v>
      </c>
      <c r="I29" s="599">
        <v>2246</v>
      </c>
      <c r="J29" s="599">
        <v>8150</v>
      </c>
      <c r="K29" s="599">
        <v>300982</v>
      </c>
      <c r="L29" s="599">
        <v>8064</v>
      </c>
      <c r="M29" s="602"/>
      <c r="N29" s="602">
        <v>377943</v>
      </c>
      <c r="O29" s="605">
        <v>24</v>
      </c>
      <c r="P29" s="605">
        <v>12247</v>
      </c>
      <c r="Q29" s="605"/>
      <c r="R29" s="605">
        <v>356756</v>
      </c>
      <c r="S29" s="605"/>
      <c r="T29" s="605">
        <v>8916</v>
      </c>
      <c r="U29" s="553"/>
      <c r="V29" s="529">
        <v>428059</v>
      </c>
      <c r="W29" s="553">
        <v>1089</v>
      </c>
      <c r="X29" s="553">
        <v>11838</v>
      </c>
      <c r="Y29" s="553">
        <v>405246</v>
      </c>
      <c r="Z29" s="553">
        <v>9886</v>
      </c>
      <c r="AA29" s="603"/>
      <c r="AB29" s="532">
        <v>284664.77583957999</v>
      </c>
      <c r="AC29" s="532">
        <v>8406.4993116259648</v>
      </c>
      <c r="AD29" s="532">
        <v>7017.4046821116208</v>
      </c>
      <c r="AE29" s="532">
        <v>255426.42700248823</v>
      </c>
      <c r="AF29" s="532">
        <v>13814.444026315912</v>
      </c>
    </row>
    <row r="30" spans="1:32" ht="15.95" customHeight="1" x14ac:dyDescent="0.3">
      <c r="A30" s="530" t="s">
        <v>32</v>
      </c>
      <c r="B30" s="599">
        <v>230364</v>
      </c>
      <c r="C30" s="599">
        <v>868</v>
      </c>
      <c r="D30" s="599">
        <v>2233</v>
      </c>
      <c r="E30" s="599">
        <v>216836</v>
      </c>
      <c r="F30" s="599">
        <v>10427</v>
      </c>
      <c r="G30" s="602"/>
      <c r="H30" s="599">
        <v>256981</v>
      </c>
      <c r="I30" s="599">
        <v>908</v>
      </c>
      <c r="J30" s="599">
        <v>4493</v>
      </c>
      <c r="K30" s="599">
        <v>247351</v>
      </c>
      <c r="L30" s="599">
        <v>4229</v>
      </c>
      <c r="M30" s="602"/>
      <c r="N30" s="602">
        <v>210389</v>
      </c>
      <c r="O30" s="605">
        <v>248</v>
      </c>
      <c r="P30" s="605">
        <v>12264</v>
      </c>
      <c r="Q30" s="605"/>
      <c r="R30" s="605">
        <v>193988</v>
      </c>
      <c r="S30" s="605"/>
      <c r="T30" s="605">
        <v>3889</v>
      </c>
      <c r="U30" s="553"/>
      <c r="V30" s="529">
        <v>208014</v>
      </c>
      <c r="W30" s="553" t="s">
        <v>47</v>
      </c>
      <c r="X30" s="553">
        <v>3845</v>
      </c>
      <c r="Y30" s="553">
        <v>200859</v>
      </c>
      <c r="Z30" s="553">
        <v>3310</v>
      </c>
      <c r="AA30" s="603"/>
      <c r="AB30" s="532">
        <v>372426.88796123251</v>
      </c>
      <c r="AC30" s="532">
        <v>629.88519008889773</v>
      </c>
      <c r="AD30" s="532">
        <v>3538.8229077344195</v>
      </c>
      <c r="AE30" s="532">
        <v>365761.6689090085</v>
      </c>
      <c r="AF30" s="532">
        <v>2496.5104652323434</v>
      </c>
    </row>
    <row r="31" spans="1:32" ht="15.95" customHeight="1" x14ac:dyDescent="0.3">
      <c r="A31" s="530" t="s">
        <v>33</v>
      </c>
      <c r="B31" s="599">
        <v>181224</v>
      </c>
      <c r="C31" s="599">
        <v>7765</v>
      </c>
      <c r="D31" s="599">
        <v>111870</v>
      </c>
      <c r="E31" s="599">
        <v>26141</v>
      </c>
      <c r="F31" s="599">
        <v>35448</v>
      </c>
      <c r="G31" s="602"/>
      <c r="H31" s="599">
        <v>107396</v>
      </c>
      <c r="I31" s="599">
        <v>56</v>
      </c>
      <c r="J31" s="599">
        <v>103536</v>
      </c>
      <c r="K31" s="599">
        <v>864</v>
      </c>
      <c r="L31" s="599">
        <v>2940</v>
      </c>
      <c r="M31" s="602"/>
      <c r="N31" s="602">
        <v>73028</v>
      </c>
      <c r="O31" s="605">
        <v>1768</v>
      </c>
      <c r="P31" s="605">
        <v>63886</v>
      </c>
      <c r="Q31" s="605"/>
      <c r="R31" s="605">
        <v>1253</v>
      </c>
      <c r="S31" s="605"/>
      <c r="T31" s="605">
        <v>6121</v>
      </c>
      <c r="U31" s="553"/>
      <c r="V31" s="529">
        <v>121131</v>
      </c>
      <c r="W31" s="553">
        <v>330</v>
      </c>
      <c r="X31" s="553">
        <v>103609</v>
      </c>
      <c r="Y31" s="553">
        <v>10766</v>
      </c>
      <c r="Z31" s="553">
        <v>6426</v>
      </c>
      <c r="AA31" s="603"/>
      <c r="AB31" s="532">
        <v>168997.56659263422</v>
      </c>
      <c r="AC31" s="532">
        <v>8064.7364907561605</v>
      </c>
      <c r="AD31" s="532">
        <v>145767.07318874067</v>
      </c>
      <c r="AE31" s="532">
        <v>84.007738526178969</v>
      </c>
      <c r="AF31" s="532">
        <v>15081.749174611336</v>
      </c>
    </row>
    <row r="32" spans="1:32" ht="15.95" customHeight="1" x14ac:dyDescent="0.3">
      <c r="A32" s="530" t="s">
        <v>34</v>
      </c>
      <c r="B32" s="599">
        <v>448409</v>
      </c>
      <c r="C32" s="599">
        <v>69327</v>
      </c>
      <c r="D32" s="599">
        <v>197813</v>
      </c>
      <c r="E32" s="599">
        <v>174467</v>
      </c>
      <c r="F32" s="599">
        <v>6802</v>
      </c>
      <c r="G32" s="602"/>
      <c r="H32" s="599">
        <v>380003</v>
      </c>
      <c r="I32" s="599">
        <v>115077</v>
      </c>
      <c r="J32" s="599">
        <v>84734</v>
      </c>
      <c r="K32" s="599">
        <v>162857</v>
      </c>
      <c r="L32" s="599">
        <v>17335</v>
      </c>
      <c r="M32" s="602"/>
      <c r="N32" s="602">
        <v>458271</v>
      </c>
      <c r="O32" s="605">
        <v>127558</v>
      </c>
      <c r="P32" s="605">
        <v>146079</v>
      </c>
      <c r="Q32" s="605"/>
      <c r="R32" s="605">
        <v>138008</v>
      </c>
      <c r="S32" s="605"/>
      <c r="T32" s="605">
        <v>46626</v>
      </c>
      <c r="U32" s="553"/>
      <c r="V32" s="529">
        <v>404297</v>
      </c>
      <c r="W32" s="553">
        <v>55826</v>
      </c>
      <c r="X32" s="553">
        <v>142214</v>
      </c>
      <c r="Y32" s="553">
        <v>193726</v>
      </c>
      <c r="Z32" s="553">
        <v>12531</v>
      </c>
      <c r="AA32" s="603"/>
      <c r="AB32" s="532">
        <v>411492.97810901178</v>
      </c>
      <c r="AC32" s="532">
        <v>88302.824868431097</v>
      </c>
      <c r="AD32" s="532">
        <v>152684.38925622575</v>
      </c>
      <c r="AE32" s="532">
        <v>145317.05697314526</v>
      </c>
      <c r="AF32" s="532">
        <v>25188.707166332744</v>
      </c>
    </row>
    <row r="33" spans="1:32" ht="15.95" customHeight="1" x14ac:dyDescent="0.3">
      <c r="A33" s="530" t="s">
        <v>35</v>
      </c>
      <c r="B33" s="599">
        <v>145876</v>
      </c>
      <c r="C33" s="599">
        <v>2972</v>
      </c>
      <c r="D33" s="599">
        <v>61367</v>
      </c>
      <c r="E33" s="599">
        <v>70382</v>
      </c>
      <c r="F33" s="599">
        <v>11155</v>
      </c>
      <c r="G33" s="602"/>
      <c r="H33" s="599">
        <v>106035</v>
      </c>
      <c r="I33" s="599">
        <v>3513</v>
      </c>
      <c r="J33" s="599">
        <v>26862</v>
      </c>
      <c r="K33" s="599">
        <v>67391</v>
      </c>
      <c r="L33" s="599">
        <v>8269</v>
      </c>
      <c r="M33" s="602"/>
      <c r="N33" s="602">
        <v>163434</v>
      </c>
      <c r="O33" s="605">
        <v>1185</v>
      </c>
      <c r="P33" s="605">
        <v>38254</v>
      </c>
      <c r="Q33" s="605"/>
      <c r="R33" s="605">
        <v>112960</v>
      </c>
      <c r="S33" s="605"/>
      <c r="T33" s="605">
        <v>11035</v>
      </c>
      <c r="U33" s="553"/>
      <c r="V33" s="529">
        <v>169094</v>
      </c>
      <c r="W33" s="553">
        <v>770</v>
      </c>
      <c r="X33" s="553">
        <v>33639</v>
      </c>
      <c r="Y33" s="553">
        <v>126024</v>
      </c>
      <c r="Z33" s="553">
        <v>8661</v>
      </c>
      <c r="AA33" s="603"/>
      <c r="AB33" s="532">
        <v>97344.73616066559</v>
      </c>
      <c r="AC33" s="532">
        <v>2401.0252733517227</v>
      </c>
      <c r="AD33" s="532">
        <v>44364.646666668727</v>
      </c>
      <c r="AE33" s="532">
        <v>32899.872905577286</v>
      </c>
      <c r="AF33" s="532">
        <v>17679.191315067754</v>
      </c>
    </row>
    <row r="34" spans="1:32" ht="15.95" customHeight="1" x14ac:dyDescent="0.3">
      <c r="A34" s="530" t="s">
        <v>36</v>
      </c>
      <c r="B34" s="599">
        <v>3228522</v>
      </c>
      <c r="C34" s="599">
        <v>124145</v>
      </c>
      <c r="D34" s="599">
        <v>2715227</v>
      </c>
      <c r="E34" s="599">
        <v>122719</v>
      </c>
      <c r="F34" s="599">
        <v>266431</v>
      </c>
      <c r="G34" s="602"/>
      <c r="H34" s="599">
        <v>3305256</v>
      </c>
      <c r="I34" s="599">
        <v>91331</v>
      </c>
      <c r="J34" s="599">
        <v>2748601</v>
      </c>
      <c r="K34" s="599">
        <v>261567</v>
      </c>
      <c r="L34" s="599">
        <v>203757</v>
      </c>
      <c r="M34" s="602"/>
      <c r="N34" s="602">
        <v>3430043</v>
      </c>
      <c r="O34" s="605">
        <v>6354</v>
      </c>
      <c r="P34" s="605">
        <v>3067927</v>
      </c>
      <c r="Q34" s="605"/>
      <c r="R34" s="605">
        <v>155334</v>
      </c>
      <c r="S34" s="605"/>
      <c r="T34" s="605">
        <v>200428</v>
      </c>
      <c r="U34" s="553"/>
      <c r="V34" s="529">
        <v>2786089</v>
      </c>
      <c r="W34" s="553">
        <v>2542</v>
      </c>
      <c r="X34" s="553">
        <v>2585699</v>
      </c>
      <c r="Y34" s="553">
        <v>69836</v>
      </c>
      <c r="Z34" s="553">
        <v>128012</v>
      </c>
      <c r="AA34" s="603"/>
      <c r="AB34" s="532">
        <v>2665527.2854556353</v>
      </c>
      <c r="AC34" s="532">
        <v>204987.70711011632</v>
      </c>
      <c r="AD34" s="532">
        <v>2258326.1931018881</v>
      </c>
      <c r="AE34" s="532">
        <v>97813.500038649654</v>
      </c>
      <c r="AF34" s="532">
        <v>104399.88468758852</v>
      </c>
    </row>
    <row r="35" spans="1:32" ht="15.95" customHeight="1" x14ac:dyDescent="0.3">
      <c r="A35" s="530" t="s">
        <v>37</v>
      </c>
      <c r="B35" s="599">
        <v>674972</v>
      </c>
      <c r="C35" s="599">
        <v>8205</v>
      </c>
      <c r="D35" s="599">
        <v>9971</v>
      </c>
      <c r="E35" s="599">
        <v>631417</v>
      </c>
      <c r="F35" s="599">
        <v>25379</v>
      </c>
      <c r="G35" s="602"/>
      <c r="H35" s="599">
        <v>558020</v>
      </c>
      <c r="I35" s="599">
        <v>9162</v>
      </c>
      <c r="J35" s="599">
        <v>10418</v>
      </c>
      <c r="K35" s="599">
        <v>526764</v>
      </c>
      <c r="L35" s="599">
        <v>11676</v>
      </c>
      <c r="M35" s="602"/>
      <c r="N35" s="602">
        <v>481859</v>
      </c>
      <c r="O35" s="605">
        <v>2498</v>
      </c>
      <c r="P35" s="605">
        <v>5858</v>
      </c>
      <c r="Q35" s="605"/>
      <c r="R35" s="605">
        <v>463031</v>
      </c>
      <c r="S35" s="605"/>
      <c r="T35" s="605">
        <v>10472</v>
      </c>
      <c r="U35" s="553"/>
      <c r="V35" s="529">
        <v>515761</v>
      </c>
      <c r="W35" s="553">
        <v>481</v>
      </c>
      <c r="X35" s="553">
        <v>18963</v>
      </c>
      <c r="Y35" s="553">
        <v>477740</v>
      </c>
      <c r="Z35" s="553">
        <v>18577</v>
      </c>
      <c r="AA35" s="603"/>
      <c r="AB35" s="532">
        <v>354197.01611105539</v>
      </c>
      <c r="AC35" s="532">
        <v>3210.0645929486973</v>
      </c>
      <c r="AD35" s="532">
        <v>8107.4620188542995</v>
      </c>
      <c r="AE35" s="532">
        <v>328470.74737376458</v>
      </c>
      <c r="AF35" s="532">
        <v>14408.742031978576</v>
      </c>
    </row>
    <row r="36" spans="1:32" ht="15.95" customHeight="1" x14ac:dyDescent="0.3">
      <c r="A36" s="530" t="s">
        <v>38</v>
      </c>
      <c r="B36" s="599">
        <v>17675</v>
      </c>
      <c r="C36" s="599">
        <v>169</v>
      </c>
      <c r="D36" s="599">
        <v>9147</v>
      </c>
      <c r="E36" s="599">
        <v>1729</v>
      </c>
      <c r="F36" s="599">
        <v>6630</v>
      </c>
      <c r="G36" s="602"/>
      <c r="H36" s="599">
        <v>15956</v>
      </c>
      <c r="I36" s="599">
        <v>146</v>
      </c>
      <c r="J36" s="599">
        <v>7271</v>
      </c>
      <c r="K36" s="599">
        <v>177</v>
      </c>
      <c r="L36" s="599">
        <v>8362</v>
      </c>
      <c r="M36" s="602"/>
      <c r="N36" s="602">
        <v>11515</v>
      </c>
      <c r="O36" s="605">
        <v>1303</v>
      </c>
      <c r="P36" s="605">
        <v>365</v>
      </c>
      <c r="Q36" s="605"/>
      <c r="R36" s="605">
        <v>100</v>
      </c>
      <c r="S36" s="605"/>
      <c r="T36" s="605">
        <v>9747</v>
      </c>
      <c r="U36" s="553"/>
      <c r="V36" s="529">
        <v>42324</v>
      </c>
      <c r="W36" s="553">
        <v>475</v>
      </c>
      <c r="X36" s="553">
        <v>26068</v>
      </c>
      <c r="Y36" s="553">
        <v>268</v>
      </c>
      <c r="Z36" s="553">
        <v>15513</v>
      </c>
      <c r="AA36" s="603"/>
      <c r="AB36" s="532">
        <v>126240.59829196398</v>
      </c>
      <c r="AC36" s="532">
        <v>581.82881413849691</v>
      </c>
      <c r="AD36" s="532">
        <v>117446.81280284541</v>
      </c>
      <c r="AE36" s="532">
        <v>69.392119398656789</v>
      </c>
      <c r="AF36" s="532">
        <v>8142.5645574599212</v>
      </c>
    </row>
    <row r="37" spans="1:32" ht="15.95" customHeight="1" x14ac:dyDescent="0.3">
      <c r="A37" s="530" t="s">
        <v>39</v>
      </c>
      <c r="B37" s="599">
        <v>2825</v>
      </c>
      <c r="C37" s="599">
        <v>2</v>
      </c>
      <c r="D37" s="599">
        <v>3</v>
      </c>
      <c r="E37" s="599">
        <v>2018</v>
      </c>
      <c r="F37" s="599">
        <v>802</v>
      </c>
      <c r="G37" s="602"/>
      <c r="H37" s="599">
        <v>3125</v>
      </c>
      <c r="I37" s="599">
        <v>16</v>
      </c>
      <c r="J37" s="599">
        <v>67</v>
      </c>
      <c r="K37" s="599">
        <v>2503</v>
      </c>
      <c r="L37" s="599">
        <v>539</v>
      </c>
      <c r="M37" s="602"/>
      <c r="N37" s="602">
        <v>2868</v>
      </c>
      <c r="O37" s="605" t="s">
        <v>47</v>
      </c>
      <c r="P37" s="605">
        <v>264</v>
      </c>
      <c r="Q37" s="605"/>
      <c r="R37" s="605">
        <v>2011</v>
      </c>
      <c r="S37" s="605"/>
      <c r="T37" s="605">
        <v>593</v>
      </c>
      <c r="U37" s="553"/>
      <c r="V37" s="529">
        <v>2796</v>
      </c>
      <c r="W37" s="553" t="s">
        <v>47</v>
      </c>
      <c r="X37" s="553">
        <v>14</v>
      </c>
      <c r="Y37" s="553">
        <v>2113</v>
      </c>
      <c r="Z37" s="553">
        <v>669</v>
      </c>
      <c r="AA37" s="603"/>
      <c r="AB37" s="532">
        <v>1971.540387874265</v>
      </c>
      <c r="AC37" s="532">
        <v>0.82301587301588075</v>
      </c>
      <c r="AD37" s="532">
        <v>65.780249777683537</v>
      </c>
      <c r="AE37" s="532">
        <v>1679.0845383567087</v>
      </c>
      <c r="AF37" s="532">
        <v>225.8525838668551</v>
      </c>
    </row>
    <row r="38" spans="1:32" ht="15.95" customHeight="1" x14ac:dyDescent="0.3">
      <c r="A38" s="533" t="s">
        <v>40</v>
      </c>
      <c r="B38" s="606">
        <v>246829</v>
      </c>
      <c r="C38" s="606">
        <v>3248</v>
      </c>
      <c r="D38" s="606">
        <v>13547</v>
      </c>
      <c r="E38" s="606">
        <v>225568</v>
      </c>
      <c r="F38" s="606">
        <v>4466</v>
      </c>
      <c r="G38" s="607"/>
      <c r="H38" s="606">
        <v>222161</v>
      </c>
      <c r="I38" s="606">
        <v>2785</v>
      </c>
      <c r="J38" s="606">
        <v>4594</v>
      </c>
      <c r="K38" s="606">
        <v>209258</v>
      </c>
      <c r="L38" s="606">
        <v>5524</v>
      </c>
      <c r="M38" s="607"/>
      <c r="N38" s="607">
        <v>193204</v>
      </c>
      <c r="O38" s="608">
        <v>747</v>
      </c>
      <c r="P38" s="608">
        <v>5428</v>
      </c>
      <c r="Q38" s="608"/>
      <c r="R38" s="608">
        <v>181349</v>
      </c>
      <c r="S38" s="608"/>
      <c r="T38" s="608">
        <v>5680</v>
      </c>
      <c r="U38" s="557"/>
      <c r="V38" s="556">
        <v>395371</v>
      </c>
      <c r="W38" s="557">
        <v>177</v>
      </c>
      <c r="X38" s="557">
        <v>19913</v>
      </c>
      <c r="Y38" s="557">
        <v>370678</v>
      </c>
      <c r="Z38" s="557">
        <v>4603</v>
      </c>
      <c r="AA38" s="557"/>
      <c r="AB38" s="557">
        <v>153257.15566339952</v>
      </c>
      <c r="AC38" s="557">
        <v>1141.8901098900885</v>
      </c>
      <c r="AD38" s="557">
        <v>12200.669393227126</v>
      </c>
      <c r="AE38" s="557">
        <v>137685.10464494457</v>
      </c>
      <c r="AF38" s="557">
        <v>2229.4914915483791</v>
      </c>
    </row>
    <row r="39" spans="1:32" s="210" customFormat="1" ht="12" customHeight="1" x14ac:dyDescent="0.25">
      <c r="A39" s="1061" t="s">
        <v>842</v>
      </c>
      <c r="B39" s="1099"/>
      <c r="C39" s="1099"/>
      <c r="D39" s="1099"/>
      <c r="E39" s="1099"/>
      <c r="F39" s="1099"/>
      <c r="G39" s="1099"/>
      <c r="H39" s="1099"/>
      <c r="I39" s="1099"/>
      <c r="J39" s="1099"/>
      <c r="K39" s="1099"/>
      <c r="L39" s="1099"/>
      <c r="M39" s="1099"/>
      <c r="N39" s="1099"/>
      <c r="O39" s="1099"/>
      <c r="P39" s="1099"/>
      <c r="Q39" s="1099"/>
      <c r="R39" s="1099"/>
      <c r="S39" s="1099"/>
      <c r="T39" s="1099"/>
      <c r="U39" s="1099"/>
      <c r="V39" s="1099"/>
      <c r="W39" s="1099"/>
      <c r="X39" s="1099"/>
      <c r="Y39" s="1099"/>
      <c r="Z39" s="1099"/>
      <c r="AA39" s="1099"/>
      <c r="AB39" s="1099"/>
      <c r="AC39" s="1099"/>
      <c r="AD39" s="1099"/>
      <c r="AE39" s="1099"/>
      <c r="AF39" s="1099"/>
    </row>
    <row r="40" spans="1:32" s="253" customFormat="1" ht="12" customHeight="1" x14ac:dyDescent="0.25">
      <c r="A40" s="1093" t="s">
        <v>727</v>
      </c>
      <c r="B40" s="1093"/>
      <c r="C40" s="1093"/>
      <c r="D40" s="1093"/>
      <c r="E40" s="1093"/>
      <c r="F40" s="1093"/>
      <c r="G40" s="1093"/>
      <c r="H40" s="1093"/>
      <c r="I40" s="1093"/>
      <c r="J40" s="1093"/>
      <c r="K40" s="1093"/>
      <c r="L40" s="1093"/>
      <c r="M40" s="1093"/>
      <c r="N40" s="1093"/>
      <c r="O40" s="1093"/>
      <c r="P40" s="1093"/>
      <c r="Q40" s="1093"/>
      <c r="R40" s="1093"/>
      <c r="S40" s="1093"/>
      <c r="T40" s="1093"/>
      <c r="U40" s="1069"/>
      <c r="V40" s="1069"/>
      <c r="W40" s="1069"/>
      <c r="X40" s="1069"/>
      <c r="Y40" s="1069"/>
      <c r="Z40" s="1069"/>
      <c r="AA40" s="1069"/>
      <c r="AB40" s="1069"/>
      <c r="AC40" s="1069"/>
      <c r="AD40" s="1069"/>
      <c r="AE40" s="1069"/>
      <c r="AF40" s="1069"/>
    </row>
    <row r="41" spans="1:32" s="253" customFormat="1" ht="12" customHeight="1" x14ac:dyDescent="0.25">
      <c r="A41" s="254" t="s">
        <v>841</v>
      </c>
      <c r="B41" s="488"/>
      <c r="C41" s="488"/>
      <c r="D41" s="488"/>
      <c r="E41" s="488"/>
      <c r="F41" s="488"/>
      <c r="G41" s="488"/>
      <c r="H41" s="488"/>
      <c r="I41" s="488"/>
      <c r="J41" s="488"/>
      <c r="K41" s="488"/>
      <c r="L41" s="488"/>
      <c r="M41" s="488"/>
      <c r="N41" s="488"/>
      <c r="O41" s="488"/>
      <c r="P41" s="488"/>
      <c r="Q41" s="488"/>
      <c r="R41" s="488"/>
      <c r="S41" s="488"/>
      <c r="T41" s="488"/>
      <c r="U41" s="255"/>
      <c r="V41" s="255"/>
      <c r="W41" s="255"/>
      <c r="X41" s="255"/>
      <c r="Y41" s="255"/>
      <c r="Z41" s="255"/>
      <c r="AE41" s="254"/>
    </row>
    <row r="43" spans="1:32" ht="21" customHeight="1" x14ac:dyDescent="0.3">
      <c r="A43" s="1068"/>
      <c r="B43" s="1068"/>
      <c r="C43" s="1068"/>
      <c r="D43" s="1068"/>
      <c r="E43" s="1068"/>
      <c r="F43" s="1068"/>
      <c r="G43" s="1068"/>
      <c r="H43" s="1068"/>
      <c r="I43" s="1068"/>
      <c r="J43" s="1068"/>
      <c r="K43" s="1068"/>
      <c r="L43" s="1068"/>
      <c r="M43" s="1068"/>
      <c r="N43" s="1068"/>
      <c r="O43" s="1068"/>
      <c r="P43" s="1068"/>
      <c r="Q43" s="1068"/>
      <c r="R43" s="1068"/>
      <c r="S43" s="1068"/>
      <c r="T43" s="1068"/>
      <c r="U43" s="1068"/>
      <c r="V43" s="1068"/>
      <c r="W43" s="1068"/>
      <c r="X43" s="1068"/>
      <c r="Y43" s="1069"/>
      <c r="Z43" s="1069"/>
      <c r="AA43" s="1069"/>
      <c r="AB43" s="1069"/>
      <c r="AC43" s="1069"/>
      <c r="AD43" s="1069"/>
      <c r="AE43" s="1069"/>
      <c r="AF43" s="1069"/>
    </row>
    <row r="44" spans="1:32" ht="12.75" customHeight="1" x14ac:dyDescent="0.3">
      <c r="H44" s="490"/>
      <c r="I44" s="490"/>
      <c r="J44" s="490"/>
      <c r="K44" s="490"/>
      <c r="L44" s="490"/>
      <c r="M44" s="490"/>
      <c r="N44" s="490"/>
      <c r="O44" s="490"/>
      <c r="P44" s="490"/>
      <c r="Q44" s="490"/>
      <c r="R44" s="490"/>
      <c r="S44" s="490"/>
      <c r="T44" s="490"/>
      <c r="U44" s="2"/>
      <c r="V44" s="2"/>
      <c r="W44" s="2"/>
      <c r="X44" s="2"/>
      <c r="Y44" s="2"/>
      <c r="Z44" s="2"/>
    </row>
  </sheetData>
  <mergeCells count="11">
    <mergeCell ref="A43:AF43"/>
    <mergeCell ref="A40:AF40"/>
    <mergeCell ref="A1:AF1"/>
    <mergeCell ref="A2:AF2"/>
    <mergeCell ref="AB4:AF4"/>
    <mergeCell ref="A4:A5"/>
    <mergeCell ref="B4:F4"/>
    <mergeCell ref="H4:L4"/>
    <mergeCell ref="N4:T4"/>
    <mergeCell ref="V4:Z4"/>
    <mergeCell ref="A39:AF39"/>
  </mergeCells>
  <printOptions horizontalCentered="1"/>
  <pageMargins left="0.70866141732283472" right="0.51181102362204722" top="0.74803149606299213" bottom="0.55118110236220474" header="0.31496062992125984" footer="0.31496062992125984"/>
  <pageSetup paperSize="9" orientation="portrait" r:id="rId1"/>
  <ignoredErrors>
    <ignoredError sqref="N4:Z4 AB4:AF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O145"/>
  <sheetViews>
    <sheetView showGridLines="0" topLeftCell="A114" zoomScaleNormal="100" zoomScaleSheetLayoutView="100" workbookViewId="0">
      <selection activeCell="A112" sqref="A112:L145"/>
    </sheetView>
  </sheetViews>
  <sheetFormatPr baseColWidth="10" defaultColWidth="1" defaultRowHeight="12.75" customHeight="1" x14ac:dyDescent="0.3"/>
  <cols>
    <col min="1" max="1" width="29.7109375" style="34" customWidth="1"/>
    <col min="2" max="2" width="0.7109375" style="34" customWidth="1"/>
    <col min="3" max="3" width="20.5703125" style="34" customWidth="1"/>
    <col min="4" max="4" width="14.85546875" style="93" customWidth="1"/>
    <col min="5" max="5" width="1.7109375" style="34" customWidth="1"/>
    <col min="6" max="6" width="10.28515625" style="34" hidden="1" customWidth="1"/>
    <col min="7" max="7" width="10.7109375" style="34" hidden="1" customWidth="1"/>
    <col min="8" max="8" width="11.7109375" style="34" hidden="1" customWidth="1"/>
    <col min="9" max="12" width="12.7109375" style="34" bestFit="1" customWidth="1"/>
    <col min="13" max="13" width="7.28515625" style="34" customWidth="1"/>
    <col min="14" max="14" width="11.7109375" style="34" bestFit="1" customWidth="1"/>
    <col min="15" max="15" width="12.7109375" style="34" bestFit="1" customWidth="1"/>
    <col min="16" max="236" width="11.28515625" style="34" customWidth="1"/>
    <col min="237" max="237" width="14.28515625" style="34" customWidth="1"/>
    <col min="238" max="238" width="0.7109375" style="34" customWidth="1"/>
    <col min="239" max="239" width="11.28515625" style="34" customWidth="1"/>
    <col min="240" max="240" width="7.7109375" style="34" customWidth="1"/>
    <col min="241" max="16384" width="1" style="34"/>
  </cols>
  <sheetData>
    <row r="1" spans="1:15" ht="12.75" customHeight="1" x14ac:dyDescent="0.3">
      <c r="A1" s="24" t="s">
        <v>192</v>
      </c>
    </row>
    <row r="2" spans="1:15" ht="12.75" customHeight="1" x14ac:dyDescent="0.3">
      <c r="A2" s="23" t="s">
        <v>191</v>
      </c>
    </row>
    <row r="3" spans="1:15" ht="28.9" customHeight="1" x14ac:dyDescent="0.3">
      <c r="A3" s="1102" t="s">
        <v>771</v>
      </c>
      <c r="B3" s="1102"/>
      <c r="C3" s="1102"/>
      <c r="D3" s="1102"/>
      <c r="E3" s="1102"/>
      <c r="F3" s="1102"/>
      <c r="G3" s="1102"/>
      <c r="H3" s="1102"/>
      <c r="I3" s="1102"/>
      <c r="J3" s="1102"/>
      <c r="K3" s="1102"/>
      <c r="L3" s="1102"/>
    </row>
    <row r="4" spans="1:15" ht="12.75" customHeight="1" x14ac:dyDescent="0.3">
      <c r="A4" s="124"/>
      <c r="B4" s="125"/>
      <c r="C4" s="126"/>
      <c r="D4" s="127"/>
      <c r="E4" s="128"/>
      <c r="F4" s="128"/>
      <c r="G4" s="128"/>
      <c r="H4" s="128"/>
      <c r="I4" s="129"/>
      <c r="J4" s="129"/>
      <c r="K4" s="129"/>
      <c r="L4" s="129"/>
    </row>
    <row r="5" spans="1:15" ht="22.5" customHeight="1" x14ac:dyDescent="0.3">
      <c r="A5" s="1103" t="s">
        <v>103</v>
      </c>
      <c r="B5" s="613"/>
      <c r="C5" s="1104" t="s">
        <v>16</v>
      </c>
      <c r="D5" s="1105" t="s">
        <v>102</v>
      </c>
      <c r="E5" s="614"/>
      <c r="F5" s="614">
        <v>2014</v>
      </c>
      <c r="G5" s="614">
        <v>2015</v>
      </c>
      <c r="H5" s="1106" t="s">
        <v>101</v>
      </c>
      <c r="I5" s="1106"/>
      <c r="J5" s="1106"/>
      <c r="K5" s="1106"/>
      <c r="L5" s="1106"/>
      <c r="M5" s="321"/>
    </row>
    <row r="6" spans="1:15" ht="25.7" customHeight="1" x14ac:dyDescent="0.3">
      <c r="A6" s="1103"/>
      <c r="B6" s="615"/>
      <c r="C6" s="1104"/>
      <c r="D6" s="1105"/>
      <c r="E6" s="614"/>
      <c r="F6" s="614"/>
      <c r="G6" s="614"/>
      <c r="H6" s="614">
        <v>2016</v>
      </c>
      <c r="I6" s="614">
        <v>2018</v>
      </c>
      <c r="J6" s="614">
        <v>2019</v>
      </c>
      <c r="K6" s="614">
        <v>2020</v>
      </c>
      <c r="L6" s="614">
        <v>2021</v>
      </c>
      <c r="M6" s="107"/>
    </row>
    <row r="7" spans="1:15" ht="3" customHeight="1" x14ac:dyDescent="0.3">
      <c r="A7" s="616"/>
      <c r="B7" s="117"/>
      <c r="C7" s="617"/>
      <c r="D7" s="522"/>
      <c r="E7" s="618"/>
      <c r="F7" s="107"/>
      <c r="G7" s="107"/>
      <c r="H7" s="107"/>
      <c r="I7" s="107"/>
      <c r="J7" s="107"/>
      <c r="K7" s="107"/>
      <c r="L7" s="107"/>
      <c r="M7" s="107"/>
    </row>
    <row r="8" spans="1:15" s="93" customFormat="1" ht="15.95" customHeight="1" x14ac:dyDescent="0.3">
      <c r="A8" s="619" t="s">
        <v>57</v>
      </c>
      <c r="B8" s="620"/>
      <c r="C8" s="620"/>
      <c r="D8" s="620"/>
      <c r="E8" s="620"/>
      <c r="F8" s="620">
        <v>19518146.579999998</v>
      </c>
      <c r="G8" s="620">
        <v>19456761.129999999</v>
      </c>
      <c r="H8" s="620">
        <v>19456761.129999999</v>
      </c>
      <c r="I8" s="620">
        <v>19456485.59</v>
      </c>
      <c r="J8" s="620">
        <v>19445523.449999999</v>
      </c>
      <c r="K8" s="620">
        <v>19445523.449999999</v>
      </c>
      <c r="L8" s="620">
        <v>25683827.32</v>
      </c>
      <c r="M8" s="129"/>
    </row>
    <row r="9" spans="1:15" s="93" customFormat="1" ht="3" customHeight="1" x14ac:dyDescent="0.3">
      <c r="A9" s="621"/>
      <c r="B9" s="622"/>
      <c r="C9" s="623"/>
      <c r="D9" s="624"/>
      <c r="E9" s="625"/>
      <c r="F9" s="626"/>
      <c r="G9" s="626"/>
      <c r="H9" s="627"/>
      <c r="I9" s="627"/>
      <c r="J9" s="627"/>
      <c r="K9" s="627"/>
      <c r="L9" s="627"/>
    </row>
    <row r="10" spans="1:15" ht="15.95" customHeight="1" x14ac:dyDescent="0.3">
      <c r="A10" s="628" t="s">
        <v>190</v>
      </c>
      <c r="B10" s="629"/>
      <c r="C10" s="630"/>
      <c r="D10" s="631"/>
      <c r="E10" s="632"/>
      <c r="F10" s="129">
        <v>8170747.54</v>
      </c>
      <c r="G10" s="129">
        <v>9525438.8600000013</v>
      </c>
      <c r="H10" s="129">
        <v>9525438.8600000013</v>
      </c>
      <c r="I10" s="129">
        <v>10394366.700000001</v>
      </c>
      <c r="J10" s="129">
        <v>10394366.700000001</v>
      </c>
      <c r="K10" s="129">
        <v>10394366.700000001</v>
      </c>
      <c r="L10" s="129">
        <v>10394366.699999999</v>
      </c>
    </row>
    <row r="11" spans="1:15" ht="15.95" customHeight="1" x14ac:dyDescent="0.3">
      <c r="A11" s="633" t="s">
        <v>189</v>
      </c>
      <c r="B11" s="634"/>
      <c r="C11" s="635" t="s">
        <v>123</v>
      </c>
      <c r="D11" s="636">
        <v>38309</v>
      </c>
      <c r="E11" s="637"/>
      <c r="F11" s="128">
        <v>2510694.41</v>
      </c>
      <c r="G11" s="128">
        <v>2510694.41</v>
      </c>
      <c r="H11" s="128">
        <v>2510694.41</v>
      </c>
      <c r="I11" s="128">
        <v>2510694.41</v>
      </c>
      <c r="J11" s="128">
        <v>2510694.41</v>
      </c>
      <c r="K11" s="128">
        <v>2510694.41</v>
      </c>
      <c r="L11" s="128">
        <v>2510694.41</v>
      </c>
    </row>
    <row r="12" spans="1:15" ht="32.1" customHeight="1" x14ac:dyDescent="0.3">
      <c r="A12" s="633" t="s">
        <v>188</v>
      </c>
      <c r="B12" s="634"/>
      <c r="C12" s="635" t="s">
        <v>826</v>
      </c>
      <c r="D12" s="638" t="s">
        <v>827</v>
      </c>
      <c r="E12" s="637"/>
      <c r="F12" s="128">
        <v>1716295.22</v>
      </c>
      <c r="G12" s="128">
        <v>1716295.22</v>
      </c>
      <c r="H12" s="128">
        <v>1716295.22</v>
      </c>
      <c r="I12" s="128">
        <v>1716295.22</v>
      </c>
      <c r="J12" s="128">
        <v>1716295.22</v>
      </c>
      <c r="K12" s="128">
        <v>1716295.22</v>
      </c>
      <c r="L12" s="128">
        <v>1716295.22</v>
      </c>
      <c r="O12" s="132"/>
    </row>
    <row r="13" spans="1:15" ht="15.95" customHeight="1" x14ac:dyDescent="0.3">
      <c r="A13" s="633" t="s">
        <v>900</v>
      </c>
      <c r="B13" s="634"/>
      <c r="C13" s="639" t="s">
        <v>828</v>
      </c>
      <c r="D13" s="640">
        <v>42317</v>
      </c>
      <c r="E13" s="637"/>
      <c r="F13" s="128" t="s">
        <v>47</v>
      </c>
      <c r="G13" s="128">
        <v>1354485.1</v>
      </c>
      <c r="H13" s="128">
        <v>1354485.1</v>
      </c>
      <c r="I13" s="128">
        <v>1354485.1</v>
      </c>
      <c r="J13" s="128">
        <v>1354485.1</v>
      </c>
      <c r="K13" s="128">
        <v>1354485.1</v>
      </c>
      <c r="L13" s="128">
        <v>1354485.1</v>
      </c>
    </row>
    <row r="14" spans="1:15" ht="32.1" customHeight="1" x14ac:dyDescent="0.3">
      <c r="A14" s="633" t="s">
        <v>187</v>
      </c>
      <c r="B14" s="634"/>
      <c r="C14" s="641" t="s">
        <v>186</v>
      </c>
      <c r="D14" s="638">
        <v>37032</v>
      </c>
      <c r="E14" s="637"/>
      <c r="F14" s="128">
        <v>1353190.85</v>
      </c>
      <c r="G14" s="128">
        <v>1353190.85</v>
      </c>
      <c r="H14" s="128">
        <v>1353190.85</v>
      </c>
      <c r="I14" s="128">
        <v>1353190.85</v>
      </c>
      <c r="J14" s="128">
        <v>1353190.85</v>
      </c>
      <c r="K14" s="128">
        <v>1353190.85</v>
      </c>
      <c r="L14" s="128">
        <v>1353190.85</v>
      </c>
      <c r="O14" s="477"/>
    </row>
    <row r="15" spans="1:15" ht="32.1" customHeight="1" x14ac:dyDescent="0.3">
      <c r="A15" s="633" t="s">
        <v>185</v>
      </c>
      <c r="B15" s="634"/>
      <c r="C15" s="635" t="s">
        <v>184</v>
      </c>
      <c r="D15" s="638" t="s">
        <v>183</v>
      </c>
      <c r="E15" s="637"/>
      <c r="F15" s="128">
        <v>1091416</v>
      </c>
      <c r="G15" s="128">
        <v>1091416</v>
      </c>
      <c r="H15" s="128">
        <v>1091416</v>
      </c>
      <c r="I15" s="128">
        <v>1091416</v>
      </c>
      <c r="J15" s="128">
        <v>1091416</v>
      </c>
      <c r="K15" s="128">
        <v>1091416</v>
      </c>
      <c r="L15" s="128">
        <v>1091416</v>
      </c>
    </row>
    <row r="16" spans="1:15" ht="15.95" customHeight="1" x14ac:dyDescent="0.3">
      <c r="A16" s="642" t="s">
        <v>133</v>
      </c>
      <c r="B16" s="634"/>
      <c r="C16" s="639" t="s">
        <v>31</v>
      </c>
      <c r="D16" s="640">
        <v>43110</v>
      </c>
      <c r="E16" s="637"/>
      <c r="F16" s="128" t="s">
        <v>47</v>
      </c>
      <c r="G16" s="128" t="s">
        <v>47</v>
      </c>
      <c r="H16" s="128" t="s">
        <v>47</v>
      </c>
      <c r="I16" s="128">
        <v>868927.84</v>
      </c>
      <c r="J16" s="128">
        <v>868927.84</v>
      </c>
      <c r="K16" s="128">
        <v>868927.84</v>
      </c>
      <c r="L16" s="128">
        <v>868927.84</v>
      </c>
    </row>
    <row r="17" spans="1:15" ht="15.95" customHeight="1" x14ac:dyDescent="0.3">
      <c r="A17" s="633" t="s">
        <v>182</v>
      </c>
      <c r="B17" s="634"/>
      <c r="C17" s="635" t="s">
        <v>18</v>
      </c>
      <c r="D17" s="636">
        <v>27576</v>
      </c>
      <c r="E17" s="637"/>
      <c r="F17" s="128">
        <v>340000</v>
      </c>
      <c r="G17" s="128">
        <v>340000</v>
      </c>
      <c r="H17" s="128">
        <v>340000</v>
      </c>
      <c r="I17" s="128">
        <v>340000</v>
      </c>
      <c r="J17" s="128">
        <v>340000</v>
      </c>
      <c r="K17" s="128">
        <v>340000</v>
      </c>
      <c r="L17" s="128">
        <v>340000</v>
      </c>
    </row>
    <row r="18" spans="1:15" ht="32.1" customHeight="1" x14ac:dyDescent="0.3">
      <c r="A18" s="633" t="s">
        <v>181</v>
      </c>
      <c r="B18" s="634"/>
      <c r="C18" s="635" t="s">
        <v>121</v>
      </c>
      <c r="D18" s="638" t="s">
        <v>120</v>
      </c>
      <c r="E18" s="637"/>
      <c r="F18" s="128">
        <v>305973.05</v>
      </c>
      <c r="G18" s="128">
        <v>305973.05</v>
      </c>
      <c r="H18" s="128">
        <v>305973.05</v>
      </c>
      <c r="I18" s="128">
        <v>305973.05</v>
      </c>
      <c r="J18" s="128">
        <v>305973.05</v>
      </c>
      <c r="K18" s="128">
        <v>305973.05</v>
      </c>
      <c r="L18" s="128">
        <v>305973.05</v>
      </c>
    </row>
    <row r="19" spans="1:15" ht="15.95" customHeight="1" x14ac:dyDescent="0.3">
      <c r="A19" s="633" t="s">
        <v>180</v>
      </c>
      <c r="B19" s="634"/>
      <c r="C19" s="635" t="s">
        <v>37</v>
      </c>
      <c r="D19" s="636">
        <v>30539</v>
      </c>
      <c r="E19" s="637"/>
      <c r="F19" s="128">
        <v>274520</v>
      </c>
      <c r="G19" s="128">
        <v>274520</v>
      </c>
      <c r="H19" s="128">
        <v>274520</v>
      </c>
      <c r="I19" s="128">
        <v>274520</v>
      </c>
      <c r="J19" s="128">
        <v>274520</v>
      </c>
      <c r="K19" s="128">
        <v>274520</v>
      </c>
      <c r="L19" s="128">
        <v>274520</v>
      </c>
    </row>
    <row r="20" spans="1:15" ht="15.95" customHeight="1" x14ac:dyDescent="0.3">
      <c r="A20" s="633" t="s">
        <v>179</v>
      </c>
      <c r="B20" s="634"/>
      <c r="C20" s="635" t="s">
        <v>31</v>
      </c>
      <c r="D20" s="636">
        <v>41207</v>
      </c>
      <c r="E20" s="637"/>
      <c r="F20" s="128">
        <v>203628.51</v>
      </c>
      <c r="G20" s="128">
        <v>203628.51</v>
      </c>
      <c r="H20" s="128">
        <v>203628.51</v>
      </c>
      <c r="I20" s="128">
        <v>203628.51</v>
      </c>
      <c r="J20" s="128">
        <v>203628.51</v>
      </c>
      <c r="K20" s="128">
        <v>203628.51</v>
      </c>
      <c r="L20" s="128">
        <v>203628.51</v>
      </c>
    </row>
    <row r="21" spans="1:15" ht="48" customHeight="1" x14ac:dyDescent="0.3">
      <c r="A21" s="633" t="s">
        <v>178</v>
      </c>
      <c r="B21" s="634"/>
      <c r="C21" s="635" t="s">
        <v>177</v>
      </c>
      <c r="D21" s="638" t="s">
        <v>176</v>
      </c>
      <c r="E21" s="637"/>
      <c r="F21" s="128">
        <v>151561.26999999999</v>
      </c>
      <c r="G21" s="128">
        <v>151767.49</v>
      </c>
      <c r="H21" s="128">
        <v>151767.49</v>
      </c>
      <c r="I21" s="128">
        <v>151767.49</v>
      </c>
      <c r="J21" s="128">
        <v>151767.49</v>
      </c>
      <c r="K21" s="128">
        <v>151767.49</v>
      </c>
      <c r="L21" s="128">
        <v>151767.49</v>
      </c>
    </row>
    <row r="22" spans="1:15" ht="15.95" customHeight="1" x14ac:dyDescent="0.3">
      <c r="A22" s="633" t="s">
        <v>175</v>
      </c>
      <c r="B22" s="634"/>
      <c r="C22" s="639" t="s">
        <v>34</v>
      </c>
      <c r="D22" s="636">
        <v>31653</v>
      </c>
      <c r="E22" s="637"/>
      <c r="F22" s="128">
        <v>122000</v>
      </c>
      <c r="G22" s="128">
        <v>122000</v>
      </c>
      <c r="H22" s="128">
        <v>122000</v>
      </c>
      <c r="I22" s="128">
        <v>122000</v>
      </c>
      <c r="J22" s="128">
        <v>122000</v>
      </c>
      <c r="K22" s="128">
        <v>122000</v>
      </c>
      <c r="L22" s="128">
        <v>122000</v>
      </c>
    </row>
    <row r="23" spans="1:15" ht="15.95" customHeight="1" x14ac:dyDescent="0.3">
      <c r="A23" s="643" t="s">
        <v>174</v>
      </c>
      <c r="B23" s="644"/>
      <c r="C23" s="639" t="s">
        <v>17</v>
      </c>
      <c r="D23" s="636">
        <v>39303</v>
      </c>
      <c r="E23" s="637"/>
      <c r="F23" s="128">
        <v>88477</v>
      </c>
      <c r="G23" s="128">
        <v>88477</v>
      </c>
      <c r="H23" s="128">
        <v>88477</v>
      </c>
      <c r="I23" s="128">
        <v>88477</v>
      </c>
      <c r="J23" s="128">
        <v>88477</v>
      </c>
      <c r="K23" s="128">
        <v>88477</v>
      </c>
      <c r="L23" s="128">
        <v>88477</v>
      </c>
    </row>
    <row r="24" spans="1:15" ht="32.1" customHeight="1" x14ac:dyDescent="0.3">
      <c r="A24" s="633" t="s">
        <v>173</v>
      </c>
      <c r="B24" s="634"/>
      <c r="C24" s="639" t="s">
        <v>22</v>
      </c>
      <c r="D24" s="638" t="s">
        <v>829</v>
      </c>
      <c r="E24" s="637"/>
      <c r="F24" s="128">
        <v>8214.23</v>
      </c>
      <c r="G24" s="128">
        <v>8214.23</v>
      </c>
      <c r="H24" s="128">
        <v>8214.23</v>
      </c>
      <c r="I24" s="128">
        <v>8214.23</v>
      </c>
      <c r="J24" s="128">
        <v>8214.23</v>
      </c>
      <c r="K24" s="128">
        <v>8214.23</v>
      </c>
      <c r="L24" s="128">
        <v>8214.23</v>
      </c>
    </row>
    <row r="25" spans="1:15" ht="15.95" customHeight="1" x14ac:dyDescent="0.3">
      <c r="A25" s="633" t="s">
        <v>172</v>
      </c>
      <c r="B25" s="634"/>
      <c r="C25" s="639" t="s">
        <v>25</v>
      </c>
      <c r="D25" s="636">
        <v>23876</v>
      </c>
      <c r="E25" s="637"/>
      <c r="F25" s="128">
        <v>4777</v>
      </c>
      <c r="G25" s="128">
        <v>4777</v>
      </c>
      <c r="H25" s="128">
        <v>4777</v>
      </c>
      <c r="I25" s="128">
        <v>4777</v>
      </c>
      <c r="J25" s="128">
        <v>4777</v>
      </c>
      <c r="K25" s="128">
        <v>4777</v>
      </c>
      <c r="L25" s="128">
        <v>4777</v>
      </c>
    </row>
    <row r="26" spans="1:15" ht="3" customHeight="1" x14ac:dyDescent="0.3">
      <c r="A26" s="645"/>
      <c r="B26" s="125"/>
      <c r="C26" s="126"/>
      <c r="D26" s="130"/>
      <c r="E26" s="646"/>
      <c r="F26" s="647"/>
      <c r="G26" s="647"/>
      <c r="H26" s="647"/>
      <c r="I26" s="647"/>
      <c r="J26" s="647"/>
      <c r="K26" s="647"/>
      <c r="L26" s="647"/>
    </row>
    <row r="27" spans="1:15" ht="15.95" customHeight="1" x14ac:dyDescent="0.3">
      <c r="A27" s="648" t="s">
        <v>171</v>
      </c>
      <c r="B27" s="629"/>
      <c r="C27" s="649"/>
      <c r="D27" s="650"/>
      <c r="E27" s="632"/>
      <c r="F27" s="129">
        <v>4652851.63</v>
      </c>
      <c r="G27" s="129">
        <v>4652851.63</v>
      </c>
      <c r="H27" s="129">
        <v>4652851.63</v>
      </c>
      <c r="I27" s="129">
        <v>4652851.63</v>
      </c>
      <c r="J27" s="129">
        <v>4652851.63</v>
      </c>
      <c r="K27" s="129">
        <v>4652851.63</v>
      </c>
      <c r="L27" s="129">
        <v>10928608.08</v>
      </c>
    </row>
    <row r="28" spans="1:15" ht="15.95" customHeight="1" x14ac:dyDescent="0.3">
      <c r="A28" s="651" t="s">
        <v>830</v>
      </c>
      <c r="B28" s="644"/>
      <c r="C28" s="126"/>
      <c r="D28" s="638">
        <v>44352</v>
      </c>
      <c r="E28" s="637"/>
      <c r="F28" s="128"/>
      <c r="G28" s="128"/>
      <c r="H28" s="128"/>
      <c r="I28" s="128" t="s">
        <v>47</v>
      </c>
      <c r="J28" s="128" t="s">
        <v>47</v>
      </c>
      <c r="K28" s="128" t="s">
        <v>47</v>
      </c>
      <c r="L28" s="128">
        <v>6239205.75</v>
      </c>
      <c r="O28" s="477"/>
    </row>
    <row r="29" spans="1:15" ht="32.1" customHeight="1" x14ac:dyDescent="0.3">
      <c r="A29" s="645" t="s">
        <v>170</v>
      </c>
      <c r="B29" s="125"/>
      <c r="C29" s="652" t="s">
        <v>31</v>
      </c>
      <c r="D29" s="638" t="s">
        <v>169</v>
      </c>
      <c r="E29" s="637"/>
      <c r="F29" s="128">
        <v>2080000</v>
      </c>
      <c r="G29" s="128">
        <v>2080000</v>
      </c>
      <c r="H29" s="128">
        <v>2080000</v>
      </c>
      <c r="I29" s="128">
        <v>2080000</v>
      </c>
      <c r="J29" s="128">
        <v>2080000</v>
      </c>
      <c r="K29" s="128">
        <v>2080000</v>
      </c>
      <c r="L29" s="128">
        <v>2080000</v>
      </c>
    </row>
    <row r="30" spans="1:15" ht="15.95" customHeight="1" x14ac:dyDescent="0.3">
      <c r="A30" s="645" t="s">
        <v>168</v>
      </c>
      <c r="B30" s="125"/>
      <c r="C30" s="652" t="s">
        <v>31</v>
      </c>
      <c r="D30" s="130">
        <v>40474</v>
      </c>
      <c r="E30" s="637"/>
      <c r="F30" s="128">
        <v>637953.82999999996</v>
      </c>
      <c r="G30" s="128">
        <v>637953.82999999996</v>
      </c>
      <c r="H30" s="128">
        <v>637953.82999999996</v>
      </c>
      <c r="I30" s="128">
        <v>637953.82999999996</v>
      </c>
      <c r="J30" s="128">
        <v>637953.82999999996</v>
      </c>
      <c r="K30" s="128">
        <v>637953.82999999996</v>
      </c>
      <c r="L30" s="128">
        <v>637953.82999999996</v>
      </c>
    </row>
    <row r="31" spans="1:15" ht="15.95" customHeight="1" x14ac:dyDescent="0.3">
      <c r="A31" s="645" t="s">
        <v>167</v>
      </c>
      <c r="B31" s="125"/>
      <c r="C31" s="652" t="s">
        <v>31</v>
      </c>
      <c r="D31" s="130">
        <v>40051</v>
      </c>
      <c r="E31" s="637"/>
      <c r="F31" s="128">
        <v>420635.34</v>
      </c>
      <c r="G31" s="128">
        <v>420635.34</v>
      </c>
      <c r="H31" s="128">
        <v>420635.34</v>
      </c>
      <c r="I31" s="128">
        <v>420635.34</v>
      </c>
      <c r="J31" s="128">
        <v>420635.34</v>
      </c>
      <c r="K31" s="128">
        <v>420635.34</v>
      </c>
      <c r="L31" s="128">
        <v>420635.34</v>
      </c>
    </row>
    <row r="32" spans="1:15" ht="15.95" customHeight="1" x14ac:dyDescent="0.3">
      <c r="A32" s="645" t="s">
        <v>166</v>
      </c>
      <c r="B32" s="125"/>
      <c r="C32" s="652" t="s">
        <v>165</v>
      </c>
      <c r="D32" s="130">
        <v>29076</v>
      </c>
      <c r="E32" s="637"/>
      <c r="F32" s="128">
        <v>366936</v>
      </c>
      <c r="G32" s="128">
        <v>366936</v>
      </c>
      <c r="H32" s="128">
        <v>366936</v>
      </c>
      <c r="I32" s="128">
        <v>366936</v>
      </c>
      <c r="J32" s="128">
        <v>366936</v>
      </c>
      <c r="K32" s="128">
        <v>366936</v>
      </c>
      <c r="L32" s="128">
        <v>366936</v>
      </c>
    </row>
    <row r="33" spans="1:13" ht="15.95" customHeight="1" x14ac:dyDescent="0.3">
      <c r="A33" s="645" t="s">
        <v>901</v>
      </c>
      <c r="B33" s="125"/>
      <c r="C33" s="652" t="s">
        <v>26</v>
      </c>
      <c r="D33" s="130">
        <v>27662</v>
      </c>
      <c r="E33" s="637"/>
      <c r="F33" s="128">
        <v>335000</v>
      </c>
      <c r="G33" s="128">
        <v>335000</v>
      </c>
      <c r="H33" s="128">
        <v>335000</v>
      </c>
      <c r="I33" s="128">
        <v>335000</v>
      </c>
      <c r="J33" s="128">
        <v>335000</v>
      </c>
      <c r="K33" s="128">
        <v>335000</v>
      </c>
      <c r="L33" s="128">
        <v>335000</v>
      </c>
    </row>
    <row r="34" spans="1:13" ht="32.1" customHeight="1" x14ac:dyDescent="0.3">
      <c r="A34" s="645" t="s">
        <v>164</v>
      </c>
      <c r="B34" s="125"/>
      <c r="C34" s="652" t="s">
        <v>32</v>
      </c>
      <c r="D34" s="638" t="s">
        <v>163</v>
      </c>
      <c r="E34" s="637"/>
      <c r="F34" s="128">
        <v>274690</v>
      </c>
      <c r="G34" s="128">
        <v>274690</v>
      </c>
      <c r="H34" s="128">
        <v>274690</v>
      </c>
      <c r="I34" s="128">
        <v>274690</v>
      </c>
      <c r="J34" s="128">
        <v>274690</v>
      </c>
      <c r="K34" s="128">
        <v>274690</v>
      </c>
      <c r="L34" s="128">
        <v>274690</v>
      </c>
    </row>
    <row r="35" spans="1:13" ht="15.95" customHeight="1" x14ac:dyDescent="0.3">
      <c r="A35" s="645" t="s">
        <v>162</v>
      </c>
      <c r="B35" s="125"/>
      <c r="C35" s="652" t="s">
        <v>26</v>
      </c>
      <c r="D35" s="130">
        <v>40733</v>
      </c>
      <c r="E35" s="637"/>
      <c r="F35" s="128">
        <v>154716.37</v>
      </c>
      <c r="G35" s="128">
        <v>154716.37</v>
      </c>
      <c r="H35" s="128">
        <v>154716.37</v>
      </c>
      <c r="I35" s="128">
        <v>154716.37</v>
      </c>
      <c r="J35" s="128">
        <v>154716.37</v>
      </c>
      <c r="K35" s="128">
        <v>154716.37</v>
      </c>
      <c r="L35" s="128">
        <v>154716.37</v>
      </c>
    </row>
    <row r="36" spans="1:13" ht="75.95" customHeight="1" x14ac:dyDescent="0.3">
      <c r="A36" s="653" t="s">
        <v>161</v>
      </c>
      <c r="B36" s="654"/>
      <c r="C36" s="655" t="s">
        <v>160</v>
      </c>
      <c r="D36" s="638">
        <v>40178</v>
      </c>
      <c r="E36" s="637"/>
      <c r="F36" s="128">
        <v>140833.47</v>
      </c>
      <c r="G36" s="128">
        <v>140833.47</v>
      </c>
      <c r="H36" s="128">
        <v>140833.47</v>
      </c>
      <c r="I36" s="128">
        <v>140833.47</v>
      </c>
      <c r="J36" s="128">
        <v>140833.47</v>
      </c>
      <c r="K36" s="128">
        <v>140833.47</v>
      </c>
      <c r="L36" s="128">
        <v>140833.47</v>
      </c>
    </row>
    <row r="37" spans="1:13" ht="15.95" customHeight="1" x14ac:dyDescent="0.3">
      <c r="A37" s="645" t="s">
        <v>93</v>
      </c>
      <c r="B37" s="125"/>
      <c r="C37" s="652" t="s">
        <v>28</v>
      </c>
      <c r="D37" s="130">
        <v>29594</v>
      </c>
      <c r="E37" s="637"/>
      <c r="F37" s="128">
        <v>64000</v>
      </c>
      <c r="G37" s="128">
        <v>64000</v>
      </c>
      <c r="H37" s="128">
        <v>64000</v>
      </c>
      <c r="I37" s="128">
        <v>64000</v>
      </c>
      <c r="J37" s="128">
        <v>64000</v>
      </c>
      <c r="K37" s="128">
        <v>64000</v>
      </c>
      <c r="L37" s="128">
        <v>64000</v>
      </c>
    </row>
    <row r="38" spans="1:13" ht="15.95" customHeight="1" x14ac:dyDescent="0.3">
      <c r="A38" s="645" t="s">
        <v>159</v>
      </c>
      <c r="B38" s="125"/>
      <c r="C38" s="652" t="s">
        <v>31</v>
      </c>
      <c r="D38" s="130">
        <v>38001</v>
      </c>
      <c r="E38" s="637"/>
      <c r="F38" s="128">
        <v>58069.9</v>
      </c>
      <c r="G38" s="128">
        <v>58069.9</v>
      </c>
      <c r="H38" s="128">
        <v>58069.9</v>
      </c>
      <c r="I38" s="128">
        <v>58069.9</v>
      </c>
      <c r="J38" s="128">
        <v>58069.9</v>
      </c>
      <c r="K38" s="128">
        <v>58069.9</v>
      </c>
      <c r="L38" s="128">
        <v>58069.9</v>
      </c>
    </row>
    <row r="39" spans="1:13" ht="15.95" customHeight="1" x14ac:dyDescent="0.3">
      <c r="A39" s="645" t="s">
        <v>82</v>
      </c>
      <c r="B39" s="125"/>
      <c r="C39" s="652" t="s">
        <v>158</v>
      </c>
      <c r="D39" s="130">
        <v>27248</v>
      </c>
      <c r="E39" s="637"/>
      <c r="F39" s="128">
        <v>53000</v>
      </c>
      <c r="G39" s="128">
        <v>53000</v>
      </c>
      <c r="H39" s="128">
        <v>53000</v>
      </c>
      <c r="I39" s="128">
        <v>53000</v>
      </c>
      <c r="J39" s="128">
        <v>53000</v>
      </c>
      <c r="K39" s="128">
        <v>53000</v>
      </c>
      <c r="L39" s="128">
        <v>53000</v>
      </c>
    </row>
    <row r="40" spans="1:13" ht="15.95" customHeight="1" x14ac:dyDescent="0.3">
      <c r="A40" s="651" t="s">
        <v>145</v>
      </c>
      <c r="B40" s="644"/>
      <c r="C40" s="126" t="s">
        <v>35</v>
      </c>
      <c r="D40" s="638">
        <v>44554</v>
      </c>
      <c r="E40" s="637"/>
      <c r="F40" s="128"/>
      <c r="G40" s="128"/>
      <c r="H40" s="128"/>
      <c r="I40" s="128" t="s">
        <v>47</v>
      </c>
      <c r="J40" s="128" t="s">
        <v>47</v>
      </c>
      <c r="K40" s="128" t="s">
        <v>47</v>
      </c>
      <c r="L40" s="128">
        <v>36550.699999999997</v>
      </c>
    </row>
    <row r="41" spans="1:13" ht="15.95" customHeight="1" x14ac:dyDescent="0.3">
      <c r="A41" s="645" t="s">
        <v>157</v>
      </c>
      <c r="B41" s="125"/>
      <c r="C41" s="652" t="s">
        <v>36</v>
      </c>
      <c r="D41" s="130">
        <v>28794</v>
      </c>
      <c r="E41" s="637"/>
      <c r="F41" s="128">
        <v>36180</v>
      </c>
      <c r="G41" s="128">
        <v>36180</v>
      </c>
      <c r="H41" s="128">
        <v>36180</v>
      </c>
      <c r="I41" s="128">
        <v>36180</v>
      </c>
      <c r="J41" s="128">
        <v>36180</v>
      </c>
      <c r="K41" s="128">
        <v>36180</v>
      </c>
      <c r="L41" s="128">
        <v>36180</v>
      </c>
    </row>
    <row r="42" spans="1:13" ht="15.95" customHeight="1" x14ac:dyDescent="0.3">
      <c r="A42" s="645" t="s">
        <v>39</v>
      </c>
      <c r="B42" s="125"/>
      <c r="C42" s="126" t="s">
        <v>39</v>
      </c>
      <c r="D42" s="130">
        <v>38905</v>
      </c>
      <c r="E42" s="637"/>
      <c r="F42" s="128">
        <v>19266.72</v>
      </c>
      <c r="G42" s="128">
        <v>19266.72</v>
      </c>
      <c r="H42" s="128">
        <v>19266.72</v>
      </c>
      <c r="I42" s="128">
        <v>19266.72</v>
      </c>
      <c r="J42" s="128">
        <v>19266.72</v>
      </c>
      <c r="K42" s="128">
        <v>19266.72</v>
      </c>
      <c r="L42" s="128">
        <v>19266.72</v>
      </c>
    </row>
    <row r="43" spans="1:13" ht="32.1" customHeight="1" x14ac:dyDescent="0.3">
      <c r="A43" s="651" t="s">
        <v>156</v>
      </c>
      <c r="B43" s="644"/>
      <c r="C43" s="126" t="s">
        <v>21</v>
      </c>
      <c r="D43" s="638" t="s">
        <v>155</v>
      </c>
      <c r="E43" s="637"/>
      <c r="F43" s="128">
        <v>6500</v>
      </c>
      <c r="G43" s="128">
        <v>6500</v>
      </c>
      <c r="H43" s="128">
        <v>6500</v>
      </c>
      <c r="I43" s="128">
        <v>6500</v>
      </c>
      <c r="J43" s="128">
        <v>6500</v>
      </c>
      <c r="K43" s="128">
        <v>6500</v>
      </c>
      <c r="L43" s="128">
        <v>6500</v>
      </c>
    </row>
    <row r="44" spans="1:13" ht="15.95" customHeight="1" x14ac:dyDescent="0.3">
      <c r="A44" s="656" t="s">
        <v>154</v>
      </c>
      <c r="B44" s="657"/>
      <c r="C44" s="658" t="s">
        <v>30</v>
      </c>
      <c r="D44" s="659">
        <v>28297</v>
      </c>
      <c r="E44" s="660"/>
      <c r="F44" s="661">
        <v>5070</v>
      </c>
      <c r="G44" s="661">
        <v>5070</v>
      </c>
      <c r="H44" s="661">
        <v>5070</v>
      </c>
      <c r="I44" s="661">
        <v>5070</v>
      </c>
      <c r="J44" s="661">
        <v>5070</v>
      </c>
      <c r="K44" s="661">
        <v>5070</v>
      </c>
      <c r="L44" s="661">
        <v>5070</v>
      </c>
      <c r="M44" s="128"/>
    </row>
    <row r="45" spans="1:13" ht="12" customHeight="1" x14ac:dyDescent="0.3">
      <c r="A45" s="18"/>
      <c r="B45" s="22"/>
      <c r="C45" s="17"/>
      <c r="D45" s="368"/>
      <c r="E45" s="369"/>
      <c r="F45" s="370"/>
      <c r="G45" s="370"/>
      <c r="H45" s="370"/>
      <c r="I45" s="261"/>
      <c r="J45" s="261"/>
      <c r="K45" s="261"/>
      <c r="L45" s="261" t="s">
        <v>104</v>
      </c>
    </row>
    <row r="46" spans="1:13" ht="12.75" customHeight="1" x14ac:dyDescent="0.3">
      <c r="A46" s="124"/>
      <c r="B46" s="125"/>
      <c r="C46" s="126"/>
      <c r="D46" s="130"/>
      <c r="E46" s="112"/>
      <c r="F46" s="131"/>
      <c r="G46" s="131"/>
      <c r="H46" s="131"/>
      <c r="I46" s="131"/>
      <c r="J46" s="131"/>
      <c r="K46" s="131"/>
      <c r="L46" s="131"/>
    </row>
    <row r="47" spans="1:13" ht="12.75" customHeight="1" x14ac:dyDescent="0.3">
      <c r="A47" s="124"/>
      <c r="B47" s="125"/>
      <c r="C47" s="126"/>
      <c r="D47" s="130"/>
      <c r="E47" s="112"/>
      <c r="F47" s="131"/>
      <c r="G47" s="131"/>
      <c r="H47" s="131"/>
      <c r="I47" s="131"/>
      <c r="J47" s="131"/>
      <c r="K47" s="131"/>
      <c r="L47" s="131"/>
    </row>
    <row r="48" spans="1:13" ht="12.75" customHeight="1" x14ac:dyDescent="0.3">
      <c r="A48" s="124"/>
      <c r="B48" s="125"/>
      <c r="C48" s="126"/>
      <c r="D48" s="130"/>
      <c r="E48" s="112"/>
      <c r="F48" s="131"/>
      <c r="G48" s="131"/>
      <c r="H48" s="131"/>
      <c r="I48" s="131"/>
      <c r="J48" s="131"/>
      <c r="K48" s="131"/>
      <c r="L48" s="131"/>
    </row>
    <row r="49" spans="1:14" ht="12.75" customHeight="1" x14ac:dyDescent="0.3">
      <c r="A49" s="124"/>
      <c r="B49" s="125"/>
      <c r="C49" s="126"/>
      <c r="D49" s="130"/>
      <c r="E49" s="112"/>
      <c r="F49" s="131"/>
      <c r="G49" s="131"/>
      <c r="H49" s="131"/>
      <c r="I49" s="131"/>
      <c r="J49" s="131"/>
      <c r="K49" s="131"/>
      <c r="L49" s="131"/>
    </row>
    <row r="50" spans="1:14" ht="12.75" customHeight="1" x14ac:dyDescent="0.3">
      <c r="A50" s="124"/>
      <c r="B50" s="125"/>
      <c r="C50" s="126"/>
      <c r="D50" s="130"/>
      <c r="E50" s="112"/>
      <c r="F50" s="131"/>
      <c r="G50" s="131"/>
      <c r="H50" s="131"/>
      <c r="I50" s="131"/>
      <c r="J50" s="131"/>
      <c r="K50" s="131"/>
      <c r="L50" s="131"/>
    </row>
    <row r="51" spans="1:14" ht="25.7" customHeight="1" x14ac:dyDescent="0.3">
      <c r="A51" s="1102" t="s">
        <v>771</v>
      </c>
      <c r="B51" s="1102"/>
      <c r="C51" s="1102"/>
      <c r="D51" s="1102"/>
      <c r="E51" s="1102"/>
      <c r="F51" s="1102"/>
      <c r="G51" s="1102"/>
      <c r="H51" s="1102"/>
      <c r="I51" s="1102"/>
      <c r="J51" s="1102"/>
      <c r="K51" s="1102"/>
      <c r="L51" s="1102"/>
    </row>
    <row r="52" spans="1:14" ht="12.75" hidden="1" customHeight="1" x14ac:dyDescent="0.3"/>
    <row r="53" spans="1:14" ht="12.75" customHeight="1" x14ac:dyDescent="0.3">
      <c r="A53" s="124"/>
      <c r="B53" s="125"/>
      <c r="C53" s="126"/>
      <c r="D53" s="127"/>
      <c r="E53" s="128"/>
      <c r="F53" s="128"/>
      <c r="G53" s="128"/>
      <c r="H53" s="128"/>
      <c r="I53" s="129"/>
      <c r="J53" s="129"/>
      <c r="K53" s="129"/>
      <c r="L53" s="129"/>
    </row>
    <row r="54" spans="1:14" ht="22.5" customHeight="1" x14ac:dyDescent="0.3">
      <c r="A54" s="1107" t="s">
        <v>103</v>
      </c>
      <c r="B54" s="1109"/>
      <c r="C54" s="1104" t="s">
        <v>16</v>
      </c>
      <c r="D54" s="1105" t="s">
        <v>102</v>
      </c>
      <c r="E54" s="614"/>
      <c r="F54" s="614">
        <v>2014</v>
      </c>
      <c r="G54" s="614">
        <v>2015</v>
      </c>
      <c r="H54" s="1111" t="s">
        <v>101</v>
      </c>
      <c r="I54" s="1111"/>
      <c r="J54" s="1111"/>
      <c r="K54" s="1111"/>
      <c r="L54" s="1111"/>
      <c r="M54" s="321"/>
    </row>
    <row r="55" spans="1:14" ht="25.7" customHeight="1" x14ac:dyDescent="0.3">
      <c r="A55" s="1107"/>
      <c r="B55" s="1110"/>
      <c r="C55" s="1104"/>
      <c r="D55" s="1105"/>
      <c r="E55" s="614"/>
      <c r="F55" s="614"/>
      <c r="G55" s="614"/>
      <c r="H55" s="614">
        <v>2016</v>
      </c>
      <c r="I55" s="614">
        <v>2018</v>
      </c>
      <c r="J55" s="614">
        <v>2019</v>
      </c>
      <c r="K55" s="614">
        <v>2020</v>
      </c>
      <c r="L55" s="614">
        <v>2021</v>
      </c>
      <c r="M55" s="107"/>
    </row>
    <row r="56" spans="1:14" s="93" customFormat="1" ht="15.95" customHeight="1" x14ac:dyDescent="0.3">
      <c r="A56" s="662" t="s">
        <v>902</v>
      </c>
      <c r="B56" s="663"/>
      <c r="C56" s="664"/>
      <c r="D56" s="665"/>
      <c r="E56" s="666"/>
      <c r="F56" s="667">
        <v>2921997.54</v>
      </c>
      <c r="G56" s="667">
        <v>1505920.77</v>
      </c>
      <c r="H56" s="667">
        <v>1505920.77</v>
      </c>
      <c r="I56" s="667">
        <v>636717.39000000013</v>
      </c>
      <c r="J56" s="667">
        <v>625755.25000000012</v>
      </c>
      <c r="K56" s="667">
        <v>625755.25000000012</v>
      </c>
      <c r="L56" s="667">
        <v>588302.67000000004</v>
      </c>
      <c r="M56" s="480"/>
      <c r="N56" s="481"/>
    </row>
    <row r="57" spans="1:14" s="93" customFormat="1" ht="48" customHeight="1" x14ac:dyDescent="0.3">
      <c r="A57" s="668" t="s">
        <v>153</v>
      </c>
      <c r="B57" s="669"/>
      <c r="C57" s="670" t="s">
        <v>152</v>
      </c>
      <c r="D57" s="671" t="s">
        <v>151</v>
      </c>
      <c r="E57" s="626"/>
      <c r="F57" s="626">
        <v>398449.44</v>
      </c>
      <c r="G57" s="626">
        <v>398449.44</v>
      </c>
      <c r="H57" s="626">
        <v>398449.44</v>
      </c>
      <c r="I57" s="626">
        <v>398449.44</v>
      </c>
      <c r="J57" s="626">
        <v>398449.44</v>
      </c>
      <c r="K57" s="626">
        <v>398449.44</v>
      </c>
      <c r="L57" s="626">
        <v>398449.44</v>
      </c>
    </row>
    <row r="58" spans="1:14" s="93" customFormat="1" ht="15.95" customHeight="1" x14ac:dyDescent="0.3">
      <c r="A58" s="668" t="s">
        <v>150</v>
      </c>
      <c r="B58" s="669"/>
      <c r="C58" s="670" t="s">
        <v>149</v>
      </c>
      <c r="D58" s="127">
        <v>37610</v>
      </c>
      <c r="E58" s="626"/>
      <c r="F58" s="626">
        <v>67589.759999999995</v>
      </c>
      <c r="G58" s="626">
        <v>67589.759999999995</v>
      </c>
      <c r="H58" s="626">
        <v>67589.759999999995</v>
      </c>
      <c r="I58" s="626">
        <v>67589.759999999995</v>
      </c>
      <c r="J58" s="626">
        <v>67589.759999999995</v>
      </c>
      <c r="K58" s="626">
        <v>67589.759999999995</v>
      </c>
      <c r="L58" s="626">
        <v>67589.759999999995</v>
      </c>
    </row>
    <row r="59" spans="1:14" s="93" customFormat="1" ht="32.1" customHeight="1" x14ac:dyDescent="0.3">
      <c r="A59" s="668" t="s">
        <v>148</v>
      </c>
      <c r="B59" s="669"/>
      <c r="C59" s="670" t="s">
        <v>147</v>
      </c>
      <c r="D59" s="671" t="s">
        <v>146</v>
      </c>
      <c r="E59" s="672"/>
      <c r="F59" s="626">
        <v>1478311.39</v>
      </c>
      <c r="G59" s="626">
        <v>62234.62</v>
      </c>
      <c r="H59" s="626">
        <v>62234.62</v>
      </c>
      <c r="I59" s="626">
        <v>62234.62</v>
      </c>
      <c r="J59" s="626">
        <v>62234.62</v>
      </c>
      <c r="K59" s="626">
        <v>62234.62</v>
      </c>
      <c r="L59" s="626">
        <v>62234.62</v>
      </c>
    </row>
    <row r="60" spans="1:14" s="93" customFormat="1" ht="15.95" customHeight="1" x14ac:dyDescent="0.3">
      <c r="A60" s="668" t="s">
        <v>145</v>
      </c>
      <c r="B60" s="669"/>
      <c r="C60" s="670" t="s">
        <v>35</v>
      </c>
      <c r="D60" s="127">
        <v>40528</v>
      </c>
      <c r="E60" s="626"/>
      <c r="F60" s="626">
        <v>37452.58</v>
      </c>
      <c r="G60" s="626">
        <v>37452.58</v>
      </c>
      <c r="H60" s="626">
        <v>37452.58</v>
      </c>
      <c r="I60" s="626">
        <v>37452.58</v>
      </c>
      <c r="J60" s="626">
        <v>37452.58</v>
      </c>
      <c r="K60" s="626">
        <v>37452.58</v>
      </c>
      <c r="L60" s="626" t="s">
        <v>134</v>
      </c>
    </row>
    <row r="61" spans="1:14" s="93" customFormat="1" ht="15.95" customHeight="1" x14ac:dyDescent="0.3">
      <c r="A61" s="668" t="s">
        <v>144</v>
      </c>
      <c r="B61" s="669"/>
      <c r="C61" s="670" t="s">
        <v>17</v>
      </c>
      <c r="D61" s="127">
        <v>40452</v>
      </c>
      <c r="E61" s="626"/>
      <c r="F61" s="626">
        <v>36348.300000000003</v>
      </c>
      <c r="G61" s="626">
        <v>36348.300000000003</v>
      </c>
      <c r="H61" s="626">
        <v>36348.300000000003</v>
      </c>
      <c r="I61" s="626">
        <v>36348.300000000003</v>
      </c>
      <c r="J61" s="626">
        <v>36348.300000000003</v>
      </c>
      <c r="K61" s="626">
        <v>36348.300000000003</v>
      </c>
      <c r="L61" s="626">
        <v>36348.300000000003</v>
      </c>
    </row>
    <row r="62" spans="1:14" s="93" customFormat="1" ht="32.1" customHeight="1" x14ac:dyDescent="0.3">
      <c r="A62" s="673" t="s">
        <v>143</v>
      </c>
      <c r="B62" s="674"/>
      <c r="C62" s="670" t="s">
        <v>36</v>
      </c>
      <c r="D62" s="671" t="s">
        <v>142</v>
      </c>
      <c r="E62" s="626"/>
      <c r="F62" s="626">
        <v>18313.79</v>
      </c>
      <c r="G62" s="626">
        <v>18313.79</v>
      </c>
      <c r="H62" s="626">
        <v>18313.79</v>
      </c>
      <c r="I62" s="626">
        <v>18313.79</v>
      </c>
      <c r="J62" s="626">
        <v>18313.79</v>
      </c>
      <c r="K62" s="626">
        <v>18313.79</v>
      </c>
      <c r="L62" s="626">
        <v>18313.79</v>
      </c>
    </row>
    <row r="63" spans="1:14" s="93" customFormat="1" ht="15.95" customHeight="1" x14ac:dyDescent="0.3">
      <c r="A63" s="668" t="s">
        <v>141</v>
      </c>
      <c r="B63" s="669"/>
      <c r="C63" s="670" t="s">
        <v>30</v>
      </c>
      <c r="D63" s="127">
        <v>40457</v>
      </c>
      <c r="E63" s="626"/>
      <c r="F63" s="626">
        <v>10962.14</v>
      </c>
      <c r="G63" s="626">
        <v>10962.14</v>
      </c>
      <c r="H63" s="626">
        <v>10962.14</v>
      </c>
      <c r="I63" s="626">
        <v>10962.14</v>
      </c>
      <c r="J63" s="626" t="s">
        <v>140</v>
      </c>
      <c r="K63" s="626" t="s">
        <v>140</v>
      </c>
      <c r="L63" s="626" t="s">
        <v>140</v>
      </c>
    </row>
    <row r="64" spans="1:14" s="93" customFormat="1" ht="15.95" customHeight="1" x14ac:dyDescent="0.3">
      <c r="A64" s="668" t="s">
        <v>139</v>
      </c>
      <c r="B64" s="669"/>
      <c r="C64" s="670" t="s">
        <v>22</v>
      </c>
      <c r="D64" s="127">
        <v>35109</v>
      </c>
      <c r="E64" s="626"/>
      <c r="F64" s="626">
        <v>2628</v>
      </c>
      <c r="G64" s="626">
        <v>2628</v>
      </c>
      <c r="H64" s="626">
        <v>2628</v>
      </c>
      <c r="I64" s="626">
        <v>2628</v>
      </c>
      <c r="J64" s="626">
        <v>2628</v>
      </c>
      <c r="K64" s="626">
        <v>2628</v>
      </c>
      <c r="L64" s="626">
        <v>2628</v>
      </c>
    </row>
    <row r="65" spans="1:14" s="93" customFormat="1" ht="32.1" customHeight="1" x14ac:dyDescent="0.3">
      <c r="A65" s="668" t="s">
        <v>138</v>
      </c>
      <c r="B65" s="669"/>
      <c r="C65" s="670" t="s">
        <v>30</v>
      </c>
      <c r="D65" s="671" t="s">
        <v>137</v>
      </c>
      <c r="E65" s="626"/>
      <c r="F65" s="626">
        <v>2193.0100000000002</v>
      </c>
      <c r="G65" s="626">
        <v>2193.0100000000002</v>
      </c>
      <c r="H65" s="626">
        <v>2193.0100000000002</v>
      </c>
      <c r="I65" s="626">
        <v>2193.0100000000002</v>
      </c>
      <c r="J65" s="626">
        <v>2193.0100000000002</v>
      </c>
      <c r="K65" s="626">
        <v>2193.0100000000002</v>
      </c>
      <c r="L65" s="626">
        <v>2193.0100000000002</v>
      </c>
    </row>
    <row r="66" spans="1:14" s="93" customFormat="1" ht="15.95" customHeight="1" x14ac:dyDescent="0.3">
      <c r="A66" s="668" t="s">
        <v>136</v>
      </c>
      <c r="B66" s="669"/>
      <c r="C66" s="670" t="s">
        <v>30</v>
      </c>
      <c r="D66" s="127">
        <v>40464</v>
      </c>
      <c r="E66" s="626"/>
      <c r="F66" s="626">
        <v>545.75</v>
      </c>
      <c r="G66" s="626">
        <v>545.75</v>
      </c>
      <c r="H66" s="626">
        <v>545.75</v>
      </c>
      <c r="I66" s="626">
        <v>545.75</v>
      </c>
      <c r="J66" s="626">
        <v>545.75</v>
      </c>
      <c r="K66" s="626">
        <v>545.75</v>
      </c>
      <c r="L66" s="626">
        <v>545.75</v>
      </c>
    </row>
    <row r="67" spans="1:14" s="93" customFormat="1" ht="15.95" customHeight="1" x14ac:dyDescent="0.3">
      <c r="A67" s="668" t="s">
        <v>135</v>
      </c>
      <c r="B67" s="669"/>
      <c r="C67" s="670" t="s">
        <v>30</v>
      </c>
      <c r="D67" s="127">
        <v>39476</v>
      </c>
      <c r="E67" s="626"/>
      <c r="F67" s="626">
        <v>275.81</v>
      </c>
      <c r="G67" s="626">
        <v>275.81</v>
      </c>
      <c r="H67" s="626">
        <v>275.81</v>
      </c>
      <c r="I67" s="626" t="s">
        <v>134</v>
      </c>
      <c r="J67" s="626" t="s">
        <v>134</v>
      </c>
      <c r="K67" s="626" t="s">
        <v>134</v>
      </c>
      <c r="L67" s="626" t="s">
        <v>134</v>
      </c>
    </row>
    <row r="68" spans="1:14" s="93" customFormat="1" ht="15.95" customHeight="1" x14ac:dyDescent="0.3">
      <c r="A68" s="668" t="s">
        <v>133</v>
      </c>
      <c r="B68" s="669"/>
      <c r="C68" s="670" t="s">
        <v>31</v>
      </c>
      <c r="D68" s="127">
        <v>40749</v>
      </c>
      <c r="E68" s="672"/>
      <c r="F68" s="626">
        <v>868927.57</v>
      </c>
      <c r="G68" s="626">
        <v>868927.57</v>
      </c>
      <c r="H68" s="626">
        <v>868927.57</v>
      </c>
      <c r="I68" s="626" t="s">
        <v>132</v>
      </c>
      <c r="J68" s="626" t="s">
        <v>132</v>
      </c>
      <c r="K68" s="626" t="s">
        <v>132</v>
      </c>
      <c r="L68" s="626" t="s">
        <v>132</v>
      </c>
    </row>
    <row r="69" spans="1:14" s="93" customFormat="1" ht="3" customHeight="1" x14ac:dyDescent="0.3">
      <c r="A69" s="675"/>
      <c r="B69" s="669"/>
      <c r="C69" s="670"/>
      <c r="D69" s="127"/>
      <c r="E69" s="626"/>
      <c r="F69" s="626"/>
      <c r="G69" s="626"/>
      <c r="H69" s="626"/>
      <c r="I69" s="626"/>
      <c r="J69" s="626"/>
      <c r="K69" s="626"/>
      <c r="L69" s="626"/>
    </row>
    <row r="70" spans="1:14" ht="15.95" customHeight="1" x14ac:dyDescent="0.3">
      <c r="A70" s="676" t="s">
        <v>131</v>
      </c>
      <c r="B70" s="629"/>
      <c r="C70" s="677"/>
      <c r="D70" s="678"/>
      <c r="E70" s="679"/>
      <c r="F70" s="679">
        <v>2166588.44</v>
      </c>
      <c r="G70" s="679">
        <v>2166588.44</v>
      </c>
      <c r="H70" s="679">
        <v>2166588.44</v>
      </c>
      <c r="I70" s="679">
        <v>2166588.44</v>
      </c>
      <c r="J70" s="679">
        <v>2166588.44</v>
      </c>
      <c r="K70" s="679">
        <v>2166588.44</v>
      </c>
      <c r="L70" s="679">
        <v>2166588.44</v>
      </c>
      <c r="N70" s="477"/>
    </row>
    <row r="71" spans="1:14" ht="15.95" customHeight="1" x14ac:dyDescent="0.3">
      <c r="A71" s="680" t="s">
        <v>130</v>
      </c>
      <c r="B71" s="124"/>
      <c r="C71" s="133" t="s">
        <v>129</v>
      </c>
      <c r="D71" s="130">
        <v>37064</v>
      </c>
      <c r="E71" s="128"/>
      <c r="F71" s="128">
        <v>616413.41</v>
      </c>
      <c r="G71" s="128">
        <v>616413.41</v>
      </c>
      <c r="H71" s="128">
        <v>616413.41</v>
      </c>
      <c r="I71" s="128">
        <v>616413.41</v>
      </c>
      <c r="J71" s="128">
        <v>616413.41</v>
      </c>
      <c r="K71" s="128">
        <v>616413.41</v>
      </c>
      <c r="L71" s="128">
        <v>616413.41</v>
      </c>
    </row>
    <row r="72" spans="1:14" ht="15.95" customHeight="1" x14ac:dyDescent="0.3">
      <c r="A72" s="680" t="s">
        <v>128</v>
      </c>
      <c r="B72" s="124"/>
      <c r="C72" s="126" t="s">
        <v>32</v>
      </c>
      <c r="D72" s="130">
        <v>37385</v>
      </c>
      <c r="E72" s="128"/>
      <c r="F72" s="128">
        <v>402335.62</v>
      </c>
      <c r="G72" s="128">
        <v>402335.62</v>
      </c>
      <c r="H72" s="128">
        <v>402335.62</v>
      </c>
      <c r="I72" s="128">
        <v>402335.62</v>
      </c>
      <c r="J72" s="128">
        <v>402335.62</v>
      </c>
      <c r="K72" s="128">
        <v>402335.62</v>
      </c>
      <c r="L72" s="128">
        <v>402335.62</v>
      </c>
    </row>
    <row r="73" spans="1:14" ht="15.95" customHeight="1" x14ac:dyDescent="0.3">
      <c r="A73" s="680" t="s">
        <v>127</v>
      </c>
      <c r="B73" s="681"/>
      <c r="C73" s="126" t="s">
        <v>31</v>
      </c>
      <c r="D73" s="130">
        <v>41207</v>
      </c>
      <c r="E73" s="128"/>
      <c r="F73" s="128">
        <v>247887.59</v>
      </c>
      <c r="G73" s="128">
        <v>247887.59</v>
      </c>
      <c r="H73" s="128">
        <v>247887.59</v>
      </c>
      <c r="I73" s="128">
        <v>247887.59</v>
      </c>
      <c r="J73" s="128">
        <v>247887.59</v>
      </c>
      <c r="K73" s="128">
        <v>247887.59</v>
      </c>
      <c r="L73" s="128">
        <v>247887.59</v>
      </c>
    </row>
    <row r="74" spans="1:14" ht="32.1" customHeight="1" x14ac:dyDescent="0.3">
      <c r="A74" s="680" t="s">
        <v>126</v>
      </c>
      <c r="B74" s="124"/>
      <c r="C74" s="124" t="s">
        <v>125</v>
      </c>
      <c r="D74" s="638" t="s">
        <v>120</v>
      </c>
      <c r="E74" s="128"/>
      <c r="F74" s="128">
        <v>218905.63</v>
      </c>
      <c r="G74" s="128">
        <v>218905.63</v>
      </c>
      <c r="H74" s="128">
        <v>218905.63</v>
      </c>
      <c r="I74" s="128">
        <v>218905.63</v>
      </c>
      <c r="J74" s="128">
        <v>218905.63</v>
      </c>
      <c r="K74" s="128">
        <v>218905.63</v>
      </c>
      <c r="L74" s="128">
        <v>218905.63</v>
      </c>
    </row>
    <row r="75" spans="1:14" ht="15.95" customHeight="1" x14ac:dyDescent="0.3">
      <c r="A75" s="680" t="s">
        <v>124</v>
      </c>
      <c r="B75" s="124"/>
      <c r="C75" s="124" t="s">
        <v>123</v>
      </c>
      <c r="D75" s="130">
        <v>38309</v>
      </c>
      <c r="E75" s="128"/>
      <c r="F75" s="128">
        <v>202033.21</v>
      </c>
      <c r="G75" s="128">
        <v>202033.21</v>
      </c>
      <c r="H75" s="128">
        <v>202033.21</v>
      </c>
      <c r="I75" s="128">
        <v>202033.21</v>
      </c>
      <c r="J75" s="128">
        <v>202033.21</v>
      </c>
      <c r="K75" s="128">
        <v>202033.21</v>
      </c>
      <c r="L75" s="128">
        <v>202033.21</v>
      </c>
    </row>
    <row r="76" spans="1:14" ht="32.1" customHeight="1" x14ac:dyDescent="0.3">
      <c r="A76" s="680" t="s">
        <v>122</v>
      </c>
      <c r="B76" s="124"/>
      <c r="C76" s="124" t="s">
        <v>121</v>
      </c>
      <c r="D76" s="638" t="s">
        <v>120</v>
      </c>
      <c r="E76" s="128"/>
      <c r="F76" s="128">
        <v>184468.38</v>
      </c>
      <c r="G76" s="128">
        <v>184468.38</v>
      </c>
      <c r="H76" s="128">
        <v>184468.38</v>
      </c>
      <c r="I76" s="128">
        <v>184468.38</v>
      </c>
      <c r="J76" s="128">
        <v>184468.38</v>
      </c>
      <c r="K76" s="128">
        <v>184468.38</v>
      </c>
      <c r="L76" s="128">
        <v>184468.38</v>
      </c>
    </row>
    <row r="77" spans="1:14" ht="15.95" customHeight="1" x14ac:dyDescent="0.3">
      <c r="A77" s="680" t="s">
        <v>119</v>
      </c>
      <c r="B77" s="124"/>
      <c r="C77" s="133" t="s">
        <v>31</v>
      </c>
      <c r="D77" s="636">
        <v>41207</v>
      </c>
      <c r="E77" s="128"/>
      <c r="F77" s="128">
        <v>141234.46</v>
      </c>
      <c r="G77" s="128">
        <v>141234.46</v>
      </c>
      <c r="H77" s="128">
        <v>141234.46</v>
      </c>
      <c r="I77" s="128">
        <v>141234.46</v>
      </c>
      <c r="J77" s="128">
        <v>141234.46</v>
      </c>
      <c r="K77" s="128">
        <v>141234.46</v>
      </c>
      <c r="L77" s="128">
        <v>141234.46</v>
      </c>
    </row>
    <row r="78" spans="1:14" ht="15.95" customHeight="1" x14ac:dyDescent="0.3">
      <c r="A78" s="680" t="s">
        <v>118</v>
      </c>
      <c r="B78" s="124"/>
      <c r="C78" s="124" t="s">
        <v>17</v>
      </c>
      <c r="D78" s="130">
        <v>39303</v>
      </c>
      <c r="E78" s="128"/>
      <c r="F78" s="128">
        <v>94967.679999999993</v>
      </c>
      <c r="G78" s="128">
        <v>94967.679999999993</v>
      </c>
      <c r="H78" s="128">
        <v>94967.679999999993</v>
      </c>
      <c r="I78" s="128">
        <v>94967.679999999993</v>
      </c>
      <c r="J78" s="128">
        <v>94967.679999999993</v>
      </c>
      <c r="K78" s="128">
        <v>94967.679999999993</v>
      </c>
      <c r="L78" s="128">
        <v>94967.679999999993</v>
      </c>
    </row>
    <row r="79" spans="1:14" ht="15.95" customHeight="1" x14ac:dyDescent="0.3">
      <c r="A79" s="680" t="s">
        <v>117</v>
      </c>
      <c r="B79" s="124"/>
      <c r="C79" s="126" t="s">
        <v>34</v>
      </c>
      <c r="D79" s="130">
        <v>32261</v>
      </c>
      <c r="E79" s="128"/>
      <c r="F79" s="128">
        <v>34744.699999999997</v>
      </c>
      <c r="G79" s="128">
        <v>34744.699999999997</v>
      </c>
      <c r="H79" s="128">
        <v>34744.699999999997</v>
      </c>
      <c r="I79" s="128">
        <v>34744.699999999997</v>
      </c>
      <c r="J79" s="128">
        <v>34744.699999999997</v>
      </c>
      <c r="K79" s="128">
        <v>34744.699999999997</v>
      </c>
      <c r="L79" s="128">
        <v>34744.699999999997</v>
      </c>
    </row>
    <row r="80" spans="1:14" ht="15.95" customHeight="1" x14ac:dyDescent="0.3">
      <c r="A80" s="680" t="s">
        <v>116</v>
      </c>
      <c r="B80" s="124"/>
      <c r="C80" s="639" t="s">
        <v>17</v>
      </c>
      <c r="D80" s="130">
        <v>40156</v>
      </c>
      <c r="E80" s="128"/>
      <c r="F80" s="128">
        <v>23597.759999999998</v>
      </c>
      <c r="G80" s="128">
        <v>23597.759999999998</v>
      </c>
      <c r="H80" s="128">
        <v>23597.759999999998</v>
      </c>
      <c r="I80" s="128">
        <v>23597.759999999998</v>
      </c>
      <c r="J80" s="128">
        <v>23597.759999999998</v>
      </c>
      <c r="K80" s="128">
        <v>23597.759999999998</v>
      </c>
      <c r="L80" s="128">
        <v>23597.759999999998</v>
      </c>
    </row>
    <row r="81" spans="1:14" ht="3" customHeight="1" x14ac:dyDescent="0.3">
      <c r="A81" s="682"/>
      <c r="B81" s="125"/>
      <c r="C81" s="634"/>
      <c r="D81" s="683"/>
      <c r="E81" s="134"/>
      <c r="F81" s="134"/>
      <c r="G81" s="134"/>
      <c r="H81" s="134"/>
      <c r="I81" s="134"/>
      <c r="J81" s="134"/>
      <c r="K81" s="134"/>
      <c r="L81" s="134"/>
    </row>
    <row r="82" spans="1:14" ht="15.95" customHeight="1" x14ac:dyDescent="0.3">
      <c r="A82" s="684" t="s">
        <v>115</v>
      </c>
      <c r="B82" s="681"/>
      <c r="C82" s="685"/>
      <c r="D82" s="686"/>
      <c r="E82" s="257"/>
      <c r="F82" s="257">
        <v>711818.48</v>
      </c>
      <c r="G82" s="257">
        <v>711818.48</v>
      </c>
      <c r="H82" s="257">
        <v>711818.48</v>
      </c>
      <c r="I82" s="257">
        <v>711818.48</v>
      </c>
      <c r="J82" s="257">
        <v>711818.48</v>
      </c>
      <c r="K82" s="257">
        <v>711818.48</v>
      </c>
      <c r="L82" s="257">
        <v>711818.48</v>
      </c>
      <c r="N82" s="477"/>
    </row>
    <row r="83" spans="1:14" ht="15.95" customHeight="1" x14ac:dyDescent="0.3">
      <c r="A83" s="680" t="s">
        <v>114</v>
      </c>
      <c r="B83" s="124"/>
      <c r="C83" s="126" t="s">
        <v>20</v>
      </c>
      <c r="D83" s="130">
        <v>38495</v>
      </c>
      <c r="E83" s="687"/>
      <c r="F83" s="687">
        <v>490550</v>
      </c>
      <c r="G83" s="687">
        <v>490550</v>
      </c>
      <c r="H83" s="687">
        <v>490550</v>
      </c>
      <c r="I83" s="687">
        <v>490550</v>
      </c>
      <c r="J83" s="687">
        <v>490550</v>
      </c>
      <c r="K83" s="687">
        <v>490550</v>
      </c>
      <c r="L83" s="687">
        <v>490550</v>
      </c>
    </row>
    <row r="84" spans="1:14" ht="15.95" customHeight="1" x14ac:dyDescent="0.3">
      <c r="A84" s="680" t="s">
        <v>113</v>
      </c>
      <c r="B84" s="124"/>
      <c r="C84" s="126" t="s">
        <v>112</v>
      </c>
      <c r="D84" s="130">
        <v>37012</v>
      </c>
      <c r="E84" s="687"/>
      <c r="F84" s="687">
        <v>221268.48000000001</v>
      </c>
      <c r="G84" s="687">
        <v>221268.48000000001</v>
      </c>
      <c r="H84" s="687">
        <v>221268.48000000001</v>
      </c>
      <c r="I84" s="687">
        <v>221268.48000000001</v>
      </c>
      <c r="J84" s="687">
        <v>221268.48000000001</v>
      </c>
      <c r="K84" s="687">
        <v>221268.48000000001</v>
      </c>
      <c r="L84" s="687">
        <v>221268.48000000001</v>
      </c>
    </row>
    <row r="85" spans="1:14" ht="15.95" customHeight="1" x14ac:dyDescent="0.3">
      <c r="A85" s="688"/>
      <c r="B85" s="124"/>
      <c r="C85" s="126"/>
      <c r="D85" s="130"/>
      <c r="E85" s="687"/>
      <c r="F85" s="687"/>
      <c r="G85" s="687"/>
      <c r="H85" s="687"/>
      <c r="I85" s="687"/>
      <c r="J85" s="687"/>
      <c r="K85" s="687"/>
      <c r="L85" s="687"/>
    </row>
    <row r="86" spans="1:14" ht="15.95" customHeight="1" x14ac:dyDescent="0.3">
      <c r="A86" s="684" t="s">
        <v>111</v>
      </c>
      <c r="B86" s="681"/>
      <c r="C86" s="477"/>
      <c r="D86" s="689"/>
      <c r="E86" s="257"/>
      <c r="F86" s="257">
        <v>389986.99</v>
      </c>
      <c r="G86" s="257">
        <v>389986.99</v>
      </c>
      <c r="H86" s="257">
        <v>389986.99</v>
      </c>
      <c r="I86" s="257">
        <v>389986.99</v>
      </c>
      <c r="J86" s="257">
        <v>389986.99</v>
      </c>
      <c r="K86" s="257">
        <v>389986.99</v>
      </c>
      <c r="L86" s="257">
        <v>389986.99</v>
      </c>
      <c r="N86" s="477"/>
    </row>
    <row r="87" spans="1:14" ht="15.95" customHeight="1" x14ac:dyDescent="0.3">
      <c r="A87" s="680" t="s">
        <v>110</v>
      </c>
      <c r="B87" s="124"/>
      <c r="C87" s="126" t="s">
        <v>37</v>
      </c>
      <c r="D87" s="130">
        <v>31981</v>
      </c>
      <c r="E87" s="687"/>
      <c r="F87" s="687">
        <v>182000</v>
      </c>
      <c r="G87" s="687">
        <v>182000</v>
      </c>
      <c r="H87" s="687">
        <v>182000</v>
      </c>
      <c r="I87" s="687">
        <v>182000</v>
      </c>
      <c r="J87" s="687">
        <v>182000</v>
      </c>
      <c r="K87" s="687">
        <v>182000</v>
      </c>
      <c r="L87" s="687">
        <v>182000</v>
      </c>
    </row>
    <row r="88" spans="1:14" ht="15.95" customHeight="1" x14ac:dyDescent="0.3">
      <c r="A88" s="680" t="s">
        <v>109</v>
      </c>
      <c r="B88" s="124"/>
      <c r="C88" s="126" t="s">
        <v>34</v>
      </c>
      <c r="D88" s="130">
        <v>31856</v>
      </c>
      <c r="E88" s="687"/>
      <c r="F88" s="687">
        <v>145818</v>
      </c>
      <c r="G88" s="687">
        <v>145818</v>
      </c>
      <c r="H88" s="687">
        <v>145818</v>
      </c>
      <c r="I88" s="687">
        <v>145818</v>
      </c>
      <c r="J88" s="687">
        <v>145818</v>
      </c>
      <c r="K88" s="687">
        <v>145818</v>
      </c>
      <c r="L88" s="687">
        <v>145818</v>
      </c>
    </row>
    <row r="89" spans="1:14" ht="15.95" customHeight="1" x14ac:dyDescent="0.3">
      <c r="A89" s="680" t="s">
        <v>108</v>
      </c>
      <c r="B89" s="124"/>
      <c r="C89" s="126" t="s">
        <v>82</v>
      </c>
      <c r="D89" s="130">
        <v>31078</v>
      </c>
      <c r="E89" s="687"/>
      <c r="F89" s="687">
        <v>60000</v>
      </c>
      <c r="G89" s="687">
        <v>60000</v>
      </c>
      <c r="H89" s="687">
        <v>60000</v>
      </c>
      <c r="I89" s="687">
        <v>60000</v>
      </c>
      <c r="J89" s="687">
        <v>60000</v>
      </c>
      <c r="K89" s="687">
        <v>60000</v>
      </c>
      <c r="L89" s="687">
        <v>60000</v>
      </c>
    </row>
    <row r="90" spans="1:14" ht="15.95" customHeight="1" x14ac:dyDescent="0.3">
      <c r="A90" s="680" t="s">
        <v>107</v>
      </c>
      <c r="B90" s="124"/>
      <c r="C90" s="126" t="s">
        <v>22</v>
      </c>
      <c r="D90" s="130">
        <v>31947</v>
      </c>
      <c r="E90" s="687"/>
      <c r="F90" s="687">
        <v>2078.38</v>
      </c>
      <c r="G90" s="687">
        <v>2078.38</v>
      </c>
      <c r="H90" s="687">
        <v>2078.38</v>
      </c>
      <c r="I90" s="687">
        <v>2078.38</v>
      </c>
      <c r="J90" s="687">
        <v>2078.38</v>
      </c>
      <c r="K90" s="687">
        <v>2078.38</v>
      </c>
      <c r="L90" s="687">
        <v>2078.38</v>
      </c>
    </row>
    <row r="91" spans="1:14" ht="15.95" customHeight="1" x14ac:dyDescent="0.3">
      <c r="A91" s="680" t="s">
        <v>106</v>
      </c>
      <c r="B91" s="124"/>
      <c r="C91" s="126" t="s">
        <v>28</v>
      </c>
      <c r="D91" s="130">
        <v>30196</v>
      </c>
      <c r="E91" s="687"/>
      <c r="F91" s="687">
        <v>72.5</v>
      </c>
      <c r="G91" s="687">
        <v>72.5</v>
      </c>
      <c r="H91" s="687">
        <v>72.5</v>
      </c>
      <c r="I91" s="687">
        <v>72.5</v>
      </c>
      <c r="J91" s="687">
        <v>72.5</v>
      </c>
      <c r="K91" s="687">
        <v>72.5</v>
      </c>
      <c r="L91" s="687">
        <v>72.5</v>
      </c>
    </row>
    <row r="92" spans="1:14" ht="15.95" customHeight="1" x14ac:dyDescent="0.3">
      <c r="A92" s="690" t="s">
        <v>105</v>
      </c>
      <c r="B92" s="135"/>
      <c r="C92" s="126" t="s">
        <v>30</v>
      </c>
      <c r="D92" s="691">
        <v>29360</v>
      </c>
      <c r="E92" s="134"/>
      <c r="F92" s="128">
        <v>18.11</v>
      </c>
      <c r="G92" s="128">
        <v>18.11</v>
      </c>
      <c r="H92" s="128">
        <v>18.11</v>
      </c>
      <c r="I92" s="128">
        <v>18.11</v>
      </c>
      <c r="J92" s="128">
        <v>18.11</v>
      </c>
      <c r="K92" s="128">
        <v>18.11</v>
      </c>
      <c r="L92" s="128">
        <v>18.11</v>
      </c>
    </row>
    <row r="93" spans="1:14" ht="3" customHeight="1" x14ac:dyDescent="0.3">
      <c r="A93" s="692"/>
      <c r="B93" s="693"/>
      <c r="C93" s="658"/>
      <c r="D93" s="694"/>
      <c r="E93" s="695"/>
      <c r="F93" s="661"/>
      <c r="G93" s="661"/>
      <c r="H93" s="661"/>
      <c r="I93" s="661"/>
      <c r="J93" s="661"/>
      <c r="K93" s="661"/>
      <c r="L93" s="661"/>
      <c r="M93" s="128"/>
    </row>
    <row r="94" spans="1:14" ht="12" customHeight="1" x14ac:dyDescent="0.3">
      <c r="A94" s="371"/>
      <c r="B94" s="373"/>
      <c r="C94" s="374"/>
      <c r="D94" s="375"/>
      <c r="E94" s="372"/>
      <c r="F94" s="372"/>
      <c r="G94" s="372"/>
      <c r="H94" s="372"/>
      <c r="I94" s="261"/>
      <c r="J94" s="261"/>
      <c r="K94" s="261"/>
      <c r="L94" s="261" t="s">
        <v>104</v>
      </c>
    </row>
    <row r="95" spans="1:14" ht="12.75" customHeight="1" x14ac:dyDescent="0.3">
      <c r="A95" s="133"/>
      <c r="B95" s="135"/>
      <c r="C95" s="136"/>
      <c r="D95" s="137"/>
      <c r="E95" s="134"/>
      <c r="F95" s="134"/>
      <c r="G95" s="134"/>
      <c r="H95" s="134"/>
      <c r="I95" s="101"/>
      <c r="J95" s="101"/>
      <c r="K95" s="101"/>
      <c r="L95" s="101"/>
    </row>
    <row r="96" spans="1:14" ht="12.75" customHeight="1" x14ac:dyDescent="0.3">
      <c r="A96" s="133"/>
      <c r="B96" s="135"/>
      <c r="C96" s="136"/>
      <c r="D96" s="137"/>
      <c r="E96" s="134"/>
      <c r="F96" s="134"/>
      <c r="G96" s="134"/>
      <c r="H96" s="134"/>
      <c r="I96" s="134"/>
      <c r="J96" s="134"/>
      <c r="K96" s="134"/>
      <c r="L96" s="134"/>
    </row>
    <row r="97" spans="1:12" ht="12.75" customHeight="1" x14ac:dyDescent="0.3">
      <c r="A97" s="133"/>
      <c r="B97" s="135"/>
      <c r="C97" s="136"/>
      <c r="D97" s="137"/>
      <c r="E97" s="134"/>
      <c r="F97" s="134"/>
      <c r="G97" s="134"/>
      <c r="H97" s="134"/>
      <c r="I97" s="101"/>
      <c r="J97" s="101"/>
      <c r="K97" s="101"/>
      <c r="L97" s="101"/>
    </row>
    <row r="98" spans="1:12" ht="12.75" customHeight="1" x14ac:dyDescent="0.3">
      <c r="A98" s="133"/>
      <c r="B98" s="135"/>
      <c r="C98" s="136"/>
      <c r="D98" s="137"/>
      <c r="E98" s="134"/>
      <c r="F98" s="134"/>
      <c r="G98" s="134"/>
      <c r="H98" s="134"/>
      <c r="I98" s="101"/>
      <c r="J98" s="101"/>
      <c r="K98" s="101"/>
      <c r="L98" s="101"/>
    </row>
    <row r="99" spans="1:12" ht="12.75" customHeight="1" x14ac:dyDescent="0.3">
      <c r="A99" s="133"/>
      <c r="B99" s="135"/>
      <c r="C99" s="136"/>
      <c r="D99" s="137"/>
      <c r="E99" s="134"/>
      <c r="F99" s="134"/>
      <c r="G99" s="134"/>
      <c r="H99" s="134"/>
      <c r="I99" s="101"/>
      <c r="J99" s="101"/>
      <c r="K99" s="101"/>
      <c r="L99" s="101"/>
    </row>
    <row r="100" spans="1:12" ht="12.75" customHeight="1" x14ac:dyDescent="0.3">
      <c r="A100" s="133"/>
      <c r="B100" s="135"/>
      <c r="C100" s="136"/>
      <c r="D100" s="137"/>
      <c r="E100" s="134"/>
      <c r="F100" s="134"/>
      <c r="G100" s="134"/>
      <c r="H100" s="134"/>
      <c r="I100" s="101"/>
      <c r="J100" s="101"/>
      <c r="K100" s="101"/>
      <c r="L100" s="101"/>
    </row>
    <row r="101" spans="1:12" ht="12.75" customHeight="1" x14ac:dyDescent="0.3">
      <c r="A101" s="133"/>
      <c r="B101" s="135"/>
      <c r="C101" s="136"/>
      <c r="D101" s="137"/>
      <c r="E101" s="134"/>
      <c r="F101" s="134"/>
      <c r="G101" s="134"/>
      <c r="H101" s="134"/>
      <c r="I101" s="101"/>
      <c r="J101" s="101"/>
      <c r="K101" s="101"/>
      <c r="L101" s="101"/>
    </row>
    <row r="102" spans="1:12" ht="12.75" customHeight="1" x14ac:dyDescent="0.3">
      <c r="A102" s="133"/>
      <c r="B102" s="135"/>
      <c r="C102" s="136"/>
      <c r="D102" s="137"/>
      <c r="E102" s="134"/>
      <c r="F102" s="134"/>
      <c r="G102" s="134"/>
      <c r="H102" s="134"/>
      <c r="I102" s="101"/>
      <c r="J102" s="101"/>
      <c r="K102" s="101"/>
      <c r="L102" s="101"/>
    </row>
    <row r="103" spans="1:12" ht="12.75" customHeight="1" x14ac:dyDescent="0.3">
      <c r="A103" s="133"/>
      <c r="B103" s="135"/>
      <c r="C103" s="136"/>
      <c r="D103" s="137"/>
      <c r="E103" s="134"/>
      <c r="F103" s="134"/>
      <c r="G103" s="134"/>
      <c r="H103" s="134"/>
      <c r="I103" s="101"/>
      <c r="J103" s="101"/>
      <c r="K103" s="101"/>
      <c r="L103" s="101"/>
    </row>
    <row r="104" spans="1:12" ht="12.75" customHeight="1" x14ac:dyDescent="0.3">
      <c r="A104" s="133"/>
      <c r="B104" s="135"/>
      <c r="C104" s="136"/>
      <c r="D104" s="137"/>
      <c r="E104" s="134"/>
      <c r="F104" s="134"/>
      <c r="G104" s="134"/>
      <c r="H104" s="134"/>
      <c r="I104" s="134"/>
      <c r="J104" s="134"/>
      <c r="K104" s="134"/>
      <c r="L104" s="134"/>
    </row>
    <row r="105" spans="1:12" ht="12.75" customHeight="1" x14ac:dyDescent="0.3">
      <c r="A105" s="133"/>
      <c r="B105" s="135"/>
      <c r="C105" s="136"/>
      <c r="D105" s="137"/>
      <c r="E105" s="134"/>
      <c r="F105" s="134"/>
      <c r="G105" s="134"/>
      <c r="H105" s="134"/>
      <c r="I105" s="101"/>
      <c r="J105" s="101"/>
      <c r="K105" s="101"/>
      <c r="L105" s="101"/>
    </row>
    <row r="106" spans="1:12" ht="12.75" customHeight="1" x14ac:dyDescent="0.3">
      <c r="A106" s="133"/>
      <c r="B106" s="135"/>
      <c r="C106" s="136"/>
      <c r="D106" s="137"/>
      <c r="E106" s="134"/>
      <c r="F106" s="134"/>
      <c r="G106" s="134"/>
      <c r="H106" s="134"/>
      <c r="I106" s="101"/>
      <c r="J106" s="101"/>
      <c r="K106" s="101"/>
      <c r="L106" s="101"/>
    </row>
    <row r="107" spans="1:12" ht="12.75" customHeight="1" x14ac:dyDescent="0.3">
      <c r="A107" s="133"/>
      <c r="B107" s="135"/>
      <c r="C107" s="136"/>
      <c r="D107" s="137"/>
      <c r="E107" s="134"/>
      <c r="F107" s="134"/>
      <c r="G107" s="134"/>
      <c r="H107" s="134"/>
      <c r="I107" s="101"/>
      <c r="J107" s="101"/>
      <c r="K107" s="101"/>
      <c r="L107" s="101"/>
    </row>
    <row r="108" spans="1:12" ht="12.75" customHeight="1" x14ac:dyDescent="0.3">
      <c r="A108" s="133"/>
      <c r="B108" s="135"/>
      <c r="C108" s="136"/>
      <c r="D108" s="137"/>
      <c r="E108" s="134"/>
      <c r="F108" s="134"/>
      <c r="G108" s="134"/>
      <c r="H108" s="134"/>
      <c r="I108" s="101"/>
      <c r="J108" s="101"/>
      <c r="K108" s="101"/>
      <c r="L108" s="101"/>
    </row>
    <row r="109" spans="1:12" ht="25.7" customHeight="1" x14ac:dyDescent="0.3">
      <c r="A109" s="1102" t="s">
        <v>771</v>
      </c>
      <c r="B109" s="1102"/>
      <c r="C109" s="1102"/>
      <c r="D109" s="1102"/>
      <c r="E109" s="1102"/>
      <c r="F109" s="1102"/>
      <c r="G109" s="1102"/>
      <c r="H109" s="1102"/>
      <c r="I109" s="1102"/>
      <c r="J109" s="1102"/>
      <c r="K109" s="1102"/>
      <c r="L109" s="1102"/>
    </row>
    <row r="110" spans="1:12" ht="12.75" customHeight="1" x14ac:dyDescent="0.3">
      <c r="A110" s="1108" t="s">
        <v>49</v>
      </c>
      <c r="B110" s="1108"/>
      <c r="C110" s="1108"/>
      <c r="D110" s="1108"/>
      <c r="E110" s="1108"/>
      <c r="F110" s="1108"/>
      <c r="G110" s="1108"/>
      <c r="H110" s="1108"/>
      <c r="I110" s="1108"/>
      <c r="J110" s="1108"/>
      <c r="K110" s="1108"/>
      <c r="L110" s="1108"/>
    </row>
    <row r="112" spans="1:12" s="15" customFormat="1" ht="15.95" customHeight="1" x14ac:dyDescent="0.25">
      <c r="A112" s="18"/>
      <c r="B112" s="22"/>
      <c r="C112" s="17"/>
      <c r="D112" s="256"/>
      <c r="E112" s="16"/>
      <c r="F112" s="16"/>
      <c r="G112" s="16"/>
      <c r="H112" s="16"/>
      <c r="I112" s="20"/>
      <c r="J112" s="20"/>
      <c r="K112" s="20"/>
      <c r="L112" s="20" t="s">
        <v>50</v>
      </c>
    </row>
    <row r="113" spans="1:14" ht="22.5" customHeight="1" x14ac:dyDescent="0.3">
      <c r="A113" s="1107" t="s">
        <v>103</v>
      </c>
      <c r="B113" s="1109"/>
      <c r="C113" s="1104" t="s">
        <v>16</v>
      </c>
      <c r="D113" s="1105" t="s">
        <v>102</v>
      </c>
      <c r="E113" s="614"/>
      <c r="F113" s="614">
        <v>2014</v>
      </c>
      <c r="G113" s="614">
        <v>2015</v>
      </c>
      <c r="H113" s="1106" t="s">
        <v>101</v>
      </c>
      <c r="I113" s="1106"/>
      <c r="J113" s="1106"/>
      <c r="K113" s="1106"/>
      <c r="L113" s="1106"/>
      <c r="M113" s="321"/>
    </row>
    <row r="114" spans="1:14" ht="25.7" customHeight="1" x14ac:dyDescent="0.3">
      <c r="A114" s="1107"/>
      <c r="B114" s="1110"/>
      <c r="C114" s="1104"/>
      <c r="D114" s="1105"/>
      <c r="E114" s="614"/>
      <c r="F114" s="614"/>
      <c r="G114" s="614"/>
      <c r="H114" s="614">
        <v>2016</v>
      </c>
      <c r="I114" s="614">
        <v>2018</v>
      </c>
      <c r="J114" s="614">
        <v>2019</v>
      </c>
      <c r="K114" s="614">
        <v>2020</v>
      </c>
      <c r="L114" s="614">
        <v>2021</v>
      </c>
      <c r="M114" s="107"/>
    </row>
    <row r="115" spans="1:14" ht="15.95" customHeight="1" x14ac:dyDescent="0.3">
      <c r="A115" s="684" t="s">
        <v>100</v>
      </c>
      <c r="B115" s="681"/>
      <c r="C115" s="685"/>
      <c r="D115" s="686"/>
      <c r="E115" s="257"/>
      <c r="F115" s="257">
        <v>317366.46999999997</v>
      </c>
      <c r="G115" s="257">
        <v>317366.46999999997</v>
      </c>
      <c r="H115" s="257">
        <v>317366.46999999997</v>
      </c>
      <c r="I115" s="257">
        <v>317366.46999999997</v>
      </c>
      <c r="J115" s="257">
        <v>317366.46999999997</v>
      </c>
      <c r="K115" s="257">
        <v>317366.46999999997</v>
      </c>
      <c r="L115" s="257">
        <f>SUM(L116:L124)</f>
        <v>317366.46999999997</v>
      </c>
      <c r="N115" s="477"/>
    </row>
    <row r="116" spans="1:14" ht="15.95" customHeight="1" x14ac:dyDescent="0.3">
      <c r="A116" s="680" t="s">
        <v>99</v>
      </c>
      <c r="B116" s="124"/>
      <c r="C116" s="126" t="s">
        <v>23</v>
      </c>
      <c r="D116" s="130">
        <v>38216</v>
      </c>
      <c r="E116" s="687"/>
      <c r="F116" s="687">
        <v>215868.96</v>
      </c>
      <c r="G116" s="687">
        <v>215868.96</v>
      </c>
      <c r="H116" s="687">
        <v>215868.96</v>
      </c>
      <c r="I116" s="687">
        <v>215868.96</v>
      </c>
      <c r="J116" s="687">
        <v>215868.96</v>
      </c>
      <c r="K116" s="687">
        <v>215868.96</v>
      </c>
      <c r="L116" s="687">
        <v>215868.96</v>
      </c>
    </row>
    <row r="117" spans="1:14" ht="15.95" customHeight="1" x14ac:dyDescent="0.3">
      <c r="A117" s="680" t="s">
        <v>98</v>
      </c>
      <c r="B117" s="124"/>
      <c r="C117" s="126" t="s">
        <v>17</v>
      </c>
      <c r="D117" s="130">
        <v>40156</v>
      </c>
      <c r="E117" s="687"/>
      <c r="F117" s="687">
        <v>39215.800000000003</v>
      </c>
      <c r="G117" s="687">
        <v>39215.800000000003</v>
      </c>
      <c r="H117" s="687">
        <v>39215.800000000003</v>
      </c>
      <c r="I117" s="687">
        <v>39215.800000000003</v>
      </c>
      <c r="J117" s="687">
        <v>39215.800000000003</v>
      </c>
      <c r="K117" s="687">
        <v>39215.800000000003</v>
      </c>
      <c r="L117" s="687">
        <v>39215.800000000003</v>
      </c>
    </row>
    <row r="118" spans="1:14" ht="32.1" customHeight="1" x14ac:dyDescent="0.3">
      <c r="A118" s="680" t="s">
        <v>97</v>
      </c>
      <c r="B118" s="696"/>
      <c r="C118" s="697" t="s">
        <v>22</v>
      </c>
      <c r="D118" s="638" t="s">
        <v>96</v>
      </c>
      <c r="E118" s="133"/>
      <c r="F118" s="133">
        <v>32124.87</v>
      </c>
      <c r="G118" s="133">
        <v>32124.87</v>
      </c>
      <c r="H118" s="133">
        <v>32124.87</v>
      </c>
      <c r="I118" s="133">
        <v>32124.87</v>
      </c>
      <c r="J118" s="133">
        <v>32124.87</v>
      </c>
      <c r="K118" s="133">
        <v>32124.87</v>
      </c>
      <c r="L118" s="133">
        <v>32124.87</v>
      </c>
    </row>
    <row r="119" spans="1:14" ht="15.95" customHeight="1" x14ac:dyDescent="0.3">
      <c r="A119" s="680" t="s">
        <v>95</v>
      </c>
      <c r="B119" s="124"/>
      <c r="C119" s="126" t="s">
        <v>82</v>
      </c>
      <c r="D119" s="130">
        <v>39898</v>
      </c>
      <c r="E119" s="687"/>
      <c r="F119" s="687">
        <v>11543.74</v>
      </c>
      <c r="G119" s="687">
        <v>11543.74</v>
      </c>
      <c r="H119" s="687">
        <v>11543.74</v>
      </c>
      <c r="I119" s="687">
        <v>11543.74</v>
      </c>
      <c r="J119" s="128">
        <v>11543.74</v>
      </c>
      <c r="K119" s="128">
        <v>11543.74</v>
      </c>
      <c r="L119" s="128">
        <v>11543.74</v>
      </c>
    </row>
    <row r="120" spans="1:14" ht="15.95" customHeight="1" x14ac:dyDescent="0.3">
      <c r="A120" s="680" t="s">
        <v>94</v>
      </c>
      <c r="B120" s="124"/>
      <c r="C120" s="126" t="s">
        <v>34</v>
      </c>
      <c r="D120" s="130">
        <v>27248</v>
      </c>
      <c r="E120" s="687"/>
      <c r="F120" s="687">
        <v>6815</v>
      </c>
      <c r="G120" s="687">
        <v>6815</v>
      </c>
      <c r="H120" s="687">
        <v>6815</v>
      </c>
      <c r="I120" s="687">
        <v>6815</v>
      </c>
      <c r="J120" s="128">
        <v>6815</v>
      </c>
      <c r="K120" s="128">
        <v>6815</v>
      </c>
      <c r="L120" s="128">
        <v>6815</v>
      </c>
    </row>
    <row r="121" spans="1:14" ht="15.95" customHeight="1" x14ac:dyDescent="0.3">
      <c r="A121" s="680" t="s">
        <v>93</v>
      </c>
      <c r="B121" s="124"/>
      <c r="C121" s="126" t="s">
        <v>28</v>
      </c>
      <c r="D121" s="130">
        <v>29594</v>
      </c>
      <c r="E121" s="687"/>
      <c r="F121" s="687">
        <v>4500</v>
      </c>
      <c r="G121" s="687">
        <v>4500</v>
      </c>
      <c r="H121" s="687">
        <v>4500</v>
      </c>
      <c r="I121" s="687">
        <v>4500</v>
      </c>
      <c r="J121" s="128">
        <v>4500</v>
      </c>
      <c r="K121" s="128">
        <v>4500</v>
      </c>
      <c r="L121" s="128">
        <v>4500</v>
      </c>
    </row>
    <row r="122" spans="1:14" ht="15.95" customHeight="1" x14ac:dyDescent="0.3">
      <c r="A122" s="680" t="s">
        <v>92</v>
      </c>
      <c r="B122" s="124"/>
      <c r="C122" s="126" t="s">
        <v>19</v>
      </c>
      <c r="D122" s="130">
        <v>31981</v>
      </c>
      <c r="E122" s="687"/>
      <c r="F122" s="687">
        <v>3635.5</v>
      </c>
      <c r="G122" s="687">
        <v>3635.5</v>
      </c>
      <c r="H122" s="687">
        <v>3635.5</v>
      </c>
      <c r="I122" s="687">
        <v>3635.5</v>
      </c>
      <c r="J122" s="128">
        <v>3635.5</v>
      </c>
      <c r="K122" s="128">
        <v>3635.5</v>
      </c>
      <c r="L122" s="128">
        <v>3635.5</v>
      </c>
    </row>
    <row r="123" spans="1:14" ht="15.95" customHeight="1" x14ac:dyDescent="0.3">
      <c r="A123" s="680" t="s">
        <v>91</v>
      </c>
      <c r="B123" s="124"/>
      <c r="C123" s="126" t="s">
        <v>39</v>
      </c>
      <c r="D123" s="130">
        <v>32204</v>
      </c>
      <c r="E123" s="687"/>
      <c r="F123" s="687">
        <v>2972</v>
      </c>
      <c r="G123" s="687">
        <v>2972</v>
      </c>
      <c r="H123" s="687">
        <v>2972</v>
      </c>
      <c r="I123" s="687">
        <v>2972</v>
      </c>
      <c r="J123" s="128">
        <v>2972</v>
      </c>
      <c r="K123" s="128">
        <v>2972</v>
      </c>
      <c r="L123" s="128">
        <v>2972</v>
      </c>
    </row>
    <row r="124" spans="1:14" ht="15.95" customHeight="1" x14ac:dyDescent="0.3">
      <c r="A124" s="680" t="s">
        <v>90</v>
      </c>
      <c r="B124" s="124"/>
      <c r="C124" s="126" t="s">
        <v>20</v>
      </c>
      <c r="D124" s="130">
        <v>30736</v>
      </c>
      <c r="E124" s="687"/>
      <c r="F124" s="687">
        <v>690.6</v>
      </c>
      <c r="G124" s="687">
        <v>690.6</v>
      </c>
      <c r="H124" s="687">
        <v>690.6</v>
      </c>
      <c r="I124" s="687">
        <v>690.6</v>
      </c>
      <c r="J124" s="128">
        <v>690.6</v>
      </c>
      <c r="K124" s="128">
        <v>690.6</v>
      </c>
      <c r="L124" s="128">
        <v>690.6</v>
      </c>
    </row>
    <row r="125" spans="1:14" ht="3" customHeight="1" x14ac:dyDescent="0.3">
      <c r="A125" s="688"/>
      <c r="B125" s="124"/>
      <c r="C125" s="126"/>
      <c r="D125" s="130"/>
      <c r="E125" s="687"/>
      <c r="F125" s="687"/>
      <c r="G125" s="687"/>
      <c r="H125" s="687"/>
      <c r="I125" s="687"/>
      <c r="J125" s="687"/>
      <c r="K125" s="687"/>
      <c r="L125" s="687"/>
    </row>
    <row r="126" spans="1:14" ht="15.95" customHeight="1" x14ac:dyDescent="0.3">
      <c r="A126" s="684" t="s">
        <v>89</v>
      </c>
      <c r="B126" s="681"/>
      <c r="C126" s="685"/>
      <c r="D126" s="686"/>
      <c r="E126" s="257"/>
      <c r="F126" s="257">
        <v>124735</v>
      </c>
      <c r="G126" s="257">
        <v>124735</v>
      </c>
      <c r="H126" s="257">
        <v>124735</v>
      </c>
      <c r="I126" s="257">
        <v>124735</v>
      </c>
      <c r="J126" s="129">
        <v>124735</v>
      </c>
      <c r="K126" s="129">
        <v>124735</v>
      </c>
      <c r="L126" s="129">
        <v>124735</v>
      </c>
      <c r="N126" s="477"/>
    </row>
    <row r="127" spans="1:14" ht="15.95" customHeight="1" x14ac:dyDescent="0.3">
      <c r="A127" s="680" t="s">
        <v>88</v>
      </c>
      <c r="B127" s="124"/>
      <c r="C127" s="126" t="s">
        <v>35</v>
      </c>
      <c r="D127" s="130">
        <v>27576</v>
      </c>
      <c r="E127" s="687"/>
      <c r="F127" s="687">
        <v>65000</v>
      </c>
      <c r="G127" s="687">
        <v>65000</v>
      </c>
      <c r="H127" s="687">
        <v>65000</v>
      </c>
      <c r="I127" s="687">
        <v>65000</v>
      </c>
      <c r="J127" s="128">
        <v>65000</v>
      </c>
      <c r="K127" s="128">
        <v>65000</v>
      </c>
      <c r="L127" s="128">
        <v>65000</v>
      </c>
    </row>
    <row r="128" spans="1:14" ht="15.95" customHeight="1" x14ac:dyDescent="0.3">
      <c r="A128" s="680" t="s">
        <v>87</v>
      </c>
      <c r="B128" s="124"/>
      <c r="C128" s="126" t="s">
        <v>22</v>
      </c>
      <c r="D128" s="130">
        <v>28237</v>
      </c>
      <c r="E128" s="687"/>
      <c r="F128" s="687">
        <v>59735</v>
      </c>
      <c r="G128" s="687">
        <v>59735</v>
      </c>
      <c r="H128" s="687">
        <v>59735</v>
      </c>
      <c r="I128" s="687">
        <v>59735</v>
      </c>
      <c r="J128" s="128">
        <v>59735</v>
      </c>
      <c r="K128" s="128">
        <v>59735</v>
      </c>
      <c r="L128" s="128">
        <v>59735</v>
      </c>
    </row>
    <row r="129" spans="1:14" ht="3" customHeight="1" x14ac:dyDescent="0.3">
      <c r="A129" s="688"/>
      <c r="B129" s="124"/>
      <c r="C129" s="126"/>
      <c r="D129" s="130"/>
      <c r="E129" s="687"/>
      <c r="F129" s="687"/>
      <c r="G129" s="687"/>
      <c r="H129" s="687"/>
      <c r="I129" s="687"/>
      <c r="J129" s="687"/>
      <c r="K129" s="687"/>
      <c r="L129" s="687"/>
    </row>
    <row r="130" spans="1:14" ht="15.95" customHeight="1" x14ac:dyDescent="0.3">
      <c r="A130" s="684" t="s">
        <v>86</v>
      </c>
      <c r="B130" s="681"/>
      <c r="C130" s="685"/>
      <c r="D130" s="686"/>
      <c r="E130" s="257"/>
      <c r="F130" s="257">
        <v>41279.379999999997</v>
      </c>
      <c r="G130" s="257">
        <v>41279.379999999997</v>
      </c>
      <c r="H130" s="257">
        <v>41279.379999999997</v>
      </c>
      <c r="I130" s="257">
        <v>41279.379999999997</v>
      </c>
      <c r="J130" s="129">
        <v>41279.379999999997</v>
      </c>
      <c r="K130" s="129">
        <v>41279.379999999997</v>
      </c>
      <c r="L130" s="129">
        <v>41279.379999999997</v>
      </c>
      <c r="N130" s="477"/>
    </row>
    <row r="131" spans="1:14" ht="15.95" customHeight="1" x14ac:dyDescent="0.3">
      <c r="A131" s="698" t="s">
        <v>85</v>
      </c>
      <c r="B131" s="126"/>
      <c r="C131" s="126" t="s">
        <v>23</v>
      </c>
      <c r="D131" s="130">
        <v>29594</v>
      </c>
      <c r="E131" s="687"/>
      <c r="F131" s="687">
        <v>32592</v>
      </c>
      <c r="G131" s="687">
        <v>32592</v>
      </c>
      <c r="H131" s="687">
        <v>32592</v>
      </c>
      <c r="I131" s="128">
        <v>32592</v>
      </c>
      <c r="J131" s="128">
        <v>32592</v>
      </c>
      <c r="K131" s="128">
        <v>32592</v>
      </c>
      <c r="L131" s="128">
        <v>32592</v>
      </c>
    </row>
    <row r="132" spans="1:14" ht="15.95" customHeight="1" x14ac:dyDescent="0.3">
      <c r="A132" s="698" t="s">
        <v>84</v>
      </c>
      <c r="B132" s="126"/>
      <c r="C132" s="126" t="s">
        <v>29</v>
      </c>
      <c r="D132" s="130">
        <v>37043</v>
      </c>
      <c r="E132" s="687"/>
      <c r="F132" s="687">
        <v>5887.38</v>
      </c>
      <c r="G132" s="687">
        <v>5887.38</v>
      </c>
      <c r="H132" s="687">
        <v>5887.38</v>
      </c>
      <c r="I132" s="128">
        <v>5887.38</v>
      </c>
      <c r="J132" s="128">
        <v>5887.38</v>
      </c>
      <c r="K132" s="128">
        <v>5887.38</v>
      </c>
      <c r="L132" s="128">
        <v>5887.38</v>
      </c>
    </row>
    <row r="133" spans="1:14" ht="15.95" customHeight="1" x14ac:dyDescent="0.3">
      <c r="A133" s="698" t="s">
        <v>83</v>
      </c>
      <c r="B133" s="126"/>
      <c r="C133" s="126" t="s">
        <v>82</v>
      </c>
      <c r="D133" s="130">
        <v>27248</v>
      </c>
      <c r="E133" s="687"/>
      <c r="F133" s="687">
        <v>2500</v>
      </c>
      <c r="G133" s="687">
        <v>2500</v>
      </c>
      <c r="H133" s="687">
        <v>2500</v>
      </c>
      <c r="I133" s="128">
        <v>2500</v>
      </c>
      <c r="J133" s="128">
        <v>2500</v>
      </c>
      <c r="K133" s="128">
        <v>2500</v>
      </c>
      <c r="L133" s="128">
        <v>2500</v>
      </c>
    </row>
    <row r="134" spans="1:14" ht="15.95" customHeight="1" x14ac:dyDescent="0.3">
      <c r="A134" s="698" t="s">
        <v>81</v>
      </c>
      <c r="B134" s="126"/>
      <c r="C134" s="126" t="s">
        <v>21</v>
      </c>
      <c r="D134" s="130">
        <v>29447</v>
      </c>
      <c r="E134" s="687"/>
      <c r="F134" s="687">
        <v>300</v>
      </c>
      <c r="G134" s="687">
        <v>300</v>
      </c>
      <c r="H134" s="687">
        <v>300</v>
      </c>
      <c r="I134" s="128">
        <v>300</v>
      </c>
      <c r="J134" s="128">
        <v>300</v>
      </c>
      <c r="K134" s="128">
        <v>300</v>
      </c>
      <c r="L134" s="128">
        <v>300</v>
      </c>
    </row>
    <row r="135" spans="1:14" ht="3" customHeight="1" x14ac:dyDescent="0.3">
      <c r="A135" s="699"/>
      <c r="B135" s="126"/>
      <c r="C135" s="126"/>
      <c r="D135" s="130"/>
      <c r="E135" s="687"/>
      <c r="F135" s="687"/>
      <c r="G135" s="687"/>
      <c r="H135" s="687"/>
      <c r="I135" s="687"/>
      <c r="J135" s="687"/>
      <c r="K135" s="687"/>
      <c r="L135" s="687"/>
    </row>
    <row r="136" spans="1:14" ht="15.95" customHeight="1" x14ac:dyDescent="0.3">
      <c r="A136" s="684" t="s">
        <v>80</v>
      </c>
      <c r="B136" s="681"/>
      <c r="C136" s="700"/>
      <c r="D136" s="686"/>
      <c r="E136" s="257"/>
      <c r="F136" s="257">
        <v>20775.11</v>
      </c>
      <c r="G136" s="257">
        <v>20775.11</v>
      </c>
      <c r="H136" s="257">
        <v>20775.11</v>
      </c>
      <c r="I136" s="129">
        <v>20775.11</v>
      </c>
      <c r="J136" s="257">
        <v>20775.11</v>
      </c>
      <c r="K136" s="257">
        <v>20775.11</v>
      </c>
      <c r="L136" s="257">
        <v>20775.11</v>
      </c>
      <c r="N136" s="477"/>
    </row>
    <row r="137" spans="1:14" s="71" customFormat="1" ht="15.95" customHeight="1" x14ac:dyDescent="0.25">
      <c r="A137" s="690" t="s">
        <v>79</v>
      </c>
      <c r="B137" s="124"/>
      <c r="C137" s="126" t="s">
        <v>22</v>
      </c>
      <c r="D137" s="130">
        <v>40745</v>
      </c>
      <c r="E137" s="128"/>
      <c r="F137" s="128">
        <v>12183.2</v>
      </c>
      <c r="G137" s="128">
        <v>12183.2</v>
      </c>
      <c r="H137" s="128">
        <v>12183.2</v>
      </c>
      <c r="I137" s="128">
        <v>12183.2</v>
      </c>
      <c r="J137" s="128">
        <v>12183.2</v>
      </c>
      <c r="K137" s="128">
        <v>12183.2</v>
      </c>
      <c r="L137" s="128">
        <v>12183.2</v>
      </c>
    </row>
    <row r="138" spans="1:14" ht="15.95" customHeight="1" x14ac:dyDescent="0.3">
      <c r="A138" s="680" t="s">
        <v>78</v>
      </c>
      <c r="B138" s="124"/>
      <c r="C138" s="126" t="s">
        <v>29</v>
      </c>
      <c r="D138" s="130">
        <v>38905</v>
      </c>
      <c r="E138" s="687"/>
      <c r="F138" s="687">
        <v>8328.64</v>
      </c>
      <c r="G138" s="687">
        <v>8328.64</v>
      </c>
      <c r="H138" s="687">
        <v>8328.64</v>
      </c>
      <c r="I138" s="128">
        <v>8328.64</v>
      </c>
      <c r="J138" s="128">
        <v>8328.64</v>
      </c>
      <c r="K138" s="128">
        <v>8328.64</v>
      </c>
      <c r="L138" s="128">
        <v>8328.64</v>
      </c>
    </row>
    <row r="139" spans="1:14" ht="15.95" customHeight="1" x14ac:dyDescent="0.3">
      <c r="A139" s="680" t="s">
        <v>77</v>
      </c>
      <c r="B139" s="124"/>
      <c r="C139" s="126" t="s">
        <v>30</v>
      </c>
      <c r="D139" s="130">
        <v>38960</v>
      </c>
      <c r="E139" s="687"/>
      <c r="F139" s="687">
        <v>263.27</v>
      </c>
      <c r="G139" s="687">
        <v>263.27</v>
      </c>
      <c r="H139" s="687">
        <v>263.27</v>
      </c>
      <c r="I139" s="128">
        <v>263.27</v>
      </c>
      <c r="J139" s="128">
        <v>263.27</v>
      </c>
      <c r="K139" s="128">
        <v>263.27</v>
      </c>
      <c r="L139" s="128">
        <v>263.27</v>
      </c>
    </row>
    <row r="140" spans="1:14" ht="1.9" customHeight="1" x14ac:dyDescent="0.3">
      <c r="A140" s="376"/>
      <c r="B140" s="377"/>
      <c r="C140" s="378"/>
      <c r="D140" s="379"/>
      <c r="E140" s="380"/>
      <c r="F140" s="380"/>
      <c r="G140" s="380"/>
      <c r="H140" s="380"/>
      <c r="I140" s="380"/>
      <c r="J140" s="380"/>
      <c r="K140" s="380"/>
      <c r="L140" s="380"/>
      <c r="M140" s="257"/>
    </row>
    <row r="141" spans="1:14" s="259" customFormat="1" ht="12" customHeight="1" x14ac:dyDescent="0.25">
      <c r="A141" s="1100" t="s">
        <v>730</v>
      </c>
      <c r="B141" s="1101"/>
      <c r="C141" s="1101"/>
      <c r="D141" s="1101"/>
      <c r="E141" s="1101"/>
      <c r="F141" s="1101"/>
      <c r="G141" s="1101"/>
      <c r="H141" s="1101"/>
      <c r="I141" s="1101"/>
      <c r="J141" s="1101"/>
      <c r="K141" s="1101"/>
      <c r="L141" s="1101"/>
    </row>
    <row r="142" spans="1:14" s="259" customFormat="1" ht="12" customHeight="1" x14ac:dyDescent="0.25">
      <c r="A142" s="1100" t="s">
        <v>731</v>
      </c>
      <c r="B142" s="1101"/>
      <c r="C142" s="1101"/>
      <c r="D142" s="1101"/>
      <c r="E142" s="1101"/>
      <c r="F142" s="1101"/>
      <c r="G142" s="1101"/>
      <c r="H142" s="1101"/>
      <c r="I142" s="1101"/>
      <c r="J142" s="1101"/>
      <c r="K142" s="1101"/>
      <c r="L142" s="1101"/>
    </row>
    <row r="143" spans="1:14" s="259" customFormat="1" ht="12" customHeight="1" x14ac:dyDescent="0.25">
      <c r="A143" s="1100" t="s">
        <v>732</v>
      </c>
      <c r="B143" s="1101"/>
      <c r="C143" s="1101"/>
      <c r="D143" s="1101"/>
      <c r="E143" s="1101"/>
      <c r="F143" s="1101"/>
      <c r="G143" s="1101"/>
      <c r="H143" s="1101"/>
      <c r="I143" s="1101"/>
      <c r="J143" s="1101"/>
      <c r="K143" s="1101"/>
      <c r="L143" s="1101"/>
    </row>
    <row r="144" spans="1:14" s="259" customFormat="1" ht="12" customHeight="1" x14ac:dyDescent="0.25">
      <c r="A144" s="1100" t="s">
        <v>835</v>
      </c>
      <c r="B144" s="1101"/>
      <c r="C144" s="1101"/>
      <c r="D144" s="1101"/>
      <c r="E144" s="1101"/>
      <c r="F144" s="1101"/>
      <c r="G144" s="1101"/>
      <c r="H144" s="1101"/>
      <c r="I144" s="1101"/>
      <c r="J144" s="1101"/>
      <c r="K144" s="1101"/>
      <c r="L144" s="1101"/>
    </row>
    <row r="145" spans="1:12" s="259" customFormat="1" ht="12" customHeight="1" x14ac:dyDescent="0.25">
      <c r="A145" s="21" t="s">
        <v>76</v>
      </c>
      <c r="B145" s="260"/>
      <c r="C145" s="260"/>
      <c r="D145" s="260"/>
      <c r="E145" s="260"/>
      <c r="F145" s="260"/>
      <c r="G145" s="260"/>
      <c r="H145" s="260"/>
      <c r="I145" s="260"/>
      <c r="J145" s="260"/>
      <c r="K145" s="260"/>
      <c r="L145" s="260"/>
    </row>
  </sheetData>
  <sortState ref="A28:L44">
    <sortCondition descending="1" ref="L28:L44"/>
  </sortState>
  <mergeCells count="22">
    <mergeCell ref="A144:L144"/>
    <mergeCell ref="A141:L141"/>
    <mergeCell ref="A51:L51"/>
    <mergeCell ref="A54:A55"/>
    <mergeCell ref="C54:C55"/>
    <mergeCell ref="D54:D55"/>
    <mergeCell ref="A109:L109"/>
    <mergeCell ref="A110:L110"/>
    <mergeCell ref="A113:A114"/>
    <mergeCell ref="C113:C114"/>
    <mergeCell ref="D113:D114"/>
    <mergeCell ref="B54:B55"/>
    <mergeCell ref="B113:B114"/>
    <mergeCell ref="H54:L54"/>
    <mergeCell ref="H113:L113"/>
    <mergeCell ref="A142:L142"/>
    <mergeCell ref="A143:L143"/>
    <mergeCell ref="A3:L3"/>
    <mergeCell ref="A5:A6"/>
    <mergeCell ref="C5:C6"/>
    <mergeCell ref="D5:D6"/>
    <mergeCell ref="H5:L5"/>
  </mergeCells>
  <printOptions horizontalCentered="1"/>
  <pageMargins left="0.70866141732283472" right="0.51181102362204722" top="0.78740157480314965" bottom="0.35433070866141736" header="0.31496062992125984" footer="0.31496062992125984"/>
  <pageSetup paperSize="9" scale="90" orientation="portrait" r:id="rId1"/>
  <rowBreaks count="2" manualBreakCount="2">
    <brk id="48" max="11" man="1"/>
    <brk id="107"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AA54"/>
  <sheetViews>
    <sheetView showGridLines="0" zoomScaleNormal="100" zoomScaleSheetLayoutView="100" workbookViewId="0">
      <selection activeCell="A3" sqref="A3:AA40"/>
    </sheetView>
  </sheetViews>
  <sheetFormatPr baseColWidth="10" defaultRowHeight="12.75" customHeight="1" x14ac:dyDescent="0.3"/>
  <cols>
    <col min="1" max="1" width="26.7109375" style="88" customWidth="1"/>
    <col min="2" max="2" width="10.28515625" style="89" hidden="1" customWidth="1"/>
    <col min="3" max="3" width="9.28515625" style="89" hidden="1" customWidth="1"/>
    <col min="4" max="4" width="2.7109375" style="89" hidden="1" customWidth="1"/>
    <col min="5" max="5" width="10.28515625" style="89" hidden="1" customWidth="1"/>
    <col min="6" max="6" width="9.28515625" style="89" hidden="1" customWidth="1"/>
    <col min="7" max="7" width="1.28515625" style="89" hidden="1" customWidth="1"/>
    <col min="8" max="8" width="9.28515625" style="89" hidden="1" customWidth="1"/>
    <col min="9" max="9" width="10" style="89" hidden="1" customWidth="1"/>
    <col min="10" max="10" width="1.28515625" style="89" hidden="1" customWidth="1"/>
    <col min="11" max="12" width="10.7109375" style="89" hidden="1" customWidth="1"/>
    <col min="13" max="13" width="1.28515625" style="89" hidden="1" customWidth="1"/>
    <col min="14" max="14" width="9.42578125" style="89" bestFit="1" customWidth="1"/>
    <col min="15" max="15" width="9" style="89" bestFit="1" customWidth="1"/>
    <col min="16" max="16" width="1" style="88" customWidth="1"/>
    <col min="17" max="17" width="9.42578125" style="88" bestFit="1" customWidth="1"/>
    <col min="18" max="18" width="9" style="88" bestFit="1" customWidth="1"/>
    <col min="19" max="19" width="1.28515625" style="88" customWidth="1"/>
    <col min="20" max="20" width="9.42578125" style="88" bestFit="1" customWidth="1"/>
    <col min="21" max="21" width="9" style="88" bestFit="1" customWidth="1"/>
    <col min="22" max="22" width="1.28515625" style="88" customWidth="1"/>
    <col min="23" max="23" width="9.42578125" style="88" bestFit="1" customWidth="1"/>
    <col min="24" max="24" width="9" style="88" bestFit="1" customWidth="1"/>
    <col min="25" max="25" width="1" style="88" customWidth="1"/>
    <col min="26" max="26" width="9.42578125" style="88" bestFit="1" customWidth="1"/>
    <col min="27" max="27" width="9" style="88" bestFit="1" customWidth="1"/>
    <col min="28" max="249" width="11.7109375" style="88"/>
    <col min="250" max="250" width="12.28515625" style="88" customWidth="1"/>
    <col min="251" max="251" width="7" style="88" customWidth="1"/>
    <col min="252" max="252" width="5.7109375" style="88" customWidth="1"/>
    <col min="253" max="253" width="1.28515625" style="88" customWidth="1"/>
    <col min="254" max="254" width="6.7109375" style="88" customWidth="1"/>
    <col min="255" max="255" width="5.7109375" style="88" customWidth="1"/>
    <col min="256" max="256" width="1.28515625" style="88" customWidth="1"/>
    <col min="257" max="257" width="6.7109375" style="88" customWidth="1"/>
    <col min="258" max="258" width="5.7109375" style="88" customWidth="1"/>
    <col min="259" max="259" width="1.28515625" style="88" customWidth="1"/>
    <col min="260" max="260" width="6.7109375" style="88" customWidth="1"/>
    <col min="261" max="261" width="5.7109375" style="88" customWidth="1"/>
    <col min="262" max="262" width="9.28515625" style="88" customWidth="1"/>
    <col min="263" max="263" width="14.28515625" style="88" bestFit="1" customWidth="1"/>
    <col min="264" max="505" width="11.7109375" style="88"/>
    <col min="506" max="506" width="12.28515625" style="88" customWidth="1"/>
    <col min="507" max="507" width="7" style="88" customWidth="1"/>
    <col min="508" max="508" width="5.7109375" style="88" customWidth="1"/>
    <col min="509" max="509" width="1.28515625" style="88" customWidth="1"/>
    <col min="510" max="510" width="6.7109375" style="88" customWidth="1"/>
    <col min="511" max="511" width="5.7109375" style="88" customWidth="1"/>
    <col min="512" max="512" width="1.28515625" style="88" customWidth="1"/>
    <col min="513" max="513" width="6.7109375" style="88" customWidth="1"/>
    <col min="514" max="514" width="5.7109375" style="88" customWidth="1"/>
    <col min="515" max="515" width="1.28515625" style="88" customWidth="1"/>
    <col min="516" max="516" width="6.7109375" style="88" customWidth="1"/>
    <col min="517" max="517" width="5.7109375" style="88" customWidth="1"/>
    <col min="518" max="518" width="9.28515625" style="88" customWidth="1"/>
    <col min="519" max="519" width="14.28515625" style="88" bestFit="1" customWidth="1"/>
    <col min="520" max="761" width="11.7109375" style="88"/>
    <col min="762" max="762" width="12.28515625" style="88" customWidth="1"/>
    <col min="763" max="763" width="7" style="88" customWidth="1"/>
    <col min="764" max="764" width="5.7109375" style="88" customWidth="1"/>
    <col min="765" max="765" width="1.28515625" style="88" customWidth="1"/>
    <col min="766" max="766" width="6.7109375" style="88" customWidth="1"/>
    <col min="767" max="767" width="5.7109375" style="88" customWidth="1"/>
    <col min="768" max="768" width="1.28515625" style="88" customWidth="1"/>
    <col min="769" max="769" width="6.7109375" style="88" customWidth="1"/>
    <col min="770" max="770" width="5.7109375" style="88" customWidth="1"/>
    <col min="771" max="771" width="1.28515625" style="88" customWidth="1"/>
    <col min="772" max="772" width="6.7109375" style="88" customWidth="1"/>
    <col min="773" max="773" width="5.7109375" style="88" customWidth="1"/>
    <col min="774" max="774" width="9.28515625" style="88" customWidth="1"/>
    <col min="775" max="775" width="14.28515625" style="88" bestFit="1" customWidth="1"/>
    <col min="776" max="1017" width="11.7109375" style="88"/>
    <col min="1018" max="1018" width="12.28515625" style="88" customWidth="1"/>
    <col min="1019" max="1019" width="7" style="88" customWidth="1"/>
    <col min="1020" max="1020" width="5.7109375" style="88" customWidth="1"/>
    <col min="1021" max="1021" width="1.28515625" style="88" customWidth="1"/>
    <col min="1022" max="1022" width="6.7109375" style="88" customWidth="1"/>
    <col min="1023" max="1023" width="5.7109375" style="88" customWidth="1"/>
    <col min="1024" max="1024" width="1.28515625" style="88" customWidth="1"/>
    <col min="1025" max="1025" width="6.7109375" style="88" customWidth="1"/>
    <col min="1026" max="1026" width="5.7109375" style="88" customWidth="1"/>
    <col min="1027" max="1027" width="1.28515625" style="88" customWidth="1"/>
    <col min="1028" max="1028" width="6.7109375" style="88" customWidth="1"/>
    <col min="1029" max="1029" width="5.7109375" style="88" customWidth="1"/>
    <col min="1030" max="1030" width="9.28515625" style="88" customWidth="1"/>
    <col min="1031" max="1031" width="14.28515625" style="88" bestFit="1" customWidth="1"/>
    <col min="1032" max="1273" width="11.7109375" style="88"/>
    <col min="1274" max="1274" width="12.28515625" style="88" customWidth="1"/>
    <col min="1275" max="1275" width="7" style="88" customWidth="1"/>
    <col min="1276" max="1276" width="5.7109375" style="88" customWidth="1"/>
    <col min="1277" max="1277" width="1.28515625" style="88" customWidth="1"/>
    <col min="1278" max="1278" width="6.7109375" style="88" customWidth="1"/>
    <col min="1279" max="1279" width="5.7109375" style="88" customWidth="1"/>
    <col min="1280" max="1280" width="1.28515625" style="88" customWidth="1"/>
    <col min="1281" max="1281" width="6.7109375" style="88" customWidth="1"/>
    <col min="1282" max="1282" width="5.7109375" style="88" customWidth="1"/>
    <col min="1283" max="1283" width="1.28515625" style="88" customWidth="1"/>
    <col min="1284" max="1284" width="6.7109375" style="88" customWidth="1"/>
    <col min="1285" max="1285" width="5.7109375" style="88" customWidth="1"/>
    <col min="1286" max="1286" width="9.28515625" style="88" customWidth="1"/>
    <col min="1287" max="1287" width="14.28515625" style="88" bestFit="1" customWidth="1"/>
    <col min="1288" max="1529" width="11.7109375" style="88"/>
    <col min="1530" max="1530" width="12.28515625" style="88" customWidth="1"/>
    <col min="1531" max="1531" width="7" style="88" customWidth="1"/>
    <col min="1532" max="1532" width="5.7109375" style="88" customWidth="1"/>
    <col min="1533" max="1533" width="1.28515625" style="88" customWidth="1"/>
    <col min="1534" max="1534" width="6.7109375" style="88" customWidth="1"/>
    <col min="1535" max="1535" width="5.7109375" style="88" customWidth="1"/>
    <col min="1536" max="1536" width="1.28515625" style="88" customWidth="1"/>
    <col min="1537" max="1537" width="6.7109375" style="88" customWidth="1"/>
    <col min="1538" max="1538" width="5.7109375" style="88" customWidth="1"/>
    <col min="1539" max="1539" width="1.28515625" style="88" customWidth="1"/>
    <col min="1540" max="1540" width="6.7109375" style="88" customWidth="1"/>
    <col min="1541" max="1541" width="5.7109375" style="88" customWidth="1"/>
    <col min="1542" max="1542" width="9.28515625" style="88" customWidth="1"/>
    <col min="1543" max="1543" width="14.28515625" style="88" bestFit="1" customWidth="1"/>
    <col min="1544" max="1785" width="11.7109375" style="88"/>
    <col min="1786" max="1786" width="12.28515625" style="88" customWidth="1"/>
    <col min="1787" max="1787" width="7" style="88" customWidth="1"/>
    <col min="1788" max="1788" width="5.7109375" style="88" customWidth="1"/>
    <col min="1789" max="1789" width="1.28515625" style="88" customWidth="1"/>
    <col min="1790" max="1790" width="6.7109375" style="88" customWidth="1"/>
    <col min="1791" max="1791" width="5.7109375" style="88" customWidth="1"/>
    <col min="1792" max="1792" width="1.28515625" style="88" customWidth="1"/>
    <col min="1793" max="1793" width="6.7109375" style="88" customWidth="1"/>
    <col min="1794" max="1794" width="5.7109375" style="88" customWidth="1"/>
    <col min="1795" max="1795" width="1.28515625" style="88" customWidth="1"/>
    <col min="1796" max="1796" width="6.7109375" style="88" customWidth="1"/>
    <col min="1797" max="1797" width="5.7109375" style="88" customWidth="1"/>
    <col min="1798" max="1798" width="9.28515625" style="88" customWidth="1"/>
    <col min="1799" max="1799" width="14.28515625" style="88" bestFit="1" customWidth="1"/>
    <col min="1800" max="2041" width="11.7109375" style="88"/>
    <col min="2042" max="2042" width="12.28515625" style="88" customWidth="1"/>
    <col min="2043" max="2043" width="7" style="88" customWidth="1"/>
    <col min="2044" max="2044" width="5.7109375" style="88" customWidth="1"/>
    <col min="2045" max="2045" width="1.28515625" style="88" customWidth="1"/>
    <col min="2046" max="2046" width="6.7109375" style="88" customWidth="1"/>
    <col min="2047" max="2047" width="5.7109375" style="88" customWidth="1"/>
    <col min="2048" max="2048" width="1.28515625" style="88" customWidth="1"/>
    <col min="2049" max="2049" width="6.7109375" style="88" customWidth="1"/>
    <col min="2050" max="2050" width="5.7109375" style="88" customWidth="1"/>
    <col min="2051" max="2051" width="1.28515625" style="88" customWidth="1"/>
    <col min="2052" max="2052" width="6.7109375" style="88" customWidth="1"/>
    <col min="2053" max="2053" width="5.7109375" style="88" customWidth="1"/>
    <col min="2054" max="2054" width="9.28515625" style="88" customWidth="1"/>
    <col min="2055" max="2055" width="14.28515625" style="88" bestFit="1" customWidth="1"/>
    <col min="2056" max="2297" width="11.7109375" style="88"/>
    <col min="2298" max="2298" width="12.28515625" style="88" customWidth="1"/>
    <col min="2299" max="2299" width="7" style="88" customWidth="1"/>
    <col min="2300" max="2300" width="5.7109375" style="88" customWidth="1"/>
    <col min="2301" max="2301" width="1.28515625" style="88" customWidth="1"/>
    <col min="2302" max="2302" width="6.7109375" style="88" customWidth="1"/>
    <col min="2303" max="2303" width="5.7109375" style="88" customWidth="1"/>
    <col min="2304" max="2304" width="1.28515625" style="88" customWidth="1"/>
    <col min="2305" max="2305" width="6.7109375" style="88" customWidth="1"/>
    <col min="2306" max="2306" width="5.7109375" style="88" customWidth="1"/>
    <col min="2307" max="2307" width="1.28515625" style="88" customWidth="1"/>
    <col min="2308" max="2308" width="6.7109375" style="88" customWidth="1"/>
    <col min="2309" max="2309" width="5.7109375" style="88" customWidth="1"/>
    <col min="2310" max="2310" width="9.28515625" style="88" customWidth="1"/>
    <col min="2311" max="2311" width="14.28515625" style="88" bestFit="1" customWidth="1"/>
    <col min="2312" max="2553" width="11.7109375" style="88"/>
    <col min="2554" max="2554" width="12.28515625" style="88" customWidth="1"/>
    <col min="2555" max="2555" width="7" style="88" customWidth="1"/>
    <col min="2556" max="2556" width="5.7109375" style="88" customWidth="1"/>
    <col min="2557" max="2557" width="1.28515625" style="88" customWidth="1"/>
    <col min="2558" max="2558" width="6.7109375" style="88" customWidth="1"/>
    <col min="2559" max="2559" width="5.7109375" style="88" customWidth="1"/>
    <col min="2560" max="2560" width="1.28515625" style="88" customWidth="1"/>
    <col min="2561" max="2561" width="6.7109375" style="88" customWidth="1"/>
    <col min="2562" max="2562" width="5.7109375" style="88" customWidth="1"/>
    <col min="2563" max="2563" width="1.28515625" style="88" customWidth="1"/>
    <col min="2564" max="2564" width="6.7109375" style="88" customWidth="1"/>
    <col min="2565" max="2565" width="5.7109375" style="88" customWidth="1"/>
    <col min="2566" max="2566" width="9.28515625" style="88" customWidth="1"/>
    <col min="2567" max="2567" width="14.28515625" style="88" bestFit="1" customWidth="1"/>
    <col min="2568" max="2809" width="11.7109375" style="88"/>
    <col min="2810" max="2810" width="12.28515625" style="88" customWidth="1"/>
    <col min="2811" max="2811" width="7" style="88" customWidth="1"/>
    <col min="2812" max="2812" width="5.7109375" style="88" customWidth="1"/>
    <col min="2813" max="2813" width="1.28515625" style="88" customWidth="1"/>
    <col min="2814" max="2814" width="6.7109375" style="88" customWidth="1"/>
    <col min="2815" max="2815" width="5.7109375" style="88" customWidth="1"/>
    <col min="2816" max="2816" width="1.28515625" style="88" customWidth="1"/>
    <col min="2817" max="2817" width="6.7109375" style="88" customWidth="1"/>
    <col min="2818" max="2818" width="5.7109375" style="88" customWidth="1"/>
    <col min="2819" max="2819" width="1.28515625" style="88" customWidth="1"/>
    <col min="2820" max="2820" width="6.7109375" style="88" customWidth="1"/>
    <col min="2821" max="2821" width="5.7109375" style="88" customWidth="1"/>
    <col min="2822" max="2822" width="9.28515625" style="88" customWidth="1"/>
    <col min="2823" max="2823" width="14.28515625" style="88" bestFit="1" customWidth="1"/>
    <col min="2824" max="3065" width="11.7109375" style="88"/>
    <col min="3066" max="3066" width="12.28515625" style="88" customWidth="1"/>
    <col min="3067" max="3067" width="7" style="88" customWidth="1"/>
    <col min="3068" max="3068" width="5.7109375" style="88" customWidth="1"/>
    <col min="3069" max="3069" width="1.28515625" style="88" customWidth="1"/>
    <col min="3070" max="3070" width="6.7109375" style="88" customWidth="1"/>
    <col min="3071" max="3071" width="5.7109375" style="88" customWidth="1"/>
    <col min="3072" max="3072" width="1.28515625" style="88" customWidth="1"/>
    <col min="3073" max="3073" width="6.7109375" style="88" customWidth="1"/>
    <col min="3074" max="3074" width="5.7109375" style="88" customWidth="1"/>
    <col min="3075" max="3075" width="1.28515625" style="88" customWidth="1"/>
    <col min="3076" max="3076" width="6.7109375" style="88" customWidth="1"/>
    <col min="3077" max="3077" width="5.7109375" style="88" customWidth="1"/>
    <col min="3078" max="3078" width="9.28515625" style="88" customWidth="1"/>
    <col min="3079" max="3079" width="14.28515625" style="88" bestFit="1" customWidth="1"/>
    <col min="3080" max="3321" width="11.7109375" style="88"/>
    <col min="3322" max="3322" width="12.28515625" style="88" customWidth="1"/>
    <col min="3323" max="3323" width="7" style="88" customWidth="1"/>
    <col min="3324" max="3324" width="5.7109375" style="88" customWidth="1"/>
    <col min="3325" max="3325" width="1.28515625" style="88" customWidth="1"/>
    <col min="3326" max="3326" width="6.7109375" style="88" customWidth="1"/>
    <col min="3327" max="3327" width="5.7109375" style="88" customWidth="1"/>
    <col min="3328" max="3328" width="1.28515625" style="88" customWidth="1"/>
    <col min="3329" max="3329" width="6.7109375" style="88" customWidth="1"/>
    <col min="3330" max="3330" width="5.7109375" style="88" customWidth="1"/>
    <col min="3331" max="3331" width="1.28515625" style="88" customWidth="1"/>
    <col min="3332" max="3332" width="6.7109375" style="88" customWidth="1"/>
    <col min="3333" max="3333" width="5.7109375" style="88" customWidth="1"/>
    <col min="3334" max="3334" width="9.28515625" style="88" customWidth="1"/>
    <col min="3335" max="3335" width="14.28515625" style="88" bestFit="1" customWidth="1"/>
    <col min="3336" max="3577" width="11.7109375" style="88"/>
    <col min="3578" max="3578" width="12.28515625" style="88" customWidth="1"/>
    <col min="3579" max="3579" width="7" style="88" customWidth="1"/>
    <col min="3580" max="3580" width="5.7109375" style="88" customWidth="1"/>
    <col min="3581" max="3581" width="1.28515625" style="88" customWidth="1"/>
    <col min="3582" max="3582" width="6.7109375" style="88" customWidth="1"/>
    <col min="3583" max="3583" width="5.7109375" style="88" customWidth="1"/>
    <col min="3584" max="3584" width="1.28515625" style="88" customWidth="1"/>
    <col min="3585" max="3585" width="6.7109375" style="88" customWidth="1"/>
    <col min="3586" max="3586" width="5.7109375" style="88" customWidth="1"/>
    <col min="3587" max="3587" width="1.28515625" style="88" customWidth="1"/>
    <col min="3588" max="3588" width="6.7109375" style="88" customWidth="1"/>
    <col min="3589" max="3589" width="5.7109375" style="88" customWidth="1"/>
    <col min="3590" max="3590" width="9.28515625" style="88" customWidth="1"/>
    <col min="3591" max="3591" width="14.28515625" style="88" bestFit="1" customWidth="1"/>
    <col min="3592" max="3833" width="11.7109375" style="88"/>
    <col min="3834" max="3834" width="12.28515625" style="88" customWidth="1"/>
    <col min="3835" max="3835" width="7" style="88" customWidth="1"/>
    <col min="3836" max="3836" width="5.7109375" style="88" customWidth="1"/>
    <col min="3837" max="3837" width="1.28515625" style="88" customWidth="1"/>
    <col min="3838" max="3838" width="6.7109375" style="88" customWidth="1"/>
    <col min="3839" max="3839" width="5.7109375" style="88" customWidth="1"/>
    <col min="3840" max="3840" width="1.28515625" style="88" customWidth="1"/>
    <col min="3841" max="3841" width="6.7109375" style="88" customWidth="1"/>
    <col min="3842" max="3842" width="5.7109375" style="88" customWidth="1"/>
    <col min="3843" max="3843" width="1.28515625" style="88" customWidth="1"/>
    <col min="3844" max="3844" width="6.7109375" style="88" customWidth="1"/>
    <col min="3845" max="3845" width="5.7109375" style="88" customWidth="1"/>
    <col min="3846" max="3846" width="9.28515625" style="88" customWidth="1"/>
    <col min="3847" max="3847" width="14.28515625" style="88" bestFit="1" customWidth="1"/>
    <col min="3848" max="4089" width="11.7109375" style="88"/>
    <col min="4090" max="4090" width="12.28515625" style="88" customWidth="1"/>
    <col min="4091" max="4091" width="7" style="88" customWidth="1"/>
    <col min="4092" max="4092" width="5.7109375" style="88" customWidth="1"/>
    <col min="4093" max="4093" width="1.28515625" style="88" customWidth="1"/>
    <col min="4094" max="4094" width="6.7109375" style="88" customWidth="1"/>
    <col min="4095" max="4095" width="5.7109375" style="88" customWidth="1"/>
    <col min="4096" max="4096" width="1.28515625" style="88" customWidth="1"/>
    <col min="4097" max="4097" width="6.7109375" style="88" customWidth="1"/>
    <col min="4098" max="4098" width="5.7109375" style="88" customWidth="1"/>
    <col min="4099" max="4099" width="1.28515625" style="88" customWidth="1"/>
    <col min="4100" max="4100" width="6.7109375" style="88" customWidth="1"/>
    <col min="4101" max="4101" width="5.7109375" style="88" customWidth="1"/>
    <col min="4102" max="4102" width="9.28515625" style="88" customWidth="1"/>
    <col min="4103" max="4103" width="14.28515625" style="88" bestFit="1" customWidth="1"/>
    <col min="4104" max="4345" width="11.7109375" style="88"/>
    <col min="4346" max="4346" width="12.28515625" style="88" customWidth="1"/>
    <col min="4347" max="4347" width="7" style="88" customWidth="1"/>
    <col min="4348" max="4348" width="5.7109375" style="88" customWidth="1"/>
    <col min="4349" max="4349" width="1.28515625" style="88" customWidth="1"/>
    <col min="4350" max="4350" width="6.7109375" style="88" customWidth="1"/>
    <col min="4351" max="4351" width="5.7109375" style="88" customWidth="1"/>
    <col min="4352" max="4352" width="1.28515625" style="88" customWidth="1"/>
    <col min="4353" max="4353" width="6.7109375" style="88" customWidth="1"/>
    <col min="4354" max="4354" width="5.7109375" style="88" customWidth="1"/>
    <col min="4355" max="4355" width="1.28515625" style="88" customWidth="1"/>
    <col min="4356" max="4356" width="6.7109375" style="88" customWidth="1"/>
    <col min="4357" max="4357" width="5.7109375" style="88" customWidth="1"/>
    <col min="4358" max="4358" width="9.28515625" style="88" customWidth="1"/>
    <col min="4359" max="4359" width="14.28515625" style="88" bestFit="1" customWidth="1"/>
    <col min="4360" max="4601" width="11.7109375" style="88"/>
    <col min="4602" max="4602" width="12.28515625" style="88" customWidth="1"/>
    <col min="4603" max="4603" width="7" style="88" customWidth="1"/>
    <col min="4604" max="4604" width="5.7109375" style="88" customWidth="1"/>
    <col min="4605" max="4605" width="1.28515625" style="88" customWidth="1"/>
    <col min="4606" max="4606" width="6.7109375" style="88" customWidth="1"/>
    <col min="4607" max="4607" width="5.7109375" style="88" customWidth="1"/>
    <col min="4608" max="4608" width="1.28515625" style="88" customWidth="1"/>
    <col min="4609" max="4609" width="6.7109375" style="88" customWidth="1"/>
    <col min="4610" max="4610" width="5.7109375" style="88" customWidth="1"/>
    <col min="4611" max="4611" width="1.28515625" style="88" customWidth="1"/>
    <col min="4612" max="4612" width="6.7109375" style="88" customWidth="1"/>
    <col min="4613" max="4613" width="5.7109375" style="88" customWidth="1"/>
    <col min="4614" max="4614" width="9.28515625" style="88" customWidth="1"/>
    <col min="4615" max="4615" width="14.28515625" style="88" bestFit="1" customWidth="1"/>
    <col min="4616" max="4857" width="11.7109375" style="88"/>
    <col min="4858" max="4858" width="12.28515625" style="88" customWidth="1"/>
    <col min="4859" max="4859" width="7" style="88" customWidth="1"/>
    <col min="4860" max="4860" width="5.7109375" style="88" customWidth="1"/>
    <col min="4861" max="4861" width="1.28515625" style="88" customWidth="1"/>
    <col min="4862" max="4862" width="6.7109375" style="88" customWidth="1"/>
    <col min="4863" max="4863" width="5.7109375" style="88" customWidth="1"/>
    <col min="4864" max="4864" width="1.28515625" style="88" customWidth="1"/>
    <col min="4865" max="4865" width="6.7109375" style="88" customWidth="1"/>
    <col min="4866" max="4866" width="5.7109375" style="88" customWidth="1"/>
    <col min="4867" max="4867" width="1.28515625" style="88" customWidth="1"/>
    <col min="4868" max="4868" width="6.7109375" style="88" customWidth="1"/>
    <col min="4869" max="4869" width="5.7109375" style="88" customWidth="1"/>
    <col min="4870" max="4870" width="9.28515625" style="88" customWidth="1"/>
    <col min="4871" max="4871" width="14.28515625" style="88" bestFit="1" customWidth="1"/>
    <col min="4872" max="5113" width="11.7109375" style="88"/>
    <col min="5114" max="5114" width="12.28515625" style="88" customWidth="1"/>
    <col min="5115" max="5115" width="7" style="88" customWidth="1"/>
    <col min="5116" max="5116" width="5.7109375" style="88" customWidth="1"/>
    <col min="5117" max="5117" width="1.28515625" style="88" customWidth="1"/>
    <col min="5118" max="5118" width="6.7109375" style="88" customWidth="1"/>
    <col min="5119" max="5119" width="5.7109375" style="88" customWidth="1"/>
    <col min="5120" max="5120" width="1.28515625" style="88" customWidth="1"/>
    <col min="5121" max="5121" width="6.7109375" style="88" customWidth="1"/>
    <col min="5122" max="5122" width="5.7109375" style="88" customWidth="1"/>
    <col min="5123" max="5123" width="1.28515625" style="88" customWidth="1"/>
    <col min="5124" max="5124" width="6.7109375" style="88" customWidth="1"/>
    <col min="5125" max="5125" width="5.7109375" style="88" customWidth="1"/>
    <col min="5126" max="5126" width="9.28515625" style="88" customWidth="1"/>
    <col min="5127" max="5127" width="14.28515625" style="88" bestFit="1" customWidth="1"/>
    <col min="5128" max="5369" width="11.7109375" style="88"/>
    <col min="5370" max="5370" width="12.28515625" style="88" customWidth="1"/>
    <col min="5371" max="5371" width="7" style="88" customWidth="1"/>
    <col min="5372" max="5372" width="5.7109375" style="88" customWidth="1"/>
    <col min="5373" max="5373" width="1.28515625" style="88" customWidth="1"/>
    <col min="5374" max="5374" width="6.7109375" style="88" customWidth="1"/>
    <col min="5375" max="5375" width="5.7109375" style="88" customWidth="1"/>
    <col min="5376" max="5376" width="1.28515625" style="88" customWidth="1"/>
    <col min="5377" max="5377" width="6.7109375" style="88" customWidth="1"/>
    <col min="5378" max="5378" width="5.7109375" style="88" customWidth="1"/>
    <col min="5379" max="5379" width="1.28515625" style="88" customWidth="1"/>
    <col min="5380" max="5380" width="6.7109375" style="88" customWidth="1"/>
    <col min="5381" max="5381" width="5.7109375" style="88" customWidth="1"/>
    <col min="5382" max="5382" width="9.28515625" style="88" customWidth="1"/>
    <col min="5383" max="5383" width="14.28515625" style="88" bestFit="1" customWidth="1"/>
    <col min="5384" max="5625" width="11.7109375" style="88"/>
    <col min="5626" max="5626" width="12.28515625" style="88" customWidth="1"/>
    <col min="5627" max="5627" width="7" style="88" customWidth="1"/>
    <col min="5628" max="5628" width="5.7109375" style="88" customWidth="1"/>
    <col min="5629" max="5629" width="1.28515625" style="88" customWidth="1"/>
    <col min="5630" max="5630" width="6.7109375" style="88" customWidth="1"/>
    <col min="5631" max="5631" width="5.7109375" style="88" customWidth="1"/>
    <col min="5632" max="5632" width="1.28515625" style="88" customWidth="1"/>
    <col min="5633" max="5633" width="6.7109375" style="88" customWidth="1"/>
    <col min="5634" max="5634" width="5.7109375" style="88" customWidth="1"/>
    <col min="5635" max="5635" width="1.28515625" style="88" customWidth="1"/>
    <col min="5636" max="5636" width="6.7109375" style="88" customWidth="1"/>
    <col min="5637" max="5637" width="5.7109375" style="88" customWidth="1"/>
    <col min="5638" max="5638" width="9.28515625" style="88" customWidth="1"/>
    <col min="5639" max="5639" width="14.28515625" style="88" bestFit="1" customWidth="1"/>
    <col min="5640" max="5881" width="11.7109375" style="88"/>
    <col min="5882" max="5882" width="12.28515625" style="88" customWidth="1"/>
    <col min="5883" max="5883" width="7" style="88" customWidth="1"/>
    <col min="5884" max="5884" width="5.7109375" style="88" customWidth="1"/>
    <col min="5885" max="5885" width="1.28515625" style="88" customWidth="1"/>
    <col min="5886" max="5886" width="6.7109375" style="88" customWidth="1"/>
    <col min="5887" max="5887" width="5.7109375" style="88" customWidth="1"/>
    <col min="5888" max="5888" width="1.28515625" style="88" customWidth="1"/>
    <col min="5889" max="5889" width="6.7109375" style="88" customWidth="1"/>
    <col min="5890" max="5890" width="5.7109375" style="88" customWidth="1"/>
    <col min="5891" max="5891" width="1.28515625" style="88" customWidth="1"/>
    <col min="5892" max="5892" width="6.7109375" style="88" customWidth="1"/>
    <col min="5893" max="5893" width="5.7109375" style="88" customWidth="1"/>
    <col min="5894" max="5894" width="9.28515625" style="88" customWidth="1"/>
    <col min="5895" max="5895" width="14.28515625" style="88" bestFit="1" customWidth="1"/>
    <col min="5896" max="6137" width="11.7109375" style="88"/>
    <col min="6138" max="6138" width="12.28515625" style="88" customWidth="1"/>
    <col min="6139" max="6139" width="7" style="88" customWidth="1"/>
    <col min="6140" max="6140" width="5.7109375" style="88" customWidth="1"/>
    <col min="6141" max="6141" width="1.28515625" style="88" customWidth="1"/>
    <col min="6142" max="6142" width="6.7109375" style="88" customWidth="1"/>
    <col min="6143" max="6143" width="5.7109375" style="88" customWidth="1"/>
    <col min="6144" max="6144" width="1.28515625" style="88" customWidth="1"/>
    <col min="6145" max="6145" width="6.7109375" style="88" customWidth="1"/>
    <col min="6146" max="6146" width="5.7109375" style="88" customWidth="1"/>
    <col min="6147" max="6147" width="1.28515625" style="88" customWidth="1"/>
    <col min="6148" max="6148" width="6.7109375" style="88" customWidth="1"/>
    <col min="6149" max="6149" width="5.7109375" style="88" customWidth="1"/>
    <col min="6150" max="6150" width="9.28515625" style="88" customWidth="1"/>
    <col min="6151" max="6151" width="14.28515625" style="88" bestFit="1" customWidth="1"/>
    <col min="6152" max="6393" width="11.7109375" style="88"/>
    <col min="6394" max="6394" width="12.28515625" style="88" customWidth="1"/>
    <col min="6395" max="6395" width="7" style="88" customWidth="1"/>
    <col min="6396" max="6396" width="5.7109375" style="88" customWidth="1"/>
    <col min="6397" max="6397" width="1.28515625" style="88" customWidth="1"/>
    <col min="6398" max="6398" width="6.7109375" style="88" customWidth="1"/>
    <col min="6399" max="6399" width="5.7109375" style="88" customWidth="1"/>
    <col min="6400" max="6400" width="1.28515625" style="88" customWidth="1"/>
    <col min="6401" max="6401" width="6.7109375" style="88" customWidth="1"/>
    <col min="6402" max="6402" width="5.7109375" style="88" customWidth="1"/>
    <col min="6403" max="6403" width="1.28515625" style="88" customWidth="1"/>
    <col min="6404" max="6404" width="6.7109375" style="88" customWidth="1"/>
    <col min="6405" max="6405" width="5.7109375" style="88" customWidth="1"/>
    <col min="6406" max="6406" width="9.28515625" style="88" customWidth="1"/>
    <col min="6407" max="6407" width="14.28515625" style="88" bestFit="1" customWidth="1"/>
    <col min="6408" max="6649" width="11.7109375" style="88"/>
    <col min="6650" max="6650" width="12.28515625" style="88" customWidth="1"/>
    <col min="6651" max="6651" width="7" style="88" customWidth="1"/>
    <col min="6652" max="6652" width="5.7109375" style="88" customWidth="1"/>
    <col min="6653" max="6653" width="1.28515625" style="88" customWidth="1"/>
    <col min="6654" max="6654" width="6.7109375" style="88" customWidth="1"/>
    <col min="6655" max="6655" width="5.7109375" style="88" customWidth="1"/>
    <col min="6656" max="6656" width="1.28515625" style="88" customWidth="1"/>
    <col min="6657" max="6657" width="6.7109375" style="88" customWidth="1"/>
    <col min="6658" max="6658" width="5.7109375" style="88" customWidth="1"/>
    <col min="6659" max="6659" width="1.28515625" style="88" customWidth="1"/>
    <col min="6660" max="6660" width="6.7109375" style="88" customWidth="1"/>
    <col min="6661" max="6661" width="5.7109375" style="88" customWidth="1"/>
    <col min="6662" max="6662" width="9.28515625" style="88" customWidth="1"/>
    <col min="6663" max="6663" width="14.28515625" style="88" bestFit="1" customWidth="1"/>
    <col min="6664" max="6905" width="11.7109375" style="88"/>
    <col min="6906" max="6906" width="12.28515625" style="88" customWidth="1"/>
    <col min="6907" max="6907" width="7" style="88" customWidth="1"/>
    <col min="6908" max="6908" width="5.7109375" style="88" customWidth="1"/>
    <col min="6909" max="6909" width="1.28515625" style="88" customWidth="1"/>
    <col min="6910" max="6910" width="6.7109375" style="88" customWidth="1"/>
    <col min="6911" max="6911" width="5.7109375" style="88" customWidth="1"/>
    <col min="6912" max="6912" width="1.28515625" style="88" customWidth="1"/>
    <col min="6913" max="6913" width="6.7109375" style="88" customWidth="1"/>
    <col min="6914" max="6914" width="5.7109375" style="88" customWidth="1"/>
    <col min="6915" max="6915" width="1.28515625" style="88" customWidth="1"/>
    <col min="6916" max="6916" width="6.7109375" style="88" customWidth="1"/>
    <col min="6917" max="6917" width="5.7109375" style="88" customWidth="1"/>
    <col min="6918" max="6918" width="9.28515625" style="88" customWidth="1"/>
    <col min="6919" max="6919" width="14.28515625" style="88" bestFit="1" customWidth="1"/>
    <col min="6920" max="7161" width="11.7109375" style="88"/>
    <col min="7162" max="7162" width="12.28515625" style="88" customWidth="1"/>
    <col min="7163" max="7163" width="7" style="88" customWidth="1"/>
    <col min="7164" max="7164" width="5.7109375" style="88" customWidth="1"/>
    <col min="7165" max="7165" width="1.28515625" style="88" customWidth="1"/>
    <col min="7166" max="7166" width="6.7109375" style="88" customWidth="1"/>
    <col min="7167" max="7167" width="5.7109375" style="88" customWidth="1"/>
    <col min="7168" max="7168" width="1.28515625" style="88" customWidth="1"/>
    <col min="7169" max="7169" width="6.7109375" style="88" customWidth="1"/>
    <col min="7170" max="7170" width="5.7109375" style="88" customWidth="1"/>
    <col min="7171" max="7171" width="1.28515625" style="88" customWidth="1"/>
    <col min="7172" max="7172" width="6.7109375" style="88" customWidth="1"/>
    <col min="7173" max="7173" width="5.7109375" style="88" customWidth="1"/>
    <col min="7174" max="7174" width="9.28515625" style="88" customWidth="1"/>
    <col min="7175" max="7175" width="14.28515625" style="88" bestFit="1" customWidth="1"/>
    <col min="7176" max="7417" width="11.7109375" style="88"/>
    <col min="7418" max="7418" width="12.28515625" style="88" customWidth="1"/>
    <col min="7419" max="7419" width="7" style="88" customWidth="1"/>
    <col min="7420" max="7420" width="5.7109375" style="88" customWidth="1"/>
    <col min="7421" max="7421" width="1.28515625" style="88" customWidth="1"/>
    <col min="7422" max="7422" width="6.7109375" style="88" customWidth="1"/>
    <col min="7423" max="7423" width="5.7109375" style="88" customWidth="1"/>
    <col min="7424" max="7424" width="1.28515625" style="88" customWidth="1"/>
    <col min="7425" max="7425" width="6.7109375" style="88" customWidth="1"/>
    <col min="7426" max="7426" width="5.7109375" style="88" customWidth="1"/>
    <col min="7427" max="7427" width="1.28515625" style="88" customWidth="1"/>
    <col min="7428" max="7428" width="6.7109375" style="88" customWidth="1"/>
    <col min="7429" max="7429" width="5.7109375" style="88" customWidth="1"/>
    <col min="7430" max="7430" width="9.28515625" style="88" customWidth="1"/>
    <col min="7431" max="7431" width="14.28515625" style="88" bestFit="1" customWidth="1"/>
    <col min="7432" max="7673" width="11.7109375" style="88"/>
    <col min="7674" max="7674" width="12.28515625" style="88" customWidth="1"/>
    <col min="7675" max="7675" width="7" style="88" customWidth="1"/>
    <col min="7676" max="7676" width="5.7109375" style="88" customWidth="1"/>
    <col min="7677" max="7677" width="1.28515625" style="88" customWidth="1"/>
    <col min="7678" max="7678" width="6.7109375" style="88" customWidth="1"/>
    <col min="7679" max="7679" width="5.7109375" style="88" customWidth="1"/>
    <col min="7680" max="7680" width="1.28515625" style="88" customWidth="1"/>
    <col min="7681" max="7681" width="6.7109375" style="88" customWidth="1"/>
    <col min="7682" max="7682" width="5.7109375" style="88" customWidth="1"/>
    <col min="7683" max="7683" width="1.28515625" style="88" customWidth="1"/>
    <col min="7684" max="7684" width="6.7109375" style="88" customWidth="1"/>
    <col min="7685" max="7685" width="5.7109375" style="88" customWidth="1"/>
    <col min="7686" max="7686" width="9.28515625" style="88" customWidth="1"/>
    <col min="7687" max="7687" width="14.28515625" style="88" bestFit="1" customWidth="1"/>
    <col min="7688" max="7929" width="11.7109375" style="88"/>
    <col min="7930" max="7930" width="12.28515625" style="88" customWidth="1"/>
    <col min="7931" max="7931" width="7" style="88" customWidth="1"/>
    <col min="7932" max="7932" width="5.7109375" style="88" customWidth="1"/>
    <col min="7933" max="7933" width="1.28515625" style="88" customWidth="1"/>
    <col min="7934" max="7934" width="6.7109375" style="88" customWidth="1"/>
    <col min="7935" max="7935" width="5.7109375" style="88" customWidth="1"/>
    <col min="7936" max="7936" width="1.28515625" style="88" customWidth="1"/>
    <col min="7937" max="7937" width="6.7109375" style="88" customWidth="1"/>
    <col min="7938" max="7938" width="5.7109375" style="88" customWidth="1"/>
    <col min="7939" max="7939" width="1.28515625" style="88" customWidth="1"/>
    <col min="7940" max="7940" width="6.7109375" style="88" customWidth="1"/>
    <col min="7941" max="7941" width="5.7109375" style="88" customWidth="1"/>
    <col min="7942" max="7942" width="9.28515625" style="88" customWidth="1"/>
    <col min="7943" max="7943" width="14.28515625" style="88" bestFit="1" customWidth="1"/>
    <col min="7944" max="8185" width="11.7109375" style="88"/>
    <col min="8186" max="8186" width="12.28515625" style="88" customWidth="1"/>
    <col min="8187" max="8187" width="7" style="88" customWidth="1"/>
    <col min="8188" max="8188" width="5.7109375" style="88" customWidth="1"/>
    <col min="8189" max="8189" width="1.28515625" style="88" customWidth="1"/>
    <col min="8190" max="8190" width="6.7109375" style="88" customWidth="1"/>
    <col min="8191" max="8191" width="5.7109375" style="88" customWidth="1"/>
    <col min="8192" max="8192" width="1.28515625" style="88" customWidth="1"/>
    <col min="8193" max="8193" width="6.7109375" style="88" customWidth="1"/>
    <col min="8194" max="8194" width="5.7109375" style="88" customWidth="1"/>
    <col min="8195" max="8195" width="1.28515625" style="88" customWidth="1"/>
    <col min="8196" max="8196" width="6.7109375" style="88" customWidth="1"/>
    <col min="8197" max="8197" width="5.7109375" style="88" customWidth="1"/>
    <col min="8198" max="8198" width="9.28515625" style="88" customWidth="1"/>
    <col min="8199" max="8199" width="14.28515625" style="88" bestFit="1" customWidth="1"/>
    <col min="8200" max="8441" width="11.7109375" style="88"/>
    <col min="8442" max="8442" width="12.28515625" style="88" customWidth="1"/>
    <col min="8443" max="8443" width="7" style="88" customWidth="1"/>
    <col min="8444" max="8444" width="5.7109375" style="88" customWidth="1"/>
    <col min="8445" max="8445" width="1.28515625" style="88" customWidth="1"/>
    <col min="8446" max="8446" width="6.7109375" style="88" customWidth="1"/>
    <col min="8447" max="8447" width="5.7109375" style="88" customWidth="1"/>
    <col min="8448" max="8448" width="1.28515625" style="88" customWidth="1"/>
    <col min="8449" max="8449" width="6.7109375" style="88" customWidth="1"/>
    <col min="8450" max="8450" width="5.7109375" style="88" customWidth="1"/>
    <col min="8451" max="8451" width="1.28515625" style="88" customWidth="1"/>
    <col min="8452" max="8452" width="6.7109375" style="88" customWidth="1"/>
    <col min="8453" max="8453" width="5.7109375" style="88" customWidth="1"/>
    <col min="8454" max="8454" width="9.28515625" style="88" customWidth="1"/>
    <col min="8455" max="8455" width="14.28515625" style="88" bestFit="1" customWidth="1"/>
    <col min="8456" max="8697" width="11.7109375" style="88"/>
    <col min="8698" max="8698" width="12.28515625" style="88" customWidth="1"/>
    <col min="8699" max="8699" width="7" style="88" customWidth="1"/>
    <col min="8700" max="8700" width="5.7109375" style="88" customWidth="1"/>
    <col min="8701" max="8701" width="1.28515625" style="88" customWidth="1"/>
    <col min="8702" max="8702" width="6.7109375" style="88" customWidth="1"/>
    <col min="8703" max="8703" width="5.7109375" style="88" customWidth="1"/>
    <col min="8704" max="8704" width="1.28515625" style="88" customWidth="1"/>
    <col min="8705" max="8705" width="6.7109375" style="88" customWidth="1"/>
    <col min="8706" max="8706" width="5.7109375" style="88" customWidth="1"/>
    <col min="8707" max="8707" width="1.28515625" style="88" customWidth="1"/>
    <col min="8708" max="8708" width="6.7109375" style="88" customWidth="1"/>
    <col min="8709" max="8709" width="5.7109375" style="88" customWidth="1"/>
    <col min="8710" max="8710" width="9.28515625" style="88" customWidth="1"/>
    <col min="8711" max="8711" width="14.28515625" style="88" bestFit="1" customWidth="1"/>
    <col min="8712" max="8953" width="11.7109375" style="88"/>
    <col min="8954" max="8954" width="12.28515625" style="88" customWidth="1"/>
    <col min="8955" max="8955" width="7" style="88" customWidth="1"/>
    <col min="8956" max="8956" width="5.7109375" style="88" customWidth="1"/>
    <col min="8957" max="8957" width="1.28515625" style="88" customWidth="1"/>
    <col min="8958" max="8958" width="6.7109375" style="88" customWidth="1"/>
    <col min="8959" max="8959" width="5.7109375" style="88" customWidth="1"/>
    <col min="8960" max="8960" width="1.28515625" style="88" customWidth="1"/>
    <col min="8961" max="8961" width="6.7109375" style="88" customWidth="1"/>
    <col min="8962" max="8962" width="5.7109375" style="88" customWidth="1"/>
    <col min="8963" max="8963" width="1.28515625" style="88" customWidth="1"/>
    <col min="8964" max="8964" width="6.7109375" style="88" customWidth="1"/>
    <col min="8965" max="8965" width="5.7109375" style="88" customWidth="1"/>
    <col min="8966" max="8966" width="9.28515625" style="88" customWidth="1"/>
    <col min="8967" max="8967" width="14.28515625" style="88" bestFit="1" customWidth="1"/>
    <col min="8968" max="9209" width="11.7109375" style="88"/>
    <col min="9210" max="9210" width="12.28515625" style="88" customWidth="1"/>
    <col min="9211" max="9211" width="7" style="88" customWidth="1"/>
    <col min="9212" max="9212" width="5.7109375" style="88" customWidth="1"/>
    <col min="9213" max="9213" width="1.28515625" style="88" customWidth="1"/>
    <col min="9214" max="9214" width="6.7109375" style="88" customWidth="1"/>
    <col min="9215" max="9215" width="5.7109375" style="88" customWidth="1"/>
    <col min="9216" max="9216" width="1.28515625" style="88" customWidth="1"/>
    <col min="9217" max="9217" width="6.7109375" style="88" customWidth="1"/>
    <col min="9218" max="9218" width="5.7109375" style="88" customWidth="1"/>
    <col min="9219" max="9219" width="1.28515625" style="88" customWidth="1"/>
    <col min="9220" max="9220" width="6.7109375" style="88" customWidth="1"/>
    <col min="9221" max="9221" width="5.7109375" style="88" customWidth="1"/>
    <col min="9222" max="9222" width="9.28515625" style="88" customWidth="1"/>
    <col min="9223" max="9223" width="14.28515625" style="88" bestFit="1" customWidth="1"/>
    <col min="9224" max="9465" width="11.7109375" style="88"/>
    <col min="9466" max="9466" width="12.28515625" style="88" customWidth="1"/>
    <col min="9467" max="9467" width="7" style="88" customWidth="1"/>
    <col min="9468" max="9468" width="5.7109375" style="88" customWidth="1"/>
    <col min="9469" max="9469" width="1.28515625" style="88" customWidth="1"/>
    <col min="9470" max="9470" width="6.7109375" style="88" customWidth="1"/>
    <col min="9471" max="9471" width="5.7109375" style="88" customWidth="1"/>
    <col min="9472" max="9472" width="1.28515625" style="88" customWidth="1"/>
    <col min="9473" max="9473" width="6.7109375" style="88" customWidth="1"/>
    <col min="9474" max="9474" width="5.7109375" style="88" customWidth="1"/>
    <col min="9475" max="9475" width="1.28515625" style="88" customWidth="1"/>
    <col min="9476" max="9476" width="6.7109375" style="88" customWidth="1"/>
    <col min="9477" max="9477" width="5.7109375" style="88" customWidth="1"/>
    <col min="9478" max="9478" width="9.28515625" style="88" customWidth="1"/>
    <col min="9479" max="9479" width="14.28515625" style="88" bestFit="1" customWidth="1"/>
    <col min="9480" max="9721" width="11.7109375" style="88"/>
    <col min="9722" max="9722" width="12.28515625" style="88" customWidth="1"/>
    <col min="9723" max="9723" width="7" style="88" customWidth="1"/>
    <col min="9724" max="9724" width="5.7109375" style="88" customWidth="1"/>
    <col min="9725" max="9725" width="1.28515625" style="88" customWidth="1"/>
    <col min="9726" max="9726" width="6.7109375" style="88" customWidth="1"/>
    <col min="9727" max="9727" width="5.7109375" style="88" customWidth="1"/>
    <col min="9728" max="9728" width="1.28515625" style="88" customWidth="1"/>
    <col min="9729" max="9729" width="6.7109375" style="88" customWidth="1"/>
    <col min="9730" max="9730" width="5.7109375" style="88" customWidth="1"/>
    <col min="9731" max="9731" width="1.28515625" style="88" customWidth="1"/>
    <col min="9732" max="9732" width="6.7109375" style="88" customWidth="1"/>
    <col min="9733" max="9733" width="5.7109375" style="88" customWidth="1"/>
    <col min="9734" max="9734" width="9.28515625" style="88" customWidth="1"/>
    <col min="9735" max="9735" width="14.28515625" style="88" bestFit="1" customWidth="1"/>
    <col min="9736" max="9977" width="11.7109375" style="88"/>
    <col min="9978" max="9978" width="12.28515625" style="88" customWidth="1"/>
    <col min="9979" max="9979" width="7" style="88" customWidth="1"/>
    <col min="9980" max="9980" width="5.7109375" style="88" customWidth="1"/>
    <col min="9981" max="9981" width="1.28515625" style="88" customWidth="1"/>
    <col min="9982" max="9982" width="6.7109375" style="88" customWidth="1"/>
    <col min="9983" max="9983" width="5.7109375" style="88" customWidth="1"/>
    <col min="9984" max="9984" width="1.28515625" style="88" customWidth="1"/>
    <col min="9985" max="9985" width="6.7109375" style="88" customWidth="1"/>
    <col min="9986" max="9986" width="5.7109375" style="88" customWidth="1"/>
    <col min="9987" max="9987" width="1.28515625" style="88" customWidth="1"/>
    <col min="9988" max="9988" width="6.7109375" style="88" customWidth="1"/>
    <col min="9989" max="9989" width="5.7109375" style="88" customWidth="1"/>
    <col min="9990" max="9990" width="9.28515625" style="88" customWidth="1"/>
    <col min="9991" max="9991" width="14.28515625" style="88" bestFit="1" customWidth="1"/>
    <col min="9992" max="10233" width="11.7109375" style="88"/>
    <col min="10234" max="10234" width="12.28515625" style="88" customWidth="1"/>
    <col min="10235" max="10235" width="7" style="88" customWidth="1"/>
    <col min="10236" max="10236" width="5.7109375" style="88" customWidth="1"/>
    <col min="10237" max="10237" width="1.28515625" style="88" customWidth="1"/>
    <col min="10238" max="10238" width="6.7109375" style="88" customWidth="1"/>
    <col min="10239" max="10239" width="5.7109375" style="88" customWidth="1"/>
    <col min="10240" max="10240" width="1.28515625" style="88" customWidth="1"/>
    <col min="10241" max="10241" width="6.7109375" style="88" customWidth="1"/>
    <col min="10242" max="10242" width="5.7109375" style="88" customWidth="1"/>
    <col min="10243" max="10243" width="1.28515625" style="88" customWidth="1"/>
    <col min="10244" max="10244" width="6.7109375" style="88" customWidth="1"/>
    <col min="10245" max="10245" width="5.7109375" style="88" customWidth="1"/>
    <col min="10246" max="10246" width="9.28515625" style="88" customWidth="1"/>
    <col min="10247" max="10247" width="14.28515625" style="88" bestFit="1" customWidth="1"/>
    <col min="10248" max="10489" width="11.7109375" style="88"/>
    <col min="10490" max="10490" width="12.28515625" style="88" customWidth="1"/>
    <col min="10491" max="10491" width="7" style="88" customWidth="1"/>
    <col min="10492" max="10492" width="5.7109375" style="88" customWidth="1"/>
    <col min="10493" max="10493" width="1.28515625" style="88" customWidth="1"/>
    <col min="10494" max="10494" width="6.7109375" style="88" customWidth="1"/>
    <col min="10495" max="10495" width="5.7109375" style="88" customWidth="1"/>
    <col min="10496" max="10496" width="1.28515625" style="88" customWidth="1"/>
    <col min="10497" max="10497" width="6.7109375" style="88" customWidth="1"/>
    <col min="10498" max="10498" width="5.7109375" style="88" customWidth="1"/>
    <col min="10499" max="10499" width="1.28515625" style="88" customWidth="1"/>
    <col min="10500" max="10500" width="6.7109375" style="88" customWidth="1"/>
    <col min="10501" max="10501" width="5.7109375" style="88" customWidth="1"/>
    <col min="10502" max="10502" width="9.28515625" style="88" customWidth="1"/>
    <col min="10503" max="10503" width="14.28515625" style="88" bestFit="1" customWidth="1"/>
    <col min="10504" max="10745" width="11.7109375" style="88"/>
    <col min="10746" max="10746" width="12.28515625" style="88" customWidth="1"/>
    <col min="10747" max="10747" width="7" style="88" customWidth="1"/>
    <col min="10748" max="10748" width="5.7109375" style="88" customWidth="1"/>
    <col min="10749" max="10749" width="1.28515625" style="88" customWidth="1"/>
    <col min="10750" max="10750" width="6.7109375" style="88" customWidth="1"/>
    <col min="10751" max="10751" width="5.7109375" style="88" customWidth="1"/>
    <col min="10752" max="10752" width="1.28515625" style="88" customWidth="1"/>
    <col min="10753" max="10753" width="6.7109375" style="88" customWidth="1"/>
    <col min="10754" max="10754" width="5.7109375" style="88" customWidth="1"/>
    <col min="10755" max="10755" width="1.28515625" style="88" customWidth="1"/>
    <col min="10756" max="10756" width="6.7109375" style="88" customWidth="1"/>
    <col min="10757" max="10757" width="5.7109375" style="88" customWidth="1"/>
    <col min="10758" max="10758" width="9.28515625" style="88" customWidth="1"/>
    <col min="10759" max="10759" width="14.28515625" style="88" bestFit="1" customWidth="1"/>
    <col min="10760" max="11001" width="11.7109375" style="88"/>
    <col min="11002" max="11002" width="12.28515625" style="88" customWidth="1"/>
    <col min="11003" max="11003" width="7" style="88" customWidth="1"/>
    <col min="11004" max="11004" width="5.7109375" style="88" customWidth="1"/>
    <col min="11005" max="11005" width="1.28515625" style="88" customWidth="1"/>
    <col min="11006" max="11006" width="6.7109375" style="88" customWidth="1"/>
    <col min="11007" max="11007" width="5.7109375" style="88" customWidth="1"/>
    <col min="11008" max="11008" width="1.28515625" style="88" customWidth="1"/>
    <col min="11009" max="11009" width="6.7109375" style="88" customWidth="1"/>
    <col min="11010" max="11010" width="5.7109375" style="88" customWidth="1"/>
    <col min="11011" max="11011" width="1.28515625" style="88" customWidth="1"/>
    <col min="11012" max="11012" width="6.7109375" style="88" customWidth="1"/>
    <col min="11013" max="11013" width="5.7109375" style="88" customWidth="1"/>
    <col min="11014" max="11014" width="9.28515625" style="88" customWidth="1"/>
    <col min="11015" max="11015" width="14.28515625" style="88" bestFit="1" customWidth="1"/>
    <col min="11016" max="11257" width="11.7109375" style="88"/>
    <col min="11258" max="11258" width="12.28515625" style="88" customWidth="1"/>
    <col min="11259" max="11259" width="7" style="88" customWidth="1"/>
    <col min="11260" max="11260" width="5.7109375" style="88" customWidth="1"/>
    <col min="11261" max="11261" width="1.28515625" style="88" customWidth="1"/>
    <col min="11262" max="11262" width="6.7109375" style="88" customWidth="1"/>
    <col min="11263" max="11263" width="5.7109375" style="88" customWidth="1"/>
    <col min="11264" max="11264" width="1.28515625" style="88" customWidth="1"/>
    <col min="11265" max="11265" width="6.7109375" style="88" customWidth="1"/>
    <col min="11266" max="11266" width="5.7109375" style="88" customWidth="1"/>
    <col min="11267" max="11267" width="1.28515625" style="88" customWidth="1"/>
    <col min="11268" max="11268" width="6.7109375" style="88" customWidth="1"/>
    <col min="11269" max="11269" width="5.7109375" style="88" customWidth="1"/>
    <col min="11270" max="11270" width="9.28515625" style="88" customWidth="1"/>
    <col min="11271" max="11271" width="14.28515625" style="88" bestFit="1" customWidth="1"/>
    <col min="11272" max="11513" width="11.7109375" style="88"/>
    <col min="11514" max="11514" width="12.28515625" style="88" customWidth="1"/>
    <col min="11515" max="11515" width="7" style="88" customWidth="1"/>
    <col min="11516" max="11516" width="5.7109375" style="88" customWidth="1"/>
    <col min="11517" max="11517" width="1.28515625" style="88" customWidth="1"/>
    <col min="11518" max="11518" width="6.7109375" style="88" customWidth="1"/>
    <col min="11519" max="11519" width="5.7109375" style="88" customWidth="1"/>
    <col min="11520" max="11520" width="1.28515625" style="88" customWidth="1"/>
    <col min="11521" max="11521" width="6.7109375" style="88" customWidth="1"/>
    <col min="11522" max="11522" width="5.7109375" style="88" customWidth="1"/>
    <col min="11523" max="11523" width="1.28515625" style="88" customWidth="1"/>
    <col min="11524" max="11524" width="6.7109375" style="88" customWidth="1"/>
    <col min="11525" max="11525" width="5.7109375" style="88" customWidth="1"/>
    <col min="11526" max="11526" width="9.28515625" style="88" customWidth="1"/>
    <col min="11527" max="11527" width="14.28515625" style="88" bestFit="1" customWidth="1"/>
    <col min="11528" max="11769" width="11.7109375" style="88"/>
    <col min="11770" max="11770" width="12.28515625" style="88" customWidth="1"/>
    <col min="11771" max="11771" width="7" style="88" customWidth="1"/>
    <col min="11772" max="11772" width="5.7109375" style="88" customWidth="1"/>
    <col min="11773" max="11773" width="1.28515625" style="88" customWidth="1"/>
    <col min="11774" max="11774" width="6.7109375" style="88" customWidth="1"/>
    <col min="11775" max="11775" width="5.7109375" style="88" customWidth="1"/>
    <col min="11776" max="11776" width="1.28515625" style="88" customWidth="1"/>
    <col min="11777" max="11777" width="6.7109375" style="88" customWidth="1"/>
    <col min="11778" max="11778" width="5.7109375" style="88" customWidth="1"/>
    <col min="11779" max="11779" width="1.28515625" style="88" customWidth="1"/>
    <col min="11780" max="11780" width="6.7109375" style="88" customWidth="1"/>
    <col min="11781" max="11781" width="5.7109375" style="88" customWidth="1"/>
    <col min="11782" max="11782" width="9.28515625" style="88" customWidth="1"/>
    <col min="11783" max="11783" width="14.28515625" style="88" bestFit="1" customWidth="1"/>
    <col min="11784" max="12025" width="11.7109375" style="88"/>
    <col min="12026" max="12026" width="12.28515625" style="88" customWidth="1"/>
    <col min="12027" max="12027" width="7" style="88" customWidth="1"/>
    <col min="12028" max="12028" width="5.7109375" style="88" customWidth="1"/>
    <col min="12029" max="12029" width="1.28515625" style="88" customWidth="1"/>
    <col min="12030" max="12030" width="6.7109375" style="88" customWidth="1"/>
    <col min="12031" max="12031" width="5.7109375" style="88" customWidth="1"/>
    <col min="12032" max="12032" width="1.28515625" style="88" customWidth="1"/>
    <col min="12033" max="12033" width="6.7109375" style="88" customWidth="1"/>
    <col min="12034" max="12034" width="5.7109375" style="88" customWidth="1"/>
    <col min="12035" max="12035" width="1.28515625" style="88" customWidth="1"/>
    <col min="12036" max="12036" width="6.7109375" style="88" customWidth="1"/>
    <col min="12037" max="12037" width="5.7109375" style="88" customWidth="1"/>
    <col min="12038" max="12038" width="9.28515625" style="88" customWidth="1"/>
    <col min="12039" max="12039" width="14.28515625" style="88" bestFit="1" customWidth="1"/>
    <col min="12040" max="12281" width="11.7109375" style="88"/>
    <col min="12282" max="12282" width="12.28515625" style="88" customWidth="1"/>
    <col min="12283" max="12283" width="7" style="88" customWidth="1"/>
    <col min="12284" max="12284" width="5.7109375" style="88" customWidth="1"/>
    <col min="12285" max="12285" width="1.28515625" style="88" customWidth="1"/>
    <col min="12286" max="12286" width="6.7109375" style="88" customWidth="1"/>
    <col min="12287" max="12287" width="5.7109375" style="88" customWidth="1"/>
    <col min="12288" max="12288" width="1.28515625" style="88" customWidth="1"/>
    <col min="12289" max="12289" width="6.7109375" style="88" customWidth="1"/>
    <col min="12290" max="12290" width="5.7109375" style="88" customWidth="1"/>
    <col min="12291" max="12291" width="1.28515625" style="88" customWidth="1"/>
    <col min="12292" max="12292" width="6.7109375" style="88" customWidth="1"/>
    <col min="12293" max="12293" width="5.7109375" style="88" customWidth="1"/>
    <col min="12294" max="12294" width="9.28515625" style="88" customWidth="1"/>
    <col min="12295" max="12295" width="14.28515625" style="88" bestFit="1" customWidth="1"/>
    <col min="12296" max="12537" width="11.7109375" style="88"/>
    <col min="12538" max="12538" width="12.28515625" style="88" customWidth="1"/>
    <col min="12539" max="12539" width="7" style="88" customWidth="1"/>
    <col min="12540" max="12540" width="5.7109375" style="88" customWidth="1"/>
    <col min="12541" max="12541" width="1.28515625" style="88" customWidth="1"/>
    <col min="12542" max="12542" width="6.7109375" style="88" customWidth="1"/>
    <col min="12543" max="12543" width="5.7109375" style="88" customWidth="1"/>
    <col min="12544" max="12544" width="1.28515625" style="88" customWidth="1"/>
    <col min="12545" max="12545" width="6.7109375" style="88" customWidth="1"/>
    <col min="12546" max="12546" width="5.7109375" style="88" customWidth="1"/>
    <col min="12547" max="12547" width="1.28515625" style="88" customWidth="1"/>
    <col min="12548" max="12548" width="6.7109375" style="88" customWidth="1"/>
    <col min="12549" max="12549" width="5.7109375" style="88" customWidth="1"/>
    <col min="12550" max="12550" width="9.28515625" style="88" customWidth="1"/>
    <col min="12551" max="12551" width="14.28515625" style="88" bestFit="1" customWidth="1"/>
    <col min="12552" max="12793" width="11.7109375" style="88"/>
    <col min="12794" max="12794" width="12.28515625" style="88" customWidth="1"/>
    <col min="12795" max="12795" width="7" style="88" customWidth="1"/>
    <col min="12796" max="12796" width="5.7109375" style="88" customWidth="1"/>
    <col min="12797" max="12797" width="1.28515625" style="88" customWidth="1"/>
    <col min="12798" max="12798" width="6.7109375" style="88" customWidth="1"/>
    <col min="12799" max="12799" width="5.7109375" style="88" customWidth="1"/>
    <col min="12800" max="12800" width="1.28515625" style="88" customWidth="1"/>
    <col min="12801" max="12801" width="6.7109375" style="88" customWidth="1"/>
    <col min="12802" max="12802" width="5.7109375" style="88" customWidth="1"/>
    <col min="12803" max="12803" width="1.28515625" style="88" customWidth="1"/>
    <col min="12804" max="12804" width="6.7109375" style="88" customWidth="1"/>
    <col min="12805" max="12805" width="5.7109375" style="88" customWidth="1"/>
    <col min="12806" max="12806" width="9.28515625" style="88" customWidth="1"/>
    <col min="12807" max="12807" width="14.28515625" style="88" bestFit="1" customWidth="1"/>
    <col min="12808" max="13049" width="11.7109375" style="88"/>
    <col min="13050" max="13050" width="12.28515625" style="88" customWidth="1"/>
    <col min="13051" max="13051" width="7" style="88" customWidth="1"/>
    <col min="13052" max="13052" width="5.7109375" style="88" customWidth="1"/>
    <col min="13053" max="13053" width="1.28515625" style="88" customWidth="1"/>
    <col min="13054" max="13054" width="6.7109375" style="88" customWidth="1"/>
    <col min="13055" max="13055" width="5.7109375" style="88" customWidth="1"/>
    <col min="13056" max="13056" width="1.28515625" style="88" customWidth="1"/>
    <col min="13057" max="13057" width="6.7109375" style="88" customWidth="1"/>
    <col min="13058" max="13058" width="5.7109375" style="88" customWidth="1"/>
    <col min="13059" max="13059" width="1.28515625" style="88" customWidth="1"/>
    <col min="13060" max="13060" width="6.7109375" style="88" customWidth="1"/>
    <col min="13061" max="13061" width="5.7109375" style="88" customWidth="1"/>
    <col min="13062" max="13062" width="9.28515625" style="88" customWidth="1"/>
    <col min="13063" max="13063" width="14.28515625" style="88" bestFit="1" customWidth="1"/>
    <col min="13064" max="13305" width="11.7109375" style="88"/>
    <col min="13306" max="13306" width="12.28515625" style="88" customWidth="1"/>
    <col min="13307" max="13307" width="7" style="88" customWidth="1"/>
    <col min="13308" max="13308" width="5.7109375" style="88" customWidth="1"/>
    <col min="13309" max="13309" width="1.28515625" style="88" customWidth="1"/>
    <col min="13310" max="13310" width="6.7109375" style="88" customWidth="1"/>
    <col min="13311" max="13311" width="5.7109375" style="88" customWidth="1"/>
    <col min="13312" max="13312" width="1.28515625" style="88" customWidth="1"/>
    <col min="13313" max="13313" width="6.7109375" style="88" customWidth="1"/>
    <col min="13314" max="13314" width="5.7109375" style="88" customWidth="1"/>
    <col min="13315" max="13315" width="1.28515625" style="88" customWidth="1"/>
    <col min="13316" max="13316" width="6.7109375" style="88" customWidth="1"/>
    <col min="13317" max="13317" width="5.7109375" style="88" customWidth="1"/>
    <col min="13318" max="13318" width="9.28515625" style="88" customWidth="1"/>
    <col min="13319" max="13319" width="14.28515625" style="88" bestFit="1" customWidth="1"/>
    <col min="13320" max="13561" width="11.7109375" style="88"/>
    <col min="13562" max="13562" width="12.28515625" style="88" customWidth="1"/>
    <col min="13563" max="13563" width="7" style="88" customWidth="1"/>
    <col min="13564" max="13564" width="5.7109375" style="88" customWidth="1"/>
    <col min="13565" max="13565" width="1.28515625" style="88" customWidth="1"/>
    <col min="13566" max="13566" width="6.7109375" style="88" customWidth="1"/>
    <col min="13567" max="13567" width="5.7109375" style="88" customWidth="1"/>
    <col min="13568" max="13568" width="1.28515625" style="88" customWidth="1"/>
    <col min="13569" max="13569" width="6.7109375" style="88" customWidth="1"/>
    <col min="13570" max="13570" width="5.7109375" style="88" customWidth="1"/>
    <col min="13571" max="13571" width="1.28515625" style="88" customWidth="1"/>
    <col min="13572" max="13572" width="6.7109375" style="88" customWidth="1"/>
    <col min="13573" max="13573" width="5.7109375" style="88" customWidth="1"/>
    <col min="13574" max="13574" width="9.28515625" style="88" customWidth="1"/>
    <col min="13575" max="13575" width="14.28515625" style="88" bestFit="1" customWidth="1"/>
    <col min="13576" max="13817" width="11.7109375" style="88"/>
    <col min="13818" max="13818" width="12.28515625" style="88" customWidth="1"/>
    <col min="13819" max="13819" width="7" style="88" customWidth="1"/>
    <col min="13820" max="13820" width="5.7109375" style="88" customWidth="1"/>
    <col min="13821" max="13821" width="1.28515625" style="88" customWidth="1"/>
    <col min="13822" max="13822" width="6.7109375" style="88" customWidth="1"/>
    <col min="13823" max="13823" width="5.7109375" style="88" customWidth="1"/>
    <col min="13824" max="13824" width="1.28515625" style="88" customWidth="1"/>
    <col min="13825" max="13825" width="6.7109375" style="88" customWidth="1"/>
    <col min="13826" max="13826" width="5.7109375" style="88" customWidth="1"/>
    <col min="13827" max="13827" width="1.28515625" style="88" customWidth="1"/>
    <col min="13828" max="13828" width="6.7109375" style="88" customWidth="1"/>
    <col min="13829" max="13829" width="5.7109375" style="88" customWidth="1"/>
    <col min="13830" max="13830" width="9.28515625" style="88" customWidth="1"/>
    <col min="13831" max="13831" width="14.28515625" style="88" bestFit="1" customWidth="1"/>
    <col min="13832" max="14073" width="11.7109375" style="88"/>
    <col min="14074" max="14074" width="12.28515625" style="88" customWidth="1"/>
    <col min="14075" max="14075" width="7" style="88" customWidth="1"/>
    <col min="14076" max="14076" width="5.7109375" style="88" customWidth="1"/>
    <col min="14077" max="14077" width="1.28515625" style="88" customWidth="1"/>
    <col min="14078" max="14078" width="6.7109375" style="88" customWidth="1"/>
    <col min="14079" max="14079" width="5.7109375" style="88" customWidth="1"/>
    <col min="14080" max="14080" width="1.28515625" style="88" customWidth="1"/>
    <col min="14081" max="14081" width="6.7109375" style="88" customWidth="1"/>
    <col min="14082" max="14082" width="5.7109375" style="88" customWidth="1"/>
    <col min="14083" max="14083" width="1.28515625" style="88" customWidth="1"/>
    <col min="14084" max="14084" width="6.7109375" style="88" customWidth="1"/>
    <col min="14085" max="14085" width="5.7109375" style="88" customWidth="1"/>
    <col min="14086" max="14086" width="9.28515625" style="88" customWidth="1"/>
    <col min="14087" max="14087" width="14.28515625" style="88" bestFit="1" customWidth="1"/>
    <col min="14088" max="14329" width="11.7109375" style="88"/>
    <col min="14330" max="14330" width="12.28515625" style="88" customWidth="1"/>
    <col min="14331" max="14331" width="7" style="88" customWidth="1"/>
    <col min="14332" max="14332" width="5.7109375" style="88" customWidth="1"/>
    <col min="14333" max="14333" width="1.28515625" style="88" customWidth="1"/>
    <col min="14334" max="14334" width="6.7109375" style="88" customWidth="1"/>
    <col min="14335" max="14335" width="5.7109375" style="88" customWidth="1"/>
    <col min="14336" max="14336" width="1.28515625" style="88" customWidth="1"/>
    <col min="14337" max="14337" width="6.7109375" style="88" customWidth="1"/>
    <col min="14338" max="14338" width="5.7109375" style="88" customWidth="1"/>
    <col min="14339" max="14339" width="1.28515625" style="88" customWidth="1"/>
    <col min="14340" max="14340" width="6.7109375" style="88" customWidth="1"/>
    <col min="14341" max="14341" width="5.7109375" style="88" customWidth="1"/>
    <col min="14342" max="14342" width="9.28515625" style="88" customWidth="1"/>
    <col min="14343" max="14343" width="14.28515625" style="88" bestFit="1" customWidth="1"/>
    <col min="14344" max="14585" width="11.7109375" style="88"/>
    <col min="14586" max="14586" width="12.28515625" style="88" customWidth="1"/>
    <col min="14587" max="14587" width="7" style="88" customWidth="1"/>
    <col min="14588" max="14588" width="5.7109375" style="88" customWidth="1"/>
    <col min="14589" max="14589" width="1.28515625" style="88" customWidth="1"/>
    <col min="14590" max="14590" width="6.7109375" style="88" customWidth="1"/>
    <col min="14591" max="14591" width="5.7109375" style="88" customWidth="1"/>
    <col min="14592" max="14592" width="1.28515625" style="88" customWidth="1"/>
    <col min="14593" max="14593" width="6.7109375" style="88" customWidth="1"/>
    <col min="14594" max="14594" width="5.7109375" style="88" customWidth="1"/>
    <col min="14595" max="14595" width="1.28515625" style="88" customWidth="1"/>
    <col min="14596" max="14596" width="6.7109375" style="88" customWidth="1"/>
    <col min="14597" max="14597" width="5.7109375" style="88" customWidth="1"/>
    <col min="14598" max="14598" width="9.28515625" style="88" customWidth="1"/>
    <col min="14599" max="14599" width="14.28515625" style="88" bestFit="1" customWidth="1"/>
    <col min="14600" max="14841" width="11.7109375" style="88"/>
    <col min="14842" max="14842" width="12.28515625" style="88" customWidth="1"/>
    <col min="14843" max="14843" width="7" style="88" customWidth="1"/>
    <col min="14844" max="14844" width="5.7109375" style="88" customWidth="1"/>
    <col min="14845" max="14845" width="1.28515625" style="88" customWidth="1"/>
    <col min="14846" max="14846" width="6.7109375" style="88" customWidth="1"/>
    <col min="14847" max="14847" width="5.7109375" style="88" customWidth="1"/>
    <col min="14848" max="14848" width="1.28515625" style="88" customWidth="1"/>
    <col min="14849" max="14849" width="6.7109375" style="88" customWidth="1"/>
    <col min="14850" max="14850" width="5.7109375" style="88" customWidth="1"/>
    <col min="14851" max="14851" width="1.28515625" style="88" customWidth="1"/>
    <col min="14852" max="14852" width="6.7109375" style="88" customWidth="1"/>
    <col min="14853" max="14853" width="5.7109375" style="88" customWidth="1"/>
    <col min="14854" max="14854" width="9.28515625" style="88" customWidth="1"/>
    <col min="14855" max="14855" width="14.28515625" style="88" bestFit="1" customWidth="1"/>
    <col min="14856" max="15097" width="11.7109375" style="88"/>
    <col min="15098" max="15098" width="12.28515625" style="88" customWidth="1"/>
    <col min="15099" max="15099" width="7" style="88" customWidth="1"/>
    <col min="15100" max="15100" width="5.7109375" style="88" customWidth="1"/>
    <col min="15101" max="15101" width="1.28515625" style="88" customWidth="1"/>
    <col min="15102" max="15102" width="6.7109375" style="88" customWidth="1"/>
    <col min="15103" max="15103" width="5.7109375" style="88" customWidth="1"/>
    <col min="15104" max="15104" width="1.28515625" style="88" customWidth="1"/>
    <col min="15105" max="15105" width="6.7109375" style="88" customWidth="1"/>
    <col min="15106" max="15106" width="5.7109375" style="88" customWidth="1"/>
    <col min="15107" max="15107" width="1.28515625" style="88" customWidth="1"/>
    <col min="15108" max="15108" width="6.7109375" style="88" customWidth="1"/>
    <col min="15109" max="15109" width="5.7109375" style="88" customWidth="1"/>
    <col min="15110" max="15110" width="9.28515625" style="88" customWidth="1"/>
    <col min="15111" max="15111" width="14.28515625" style="88" bestFit="1" customWidth="1"/>
    <col min="15112" max="15353" width="11.7109375" style="88"/>
    <col min="15354" max="15354" width="12.28515625" style="88" customWidth="1"/>
    <col min="15355" max="15355" width="7" style="88" customWidth="1"/>
    <col min="15356" max="15356" width="5.7109375" style="88" customWidth="1"/>
    <col min="15357" max="15357" width="1.28515625" style="88" customWidth="1"/>
    <col min="15358" max="15358" width="6.7109375" style="88" customWidth="1"/>
    <col min="15359" max="15359" width="5.7109375" style="88" customWidth="1"/>
    <col min="15360" max="15360" width="1.28515625" style="88" customWidth="1"/>
    <col min="15361" max="15361" width="6.7109375" style="88" customWidth="1"/>
    <col min="15362" max="15362" width="5.7109375" style="88" customWidth="1"/>
    <col min="15363" max="15363" width="1.28515625" style="88" customWidth="1"/>
    <col min="15364" max="15364" width="6.7109375" style="88" customWidth="1"/>
    <col min="15365" max="15365" width="5.7109375" style="88" customWidth="1"/>
    <col min="15366" max="15366" width="9.28515625" style="88" customWidth="1"/>
    <col min="15367" max="15367" width="14.28515625" style="88" bestFit="1" customWidth="1"/>
    <col min="15368" max="15609" width="11.7109375" style="88"/>
    <col min="15610" max="15610" width="12.28515625" style="88" customWidth="1"/>
    <col min="15611" max="15611" width="7" style="88" customWidth="1"/>
    <col min="15612" max="15612" width="5.7109375" style="88" customWidth="1"/>
    <col min="15613" max="15613" width="1.28515625" style="88" customWidth="1"/>
    <col min="15614" max="15614" width="6.7109375" style="88" customWidth="1"/>
    <col min="15615" max="15615" width="5.7109375" style="88" customWidth="1"/>
    <col min="15616" max="15616" width="1.28515625" style="88" customWidth="1"/>
    <col min="15617" max="15617" width="6.7109375" style="88" customWidth="1"/>
    <col min="15618" max="15618" width="5.7109375" style="88" customWidth="1"/>
    <col min="15619" max="15619" width="1.28515625" style="88" customWidth="1"/>
    <col min="15620" max="15620" width="6.7109375" style="88" customWidth="1"/>
    <col min="15621" max="15621" width="5.7109375" style="88" customWidth="1"/>
    <col min="15622" max="15622" width="9.28515625" style="88" customWidth="1"/>
    <col min="15623" max="15623" width="14.28515625" style="88" bestFit="1" customWidth="1"/>
    <col min="15624" max="15865" width="11.7109375" style="88"/>
    <col min="15866" max="15866" width="12.28515625" style="88" customWidth="1"/>
    <col min="15867" max="15867" width="7" style="88" customWidth="1"/>
    <col min="15868" max="15868" width="5.7109375" style="88" customWidth="1"/>
    <col min="15869" max="15869" width="1.28515625" style="88" customWidth="1"/>
    <col min="15870" max="15870" width="6.7109375" style="88" customWidth="1"/>
    <col min="15871" max="15871" width="5.7109375" style="88" customWidth="1"/>
    <col min="15872" max="15872" width="1.28515625" style="88" customWidth="1"/>
    <col min="15873" max="15873" width="6.7109375" style="88" customWidth="1"/>
    <col min="15874" max="15874" width="5.7109375" style="88" customWidth="1"/>
    <col min="15875" max="15875" width="1.28515625" style="88" customWidth="1"/>
    <col min="15876" max="15876" width="6.7109375" style="88" customWidth="1"/>
    <col min="15877" max="15877" width="5.7109375" style="88" customWidth="1"/>
    <col min="15878" max="15878" width="9.28515625" style="88" customWidth="1"/>
    <col min="15879" max="15879" width="14.28515625" style="88" bestFit="1" customWidth="1"/>
    <col min="15880" max="16121" width="11.7109375" style="88"/>
    <col min="16122" max="16122" width="12.28515625" style="88" customWidth="1"/>
    <col min="16123" max="16123" width="7" style="88" customWidth="1"/>
    <col min="16124" max="16124" width="5.7109375" style="88" customWidth="1"/>
    <col min="16125" max="16125" width="1.28515625" style="88" customWidth="1"/>
    <col min="16126" max="16126" width="6.7109375" style="88" customWidth="1"/>
    <col min="16127" max="16127" width="5.7109375" style="88" customWidth="1"/>
    <col min="16128" max="16128" width="1.28515625" style="88" customWidth="1"/>
    <col min="16129" max="16129" width="6.7109375" style="88" customWidth="1"/>
    <col min="16130" max="16130" width="5.7109375" style="88" customWidth="1"/>
    <col min="16131" max="16131" width="1.28515625" style="88" customWidth="1"/>
    <col min="16132" max="16132" width="6.7109375" style="88" customWidth="1"/>
    <col min="16133" max="16133" width="5.7109375" style="88" customWidth="1"/>
    <col min="16134" max="16134" width="9.28515625" style="88" customWidth="1"/>
    <col min="16135" max="16135" width="14.28515625" style="88" bestFit="1" customWidth="1"/>
    <col min="16136" max="16384" width="11.7109375" style="88"/>
  </cols>
  <sheetData>
    <row r="1" spans="1:27" s="47" customFormat="1" ht="12.75" customHeight="1" x14ac:dyDescent="0.25">
      <c r="A1" s="1116" t="s">
        <v>769</v>
      </c>
      <c r="B1" s="1116"/>
      <c r="C1" s="1116"/>
      <c r="D1" s="1116"/>
      <c r="E1" s="1116"/>
      <c r="F1" s="1116"/>
      <c r="G1" s="1116"/>
      <c r="H1" s="1116"/>
      <c r="I1" s="1116"/>
      <c r="J1" s="1116"/>
      <c r="K1" s="1116"/>
      <c r="L1" s="1116"/>
      <c r="M1" s="1116"/>
      <c r="N1" s="1116"/>
      <c r="O1" s="1116"/>
      <c r="P1" s="1116"/>
      <c r="Q1" s="1116"/>
      <c r="R1" s="1116"/>
      <c r="S1" s="1116"/>
      <c r="T1" s="1116"/>
      <c r="U1" s="1116"/>
      <c r="V1" s="1116"/>
      <c r="W1" s="1116"/>
      <c r="X1" s="1116"/>
      <c r="Y1" s="1116"/>
      <c r="Z1" s="1116"/>
      <c r="AA1" s="1116"/>
    </row>
    <row r="2" spans="1:27" ht="12.75" customHeight="1" x14ac:dyDescent="0.3">
      <c r="B2" s="109"/>
      <c r="C2" s="109"/>
      <c r="D2" s="109"/>
      <c r="E2" s="109"/>
      <c r="F2" s="109"/>
      <c r="G2" s="109"/>
      <c r="H2" s="109"/>
      <c r="I2" s="109"/>
      <c r="J2" s="109"/>
      <c r="K2" s="109"/>
      <c r="L2" s="109"/>
      <c r="M2" s="109"/>
      <c r="N2" s="109"/>
      <c r="O2" s="109"/>
      <c r="P2" s="110"/>
      <c r="Q2" s="111"/>
    </row>
    <row r="3" spans="1:27" s="110" customFormat="1" ht="12.75" customHeight="1" x14ac:dyDescent="0.25">
      <c r="A3" s="1115" t="s">
        <v>103</v>
      </c>
      <c r="B3" s="1113">
        <v>2007</v>
      </c>
      <c r="C3" s="1113"/>
      <c r="D3" s="381"/>
      <c r="E3" s="1113">
        <v>2008</v>
      </c>
      <c r="F3" s="1113"/>
      <c r="G3" s="382"/>
      <c r="H3" s="1113">
        <v>2009</v>
      </c>
      <c r="I3" s="1113"/>
      <c r="J3" s="382"/>
      <c r="K3" s="1113">
        <v>2010</v>
      </c>
      <c r="L3" s="1113"/>
      <c r="M3" s="383"/>
      <c r="N3" s="1113">
        <v>2012</v>
      </c>
      <c r="O3" s="1113"/>
      <c r="P3" s="383"/>
      <c r="Q3" s="1113">
        <v>2013</v>
      </c>
      <c r="R3" s="1113"/>
      <c r="S3" s="381"/>
      <c r="T3" s="1113">
        <v>2014</v>
      </c>
      <c r="U3" s="1113"/>
      <c r="V3" s="381"/>
      <c r="W3" s="1113">
        <v>2015</v>
      </c>
      <c r="X3" s="1113"/>
      <c r="Y3" s="382"/>
      <c r="Z3" s="1113">
        <v>2016</v>
      </c>
      <c r="AA3" s="1113"/>
    </row>
    <row r="4" spans="1:27" s="110" customFormat="1" ht="12.75" customHeight="1" x14ac:dyDescent="0.25">
      <c r="A4" s="1115"/>
      <c r="B4" s="384" t="s">
        <v>193</v>
      </c>
      <c r="C4" s="385" t="s">
        <v>194</v>
      </c>
      <c r="D4" s="384"/>
      <c r="E4" s="384" t="s">
        <v>193</v>
      </c>
      <c r="F4" s="385" t="s">
        <v>779</v>
      </c>
      <c r="G4" s="386"/>
      <c r="H4" s="384" t="s">
        <v>193</v>
      </c>
      <c r="I4" s="385" t="s">
        <v>779</v>
      </c>
      <c r="J4" s="386"/>
      <c r="K4" s="384" t="s">
        <v>193</v>
      </c>
      <c r="L4" s="385" t="s">
        <v>779</v>
      </c>
      <c r="M4" s="383"/>
      <c r="N4" s="384" t="s">
        <v>193</v>
      </c>
      <c r="O4" s="385" t="s">
        <v>779</v>
      </c>
      <c r="P4" s="383"/>
      <c r="Q4" s="384" t="s">
        <v>193</v>
      </c>
      <c r="R4" s="385" t="s">
        <v>779</v>
      </c>
      <c r="S4" s="385"/>
      <c r="T4" s="384" t="s">
        <v>193</v>
      </c>
      <c r="U4" s="385" t="s">
        <v>779</v>
      </c>
      <c r="V4" s="384"/>
      <c r="W4" s="384" t="s">
        <v>193</v>
      </c>
      <c r="X4" s="385" t="s">
        <v>779</v>
      </c>
      <c r="Y4" s="386"/>
      <c r="Z4" s="384" t="s">
        <v>193</v>
      </c>
      <c r="AA4" s="385" t="s">
        <v>779</v>
      </c>
    </row>
    <row r="5" spans="1:27" s="110" customFormat="1" ht="12.75" hidden="1" customHeight="1" x14ac:dyDescent="0.25">
      <c r="A5" s="387"/>
      <c r="B5" s="388"/>
      <c r="C5" s="388"/>
      <c r="D5" s="389"/>
      <c r="E5" s="388"/>
      <c r="F5" s="388"/>
      <c r="G5" s="390"/>
      <c r="H5" s="388"/>
      <c r="I5" s="388"/>
      <c r="J5" s="390"/>
      <c r="K5" s="388"/>
      <c r="L5" s="388"/>
      <c r="M5" s="391"/>
      <c r="N5" s="388"/>
      <c r="O5" s="388"/>
      <c r="P5" s="262"/>
      <c r="Q5" s="388"/>
      <c r="R5" s="388"/>
      <c r="S5" s="388"/>
      <c r="T5" s="388"/>
      <c r="U5" s="388"/>
      <c r="V5" s="392"/>
      <c r="W5" s="388"/>
      <c r="X5" s="388"/>
      <c r="Y5" s="392"/>
      <c r="Z5" s="393"/>
      <c r="AA5" s="393"/>
    </row>
    <row r="6" spans="1:27" s="110" customFormat="1" ht="12.75" customHeight="1" x14ac:dyDescent="0.25">
      <c r="A6" s="394" t="s">
        <v>57</v>
      </c>
      <c r="B6" s="395">
        <v>18103104.689999994</v>
      </c>
      <c r="C6" s="395">
        <v>100</v>
      </c>
      <c r="D6" s="395"/>
      <c r="E6" s="395">
        <v>18103380.499999996</v>
      </c>
      <c r="F6" s="395">
        <v>100</v>
      </c>
      <c r="G6" s="395"/>
      <c r="H6" s="395">
        <v>18423572.179999996</v>
      </c>
      <c r="I6" s="395">
        <v>100.00000000000001</v>
      </c>
      <c r="J6" s="395"/>
      <c r="K6" s="395">
        <v>18680252.899999995</v>
      </c>
      <c r="L6" s="395">
        <v>100</v>
      </c>
      <c r="M6" s="396"/>
      <c r="N6" s="395">
        <v>19528864.269999996</v>
      </c>
      <c r="O6" s="395">
        <v>99.999999999999986</v>
      </c>
      <c r="P6" s="395"/>
      <c r="Q6" s="395">
        <v>19520604.829999998</v>
      </c>
      <c r="R6" s="395">
        <v>99.999999999999986</v>
      </c>
      <c r="S6" s="395"/>
      <c r="T6" s="395">
        <v>19518146.579999998</v>
      </c>
      <c r="U6" s="395">
        <v>100</v>
      </c>
      <c r="V6" s="395"/>
      <c r="W6" s="395">
        <v>19456761.129999999</v>
      </c>
      <c r="X6" s="395">
        <v>100.00000000000001</v>
      </c>
      <c r="Y6" s="395"/>
      <c r="Z6" s="395">
        <v>19456761.129999999</v>
      </c>
      <c r="AA6" s="397">
        <v>100.00000000000001</v>
      </c>
    </row>
    <row r="7" spans="1:27" s="110" customFormat="1" ht="12.75" customHeight="1" x14ac:dyDescent="0.25">
      <c r="A7" s="398" t="s">
        <v>190</v>
      </c>
      <c r="B7" s="369">
        <v>7967119.0300000003</v>
      </c>
      <c r="C7" s="369">
        <v>44.01</v>
      </c>
      <c r="D7" s="399"/>
      <c r="E7" s="369">
        <v>7967119.0300000003</v>
      </c>
      <c r="F7" s="369">
        <v>44.01</v>
      </c>
      <c r="G7" s="369"/>
      <c r="H7" s="369">
        <v>7967119.0300000003</v>
      </c>
      <c r="I7" s="400">
        <v>43.24</v>
      </c>
      <c r="J7" s="369"/>
      <c r="K7" s="369">
        <v>7967119.0300000003</v>
      </c>
      <c r="L7" s="400">
        <v>42.65</v>
      </c>
      <c r="M7" s="400"/>
      <c r="N7" s="369">
        <v>8170747.54</v>
      </c>
      <c r="O7" s="369">
        <v>41.84</v>
      </c>
      <c r="P7" s="262"/>
      <c r="Q7" s="369">
        <v>8170747.54</v>
      </c>
      <c r="R7" s="369">
        <v>41.86</v>
      </c>
      <c r="S7" s="369"/>
      <c r="T7" s="369">
        <v>8170747.54</v>
      </c>
      <c r="U7" s="369">
        <v>41.862312625382494</v>
      </c>
      <c r="V7" s="369"/>
      <c r="W7" s="369">
        <v>9525438.8600000013</v>
      </c>
      <c r="X7" s="369">
        <v>48.956960494894055</v>
      </c>
      <c r="Y7" s="369"/>
      <c r="Z7" s="369">
        <v>9525438.8600000013</v>
      </c>
      <c r="AA7" s="369">
        <v>48.956960494894055</v>
      </c>
    </row>
    <row r="8" spans="1:27" s="110" customFormat="1" ht="12.75" customHeight="1" x14ac:dyDescent="0.25">
      <c r="A8" s="398" t="s">
        <v>171</v>
      </c>
      <c r="B8" s="369">
        <v>3298712.62</v>
      </c>
      <c r="C8" s="369">
        <v>18.22</v>
      </c>
      <c r="D8" s="399"/>
      <c r="E8" s="369">
        <v>3298712.62</v>
      </c>
      <c r="F8" s="369">
        <v>18.22</v>
      </c>
      <c r="G8" s="369"/>
      <c r="H8" s="369">
        <v>3719347.96</v>
      </c>
      <c r="I8" s="400">
        <v>20.190000000000001</v>
      </c>
      <c r="J8" s="369"/>
      <c r="K8" s="369">
        <v>4498135.26</v>
      </c>
      <c r="L8" s="400">
        <v>24.07</v>
      </c>
      <c r="M8" s="262"/>
      <c r="N8" s="369">
        <v>4652851.63</v>
      </c>
      <c r="O8" s="369">
        <v>23.83</v>
      </c>
      <c r="P8" s="262"/>
      <c r="Q8" s="369">
        <v>4652851.63</v>
      </c>
      <c r="R8" s="369">
        <v>23.84</v>
      </c>
      <c r="S8" s="369"/>
      <c r="T8" s="369">
        <v>4652851.63</v>
      </c>
      <c r="U8" s="369">
        <v>23.8385935412931</v>
      </c>
      <c r="V8" s="369"/>
      <c r="W8" s="369">
        <v>4652851.63</v>
      </c>
      <c r="X8" s="369">
        <v>23.91380353036179</v>
      </c>
      <c r="Y8" s="369"/>
      <c r="Z8" s="369">
        <v>4652851.63</v>
      </c>
      <c r="AA8" s="369">
        <v>23.91380353036179</v>
      </c>
    </row>
    <row r="9" spans="1:27" s="110" customFormat="1" ht="12.75" customHeight="1" x14ac:dyDescent="0.25">
      <c r="A9" s="398" t="s">
        <v>780</v>
      </c>
      <c r="B9" s="369">
        <v>3543010.59</v>
      </c>
      <c r="C9" s="369">
        <v>19.57</v>
      </c>
      <c r="D9" s="399"/>
      <c r="E9" s="369">
        <v>3543286.4</v>
      </c>
      <c r="F9" s="369">
        <v>19.57</v>
      </c>
      <c r="G9" s="369"/>
      <c r="H9" s="369">
        <v>3365860.5700000003</v>
      </c>
      <c r="I9" s="400">
        <v>18.27</v>
      </c>
      <c r="J9" s="369"/>
      <c r="K9" s="369">
        <v>2843753.99</v>
      </c>
      <c r="L9" s="400">
        <v>15.22</v>
      </c>
      <c r="M9" s="262"/>
      <c r="N9" s="369">
        <v>2932715.23</v>
      </c>
      <c r="O9" s="369">
        <v>15.02</v>
      </c>
      <c r="P9" s="262"/>
      <c r="Q9" s="369">
        <v>2924455.7899999996</v>
      </c>
      <c r="R9" s="369">
        <v>14.96</v>
      </c>
      <c r="S9" s="369"/>
      <c r="T9" s="369">
        <v>2921997.54</v>
      </c>
      <c r="U9" s="369">
        <v>14.970671154781337</v>
      </c>
      <c r="V9" s="369"/>
      <c r="W9" s="369">
        <v>1505920.77</v>
      </c>
      <c r="X9" s="369">
        <v>7.7398327498509003</v>
      </c>
      <c r="Y9" s="369"/>
      <c r="Z9" s="369">
        <v>1505920.77</v>
      </c>
      <c r="AA9" s="369">
        <v>7.7398327498509003</v>
      </c>
    </row>
    <row r="10" spans="1:27" s="110" customFormat="1" ht="12.75" customHeight="1" x14ac:dyDescent="0.25">
      <c r="A10" s="398" t="s">
        <v>131</v>
      </c>
      <c r="B10" s="369">
        <v>1753868.6299999997</v>
      </c>
      <c r="C10" s="369">
        <v>9.69</v>
      </c>
      <c r="D10" s="399"/>
      <c r="E10" s="369">
        <v>1753868.6299999997</v>
      </c>
      <c r="F10" s="369">
        <v>9.69</v>
      </c>
      <c r="G10" s="369"/>
      <c r="H10" s="369">
        <v>1777466.39</v>
      </c>
      <c r="I10" s="400">
        <v>9.65</v>
      </c>
      <c r="J10" s="369"/>
      <c r="K10" s="369">
        <v>1777466.39</v>
      </c>
      <c r="L10" s="400">
        <v>9.52</v>
      </c>
      <c r="M10" s="262"/>
      <c r="N10" s="369">
        <v>2166588.44</v>
      </c>
      <c r="O10" s="369">
        <v>11.09</v>
      </c>
      <c r="P10" s="262"/>
      <c r="Q10" s="369">
        <v>2166588.44</v>
      </c>
      <c r="R10" s="369">
        <v>11.1</v>
      </c>
      <c r="S10" s="369"/>
      <c r="T10" s="369">
        <v>2166588.44</v>
      </c>
      <c r="U10" s="369">
        <v>11.100380003396818</v>
      </c>
      <c r="V10" s="369"/>
      <c r="W10" s="369">
        <v>2166588.44</v>
      </c>
      <c r="X10" s="369">
        <v>11.135401342104055</v>
      </c>
      <c r="Y10" s="369"/>
      <c r="Z10" s="369">
        <v>2166588.44</v>
      </c>
      <c r="AA10" s="369">
        <v>11.135401342104055</v>
      </c>
    </row>
    <row r="11" spans="1:27" s="110" customFormat="1" ht="12.75" customHeight="1" x14ac:dyDescent="0.25">
      <c r="A11" s="398" t="s">
        <v>115</v>
      </c>
      <c r="B11" s="369">
        <v>711818.48</v>
      </c>
      <c r="C11" s="369">
        <v>3.93</v>
      </c>
      <c r="D11" s="399"/>
      <c r="E11" s="369">
        <v>711818.48</v>
      </c>
      <c r="F11" s="369">
        <v>3.93</v>
      </c>
      <c r="G11" s="369"/>
      <c r="H11" s="369">
        <v>711818.48</v>
      </c>
      <c r="I11" s="400">
        <v>3.86</v>
      </c>
      <c r="J11" s="369"/>
      <c r="K11" s="369">
        <v>711818.48</v>
      </c>
      <c r="L11" s="400">
        <v>3.81</v>
      </c>
      <c r="M11" s="262"/>
      <c r="N11" s="369">
        <v>711818.48</v>
      </c>
      <c r="O11" s="369">
        <v>3.64</v>
      </c>
      <c r="P11" s="262"/>
      <c r="Q11" s="369">
        <v>711818.48</v>
      </c>
      <c r="R11" s="369">
        <v>3.65</v>
      </c>
      <c r="S11" s="369"/>
      <c r="T11" s="369">
        <v>711818.48</v>
      </c>
      <c r="U11" s="369">
        <v>3.6469573434262021</v>
      </c>
      <c r="V11" s="369"/>
      <c r="W11" s="369">
        <v>711818.48</v>
      </c>
      <c r="X11" s="369">
        <v>3.6584633755022105</v>
      </c>
      <c r="Y11" s="369"/>
      <c r="Z11" s="369">
        <v>711818.48</v>
      </c>
      <c r="AA11" s="369">
        <v>3.6584633755022105</v>
      </c>
    </row>
    <row r="12" spans="1:27" s="110" customFormat="1" ht="12.75" customHeight="1" x14ac:dyDescent="0.25">
      <c r="A12" s="398" t="s">
        <v>111</v>
      </c>
      <c r="B12" s="369">
        <v>389986.99</v>
      </c>
      <c r="C12" s="369">
        <v>2.15</v>
      </c>
      <c r="D12" s="399"/>
      <c r="E12" s="369">
        <v>389986.99</v>
      </c>
      <c r="F12" s="369">
        <v>2.15</v>
      </c>
      <c r="G12" s="369"/>
      <c r="H12" s="369">
        <v>389986.99</v>
      </c>
      <c r="I12" s="400">
        <v>2.12</v>
      </c>
      <c r="J12" s="369"/>
      <c r="K12" s="369">
        <v>389986.99</v>
      </c>
      <c r="L12" s="400">
        <v>2.09</v>
      </c>
      <c r="M12" s="262"/>
      <c r="N12" s="369">
        <v>389986.99</v>
      </c>
      <c r="O12" s="369">
        <v>2</v>
      </c>
      <c r="P12" s="262"/>
      <c r="Q12" s="369">
        <v>389986.99</v>
      </c>
      <c r="R12" s="369">
        <v>2</v>
      </c>
      <c r="S12" s="369"/>
      <c r="T12" s="369">
        <v>389986.99</v>
      </c>
      <c r="U12" s="369">
        <v>1.9980738867880765</v>
      </c>
      <c r="V12" s="369"/>
      <c r="W12" s="369">
        <v>389986.99</v>
      </c>
      <c r="X12" s="369">
        <v>2.0043777450640881</v>
      </c>
      <c r="Y12" s="369"/>
      <c r="Z12" s="369">
        <v>389986.99</v>
      </c>
      <c r="AA12" s="369">
        <v>2.0043777450640881</v>
      </c>
    </row>
    <row r="13" spans="1:27" s="110" customFormat="1" ht="12.75" customHeight="1" x14ac:dyDescent="0.25">
      <c r="A13" s="398" t="s">
        <v>100</v>
      </c>
      <c r="B13" s="369">
        <v>263982.06</v>
      </c>
      <c r="C13" s="369">
        <v>1.46</v>
      </c>
      <c r="D13" s="399"/>
      <c r="E13" s="369">
        <v>263982.06</v>
      </c>
      <c r="F13" s="369">
        <v>1.46</v>
      </c>
      <c r="G13" s="369"/>
      <c r="H13" s="369">
        <v>317366.46999999997</v>
      </c>
      <c r="I13" s="400">
        <v>1.72</v>
      </c>
      <c r="J13" s="369"/>
      <c r="K13" s="369">
        <v>317366.46999999997</v>
      </c>
      <c r="L13" s="400">
        <v>1.7</v>
      </c>
      <c r="M13" s="262"/>
      <c r="N13" s="369">
        <v>317366.46999999997</v>
      </c>
      <c r="O13" s="369">
        <v>1.63</v>
      </c>
      <c r="P13" s="262"/>
      <c r="Q13" s="369">
        <v>317366.46999999997</v>
      </c>
      <c r="R13" s="369">
        <v>1.63</v>
      </c>
      <c r="S13" s="369"/>
      <c r="T13" s="369">
        <v>317366.46999999997</v>
      </c>
      <c r="U13" s="369">
        <v>1.6260072066740263</v>
      </c>
      <c r="V13" s="369"/>
      <c r="W13" s="369">
        <v>317366.46999999997</v>
      </c>
      <c r="X13" s="369">
        <v>1.631137206647713</v>
      </c>
      <c r="Y13" s="369"/>
      <c r="Z13" s="369">
        <v>317366.46999999997</v>
      </c>
      <c r="AA13" s="369">
        <v>1.631137206647713</v>
      </c>
    </row>
    <row r="14" spans="1:27" s="110" customFormat="1" ht="12.75" customHeight="1" x14ac:dyDescent="0.25">
      <c r="A14" s="398" t="s">
        <v>89</v>
      </c>
      <c r="B14" s="369">
        <v>124735</v>
      </c>
      <c r="C14" s="369">
        <v>0.69</v>
      </c>
      <c r="D14" s="399"/>
      <c r="E14" s="369">
        <v>124735</v>
      </c>
      <c r="F14" s="369">
        <v>0.69</v>
      </c>
      <c r="G14" s="369"/>
      <c r="H14" s="369">
        <v>124735</v>
      </c>
      <c r="I14" s="400">
        <v>0.68</v>
      </c>
      <c r="J14" s="369"/>
      <c r="K14" s="369">
        <v>124735</v>
      </c>
      <c r="L14" s="400">
        <v>0.67</v>
      </c>
      <c r="M14" s="262"/>
      <c r="N14" s="369">
        <v>124735</v>
      </c>
      <c r="O14" s="369">
        <v>0.64</v>
      </c>
      <c r="P14" s="262"/>
      <c r="Q14" s="369">
        <v>124735</v>
      </c>
      <c r="R14" s="369">
        <v>0.64</v>
      </c>
      <c r="S14" s="369"/>
      <c r="T14" s="369">
        <v>124735</v>
      </c>
      <c r="U14" s="369">
        <v>0.6390719502425215</v>
      </c>
      <c r="V14" s="369"/>
      <c r="W14" s="369">
        <v>124735</v>
      </c>
      <c r="X14" s="369">
        <v>0.64108820150787349</v>
      </c>
      <c r="Y14" s="369"/>
      <c r="Z14" s="369">
        <v>124735</v>
      </c>
      <c r="AA14" s="369">
        <v>0.64108820150787349</v>
      </c>
    </row>
    <row r="15" spans="1:27" s="110" customFormat="1" ht="12.75" customHeight="1" x14ac:dyDescent="0.25">
      <c r="A15" s="398" t="s">
        <v>86</v>
      </c>
      <c r="B15" s="369">
        <v>41279.379999999997</v>
      </c>
      <c r="C15" s="369">
        <v>0.23</v>
      </c>
      <c r="D15" s="399"/>
      <c r="E15" s="369">
        <v>41279.379999999997</v>
      </c>
      <c r="F15" s="369">
        <v>0.23</v>
      </c>
      <c r="G15" s="369"/>
      <c r="H15" s="369">
        <v>41279.379999999997</v>
      </c>
      <c r="I15" s="400">
        <v>0.22</v>
      </c>
      <c r="J15" s="369"/>
      <c r="K15" s="369">
        <v>41279.379999999997</v>
      </c>
      <c r="L15" s="400">
        <v>0.22</v>
      </c>
      <c r="M15" s="262"/>
      <c r="N15" s="369">
        <v>41279.379999999997</v>
      </c>
      <c r="O15" s="369">
        <v>0.21</v>
      </c>
      <c r="P15" s="262"/>
      <c r="Q15" s="369">
        <v>41279.379999999997</v>
      </c>
      <c r="R15" s="369">
        <v>0.21</v>
      </c>
      <c r="S15" s="369"/>
      <c r="T15" s="369">
        <v>41279.379999999997</v>
      </c>
      <c r="U15" s="369">
        <v>0.21149231475850513</v>
      </c>
      <c r="V15" s="369"/>
      <c r="W15" s="369">
        <v>41279.379999999997</v>
      </c>
      <c r="X15" s="369">
        <v>0.21215956614871592</v>
      </c>
      <c r="Y15" s="369"/>
      <c r="Z15" s="369">
        <v>41279.379999999997</v>
      </c>
      <c r="AA15" s="369">
        <v>0.21215956614871592</v>
      </c>
    </row>
    <row r="16" spans="1:27" s="110" customFormat="1" ht="12.75" customHeight="1" x14ac:dyDescent="0.25">
      <c r="A16" s="398" t="s">
        <v>80</v>
      </c>
      <c r="B16" s="369">
        <v>8591.91</v>
      </c>
      <c r="C16" s="369">
        <v>0.05</v>
      </c>
      <c r="D16" s="399"/>
      <c r="E16" s="369">
        <v>8591.91</v>
      </c>
      <c r="F16" s="369">
        <v>0.05</v>
      </c>
      <c r="G16" s="369"/>
      <c r="H16" s="369">
        <v>8591.91</v>
      </c>
      <c r="I16" s="400">
        <v>0.05</v>
      </c>
      <c r="J16" s="369"/>
      <c r="K16" s="369">
        <v>8591.91</v>
      </c>
      <c r="L16" s="400">
        <v>0.05</v>
      </c>
      <c r="M16" s="262"/>
      <c r="N16" s="369">
        <v>20775.11</v>
      </c>
      <c r="O16" s="369">
        <v>0.1</v>
      </c>
      <c r="P16" s="262"/>
      <c r="Q16" s="369">
        <v>20775.11</v>
      </c>
      <c r="R16" s="369">
        <v>0.11</v>
      </c>
      <c r="S16" s="369"/>
      <c r="T16" s="369">
        <v>20775.11</v>
      </c>
      <c r="U16" s="369">
        <v>0.10643997325692797</v>
      </c>
      <c r="V16" s="369"/>
      <c r="W16" s="369">
        <v>20775.11</v>
      </c>
      <c r="X16" s="369">
        <v>0.10677578791861338</v>
      </c>
      <c r="Y16" s="369"/>
      <c r="Z16" s="401">
        <v>20775.11</v>
      </c>
      <c r="AA16" s="401">
        <v>0.10677578791861338</v>
      </c>
    </row>
    <row r="17" spans="1:27" s="110" customFormat="1" ht="12.75" customHeight="1" x14ac:dyDescent="0.25">
      <c r="A17" s="402" t="s">
        <v>781</v>
      </c>
      <c r="B17" s="403"/>
      <c r="C17" s="403">
        <v>14.085655893065718</v>
      </c>
      <c r="D17" s="404"/>
      <c r="E17" s="403"/>
      <c r="F17" s="403">
        <v>14.085870495191621</v>
      </c>
      <c r="G17" s="405"/>
      <c r="H17" s="403"/>
      <c r="I17" s="403">
        <v>14.33500509953349</v>
      </c>
      <c r="J17" s="405"/>
      <c r="K17" s="403"/>
      <c r="L17" s="403">
        <v>14.53472312349772</v>
      </c>
      <c r="M17" s="406"/>
      <c r="N17" s="403"/>
      <c r="O17" s="403">
        <v>15.195010292436534</v>
      </c>
      <c r="P17" s="406"/>
      <c r="Q17" s="403"/>
      <c r="R17" s="403">
        <v>15.188583790921925</v>
      </c>
      <c r="S17" s="403"/>
      <c r="T17" s="403"/>
      <c r="U17" s="403">
        <v>15.186676323322162</v>
      </c>
      <c r="V17" s="404"/>
      <c r="W17" s="403"/>
      <c r="X17" s="403">
        <v>15.138913542348547</v>
      </c>
      <c r="Y17" s="405"/>
      <c r="Z17" s="407"/>
      <c r="AA17" s="407">
        <v>15.138913542348547</v>
      </c>
    </row>
    <row r="18" spans="1:27" s="262" customFormat="1" ht="12.75" customHeight="1" x14ac:dyDescent="0.25">
      <c r="B18" s="263"/>
      <c r="C18" s="263"/>
      <c r="D18" s="263"/>
      <c r="E18" s="263"/>
      <c r="F18" s="264"/>
      <c r="G18" s="263"/>
      <c r="H18" s="263"/>
      <c r="I18" s="265"/>
      <c r="J18" s="263"/>
      <c r="K18" s="263"/>
      <c r="N18" s="266"/>
      <c r="AA18" s="267" t="s">
        <v>59</v>
      </c>
    </row>
    <row r="19" spans="1:27" ht="12.75" customHeight="1" x14ac:dyDescent="0.3">
      <c r="A19" s="1114"/>
      <c r="B19" s="1114"/>
      <c r="C19" s="1114"/>
      <c r="D19" s="1114"/>
      <c r="E19" s="1114"/>
      <c r="F19" s="1114"/>
      <c r="G19" s="1114"/>
      <c r="H19" s="1114"/>
      <c r="I19" s="1114"/>
      <c r="J19" s="1114"/>
      <c r="K19" s="1114"/>
      <c r="L19" s="1114"/>
      <c r="M19" s="1114"/>
      <c r="N19" s="1114"/>
      <c r="O19" s="1114"/>
      <c r="P19" s="1114"/>
      <c r="Q19" s="1114"/>
      <c r="R19" s="1114"/>
      <c r="S19" s="113"/>
    </row>
    <row r="20" spans="1:27" ht="12.75" customHeight="1" x14ac:dyDescent="0.3">
      <c r="A20" s="302"/>
      <c r="B20" s="267"/>
      <c r="C20" s="301"/>
      <c r="D20" s="301"/>
      <c r="E20" s="267"/>
      <c r="F20" s="301"/>
      <c r="G20" s="301"/>
      <c r="H20" s="267"/>
      <c r="I20" s="301"/>
      <c r="J20" s="301"/>
      <c r="K20" s="267"/>
      <c r="L20" s="301"/>
      <c r="M20" s="301"/>
      <c r="N20" s="301"/>
      <c r="O20" s="302"/>
      <c r="P20" s="302"/>
      <c r="Q20" s="266"/>
      <c r="R20" s="302"/>
      <c r="S20" s="267"/>
      <c r="T20" s="302"/>
      <c r="U20" s="302"/>
      <c r="V20" s="302"/>
      <c r="W20" s="302"/>
      <c r="X20" s="302"/>
      <c r="Y20" s="302"/>
      <c r="Z20" s="302"/>
      <c r="AA20" s="267" t="s">
        <v>50</v>
      </c>
    </row>
    <row r="21" spans="1:27" ht="12.75" customHeight="1" x14ac:dyDescent="0.3">
      <c r="A21" s="1115" t="s">
        <v>103</v>
      </c>
      <c r="B21" s="408"/>
      <c r="C21" s="408"/>
      <c r="D21" s="408"/>
      <c r="E21" s="408"/>
      <c r="F21" s="408"/>
      <c r="G21" s="408"/>
      <c r="H21" s="408"/>
      <c r="I21" s="408"/>
      <c r="J21" s="382"/>
      <c r="K21" s="408"/>
      <c r="L21" s="408"/>
      <c r="M21" s="382"/>
      <c r="N21" s="1113">
        <v>2017</v>
      </c>
      <c r="O21" s="1113"/>
      <c r="P21" s="382"/>
      <c r="Q21" s="1113">
        <v>2018</v>
      </c>
      <c r="R21" s="1113"/>
      <c r="S21" s="382"/>
      <c r="T21" s="1113">
        <v>2019</v>
      </c>
      <c r="U21" s="1113"/>
      <c r="V21" s="382"/>
      <c r="W21" s="1113">
        <v>2020</v>
      </c>
      <c r="X21" s="1113"/>
      <c r="Y21" s="382"/>
      <c r="Z21" s="1113">
        <v>2021</v>
      </c>
      <c r="AA21" s="1113"/>
    </row>
    <row r="22" spans="1:27" ht="12.75" customHeight="1" x14ac:dyDescent="0.3">
      <c r="A22" s="1115"/>
      <c r="B22" s="408"/>
      <c r="C22" s="408"/>
      <c r="D22" s="408"/>
      <c r="E22" s="408"/>
      <c r="F22" s="408"/>
      <c r="G22" s="408"/>
      <c r="H22" s="408"/>
      <c r="I22" s="408"/>
      <c r="J22" s="386"/>
      <c r="K22" s="408"/>
      <c r="L22" s="408"/>
      <c r="M22" s="386"/>
      <c r="N22" s="384" t="s">
        <v>193</v>
      </c>
      <c r="O22" s="385" t="s">
        <v>779</v>
      </c>
      <c r="P22" s="386"/>
      <c r="Q22" s="384" t="s">
        <v>193</v>
      </c>
      <c r="R22" s="385" t="s">
        <v>779</v>
      </c>
      <c r="S22" s="386"/>
      <c r="T22" s="384" t="s">
        <v>193</v>
      </c>
      <c r="U22" s="385" t="s">
        <v>779</v>
      </c>
      <c r="V22" s="386"/>
      <c r="W22" s="384" t="s">
        <v>193</v>
      </c>
      <c r="X22" s="385" t="s">
        <v>779</v>
      </c>
      <c r="Y22" s="386"/>
      <c r="Z22" s="384" t="s">
        <v>193</v>
      </c>
      <c r="AA22" s="385" t="s">
        <v>779</v>
      </c>
    </row>
    <row r="23" spans="1:27" ht="12.75" hidden="1" customHeight="1" x14ac:dyDescent="0.3">
      <c r="A23" s="409"/>
      <c r="B23" s="410"/>
      <c r="C23" s="410"/>
      <c r="D23" s="410"/>
      <c r="E23" s="410"/>
      <c r="F23" s="410"/>
      <c r="G23" s="410"/>
      <c r="H23" s="410"/>
      <c r="I23" s="410"/>
      <c r="J23" s="411"/>
      <c r="K23" s="410"/>
      <c r="L23" s="410"/>
      <c r="M23" s="411"/>
      <c r="N23" s="393"/>
      <c r="O23" s="393"/>
      <c r="P23" s="411"/>
      <c r="Q23" s="393"/>
      <c r="R23" s="393"/>
      <c r="S23" s="411"/>
      <c r="T23" s="393"/>
      <c r="U23" s="393"/>
      <c r="V23" s="411"/>
      <c r="W23" s="393"/>
      <c r="X23" s="393"/>
      <c r="Y23" s="411"/>
      <c r="Z23" s="393"/>
      <c r="AA23" s="393"/>
    </row>
    <row r="24" spans="1:27" s="114" customFormat="1" ht="12.75" customHeight="1" x14ac:dyDescent="0.25">
      <c r="A24" s="394" t="s">
        <v>57</v>
      </c>
      <c r="B24" s="412"/>
      <c r="C24" s="412"/>
      <c r="D24" s="412"/>
      <c r="E24" s="412"/>
      <c r="F24" s="412"/>
      <c r="G24" s="412"/>
      <c r="H24" s="412"/>
      <c r="I24" s="412"/>
      <c r="J24" s="395"/>
      <c r="K24" s="302"/>
      <c r="L24" s="302"/>
      <c r="M24" s="395"/>
      <c r="N24" s="395">
        <v>19456485.32</v>
      </c>
      <c r="O24" s="395">
        <v>100</v>
      </c>
      <c r="P24" s="395"/>
      <c r="Q24" s="395">
        <v>19456485.59</v>
      </c>
      <c r="R24" s="395">
        <v>99.997799999999984</v>
      </c>
      <c r="S24" s="395"/>
      <c r="T24" s="395">
        <v>19445523.449999999</v>
      </c>
      <c r="U24" s="395">
        <v>100.00000000000001</v>
      </c>
      <c r="V24" s="395"/>
      <c r="W24" s="395">
        <v>19445523.449999999</v>
      </c>
      <c r="X24" s="395">
        <v>100.00000000000001</v>
      </c>
      <c r="Y24" s="395"/>
      <c r="Z24" s="395">
        <v>25647470.620000001</v>
      </c>
      <c r="AA24" s="395">
        <v>100</v>
      </c>
    </row>
    <row r="25" spans="1:27" s="115" customFormat="1" ht="12.75" customHeight="1" x14ac:dyDescent="0.25">
      <c r="A25" s="413" t="s">
        <v>190</v>
      </c>
      <c r="B25" s="414"/>
      <c r="C25" s="414"/>
      <c r="D25" s="414"/>
      <c r="E25" s="414"/>
      <c r="F25" s="414"/>
      <c r="G25" s="414"/>
      <c r="H25" s="414"/>
      <c r="I25" s="414"/>
      <c r="J25" s="369"/>
      <c r="K25" s="302"/>
      <c r="L25" s="302"/>
      <c r="M25" s="369"/>
      <c r="N25" s="369">
        <v>9525438.8600000013</v>
      </c>
      <c r="O25" s="369">
        <v>48.96</v>
      </c>
      <c r="P25" s="369"/>
      <c r="Q25" s="415">
        <v>10394366.700000001</v>
      </c>
      <c r="R25" s="369">
        <v>53.423699999999997</v>
      </c>
      <c r="S25" s="369"/>
      <c r="T25" s="415">
        <v>10394366.700000001</v>
      </c>
      <c r="U25" s="369">
        <v>53.45</v>
      </c>
      <c r="V25" s="369"/>
      <c r="W25" s="415">
        <v>10394366.700000001</v>
      </c>
      <c r="X25" s="369">
        <v>53.45</v>
      </c>
      <c r="Y25" s="369"/>
      <c r="Z25" s="415">
        <v>10394366.699999999</v>
      </c>
      <c r="AA25" s="369">
        <v>40.53</v>
      </c>
    </row>
    <row r="26" spans="1:27" s="115" customFormat="1" ht="12.75" customHeight="1" x14ac:dyDescent="0.25">
      <c r="A26" s="413" t="s">
        <v>171</v>
      </c>
      <c r="B26" s="414"/>
      <c r="C26" s="414"/>
      <c r="D26" s="414"/>
      <c r="E26" s="414"/>
      <c r="F26" s="414"/>
      <c r="G26" s="414"/>
      <c r="H26" s="414"/>
      <c r="I26" s="414"/>
      <c r="J26" s="369"/>
      <c r="K26" s="302"/>
      <c r="L26" s="302"/>
      <c r="M26" s="369"/>
      <c r="N26" s="369">
        <v>4652851.63</v>
      </c>
      <c r="O26" s="369">
        <v>23.91</v>
      </c>
      <c r="P26" s="369"/>
      <c r="Q26" s="415">
        <v>4652851.63</v>
      </c>
      <c r="R26" s="369">
        <v>23.914100000000001</v>
      </c>
      <c r="S26" s="369"/>
      <c r="T26" s="415">
        <v>4652851.63</v>
      </c>
      <c r="U26" s="369">
        <v>23.93</v>
      </c>
      <c r="V26" s="369"/>
      <c r="W26" s="415">
        <v>4652851.63</v>
      </c>
      <c r="X26" s="369">
        <v>23.93</v>
      </c>
      <c r="Y26" s="369"/>
      <c r="Z26" s="415">
        <v>10892251.380000001</v>
      </c>
      <c r="AA26" s="369">
        <v>42.47</v>
      </c>
    </row>
    <row r="27" spans="1:27" s="115" customFormat="1" ht="12.75" customHeight="1" x14ac:dyDescent="0.25">
      <c r="A27" s="398" t="s">
        <v>780</v>
      </c>
      <c r="B27" s="414"/>
      <c r="C27" s="414"/>
      <c r="D27" s="414"/>
      <c r="E27" s="414"/>
      <c r="F27" s="414"/>
      <c r="G27" s="414"/>
      <c r="H27" s="414"/>
      <c r="I27" s="414"/>
      <c r="J27" s="369"/>
      <c r="K27" s="302"/>
      <c r="L27" s="302"/>
      <c r="M27" s="369"/>
      <c r="N27" s="369">
        <v>1505644.9600000002</v>
      </c>
      <c r="O27" s="369">
        <v>7.74</v>
      </c>
      <c r="P27" s="369"/>
      <c r="Q27" s="415">
        <v>636717.39000000013</v>
      </c>
      <c r="R27" s="369">
        <v>3.27</v>
      </c>
      <c r="S27" s="369"/>
      <c r="T27" s="415">
        <v>625755.25000000012</v>
      </c>
      <c r="U27" s="369">
        <v>3.23</v>
      </c>
      <c r="V27" s="369"/>
      <c r="W27" s="415">
        <v>625755.25000000012</v>
      </c>
      <c r="X27" s="369">
        <v>3.23</v>
      </c>
      <c r="Y27" s="369"/>
      <c r="Z27" s="415">
        <v>588302.67000000004</v>
      </c>
      <c r="AA27" s="369">
        <v>2.29</v>
      </c>
    </row>
    <row r="28" spans="1:27" s="115" customFormat="1" ht="12.75" customHeight="1" x14ac:dyDescent="0.25">
      <c r="A28" s="413" t="s">
        <v>131</v>
      </c>
      <c r="B28" s="414"/>
      <c r="C28" s="414"/>
      <c r="D28" s="414"/>
      <c r="E28" s="414"/>
      <c r="F28" s="414"/>
      <c r="G28" s="414"/>
      <c r="H28" s="414"/>
      <c r="I28" s="414"/>
      <c r="J28" s="369"/>
      <c r="K28" s="302"/>
      <c r="L28" s="302"/>
      <c r="M28" s="369"/>
      <c r="N28" s="369">
        <v>2166588.44</v>
      </c>
      <c r="O28" s="369">
        <v>11.14</v>
      </c>
      <c r="P28" s="369"/>
      <c r="Q28" s="415">
        <v>2166588.44</v>
      </c>
      <c r="R28" s="369">
        <v>11.14</v>
      </c>
      <c r="S28" s="369"/>
      <c r="T28" s="415">
        <v>2166588.44</v>
      </c>
      <c r="U28" s="369">
        <v>11.14</v>
      </c>
      <c r="V28" s="369"/>
      <c r="W28" s="415">
        <v>2166588.44</v>
      </c>
      <c r="X28" s="369">
        <v>11.14</v>
      </c>
      <c r="Y28" s="369"/>
      <c r="Z28" s="415">
        <v>2166588.44</v>
      </c>
      <c r="AA28" s="369">
        <v>8.4499999999999993</v>
      </c>
    </row>
    <row r="29" spans="1:27" s="115" customFormat="1" ht="12.75" customHeight="1" x14ac:dyDescent="0.25">
      <c r="A29" s="413" t="s">
        <v>115</v>
      </c>
      <c r="B29" s="414"/>
      <c r="C29" s="414"/>
      <c r="D29" s="414"/>
      <c r="E29" s="414"/>
      <c r="F29" s="414"/>
      <c r="G29" s="414"/>
      <c r="H29" s="414"/>
      <c r="I29" s="414"/>
      <c r="J29" s="369"/>
      <c r="K29" s="302"/>
      <c r="L29" s="302"/>
      <c r="M29" s="369"/>
      <c r="N29" s="369">
        <v>711818.48</v>
      </c>
      <c r="O29" s="369">
        <v>3.66</v>
      </c>
      <c r="P29" s="369"/>
      <c r="Q29" s="415">
        <v>711818.48</v>
      </c>
      <c r="R29" s="369">
        <v>3.66</v>
      </c>
      <c r="S29" s="369"/>
      <c r="T29" s="415">
        <v>711818.48</v>
      </c>
      <c r="U29" s="369">
        <v>3.66</v>
      </c>
      <c r="V29" s="369"/>
      <c r="W29" s="415">
        <v>711818.48</v>
      </c>
      <c r="X29" s="369">
        <v>3.66</v>
      </c>
      <c r="Y29" s="369"/>
      <c r="Z29" s="415">
        <v>711818.48</v>
      </c>
      <c r="AA29" s="369">
        <v>2.78</v>
      </c>
    </row>
    <row r="30" spans="1:27" s="115" customFormat="1" ht="12.75" customHeight="1" x14ac:dyDescent="0.25">
      <c r="A30" s="413" t="s">
        <v>111</v>
      </c>
      <c r="B30" s="414"/>
      <c r="C30" s="414"/>
      <c r="D30" s="414"/>
      <c r="E30" s="414"/>
      <c r="F30" s="414"/>
      <c r="G30" s="414"/>
      <c r="H30" s="414"/>
      <c r="I30" s="414"/>
      <c r="J30" s="369"/>
      <c r="K30" s="302"/>
      <c r="L30" s="302"/>
      <c r="M30" s="369"/>
      <c r="N30" s="369">
        <v>389986.99</v>
      </c>
      <c r="O30" s="369">
        <v>2</v>
      </c>
      <c r="P30" s="369"/>
      <c r="Q30" s="415">
        <v>389986.99</v>
      </c>
      <c r="R30" s="369">
        <v>2</v>
      </c>
      <c r="S30" s="369"/>
      <c r="T30" s="415">
        <v>389986.99</v>
      </c>
      <c r="U30" s="369">
        <v>2</v>
      </c>
      <c r="V30" s="369"/>
      <c r="W30" s="415">
        <v>389986.99</v>
      </c>
      <c r="X30" s="369">
        <v>2</v>
      </c>
      <c r="Y30" s="369"/>
      <c r="Z30" s="415">
        <v>389986.99</v>
      </c>
      <c r="AA30" s="369">
        <v>1.52</v>
      </c>
    </row>
    <row r="31" spans="1:27" s="115" customFormat="1" ht="12.75" customHeight="1" x14ac:dyDescent="0.25">
      <c r="A31" s="413" t="s">
        <v>100</v>
      </c>
      <c r="B31" s="414"/>
      <c r="C31" s="414"/>
      <c r="D31" s="414"/>
      <c r="E31" s="414"/>
      <c r="F31" s="414"/>
      <c r="G31" s="414"/>
      <c r="H31" s="414"/>
      <c r="I31" s="414"/>
      <c r="J31" s="369"/>
      <c r="K31" s="302"/>
      <c r="L31" s="302"/>
      <c r="M31" s="369"/>
      <c r="N31" s="369">
        <v>317366.46999999997</v>
      </c>
      <c r="O31" s="369">
        <v>1.63</v>
      </c>
      <c r="P31" s="369"/>
      <c r="Q31" s="415">
        <v>317366.46999999997</v>
      </c>
      <c r="R31" s="369">
        <v>1.63</v>
      </c>
      <c r="S31" s="369"/>
      <c r="T31" s="415">
        <v>317366.46999999997</v>
      </c>
      <c r="U31" s="369">
        <v>1.63</v>
      </c>
      <c r="V31" s="369"/>
      <c r="W31" s="415">
        <v>317366.46999999997</v>
      </c>
      <c r="X31" s="369">
        <v>1.63</v>
      </c>
      <c r="Y31" s="369"/>
      <c r="Z31" s="415">
        <v>317366.46999999997</v>
      </c>
      <c r="AA31" s="369">
        <v>1.24</v>
      </c>
    </row>
    <row r="32" spans="1:27" s="115" customFormat="1" ht="12.75" customHeight="1" x14ac:dyDescent="0.25">
      <c r="A32" s="413" t="s">
        <v>89</v>
      </c>
      <c r="B32" s="414"/>
      <c r="C32" s="414"/>
      <c r="D32" s="414"/>
      <c r="E32" s="414"/>
      <c r="F32" s="414"/>
      <c r="G32" s="414"/>
      <c r="H32" s="414"/>
      <c r="I32" s="414"/>
      <c r="J32" s="369"/>
      <c r="K32" s="302"/>
      <c r="L32" s="302"/>
      <c r="M32" s="369"/>
      <c r="N32" s="369">
        <v>124735</v>
      </c>
      <c r="O32" s="369">
        <v>0.64</v>
      </c>
      <c r="P32" s="369"/>
      <c r="Q32" s="415">
        <v>124735</v>
      </c>
      <c r="R32" s="369">
        <v>0.64</v>
      </c>
      <c r="S32" s="369"/>
      <c r="T32" s="415">
        <v>124735</v>
      </c>
      <c r="U32" s="369">
        <v>0.64</v>
      </c>
      <c r="V32" s="369"/>
      <c r="W32" s="415">
        <v>124735</v>
      </c>
      <c r="X32" s="369">
        <v>0.64</v>
      </c>
      <c r="Y32" s="369"/>
      <c r="Z32" s="415">
        <v>124735</v>
      </c>
      <c r="AA32" s="369">
        <v>0.49</v>
      </c>
    </row>
    <row r="33" spans="1:27" s="115" customFormat="1" ht="12.75" customHeight="1" x14ac:dyDescent="0.25">
      <c r="A33" s="413" t="s">
        <v>86</v>
      </c>
      <c r="B33" s="414"/>
      <c r="C33" s="414"/>
      <c r="D33" s="414"/>
      <c r="E33" s="414"/>
      <c r="F33" s="414"/>
      <c r="G33" s="414"/>
      <c r="H33" s="414"/>
      <c r="I33" s="414"/>
      <c r="J33" s="369"/>
      <c r="K33" s="302"/>
      <c r="L33" s="302"/>
      <c r="M33" s="369"/>
      <c r="N33" s="369">
        <v>41279.379999999997</v>
      </c>
      <c r="O33" s="369">
        <v>0.21</v>
      </c>
      <c r="P33" s="369"/>
      <c r="Q33" s="415">
        <v>41279.379999999997</v>
      </c>
      <c r="R33" s="369">
        <v>0.21</v>
      </c>
      <c r="S33" s="369"/>
      <c r="T33" s="415">
        <v>41279.379999999997</v>
      </c>
      <c r="U33" s="369">
        <v>0.21</v>
      </c>
      <c r="V33" s="369"/>
      <c r="W33" s="415">
        <v>41279.379999999997</v>
      </c>
      <c r="X33" s="369">
        <v>0.21</v>
      </c>
      <c r="Y33" s="369"/>
      <c r="Z33" s="415">
        <v>41279.379999999997</v>
      </c>
      <c r="AA33" s="369">
        <v>0.16</v>
      </c>
    </row>
    <row r="34" spans="1:27" s="116" customFormat="1" ht="12.75" customHeight="1" x14ac:dyDescent="0.25">
      <c r="A34" s="416" t="s">
        <v>80</v>
      </c>
      <c r="B34" s="417"/>
      <c r="C34" s="417"/>
      <c r="D34" s="417"/>
      <c r="E34" s="417"/>
      <c r="F34" s="417"/>
      <c r="G34" s="417"/>
      <c r="H34" s="417"/>
      <c r="I34" s="417"/>
      <c r="J34" s="401"/>
      <c r="K34" s="418"/>
      <c r="L34" s="418"/>
      <c r="M34" s="401"/>
      <c r="N34" s="401">
        <v>20775.11</v>
      </c>
      <c r="O34" s="401">
        <v>0.11</v>
      </c>
      <c r="P34" s="401"/>
      <c r="Q34" s="419">
        <v>20775.11</v>
      </c>
      <c r="R34" s="401">
        <v>0.11</v>
      </c>
      <c r="S34" s="401"/>
      <c r="T34" s="420">
        <v>20775.11</v>
      </c>
      <c r="U34" s="401">
        <v>0.11</v>
      </c>
      <c r="V34" s="401"/>
      <c r="W34" s="420">
        <v>20775.11</v>
      </c>
      <c r="X34" s="401">
        <v>0.11</v>
      </c>
      <c r="Y34" s="401"/>
      <c r="Z34" s="420">
        <v>20775.11</v>
      </c>
      <c r="AA34" s="369">
        <v>0.08</v>
      </c>
    </row>
    <row r="35" spans="1:27" ht="12.75" customHeight="1" x14ac:dyDescent="0.3">
      <c r="A35" s="421" t="s">
        <v>781</v>
      </c>
      <c r="B35" s="407"/>
      <c r="C35" s="407"/>
      <c r="D35" s="422"/>
      <c r="E35" s="407"/>
      <c r="F35" s="407"/>
      <c r="G35" s="423"/>
      <c r="H35" s="407"/>
      <c r="I35" s="407"/>
      <c r="J35" s="423"/>
      <c r="K35" s="407"/>
      <c r="L35" s="407"/>
      <c r="M35" s="424"/>
      <c r="N35" s="407"/>
      <c r="O35" s="407">
        <v>15.138693710222629</v>
      </c>
      <c r="P35" s="424"/>
      <c r="Q35" s="407"/>
      <c r="R35" s="407">
        <v>15.13869392030411</v>
      </c>
      <c r="S35" s="407"/>
      <c r="T35" s="407"/>
      <c r="U35" s="407">
        <v>15.130164503138618</v>
      </c>
      <c r="V35" s="422"/>
      <c r="W35" s="407"/>
      <c r="X35" s="407">
        <v>15.130164503138618</v>
      </c>
      <c r="Y35" s="423"/>
      <c r="Z35" s="407"/>
      <c r="AA35" s="467">
        <v>20</v>
      </c>
    </row>
    <row r="36" spans="1:27" s="496" customFormat="1" ht="12.75" customHeight="1" x14ac:dyDescent="0.3">
      <c r="A36" s="491" t="s">
        <v>846</v>
      </c>
      <c r="B36" s="492"/>
      <c r="C36" s="492"/>
      <c r="D36" s="493"/>
      <c r="E36" s="492"/>
      <c r="F36" s="492"/>
      <c r="G36" s="494"/>
      <c r="H36" s="492"/>
      <c r="I36" s="492"/>
      <c r="J36" s="494"/>
      <c r="K36" s="492"/>
      <c r="L36" s="492"/>
      <c r="M36" s="495"/>
      <c r="N36" s="492"/>
      <c r="O36" s="492"/>
      <c r="P36" s="495"/>
      <c r="Q36" s="492"/>
      <c r="R36" s="492"/>
      <c r="S36" s="492"/>
      <c r="T36" s="492"/>
      <c r="U36" s="492"/>
      <c r="V36" s="493"/>
      <c r="W36" s="492"/>
      <c r="X36" s="492"/>
      <c r="Y36" s="494"/>
      <c r="Z36" s="492"/>
      <c r="AA36" s="492"/>
    </row>
    <row r="37" spans="1:27" s="268" customFormat="1" ht="12.75" customHeight="1" x14ac:dyDescent="0.25">
      <c r="A37" s="268" t="s">
        <v>733</v>
      </c>
      <c r="C37" s="271"/>
      <c r="D37" s="271"/>
      <c r="F37" s="271"/>
      <c r="I37" s="272"/>
      <c r="Q37" s="269"/>
    </row>
    <row r="38" spans="1:27" s="268" customFormat="1" ht="12.75" customHeight="1" x14ac:dyDescent="0.25">
      <c r="A38" s="268" t="s">
        <v>734</v>
      </c>
      <c r="N38" s="270"/>
    </row>
    <row r="39" spans="1:27" s="268" customFormat="1" ht="12.75" customHeight="1" x14ac:dyDescent="0.25">
      <c r="A39" s="268" t="s">
        <v>783</v>
      </c>
    </row>
    <row r="40" spans="1:27" s="268" customFormat="1" ht="12.75" customHeight="1" x14ac:dyDescent="0.25">
      <c r="A40" s="273" t="s">
        <v>76</v>
      </c>
    </row>
    <row r="43" spans="1:27" ht="12.75" customHeight="1" x14ac:dyDescent="0.3">
      <c r="A43" s="117"/>
      <c r="B43" s="107"/>
      <c r="C43" s="107"/>
      <c r="D43" s="107"/>
      <c r="E43" s="107"/>
      <c r="F43" s="107"/>
      <c r="G43" s="1112"/>
      <c r="H43" s="1112"/>
      <c r="J43" s="107"/>
      <c r="L43" s="107"/>
    </row>
    <row r="44" spans="1:27" ht="12.75" customHeight="1" x14ac:dyDescent="0.3">
      <c r="A44" s="118"/>
      <c r="B44" s="119"/>
      <c r="C44" s="119"/>
      <c r="D44" s="119"/>
      <c r="E44" s="119"/>
      <c r="F44" s="119"/>
      <c r="G44" s="120"/>
      <c r="H44" s="119"/>
      <c r="J44" s="121">
        <v>18680252.899999995</v>
      </c>
    </row>
    <row r="45" spans="1:27" ht="12.75" customHeight="1" x14ac:dyDescent="0.3">
      <c r="A45" s="118"/>
      <c r="B45" s="119"/>
      <c r="C45" s="119"/>
      <c r="D45" s="119"/>
      <c r="E45" s="119"/>
      <c r="F45" s="119"/>
      <c r="G45" s="122"/>
      <c r="H45" s="119"/>
      <c r="J45" s="121">
        <v>7967119.0300000003</v>
      </c>
    </row>
    <row r="46" spans="1:27" ht="12.75" customHeight="1" x14ac:dyDescent="0.3">
      <c r="A46" s="118"/>
      <c r="B46" s="119"/>
      <c r="C46" s="119"/>
      <c r="D46" s="119"/>
      <c r="E46" s="119"/>
      <c r="F46" s="119"/>
      <c r="G46" s="120"/>
      <c r="H46" s="119"/>
      <c r="J46" s="121">
        <v>4498135.26</v>
      </c>
    </row>
    <row r="47" spans="1:27" ht="12.75" customHeight="1" x14ac:dyDescent="0.3">
      <c r="A47" s="118"/>
      <c r="B47" s="119"/>
      <c r="C47" s="119"/>
      <c r="D47" s="119"/>
      <c r="E47" s="119"/>
      <c r="F47" s="119"/>
      <c r="G47" s="122"/>
      <c r="H47" s="119"/>
      <c r="J47" s="121"/>
    </row>
    <row r="48" spans="1:27" ht="12.75" customHeight="1" x14ac:dyDescent="0.3">
      <c r="A48" s="118"/>
      <c r="B48" s="119"/>
      <c r="C48" s="119"/>
      <c r="D48" s="119"/>
      <c r="E48" s="119"/>
      <c r="F48" s="119"/>
      <c r="G48" s="120"/>
      <c r="H48" s="119"/>
      <c r="J48" s="121">
        <v>1777466.39</v>
      </c>
    </row>
    <row r="49" spans="1:15" ht="12.75" customHeight="1" x14ac:dyDescent="0.3">
      <c r="A49" s="118"/>
      <c r="B49" s="119"/>
      <c r="C49" s="119"/>
      <c r="D49" s="119"/>
      <c r="E49" s="119"/>
      <c r="F49" s="119"/>
      <c r="G49" s="120"/>
      <c r="H49" s="119"/>
      <c r="J49" s="121">
        <v>711818.48</v>
      </c>
    </row>
    <row r="50" spans="1:15" ht="12.75" customHeight="1" x14ac:dyDescent="0.3">
      <c r="A50" s="118"/>
      <c r="B50" s="119"/>
      <c r="C50" s="119"/>
      <c r="D50" s="119"/>
      <c r="E50" s="119"/>
      <c r="F50" s="119"/>
      <c r="G50" s="123"/>
      <c r="H50" s="119"/>
      <c r="J50" s="121">
        <v>389986.99</v>
      </c>
      <c r="K50" s="88"/>
      <c r="L50" s="88"/>
      <c r="M50" s="88"/>
      <c r="N50" s="88"/>
      <c r="O50" s="88"/>
    </row>
    <row r="51" spans="1:15" ht="12.75" customHeight="1" x14ac:dyDescent="0.3">
      <c r="A51" s="118"/>
      <c r="B51" s="119"/>
      <c r="C51" s="119"/>
      <c r="D51" s="119"/>
      <c r="E51" s="119"/>
      <c r="F51" s="119"/>
      <c r="G51" s="120"/>
      <c r="H51" s="119"/>
      <c r="J51" s="121">
        <v>317366.46999999997</v>
      </c>
      <c r="K51" s="88"/>
      <c r="L51" s="88"/>
      <c r="M51" s="88"/>
      <c r="N51" s="88"/>
      <c r="O51" s="88"/>
    </row>
    <row r="52" spans="1:15" ht="12.75" customHeight="1" x14ac:dyDescent="0.3">
      <c r="A52" s="118"/>
      <c r="B52" s="119"/>
      <c r="C52" s="119"/>
      <c r="D52" s="119"/>
      <c r="E52" s="119"/>
      <c r="F52" s="119"/>
      <c r="G52" s="120"/>
      <c r="H52" s="119"/>
      <c r="J52" s="121">
        <v>124735</v>
      </c>
      <c r="K52" s="88"/>
      <c r="L52" s="88"/>
      <c r="M52" s="88"/>
      <c r="N52" s="88"/>
      <c r="O52" s="88"/>
    </row>
    <row r="53" spans="1:15" ht="12.75" customHeight="1" x14ac:dyDescent="0.3">
      <c r="A53" s="118"/>
      <c r="B53" s="119"/>
      <c r="C53" s="119"/>
      <c r="D53" s="119"/>
      <c r="E53" s="119"/>
      <c r="F53" s="119"/>
      <c r="G53" s="120"/>
      <c r="H53" s="119"/>
      <c r="J53" s="121">
        <v>41279.379999999997</v>
      </c>
      <c r="K53" s="88"/>
      <c r="L53" s="88"/>
      <c r="M53" s="88"/>
      <c r="N53" s="88"/>
      <c r="O53" s="88"/>
    </row>
    <row r="54" spans="1:15" ht="12.75" customHeight="1" x14ac:dyDescent="0.3">
      <c r="A54" s="118"/>
      <c r="B54" s="119"/>
      <c r="C54" s="119"/>
      <c r="D54" s="119"/>
      <c r="E54" s="119"/>
      <c r="F54" s="119"/>
      <c r="G54" s="120"/>
      <c r="H54" s="119"/>
      <c r="J54" s="121">
        <v>8591.91</v>
      </c>
      <c r="K54" s="88"/>
      <c r="L54" s="88"/>
      <c r="M54" s="88"/>
      <c r="N54" s="88"/>
      <c r="O54" s="88"/>
    </row>
  </sheetData>
  <mergeCells count="19">
    <mergeCell ref="A1:AA1"/>
    <mergeCell ref="Z3:AA3"/>
    <mergeCell ref="Z21:AA21"/>
    <mergeCell ref="A3:A4"/>
    <mergeCell ref="B3:C3"/>
    <mergeCell ref="E3:F3"/>
    <mergeCell ref="H3:I3"/>
    <mergeCell ref="K3:L3"/>
    <mergeCell ref="N3:O3"/>
    <mergeCell ref="Q3:R3"/>
    <mergeCell ref="T3:U3"/>
    <mergeCell ref="G43:H43"/>
    <mergeCell ref="W3:X3"/>
    <mergeCell ref="A19:R19"/>
    <mergeCell ref="A21:A22"/>
    <mergeCell ref="N21:O21"/>
    <mergeCell ref="Q21:R21"/>
    <mergeCell ref="T21:U21"/>
    <mergeCell ref="W21:X21"/>
  </mergeCells>
  <printOptions horizontalCentered="1"/>
  <pageMargins left="0.9055118110236221" right="0.9055118110236221" top="0.74803149606299213" bottom="0.74803149606299213" header="0.31496062992125984" footer="0.31496062992125984"/>
  <pageSetup paperSize="9" scale="9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P43"/>
  <sheetViews>
    <sheetView showGridLines="0" zoomScaleNormal="100" zoomScaleSheetLayoutView="160" workbookViewId="0">
      <selection activeCell="A4" sqref="A4:D36"/>
    </sheetView>
  </sheetViews>
  <sheetFormatPr baseColWidth="10" defaultColWidth="11.28515625" defaultRowHeight="12.75" customHeight="1" x14ac:dyDescent="0.3"/>
  <cols>
    <col min="1" max="1" width="33.28515625" style="98" customWidth="1"/>
    <col min="2" max="2" width="3.28515625" style="98" customWidth="1"/>
    <col min="3" max="3" width="16.28515625" style="98" customWidth="1"/>
    <col min="4" max="4" width="15.140625" style="98" customWidth="1"/>
    <col min="5" max="5" width="10.28515625" style="98" customWidth="1"/>
    <col min="6" max="6" width="21.28515625" style="98" customWidth="1"/>
    <col min="7" max="7" width="3.42578125" style="98" customWidth="1"/>
    <col min="8" max="8" width="14.85546875" style="98" customWidth="1"/>
    <col min="9" max="9" width="26.28515625" style="98" customWidth="1"/>
    <col min="10" max="16384" width="11.28515625" style="98"/>
  </cols>
  <sheetData>
    <row r="1" spans="1:16" s="45" customFormat="1" ht="12.75" customHeight="1" x14ac:dyDescent="0.25">
      <c r="A1" s="1121" t="s">
        <v>784</v>
      </c>
      <c r="B1" s="1121"/>
      <c r="C1" s="1121"/>
      <c r="D1" s="1121"/>
      <c r="F1" s="1117"/>
      <c r="G1" s="1117"/>
      <c r="H1" s="1117"/>
      <c r="I1" s="1117"/>
      <c r="P1" s="45" t="s">
        <v>225</v>
      </c>
    </row>
    <row r="2" spans="1:16" s="45" customFormat="1" ht="12.75" customHeight="1" x14ac:dyDescent="0.25">
      <c r="A2" s="1118"/>
      <c r="B2" s="1118"/>
      <c r="C2" s="1118"/>
      <c r="D2" s="1118"/>
      <c r="F2" s="1118"/>
      <c r="G2" s="1118"/>
      <c r="H2" s="1118"/>
      <c r="I2" s="1118"/>
    </row>
    <row r="3" spans="1:16" ht="12.75" customHeight="1" x14ac:dyDescent="0.3">
      <c r="A3" s="104"/>
      <c r="B3" s="104"/>
      <c r="C3" s="105"/>
      <c r="D3" s="106"/>
      <c r="F3" s="104"/>
      <c r="G3" s="104"/>
      <c r="H3" s="105"/>
      <c r="I3" s="106"/>
    </row>
    <row r="4" spans="1:16" ht="38.25" customHeight="1" x14ac:dyDescent="0.3">
      <c r="A4" s="701" t="s">
        <v>224</v>
      </c>
      <c r="B4" s="702"/>
      <c r="C4" s="703" t="s">
        <v>16</v>
      </c>
      <c r="D4" s="704" t="s">
        <v>722</v>
      </c>
      <c r="F4" s="323"/>
      <c r="G4" s="325"/>
      <c r="H4" s="323"/>
      <c r="I4" s="326"/>
    </row>
    <row r="5" spans="1:16" ht="12.75" hidden="1" customHeight="1" x14ac:dyDescent="0.3">
      <c r="A5" s="705"/>
      <c r="B5" s="325"/>
      <c r="C5" s="706"/>
      <c r="D5" s="107"/>
    </row>
    <row r="6" spans="1:16" ht="15.95" customHeight="1" x14ac:dyDescent="0.3">
      <c r="A6" s="707" t="s">
        <v>57</v>
      </c>
      <c r="B6" s="708"/>
      <c r="C6" s="709"/>
      <c r="D6" s="710">
        <v>140833.47000000003</v>
      </c>
    </row>
    <row r="7" spans="1:16" ht="15.95" customHeight="1" x14ac:dyDescent="0.3">
      <c r="A7" s="711" t="s">
        <v>222</v>
      </c>
      <c r="B7" s="712"/>
      <c r="C7" s="713"/>
      <c r="D7" s="714">
        <v>99632.86000000003</v>
      </c>
      <c r="E7" s="108"/>
    </row>
    <row r="8" spans="1:16" ht="15.95" customHeight="1" x14ac:dyDescent="0.3">
      <c r="A8" s="715" t="s">
        <v>221</v>
      </c>
      <c r="B8" s="716"/>
      <c r="C8" s="116" t="s">
        <v>207</v>
      </c>
      <c r="D8" s="717">
        <v>18278.900000000001</v>
      </c>
    </row>
    <row r="9" spans="1:16" ht="15.95" customHeight="1" x14ac:dyDescent="0.3">
      <c r="A9" s="718" t="s">
        <v>220</v>
      </c>
      <c r="B9" s="716"/>
      <c r="C9" s="116" t="s">
        <v>207</v>
      </c>
      <c r="D9" s="717">
        <v>9410.91</v>
      </c>
    </row>
    <row r="10" spans="1:16" ht="15.95" customHeight="1" x14ac:dyDescent="0.3">
      <c r="A10" s="718" t="s">
        <v>219</v>
      </c>
      <c r="B10" s="716"/>
      <c r="C10" s="116" t="s">
        <v>207</v>
      </c>
      <c r="D10" s="717">
        <v>8487.36</v>
      </c>
    </row>
    <row r="11" spans="1:16" ht="15.95" customHeight="1" x14ac:dyDescent="0.3">
      <c r="A11" s="715" t="s">
        <v>218</v>
      </c>
      <c r="B11" s="716"/>
      <c r="C11" s="116" t="s">
        <v>207</v>
      </c>
      <c r="D11" s="717">
        <v>8265.1299999999992</v>
      </c>
    </row>
    <row r="12" spans="1:16" ht="15.95" customHeight="1" x14ac:dyDescent="0.3">
      <c r="A12" s="715" t="s">
        <v>217</v>
      </c>
      <c r="B12" s="716"/>
      <c r="C12" s="116" t="s">
        <v>207</v>
      </c>
      <c r="D12" s="717">
        <v>8015.76</v>
      </c>
    </row>
    <row r="13" spans="1:16" ht="15.95" customHeight="1" x14ac:dyDescent="0.3">
      <c r="A13" s="718" t="s">
        <v>216</v>
      </c>
      <c r="B13" s="716"/>
      <c r="C13" s="116" t="s">
        <v>207</v>
      </c>
      <c r="D13" s="717">
        <v>7197.01</v>
      </c>
    </row>
    <row r="14" spans="1:16" ht="15.95" customHeight="1" x14ac:dyDescent="0.3">
      <c r="A14" s="715" t="s">
        <v>215</v>
      </c>
      <c r="B14" s="716"/>
      <c r="C14" s="116" t="s">
        <v>207</v>
      </c>
      <c r="D14" s="717">
        <v>6913.23</v>
      </c>
    </row>
    <row r="15" spans="1:16" ht="15.95" customHeight="1" x14ac:dyDescent="0.3">
      <c r="A15" s="715" t="s">
        <v>214</v>
      </c>
      <c r="B15" s="716"/>
      <c r="C15" s="116" t="s">
        <v>207</v>
      </c>
      <c r="D15" s="717">
        <v>6662.71</v>
      </c>
    </row>
    <row r="16" spans="1:16" ht="15.95" customHeight="1" x14ac:dyDescent="0.3">
      <c r="A16" s="715" t="s">
        <v>213</v>
      </c>
      <c r="B16" s="716"/>
      <c r="C16" s="116" t="s">
        <v>207</v>
      </c>
      <c r="D16" s="717">
        <v>5228.21</v>
      </c>
    </row>
    <row r="17" spans="1:5" ht="15.95" customHeight="1" x14ac:dyDescent="0.3">
      <c r="A17" s="718" t="s">
        <v>212</v>
      </c>
      <c r="B17" s="716"/>
      <c r="C17" s="116" t="s">
        <v>207</v>
      </c>
      <c r="D17" s="717">
        <v>5146.88</v>
      </c>
    </row>
    <row r="18" spans="1:5" ht="15.95" customHeight="1" x14ac:dyDescent="0.3">
      <c r="A18" s="715" t="s">
        <v>211</v>
      </c>
      <c r="B18" s="716"/>
      <c r="C18" s="116" t="s">
        <v>207</v>
      </c>
      <c r="D18" s="717">
        <v>4495.28</v>
      </c>
    </row>
    <row r="19" spans="1:5" ht="15.95" customHeight="1" x14ac:dyDescent="0.3">
      <c r="A19" s="715" t="s">
        <v>210</v>
      </c>
      <c r="B19" s="716"/>
      <c r="C19" s="116" t="s">
        <v>207</v>
      </c>
      <c r="D19" s="717">
        <v>4289.88</v>
      </c>
    </row>
    <row r="20" spans="1:5" ht="15.95" customHeight="1" x14ac:dyDescent="0.3">
      <c r="A20" s="715" t="s">
        <v>209</v>
      </c>
      <c r="B20" s="716"/>
      <c r="C20" s="116" t="s">
        <v>207</v>
      </c>
      <c r="D20" s="717">
        <v>3929.58</v>
      </c>
    </row>
    <row r="21" spans="1:5" ht="15.95" customHeight="1" x14ac:dyDescent="0.3">
      <c r="A21" s="715" t="s">
        <v>208</v>
      </c>
      <c r="B21" s="716"/>
      <c r="C21" s="116" t="s">
        <v>207</v>
      </c>
      <c r="D21" s="717">
        <v>3312.02</v>
      </c>
    </row>
    <row r="22" spans="1:5" ht="3" customHeight="1" x14ac:dyDescent="0.3">
      <c r="A22" s="715"/>
      <c r="B22" s="716"/>
      <c r="C22" s="106"/>
      <c r="D22" s="717"/>
    </row>
    <row r="23" spans="1:5" ht="15.95" customHeight="1" x14ac:dyDescent="0.3">
      <c r="A23" s="711" t="s">
        <v>206</v>
      </c>
      <c r="B23" s="716"/>
      <c r="C23" s="106"/>
      <c r="D23" s="719">
        <v>41200.609999999993</v>
      </c>
    </row>
    <row r="24" spans="1:5" ht="15.95" customHeight="1" x14ac:dyDescent="0.3">
      <c r="A24" s="718" t="s">
        <v>205</v>
      </c>
      <c r="C24" s="720" t="s">
        <v>30</v>
      </c>
      <c r="D24" s="717">
        <v>14207.8</v>
      </c>
      <c r="E24" s="108"/>
    </row>
    <row r="25" spans="1:5" ht="15.95" customHeight="1" x14ac:dyDescent="0.3">
      <c r="A25" s="715" t="s">
        <v>204</v>
      </c>
      <c r="C25" s="278" t="s">
        <v>20</v>
      </c>
      <c r="D25" s="717">
        <v>3467.69</v>
      </c>
    </row>
    <row r="26" spans="1:5" ht="15.95" customHeight="1" x14ac:dyDescent="0.3">
      <c r="A26" s="715" t="s">
        <v>203</v>
      </c>
      <c r="C26" s="278" t="s">
        <v>33</v>
      </c>
      <c r="D26" s="717">
        <v>3365.14</v>
      </c>
    </row>
    <row r="27" spans="1:5" ht="15.95" customHeight="1" x14ac:dyDescent="0.3">
      <c r="A27" s="715" t="s">
        <v>202</v>
      </c>
      <c r="C27" s="278" t="s">
        <v>26</v>
      </c>
      <c r="D27" s="717">
        <v>2968.8</v>
      </c>
    </row>
    <row r="28" spans="1:5" ht="15.95" customHeight="1" x14ac:dyDescent="0.3">
      <c r="A28" s="715" t="s">
        <v>201</v>
      </c>
      <c r="C28" s="278" t="s">
        <v>18</v>
      </c>
      <c r="D28" s="717">
        <v>2953.89</v>
      </c>
    </row>
    <row r="29" spans="1:5" ht="15.95" customHeight="1" x14ac:dyDescent="0.3">
      <c r="A29" s="715" t="s">
        <v>200</v>
      </c>
      <c r="C29" s="278" t="s">
        <v>20</v>
      </c>
      <c r="D29" s="717">
        <v>2684.19</v>
      </c>
    </row>
    <row r="30" spans="1:5" ht="15.95" customHeight="1" x14ac:dyDescent="0.3">
      <c r="A30" s="715" t="s">
        <v>199</v>
      </c>
      <c r="C30" s="278" t="s">
        <v>26</v>
      </c>
      <c r="D30" s="717">
        <v>2465.85</v>
      </c>
    </row>
    <row r="31" spans="1:5" ht="15.95" customHeight="1" x14ac:dyDescent="0.3">
      <c r="A31" s="715" t="s">
        <v>198</v>
      </c>
      <c r="C31" s="278" t="s">
        <v>20</v>
      </c>
      <c r="D31" s="717">
        <v>2436.6799999999998</v>
      </c>
    </row>
    <row r="32" spans="1:5" ht="15.95" customHeight="1" x14ac:dyDescent="0.3">
      <c r="A32" s="715" t="s">
        <v>197</v>
      </c>
      <c r="C32" s="278" t="s">
        <v>20</v>
      </c>
      <c r="D32" s="717">
        <v>2404.2600000000002</v>
      </c>
    </row>
    <row r="33" spans="1:4" ht="15.95" customHeight="1" x14ac:dyDescent="0.3">
      <c r="A33" s="715" t="s">
        <v>196</v>
      </c>
      <c r="C33" s="278" t="s">
        <v>18</v>
      </c>
      <c r="D33" s="717">
        <v>2209.86</v>
      </c>
    </row>
    <row r="34" spans="1:4" ht="15.95" customHeight="1" x14ac:dyDescent="0.3">
      <c r="A34" s="721" t="s">
        <v>195</v>
      </c>
      <c r="B34" s="722"/>
      <c r="C34" s="723" t="s">
        <v>30</v>
      </c>
      <c r="D34" s="724">
        <v>2036.45</v>
      </c>
    </row>
    <row r="35" spans="1:4" s="274" customFormat="1" ht="24" customHeight="1" x14ac:dyDescent="0.25">
      <c r="A35" s="1122" t="s">
        <v>735</v>
      </c>
      <c r="B35" s="1101"/>
      <c r="C35" s="1101"/>
      <c r="D35" s="1101"/>
    </row>
    <row r="36" spans="1:4" s="274" customFormat="1" ht="12" customHeight="1" x14ac:dyDescent="0.25">
      <c r="A36" s="275" t="s">
        <v>76</v>
      </c>
      <c r="B36" s="275"/>
      <c r="C36" s="276"/>
      <c r="D36" s="277"/>
    </row>
    <row r="38" spans="1:4" ht="12.75" customHeight="1" x14ac:dyDescent="0.3">
      <c r="A38" s="1119"/>
      <c r="B38" s="1119"/>
      <c r="C38" s="1119"/>
      <c r="D38" s="1119"/>
    </row>
    <row r="39" spans="1:4" ht="12.75" customHeight="1" x14ac:dyDescent="0.3">
      <c r="A39" s="1120"/>
      <c r="B39" s="1120"/>
      <c r="C39" s="1120"/>
      <c r="D39" s="1120"/>
    </row>
    <row r="40" spans="1:4" ht="12.75" customHeight="1" x14ac:dyDescent="0.3">
      <c r="A40" s="430"/>
      <c r="B40" s="430"/>
      <c r="C40" s="431"/>
      <c r="D40" s="429"/>
    </row>
    <row r="41" spans="1:4" ht="12.75" customHeight="1" x14ac:dyDescent="0.3">
      <c r="A41" s="469"/>
      <c r="B41" s="425"/>
      <c r="C41" s="469"/>
      <c r="D41" s="470"/>
    </row>
    <row r="42" spans="1:4" ht="12.75" customHeight="1" x14ac:dyDescent="0.3">
      <c r="A42" s="469"/>
      <c r="B42" s="425"/>
      <c r="C42" s="426"/>
      <c r="D42" s="367"/>
    </row>
    <row r="43" spans="1:4" ht="12.75" customHeight="1" x14ac:dyDescent="0.3">
      <c r="A43" s="471"/>
      <c r="B43" s="427"/>
      <c r="C43" s="468"/>
      <c r="D43" s="428"/>
    </row>
  </sheetData>
  <mergeCells count="7">
    <mergeCell ref="F1:I1"/>
    <mergeCell ref="F2:I2"/>
    <mergeCell ref="A38:D38"/>
    <mergeCell ref="A39:D39"/>
    <mergeCell ref="A1:D1"/>
    <mergeCell ref="A2:D2"/>
    <mergeCell ref="A35:D35"/>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P40"/>
  <sheetViews>
    <sheetView showGridLines="0" tabSelected="1" zoomScaleNormal="100" zoomScaleSheetLayoutView="100" workbookViewId="0">
      <selection activeCell="A13" sqref="A13"/>
    </sheetView>
  </sheetViews>
  <sheetFormatPr baseColWidth="10" defaultColWidth="11.28515625" defaultRowHeight="12.75" customHeight="1" x14ac:dyDescent="0.3"/>
  <cols>
    <col min="1" max="1" width="48.7109375" style="98" customWidth="1"/>
    <col min="2" max="2" width="13.5703125" style="103" customWidth="1"/>
    <col min="3" max="3" width="22.28515625" style="98" customWidth="1"/>
    <col min="4" max="4" width="15.42578125" style="98" customWidth="1"/>
    <col min="5" max="5" width="13.5703125" style="98" customWidth="1"/>
    <col min="6" max="6" width="4.28515625" style="98" customWidth="1"/>
    <col min="7" max="7" width="10.140625" style="98" bestFit="1" customWidth="1"/>
    <col min="8" max="8" width="8.140625" style="98" bestFit="1" customWidth="1"/>
    <col min="9" max="9" width="10.28515625" style="98" bestFit="1" customWidth="1"/>
    <col min="10" max="10" width="8.7109375" style="98" bestFit="1" customWidth="1"/>
    <col min="11" max="16384" width="11.28515625" style="98"/>
  </cols>
  <sheetData>
    <row r="1" spans="1:14" s="45" customFormat="1" ht="12.75" customHeight="1" x14ac:dyDescent="0.25">
      <c r="A1" s="1124" t="s">
        <v>915</v>
      </c>
      <c r="B1" s="1124"/>
      <c r="C1" s="1124"/>
      <c r="D1" s="1124"/>
      <c r="E1" s="1124"/>
      <c r="F1" s="475"/>
      <c r="G1" s="475"/>
      <c r="H1" s="475"/>
      <c r="I1" s="475"/>
      <c r="J1" s="475"/>
      <c r="K1" s="324"/>
      <c r="L1" s="324"/>
    </row>
    <row r="2" spans="1:14" ht="12.75" customHeight="1" x14ac:dyDescent="0.3">
      <c r="G2" s="322">
        <v>0</v>
      </c>
      <c r="H2" s="322"/>
      <c r="I2" s="322"/>
      <c r="J2" s="322"/>
      <c r="K2" s="322"/>
      <c r="L2" s="322"/>
      <c r="M2" s="322"/>
      <c r="N2" s="322"/>
    </row>
    <row r="3" spans="1:14" ht="37.9" customHeight="1" x14ac:dyDescent="0.3">
      <c r="A3" s="725" t="s">
        <v>277</v>
      </c>
      <c r="B3" s="703" t="s">
        <v>16</v>
      </c>
      <c r="C3" s="726" t="s">
        <v>276</v>
      </c>
      <c r="D3" s="727" t="s">
        <v>275</v>
      </c>
      <c r="E3" s="727" t="s">
        <v>223</v>
      </c>
      <c r="F3" s="469"/>
      <c r="G3" s="1123"/>
      <c r="H3" s="1123"/>
      <c r="I3" s="1123"/>
      <c r="J3" s="1123"/>
      <c r="K3" s="322"/>
      <c r="L3" s="322"/>
      <c r="M3" s="322"/>
      <c r="N3" s="322"/>
    </row>
    <row r="4" spans="1:14" s="100" customFormat="1" ht="3" customHeight="1" x14ac:dyDescent="0.3">
      <c r="A4" s="728"/>
      <c r="B4" s="729"/>
      <c r="C4" s="730"/>
      <c r="D4" s="731"/>
      <c r="E4" s="731"/>
      <c r="F4" s="472"/>
      <c r="G4" s="432"/>
      <c r="H4" s="432"/>
      <c r="I4" s="432"/>
      <c r="J4" s="432"/>
      <c r="K4" s="322"/>
      <c r="L4" s="322"/>
      <c r="M4" s="322"/>
      <c r="N4" s="322"/>
    </row>
    <row r="5" spans="1:14" s="102" customFormat="1" ht="15.95" customHeight="1" x14ac:dyDescent="0.3">
      <c r="A5" s="732" t="s">
        <v>274</v>
      </c>
      <c r="B5" s="733">
        <v>0</v>
      </c>
      <c r="C5" s="734"/>
      <c r="D5" s="735"/>
      <c r="E5" s="736">
        <v>3599519.77</v>
      </c>
      <c r="F5" s="474"/>
      <c r="G5" s="474"/>
      <c r="H5" s="474"/>
      <c r="I5" s="474"/>
      <c r="J5" s="474"/>
      <c r="K5" s="322"/>
      <c r="L5" s="322"/>
      <c r="M5" s="322"/>
      <c r="N5" s="322"/>
    </row>
    <row r="6" spans="1:14" s="100" customFormat="1" ht="3" customHeight="1" x14ac:dyDescent="0.3">
      <c r="A6" s="737"/>
      <c r="B6" s="738"/>
      <c r="C6" s="739"/>
      <c r="D6" s="740"/>
      <c r="E6" s="741"/>
      <c r="F6" s="433"/>
      <c r="G6" s="432"/>
      <c r="H6" s="432"/>
      <c r="I6" s="432"/>
      <c r="J6" s="432"/>
      <c r="K6" s="322"/>
      <c r="L6" s="322"/>
      <c r="M6" s="322"/>
      <c r="N6" s="322"/>
    </row>
    <row r="7" spans="1:14" s="102" customFormat="1" ht="15.95" customHeight="1" x14ac:dyDescent="0.3">
      <c r="A7" s="742" t="s">
        <v>273</v>
      </c>
      <c r="B7" s="743" t="s">
        <v>31</v>
      </c>
      <c r="C7" s="744" t="s">
        <v>272</v>
      </c>
      <c r="D7" s="740">
        <v>40620</v>
      </c>
      <c r="E7" s="745">
        <v>954635.48</v>
      </c>
      <c r="F7" s="435"/>
      <c r="G7" s="432"/>
      <c r="H7" s="432"/>
      <c r="I7" s="432"/>
      <c r="J7" s="432"/>
      <c r="K7" s="322"/>
      <c r="L7" s="322"/>
      <c r="M7" s="322"/>
      <c r="N7" s="322"/>
    </row>
    <row r="8" spans="1:14" s="102" customFormat="1" ht="15.95" customHeight="1" x14ac:dyDescent="0.3">
      <c r="A8" s="742" t="s">
        <v>271</v>
      </c>
      <c r="B8" s="743" t="s">
        <v>31</v>
      </c>
      <c r="C8" s="744" t="s">
        <v>270</v>
      </c>
      <c r="D8" s="740">
        <v>40535</v>
      </c>
      <c r="E8" s="745">
        <v>434129.54</v>
      </c>
      <c r="F8" s="435"/>
      <c r="G8" s="432"/>
      <c r="H8" s="432"/>
      <c r="I8" s="432"/>
      <c r="J8" s="432"/>
      <c r="K8" s="322"/>
      <c r="L8" s="322"/>
      <c r="M8" s="322"/>
      <c r="N8" s="322"/>
    </row>
    <row r="9" spans="1:14" s="102" customFormat="1" ht="15.95" customHeight="1" x14ac:dyDescent="0.3">
      <c r="A9" s="746" t="s">
        <v>269</v>
      </c>
      <c r="B9" s="743" t="s">
        <v>31</v>
      </c>
      <c r="C9" s="744" t="s">
        <v>268</v>
      </c>
      <c r="D9" s="740">
        <v>39948</v>
      </c>
      <c r="E9" s="745">
        <v>420080.25</v>
      </c>
      <c r="F9" s="435"/>
      <c r="G9" s="432"/>
      <c r="H9" s="432"/>
      <c r="I9" s="432"/>
      <c r="J9" s="432"/>
      <c r="K9" s="322"/>
      <c r="L9" s="322"/>
      <c r="M9" s="322"/>
      <c r="N9" s="322"/>
    </row>
    <row r="10" spans="1:14" s="102" customFormat="1" ht="15.95" customHeight="1" x14ac:dyDescent="0.3">
      <c r="A10" s="742" t="s">
        <v>267</v>
      </c>
      <c r="B10" s="743" t="s">
        <v>31</v>
      </c>
      <c r="C10" s="747" t="s">
        <v>266</v>
      </c>
      <c r="D10" s="748">
        <v>42171</v>
      </c>
      <c r="E10" s="745">
        <v>391039.82</v>
      </c>
      <c r="F10" s="435"/>
      <c r="G10" s="46"/>
      <c r="H10" s="46"/>
      <c r="I10" s="46"/>
      <c r="J10" s="46"/>
    </row>
    <row r="11" spans="1:14" s="102" customFormat="1" ht="15.95" customHeight="1" x14ac:dyDescent="0.3">
      <c r="A11" s="742" t="s">
        <v>265</v>
      </c>
      <c r="B11" s="743" t="s">
        <v>37</v>
      </c>
      <c r="C11" s="749" t="s">
        <v>264</v>
      </c>
      <c r="D11" s="750">
        <v>43449</v>
      </c>
      <c r="E11" s="751">
        <v>191405.53</v>
      </c>
      <c r="F11" s="438"/>
      <c r="G11" s="46"/>
      <c r="H11" s="46"/>
      <c r="I11" s="46"/>
      <c r="J11" s="46"/>
    </row>
    <row r="12" spans="1:14" s="102" customFormat="1" ht="15.95" customHeight="1" x14ac:dyDescent="0.3">
      <c r="A12" s="742" t="s">
        <v>263</v>
      </c>
      <c r="B12" s="743" t="s">
        <v>37</v>
      </c>
      <c r="C12" s="744" t="s">
        <v>262</v>
      </c>
      <c r="D12" s="740">
        <v>38708</v>
      </c>
      <c r="E12" s="745">
        <v>149870</v>
      </c>
      <c r="F12" s="435"/>
      <c r="G12" s="46"/>
      <c r="H12" s="46"/>
      <c r="I12" s="46"/>
      <c r="J12" s="46"/>
    </row>
    <row r="13" spans="1:14" s="102" customFormat="1" ht="15.95" customHeight="1" x14ac:dyDescent="0.3">
      <c r="A13" s="746" t="s">
        <v>261</v>
      </c>
      <c r="B13" s="743" t="s">
        <v>40</v>
      </c>
      <c r="C13" s="744" t="s">
        <v>260</v>
      </c>
      <c r="D13" s="740">
        <v>40344</v>
      </c>
      <c r="E13" s="745">
        <v>135737.51999999999</v>
      </c>
      <c r="F13" s="435"/>
      <c r="G13" s="46"/>
      <c r="H13" s="46"/>
      <c r="I13" s="46"/>
      <c r="J13" s="46"/>
    </row>
    <row r="14" spans="1:14" s="102" customFormat="1" ht="15.95" customHeight="1" x14ac:dyDescent="0.3">
      <c r="A14" s="746" t="s">
        <v>259</v>
      </c>
      <c r="B14" s="743" t="s">
        <v>38</v>
      </c>
      <c r="C14" s="744" t="s">
        <v>258</v>
      </c>
      <c r="D14" s="740">
        <v>40052</v>
      </c>
      <c r="E14" s="745">
        <v>124313.18</v>
      </c>
      <c r="F14" s="435"/>
      <c r="G14" s="46"/>
      <c r="H14" s="46"/>
      <c r="I14" s="46"/>
      <c r="J14" s="46"/>
    </row>
    <row r="15" spans="1:14" s="102" customFormat="1" ht="15.95" customHeight="1" x14ac:dyDescent="0.3">
      <c r="A15" s="746" t="s">
        <v>257</v>
      </c>
      <c r="B15" s="743" t="s">
        <v>23</v>
      </c>
      <c r="C15" s="744" t="s">
        <v>256</v>
      </c>
      <c r="D15" s="740">
        <v>40535</v>
      </c>
      <c r="E15" s="745">
        <v>103814.39</v>
      </c>
      <c r="F15" s="435"/>
      <c r="G15" s="46"/>
      <c r="H15" s="46"/>
      <c r="I15" s="46"/>
      <c r="J15" s="46"/>
    </row>
    <row r="16" spans="1:14" s="100" customFormat="1" ht="15.95" customHeight="1" x14ac:dyDescent="0.3">
      <c r="A16" s="752" t="s">
        <v>255</v>
      </c>
      <c r="B16" s="753" t="s">
        <v>23</v>
      </c>
      <c r="C16" s="754" t="s">
        <v>254</v>
      </c>
      <c r="D16" s="740">
        <v>43811</v>
      </c>
      <c r="E16" s="745">
        <v>66514.17</v>
      </c>
      <c r="F16" s="435"/>
      <c r="G16" s="44"/>
      <c r="H16" s="44"/>
      <c r="I16" s="44"/>
      <c r="J16" s="44"/>
    </row>
    <row r="17" spans="1:16" s="100" customFormat="1" ht="15.95" customHeight="1" x14ac:dyDescent="0.3">
      <c r="A17" s="755" t="s">
        <v>698</v>
      </c>
      <c r="B17" s="753" t="s">
        <v>25</v>
      </c>
      <c r="C17" s="756" t="s">
        <v>699</v>
      </c>
      <c r="D17" s="748">
        <v>43831</v>
      </c>
      <c r="E17" s="745">
        <v>50559.21</v>
      </c>
      <c r="F17" s="435"/>
      <c r="G17" s="44"/>
      <c r="H17" s="44"/>
      <c r="I17" s="44"/>
      <c r="J17" s="44"/>
    </row>
    <row r="18" spans="1:16" s="102" customFormat="1" ht="15.95" customHeight="1" x14ac:dyDescent="0.3">
      <c r="A18" s="742" t="s">
        <v>253</v>
      </c>
      <c r="B18" s="743" t="s">
        <v>17</v>
      </c>
      <c r="C18" s="749" t="s">
        <v>252</v>
      </c>
      <c r="D18" s="748">
        <v>43268</v>
      </c>
      <c r="E18" s="745">
        <v>48944.51</v>
      </c>
      <c r="F18" s="435"/>
      <c r="G18" s="46"/>
      <c r="H18" s="46"/>
      <c r="I18" s="46"/>
      <c r="J18" s="46"/>
    </row>
    <row r="19" spans="1:16" s="102" customFormat="1" ht="15.95" customHeight="1" x14ac:dyDescent="0.3">
      <c r="A19" s="742" t="s">
        <v>251</v>
      </c>
      <c r="B19" s="743" t="s">
        <v>23</v>
      </c>
      <c r="C19" s="747" t="s">
        <v>250</v>
      </c>
      <c r="D19" s="748">
        <v>42971</v>
      </c>
      <c r="E19" s="745">
        <v>39485.11</v>
      </c>
      <c r="F19" s="435"/>
      <c r="G19" s="46"/>
      <c r="H19" s="46"/>
      <c r="I19" s="46"/>
      <c r="J19" s="46"/>
    </row>
    <row r="20" spans="1:16" s="102" customFormat="1" ht="15.95" customHeight="1" x14ac:dyDescent="0.3">
      <c r="A20" s="742" t="s">
        <v>249</v>
      </c>
      <c r="B20" s="743" t="s">
        <v>35</v>
      </c>
      <c r="C20" s="744" t="s">
        <v>248</v>
      </c>
      <c r="D20" s="740">
        <v>40745</v>
      </c>
      <c r="E20" s="745">
        <v>28811.86</v>
      </c>
      <c r="F20" s="435"/>
      <c r="G20" s="46"/>
      <c r="H20" s="46"/>
      <c r="I20" s="46"/>
      <c r="J20" s="46"/>
    </row>
    <row r="21" spans="1:16" s="102" customFormat="1" ht="15.95" customHeight="1" x14ac:dyDescent="0.3">
      <c r="A21" s="746" t="s">
        <v>247</v>
      </c>
      <c r="B21" s="743" t="s">
        <v>82</v>
      </c>
      <c r="C21" s="744" t="s">
        <v>246</v>
      </c>
      <c r="D21" s="740">
        <v>40745</v>
      </c>
      <c r="E21" s="745">
        <v>22406.52</v>
      </c>
      <c r="F21" s="435"/>
      <c r="G21" s="46"/>
      <c r="H21" s="46"/>
      <c r="I21" s="46"/>
      <c r="J21" s="46"/>
    </row>
    <row r="22" spans="1:16" s="102" customFormat="1" ht="15.95" customHeight="1" x14ac:dyDescent="0.3">
      <c r="A22" s="746" t="s">
        <v>245</v>
      </c>
      <c r="B22" s="743" t="s">
        <v>22</v>
      </c>
      <c r="C22" s="744" t="s">
        <v>244</v>
      </c>
      <c r="D22" s="740">
        <v>43739</v>
      </c>
      <c r="E22" s="745">
        <v>21868.880000000001</v>
      </c>
      <c r="F22" s="435"/>
      <c r="G22" s="46"/>
      <c r="H22" s="46"/>
      <c r="I22" s="46"/>
      <c r="J22" s="46"/>
    </row>
    <row r="23" spans="1:16" s="102" customFormat="1" ht="15.95" customHeight="1" x14ac:dyDescent="0.3">
      <c r="A23" s="742" t="s">
        <v>243</v>
      </c>
      <c r="B23" s="743" t="s">
        <v>17</v>
      </c>
      <c r="C23" s="749" t="s">
        <v>242</v>
      </c>
      <c r="D23" s="750">
        <v>43268</v>
      </c>
      <c r="E23" s="751">
        <v>13929.12</v>
      </c>
      <c r="F23" s="438"/>
      <c r="G23" s="46"/>
      <c r="H23" s="46"/>
      <c r="I23" s="46"/>
      <c r="J23" s="46"/>
    </row>
    <row r="24" spans="1:16" s="102" customFormat="1" ht="15.95" customHeight="1" x14ac:dyDescent="0.3">
      <c r="A24" s="757" t="s">
        <v>241</v>
      </c>
      <c r="B24" s="743" t="s">
        <v>30</v>
      </c>
      <c r="C24" s="749" t="s">
        <v>240</v>
      </c>
      <c r="D24" s="750">
        <v>43806</v>
      </c>
      <c r="E24" s="751">
        <v>13475.74</v>
      </c>
      <c r="F24" s="438"/>
      <c r="G24" s="46"/>
      <c r="H24" s="46"/>
      <c r="I24" s="46"/>
      <c r="J24" s="46"/>
    </row>
    <row r="25" spans="1:16" s="102" customFormat="1" ht="15.95" customHeight="1" x14ac:dyDescent="0.3">
      <c r="A25" s="746" t="s">
        <v>239</v>
      </c>
      <c r="B25" s="743" t="s">
        <v>39</v>
      </c>
      <c r="C25" s="744" t="s">
        <v>238</v>
      </c>
      <c r="D25" s="740">
        <v>40620</v>
      </c>
      <c r="E25" s="745">
        <v>8794.5</v>
      </c>
      <c r="F25" s="435"/>
      <c r="G25" s="46"/>
      <c r="H25" s="46"/>
      <c r="I25" s="46"/>
      <c r="J25" s="46"/>
    </row>
    <row r="26" spans="1:16" s="102" customFormat="1" ht="15.95" customHeight="1" x14ac:dyDescent="0.3">
      <c r="A26" s="742" t="s">
        <v>237</v>
      </c>
      <c r="B26" s="743" t="s">
        <v>29</v>
      </c>
      <c r="C26" s="744" t="s">
        <v>236</v>
      </c>
      <c r="D26" s="740">
        <v>40716</v>
      </c>
      <c r="E26" s="745">
        <v>8457.76</v>
      </c>
      <c r="F26" s="435"/>
      <c r="G26" s="46"/>
      <c r="H26" s="46"/>
      <c r="I26" s="46"/>
      <c r="J26" s="46"/>
    </row>
    <row r="27" spans="1:16" s="102" customFormat="1" ht="15.95" customHeight="1" x14ac:dyDescent="0.3">
      <c r="A27" s="742" t="s">
        <v>235</v>
      </c>
      <c r="B27" s="743" t="s">
        <v>29</v>
      </c>
      <c r="C27" s="744" t="s">
        <v>234</v>
      </c>
      <c r="D27" s="740">
        <v>40716</v>
      </c>
      <c r="E27" s="745">
        <v>7272.27</v>
      </c>
      <c r="F27" s="435"/>
      <c r="G27" s="46"/>
      <c r="H27" s="46"/>
      <c r="I27" s="46"/>
      <c r="J27" s="46"/>
    </row>
    <row r="28" spans="1:16" s="102" customFormat="1" ht="15.95" customHeight="1" x14ac:dyDescent="0.3">
      <c r="A28" s="758" t="s">
        <v>233</v>
      </c>
      <c r="B28" s="759" t="s">
        <v>21</v>
      </c>
      <c r="C28" s="760" t="s">
        <v>232</v>
      </c>
      <c r="D28" s="761">
        <v>40535</v>
      </c>
      <c r="E28" s="762">
        <v>6272.39</v>
      </c>
      <c r="F28" s="441"/>
      <c r="G28" s="46"/>
      <c r="H28" s="46"/>
      <c r="I28" s="46"/>
      <c r="J28" s="46"/>
    </row>
    <row r="29" spans="1:16" s="102" customFormat="1" ht="15.95" customHeight="1" x14ac:dyDescent="0.3">
      <c r="A29" s="758" t="s">
        <v>231</v>
      </c>
      <c r="B29" s="759" t="s">
        <v>26</v>
      </c>
      <c r="C29" s="760" t="s">
        <v>230</v>
      </c>
      <c r="D29" s="761">
        <v>41857</v>
      </c>
      <c r="E29" s="762">
        <v>2407.7199999999998</v>
      </c>
      <c r="F29" s="441"/>
      <c r="G29" s="46"/>
      <c r="H29" s="46"/>
      <c r="I29" s="46"/>
      <c r="J29" s="46"/>
    </row>
    <row r="30" spans="1:16" s="102" customFormat="1" ht="15.95" customHeight="1" x14ac:dyDescent="0.3">
      <c r="A30" s="746" t="s">
        <v>229</v>
      </c>
      <c r="B30" s="743" t="s">
        <v>30</v>
      </c>
      <c r="C30" s="744" t="s">
        <v>228</v>
      </c>
      <c r="D30" s="748">
        <v>39106</v>
      </c>
      <c r="E30" s="745">
        <v>687.71</v>
      </c>
      <c r="F30" s="435"/>
      <c r="G30" s="46"/>
      <c r="H30" s="46"/>
      <c r="I30" s="46"/>
      <c r="J30" s="447"/>
    </row>
    <row r="31" spans="1:16" s="102" customFormat="1" ht="15.95" customHeight="1" x14ac:dyDescent="0.3">
      <c r="A31" s="746" t="s">
        <v>227</v>
      </c>
      <c r="B31" s="743" t="s">
        <v>226</v>
      </c>
      <c r="C31" s="747" t="s">
        <v>785</v>
      </c>
      <c r="D31" s="748">
        <v>39070</v>
      </c>
      <c r="E31" s="745">
        <v>275.45</v>
      </c>
      <c r="F31" s="435"/>
      <c r="G31" s="46"/>
      <c r="H31" s="46"/>
      <c r="I31" s="46"/>
      <c r="J31" s="46"/>
    </row>
    <row r="32" spans="1:16" s="102" customFormat="1" ht="15.95" customHeight="1" x14ac:dyDescent="0.3">
      <c r="A32" s="746" t="s">
        <v>789</v>
      </c>
      <c r="B32" s="743" t="s">
        <v>23</v>
      </c>
      <c r="C32" s="747" t="s">
        <v>790</v>
      </c>
      <c r="D32" s="750">
        <v>44280</v>
      </c>
      <c r="E32" s="751">
        <v>80190.78</v>
      </c>
      <c r="F32" s="435"/>
      <c r="G32" s="46"/>
      <c r="H32" s="46"/>
      <c r="I32" s="46"/>
      <c r="J32" s="46"/>
      <c r="L32" s="473"/>
      <c r="M32" s="434"/>
      <c r="N32" s="436"/>
      <c r="O32" s="437"/>
      <c r="P32" s="438"/>
    </row>
    <row r="33" spans="1:16" s="102" customFormat="1" ht="15.95" customHeight="1" x14ac:dyDescent="0.3">
      <c r="A33" s="746" t="s">
        <v>796</v>
      </c>
      <c r="B33" s="743" t="s">
        <v>22</v>
      </c>
      <c r="C33" s="747" t="s">
        <v>797</v>
      </c>
      <c r="D33" s="750">
        <v>44322</v>
      </c>
      <c r="E33" s="751">
        <v>31537.23</v>
      </c>
      <c r="F33" s="435"/>
      <c r="G33" s="46"/>
      <c r="H33" s="46"/>
      <c r="I33" s="46"/>
      <c r="J33" s="46"/>
      <c r="L33" s="473"/>
      <c r="M33" s="434"/>
      <c r="N33" s="436"/>
      <c r="O33" s="437"/>
      <c r="P33" s="438"/>
    </row>
    <row r="34" spans="1:16" s="102" customFormat="1" ht="15.95" customHeight="1" x14ac:dyDescent="0.3">
      <c r="A34" s="746" t="s">
        <v>555</v>
      </c>
      <c r="B34" s="743" t="s">
        <v>22</v>
      </c>
      <c r="C34" s="747" t="s">
        <v>788</v>
      </c>
      <c r="D34" s="750">
        <v>44329</v>
      </c>
      <c r="E34" s="751">
        <v>21794.71</v>
      </c>
      <c r="F34" s="435"/>
      <c r="G34" s="46"/>
      <c r="H34" s="46"/>
      <c r="I34" s="46"/>
      <c r="J34" s="46"/>
      <c r="L34" s="473"/>
      <c r="M34" s="434"/>
      <c r="N34" s="436"/>
      <c r="O34" s="437"/>
      <c r="P34" s="438"/>
    </row>
    <row r="35" spans="1:16" s="102" customFormat="1" ht="15.95" customHeight="1" x14ac:dyDescent="0.3">
      <c r="A35" s="746" t="s">
        <v>791</v>
      </c>
      <c r="B35" s="743" t="s">
        <v>792</v>
      </c>
      <c r="C35" s="747" t="s">
        <v>793</v>
      </c>
      <c r="D35" s="750">
        <v>44401</v>
      </c>
      <c r="E35" s="751">
        <v>10453.450000000001</v>
      </c>
      <c r="F35" s="435"/>
      <c r="G35" s="46"/>
      <c r="H35" s="46"/>
      <c r="I35" s="46"/>
      <c r="J35" s="46"/>
      <c r="L35" s="473"/>
      <c r="M35" s="434"/>
      <c r="N35" s="436"/>
      <c r="O35" s="437"/>
      <c r="P35" s="438"/>
    </row>
    <row r="36" spans="1:16" s="102" customFormat="1" ht="15.95" customHeight="1" x14ac:dyDescent="0.3">
      <c r="A36" s="746" t="s">
        <v>798</v>
      </c>
      <c r="B36" s="763" t="s">
        <v>23</v>
      </c>
      <c r="C36" s="747" t="s">
        <v>799</v>
      </c>
      <c r="D36" s="750">
        <v>44401</v>
      </c>
      <c r="E36" s="751">
        <v>55319.97</v>
      </c>
      <c r="F36" s="435"/>
      <c r="G36" s="46"/>
      <c r="H36" s="46"/>
      <c r="I36" s="46"/>
      <c r="J36" s="46"/>
      <c r="L36" s="473"/>
      <c r="M36" s="434"/>
      <c r="N36" s="436"/>
      <c r="O36" s="437"/>
      <c r="P36" s="438"/>
    </row>
    <row r="37" spans="1:16" s="102" customFormat="1" ht="15.95" customHeight="1" x14ac:dyDescent="0.3">
      <c r="A37" s="746" t="s">
        <v>794</v>
      </c>
      <c r="B37" s="743" t="s">
        <v>40</v>
      </c>
      <c r="C37" s="747" t="s">
        <v>795</v>
      </c>
      <c r="D37" s="750">
        <v>44401</v>
      </c>
      <c r="E37" s="751">
        <v>150010.82</v>
      </c>
      <c r="F37" s="435"/>
      <c r="G37" s="46"/>
      <c r="H37" s="46"/>
      <c r="I37" s="46"/>
      <c r="J37" s="46"/>
      <c r="L37" s="473"/>
      <c r="M37" s="434"/>
      <c r="N37" s="436"/>
      <c r="O37" s="437"/>
      <c r="P37" s="438"/>
    </row>
    <row r="38" spans="1:16" s="102" customFormat="1" ht="15.95" customHeight="1" x14ac:dyDescent="0.3">
      <c r="A38" s="764" t="s">
        <v>786</v>
      </c>
      <c r="B38" s="765" t="s">
        <v>24</v>
      </c>
      <c r="C38" s="766" t="s">
        <v>787</v>
      </c>
      <c r="D38" s="767">
        <v>44506</v>
      </c>
      <c r="E38" s="768">
        <v>5024.18</v>
      </c>
      <c r="F38" s="435"/>
      <c r="G38" s="46"/>
      <c r="H38" s="46"/>
      <c r="I38" s="46"/>
      <c r="J38" s="46"/>
      <c r="L38" s="473"/>
      <c r="M38" s="434"/>
      <c r="N38" s="436"/>
      <c r="O38" s="437"/>
      <c r="P38" s="438"/>
    </row>
    <row r="39" spans="1:16" s="46" customFormat="1" ht="38.450000000000003" customHeight="1" x14ac:dyDescent="0.25">
      <c r="A39" s="1125" t="s">
        <v>736</v>
      </c>
      <c r="B39" s="1125"/>
      <c r="C39" s="1125"/>
      <c r="D39" s="1125"/>
      <c r="E39" s="1125"/>
      <c r="F39" s="476"/>
      <c r="G39" s="476"/>
      <c r="H39" s="476"/>
      <c r="I39" s="476"/>
      <c r="J39" s="476"/>
    </row>
    <row r="40" spans="1:16" s="46" customFormat="1" ht="12.75" customHeight="1" x14ac:dyDescent="0.25">
      <c r="A40" s="275" t="s">
        <v>76</v>
      </c>
      <c r="B40" s="275"/>
      <c r="C40" s="25"/>
      <c r="D40" s="279"/>
      <c r="E40" s="280"/>
      <c r="F40" s="280"/>
    </row>
  </sheetData>
  <mergeCells count="3">
    <mergeCell ref="G3:J3"/>
    <mergeCell ref="A1:E1"/>
    <mergeCell ref="A39:E39"/>
  </mergeCells>
  <pageMargins left="0.7" right="0.7" top="0.75" bottom="0.75" header="0.3" footer="0.3"/>
  <pageSetup paperSize="9" scale="9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J181"/>
  <sheetViews>
    <sheetView showGridLines="0" topLeftCell="A154" workbookViewId="0">
      <selection activeCell="A169" sqref="A169:J181"/>
    </sheetView>
  </sheetViews>
  <sheetFormatPr baseColWidth="10" defaultColWidth="8.28515625" defaultRowHeight="12.75" x14ac:dyDescent="0.25"/>
  <cols>
    <col min="1" max="1" width="39.7109375" style="28" customWidth="1"/>
    <col min="2" max="3" width="1.7109375" style="28" customWidth="1"/>
    <col min="4" max="4" width="15.42578125" style="28" customWidth="1"/>
    <col min="5" max="5" width="1.7109375" style="28" customWidth="1"/>
    <col min="6" max="6" width="24.5703125" style="28" customWidth="1"/>
    <col min="7" max="7" width="14" style="439" customWidth="1"/>
    <col min="8" max="8" width="1.7109375" style="27" customWidth="1"/>
    <col min="9" max="10" width="10.7109375" style="27" customWidth="1"/>
    <col min="11" max="16384" width="8.28515625" style="44"/>
  </cols>
  <sheetData>
    <row r="1" spans="1:10" s="497" customFormat="1" ht="13.5" customHeight="1" x14ac:dyDescent="0.2">
      <c r="A1" s="1126" t="s">
        <v>776</v>
      </c>
      <c r="B1" s="1126"/>
      <c r="C1" s="1126"/>
      <c r="D1" s="1126"/>
      <c r="E1" s="1126"/>
      <c r="F1" s="1126"/>
      <c r="G1" s="1126"/>
      <c r="H1" s="1126"/>
      <c r="I1" s="1126"/>
      <c r="J1" s="1126"/>
    </row>
    <row r="2" spans="1:10" ht="3.75" customHeight="1" x14ac:dyDescent="0.25">
      <c r="A2" s="445"/>
      <c r="B2" s="445"/>
      <c r="C2" s="445"/>
      <c r="D2" s="446"/>
      <c r="E2" s="446"/>
      <c r="F2" s="443"/>
      <c r="I2" s="513"/>
      <c r="J2" s="513"/>
    </row>
    <row r="3" spans="1:10" ht="20.25" customHeight="1" x14ac:dyDescent="0.25">
      <c r="A3" s="1127" t="s">
        <v>277</v>
      </c>
      <c r="B3" s="1128"/>
      <c r="C3" s="1127"/>
      <c r="D3" s="1127" t="s">
        <v>16</v>
      </c>
      <c r="E3" s="1127"/>
      <c r="F3" s="1127" t="s">
        <v>276</v>
      </c>
      <c r="G3" s="1132" t="s">
        <v>704</v>
      </c>
      <c r="H3" s="1127"/>
      <c r="I3" s="1131" t="s">
        <v>223</v>
      </c>
      <c r="J3" s="1131"/>
    </row>
    <row r="4" spans="1:10" ht="20.25" customHeight="1" x14ac:dyDescent="0.25">
      <c r="A4" s="1129"/>
      <c r="B4" s="1130"/>
      <c r="C4" s="1129"/>
      <c r="D4" s="1129"/>
      <c r="E4" s="1129"/>
      <c r="F4" s="1129"/>
      <c r="G4" s="1133"/>
      <c r="H4" s="1129"/>
      <c r="I4" s="769" t="s">
        <v>7</v>
      </c>
      <c r="J4" s="769" t="s">
        <v>770</v>
      </c>
    </row>
    <row r="5" spans="1:10" s="444" customFormat="1" ht="15.95" customHeight="1" x14ac:dyDescent="0.25">
      <c r="A5" s="770" t="s">
        <v>57</v>
      </c>
      <c r="B5" s="771"/>
      <c r="C5" s="770"/>
      <c r="D5" s="739"/>
      <c r="E5" s="739"/>
      <c r="F5" s="739"/>
      <c r="G5" s="772"/>
      <c r="H5" s="740"/>
      <c r="I5" s="773">
        <v>386865.12</v>
      </c>
      <c r="J5" s="773">
        <v>397011.25</v>
      </c>
    </row>
    <row r="6" spans="1:10" s="444" customFormat="1" ht="15.95" customHeight="1" x14ac:dyDescent="0.25">
      <c r="A6" s="774" t="s">
        <v>514</v>
      </c>
      <c r="B6" s="775"/>
      <c r="C6" s="756"/>
      <c r="D6" s="776" t="s">
        <v>17</v>
      </c>
      <c r="E6" s="776"/>
      <c r="F6" s="777" t="s">
        <v>513</v>
      </c>
      <c r="G6" s="778">
        <v>41234</v>
      </c>
      <c r="H6" s="779"/>
      <c r="I6" s="780">
        <v>46000</v>
      </c>
      <c r="J6" s="780">
        <v>46000</v>
      </c>
    </row>
    <row r="7" spans="1:10" s="444" customFormat="1" ht="32.1" customHeight="1" x14ac:dyDescent="0.25">
      <c r="A7" s="774" t="s">
        <v>847</v>
      </c>
      <c r="B7" s="775"/>
      <c r="C7" s="756"/>
      <c r="D7" s="776" t="s">
        <v>848</v>
      </c>
      <c r="E7" s="776"/>
      <c r="F7" s="781" t="s">
        <v>849</v>
      </c>
      <c r="G7" s="782" t="s">
        <v>512</v>
      </c>
      <c r="H7" s="783"/>
      <c r="I7" s="784">
        <v>34412</v>
      </c>
      <c r="J7" s="784">
        <v>34412</v>
      </c>
    </row>
    <row r="8" spans="1:10" s="499" customFormat="1" ht="32.1" customHeight="1" x14ac:dyDescent="0.25">
      <c r="A8" s="774" t="s">
        <v>850</v>
      </c>
      <c r="B8" s="775"/>
      <c r="C8" s="756"/>
      <c r="D8" s="776" t="s">
        <v>35</v>
      </c>
      <c r="E8" s="776"/>
      <c r="F8" s="781" t="s">
        <v>511</v>
      </c>
      <c r="G8" s="782">
        <v>42525</v>
      </c>
      <c r="H8" s="783"/>
      <c r="I8" s="784">
        <v>27107.45</v>
      </c>
      <c r="J8" s="784">
        <v>27107.45</v>
      </c>
    </row>
    <row r="9" spans="1:10" s="499" customFormat="1" ht="32.1" customHeight="1" x14ac:dyDescent="0.25">
      <c r="A9" s="774" t="s">
        <v>851</v>
      </c>
      <c r="B9" s="775"/>
      <c r="C9" s="756"/>
      <c r="D9" s="776" t="s">
        <v>17</v>
      </c>
      <c r="E9" s="776"/>
      <c r="F9" s="781" t="s">
        <v>801</v>
      </c>
      <c r="G9" s="782" t="s">
        <v>852</v>
      </c>
      <c r="H9" s="783"/>
      <c r="I9" s="784">
        <v>17502.93</v>
      </c>
      <c r="J9" s="784">
        <v>26216.1</v>
      </c>
    </row>
    <row r="10" spans="1:10" s="499" customFormat="1" ht="32.1" customHeight="1" x14ac:dyDescent="0.25">
      <c r="A10" s="774" t="s">
        <v>510</v>
      </c>
      <c r="B10" s="775"/>
      <c r="C10" s="756"/>
      <c r="D10" s="776" t="s">
        <v>30</v>
      </c>
      <c r="E10" s="776"/>
      <c r="F10" s="781" t="s">
        <v>853</v>
      </c>
      <c r="G10" s="782" t="s">
        <v>854</v>
      </c>
      <c r="H10" s="783"/>
      <c r="I10" s="784">
        <v>21106.57</v>
      </c>
      <c r="J10" s="784">
        <v>21106.57</v>
      </c>
    </row>
    <row r="11" spans="1:10" s="499" customFormat="1" ht="15.95" customHeight="1" x14ac:dyDescent="0.25">
      <c r="A11" s="774" t="s">
        <v>855</v>
      </c>
      <c r="B11" s="775"/>
      <c r="C11" s="756"/>
      <c r="D11" s="776" t="s">
        <v>17</v>
      </c>
      <c r="E11" s="776"/>
      <c r="F11" s="781" t="s">
        <v>856</v>
      </c>
      <c r="G11" s="782">
        <v>42368</v>
      </c>
      <c r="H11" s="783"/>
      <c r="I11" s="784">
        <v>19560</v>
      </c>
      <c r="J11" s="784">
        <v>19560</v>
      </c>
    </row>
    <row r="12" spans="1:10" s="499" customFormat="1" ht="32.1" customHeight="1" x14ac:dyDescent="0.25">
      <c r="A12" s="774" t="s">
        <v>509</v>
      </c>
      <c r="B12" s="775"/>
      <c r="C12" s="756"/>
      <c r="D12" s="776" t="s">
        <v>20</v>
      </c>
      <c r="E12" s="776"/>
      <c r="F12" s="781" t="s">
        <v>800</v>
      </c>
      <c r="G12" s="782" t="s">
        <v>857</v>
      </c>
      <c r="H12" s="783"/>
      <c r="I12" s="784">
        <v>19028.02</v>
      </c>
      <c r="J12" s="784">
        <v>19028.02</v>
      </c>
    </row>
    <row r="13" spans="1:10" s="499" customFormat="1" ht="15.95" customHeight="1" x14ac:dyDescent="0.25">
      <c r="A13" s="774" t="s">
        <v>508</v>
      </c>
      <c r="B13" s="775"/>
      <c r="C13" s="756"/>
      <c r="D13" s="776" t="s">
        <v>23</v>
      </c>
      <c r="E13" s="776"/>
      <c r="F13" s="781" t="s">
        <v>507</v>
      </c>
      <c r="G13" s="782">
        <v>40899</v>
      </c>
      <c r="H13" s="783"/>
      <c r="I13" s="784">
        <v>18695.75</v>
      </c>
      <c r="J13" s="784">
        <v>18695.75</v>
      </c>
    </row>
    <row r="14" spans="1:10" s="499" customFormat="1" ht="32.1" customHeight="1" x14ac:dyDescent="0.25">
      <c r="A14" s="774" t="s">
        <v>506</v>
      </c>
      <c r="B14" s="775"/>
      <c r="C14" s="756"/>
      <c r="D14" s="776" t="s">
        <v>22</v>
      </c>
      <c r="E14" s="776"/>
      <c r="F14" s="781" t="s">
        <v>505</v>
      </c>
      <c r="G14" s="782">
        <v>43445</v>
      </c>
      <c r="H14" s="783"/>
      <c r="I14" s="784">
        <v>17555.95</v>
      </c>
      <c r="J14" s="784">
        <v>17555.95</v>
      </c>
    </row>
    <row r="15" spans="1:10" s="499" customFormat="1" ht="15.95" customHeight="1" x14ac:dyDescent="0.25">
      <c r="A15" s="774" t="s">
        <v>504</v>
      </c>
      <c r="B15" s="775"/>
      <c r="C15" s="756"/>
      <c r="D15" s="776" t="s">
        <v>17</v>
      </c>
      <c r="E15" s="776"/>
      <c r="F15" s="781" t="s">
        <v>503</v>
      </c>
      <c r="G15" s="782">
        <v>43378</v>
      </c>
      <c r="H15" s="783"/>
      <c r="I15" s="784">
        <v>16153</v>
      </c>
      <c r="J15" s="784">
        <v>16153</v>
      </c>
    </row>
    <row r="16" spans="1:10" s="499" customFormat="1" ht="15.95" customHeight="1" x14ac:dyDescent="0.25">
      <c r="A16" s="774" t="s">
        <v>502</v>
      </c>
      <c r="B16" s="775"/>
      <c r="C16" s="756"/>
      <c r="D16" s="776" t="s">
        <v>18</v>
      </c>
      <c r="E16" s="776"/>
      <c r="F16" s="781" t="s">
        <v>501</v>
      </c>
      <c r="G16" s="782">
        <v>38699</v>
      </c>
      <c r="H16" s="783"/>
      <c r="I16" s="784">
        <v>12896.56</v>
      </c>
      <c r="J16" s="784">
        <v>12896.56</v>
      </c>
    </row>
    <row r="17" spans="1:10" s="499" customFormat="1" ht="15.95" customHeight="1" x14ac:dyDescent="0.25">
      <c r="A17" s="774" t="s">
        <v>500</v>
      </c>
      <c r="B17" s="775"/>
      <c r="C17" s="756"/>
      <c r="D17" s="776" t="s">
        <v>25</v>
      </c>
      <c r="E17" s="776"/>
      <c r="F17" s="781" t="s">
        <v>499</v>
      </c>
      <c r="G17" s="782">
        <v>39196</v>
      </c>
      <c r="H17" s="783"/>
      <c r="I17" s="784">
        <v>12172.91</v>
      </c>
      <c r="J17" s="784">
        <v>12172.91</v>
      </c>
    </row>
    <row r="18" spans="1:10" s="499" customFormat="1" ht="15.95" customHeight="1" x14ac:dyDescent="0.25">
      <c r="A18" s="774" t="s">
        <v>498</v>
      </c>
      <c r="B18" s="775"/>
      <c r="C18" s="756"/>
      <c r="D18" s="776" t="s">
        <v>17</v>
      </c>
      <c r="E18" s="776"/>
      <c r="F18" s="781" t="s">
        <v>497</v>
      </c>
      <c r="G18" s="782">
        <v>40718</v>
      </c>
      <c r="H18" s="783"/>
      <c r="I18" s="784">
        <v>11549.21</v>
      </c>
      <c r="J18" s="784">
        <v>11549.21</v>
      </c>
    </row>
    <row r="19" spans="1:10" s="499" customFormat="1" ht="15.95" customHeight="1" x14ac:dyDescent="0.25">
      <c r="A19" s="774" t="s">
        <v>496</v>
      </c>
      <c r="B19" s="775"/>
      <c r="C19" s="756"/>
      <c r="D19" s="776" t="s">
        <v>17</v>
      </c>
      <c r="E19" s="776"/>
      <c r="F19" s="781" t="s">
        <v>495</v>
      </c>
      <c r="G19" s="782">
        <v>41172</v>
      </c>
      <c r="H19" s="783"/>
      <c r="I19" s="784">
        <v>10920.84</v>
      </c>
      <c r="J19" s="784">
        <v>10920.84</v>
      </c>
    </row>
    <row r="20" spans="1:10" s="499" customFormat="1" ht="32.1" customHeight="1" x14ac:dyDescent="0.25">
      <c r="A20" s="774" t="s">
        <v>494</v>
      </c>
      <c r="B20" s="775"/>
      <c r="C20" s="756"/>
      <c r="D20" s="776" t="s">
        <v>35</v>
      </c>
      <c r="E20" s="776"/>
      <c r="F20" s="781" t="s">
        <v>493</v>
      </c>
      <c r="G20" s="782">
        <v>42464</v>
      </c>
      <c r="H20" s="783"/>
      <c r="I20" s="784">
        <v>9944.73</v>
      </c>
      <c r="J20" s="784">
        <v>9944.73</v>
      </c>
    </row>
    <row r="21" spans="1:10" s="499" customFormat="1" ht="15.95" customHeight="1" x14ac:dyDescent="0.25">
      <c r="A21" s="774" t="s">
        <v>492</v>
      </c>
      <c r="B21" s="775"/>
      <c r="C21" s="756"/>
      <c r="D21" s="776" t="s">
        <v>17</v>
      </c>
      <c r="E21" s="776"/>
      <c r="F21" s="781" t="s">
        <v>491</v>
      </c>
      <c r="G21" s="782">
        <v>40365</v>
      </c>
      <c r="H21" s="783"/>
      <c r="I21" s="784">
        <v>6800.48</v>
      </c>
      <c r="J21" s="784">
        <v>6800.48</v>
      </c>
    </row>
    <row r="22" spans="1:10" s="499" customFormat="1" ht="15.95" customHeight="1" x14ac:dyDescent="0.25">
      <c r="A22" s="774" t="s">
        <v>858</v>
      </c>
      <c r="B22" s="775"/>
      <c r="C22" s="756"/>
      <c r="D22" s="776" t="s">
        <v>17</v>
      </c>
      <c r="E22" s="776"/>
      <c r="F22" s="781" t="s">
        <v>490</v>
      </c>
      <c r="G22" s="782">
        <v>40750</v>
      </c>
      <c r="H22" s="783"/>
      <c r="I22" s="784">
        <v>6338.42</v>
      </c>
      <c r="J22" s="784">
        <v>6338.42</v>
      </c>
    </row>
    <row r="23" spans="1:10" s="499" customFormat="1" ht="32.1" customHeight="1" x14ac:dyDescent="0.25">
      <c r="A23" s="774" t="s">
        <v>482</v>
      </c>
      <c r="B23" s="775"/>
      <c r="C23" s="756"/>
      <c r="D23" s="776" t="s">
        <v>35</v>
      </c>
      <c r="E23" s="776"/>
      <c r="F23" s="781" t="s">
        <v>859</v>
      </c>
      <c r="G23" s="782" t="s">
        <v>860</v>
      </c>
      <c r="H23" s="783"/>
      <c r="I23" s="784">
        <v>5915.35</v>
      </c>
      <c r="J23" s="784">
        <v>5915.35</v>
      </c>
    </row>
    <row r="24" spans="1:10" s="499" customFormat="1" ht="15.95" customHeight="1" x14ac:dyDescent="0.25">
      <c r="A24" s="774" t="s">
        <v>489</v>
      </c>
      <c r="B24" s="775"/>
      <c r="C24" s="756"/>
      <c r="D24" s="776" t="s">
        <v>28</v>
      </c>
      <c r="E24" s="776"/>
      <c r="F24" s="781" t="s">
        <v>488</v>
      </c>
      <c r="G24" s="782">
        <v>42577</v>
      </c>
      <c r="H24" s="783"/>
      <c r="I24" s="784">
        <v>4564.9799999999996</v>
      </c>
      <c r="J24" s="784">
        <v>4564.9799999999996</v>
      </c>
    </row>
    <row r="25" spans="1:10" s="499" customFormat="1" ht="15.95" customHeight="1" x14ac:dyDescent="0.25">
      <c r="A25" s="774" t="s">
        <v>487</v>
      </c>
      <c r="B25" s="775"/>
      <c r="C25" s="756"/>
      <c r="D25" s="776" t="s">
        <v>22</v>
      </c>
      <c r="E25" s="776"/>
      <c r="F25" s="781" t="s">
        <v>486</v>
      </c>
      <c r="G25" s="782">
        <v>43336</v>
      </c>
      <c r="H25" s="783"/>
      <c r="I25" s="784">
        <v>3740.28</v>
      </c>
      <c r="J25" s="784">
        <v>3740.28</v>
      </c>
    </row>
    <row r="26" spans="1:10" s="499" customFormat="1" ht="32.1" customHeight="1" x14ac:dyDescent="0.25">
      <c r="A26" s="774" t="s">
        <v>903</v>
      </c>
      <c r="B26" s="775"/>
      <c r="C26" s="756"/>
      <c r="D26" s="776" t="s">
        <v>22</v>
      </c>
      <c r="E26" s="776"/>
      <c r="F26" s="781" t="s">
        <v>485</v>
      </c>
      <c r="G26" s="782">
        <v>42970</v>
      </c>
      <c r="H26" s="783"/>
      <c r="I26" s="784">
        <v>3547.19</v>
      </c>
      <c r="J26" s="784">
        <v>3547.19</v>
      </c>
    </row>
    <row r="27" spans="1:10" s="499" customFormat="1" ht="15.95" customHeight="1" x14ac:dyDescent="0.25">
      <c r="A27" s="774" t="s">
        <v>484</v>
      </c>
      <c r="B27" s="775"/>
      <c r="C27" s="756"/>
      <c r="D27" s="776" t="s">
        <v>35</v>
      </c>
      <c r="E27" s="776"/>
      <c r="F27" s="781" t="s">
        <v>483</v>
      </c>
      <c r="G27" s="782">
        <v>42578</v>
      </c>
      <c r="H27" s="783"/>
      <c r="I27" s="784">
        <v>3522.32</v>
      </c>
      <c r="J27" s="784">
        <v>3522.32</v>
      </c>
    </row>
    <row r="28" spans="1:10" s="499" customFormat="1" ht="15.95" customHeight="1" x14ac:dyDescent="0.25">
      <c r="A28" s="774" t="s">
        <v>481</v>
      </c>
      <c r="B28" s="775"/>
      <c r="C28" s="756"/>
      <c r="D28" s="776" t="s">
        <v>35</v>
      </c>
      <c r="E28" s="776"/>
      <c r="F28" s="781" t="s">
        <v>480</v>
      </c>
      <c r="G28" s="782">
        <v>41382</v>
      </c>
      <c r="H28" s="783"/>
      <c r="I28" s="784">
        <v>2888.03</v>
      </c>
      <c r="J28" s="784">
        <v>2888.03</v>
      </c>
    </row>
    <row r="29" spans="1:10" s="499" customFormat="1" ht="15.95" customHeight="1" x14ac:dyDescent="0.25">
      <c r="A29" s="774" t="s">
        <v>479</v>
      </c>
      <c r="B29" s="775"/>
      <c r="C29" s="756"/>
      <c r="D29" s="776" t="s">
        <v>17</v>
      </c>
      <c r="E29" s="776"/>
      <c r="F29" s="781" t="s">
        <v>478</v>
      </c>
      <c r="G29" s="782">
        <v>41471</v>
      </c>
      <c r="H29" s="783"/>
      <c r="I29" s="784">
        <v>2776.96</v>
      </c>
      <c r="J29" s="784">
        <v>2776.96</v>
      </c>
    </row>
    <row r="30" spans="1:10" s="499" customFormat="1" ht="15.95" customHeight="1" x14ac:dyDescent="0.25">
      <c r="A30" s="774" t="s">
        <v>477</v>
      </c>
      <c r="B30" s="775"/>
      <c r="C30" s="756"/>
      <c r="D30" s="776" t="s">
        <v>17</v>
      </c>
      <c r="E30" s="776"/>
      <c r="F30" s="781" t="s">
        <v>476</v>
      </c>
      <c r="G30" s="782">
        <v>43584</v>
      </c>
      <c r="H30" s="783"/>
      <c r="I30" s="784">
        <v>2603.5731999999998</v>
      </c>
      <c r="J30" s="784">
        <v>2603.5731999999998</v>
      </c>
    </row>
    <row r="31" spans="1:10" s="499" customFormat="1" ht="15.95" customHeight="1" x14ac:dyDescent="0.25">
      <c r="A31" s="774" t="s">
        <v>475</v>
      </c>
      <c r="B31" s="775"/>
      <c r="C31" s="756"/>
      <c r="D31" s="776" t="s">
        <v>17</v>
      </c>
      <c r="E31" s="776"/>
      <c r="F31" s="781" t="s">
        <v>474</v>
      </c>
      <c r="G31" s="782">
        <v>43445</v>
      </c>
      <c r="H31" s="783"/>
      <c r="I31" s="784">
        <v>2573.0700000000002</v>
      </c>
      <c r="J31" s="784">
        <v>2573.0700000000002</v>
      </c>
    </row>
    <row r="32" spans="1:10" s="499" customFormat="1" ht="15.95" customHeight="1" x14ac:dyDescent="0.25">
      <c r="A32" s="774" t="s">
        <v>473</v>
      </c>
      <c r="B32" s="775"/>
      <c r="C32" s="756"/>
      <c r="D32" s="776" t="s">
        <v>32</v>
      </c>
      <c r="E32" s="776"/>
      <c r="F32" s="781" t="s">
        <v>472</v>
      </c>
      <c r="G32" s="782">
        <v>43511</v>
      </c>
      <c r="H32" s="783"/>
      <c r="I32" s="784">
        <v>2550.08</v>
      </c>
      <c r="J32" s="784">
        <v>2550.08</v>
      </c>
    </row>
    <row r="33" spans="1:10" s="499" customFormat="1" ht="15.95" customHeight="1" x14ac:dyDescent="0.25">
      <c r="A33" s="774" t="s">
        <v>471</v>
      </c>
      <c r="B33" s="775"/>
      <c r="C33" s="756"/>
      <c r="D33" s="776" t="s">
        <v>35</v>
      </c>
      <c r="E33" s="776"/>
      <c r="F33" s="781" t="s">
        <v>470</v>
      </c>
      <c r="G33" s="782">
        <v>42781</v>
      </c>
      <c r="H33" s="783"/>
      <c r="I33" s="784">
        <v>2412.4499999999998</v>
      </c>
      <c r="J33" s="784">
        <v>2412.4499999999998</v>
      </c>
    </row>
    <row r="34" spans="1:10" s="499" customFormat="1" ht="15.95" customHeight="1" x14ac:dyDescent="0.25">
      <c r="A34" s="774" t="s">
        <v>469</v>
      </c>
      <c r="B34" s="775"/>
      <c r="C34" s="756"/>
      <c r="D34" s="776" t="s">
        <v>17</v>
      </c>
      <c r="E34" s="776"/>
      <c r="F34" s="781" t="s">
        <v>468</v>
      </c>
      <c r="G34" s="782">
        <v>40701</v>
      </c>
      <c r="H34" s="783"/>
      <c r="I34" s="784">
        <v>2282.12</v>
      </c>
      <c r="J34" s="784">
        <v>2282.12</v>
      </c>
    </row>
    <row r="35" spans="1:10" s="499" customFormat="1" ht="15.95" customHeight="1" x14ac:dyDescent="0.25">
      <c r="A35" s="774" t="s">
        <v>802</v>
      </c>
      <c r="B35" s="775"/>
      <c r="C35" s="756"/>
      <c r="D35" s="776" t="s">
        <v>32</v>
      </c>
      <c r="E35" s="776"/>
      <c r="F35" s="781" t="s">
        <v>803</v>
      </c>
      <c r="G35" s="782">
        <v>44561</v>
      </c>
      <c r="H35" s="783"/>
      <c r="I35" s="784" t="s">
        <v>47</v>
      </c>
      <c r="J35" s="784">
        <v>2103.75</v>
      </c>
    </row>
    <row r="36" spans="1:10" s="499" customFormat="1" ht="32.1" customHeight="1" x14ac:dyDescent="0.25">
      <c r="A36" s="774" t="s">
        <v>465</v>
      </c>
      <c r="B36" s="775"/>
      <c r="C36" s="756"/>
      <c r="D36" s="776" t="s">
        <v>22</v>
      </c>
      <c r="E36" s="776"/>
      <c r="F36" s="781" t="s">
        <v>464</v>
      </c>
      <c r="G36" s="782">
        <v>43508</v>
      </c>
      <c r="H36" s="783"/>
      <c r="I36" s="784">
        <v>1957.75</v>
      </c>
      <c r="J36" s="784">
        <v>1957.75</v>
      </c>
    </row>
    <row r="37" spans="1:10" s="499" customFormat="1" ht="15.95" customHeight="1" x14ac:dyDescent="0.25">
      <c r="A37" s="774" t="s">
        <v>463</v>
      </c>
      <c r="B37" s="775"/>
      <c r="C37" s="756"/>
      <c r="D37" s="776" t="s">
        <v>32</v>
      </c>
      <c r="E37" s="776"/>
      <c r="F37" s="781" t="s">
        <v>462</v>
      </c>
      <c r="G37" s="782">
        <v>42578</v>
      </c>
      <c r="H37" s="783"/>
      <c r="I37" s="784">
        <v>1924.6751999999999</v>
      </c>
      <c r="J37" s="784">
        <v>1924.6751999999999</v>
      </c>
    </row>
    <row r="38" spans="1:10" s="499" customFormat="1" ht="15.95" customHeight="1" x14ac:dyDescent="0.25">
      <c r="A38" s="774" t="s">
        <v>461</v>
      </c>
      <c r="B38" s="775"/>
      <c r="C38" s="756"/>
      <c r="D38" s="776" t="s">
        <v>35</v>
      </c>
      <c r="E38" s="776"/>
      <c r="F38" s="781" t="s">
        <v>460</v>
      </c>
      <c r="G38" s="782">
        <v>42781</v>
      </c>
      <c r="H38" s="783"/>
      <c r="I38" s="784">
        <v>1842.04</v>
      </c>
      <c r="J38" s="784">
        <v>1842.04</v>
      </c>
    </row>
    <row r="39" spans="1:10" s="499" customFormat="1" ht="15.95" customHeight="1" x14ac:dyDescent="0.25">
      <c r="A39" s="774" t="s">
        <v>804</v>
      </c>
      <c r="B39" s="775"/>
      <c r="C39" s="756"/>
      <c r="D39" s="776" t="s">
        <v>23</v>
      </c>
      <c r="E39" s="776"/>
      <c r="F39" s="781" t="s">
        <v>805</v>
      </c>
      <c r="G39" s="782">
        <v>44561</v>
      </c>
      <c r="H39" s="783"/>
      <c r="I39" s="784" t="s">
        <v>47</v>
      </c>
      <c r="J39" s="784">
        <v>1797.91</v>
      </c>
    </row>
    <row r="40" spans="1:10" s="499" customFormat="1" ht="32.1" customHeight="1" x14ac:dyDescent="0.25">
      <c r="A40" s="774" t="s">
        <v>457</v>
      </c>
      <c r="B40" s="775"/>
      <c r="C40" s="756"/>
      <c r="D40" s="776" t="s">
        <v>35</v>
      </c>
      <c r="E40" s="776"/>
      <c r="F40" s="781" t="s">
        <v>456</v>
      </c>
      <c r="G40" s="782">
        <v>42431</v>
      </c>
      <c r="H40" s="783"/>
      <c r="I40" s="784">
        <v>1738.23</v>
      </c>
      <c r="J40" s="784">
        <v>1738.23</v>
      </c>
    </row>
    <row r="41" spans="1:10" s="499" customFormat="1" ht="15.95" customHeight="1" x14ac:dyDescent="0.25">
      <c r="A41" s="774" t="s">
        <v>455</v>
      </c>
      <c r="B41" s="775"/>
      <c r="C41" s="756"/>
      <c r="D41" s="776" t="s">
        <v>23</v>
      </c>
      <c r="E41" s="776"/>
      <c r="F41" s="781" t="s">
        <v>454</v>
      </c>
      <c r="G41" s="782">
        <v>42867</v>
      </c>
      <c r="H41" s="783"/>
      <c r="I41" s="784">
        <v>1737.5</v>
      </c>
      <c r="J41" s="784">
        <v>1737.5</v>
      </c>
    </row>
    <row r="42" spans="1:10" s="499" customFormat="1" ht="15.95" customHeight="1" x14ac:dyDescent="0.25">
      <c r="A42" s="774" t="s">
        <v>453</v>
      </c>
      <c r="B42" s="775"/>
      <c r="C42" s="756"/>
      <c r="D42" s="776" t="s">
        <v>17</v>
      </c>
      <c r="E42" s="776"/>
      <c r="F42" s="781" t="s">
        <v>452</v>
      </c>
      <c r="G42" s="782">
        <v>39371</v>
      </c>
      <c r="H42" s="783"/>
      <c r="I42" s="784">
        <v>1415.74</v>
      </c>
      <c r="J42" s="784">
        <v>1415.74</v>
      </c>
    </row>
    <row r="43" spans="1:10" s="499" customFormat="1" ht="15.95" customHeight="1" x14ac:dyDescent="0.25">
      <c r="A43" s="774" t="s">
        <v>451</v>
      </c>
      <c r="B43" s="775"/>
      <c r="C43" s="756"/>
      <c r="D43" s="776" t="s">
        <v>28</v>
      </c>
      <c r="E43" s="776"/>
      <c r="F43" s="781" t="s">
        <v>450</v>
      </c>
      <c r="G43" s="782">
        <v>38246</v>
      </c>
      <c r="H43" s="783"/>
      <c r="I43" s="784">
        <v>1310.9</v>
      </c>
      <c r="J43" s="784">
        <v>1310.9</v>
      </c>
    </row>
    <row r="44" spans="1:10" s="499" customFormat="1" ht="15.95" customHeight="1" x14ac:dyDescent="0.25">
      <c r="A44" s="774" t="s">
        <v>700</v>
      </c>
      <c r="B44" s="775"/>
      <c r="C44" s="756"/>
      <c r="D44" s="776" t="s">
        <v>23</v>
      </c>
      <c r="E44" s="776"/>
      <c r="F44" s="781" t="s">
        <v>705</v>
      </c>
      <c r="G44" s="782">
        <v>43846</v>
      </c>
      <c r="H44" s="783"/>
      <c r="I44" s="784">
        <v>1289.1300000000001</v>
      </c>
      <c r="J44" s="784">
        <v>1289.1300000000001</v>
      </c>
    </row>
    <row r="45" spans="1:10" s="499" customFormat="1" ht="15.95" customHeight="1" x14ac:dyDescent="0.25">
      <c r="A45" s="774" t="s">
        <v>449</v>
      </c>
      <c r="B45" s="775"/>
      <c r="C45" s="756"/>
      <c r="D45" s="776" t="s">
        <v>23</v>
      </c>
      <c r="E45" s="776"/>
      <c r="F45" s="781" t="s">
        <v>861</v>
      </c>
      <c r="G45" s="782">
        <v>42339</v>
      </c>
      <c r="H45" s="783"/>
      <c r="I45" s="784">
        <v>1144</v>
      </c>
      <c r="J45" s="784">
        <v>1144</v>
      </c>
    </row>
    <row r="46" spans="1:10" s="499" customFormat="1" ht="15.95" customHeight="1" x14ac:dyDescent="0.25">
      <c r="A46" s="774" t="s">
        <v>448</v>
      </c>
      <c r="B46" s="775"/>
      <c r="C46" s="756"/>
      <c r="D46" s="776" t="s">
        <v>17</v>
      </c>
      <c r="E46" s="776"/>
      <c r="F46" s="781" t="s">
        <v>447</v>
      </c>
      <c r="G46" s="782">
        <v>39051</v>
      </c>
      <c r="H46" s="783"/>
      <c r="I46" s="784">
        <v>1140.5428999999999</v>
      </c>
      <c r="J46" s="784">
        <v>1140.5428999999999</v>
      </c>
    </row>
    <row r="47" spans="1:10" s="499" customFormat="1" ht="15.95" customHeight="1" x14ac:dyDescent="0.25">
      <c r="A47" s="774" t="s">
        <v>862</v>
      </c>
      <c r="B47" s="775"/>
      <c r="C47" s="756"/>
      <c r="D47" s="776" t="s">
        <v>31</v>
      </c>
      <c r="E47" s="776"/>
      <c r="F47" s="781" t="s">
        <v>863</v>
      </c>
      <c r="G47" s="782">
        <v>43780</v>
      </c>
      <c r="H47" s="783"/>
      <c r="I47" s="784">
        <v>1122.47</v>
      </c>
      <c r="J47" s="784">
        <v>1122.47</v>
      </c>
    </row>
    <row r="48" spans="1:10" s="499" customFormat="1" ht="15.95" customHeight="1" x14ac:dyDescent="0.25">
      <c r="A48" s="785" t="s">
        <v>806</v>
      </c>
      <c r="B48" s="786"/>
      <c r="C48" s="787"/>
      <c r="D48" s="788" t="s">
        <v>31</v>
      </c>
      <c r="E48" s="788"/>
      <c r="F48" s="789" t="s">
        <v>807</v>
      </c>
      <c r="G48" s="790">
        <v>44469</v>
      </c>
      <c r="H48" s="791"/>
      <c r="I48" s="792" t="s">
        <v>47</v>
      </c>
      <c r="J48" s="792">
        <v>1100.017096</v>
      </c>
    </row>
    <row r="49" spans="1:10" s="504" customFormat="1" ht="12" customHeight="1" x14ac:dyDescent="0.25">
      <c r="A49" s="500"/>
      <c r="B49" s="501"/>
      <c r="C49" s="501"/>
      <c r="D49" s="502"/>
      <c r="E49" s="502"/>
      <c r="F49" s="498"/>
      <c r="G49" s="503"/>
      <c r="H49" s="503"/>
      <c r="I49" s="514"/>
      <c r="J49" s="508" t="s">
        <v>59</v>
      </c>
    </row>
    <row r="50" spans="1:10" s="444" customFormat="1" ht="12.6" customHeight="1" x14ac:dyDescent="0.25">
      <c r="A50" s="505"/>
      <c r="B50" s="28"/>
      <c r="C50" s="28"/>
      <c r="D50" s="285"/>
      <c r="E50" s="285"/>
      <c r="F50" s="442"/>
      <c r="G50" s="507"/>
      <c r="H50" s="507"/>
      <c r="I50" s="515"/>
      <c r="J50" s="516"/>
    </row>
    <row r="51" spans="1:10" s="497" customFormat="1" ht="13.5" customHeight="1" x14ac:dyDescent="0.2">
      <c r="A51" s="1126" t="s">
        <v>776</v>
      </c>
      <c r="B51" s="1126"/>
      <c r="C51" s="1126"/>
      <c r="D51" s="1126"/>
      <c r="E51" s="1126"/>
      <c r="F51" s="1126"/>
      <c r="G51" s="1126"/>
      <c r="H51" s="1126"/>
      <c r="I51" s="1126"/>
      <c r="J51" s="1126"/>
    </row>
    <row r="52" spans="1:10" ht="3.75" customHeight="1" x14ac:dyDescent="0.25">
      <c r="A52" s="445"/>
      <c r="B52" s="445"/>
      <c r="C52" s="445"/>
      <c r="D52" s="446"/>
      <c r="E52" s="446"/>
      <c r="F52" s="443"/>
      <c r="I52" s="513"/>
      <c r="J52" s="513"/>
    </row>
    <row r="53" spans="1:10" ht="20.25" customHeight="1" x14ac:dyDescent="0.25">
      <c r="A53" s="1127" t="s">
        <v>277</v>
      </c>
      <c r="B53" s="1128"/>
      <c r="C53" s="1127"/>
      <c r="D53" s="1127" t="s">
        <v>16</v>
      </c>
      <c r="E53" s="1127"/>
      <c r="F53" s="1127" t="s">
        <v>276</v>
      </c>
      <c r="G53" s="1132" t="s">
        <v>704</v>
      </c>
      <c r="H53" s="1127"/>
      <c r="I53" s="1131" t="s">
        <v>223</v>
      </c>
      <c r="J53" s="1131"/>
    </row>
    <row r="54" spans="1:10" ht="20.25" customHeight="1" x14ac:dyDescent="0.25">
      <c r="A54" s="1129"/>
      <c r="B54" s="1130"/>
      <c r="C54" s="1129"/>
      <c r="D54" s="1129"/>
      <c r="E54" s="1129"/>
      <c r="F54" s="1129"/>
      <c r="G54" s="1133"/>
      <c r="H54" s="1129"/>
      <c r="I54" s="769" t="s">
        <v>7</v>
      </c>
      <c r="J54" s="769" t="s">
        <v>770</v>
      </c>
    </row>
    <row r="55" spans="1:10" s="499" customFormat="1" ht="15.95" customHeight="1" x14ac:dyDescent="0.25">
      <c r="A55" s="777" t="s">
        <v>446</v>
      </c>
      <c r="B55" s="775"/>
      <c r="C55" s="756"/>
      <c r="D55" s="776" t="s">
        <v>32</v>
      </c>
      <c r="E55" s="776"/>
      <c r="F55" s="781" t="s">
        <v>445</v>
      </c>
      <c r="G55" s="782">
        <v>42663</v>
      </c>
      <c r="H55" s="783"/>
      <c r="I55" s="784">
        <v>1065.7047</v>
      </c>
      <c r="J55" s="784">
        <v>1065.7047</v>
      </c>
    </row>
    <row r="56" spans="1:10" s="499" customFormat="1" ht="15.95" customHeight="1" x14ac:dyDescent="0.25">
      <c r="A56" s="774" t="s">
        <v>701</v>
      </c>
      <c r="B56" s="793"/>
      <c r="C56" s="794"/>
      <c r="D56" s="795" t="s">
        <v>31</v>
      </c>
      <c r="E56" s="795"/>
      <c r="F56" s="774" t="s">
        <v>706</v>
      </c>
      <c r="G56" s="796">
        <v>44066</v>
      </c>
      <c r="H56" s="797"/>
      <c r="I56" s="798">
        <v>1060.8599999999999</v>
      </c>
      <c r="J56" s="798">
        <v>1060.8599999999999</v>
      </c>
    </row>
    <row r="57" spans="1:10" s="499" customFormat="1" ht="15.95" customHeight="1" x14ac:dyDescent="0.25">
      <c r="A57" s="781" t="s">
        <v>864</v>
      </c>
      <c r="B57" s="775"/>
      <c r="C57" s="756"/>
      <c r="D57" s="776" t="s">
        <v>23</v>
      </c>
      <c r="E57" s="776"/>
      <c r="F57" s="781" t="s">
        <v>865</v>
      </c>
      <c r="G57" s="782">
        <v>42237</v>
      </c>
      <c r="H57" s="783"/>
      <c r="I57" s="784">
        <v>1008.51</v>
      </c>
      <c r="J57" s="784">
        <v>1008.51</v>
      </c>
    </row>
    <row r="58" spans="1:10" s="499" customFormat="1" ht="15.95" customHeight="1" x14ac:dyDescent="0.25">
      <c r="A58" s="777" t="s">
        <v>444</v>
      </c>
      <c r="B58" s="799"/>
      <c r="C58" s="800"/>
      <c r="D58" s="801" t="s">
        <v>35</v>
      </c>
      <c r="E58" s="801"/>
      <c r="F58" s="777" t="s">
        <v>443</v>
      </c>
      <c r="G58" s="778">
        <v>42577</v>
      </c>
      <c r="H58" s="779"/>
      <c r="I58" s="780">
        <v>1000</v>
      </c>
      <c r="J58" s="780">
        <v>1000</v>
      </c>
    </row>
    <row r="59" spans="1:10" s="499" customFormat="1" ht="15.95" customHeight="1" x14ac:dyDescent="0.25">
      <c r="A59" s="802" t="s">
        <v>442</v>
      </c>
      <c r="B59" s="775"/>
      <c r="C59" s="756"/>
      <c r="D59" s="776" t="s">
        <v>25</v>
      </c>
      <c r="E59" s="776"/>
      <c r="F59" s="802" t="s">
        <v>441</v>
      </c>
      <c r="G59" s="803">
        <v>40710</v>
      </c>
      <c r="H59" s="804"/>
      <c r="I59" s="805">
        <v>985.99</v>
      </c>
      <c r="J59" s="805">
        <v>985.99</v>
      </c>
    </row>
    <row r="60" spans="1:10" s="499" customFormat="1" ht="15.95" customHeight="1" x14ac:dyDescent="0.25">
      <c r="A60" s="774" t="s">
        <v>866</v>
      </c>
      <c r="B60" s="775"/>
      <c r="C60" s="756"/>
      <c r="D60" s="776" t="s">
        <v>35</v>
      </c>
      <c r="E60" s="776"/>
      <c r="F60" s="781" t="s">
        <v>867</v>
      </c>
      <c r="G60" s="782">
        <v>42094</v>
      </c>
      <c r="H60" s="783"/>
      <c r="I60" s="784">
        <v>908</v>
      </c>
      <c r="J60" s="784">
        <v>908</v>
      </c>
    </row>
    <row r="61" spans="1:10" s="499" customFormat="1" ht="15.95" customHeight="1" x14ac:dyDescent="0.25">
      <c r="A61" s="777" t="s">
        <v>702</v>
      </c>
      <c r="B61" s="775"/>
      <c r="C61" s="756"/>
      <c r="D61" s="776" t="s">
        <v>25</v>
      </c>
      <c r="E61" s="776"/>
      <c r="F61" s="781" t="s">
        <v>707</v>
      </c>
      <c r="G61" s="782">
        <v>44158</v>
      </c>
      <c r="H61" s="783"/>
      <c r="I61" s="784">
        <v>885.28</v>
      </c>
      <c r="J61" s="784">
        <v>885.28</v>
      </c>
    </row>
    <row r="62" spans="1:10" s="499" customFormat="1" ht="15.95" customHeight="1" x14ac:dyDescent="0.25">
      <c r="A62" s="774" t="s">
        <v>703</v>
      </c>
      <c r="B62" s="793"/>
      <c r="C62" s="794"/>
      <c r="D62" s="795" t="s">
        <v>23</v>
      </c>
      <c r="E62" s="795"/>
      <c r="F62" s="774" t="s">
        <v>708</v>
      </c>
      <c r="G62" s="796">
        <v>43846</v>
      </c>
      <c r="H62" s="797"/>
      <c r="I62" s="798">
        <v>861.01</v>
      </c>
      <c r="J62" s="798">
        <v>861.01</v>
      </c>
    </row>
    <row r="63" spans="1:10" s="444" customFormat="1" ht="15.95" customHeight="1" x14ac:dyDescent="0.25">
      <c r="A63" s="806" t="s">
        <v>808</v>
      </c>
      <c r="B63" s="755"/>
      <c r="C63" s="739"/>
      <c r="D63" s="807" t="s">
        <v>30</v>
      </c>
      <c r="E63" s="807"/>
      <c r="F63" s="781" t="s">
        <v>809</v>
      </c>
      <c r="G63" s="808">
        <v>44386</v>
      </c>
      <c r="H63" s="809"/>
      <c r="I63" s="810" t="s">
        <v>47</v>
      </c>
      <c r="J63" s="810">
        <v>787.82</v>
      </c>
    </row>
    <row r="64" spans="1:10" s="444" customFormat="1" ht="15.95" customHeight="1" x14ac:dyDescent="0.25">
      <c r="A64" s="811" t="s">
        <v>436</v>
      </c>
      <c r="B64" s="812"/>
      <c r="C64" s="813"/>
      <c r="D64" s="807" t="s">
        <v>18</v>
      </c>
      <c r="E64" s="807"/>
      <c r="F64" s="781" t="s">
        <v>435</v>
      </c>
      <c r="G64" s="808">
        <v>40906</v>
      </c>
      <c r="H64" s="809"/>
      <c r="I64" s="810">
        <v>767.34</v>
      </c>
      <c r="J64" s="810">
        <v>767.34</v>
      </c>
    </row>
    <row r="65" spans="1:10" s="444" customFormat="1" ht="15.95" customHeight="1" x14ac:dyDescent="0.25">
      <c r="A65" s="811" t="s">
        <v>810</v>
      </c>
      <c r="B65" s="814"/>
      <c r="C65" s="754"/>
      <c r="D65" s="807" t="s">
        <v>29</v>
      </c>
      <c r="E65" s="807"/>
      <c r="F65" s="781" t="s">
        <v>811</v>
      </c>
      <c r="G65" s="808">
        <v>44245</v>
      </c>
      <c r="H65" s="809"/>
      <c r="I65" s="810" t="s">
        <v>47</v>
      </c>
      <c r="J65" s="810">
        <v>705.95140000000004</v>
      </c>
    </row>
    <row r="66" spans="1:10" s="444" customFormat="1" ht="15.95" customHeight="1" x14ac:dyDescent="0.25">
      <c r="A66" s="811" t="s">
        <v>434</v>
      </c>
      <c r="B66" s="755"/>
      <c r="C66" s="739"/>
      <c r="D66" s="807" t="s">
        <v>36</v>
      </c>
      <c r="E66" s="807"/>
      <c r="F66" s="781" t="s">
        <v>433</v>
      </c>
      <c r="G66" s="808">
        <v>41061</v>
      </c>
      <c r="H66" s="809"/>
      <c r="I66" s="810">
        <v>651.19000000000005</v>
      </c>
      <c r="J66" s="810">
        <v>651.19000000000005</v>
      </c>
    </row>
    <row r="67" spans="1:10" s="444" customFormat="1" ht="15.95" customHeight="1" x14ac:dyDescent="0.25">
      <c r="A67" s="811" t="s">
        <v>432</v>
      </c>
      <c r="B67" s="755"/>
      <c r="C67" s="739"/>
      <c r="D67" s="807" t="s">
        <v>23</v>
      </c>
      <c r="E67" s="807"/>
      <c r="F67" s="781" t="s">
        <v>431</v>
      </c>
      <c r="G67" s="808">
        <v>42696</v>
      </c>
      <c r="H67" s="809"/>
      <c r="I67" s="810">
        <v>593.85339999999997</v>
      </c>
      <c r="J67" s="810">
        <v>593.85339999999997</v>
      </c>
    </row>
    <row r="68" spans="1:10" s="444" customFormat="1" ht="15.95" customHeight="1" x14ac:dyDescent="0.25">
      <c r="A68" s="811" t="s">
        <v>430</v>
      </c>
      <c r="B68" s="755"/>
      <c r="C68" s="739"/>
      <c r="D68" s="807" t="s">
        <v>36</v>
      </c>
      <c r="E68" s="807"/>
      <c r="F68" s="781" t="s">
        <v>429</v>
      </c>
      <c r="G68" s="808">
        <v>41071</v>
      </c>
      <c r="H68" s="809"/>
      <c r="I68" s="810">
        <v>560</v>
      </c>
      <c r="J68" s="810">
        <v>560</v>
      </c>
    </row>
    <row r="69" spans="1:10" s="444" customFormat="1" ht="15.95" customHeight="1" x14ac:dyDescent="0.25">
      <c r="A69" s="811" t="s">
        <v>428</v>
      </c>
      <c r="B69" s="755"/>
      <c r="C69" s="739"/>
      <c r="D69" s="807" t="s">
        <v>35</v>
      </c>
      <c r="E69" s="807"/>
      <c r="F69" s="781" t="s">
        <v>868</v>
      </c>
      <c r="G69" s="808">
        <v>42150</v>
      </c>
      <c r="H69" s="809"/>
      <c r="I69" s="810">
        <v>449.26</v>
      </c>
      <c r="J69" s="810">
        <v>449.26</v>
      </c>
    </row>
    <row r="70" spans="1:10" s="444" customFormat="1" ht="15.95" customHeight="1" x14ac:dyDescent="0.25">
      <c r="A70" s="811" t="s">
        <v>427</v>
      </c>
      <c r="B70" s="755"/>
      <c r="C70" s="739"/>
      <c r="D70" s="807" t="s">
        <v>32</v>
      </c>
      <c r="E70" s="807"/>
      <c r="F70" s="781" t="s">
        <v>426</v>
      </c>
      <c r="G70" s="808">
        <v>43503</v>
      </c>
      <c r="H70" s="809"/>
      <c r="I70" s="810">
        <v>366.43</v>
      </c>
      <c r="J70" s="810">
        <v>366.43</v>
      </c>
    </row>
    <row r="71" spans="1:10" s="444" customFormat="1" ht="15.95" customHeight="1" x14ac:dyDescent="0.25">
      <c r="A71" s="811" t="s">
        <v>425</v>
      </c>
      <c r="B71" s="755"/>
      <c r="C71" s="739"/>
      <c r="D71" s="807" t="s">
        <v>23</v>
      </c>
      <c r="E71" s="807"/>
      <c r="F71" s="781" t="s">
        <v>424</v>
      </c>
      <c r="G71" s="808">
        <v>40304</v>
      </c>
      <c r="H71" s="809"/>
      <c r="I71" s="810">
        <v>365.57</v>
      </c>
      <c r="J71" s="810">
        <v>365.57</v>
      </c>
    </row>
    <row r="72" spans="1:10" s="444" customFormat="1" ht="15.95" customHeight="1" x14ac:dyDescent="0.25">
      <c r="A72" s="774" t="s">
        <v>423</v>
      </c>
      <c r="B72" s="755"/>
      <c r="C72" s="739"/>
      <c r="D72" s="807" t="s">
        <v>37</v>
      </c>
      <c r="E72" s="807"/>
      <c r="F72" s="781" t="s">
        <v>869</v>
      </c>
      <c r="G72" s="815">
        <v>42163</v>
      </c>
      <c r="H72" s="816"/>
      <c r="I72" s="817">
        <v>363.68299999999999</v>
      </c>
      <c r="J72" s="817">
        <v>363.68299999999999</v>
      </c>
    </row>
    <row r="73" spans="1:10" s="444" customFormat="1" ht="15.95" customHeight="1" x14ac:dyDescent="0.25">
      <c r="A73" s="811" t="s">
        <v>422</v>
      </c>
      <c r="B73" s="755"/>
      <c r="C73" s="739"/>
      <c r="D73" s="807" t="s">
        <v>17</v>
      </c>
      <c r="E73" s="807"/>
      <c r="F73" s="781" t="s">
        <v>421</v>
      </c>
      <c r="G73" s="808">
        <v>39150</v>
      </c>
      <c r="H73" s="809"/>
      <c r="I73" s="810">
        <v>357.39</v>
      </c>
      <c r="J73" s="810">
        <v>357.39</v>
      </c>
    </row>
    <row r="74" spans="1:10" s="444" customFormat="1" ht="15.95" customHeight="1" x14ac:dyDescent="0.25">
      <c r="A74" s="811" t="s">
        <v>812</v>
      </c>
      <c r="B74" s="755"/>
      <c r="C74" s="739"/>
      <c r="D74" s="807" t="s">
        <v>82</v>
      </c>
      <c r="E74" s="807"/>
      <c r="F74" s="781" t="s">
        <v>813</v>
      </c>
      <c r="G74" s="808">
        <v>44464</v>
      </c>
      <c r="H74" s="809"/>
      <c r="I74" s="810" t="s">
        <v>47</v>
      </c>
      <c r="J74" s="810">
        <v>350.18097499999999</v>
      </c>
    </row>
    <row r="75" spans="1:10" s="444" customFormat="1" ht="15.95" customHeight="1" x14ac:dyDescent="0.25">
      <c r="A75" s="811" t="s">
        <v>420</v>
      </c>
      <c r="B75" s="755"/>
      <c r="C75" s="739"/>
      <c r="D75" s="807" t="s">
        <v>82</v>
      </c>
      <c r="E75" s="807"/>
      <c r="F75" s="781" t="s">
        <v>419</v>
      </c>
      <c r="G75" s="808">
        <v>41943</v>
      </c>
      <c r="H75" s="809"/>
      <c r="I75" s="810">
        <v>329.26</v>
      </c>
      <c r="J75" s="810">
        <v>329.26</v>
      </c>
    </row>
    <row r="76" spans="1:10" s="444" customFormat="1" ht="15.95" customHeight="1" x14ac:dyDescent="0.25">
      <c r="A76" s="811" t="s">
        <v>870</v>
      </c>
      <c r="B76" s="755"/>
      <c r="C76" s="739"/>
      <c r="D76" s="807" t="s">
        <v>35</v>
      </c>
      <c r="E76" s="807"/>
      <c r="F76" s="781" t="s">
        <v>418</v>
      </c>
      <c r="G76" s="808">
        <v>42993</v>
      </c>
      <c r="H76" s="809"/>
      <c r="I76" s="810">
        <v>304.83999999999997</v>
      </c>
      <c r="J76" s="810">
        <v>304.83999999999997</v>
      </c>
    </row>
    <row r="77" spans="1:10" s="444" customFormat="1" ht="15.95" customHeight="1" x14ac:dyDescent="0.25">
      <c r="A77" s="811" t="s">
        <v>417</v>
      </c>
      <c r="B77" s="818"/>
      <c r="C77" s="739"/>
      <c r="D77" s="807" t="s">
        <v>23</v>
      </c>
      <c r="E77" s="807"/>
      <c r="F77" s="781" t="s">
        <v>416</v>
      </c>
      <c r="G77" s="808">
        <v>40899</v>
      </c>
      <c r="H77" s="809"/>
      <c r="I77" s="810">
        <v>271.62</v>
      </c>
      <c r="J77" s="810">
        <v>271.62</v>
      </c>
    </row>
    <row r="78" spans="1:10" s="444" customFormat="1" ht="15.95" customHeight="1" x14ac:dyDescent="0.25">
      <c r="A78" s="811" t="s">
        <v>415</v>
      </c>
      <c r="B78" s="755"/>
      <c r="C78" s="739"/>
      <c r="D78" s="807" t="s">
        <v>31</v>
      </c>
      <c r="E78" s="807"/>
      <c r="F78" s="781" t="s">
        <v>414</v>
      </c>
      <c r="G78" s="808">
        <v>42564</v>
      </c>
      <c r="H78" s="809"/>
      <c r="I78" s="810">
        <v>244.92500000000001</v>
      </c>
      <c r="J78" s="810">
        <v>244.92500000000001</v>
      </c>
    </row>
    <row r="79" spans="1:10" s="444" customFormat="1" ht="15.95" customHeight="1" x14ac:dyDescent="0.25">
      <c r="A79" s="811" t="s">
        <v>871</v>
      </c>
      <c r="B79" s="755"/>
      <c r="C79" s="739"/>
      <c r="D79" s="807" t="s">
        <v>35</v>
      </c>
      <c r="E79" s="807"/>
      <c r="F79" s="781" t="s">
        <v>413</v>
      </c>
      <c r="G79" s="808">
        <v>42578</v>
      </c>
      <c r="H79" s="809"/>
      <c r="I79" s="810">
        <v>243.5</v>
      </c>
      <c r="J79" s="810">
        <v>243.5</v>
      </c>
    </row>
    <row r="80" spans="1:10" s="444" customFormat="1" ht="15.95" customHeight="1" x14ac:dyDescent="0.25">
      <c r="A80" s="811" t="s">
        <v>872</v>
      </c>
      <c r="B80" s="755"/>
      <c r="C80" s="739"/>
      <c r="D80" s="807" t="s">
        <v>23</v>
      </c>
      <c r="E80" s="807"/>
      <c r="F80" s="781" t="s">
        <v>412</v>
      </c>
      <c r="G80" s="808">
        <v>39829</v>
      </c>
      <c r="H80" s="809"/>
      <c r="I80" s="810">
        <v>234.88</v>
      </c>
      <c r="J80" s="810">
        <v>234.88</v>
      </c>
    </row>
    <row r="81" spans="1:10" s="444" customFormat="1" ht="15.95" customHeight="1" x14ac:dyDescent="0.25">
      <c r="A81" s="811" t="s">
        <v>709</v>
      </c>
      <c r="B81" s="755"/>
      <c r="C81" s="739"/>
      <c r="D81" s="807" t="s">
        <v>22</v>
      </c>
      <c r="E81" s="807"/>
      <c r="F81" s="781" t="s">
        <v>710</v>
      </c>
      <c r="G81" s="808">
        <v>43868</v>
      </c>
      <c r="H81" s="809"/>
      <c r="I81" s="810">
        <v>210.4</v>
      </c>
      <c r="J81" s="810">
        <v>210.4</v>
      </c>
    </row>
    <row r="82" spans="1:10" s="444" customFormat="1" ht="15.95" customHeight="1" x14ac:dyDescent="0.25">
      <c r="A82" s="819" t="s">
        <v>904</v>
      </c>
      <c r="B82" s="755"/>
      <c r="C82" s="739"/>
      <c r="D82" s="807" t="s">
        <v>35</v>
      </c>
      <c r="E82" s="807"/>
      <c r="F82" s="781" t="s">
        <v>409</v>
      </c>
      <c r="G82" s="808">
        <v>42487</v>
      </c>
      <c r="H82" s="809"/>
      <c r="I82" s="810">
        <v>200</v>
      </c>
      <c r="J82" s="810">
        <v>200</v>
      </c>
    </row>
    <row r="83" spans="1:10" s="444" customFormat="1" ht="15.95" customHeight="1" x14ac:dyDescent="0.25">
      <c r="A83" s="811" t="s">
        <v>411</v>
      </c>
      <c r="B83" s="755"/>
      <c r="C83" s="739"/>
      <c r="D83" s="807" t="s">
        <v>35</v>
      </c>
      <c r="E83" s="807"/>
      <c r="F83" s="781" t="s">
        <v>410</v>
      </c>
      <c r="G83" s="808">
        <v>42577</v>
      </c>
      <c r="H83" s="809"/>
      <c r="I83" s="810">
        <v>200</v>
      </c>
      <c r="J83" s="810">
        <v>200</v>
      </c>
    </row>
    <row r="84" spans="1:10" s="444" customFormat="1" ht="15.95" customHeight="1" x14ac:dyDescent="0.25">
      <c r="A84" s="811" t="s">
        <v>814</v>
      </c>
      <c r="B84" s="755"/>
      <c r="C84" s="739"/>
      <c r="D84" s="807" t="s">
        <v>17</v>
      </c>
      <c r="E84" s="807"/>
      <c r="F84" s="781" t="s">
        <v>816</v>
      </c>
      <c r="G84" s="808">
        <v>44486</v>
      </c>
      <c r="H84" s="809"/>
      <c r="I84" s="810" t="s">
        <v>47</v>
      </c>
      <c r="J84" s="810">
        <v>191.14</v>
      </c>
    </row>
    <row r="85" spans="1:10" s="444" customFormat="1" ht="15.95" customHeight="1" x14ac:dyDescent="0.25">
      <c r="A85" s="811" t="s">
        <v>815</v>
      </c>
      <c r="B85" s="755"/>
      <c r="C85" s="739"/>
      <c r="D85" s="807" t="s">
        <v>32</v>
      </c>
      <c r="E85" s="807"/>
      <c r="F85" s="781" t="s">
        <v>817</v>
      </c>
      <c r="G85" s="808">
        <v>44561</v>
      </c>
      <c r="H85" s="809"/>
      <c r="I85" s="810" t="s">
        <v>47</v>
      </c>
      <c r="J85" s="810">
        <v>184.81469999999999</v>
      </c>
    </row>
    <row r="86" spans="1:10" s="444" customFormat="1" ht="15.95" customHeight="1" x14ac:dyDescent="0.25">
      <c r="A86" s="811" t="s">
        <v>406</v>
      </c>
      <c r="B86" s="755"/>
      <c r="C86" s="739"/>
      <c r="D86" s="807" t="s">
        <v>17</v>
      </c>
      <c r="E86" s="807"/>
      <c r="F86" s="781" t="s">
        <v>831</v>
      </c>
      <c r="G86" s="808">
        <v>43586</v>
      </c>
      <c r="H86" s="809"/>
      <c r="I86" s="810">
        <v>156.41999999999999</v>
      </c>
      <c r="J86" s="810">
        <v>156.41999999999999</v>
      </c>
    </row>
    <row r="87" spans="1:10" s="444" customFormat="1" ht="15.95" customHeight="1" x14ac:dyDescent="0.25">
      <c r="A87" s="811" t="s">
        <v>818</v>
      </c>
      <c r="B87" s="755"/>
      <c r="C87" s="739"/>
      <c r="D87" s="807" t="s">
        <v>32</v>
      </c>
      <c r="E87" s="807"/>
      <c r="F87" s="781" t="s">
        <v>819</v>
      </c>
      <c r="G87" s="808">
        <v>44561</v>
      </c>
      <c r="H87" s="809"/>
      <c r="I87" s="810" t="s">
        <v>47</v>
      </c>
      <c r="J87" s="810">
        <v>140.34569999999999</v>
      </c>
    </row>
    <row r="88" spans="1:10" s="444" customFormat="1" ht="15.95" customHeight="1" x14ac:dyDescent="0.25">
      <c r="A88" s="811" t="s">
        <v>405</v>
      </c>
      <c r="B88" s="812"/>
      <c r="C88" s="813"/>
      <c r="D88" s="807" t="s">
        <v>25</v>
      </c>
      <c r="E88" s="807"/>
      <c r="F88" s="781" t="s">
        <v>404</v>
      </c>
      <c r="G88" s="808">
        <v>40899</v>
      </c>
      <c r="H88" s="809"/>
      <c r="I88" s="810">
        <v>135.6</v>
      </c>
      <c r="J88" s="810">
        <v>135.6</v>
      </c>
    </row>
    <row r="89" spans="1:10" s="444" customFormat="1" ht="15.95" customHeight="1" x14ac:dyDescent="0.25">
      <c r="A89" s="811" t="s">
        <v>403</v>
      </c>
      <c r="B89" s="812"/>
      <c r="C89" s="813"/>
      <c r="D89" s="807" t="s">
        <v>32</v>
      </c>
      <c r="E89" s="807"/>
      <c r="F89" s="781" t="s">
        <v>402</v>
      </c>
      <c r="G89" s="808">
        <v>42740</v>
      </c>
      <c r="H89" s="809"/>
      <c r="I89" s="810">
        <v>132.0384</v>
      </c>
      <c r="J89" s="810">
        <v>132.0384</v>
      </c>
    </row>
    <row r="90" spans="1:10" s="444" customFormat="1" ht="15.95" customHeight="1" x14ac:dyDescent="0.25">
      <c r="A90" s="811" t="s">
        <v>401</v>
      </c>
      <c r="B90" s="755"/>
      <c r="C90" s="739"/>
      <c r="D90" s="807" t="s">
        <v>39</v>
      </c>
      <c r="E90" s="807"/>
      <c r="F90" s="781" t="s">
        <v>400</v>
      </c>
      <c r="G90" s="808">
        <v>40513</v>
      </c>
      <c r="H90" s="809"/>
      <c r="I90" s="810">
        <v>123.3</v>
      </c>
      <c r="J90" s="810">
        <v>123.3</v>
      </c>
    </row>
    <row r="91" spans="1:10" s="444" customFormat="1" ht="15.95" customHeight="1" x14ac:dyDescent="0.25">
      <c r="A91" s="811" t="s">
        <v>399</v>
      </c>
      <c r="B91" s="755"/>
      <c r="C91" s="739"/>
      <c r="D91" s="807" t="s">
        <v>35</v>
      </c>
      <c r="E91" s="807"/>
      <c r="F91" s="781" t="s">
        <v>873</v>
      </c>
      <c r="G91" s="808">
        <v>42163</v>
      </c>
      <c r="H91" s="809"/>
      <c r="I91" s="810">
        <v>102.65</v>
      </c>
      <c r="J91" s="810">
        <v>102.65</v>
      </c>
    </row>
    <row r="92" spans="1:10" s="444" customFormat="1" ht="15.95" customHeight="1" x14ac:dyDescent="0.25">
      <c r="A92" s="811" t="s">
        <v>398</v>
      </c>
      <c r="B92" s="755"/>
      <c r="C92" s="739"/>
      <c r="D92" s="807" t="s">
        <v>29</v>
      </c>
      <c r="E92" s="807"/>
      <c r="F92" s="781" t="s">
        <v>397</v>
      </c>
      <c r="G92" s="808">
        <v>40858</v>
      </c>
      <c r="H92" s="809"/>
      <c r="I92" s="810">
        <v>100.0001</v>
      </c>
      <c r="J92" s="810">
        <v>100.0001</v>
      </c>
    </row>
    <row r="93" spans="1:10" s="444" customFormat="1" ht="15.95" customHeight="1" x14ac:dyDescent="0.25">
      <c r="A93" s="811" t="s">
        <v>396</v>
      </c>
      <c r="B93" s="755"/>
      <c r="C93" s="739"/>
      <c r="D93" s="807" t="s">
        <v>31</v>
      </c>
      <c r="E93" s="807"/>
      <c r="F93" s="781" t="s">
        <v>395</v>
      </c>
      <c r="G93" s="808">
        <v>41653</v>
      </c>
      <c r="H93" s="809"/>
      <c r="I93" s="810">
        <v>100</v>
      </c>
      <c r="J93" s="810">
        <v>100</v>
      </c>
    </row>
    <row r="94" spans="1:10" s="444" customFormat="1" ht="15.95" customHeight="1" x14ac:dyDescent="0.25">
      <c r="A94" s="811" t="s">
        <v>394</v>
      </c>
      <c r="B94" s="755"/>
      <c r="C94" s="739"/>
      <c r="D94" s="807" t="s">
        <v>31</v>
      </c>
      <c r="E94" s="807"/>
      <c r="F94" s="781" t="s">
        <v>393</v>
      </c>
      <c r="G94" s="808">
        <v>42993</v>
      </c>
      <c r="H94" s="809"/>
      <c r="I94" s="810">
        <v>80.625</v>
      </c>
      <c r="J94" s="810">
        <v>80.625</v>
      </c>
    </row>
    <row r="95" spans="1:10" s="444" customFormat="1" ht="15.95" customHeight="1" x14ac:dyDescent="0.25">
      <c r="A95" s="811" t="s">
        <v>392</v>
      </c>
      <c r="B95" s="755"/>
      <c r="C95" s="739"/>
      <c r="D95" s="807" t="s">
        <v>31</v>
      </c>
      <c r="E95" s="807"/>
      <c r="F95" s="781" t="s">
        <v>391</v>
      </c>
      <c r="G95" s="808">
        <v>43801</v>
      </c>
      <c r="H95" s="809"/>
      <c r="I95" s="810">
        <v>80.625</v>
      </c>
      <c r="J95" s="810">
        <v>80.625</v>
      </c>
    </row>
    <row r="96" spans="1:10" s="444" customFormat="1" ht="15.95" customHeight="1" x14ac:dyDescent="0.25">
      <c r="A96" s="811" t="s">
        <v>390</v>
      </c>
      <c r="B96" s="755"/>
      <c r="C96" s="739"/>
      <c r="D96" s="807" t="s">
        <v>34</v>
      </c>
      <c r="E96" s="807"/>
      <c r="F96" s="781" t="s">
        <v>389</v>
      </c>
      <c r="G96" s="808">
        <v>42867</v>
      </c>
      <c r="H96" s="809"/>
      <c r="I96" s="810">
        <v>72.049099999999996</v>
      </c>
      <c r="J96" s="810">
        <v>72.049099999999996</v>
      </c>
    </row>
    <row r="97" spans="1:10" s="444" customFormat="1" ht="15.95" customHeight="1" x14ac:dyDescent="0.25">
      <c r="A97" s="811" t="s">
        <v>874</v>
      </c>
      <c r="B97" s="755"/>
      <c r="C97" s="739"/>
      <c r="D97" s="807" t="s">
        <v>23</v>
      </c>
      <c r="E97" s="807"/>
      <c r="F97" s="781" t="s">
        <v>388</v>
      </c>
      <c r="G97" s="808">
        <v>39829</v>
      </c>
      <c r="H97" s="809"/>
      <c r="I97" s="810">
        <v>70.644000000000005</v>
      </c>
      <c r="J97" s="810">
        <v>70.644000000000005</v>
      </c>
    </row>
    <row r="98" spans="1:10" s="444" customFormat="1" ht="15.95" customHeight="1" x14ac:dyDescent="0.25">
      <c r="A98" s="811" t="s">
        <v>711</v>
      </c>
      <c r="B98" s="755"/>
      <c r="C98" s="739"/>
      <c r="D98" s="807" t="s">
        <v>82</v>
      </c>
      <c r="E98" s="807"/>
      <c r="F98" s="781" t="s">
        <v>712</v>
      </c>
      <c r="G98" s="808">
        <v>43887</v>
      </c>
      <c r="H98" s="809"/>
      <c r="I98" s="810">
        <v>70.28</v>
      </c>
      <c r="J98" s="810">
        <v>70.28</v>
      </c>
    </row>
    <row r="99" spans="1:10" s="444" customFormat="1" ht="15.95" customHeight="1" x14ac:dyDescent="0.25">
      <c r="A99" s="811" t="s">
        <v>387</v>
      </c>
      <c r="B99" s="755"/>
      <c r="C99" s="739"/>
      <c r="D99" s="807" t="s">
        <v>32</v>
      </c>
      <c r="E99" s="807"/>
      <c r="F99" s="781" t="s">
        <v>386</v>
      </c>
      <c r="G99" s="808">
        <v>43445</v>
      </c>
      <c r="H99" s="809"/>
      <c r="I99" s="810">
        <v>68.727599999999995</v>
      </c>
      <c r="J99" s="810">
        <v>68.727599999999995</v>
      </c>
    </row>
    <row r="100" spans="1:10" s="444" customFormat="1" ht="15.95" customHeight="1" x14ac:dyDescent="0.25">
      <c r="A100" s="811" t="s">
        <v>713</v>
      </c>
      <c r="B100" s="755"/>
      <c r="C100" s="739"/>
      <c r="D100" s="807" t="s">
        <v>31</v>
      </c>
      <c r="E100" s="807"/>
      <c r="F100" s="781" t="s">
        <v>714</v>
      </c>
      <c r="G100" s="808">
        <v>43864</v>
      </c>
      <c r="H100" s="809"/>
      <c r="I100" s="810">
        <v>67.430999999999997</v>
      </c>
      <c r="J100" s="810">
        <v>67.430999999999997</v>
      </c>
    </row>
    <row r="101" spans="1:10" s="444" customFormat="1" ht="15.95" customHeight="1" x14ac:dyDescent="0.25">
      <c r="A101" s="811" t="s">
        <v>383</v>
      </c>
      <c r="B101" s="755"/>
      <c r="C101" s="739"/>
      <c r="D101" s="807" t="s">
        <v>31</v>
      </c>
      <c r="E101" s="807"/>
      <c r="F101" s="781" t="s">
        <v>382</v>
      </c>
      <c r="G101" s="808">
        <v>43590</v>
      </c>
      <c r="H101" s="809"/>
      <c r="I101" s="810">
        <v>61.730899999999998</v>
      </c>
      <c r="J101" s="810">
        <v>61.730899999999998</v>
      </c>
    </row>
    <row r="102" spans="1:10" s="444" customFormat="1" ht="15.95" customHeight="1" x14ac:dyDescent="0.25">
      <c r="A102" s="811" t="s">
        <v>381</v>
      </c>
      <c r="B102" s="755"/>
      <c r="C102" s="739"/>
      <c r="D102" s="807" t="s">
        <v>17</v>
      </c>
      <c r="E102" s="807"/>
      <c r="F102" s="781" t="s">
        <v>380</v>
      </c>
      <c r="G102" s="808">
        <v>41337</v>
      </c>
      <c r="H102" s="809"/>
      <c r="I102" s="810">
        <v>59</v>
      </c>
      <c r="J102" s="810">
        <v>59</v>
      </c>
    </row>
    <row r="103" spans="1:10" s="444" customFormat="1" ht="15.95" customHeight="1" x14ac:dyDescent="0.25">
      <c r="A103" s="811" t="s">
        <v>379</v>
      </c>
      <c r="B103" s="755"/>
      <c r="C103" s="739"/>
      <c r="D103" s="807" t="s">
        <v>32</v>
      </c>
      <c r="E103" s="807"/>
      <c r="F103" s="781" t="s">
        <v>378</v>
      </c>
      <c r="G103" s="808">
        <v>40932</v>
      </c>
      <c r="H103" s="809"/>
      <c r="I103" s="810">
        <v>58.92</v>
      </c>
      <c r="J103" s="810">
        <v>58.92</v>
      </c>
    </row>
    <row r="104" spans="1:10" s="444" customFormat="1" ht="15.95" customHeight="1" x14ac:dyDescent="0.25">
      <c r="A104" s="811" t="s">
        <v>377</v>
      </c>
      <c r="B104" s="755"/>
      <c r="C104" s="739"/>
      <c r="D104" s="807" t="s">
        <v>31</v>
      </c>
      <c r="E104" s="807"/>
      <c r="F104" s="781" t="s">
        <v>376</v>
      </c>
      <c r="G104" s="808">
        <v>42676</v>
      </c>
      <c r="H104" s="809"/>
      <c r="I104" s="810">
        <v>56.660564000000001</v>
      </c>
      <c r="J104" s="810">
        <v>56.660564000000001</v>
      </c>
    </row>
    <row r="105" spans="1:10" s="444" customFormat="1" ht="15.95" customHeight="1" x14ac:dyDescent="0.25">
      <c r="A105" s="811" t="s">
        <v>373</v>
      </c>
      <c r="B105" s="755"/>
      <c r="C105" s="739"/>
      <c r="D105" s="807" t="s">
        <v>32</v>
      </c>
      <c r="E105" s="807"/>
      <c r="F105" s="781" t="s">
        <v>372</v>
      </c>
      <c r="G105" s="808">
        <v>41106</v>
      </c>
      <c r="H105" s="809"/>
      <c r="I105" s="810">
        <v>45</v>
      </c>
      <c r="J105" s="810">
        <v>45</v>
      </c>
    </row>
    <row r="106" spans="1:10" s="444" customFormat="1" ht="15.95" customHeight="1" x14ac:dyDescent="0.25">
      <c r="A106" s="823" t="s">
        <v>371</v>
      </c>
      <c r="B106" s="824"/>
      <c r="C106" s="825"/>
      <c r="D106" s="826" t="s">
        <v>23</v>
      </c>
      <c r="E106" s="826"/>
      <c r="F106" s="789" t="s">
        <v>370</v>
      </c>
      <c r="G106" s="827">
        <v>42578</v>
      </c>
      <c r="H106" s="828"/>
      <c r="I106" s="829">
        <v>44.737400000000001</v>
      </c>
      <c r="J106" s="829">
        <v>44.737400000000001</v>
      </c>
    </row>
    <row r="107" spans="1:10" s="444" customFormat="1" ht="12" customHeight="1" x14ac:dyDescent="0.25">
      <c r="A107" s="505"/>
      <c r="B107" s="28"/>
      <c r="C107" s="28"/>
      <c r="D107" s="285"/>
      <c r="E107" s="285"/>
      <c r="F107" s="442"/>
      <c r="G107" s="506"/>
      <c r="H107" s="507"/>
      <c r="I107" s="515"/>
      <c r="J107" s="508" t="s">
        <v>59</v>
      </c>
    </row>
    <row r="108" spans="1:10" s="444" customFormat="1" ht="12.6" customHeight="1" x14ac:dyDescent="0.25">
      <c r="A108" s="505"/>
      <c r="B108" s="28"/>
      <c r="C108" s="28"/>
      <c r="D108" s="285"/>
      <c r="E108" s="285"/>
      <c r="F108" s="442"/>
      <c r="G108" s="506"/>
      <c r="H108" s="507"/>
      <c r="I108" s="515"/>
      <c r="J108" s="516"/>
    </row>
    <row r="109" spans="1:10" s="497" customFormat="1" ht="13.5" customHeight="1" x14ac:dyDescent="0.2">
      <c r="A109" s="1126" t="s">
        <v>776</v>
      </c>
      <c r="B109" s="1126"/>
      <c r="C109" s="1126"/>
      <c r="D109" s="1126"/>
      <c r="E109" s="1126"/>
      <c r="F109" s="1126"/>
      <c r="G109" s="1126"/>
      <c r="H109" s="1126"/>
      <c r="I109" s="1126"/>
      <c r="J109" s="1126"/>
    </row>
    <row r="110" spans="1:10" ht="10.15" customHeight="1" x14ac:dyDescent="0.25">
      <c r="A110" s="445"/>
      <c r="B110" s="445"/>
      <c r="C110" s="445"/>
      <c r="D110" s="446"/>
      <c r="E110" s="446"/>
      <c r="F110" s="443"/>
      <c r="I110" s="513"/>
      <c r="J110" s="508"/>
    </row>
    <row r="111" spans="1:10" ht="20.25" customHeight="1" x14ac:dyDescent="0.25">
      <c r="A111" s="1127" t="s">
        <v>277</v>
      </c>
      <c r="B111" s="1128"/>
      <c r="C111" s="1127"/>
      <c r="D111" s="1127" t="s">
        <v>16</v>
      </c>
      <c r="E111" s="1127"/>
      <c r="F111" s="1127" t="s">
        <v>276</v>
      </c>
      <c r="G111" s="1132" t="s">
        <v>704</v>
      </c>
      <c r="H111" s="1127"/>
      <c r="I111" s="1131" t="s">
        <v>223</v>
      </c>
      <c r="J111" s="1131"/>
    </row>
    <row r="112" spans="1:10" ht="20.25" customHeight="1" x14ac:dyDescent="0.25">
      <c r="A112" s="1129"/>
      <c r="B112" s="1130"/>
      <c r="C112" s="1129"/>
      <c r="D112" s="1129"/>
      <c r="E112" s="1129"/>
      <c r="F112" s="1129"/>
      <c r="G112" s="1133"/>
      <c r="H112" s="1129"/>
      <c r="I112" s="769" t="s">
        <v>7</v>
      </c>
      <c r="J112" s="769" t="s">
        <v>770</v>
      </c>
    </row>
    <row r="113" spans="1:10" s="444" customFormat="1" ht="15.95" customHeight="1" x14ac:dyDescent="0.25">
      <c r="A113" s="830" t="s">
        <v>820</v>
      </c>
      <c r="B113" s="755"/>
      <c r="C113" s="739"/>
      <c r="D113" s="807" t="s">
        <v>23</v>
      </c>
      <c r="E113" s="807"/>
      <c r="F113" s="781" t="s">
        <v>821</v>
      </c>
      <c r="G113" s="808">
        <v>44561</v>
      </c>
      <c r="H113" s="809"/>
      <c r="I113" s="810" t="s">
        <v>47</v>
      </c>
      <c r="J113" s="810">
        <v>43</v>
      </c>
    </row>
    <row r="114" spans="1:10" s="444" customFormat="1" ht="15.95" customHeight="1" x14ac:dyDescent="0.25">
      <c r="A114" s="811" t="s">
        <v>369</v>
      </c>
      <c r="B114" s="831"/>
      <c r="C114" s="832"/>
      <c r="D114" s="833" t="s">
        <v>32</v>
      </c>
      <c r="E114" s="833"/>
      <c r="F114" s="774" t="s">
        <v>368</v>
      </c>
      <c r="G114" s="834">
        <v>43397</v>
      </c>
      <c r="H114" s="835"/>
      <c r="I114" s="836">
        <v>41.946899999999999</v>
      </c>
      <c r="J114" s="836">
        <v>41.946899999999999</v>
      </c>
    </row>
    <row r="115" spans="1:10" s="444" customFormat="1" ht="15.95" customHeight="1" x14ac:dyDescent="0.25">
      <c r="A115" s="806" t="s">
        <v>367</v>
      </c>
      <c r="B115" s="755"/>
      <c r="C115" s="739"/>
      <c r="D115" s="807" t="s">
        <v>32</v>
      </c>
      <c r="E115" s="807"/>
      <c r="F115" s="781" t="s">
        <v>366</v>
      </c>
      <c r="G115" s="808">
        <v>41785</v>
      </c>
      <c r="H115" s="809"/>
      <c r="I115" s="810">
        <v>40</v>
      </c>
      <c r="J115" s="810">
        <v>40</v>
      </c>
    </row>
    <row r="116" spans="1:10" s="444" customFormat="1" ht="15.95" customHeight="1" x14ac:dyDescent="0.25">
      <c r="A116" s="830" t="s">
        <v>363</v>
      </c>
      <c r="B116" s="755"/>
      <c r="C116" s="837"/>
      <c r="D116" s="838" t="s">
        <v>31</v>
      </c>
      <c r="E116" s="807"/>
      <c r="F116" s="781" t="s">
        <v>362</v>
      </c>
      <c r="G116" s="808">
        <v>42409</v>
      </c>
      <c r="H116" s="809"/>
      <c r="I116" s="810">
        <v>38.9617</v>
      </c>
      <c r="J116" s="810">
        <v>38.9617</v>
      </c>
    </row>
    <row r="117" spans="1:10" ht="15.95" customHeight="1" x14ac:dyDescent="0.25">
      <c r="A117" s="839" t="s">
        <v>361</v>
      </c>
      <c r="B117" s="755"/>
      <c r="C117" s="739"/>
      <c r="D117" s="807" t="s">
        <v>31</v>
      </c>
      <c r="E117" s="807"/>
      <c r="F117" s="802" t="s">
        <v>360</v>
      </c>
      <c r="G117" s="840">
        <v>42676</v>
      </c>
      <c r="H117" s="841"/>
      <c r="I117" s="842">
        <v>36.22</v>
      </c>
      <c r="J117" s="842">
        <v>36.22</v>
      </c>
    </row>
    <row r="118" spans="1:10" s="444" customFormat="1" ht="15.95" customHeight="1" x14ac:dyDescent="0.25">
      <c r="A118" s="811" t="s">
        <v>359</v>
      </c>
      <c r="B118" s="755"/>
      <c r="C118" s="739"/>
      <c r="D118" s="807" t="s">
        <v>32</v>
      </c>
      <c r="E118" s="807"/>
      <c r="F118" s="781" t="s">
        <v>358</v>
      </c>
      <c r="G118" s="808">
        <v>40427</v>
      </c>
      <c r="H118" s="809"/>
      <c r="I118" s="810">
        <v>35.4</v>
      </c>
      <c r="J118" s="810">
        <v>35.4</v>
      </c>
    </row>
    <row r="119" spans="1:10" s="444" customFormat="1" ht="15.95" customHeight="1" x14ac:dyDescent="0.25">
      <c r="A119" s="811" t="s">
        <v>357</v>
      </c>
      <c r="B119" s="755"/>
      <c r="C119" s="739"/>
      <c r="D119" s="807" t="s">
        <v>34</v>
      </c>
      <c r="E119" s="807"/>
      <c r="F119" s="781" t="s">
        <v>356</v>
      </c>
      <c r="G119" s="808">
        <v>42663</v>
      </c>
      <c r="H119" s="809"/>
      <c r="I119" s="810">
        <v>30.361999999999998</v>
      </c>
      <c r="J119" s="810">
        <v>30.361999999999998</v>
      </c>
    </row>
    <row r="120" spans="1:10" s="444" customFormat="1" ht="15.95" customHeight="1" x14ac:dyDescent="0.25">
      <c r="A120" s="811" t="s">
        <v>353</v>
      </c>
      <c r="B120" s="755"/>
      <c r="C120" s="739"/>
      <c r="D120" s="807" t="s">
        <v>31</v>
      </c>
      <c r="E120" s="807"/>
      <c r="F120" s="781" t="s">
        <v>352</v>
      </c>
      <c r="G120" s="808">
        <v>42676</v>
      </c>
      <c r="H120" s="809"/>
      <c r="I120" s="810">
        <v>30</v>
      </c>
      <c r="J120" s="810">
        <v>30</v>
      </c>
    </row>
    <row r="121" spans="1:10" s="444" customFormat="1" ht="15.95" customHeight="1" x14ac:dyDescent="0.25">
      <c r="A121" s="811" t="s">
        <v>355</v>
      </c>
      <c r="B121" s="755"/>
      <c r="C121" s="739"/>
      <c r="D121" s="807" t="s">
        <v>37</v>
      </c>
      <c r="E121" s="807"/>
      <c r="F121" s="781" t="s">
        <v>354</v>
      </c>
      <c r="G121" s="808">
        <v>43208</v>
      </c>
      <c r="H121" s="809"/>
      <c r="I121" s="810">
        <v>30</v>
      </c>
      <c r="J121" s="810">
        <v>30</v>
      </c>
    </row>
    <row r="122" spans="1:10" s="444" customFormat="1" ht="15.95" customHeight="1" x14ac:dyDescent="0.25">
      <c r="A122" s="811" t="s">
        <v>351</v>
      </c>
      <c r="B122" s="755"/>
      <c r="C122" s="739"/>
      <c r="D122" s="807" t="s">
        <v>32</v>
      </c>
      <c r="E122" s="807"/>
      <c r="F122" s="781" t="s">
        <v>350</v>
      </c>
      <c r="G122" s="808">
        <v>41446</v>
      </c>
      <c r="H122" s="809"/>
      <c r="I122" s="810">
        <v>29</v>
      </c>
      <c r="J122" s="810">
        <v>29</v>
      </c>
    </row>
    <row r="123" spans="1:10" s="444" customFormat="1" ht="15.95" customHeight="1" x14ac:dyDescent="0.25">
      <c r="A123" s="811" t="s">
        <v>349</v>
      </c>
      <c r="B123" s="755"/>
      <c r="C123" s="739"/>
      <c r="D123" s="807" t="s">
        <v>32</v>
      </c>
      <c r="E123" s="807"/>
      <c r="F123" s="781" t="s">
        <v>348</v>
      </c>
      <c r="G123" s="808">
        <v>41165</v>
      </c>
      <c r="H123" s="809"/>
      <c r="I123" s="810">
        <v>28.41</v>
      </c>
      <c r="J123" s="810">
        <v>28.41</v>
      </c>
    </row>
    <row r="124" spans="1:10" s="444" customFormat="1" ht="15.95" customHeight="1" x14ac:dyDescent="0.25">
      <c r="A124" s="811" t="s">
        <v>347</v>
      </c>
      <c r="B124" s="755"/>
      <c r="C124" s="739"/>
      <c r="D124" s="807" t="s">
        <v>32</v>
      </c>
      <c r="E124" s="807"/>
      <c r="F124" s="781" t="s">
        <v>346</v>
      </c>
      <c r="G124" s="808">
        <v>40994</v>
      </c>
      <c r="H124" s="809"/>
      <c r="I124" s="810">
        <v>28.38</v>
      </c>
      <c r="J124" s="810">
        <v>28.38</v>
      </c>
    </row>
    <row r="125" spans="1:10" s="444" customFormat="1" ht="15.95" customHeight="1" x14ac:dyDescent="0.25">
      <c r="A125" s="811" t="s">
        <v>343</v>
      </c>
      <c r="B125" s="755"/>
      <c r="C125" s="739"/>
      <c r="D125" s="807" t="s">
        <v>31</v>
      </c>
      <c r="E125" s="807"/>
      <c r="F125" s="781" t="s">
        <v>342</v>
      </c>
      <c r="G125" s="808">
        <v>42682</v>
      </c>
      <c r="H125" s="809"/>
      <c r="I125" s="810">
        <v>27.2</v>
      </c>
      <c r="J125" s="810">
        <v>27.2</v>
      </c>
    </row>
    <row r="126" spans="1:10" s="444" customFormat="1" ht="15.95" customHeight="1" x14ac:dyDescent="0.25">
      <c r="A126" s="811" t="s">
        <v>341</v>
      </c>
      <c r="B126" s="755"/>
      <c r="C126" s="739"/>
      <c r="D126" s="807" t="s">
        <v>32</v>
      </c>
      <c r="E126" s="807"/>
      <c r="F126" s="781" t="s">
        <v>340</v>
      </c>
      <c r="G126" s="808">
        <v>43450</v>
      </c>
      <c r="H126" s="809"/>
      <c r="I126" s="810">
        <v>26.3</v>
      </c>
      <c r="J126" s="810">
        <v>26.3</v>
      </c>
    </row>
    <row r="127" spans="1:10" s="444" customFormat="1" ht="15.95" customHeight="1" x14ac:dyDescent="0.25">
      <c r="A127" s="811" t="s">
        <v>339</v>
      </c>
      <c r="B127" s="755"/>
      <c r="C127" s="739"/>
      <c r="D127" s="807" t="s">
        <v>32</v>
      </c>
      <c r="E127" s="807"/>
      <c r="F127" s="781" t="s">
        <v>338</v>
      </c>
      <c r="G127" s="808">
        <v>41472</v>
      </c>
      <c r="H127" s="809"/>
      <c r="I127" s="810">
        <v>26</v>
      </c>
      <c r="J127" s="810">
        <v>26</v>
      </c>
    </row>
    <row r="128" spans="1:10" s="444" customFormat="1" ht="15.95" customHeight="1" x14ac:dyDescent="0.25">
      <c r="A128" s="811" t="s">
        <v>337</v>
      </c>
      <c r="B128" s="755"/>
      <c r="C128" s="739"/>
      <c r="D128" s="807" t="s">
        <v>31</v>
      </c>
      <c r="E128" s="807"/>
      <c r="F128" s="781" t="s">
        <v>336</v>
      </c>
      <c r="G128" s="808">
        <v>41466</v>
      </c>
      <c r="H128" s="809"/>
      <c r="I128" s="810">
        <v>24.51</v>
      </c>
      <c r="J128" s="810">
        <v>24.51</v>
      </c>
    </row>
    <row r="129" spans="1:10" s="444" customFormat="1" ht="15.95" customHeight="1" x14ac:dyDescent="0.25">
      <c r="A129" s="811" t="s">
        <v>335</v>
      </c>
      <c r="B129" s="755"/>
      <c r="C129" s="739"/>
      <c r="D129" s="807" t="s">
        <v>37</v>
      </c>
      <c r="E129" s="807"/>
      <c r="F129" s="781" t="s">
        <v>334</v>
      </c>
      <c r="G129" s="808">
        <v>41320</v>
      </c>
      <c r="H129" s="809"/>
      <c r="I129" s="810">
        <v>23.5</v>
      </c>
      <c r="J129" s="810">
        <v>23.5</v>
      </c>
    </row>
    <row r="130" spans="1:10" s="444" customFormat="1" ht="15.95" customHeight="1" x14ac:dyDescent="0.25">
      <c r="A130" s="811" t="s">
        <v>333</v>
      </c>
      <c r="B130" s="755"/>
      <c r="C130" s="739"/>
      <c r="D130" s="807" t="s">
        <v>31</v>
      </c>
      <c r="E130" s="807"/>
      <c r="F130" s="781" t="s">
        <v>332</v>
      </c>
      <c r="G130" s="808">
        <v>43046</v>
      </c>
      <c r="H130" s="809"/>
      <c r="I130" s="810">
        <v>23.398</v>
      </c>
      <c r="J130" s="810">
        <v>23.398</v>
      </c>
    </row>
    <row r="131" spans="1:10" s="444" customFormat="1" ht="15.95" customHeight="1" x14ac:dyDescent="0.25">
      <c r="A131" s="811" t="s">
        <v>715</v>
      </c>
      <c r="B131" s="755"/>
      <c r="C131" s="739"/>
      <c r="D131" s="807" t="s">
        <v>31</v>
      </c>
      <c r="E131" s="807"/>
      <c r="F131" s="781" t="s">
        <v>716</v>
      </c>
      <c r="G131" s="808">
        <v>43850</v>
      </c>
      <c r="H131" s="809"/>
      <c r="I131" s="810">
        <v>23.356999999999999</v>
      </c>
      <c r="J131" s="810">
        <v>23.356999999999999</v>
      </c>
    </row>
    <row r="132" spans="1:10" s="444" customFormat="1" ht="15.95" customHeight="1" x14ac:dyDescent="0.25">
      <c r="A132" s="811" t="s">
        <v>331</v>
      </c>
      <c r="B132" s="755"/>
      <c r="C132" s="739"/>
      <c r="D132" s="807" t="s">
        <v>32</v>
      </c>
      <c r="E132" s="807"/>
      <c r="F132" s="781" t="s">
        <v>330</v>
      </c>
      <c r="G132" s="808">
        <v>40963</v>
      </c>
      <c r="H132" s="809"/>
      <c r="I132" s="810">
        <v>23.14</v>
      </c>
      <c r="J132" s="810">
        <v>23.14</v>
      </c>
    </row>
    <row r="133" spans="1:10" s="444" customFormat="1" ht="15.95" customHeight="1" x14ac:dyDescent="0.25">
      <c r="A133" s="811" t="s">
        <v>329</v>
      </c>
      <c r="B133" s="755"/>
      <c r="C133" s="739"/>
      <c r="D133" s="807" t="s">
        <v>32</v>
      </c>
      <c r="E133" s="807"/>
      <c r="F133" s="781" t="s">
        <v>328</v>
      </c>
      <c r="G133" s="808">
        <v>40994</v>
      </c>
      <c r="H133" s="809"/>
      <c r="I133" s="810">
        <v>22.88</v>
      </c>
      <c r="J133" s="810">
        <v>22.88</v>
      </c>
    </row>
    <row r="134" spans="1:10" ht="15.95" customHeight="1" x14ac:dyDescent="0.25">
      <c r="A134" s="811" t="s">
        <v>327</v>
      </c>
      <c r="B134" s="755"/>
      <c r="C134" s="739"/>
      <c r="D134" s="807" t="s">
        <v>31</v>
      </c>
      <c r="E134" s="807"/>
      <c r="F134" s="781" t="s">
        <v>326</v>
      </c>
      <c r="G134" s="808">
        <v>42544</v>
      </c>
      <c r="H134" s="809"/>
      <c r="I134" s="810">
        <v>22.686399999999999</v>
      </c>
      <c r="J134" s="810">
        <v>22.686399999999999</v>
      </c>
    </row>
    <row r="135" spans="1:10" ht="15.95" customHeight="1" x14ac:dyDescent="0.25">
      <c r="A135" s="811" t="s">
        <v>325</v>
      </c>
      <c r="B135" s="755"/>
      <c r="C135" s="739"/>
      <c r="D135" s="807" t="s">
        <v>37</v>
      </c>
      <c r="E135" s="807"/>
      <c r="F135" s="781" t="s">
        <v>324</v>
      </c>
      <c r="G135" s="808">
        <v>41295</v>
      </c>
      <c r="H135" s="809"/>
      <c r="I135" s="810">
        <v>22.5</v>
      </c>
      <c r="J135" s="810">
        <v>22.5</v>
      </c>
    </row>
    <row r="136" spans="1:10" ht="15.95" customHeight="1" x14ac:dyDescent="0.25">
      <c r="A136" s="811" t="s">
        <v>323</v>
      </c>
      <c r="B136" s="755"/>
      <c r="C136" s="739"/>
      <c r="D136" s="807" t="s">
        <v>31</v>
      </c>
      <c r="E136" s="807"/>
      <c r="F136" s="781" t="s">
        <v>875</v>
      </c>
      <c r="G136" s="808">
        <v>42368</v>
      </c>
      <c r="H136" s="809"/>
      <c r="I136" s="810">
        <v>22.35</v>
      </c>
      <c r="J136" s="810">
        <v>22.35</v>
      </c>
    </row>
    <row r="137" spans="1:10" s="444" customFormat="1" ht="15.95" customHeight="1" x14ac:dyDescent="0.25">
      <c r="A137" s="811" t="s">
        <v>322</v>
      </c>
      <c r="B137" s="755"/>
      <c r="C137" s="739"/>
      <c r="D137" s="807" t="s">
        <v>37</v>
      </c>
      <c r="E137" s="807"/>
      <c r="F137" s="781" t="s">
        <v>321</v>
      </c>
      <c r="G137" s="808">
        <v>41295</v>
      </c>
      <c r="H137" s="809"/>
      <c r="I137" s="810">
        <v>22.32</v>
      </c>
      <c r="J137" s="810">
        <v>22.32</v>
      </c>
    </row>
    <row r="138" spans="1:10" s="444" customFormat="1" ht="15.95" customHeight="1" x14ac:dyDescent="0.25">
      <c r="A138" s="811" t="s">
        <v>320</v>
      </c>
      <c r="B138" s="755"/>
      <c r="C138" s="739"/>
      <c r="D138" s="807" t="s">
        <v>23</v>
      </c>
      <c r="E138" s="807"/>
      <c r="F138" s="781" t="s">
        <v>319</v>
      </c>
      <c r="G138" s="808">
        <v>42577</v>
      </c>
      <c r="H138" s="809"/>
      <c r="I138" s="810">
        <v>22.004799999999999</v>
      </c>
      <c r="J138" s="810">
        <v>22.004799999999999</v>
      </c>
    </row>
    <row r="139" spans="1:10" s="444" customFormat="1" ht="15.95" customHeight="1" x14ac:dyDescent="0.25">
      <c r="A139" s="811" t="s">
        <v>318</v>
      </c>
      <c r="B139" s="755"/>
      <c r="C139" s="739"/>
      <c r="D139" s="807" t="s">
        <v>32</v>
      </c>
      <c r="E139" s="807"/>
      <c r="F139" s="781" t="s">
        <v>317</v>
      </c>
      <c r="G139" s="808">
        <v>41271</v>
      </c>
      <c r="H139" s="809"/>
      <c r="I139" s="810">
        <v>21.07</v>
      </c>
      <c r="J139" s="810">
        <v>21.07</v>
      </c>
    </row>
    <row r="140" spans="1:10" s="444" customFormat="1" ht="15.95" customHeight="1" x14ac:dyDescent="0.25">
      <c r="A140" s="811" t="s">
        <v>876</v>
      </c>
      <c r="B140" s="755"/>
      <c r="C140" s="739"/>
      <c r="D140" s="807" t="s">
        <v>23</v>
      </c>
      <c r="E140" s="807"/>
      <c r="F140" s="781" t="s">
        <v>316</v>
      </c>
      <c r="G140" s="808">
        <v>42559</v>
      </c>
      <c r="H140" s="809"/>
      <c r="I140" s="810">
        <v>20.792999999999999</v>
      </c>
      <c r="J140" s="810">
        <v>20.792999999999999</v>
      </c>
    </row>
    <row r="141" spans="1:10" s="444" customFormat="1" ht="15.95" customHeight="1" x14ac:dyDescent="0.25">
      <c r="A141" s="811" t="s">
        <v>822</v>
      </c>
      <c r="B141" s="755"/>
      <c r="C141" s="739"/>
      <c r="D141" s="807" t="s">
        <v>34</v>
      </c>
      <c r="E141" s="807"/>
      <c r="F141" s="781" t="s">
        <v>823</v>
      </c>
      <c r="G141" s="808">
        <v>44286</v>
      </c>
      <c r="H141" s="809"/>
      <c r="I141" s="810">
        <v>0</v>
      </c>
      <c r="J141" s="810">
        <v>20.3</v>
      </c>
    </row>
    <row r="142" spans="1:10" s="444" customFormat="1" ht="15.95" customHeight="1" x14ac:dyDescent="0.25">
      <c r="A142" s="811" t="s">
        <v>315</v>
      </c>
      <c r="B142" s="755"/>
      <c r="C142" s="739"/>
      <c r="D142" s="807" t="s">
        <v>32</v>
      </c>
      <c r="E142" s="807"/>
      <c r="F142" s="781" t="s">
        <v>314</v>
      </c>
      <c r="G142" s="808">
        <v>42391</v>
      </c>
      <c r="H142" s="809"/>
      <c r="I142" s="810">
        <v>16.874400000000001</v>
      </c>
      <c r="J142" s="810">
        <v>16.874400000000001</v>
      </c>
    </row>
    <row r="143" spans="1:10" s="444" customFormat="1" ht="15.95" customHeight="1" x14ac:dyDescent="0.25">
      <c r="A143" s="811" t="s">
        <v>877</v>
      </c>
      <c r="B143" s="755"/>
      <c r="C143" s="739"/>
      <c r="D143" s="807" t="s">
        <v>17</v>
      </c>
      <c r="E143" s="807"/>
      <c r="F143" s="781" t="s">
        <v>313</v>
      </c>
      <c r="G143" s="808">
        <v>40750</v>
      </c>
      <c r="H143" s="809"/>
      <c r="I143" s="810">
        <v>16.57</v>
      </c>
      <c r="J143" s="810">
        <v>16.57</v>
      </c>
    </row>
    <row r="144" spans="1:10" s="444" customFormat="1" ht="15.95" customHeight="1" x14ac:dyDescent="0.25">
      <c r="A144" s="811" t="s">
        <v>312</v>
      </c>
      <c r="B144" s="755"/>
      <c r="C144" s="739"/>
      <c r="D144" s="807" t="s">
        <v>32</v>
      </c>
      <c r="E144" s="807"/>
      <c r="F144" s="781" t="s">
        <v>311</v>
      </c>
      <c r="G144" s="808">
        <v>40932</v>
      </c>
      <c r="H144" s="809"/>
      <c r="I144" s="810">
        <v>15.59</v>
      </c>
      <c r="J144" s="810">
        <v>15.59</v>
      </c>
    </row>
    <row r="145" spans="1:10" s="444" customFormat="1" ht="15.95" customHeight="1" x14ac:dyDescent="0.25">
      <c r="A145" s="811" t="s">
        <v>310</v>
      </c>
      <c r="B145" s="755"/>
      <c r="C145" s="739"/>
      <c r="D145" s="807" t="s">
        <v>37</v>
      </c>
      <c r="E145" s="807"/>
      <c r="F145" s="781" t="s">
        <v>309</v>
      </c>
      <c r="G145" s="808">
        <v>42544</v>
      </c>
      <c r="H145" s="809"/>
      <c r="I145" s="810">
        <v>14.308199999999999</v>
      </c>
      <c r="J145" s="810">
        <v>14.308199999999999</v>
      </c>
    </row>
    <row r="146" spans="1:10" s="444" customFormat="1" ht="15.95" customHeight="1" x14ac:dyDescent="0.25">
      <c r="A146" s="811" t="s">
        <v>308</v>
      </c>
      <c r="B146" s="755"/>
      <c r="C146" s="739"/>
      <c r="D146" s="807" t="s">
        <v>37</v>
      </c>
      <c r="E146" s="807"/>
      <c r="F146" s="781" t="s">
        <v>307</v>
      </c>
      <c r="G146" s="808">
        <v>40304</v>
      </c>
      <c r="H146" s="809"/>
      <c r="I146" s="810">
        <v>14.29</v>
      </c>
      <c r="J146" s="810">
        <v>14.29</v>
      </c>
    </row>
    <row r="147" spans="1:10" s="444" customFormat="1" ht="15.95" customHeight="1" x14ac:dyDescent="0.25">
      <c r="A147" s="811" t="s">
        <v>878</v>
      </c>
      <c r="B147" s="755"/>
      <c r="C147" s="739"/>
      <c r="D147" s="807" t="s">
        <v>34</v>
      </c>
      <c r="E147" s="807"/>
      <c r="F147" s="781" t="s">
        <v>306</v>
      </c>
      <c r="G147" s="808">
        <v>43041</v>
      </c>
      <c r="H147" s="809"/>
      <c r="I147" s="810">
        <v>14.079800000000001</v>
      </c>
      <c r="J147" s="810">
        <v>14.079800000000001</v>
      </c>
    </row>
    <row r="148" spans="1:10" s="444" customFormat="1" ht="15.95" customHeight="1" x14ac:dyDescent="0.25">
      <c r="A148" s="811" t="s">
        <v>824</v>
      </c>
      <c r="B148" s="755"/>
      <c r="C148" s="739"/>
      <c r="D148" s="807" t="s">
        <v>31</v>
      </c>
      <c r="E148" s="807"/>
      <c r="F148" s="781" t="s">
        <v>825</v>
      </c>
      <c r="G148" s="808">
        <v>44461</v>
      </c>
      <c r="H148" s="809"/>
      <c r="I148" s="810">
        <v>0</v>
      </c>
      <c r="J148" s="810">
        <v>13.18</v>
      </c>
    </row>
    <row r="149" spans="1:10" s="444" customFormat="1" ht="15.95" customHeight="1" x14ac:dyDescent="0.25">
      <c r="A149" s="811" t="s">
        <v>305</v>
      </c>
      <c r="B149" s="755"/>
      <c r="C149" s="739"/>
      <c r="D149" s="807" t="s">
        <v>23</v>
      </c>
      <c r="E149" s="807"/>
      <c r="F149" s="781" t="s">
        <v>304</v>
      </c>
      <c r="G149" s="808">
        <v>42572</v>
      </c>
      <c r="H149" s="809"/>
      <c r="I149" s="810">
        <v>12.983599999999999</v>
      </c>
      <c r="J149" s="810">
        <v>12.983599999999999</v>
      </c>
    </row>
    <row r="150" spans="1:10" s="444" customFormat="1" ht="15.95" customHeight="1" x14ac:dyDescent="0.25">
      <c r="A150" s="811" t="s">
        <v>303</v>
      </c>
      <c r="B150" s="755"/>
      <c r="C150" s="739"/>
      <c r="D150" s="807" t="s">
        <v>31</v>
      </c>
      <c r="E150" s="807"/>
      <c r="F150" s="781" t="s">
        <v>879</v>
      </c>
      <c r="G150" s="808">
        <v>42118</v>
      </c>
      <c r="H150" s="809"/>
      <c r="I150" s="810">
        <v>12.8</v>
      </c>
      <c r="J150" s="810">
        <v>12.8</v>
      </c>
    </row>
    <row r="151" spans="1:10" s="444" customFormat="1" ht="15.95" customHeight="1" x14ac:dyDescent="0.25">
      <c r="A151" s="811" t="s">
        <v>302</v>
      </c>
      <c r="B151" s="755"/>
      <c r="C151" s="739"/>
      <c r="D151" s="807" t="s">
        <v>17</v>
      </c>
      <c r="E151" s="807"/>
      <c r="F151" s="781" t="s">
        <v>301</v>
      </c>
      <c r="G151" s="808">
        <v>41897</v>
      </c>
      <c r="H151" s="809"/>
      <c r="I151" s="810">
        <v>12.5</v>
      </c>
      <c r="J151" s="810">
        <v>12.5</v>
      </c>
    </row>
    <row r="152" spans="1:10" s="444" customFormat="1" ht="15.95" customHeight="1" x14ac:dyDescent="0.25">
      <c r="A152" s="811" t="s">
        <v>300</v>
      </c>
      <c r="B152" s="755"/>
      <c r="C152" s="739"/>
      <c r="D152" s="807" t="s">
        <v>31</v>
      </c>
      <c r="E152" s="807"/>
      <c r="F152" s="781" t="s">
        <v>880</v>
      </c>
      <c r="G152" s="808">
        <v>41845</v>
      </c>
      <c r="H152" s="809"/>
      <c r="I152" s="810">
        <v>12.14</v>
      </c>
      <c r="J152" s="810">
        <v>12.14</v>
      </c>
    </row>
    <row r="153" spans="1:10" s="444" customFormat="1" ht="15.95" customHeight="1" x14ac:dyDescent="0.25">
      <c r="A153" s="811" t="s">
        <v>299</v>
      </c>
      <c r="B153" s="755"/>
      <c r="C153" s="739"/>
      <c r="D153" s="807" t="s">
        <v>31</v>
      </c>
      <c r="E153" s="807"/>
      <c r="F153" s="781" t="s">
        <v>298</v>
      </c>
      <c r="G153" s="808">
        <v>43305</v>
      </c>
      <c r="H153" s="809"/>
      <c r="I153" s="810">
        <v>10.758995000000001</v>
      </c>
      <c r="J153" s="810">
        <v>10.758995000000001</v>
      </c>
    </row>
    <row r="154" spans="1:10" s="444" customFormat="1" ht="15.95" customHeight="1" x14ac:dyDescent="0.25">
      <c r="A154" s="811" t="s">
        <v>297</v>
      </c>
      <c r="B154" s="755"/>
      <c r="C154" s="739"/>
      <c r="D154" s="807" t="s">
        <v>32</v>
      </c>
      <c r="E154" s="807"/>
      <c r="F154" s="781" t="s">
        <v>296</v>
      </c>
      <c r="G154" s="808">
        <v>41743</v>
      </c>
      <c r="H154" s="809"/>
      <c r="I154" s="810">
        <v>9.59</v>
      </c>
      <c r="J154" s="810">
        <v>9.59</v>
      </c>
    </row>
    <row r="155" spans="1:10" s="444" customFormat="1" ht="15.95" customHeight="1" x14ac:dyDescent="0.25">
      <c r="A155" s="811" t="s">
        <v>295</v>
      </c>
      <c r="B155" s="755"/>
      <c r="C155" s="739"/>
      <c r="D155" s="807" t="s">
        <v>31</v>
      </c>
      <c r="E155" s="807"/>
      <c r="F155" s="781" t="s">
        <v>294</v>
      </c>
      <c r="G155" s="808">
        <v>42713</v>
      </c>
      <c r="H155" s="809"/>
      <c r="I155" s="810">
        <v>9.3367500000000003</v>
      </c>
      <c r="J155" s="810">
        <v>9.3367500000000003</v>
      </c>
    </row>
    <row r="156" spans="1:10" s="444" customFormat="1" ht="15.95" customHeight="1" x14ac:dyDescent="0.25">
      <c r="A156" s="811" t="s">
        <v>293</v>
      </c>
      <c r="B156" s="755"/>
      <c r="C156" s="739"/>
      <c r="D156" s="807" t="s">
        <v>22</v>
      </c>
      <c r="E156" s="807"/>
      <c r="F156" s="781" t="s">
        <v>292</v>
      </c>
      <c r="G156" s="808">
        <v>41180</v>
      </c>
      <c r="H156" s="809"/>
      <c r="I156" s="810">
        <v>7.5</v>
      </c>
      <c r="J156" s="810">
        <v>7.5</v>
      </c>
    </row>
    <row r="157" spans="1:10" s="444" customFormat="1" ht="15.95" customHeight="1" x14ac:dyDescent="0.25">
      <c r="A157" s="811" t="s">
        <v>291</v>
      </c>
      <c r="B157" s="755"/>
      <c r="C157" s="739"/>
      <c r="D157" s="807" t="s">
        <v>31</v>
      </c>
      <c r="E157" s="807"/>
      <c r="F157" s="781" t="s">
        <v>290</v>
      </c>
      <c r="G157" s="808">
        <v>41617</v>
      </c>
      <c r="H157" s="809"/>
      <c r="I157" s="810">
        <v>6.87</v>
      </c>
      <c r="J157" s="810">
        <v>6.87</v>
      </c>
    </row>
    <row r="158" spans="1:10" s="444" customFormat="1" ht="15.95" customHeight="1" x14ac:dyDescent="0.25">
      <c r="A158" s="811" t="s">
        <v>285</v>
      </c>
      <c r="B158" s="755"/>
      <c r="C158" s="739"/>
      <c r="D158" s="807" t="s">
        <v>31</v>
      </c>
      <c r="E158" s="807"/>
      <c r="F158" s="781" t="s">
        <v>284</v>
      </c>
      <c r="G158" s="808">
        <v>41617</v>
      </c>
      <c r="H158" s="809"/>
      <c r="I158" s="810">
        <v>5.12</v>
      </c>
      <c r="J158" s="810">
        <v>5.12</v>
      </c>
    </row>
    <row r="159" spans="1:10" s="444" customFormat="1" ht="15.95" customHeight="1" x14ac:dyDescent="0.25">
      <c r="A159" s="811" t="s">
        <v>283</v>
      </c>
      <c r="B159" s="755"/>
      <c r="C159" s="739"/>
      <c r="D159" s="807" t="s">
        <v>22</v>
      </c>
      <c r="E159" s="807"/>
      <c r="F159" s="781" t="s">
        <v>282</v>
      </c>
      <c r="G159" s="808">
        <v>41180</v>
      </c>
      <c r="H159" s="809"/>
      <c r="I159" s="810">
        <v>3</v>
      </c>
      <c r="J159" s="810">
        <v>3</v>
      </c>
    </row>
    <row r="160" spans="1:10" s="444" customFormat="1" ht="15.95" customHeight="1" x14ac:dyDescent="0.25">
      <c r="A160" s="811" t="s">
        <v>281</v>
      </c>
      <c r="B160" s="755"/>
      <c r="C160" s="739"/>
      <c r="D160" s="807" t="s">
        <v>31</v>
      </c>
      <c r="E160" s="807"/>
      <c r="F160" s="781" t="s">
        <v>280</v>
      </c>
      <c r="G160" s="808">
        <v>41813</v>
      </c>
      <c r="H160" s="809"/>
      <c r="I160" s="810">
        <v>1.91</v>
      </c>
      <c r="J160" s="810">
        <v>1.91</v>
      </c>
    </row>
    <row r="161" spans="1:10" s="444" customFormat="1" ht="15.95" customHeight="1" x14ac:dyDescent="0.25">
      <c r="A161" s="811" t="s">
        <v>279</v>
      </c>
      <c r="B161" s="755"/>
      <c r="C161" s="739"/>
      <c r="D161" s="807" t="s">
        <v>31</v>
      </c>
      <c r="E161" s="807"/>
      <c r="F161" s="781" t="s">
        <v>278</v>
      </c>
      <c r="G161" s="808">
        <v>41635</v>
      </c>
      <c r="H161" s="809"/>
      <c r="I161" s="810">
        <v>0.62</v>
      </c>
      <c r="J161" s="810">
        <v>0.62</v>
      </c>
    </row>
    <row r="162" spans="1:10" s="444" customFormat="1" ht="15.95" customHeight="1" x14ac:dyDescent="0.25">
      <c r="A162" s="811" t="s">
        <v>467</v>
      </c>
      <c r="B162" s="755"/>
      <c r="C162" s="739"/>
      <c r="D162" s="807" t="s">
        <v>23</v>
      </c>
      <c r="E162" s="807"/>
      <c r="F162" s="843" t="s">
        <v>466</v>
      </c>
      <c r="G162" s="844">
        <v>40304</v>
      </c>
      <c r="H162" s="845"/>
      <c r="I162" s="810">
        <v>2076.54</v>
      </c>
      <c r="J162" s="810" t="s">
        <v>47</v>
      </c>
    </row>
    <row r="163" spans="1:10" s="444" customFormat="1" ht="15.95" customHeight="1" x14ac:dyDescent="0.25">
      <c r="A163" s="811" t="s">
        <v>438</v>
      </c>
      <c r="B163" s="755"/>
      <c r="C163" s="739"/>
      <c r="D163" s="807" t="s">
        <v>23</v>
      </c>
      <c r="E163" s="807"/>
      <c r="F163" s="846" t="s">
        <v>437</v>
      </c>
      <c r="G163" s="844">
        <v>40661</v>
      </c>
      <c r="H163" s="845"/>
      <c r="I163" s="810">
        <v>767.56</v>
      </c>
      <c r="J163" s="810" t="s">
        <v>47</v>
      </c>
    </row>
    <row r="164" spans="1:10" s="444" customFormat="1" ht="15.95" customHeight="1" x14ac:dyDescent="0.25">
      <c r="A164" s="823" t="s">
        <v>408</v>
      </c>
      <c r="B164" s="824"/>
      <c r="C164" s="825"/>
      <c r="D164" s="826" t="s">
        <v>31</v>
      </c>
      <c r="E164" s="826"/>
      <c r="F164" s="850" t="s">
        <v>407</v>
      </c>
      <c r="G164" s="851">
        <v>40541</v>
      </c>
      <c r="H164" s="852"/>
      <c r="I164" s="829">
        <v>170.46</v>
      </c>
      <c r="J164" s="829" t="s">
        <v>47</v>
      </c>
    </row>
    <row r="165" spans="1:10" s="444" customFormat="1" ht="12.6" customHeight="1" x14ac:dyDescent="0.25">
      <c r="A165" s="505"/>
      <c r="B165" s="28"/>
      <c r="C165" s="28"/>
      <c r="D165" s="285"/>
      <c r="E165" s="285"/>
      <c r="F165" s="440"/>
      <c r="G165" s="509"/>
      <c r="H165" s="510"/>
      <c r="I165" s="515"/>
      <c r="J165" s="508" t="s">
        <v>59</v>
      </c>
    </row>
    <row r="166" spans="1:10" s="444" customFormat="1" ht="12.6" customHeight="1" x14ac:dyDescent="0.25">
      <c r="A166" s="505"/>
      <c r="B166" s="28"/>
      <c r="C166" s="28"/>
      <c r="D166" s="285"/>
      <c r="E166" s="285"/>
      <c r="F166" s="440"/>
      <c r="G166" s="509"/>
      <c r="H166" s="510"/>
      <c r="I166" s="515"/>
      <c r="J166" s="516"/>
    </row>
    <row r="167" spans="1:10" s="497" customFormat="1" ht="13.5" customHeight="1" x14ac:dyDescent="0.2">
      <c r="A167" s="1126" t="s">
        <v>776</v>
      </c>
      <c r="B167" s="1126"/>
      <c r="C167" s="1126"/>
      <c r="D167" s="1126"/>
      <c r="E167" s="1126"/>
      <c r="F167" s="1126"/>
      <c r="G167" s="1126"/>
      <c r="H167" s="1126"/>
      <c r="I167" s="1126"/>
      <c r="J167" s="1126"/>
    </row>
    <row r="168" spans="1:10" ht="15.95" customHeight="1" x14ac:dyDescent="0.25">
      <c r="A168" s="445"/>
      <c r="B168" s="445"/>
      <c r="C168" s="445"/>
      <c r="D168" s="446"/>
      <c r="E168" s="446"/>
      <c r="F168" s="443"/>
      <c r="I168" s="513"/>
      <c r="J168" s="508" t="s">
        <v>50</v>
      </c>
    </row>
    <row r="169" spans="1:10" ht="20.25" customHeight="1" x14ac:dyDescent="0.25">
      <c r="A169" s="1127" t="s">
        <v>277</v>
      </c>
      <c r="B169" s="1128"/>
      <c r="C169" s="1127"/>
      <c r="D169" s="1127" t="s">
        <v>16</v>
      </c>
      <c r="E169" s="1127"/>
      <c r="F169" s="1127" t="s">
        <v>276</v>
      </c>
      <c r="G169" s="1132" t="s">
        <v>704</v>
      </c>
      <c r="H169" s="1127"/>
      <c r="I169" s="1131" t="s">
        <v>223</v>
      </c>
      <c r="J169" s="1131"/>
    </row>
    <row r="170" spans="1:10" ht="20.25" customHeight="1" x14ac:dyDescent="0.25">
      <c r="A170" s="1129"/>
      <c r="B170" s="1130"/>
      <c r="C170" s="1129"/>
      <c r="D170" s="1129"/>
      <c r="E170" s="1129"/>
      <c r="F170" s="1129"/>
      <c r="G170" s="1133"/>
      <c r="H170" s="1129"/>
      <c r="I170" s="769" t="s">
        <v>7</v>
      </c>
      <c r="J170" s="769" t="s">
        <v>770</v>
      </c>
    </row>
    <row r="171" spans="1:10" s="511" customFormat="1" ht="15.95" customHeight="1" x14ac:dyDescent="0.25">
      <c r="A171" s="811" t="s">
        <v>385</v>
      </c>
      <c r="B171" s="853"/>
      <c r="C171" s="854"/>
      <c r="D171" s="855" t="s">
        <v>31</v>
      </c>
      <c r="E171" s="855"/>
      <c r="F171" s="856" t="s">
        <v>384</v>
      </c>
      <c r="G171" s="857">
        <v>40743</v>
      </c>
      <c r="H171" s="858"/>
      <c r="I171" s="859">
        <v>62.66</v>
      </c>
      <c r="J171" s="859" t="s">
        <v>47</v>
      </c>
    </row>
    <row r="172" spans="1:10" s="444" customFormat="1" ht="15.95" customHeight="1" x14ac:dyDescent="0.25">
      <c r="A172" s="806" t="s">
        <v>375</v>
      </c>
      <c r="B172" s="755"/>
      <c r="C172" s="739"/>
      <c r="D172" s="807" t="s">
        <v>31</v>
      </c>
      <c r="E172" s="807"/>
      <c r="F172" s="846" t="s">
        <v>374</v>
      </c>
      <c r="G172" s="844">
        <v>40541</v>
      </c>
      <c r="H172" s="845"/>
      <c r="I172" s="810">
        <v>49.07</v>
      </c>
      <c r="J172" s="810" t="s">
        <v>47</v>
      </c>
    </row>
    <row r="173" spans="1:10" s="444" customFormat="1" ht="15.95" customHeight="1" x14ac:dyDescent="0.25">
      <c r="A173" s="811" t="s">
        <v>365</v>
      </c>
      <c r="B173" s="755"/>
      <c r="C173" s="739"/>
      <c r="D173" s="807" t="s">
        <v>37</v>
      </c>
      <c r="E173" s="807"/>
      <c r="F173" s="846" t="s">
        <v>364</v>
      </c>
      <c r="G173" s="844">
        <v>40591</v>
      </c>
      <c r="H173" s="845"/>
      <c r="I173" s="810">
        <v>39.119999999999997</v>
      </c>
      <c r="J173" s="810" t="s">
        <v>47</v>
      </c>
    </row>
    <row r="174" spans="1:10" s="444" customFormat="1" ht="15.95" customHeight="1" x14ac:dyDescent="0.25">
      <c r="A174" s="811" t="s">
        <v>345</v>
      </c>
      <c r="B174" s="755"/>
      <c r="C174" s="739"/>
      <c r="D174" s="807" t="s">
        <v>32</v>
      </c>
      <c r="E174" s="807"/>
      <c r="F174" s="781" t="s">
        <v>344</v>
      </c>
      <c r="G174" s="844">
        <v>40427</v>
      </c>
      <c r="H174" s="845"/>
      <c r="I174" s="810">
        <v>27.8</v>
      </c>
      <c r="J174" s="810" t="s">
        <v>47</v>
      </c>
    </row>
    <row r="175" spans="1:10" s="444" customFormat="1" ht="15.95" customHeight="1" x14ac:dyDescent="0.25">
      <c r="A175" s="811" t="s">
        <v>289</v>
      </c>
      <c r="B175" s="755"/>
      <c r="C175" s="739"/>
      <c r="D175" s="807" t="s">
        <v>32</v>
      </c>
      <c r="E175" s="807"/>
      <c r="F175" s="781" t="s">
        <v>288</v>
      </c>
      <c r="G175" s="844">
        <v>40427</v>
      </c>
      <c r="H175" s="845"/>
      <c r="I175" s="810">
        <v>5.57</v>
      </c>
      <c r="J175" s="810" t="s">
        <v>47</v>
      </c>
    </row>
    <row r="176" spans="1:10" s="444" customFormat="1" ht="15.95" customHeight="1" x14ac:dyDescent="0.25">
      <c r="A176" s="811" t="s">
        <v>287</v>
      </c>
      <c r="B176" s="755"/>
      <c r="C176" s="739"/>
      <c r="D176" s="807" t="s">
        <v>32</v>
      </c>
      <c r="E176" s="807"/>
      <c r="F176" s="781" t="s">
        <v>286</v>
      </c>
      <c r="G176" s="844">
        <v>40427</v>
      </c>
      <c r="H176" s="845"/>
      <c r="I176" s="810">
        <v>5.43</v>
      </c>
      <c r="J176" s="810" t="s">
        <v>47</v>
      </c>
    </row>
    <row r="177" spans="1:10" s="444" customFormat="1" ht="15.95" customHeight="1" x14ac:dyDescent="0.25">
      <c r="A177" s="811" t="s">
        <v>459</v>
      </c>
      <c r="B177" s="818"/>
      <c r="C177" s="860"/>
      <c r="D177" s="807" t="s">
        <v>23</v>
      </c>
      <c r="E177" s="807"/>
      <c r="F177" s="846" t="s">
        <v>458</v>
      </c>
      <c r="G177" s="844">
        <v>40661</v>
      </c>
      <c r="H177" s="845"/>
      <c r="I177" s="810">
        <v>1827</v>
      </c>
      <c r="J177" s="810" t="s">
        <v>47</v>
      </c>
    </row>
    <row r="178" spans="1:10" s="444" customFormat="1" ht="15.95" customHeight="1" x14ac:dyDescent="0.25">
      <c r="A178" s="820" t="s">
        <v>440</v>
      </c>
      <c r="B178" s="861"/>
      <c r="C178" s="862"/>
      <c r="D178" s="821" t="s">
        <v>23</v>
      </c>
      <c r="E178" s="821"/>
      <c r="F178" s="847" t="s">
        <v>439</v>
      </c>
      <c r="G178" s="848">
        <v>40304</v>
      </c>
      <c r="H178" s="849"/>
      <c r="I178" s="822">
        <v>974.22</v>
      </c>
      <c r="J178" s="822" t="s">
        <v>47</v>
      </c>
    </row>
    <row r="179" spans="1:10" s="512" customFormat="1" hidden="1" x14ac:dyDescent="0.25">
      <c r="A179" s="1134" t="s">
        <v>782</v>
      </c>
      <c r="B179" s="1135"/>
      <c r="C179" s="1135"/>
      <c r="D179" s="1135"/>
      <c r="E179" s="1135"/>
      <c r="F179" s="1135"/>
      <c r="G179" s="1135"/>
      <c r="H179" s="1135"/>
      <c r="I179" s="1135"/>
      <c r="J179" s="1135"/>
    </row>
    <row r="180" spans="1:10" ht="57" customHeight="1" x14ac:dyDescent="0.25">
      <c r="A180" s="1136" t="s">
        <v>737</v>
      </c>
      <c r="B180" s="1136"/>
      <c r="C180" s="1136"/>
      <c r="D180" s="1136"/>
      <c r="E180" s="1136"/>
      <c r="F180" s="1136"/>
      <c r="G180" s="1136"/>
      <c r="H180" s="1136"/>
      <c r="I180" s="1136"/>
      <c r="J180" s="1136"/>
    </row>
    <row r="181" spans="1:10" x14ac:dyDescent="0.25">
      <c r="A181" s="281" t="s">
        <v>76</v>
      </c>
      <c r="B181" s="281"/>
      <c r="C181" s="281"/>
      <c r="F181" s="26"/>
      <c r="I181" s="282"/>
      <c r="J181" s="282"/>
    </row>
  </sheetData>
  <mergeCells count="38">
    <mergeCell ref="A179:J179"/>
    <mergeCell ref="A180:J180"/>
    <mergeCell ref="C3:C4"/>
    <mergeCell ref="E3:E4"/>
    <mergeCell ref="H3:H4"/>
    <mergeCell ref="C53:C54"/>
    <mergeCell ref="E53:E54"/>
    <mergeCell ref="G53:G54"/>
    <mergeCell ref="H53:H54"/>
    <mergeCell ref="A111:B112"/>
    <mergeCell ref="D111:D112"/>
    <mergeCell ref="F111:F112"/>
    <mergeCell ref="I111:J111"/>
    <mergeCell ref="A169:B170"/>
    <mergeCell ref="D169:D170"/>
    <mergeCell ref="F169:F170"/>
    <mergeCell ref="A167:J167"/>
    <mergeCell ref="E111:E112"/>
    <mergeCell ref="G111:G112"/>
    <mergeCell ref="H111:H112"/>
    <mergeCell ref="C169:C170"/>
    <mergeCell ref="E169:E170"/>
    <mergeCell ref="G169:G170"/>
    <mergeCell ref="H169:H170"/>
    <mergeCell ref="I169:J169"/>
    <mergeCell ref="C111:C112"/>
    <mergeCell ref="A1:J1"/>
    <mergeCell ref="A51:J51"/>
    <mergeCell ref="A109:J109"/>
    <mergeCell ref="A53:B54"/>
    <mergeCell ref="D53:D54"/>
    <mergeCell ref="F53:F54"/>
    <mergeCell ref="I53:J53"/>
    <mergeCell ref="A3:B4"/>
    <mergeCell ref="D3:D4"/>
    <mergeCell ref="F3:F4"/>
    <mergeCell ref="G3:G4"/>
    <mergeCell ref="I3:J3"/>
  </mergeCells>
  <pageMargins left="0.7" right="0.7" top="0.75" bottom="0.75" header="0.3" footer="0.3"/>
  <pageSetup paperSize="9" orientation="portrait" horizontalDpi="4294967293" verticalDpi="4294967293" r:id="rId1"/>
  <ignoredErrors>
    <ignoredError sqref="I4:J4 I54:J54 I112:J112 I170:J170"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O23"/>
  <sheetViews>
    <sheetView showGridLines="0" zoomScaleNormal="100" zoomScaleSheetLayoutView="100" workbookViewId="0">
      <selection activeCell="A3" sqref="A3:D23"/>
    </sheetView>
  </sheetViews>
  <sheetFormatPr baseColWidth="10" defaultColWidth="11.28515625" defaultRowHeight="12.75" customHeight="1" x14ac:dyDescent="0.3"/>
  <cols>
    <col min="1" max="1" width="46.85546875" style="39" customWidth="1"/>
    <col min="2" max="2" width="12.7109375" style="39" customWidth="1"/>
    <col min="3" max="3" width="14" style="39" customWidth="1"/>
    <col min="4" max="4" width="12.140625" style="39" customWidth="1"/>
    <col min="5" max="5" width="11.28515625" style="39"/>
    <col min="6" max="6" width="1.7109375" style="39" customWidth="1"/>
    <col min="7" max="7" width="10" style="39" customWidth="1"/>
    <col min="8" max="8" width="11.28515625" style="39"/>
    <col min="9" max="9" width="1.7109375" style="39" customWidth="1"/>
    <col min="10" max="10" width="10" style="39" customWidth="1"/>
    <col min="11" max="11" width="11.28515625" style="39"/>
    <col min="12" max="12" width="1.7109375" style="39" customWidth="1"/>
    <col min="13" max="13" width="10" style="39" customWidth="1"/>
    <col min="14" max="16384" width="11.28515625" style="39"/>
  </cols>
  <sheetData>
    <row r="1" spans="1:15" s="31" customFormat="1" ht="12.75" customHeight="1" x14ac:dyDescent="0.25">
      <c r="A1" s="1137" t="s">
        <v>530</v>
      </c>
      <c r="B1" s="1137"/>
      <c r="C1" s="1137"/>
      <c r="D1" s="1137"/>
      <c r="O1" s="31" t="s">
        <v>225</v>
      </c>
    </row>
    <row r="2" spans="1:15" ht="12.75" customHeight="1" x14ac:dyDescent="0.3">
      <c r="A2" s="98"/>
      <c r="B2" s="99"/>
      <c r="C2" s="99"/>
      <c r="D2" s="99"/>
    </row>
    <row r="3" spans="1:15" ht="39.75" customHeight="1" x14ac:dyDescent="0.3">
      <c r="A3" s="863" t="s">
        <v>529</v>
      </c>
      <c r="B3" s="864" t="s">
        <v>528</v>
      </c>
      <c r="C3" s="864" t="s">
        <v>527</v>
      </c>
      <c r="D3" s="727" t="s">
        <v>722</v>
      </c>
    </row>
    <row r="4" spans="1:15" ht="3" customHeight="1" x14ac:dyDescent="0.3">
      <c r="A4" s="865"/>
      <c r="B4" s="866"/>
      <c r="C4" s="867"/>
      <c r="D4" s="867"/>
    </row>
    <row r="5" spans="1:15" ht="15.95" customHeight="1" x14ac:dyDescent="0.3">
      <c r="A5" s="868" t="s">
        <v>57</v>
      </c>
      <c r="B5" s="869"/>
      <c r="C5" s="870"/>
      <c r="D5" s="871">
        <v>6789686</v>
      </c>
    </row>
    <row r="6" spans="1:15" ht="15.95" customHeight="1" x14ac:dyDescent="0.3">
      <c r="A6" s="872" t="s">
        <v>526</v>
      </c>
      <c r="B6" s="873">
        <v>39611</v>
      </c>
      <c r="C6" s="874" t="s">
        <v>35</v>
      </c>
      <c r="D6" s="875">
        <v>3399</v>
      </c>
    </row>
    <row r="7" spans="1:15" ht="15.95" customHeight="1" x14ac:dyDescent="0.3">
      <c r="A7" s="872" t="s">
        <v>525</v>
      </c>
      <c r="B7" s="873">
        <v>39278</v>
      </c>
      <c r="C7" s="874" t="s">
        <v>22</v>
      </c>
      <c r="D7" s="875">
        <v>1250</v>
      </c>
    </row>
    <row r="8" spans="1:15" ht="15.95" customHeight="1" x14ac:dyDescent="0.3">
      <c r="A8" s="872" t="s">
        <v>524</v>
      </c>
      <c r="B8" s="873">
        <v>38983</v>
      </c>
      <c r="C8" s="874" t="s">
        <v>23</v>
      </c>
      <c r="D8" s="875">
        <v>1979</v>
      </c>
    </row>
    <row r="9" spans="1:15" ht="15.95" customHeight="1" x14ac:dyDescent="0.3">
      <c r="A9" s="872" t="s">
        <v>523</v>
      </c>
      <c r="B9" s="873">
        <v>37922</v>
      </c>
      <c r="C9" s="874" t="s">
        <v>20</v>
      </c>
      <c r="D9" s="875">
        <v>17657</v>
      </c>
    </row>
    <row r="10" spans="1:15" ht="15.95" customHeight="1" x14ac:dyDescent="0.3">
      <c r="A10" s="872" t="s">
        <v>522</v>
      </c>
      <c r="B10" s="873">
        <v>37922</v>
      </c>
      <c r="C10" s="874" t="s">
        <v>20</v>
      </c>
      <c r="D10" s="875">
        <v>502</v>
      </c>
    </row>
    <row r="11" spans="1:15" ht="15.95" customHeight="1" x14ac:dyDescent="0.3">
      <c r="A11" s="872" t="s">
        <v>521</v>
      </c>
      <c r="B11" s="873">
        <v>37412</v>
      </c>
      <c r="C11" s="874" t="s">
        <v>31</v>
      </c>
      <c r="D11" s="875">
        <v>3827329</v>
      </c>
    </row>
    <row r="12" spans="1:15" ht="15.95" customHeight="1" x14ac:dyDescent="0.3">
      <c r="A12" s="872" t="s">
        <v>520</v>
      </c>
      <c r="B12" s="873">
        <v>35450</v>
      </c>
      <c r="C12" s="874" t="s">
        <v>36</v>
      </c>
      <c r="D12" s="875">
        <v>460000</v>
      </c>
    </row>
    <row r="13" spans="1:15" ht="15.95" customHeight="1" x14ac:dyDescent="0.3">
      <c r="A13" s="872" t="s">
        <v>519</v>
      </c>
      <c r="B13" s="873">
        <v>35450</v>
      </c>
      <c r="C13" s="874" t="s">
        <v>158</v>
      </c>
      <c r="D13" s="875">
        <v>53000</v>
      </c>
    </row>
    <row r="14" spans="1:15" ht="15.95" customHeight="1" x14ac:dyDescent="0.3">
      <c r="A14" s="872" t="s">
        <v>518</v>
      </c>
      <c r="B14" s="873">
        <v>35450</v>
      </c>
      <c r="C14" s="874" t="s">
        <v>39</v>
      </c>
      <c r="D14" s="875">
        <v>2972</v>
      </c>
    </row>
    <row r="15" spans="1:15" ht="15.95" customHeight="1" x14ac:dyDescent="0.3">
      <c r="A15" s="872" t="s">
        <v>77</v>
      </c>
      <c r="B15" s="873">
        <v>35450</v>
      </c>
      <c r="C15" s="874" t="s">
        <v>30</v>
      </c>
      <c r="D15" s="875">
        <v>263</v>
      </c>
    </row>
    <row r="16" spans="1:15" ht="15.95" customHeight="1" x14ac:dyDescent="0.3">
      <c r="A16" s="872" t="s">
        <v>517</v>
      </c>
      <c r="B16" s="873">
        <v>33693</v>
      </c>
      <c r="C16" s="874" t="s">
        <v>31</v>
      </c>
      <c r="D16" s="875">
        <v>2080000</v>
      </c>
    </row>
    <row r="17" spans="1:4" ht="15.95" customHeight="1" x14ac:dyDescent="0.3">
      <c r="A17" s="872" t="s">
        <v>516</v>
      </c>
      <c r="B17" s="873">
        <v>33693</v>
      </c>
      <c r="C17" s="874" t="s">
        <v>26</v>
      </c>
      <c r="D17" s="875">
        <v>335000</v>
      </c>
    </row>
    <row r="18" spans="1:4" ht="15.95" customHeight="1" x14ac:dyDescent="0.3">
      <c r="A18" s="872" t="s">
        <v>515</v>
      </c>
      <c r="B18" s="876">
        <v>33693</v>
      </c>
      <c r="C18" s="874" t="s">
        <v>20</v>
      </c>
      <c r="D18" s="875">
        <v>691</v>
      </c>
    </row>
    <row r="19" spans="1:4" ht="15.95" customHeight="1" x14ac:dyDescent="0.3">
      <c r="A19" s="877" t="s">
        <v>832</v>
      </c>
      <c r="B19" s="878">
        <v>44368</v>
      </c>
      <c r="C19" s="879" t="s">
        <v>35</v>
      </c>
      <c r="D19" s="880">
        <v>5643.8</v>
      </c>
    </row>
    <row r="20" spans="1:4" ht="12.75" hidden="1" customHeight="1" x14ac:dyDescent="0.3">
      <c r="A20" s="448"/>
      <c r="B20" s="449"/>
      <c r="C20" s="450"/>
      <c r="D20" s="451"/>
    </row>
    <row r="21" spans="1:4" s="283" customFormat="1" ht="48" customHeight="1" x14ac:dyDescent="0.25">
      <c r="A21" s="1138" t="s">
        <v>738</v>
      </c>
      <c r="B21" s="1139"/>
      <c r="C21" s="1139"/>
      <c r="D21" s="1139"/>
    </row>
    <row r="22" spans="1:4" s="283" customFormat="1" ht="12" customHeight="1" x14ac:dyDescent="0.25">
      <c r="A22" s="284" t="s">
        <v>833</v>
      </c>
      <c r="B22" s="30"/>
      <c r="C22" s="30"/>
      <c r="D22" s="29"/>
    </row>
    <row r="23" spans="1:4" ht="12" customHeight="1" x14ac:dyDescent="0.3">
      <c r="A23" s="284" t="s">
        <v>834</v>
      </c>
    </row>
  </sheetData>
  <mergeCells count="2">
    <mergeCell ref="A1:D1"/>
    <mergeCell ref="A21:D21"/>
  </mergeCells>
  <printOptions horizontalCentered="1"/>
  <pageMargins left="0.70866141732283472" right="0.5118110236220472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D30"/>
  <sheetViews>
    <sheetView showGridLines="0" zoomScaleNormal="100" zoomScaleSheetLayoutView="100" workbookViewId="0">
      <selection activeCell="A17" sqref="A17:D29"/>
    </sheetView>
  </sheetViews>
  <sheetFormatPr baseColWidth="10" defaultColWidth="11.28515625" defaultRowHeight="12.75" customHeight="1" x14ac:dyDescent="0.3"/>
  <cols>
    <col min="1" max="1" width="24.28515625" style="39" customWidth="1"/>
    <col min="2" max="2" width="16.140625" style="39" customWidth="1"/>
    <col min="3" max="3" width="7.7109375" style="39" customWidth="1"/>
    <col min="4" max="4" width="16.140625" style="39" customWidth="1"/>
    <col min="5" max="16384" width="11.28515625" style="39"/>
  </cols>
  <sheetData>
    <row r="1" spans="1:4" ht="12.75" customHeight="1" x14ac:dyDescent="0.3">
      <c r="A1" s="1137" t="s">
        <v>546</v>
      </c>
      <c r="B1" s="1137"/>
      <c r="C1" s="1137"/>
      <c r="D1" s="1137"/>
    </row>
    <row r="2" spans="1:4" ht="12.75" customHeight="1" x14ac:dyDescent="0.3">
      <c r="A2" s="1140" t="s">
        <v>71</v>
      </c>
      <c r="B2" s="1140"/>
      <c r="C2" s="1140"/>
      <c r="D2" s="1140"/>
    </row>
    <row r="3" spans="1:4" ht="12.75" customHeight="1" x14ac:dyDescent="0.3">
      <c r="A3" s="98"/>
      <c r="B3" s="99"/>
    </row>
    <row r="4" spans="1:4" ht="26.25" customHeight="1" x14ac:dyDescent="0.3">
      <c r="A4" s="863" t="s">
        <v>545</v>
      </c>
      <c r="B4" s="864" t="s">
        <v>540</v>
      </c>
      <c r="C4" s="864"/>
      <c r="D4" s="864" t="s">
        <v>539</v>
      </c>
    </row>
    <row r="5" spans="1:4" ht="3" customHeight="1" x14ac:dyDescent="0.3">
      <c r="A5" s="865"/>
      <c r="B5" s="867"/>
      <c r="D5" s="867"/>
    </row>
    <row r="6" spans="1:4" ht="15.95" customHeight="1" x14ac:dyDescent="0.3">
      <c r="A6" s="868" t="s">
        <v>57</v>
      </c>
      <c r="B6" s="881">
        <v>7953191</v>
      </c>
      <c r="C6" s="881"/>
      <c r="D6" s="882">
        <v>100</v>
      </c>
    </row>
    <row r="7" spans="1:4" ht="15.95" customHeight="1" x14ac:dyDescent="0.3">
      <c r="A7" s="883" t="s">
        <v>544</v>
      </c>
      <c r="B7" s="875">
        <v>944134</v>
      </c>
      <c r="D7" s="884">
        <v>11.9</v>
      </c>
    </row>
    <row r="8" spans="1:4" ht="15.95" customHeight="1" x14ac:dyDescent="0.3">
      <c r="A8" s="883" t="s">
        <v>543</v>
      </c>
      <c r="B8" s="875">
        <v>549156</v>
      </c>
      <c r="D8" s="884">
        <v>6.9</v>
      </c>
    </row>
    <row r="9" spans="1:4" ht="15.95" customHeight="1" x14ac:dyDescent="0.3">
      <c r="A9" s="883" t="s">
        <v>542</v>
      </c>
      <c r="B9" s="875">
        <v>6447728</v>
      </c>
      <c r="D9" s="884">
        <v>81</v>
      </c>
    </row>
    <row r="10" spans="1:4" ht="15.95" customHeight="1" x14ac:dyDescent="0.3">
      <c r="A10" s="885" t="s">
        <v>541</v>
      </c>
      <c r="B10" s="880">
        <v>12173</v>
      </c>
      <c r="C10" s="886"/>
      <c r="D10" s="887">
        <v>0.2</v>
      </c>
    </row>
    <row r="11" spans="1:4" s="287" customFormat="1" ht="12" customHeight="1" x14ac:dyDescent="0.25">
      <c r="A11" s="286" t="s">
        <v>531</v>
      </c>
      <c r="B11" s="289"/>
    </row>
    <row r="14" spans="1:4" s="31" customFormat="1" ht="12.75" customHeight="1" x14ac:dyDescent="0.25">
      <c r="A14" s="1137" t="s">
        <v>768</v>
      </c>
      <c r="B14" s="1137"/>
      <c r="C14" s="1137"/>
      <c r="D14" s="1137"/>
    </row>
    <row r="15" spans="1:4" s="31" customFormat="1" ht="12.75" customHeight="1" x14ac:dyDescent="0.25">
      <c r="A15" s="1140" t="s">
        <v>71</v>
      </c>
      <c r="B15" s="1140"/>
      <c r="C15" s="1140"/>
      <c r="D15" s="1140"/>
    </row>
    <row r="16" spans="1:4" ht="12.75" customHeight="1" x14ac:dyDescent="0.3">
      <c r="A16" s="98"/>
      <c r="B16" s="99"/>
      <c r="C16" s="97"/>
    </row>
    <row r="17" spans="1:4" ht="26.25" customHeight="1" x14ac:dyDescent="0.3">
      <c r="A17" s="863" t="s">
        <v>545</v>
      </c>
      <c r="B17" s="864" t="s">
        <v>540</v>
      </c>
      <c r="C17" s="864"/>
      <c r="D17" s="864" t="s">
        <v>539</v>
      </c>
    </row>
    <row r="18" spans="1:4" ht="3" customHeight="1" x14ac:dyDescent="0.3">
      <c r="A18" s="865"/>
      <c r="B18" s="891"/>
      <c r="C18" s="892"/>
      <c r="D18" s="891"/>
    </row>
    <row r="19" spans="1:4" ht="15.95" customHeight="1" x14ac:dyDescent="0.3">
      <c r="A19" s="868" t="s">
        <v>57</v>
      </c>
      <c r="B19" s="893">
        <v>18340037</v>
      </c>
      <c r="C19" s="893"/>
      <c r="D19" s="894">
        <v>100</v>
      </c>
    </row>
    <row r="20" spans="1:4" ht="15.95" customHeight="1" x14ac:dyDescent="0.3">
      <c r="A20" s="883" t="s">
        <v>538</v>
      </c>
      <c r="B20" s="895">
        <v>795574</v>
      </c>
      <c r="C20" s="892"/>
      <c r="D20" s="896">
        <v>4.3</v>
      </c>
    </row>
    <row r="21" spans="1:4" ht="15.95" customHeight="1" x14ac:dyDescent="0.3">
      <c r="A21" s="883" t="s">
        <v>537</v>
      </c>
      <c r="B21" s="895">
        <v>5527523</v>
      </c>
      <c r="C21" s="892"/>
      <c r="D21" s="896">
        <v>30.1</v>
      </c>
    </row>
    <row r="22" spans="1:4" ht="15.95" customHeight="1" x14ac:dyDescent="0.3">
      <c r="A22" s="883" t="s">
        <v>905</v>
      </c>
      <c r="B22" s="895">
        <v>9038741</v>
      </c>
      <c r="C22" s="892"/>
      <c r="D22" s="896">
        <v>49.3</v>
      </c>
    </row>
    <row r="23" spans="1:4" ht="15.95" customHeight="1" x14ac:dyDescent="0.3">
      <c r="A23" s="883" t="s">
        <v>536</v>
      </c>
      <c r="B23" s="895">
        <v>548174</v>
      </c>
      <c r="C23" s="892"/>
      <c r="D23" s="896">
        <v>3</v>
      </c>
    </row>
    <row r="24" spans="1:4" ht="15.95" customHeight="1" x14ac:dyDescent="0.3">
      <c r="A24" s="883" t="s">
        <v>535</v>
      </c>
      <c r="B24" s="895">
        <v>6943</v>
      </c>
      <c r="C24" s="892"/>
      <c r="D24" s="896">
        <v>0</v>
      </c>
    </row>
    <row r="25" spans="1:4" ht="15.95" customHeight="1" x14ac:dyDescent="0.3">
      <c r="A25" s="883" t="s">
        <v>534</v>
      </c>
      <c r="B25" s="895">
        <v>56769</v>
      </c>
      <c r="C25" s="892"/>
      <c r="D25" s="896">
        <v>0.3</v>
      </c>
    </row>
    <row r="26" spans="1:4" ht="15.95" customHeight="1" x14ac:dyDescent="0.3">
      <c r="A26" s="883" t="s">
        <v>533</v>
      </c>
      <c r="B26" s="895">
        <v>891922</v>
      </c>
      <c r="C26" s="892"/>
      <c r="D26" s="896">
        <v>4.9000000000000004</v>
      </c>
    </row>
    <row r="27" spans="1:4" ht="15.95" customHeight="1" x14ac:dyDescent="0.3">
      <c r="A27" s="885" t="s">
        <v>532</v>
      </c>
      <c r="B27" s="889">
        <v>1474391</v>
      </c>
      <c r="C27" s="886"/>
      <c r="D27" s="890">
        <v>8.1</v>
      </c>
    </row>
    <row r="28" spans="1:4" s="283" customFormat="1" ht="25.7" customHeight="1" x14ac:dyDescent="0.25">
      <c r="A28" s="1139" t="s">
        <v>906</v>
      </c>
      <c r="B28" s="1139"/>
      <c r="C28" s="1139"/>
      <c r="D28" s="1139"/>
    </row>
    <row r="29" spans="1:4" s="287" customFormat="1" ht="12.75" customHeight="1" x14ac:dyDescent="0.25">
      <c r="A29" s="286" t="s">
        <v>531</v>
      </c>
      <c r="C29" s="288"/>
    </row>
    <row r="30" spans="1:4" ht="12.75" customHeight="1" x14ac:dyDescent="0.3">
      <c r="C30" s="97"/>
    </row>
  </sheetData>
  <mergeCells count="5">
    <mergeCell ref="A1:D1"/>
    <mergeCell ref="A2:D2"/>
    <mergeCell ref="A14:D14"/>
    <mergeCell ref="A15:D15"/>
    <mergeCell ref="A28:D28"/>
  </mergeCells>
  <printOptions horizontalCentered="1"/>
  <pageMargins left="0.70866141732283472" right="0.5118110236220472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L34"/>
  <sheetViews>
    <sheetView showGridLines="0" zoomScaleNormal="100" zoomScaleSheetLayoutView="100" workbookViewId="0">
      <pane xSplit="1" ySplit="7" topLeftCell="B20" activePane="bottomRight" state="frozen"/>
      <selection activeCell="AB1" sqref="AB1:AJ1"/>
      <selection pane="topRight" activeCell="AB1" sqref="AB1:AJ1"/>
      <selection pane="bottomLeft" activeCell="AB1" sqref="AB1:AJ1"/>
      <selection pane="bottomRight" activeCell="A4" sqref="A4:J34"/>
    </sheetView>
  </sheetViews>
  <sheetFormatPr baseColWidth="10" defaultColWidth="11.28515625" defaultRowHeight="12.75" customHeight="1" x14ac:dyDescent="0.3"/>
  <cols>
    <col min="1" max="1" width="49.42578125" style="39" customWidth="1"/>
    <col min="2" max="2" width="13.5703125" style="39" customWidth="1"/>
    <col min="3" max="3" width="1.7109375" style="39" customWidth="1"/>
    <col min="4" max="4" width="10.28515625" style="39" customWidth="1"/>
    <col min="5" max="5" width="12.85546875" style="39" customWidth="1"/>
    <col min="6" max="7" width="1.7109375" style="39" customWidth="1"/>
    <col min="8" max="8" width="10.28515625" style="39" customWidth="1"/>
    <col min="9" max="9" width="1.7109375" style="39" customWidth="1"/>
    <col min="10" max="10" width="12.85546875" style="39" customWidth="1"/>
    <col min="11" max="16384" width="11.28515625" style="39"/>
  </cols>
  <sheetData>
    <row r="1" spans="1:12" s="31" customFormat="1" ht="12.75" customHeight="1" x14ac:dyDescent="0.25">
      <c r="A1" s="1144" t="s">
        <v>885</v>
      </c>
      <c r="B1" s="1144"/>
      <c r="C1" s="1144"/>
      <c r="D1" s="1144"/>
      <c r="E1" s="1144"/>
      <c r="F1" s="1144"/>
      <c r="G1" s="1144"/>
      <c r="H1" s="1144"/>
      <c r="I1" s="1144"/>
      <c r="J1" s="1144"/>
      <c r="L1" s="31" t="s">
        <v>225</v>
      </c>
    </row>
    <row r="2" spans="1:12" s="31" customFormat="1" ht="12.75" hidden="1" customHeight="1" x14ac:dyDescent="0.25">
      <c r="A2" s="1145"/>
      <c r="B2" s="1145"/>
      <c r="C2" s="1145"/>
      <c r="D2" s="1145"/>
      <c r="E2" s="1145"/>
      <c r="F2" s="1145"/>
      <c r="G2" s="1145"/>
      <c r="H2" s="1145"/>
      <c r="I2" s="1145"/>
      <c r="J2" s="1145"/>
    </row>
    <row r="3" spans="1:12" s="71" customFormat="1" ht="12.75" customHeight="1" x14ac:dyDescent="0.25">
      <c r="A3" s="291"/>
      <c r="B3" s="292"/>
      <c r="C3" s="292"/>
      <c r="D3" s="292"/>
      <c r="E3" s="292"/>
      <c r="F3" s="278"/>
      <c r="G3" s="278"/>
      <c r="H3" s="292"/>
      <c r="I3" s="292"/>
      <c r="J3" s="292"/>
    </row>
    <row r="4" spans="1:12" s="71" customFormat="1" ht="21" customHeight="1" x14ac:dyDescent="0.25">
      <c r="A4" s="1146" t="s">
        <v>569</v>
      </c>
      <c r="B4" s="1147" t="s">
        <v>568</v>
      </c>
      <c r="C4" s="897"/>
      <c r="D4" s="1148">
        <v>2010</v>
      </c>
      <c r="E4" s="1148"/>
      <c r="F4" s="1148"/>
      <c r="G4" s="898"/>
      <c r="H4" s="1148">
        <v>2014</v>
      </c>
      <c r="I4" s="1148"/>
      <c r="J4" s="1148"/>
    </row>
    <row r="5" spans="1:12" s="71" customFormat="1" ht="33" customHeight="1" x14ac:dyDescent="0.25">
      <c r="A5" s="1146"/>
      <c r="B5" s="1147"/>
      <c r="C5" s="916"/>
      <c r="D5" s="900" t="s">
        <v>723</v>
      </c>
      <c r="E5" s="1147" t="s">
        <v>907</v>
      </c>
      <c r="F5" s="901"/>
      <c r="G5" s="916"/>
      <c r="H5" s="900" t="s">
        <v>723</v>
      </c>
      <c r="I5" s="901"/>
      <c r="J5" s="1149" t="s">
        <v>907</v>
      </c>
    </row>
    <row r="6" spans="1:12" s="71" customFormat="1" ht="36.75" customHeight="1" x14ac:dyDescent="0.25">
      <c r="A6" s="1146"/>
      <c r="B6" s="1147"/>
      <c r="C6" s="902"/>
      <c r="D6" s="903" t="s">
        <v>71</v>
      </c>
      <c r="E6" s="1147"/>
      <c r="F6" s="902"/>
      <c r="G6" s="902"/>
      <c r="H6" s="903" t="s">
        <v>71</v>
      </c>
      <c r="I6" s="902"/>
      <c r="J6" s="1150"/>
    </row>
    <row r="7" spans="1:12" s="71" customFormat="1" ht="3" customHeight="1" x14ac:dyDescent="0.25">
      <c r="A7" s="904"/>
      <c r="B7" s="293"/>
      <c r="C7" s="905"/>
      <c r="D7" s="293"/>
      <c r="E7" s="906"/>
      <c r="F7" s="905"/>
      <c r="G7" s="905"/>
      <c r="H7" s="293"/>
      <c r="I7" s="905"/>
      <c r="J7" s="906"/>
    </row>
    <row r="8" spans="1:12" s="71" customFormat="1" ht="15.95" customHeight="1" x14ac:dyDescent="0.25">
      <c r="A8" s="907" t="s">
        <v>57</v>
      </c>
      <c r="B8" s="908">
        <v>128521561</v>
      </c>
      <c r="C8" s="909"/>
      <c r="D8" s="909">
        <v>18377314</v>
      </c>
      <c r="E8" s="910">
        <v>14.2990128971357</v>
      </c>
      <c r="F8" s="899"/>
      <c r="G8" s="899"/>
      <c r="H8" s="909">
        <v>19186195</v>
      </c>
      <c r="I8" s="909"/>
      <c r="J8" s="911">
        <v>14.928386039019431</v>
      </c>
    </row>
    <row r="9" spans="1:12" s="71" customFormat="1" ht="15.95" customHeight="1" x14ac:dyDescent="0.25">
      <c r="A9" s="589" t="s">
        <v>567</v>
      </c>
      <c r="B9" s="912">
        <v>23560566</v>
      </c>
      <c r="C9" s="912"/>
      <c r="D9" s="912">
        <v>7252963.498781316</v>
      </c>
      <c r="E9" s="913">
        <v>30.784334900565259</v>
      </c>
      <c r="F9" s="913"/>
      <c r="G9" s="913"/>
      <c r="H9" s="912">
        <v>7253203.4500000002</v>
      </c>
      <c r="I9" s="912"/>
      <c r="J9" s="913">
        <v>30.7534004095052</v>
      </c>
    </row>
    <row r="10" spans="1:12" s="71" customFormat="1" ht="15.95" customHeight="1" x14ac:dyDescent="0.25">
      <c r="A10" s="589" t="s">
        <v>566</v>
      </c>
      <c r="B10" s="912">
        <v>13781247</v>
      </c>
      <c r="C10" s="912"/>
      <c r="D10" s="912">
        <v>2075197.7974989044</v>
      </c>
      <c r="E10" s="913">
        <v>15.058128008304722</v>
      </c>
      <c r="F10" s="913"/>
      <c r="G10" s="913"/>
      <c r="H10" s="912">
        <v>2076269.84</v>
      </c>
      <c r="I10" s="912"/>
      <c r="J10" s="913">
        <v>15.050269834066601</v>
      </c>
    </row>
    <row r="11" spans="1:12" s="71" customFormat="1" ht="15.95" customHeight="1" x14ac:dyDescent="0.25">
      <c r="A11" s="589" t="s">
        <v>565</v>
      </c>
      <c r="B11" s="912">
        <v>13538557</v>
      </c>
      <c r="C11" s="912"/>
      <c r="D11" s="912">
        <v>3229335.7204058743</v>
      </c>
      <c r="E11" s="913">
        <v>23.852879961537703</v>
      </c>
      <c r="F11" s="913"/>
      <c r="G11" s="913"/>
      <c r="H11" s="912">
        <v>3265730.37</v>
      </c>
      <c r="I11" s="912"/>
      <c r="J11" s="913">
        <v>24.096665498216673</v>
      </c>
    </row>
    <row r="12" spans="1:12" s="71" customFormat="1" ht="15.95" customHeight="1" x14ac:dyDescent="0.25">
      <c r="A12" s="589" t="s">
        <v>564</v>
      </c>
      <c r="B12" s="912">
        <v>12184538</v>
      </c>
      <c r="C12" s="912"/>
      <c r="D12" s="912">
        <v>795095.07148954575</v>
      </c>
      <c r="E12" s="913">
        <v>6.5254427573661582</v>
      </c>
      <c r="F12" s="913"/>
      <c r="G12" s="913"/>
      <c r="H12" s="912">
        <v>795121.34</v>
      </c>
      <c r="I12" s="912"/>
      <c r="J12" s="913">
        <v>6.5188851864038178</v>
      </c>
    </row>
    <row r="13" spans="1:12" s="71" customFormat="1" ht="15.95" customHeight="1" x14ac:dyDescent="0.25">
      <c r="A13" s="589" t="s">
        <v>563</v>
      </c>
      <c r="B13" s="912">
        <v>9961083</v>
      </c>
      <c r="C13" s="912"/>
      <c r="D13" s="912">
        <v>399308.72262477939</v>
      </c>
      <c r="E13" s="913">
        <v>4.0086878548538545</v>
      </c>
      <c r="F13" s="913"/>
      <c r="G13" s="913"/>
      <c r="H13" s="912">
        <v>323365.55</v>
      </c>
      <c r="I13" s="912"/>
      <c r="J13" s="913">
        <v>3.286937402694424</v>
      </c>
    </row>
    <row r="14" spans="1:12" s="71" customFormat="1" ht="15.95" customHeight="1" x14ac:dyDescent="0.25">
      <c r="A14" s="589" t="s">
        <v>562</v>
      </c>
      <c r="B14" s="912">
        <v>9787056</v>
      </c>
      <c r="C14" s="912"/>
      <c r="D14" s="912">
        <v>1156722.2376233714</v>
      </c>
      <c r="E14" s="913">
        <v>11.818898637074366</v>
      </c>
      <c r="F14" s="913"/>
      <c r="G14" s="913"/>
      <c r="H14" s="912">
        <v>1156760.4099999999</v>
      </c>
      <c r="I14" s="912"/>
      <c r="J14" s="913">
        <v>11.807021059043686</v>
      </c>
    </row>
    <row r="15" spans="1:12" s="71" customFormat="1" ht="15.95" customHeight="1" x14ac:dyDescent="0.25">
      <c r="A15" s="589" t="s">
        <v>561</v>
      </c>
      <c r="B15" s="912">
        <v>9389174</v>
      </c>
      <c r="C15" s="912"/>
      <c r="D15" s="912">
        <v>1740027.2982826561</v>
      </c>
      <c r="E15" s="913">
        <v>18.532272012752028</v>
      </c>
      <c r="F15" s="913"/>
      <c r="G15" s="913"/>
      <c r="H15" s="912">
        <v>1769803.2</v>
      </c>
      <c r="I15" s="912"/>
      <c r="J15" s="913">
        <v>18.829837855572443</v>
      </c>
    </row>
    <row r="16" spans="1:12" s="71" customFormat="1" ht="15.95" customHeight="1" x14ac:dyDescent="0.25">
      <c r="A16" s="589" t="s">
        <v>560</v>
      </c>
      <c r="B16" s="912">
        <v>7657939</v>
      </c>
      <c r="C16" s="912"/>
      <c r="D16" s="912">
        <v>703995.58781525516</v>
      </c>
      <c r="E16" s="913">
        <v>9.1930159364003927</v>
      </c>
      <c r="F16" s="913"/>
      <c r="G16" s="913"/>
      <c r="H16" s="912">
        <v>704018.82</v>
      </c>
      <c r="I16" s="912"/>
      <c r="J16" s="913">
        <v>9.1837773088190069</v>
      </c>
    </row>
    <row r="17" spans="1:10" s="71" customFormat="1" ht="15.95" customHeight="1" x14ac:dyDescent="0.25">
      <c r="A17" s="589" t="s">
        <v>559</v>
      </c>
      <c r="B17" s="912">
        <v>5535934</v>
      </c>
      <c r="C17" s="912"/>
      <c r="D17" s="912">
        <v>40976.697749746119</v>
      </c>
      <c r="E17" s="913">
        <v>0.74019480022269624</v>
      </c>
      <c r="F17" s="913"/>
      <c r="G17" s="913"/>
      <c r="H17" s="912">
        <v>857619.82</v>
      </c>
      <c r="I17" s="912"/>
      <c r="J17" s="913">
        <v>15.475791977197131</v>
      </c>
    </row>
    <row r="18" spans="1:10" s="71" customFormat="1" ht="15.95" customHeight="1" x14ac:dyDescent="0.25">
      <c r="A18" s="589" t="s">
        <v>558</v>
      </c>
      <c r="B18" s="912">
        <v>5476616</v>
      </c>
      <c r="C18" s="912"/>
      <c r="D18" s="912">
        <v>166875.96301491465</v>
      </c>
      <c r="E18" s="913">
        <v>3.0470636931360975</v>
      </c>
      <c r="F18" s="913"/>
      <c r="G18" s="913"/>
      <c r="H18" s="912">
        <v>167427.34</v>
      </c>
      <c r="I18" s="912"/>
      <c r="J18" s="913">
        <v>3.053958443693368</v>
      </c>
    </row>
    <row r="19" spans="1:10" s="71" customFormat="1" ht="15.95" customHeight="1" x14ac:dyDescent="0.25">
      <c r="A19" s="589" t="s">
        <v>557</v>
      </c>
      <c r="B19" s="912">
        <v>4513551</v>
      </c>
      <c r="C19" s="912"/>
      <c r="D19" s="912">
        <v>270595.81021128711</v>
      </c>
      <c r="E19" s="913">
        <v>5.995187180234578</v>
      </c>
      <c r="F19" s="913"/>
      <c r="G19" s="913"/>
      <c r="H19" s="912">
        <v>265195.21999999997</v>
      </c>
      <c r="I19" s="912"/>
      <c r="J19" s="913">
        <v>5.8694360722691998</v>
      </c>
    </row>
    <row r="20" spans="1:10" s="71" customFormat="1" ht="15.95" customHeight="1" x14ac:dyDescent="0.25">
      <c r="A20" s="589" t="s">
        <v>556</v>
      </c>
      <c r="B20" s="912">
        <v>2726854</v>
      </c>
      <c r="C20" s="912"/>
      <c r="D20" s="912">
        <v>7923.1085337005024</v>
      </c>
      <c r="E20" s="913">
        <v>0.29055860356627727</v>
      </c>
      <c r="F20" s="913"/>
      <c r="G20" s="913"/>
      <c r="H20" s="912">
        <v>7923.37</v>
      </c>
      <c r="I20" s="912"/>
      <c r="J20" s="913">
        <v>0.29026660296392348</v>
      </c>
    </row>
    <row r="21" spans="1:10" s="71" customFormat="1" ht="15.95" customHeight="1" x14ac:dyDescent="0.25">
      <c r="A21" s="589" t="s">
        <v>555</v>
      </c>
      <c r="B21" s="912">
        <v>2273782</v>
      </c>
      <c r="C21" s="912"/>
      <c r="D21" s="912">
        <v>2183.9079300135199</v>
      </c>
      <c r="E21" s="913">
        <v>9.604736599808919E-2</v>
      </c>
      <c r="F21" s="913"/>
      <c r="G21" s="913"/>
      <c r="H21" s="912">
        <v>2183.98</v>
      </c>
      <c r="I21" s="912"/>
      <c r="J21" s="913">
        <v>9.5950842382669127E-2</v>
      </c>
    </row>
    <row r="22" spans="1:10" s="71" customFormat="1" ht="15.95" customHeight="1" x14ac:dyDescent="0.25">
      <c r="A22" s="589" t="s">
        <v>554</v>
      </c>
      <c r="B22" s="912">
        <v>2108022</v>
      </c>
      <c r="C22" s="912"/>
      <c r="D22" s="912" t="s">
        <v>47</v>
      </c>
      <c r="E22" s="913" t="s">
        <v>47</v>
      </c>
      <c r="F22" s="913"/>
      <c r="G22" s="913"/>
      <c r="H22" s="912">
        <v>18328.34</v>
      </c>
      <c r="I22" s="912"/>
      <c r="J22" s="914">
        <v>0.86855431929193305</v>
      </c>
    </row>
    <row r="23" spans="1:10" s="71" customFormat="1" ht="15.95" customHeight="1" x14ac:dyDescent="0.25">
      <c r="A23" s="589" t="s">
        <v>553</v>
      </c>
      <c r="B23" s="912">
        <v>1997770</v>
      </c>
      <c r="C23" s="912"/>
      <c r="D23" s="912">
        <v>77590.509476778243</v>
      </c>
      <c r="E23" s="913">
        <v>3.883855958423271</v>
      </c>
      <c r="F23" s="913"/>
      <c r="G23" s="913"/>
      <c r="H23" s="912">
        <v>65616.5</v>
      </c>
      <c r="I23" s="912"/>
      <c r="J23" s="913">
        <v>3.2810781586024995</v>
      </c>
    </row>
    <row r="24" spans="1:10" s="71" customFormat="1" ht="15.95" customHeight="1" x14ac:dyDescent="0.25">
      <c r="A24" s="589" t="s">
        <v>552</v>
      </c>
      <c r="B24" s="912">
        <v>1384178</v>
      </c>
      <c r="C24" s="912"/>
      <c r="D24" s="912">
        <v>69754.12808104149</v>
      </c>
      <c r="E24" s="913">
        <v>5.0393911202035051</v>
      </c>
      <c r="F24" s="913"/>
      <c r="G24" s="913"/>
      <c r="H24" s="912">
        <v>69756.429999999993</v>
      </c>
      <c r="I24" s="912"/>
      <c r="J24" s="913">
        <v>5.0343266832056708</v>
      </c>
    </row>
    <row r="25" spans="1:10" s="71" customFormat="1" ht="15.95" customHeight="1" x14ac:dyDescent="0.25">
      <c r="A25" s="915" t="s">
        <v>551</v>
      </c>
      <c r="B25" s="912">
        <v>1143116</v>
      </c>
      <c r="C25" s="912"/>
      <c r="D25" s="912">
        <v>94563.549358497621</v>
      </c>
      <c r="E25" s="913">
        <v>8.2724403328200573</v>
      </c>
      <c r="F25" s="913"/>
      <c r="G25" s="913"/>
      <c r="H25" s="912">
        <v>93637.67</v>
      </c>
      <c r="I25" s="912"/>
      <c r="J25" s="913">
        <v>8.1829418491827823</v>
      </c>
    </row>
    <row r="26" spans="1:10" s="71" customFormat="1" ht="15.95" customHeight="1" x14ac:dyDescent="0.25">
      <c r="A26" s="589" t="s">
        <v>550</v>
      </c>
      <c r="B26" s="912">
        <v>957147</v>
      </c>
      <c r="C26" s="912"/>
      <c r="D26" s="912">
        <v>237010.33854761181</v>
      </c>
      <c r="E26" s="913">
        <v>24.762154443498147</v>
      </c>
      <c r="F26" s="913"/>
      <c r="G26" s="913"/>
      <c r="H26" s="912">
        <v>237018.17</v>
      </c>
      <c r="I26" s="912"/>
      <c r="J26" s="913">
        <v>24.737270441881286</v>
      </c>
    </row>
    <row r="27" spans="1:10" s="71" customFormat="1" ht="15.95" customHeight="1" x14ac:dyDescent="0.25">
      <c r="A27" s="589" t="s">
        <v>520</v>
      </c>
      <c r="B27" s="912">
        <v>515690</v>
      </c>
      <c r="C27" s="912"/>
      <c r="D27" s="912">
        <v>35942.613876876145</v>
      </c>
      <c r="E27" s="913">
        <v>6.9698143936628334</v>
      </c>
      <c r="F27" s="913"/>
      <c r="G27" s="913"/>
      <c r="H27" s="912">
        <v>35943.82</v>
      </c>
      <c r="I27" s="912"/>
      <c r="J27" s="913">
        <v>6.9628141316917098</v>
      </c>
    </row>
    <row r="28" spans="1:10" s="71" customFormat="1" ht="15.95" customHeight="1" x14ac:dyDescent="0.25">
      <c r="A28" s="589" t="s">
        <v>549</v>
      </c>
      <c r="B28" s="912">
        <v>18281</v>
      </c>
      <c r="C28" s="912"/>
      <c r="D28" s="912">
        <v>18280.53675350935</v>
      </c>
      <c r="E28" s="913">
        <v>100.0000007846908</v>
      </c>
      <c r="F28" s="913"/>
      <c r="G28" s="913"/>
      <c r="H28" s="912">
        <v>18299.540169974436</v>
      </c>
      <c r="I28" s="912"/>
      <c r="J28" s="913">
        <v>100</v>
      </c>
    </row>
    <row r="29" spans="1:10" s="71" customFormat="1" ht="15.95" customHeight="1" x14ac:dyDescent="0.25">
      <c r="A29" s="917" t="s">
        <v>548</v>
      </c>
      <c r="B29" s="918">
        <v>10460</v>
      </c>
      <c r="C29" s="918"/>
      <c r="D29" s="918">
        <v>2971.3419443215475</v>
      </c>
      <c r="E29" s="919">
        <v>28.406838436727345</v>
      </c>
      <c r="F29" s="919"/>
      <c r="G29" s="919"/>
      <c r="H29" s="918">
        <v>2971.44</v>
      </c>
      <c r="I29" s="918"/>
      <c r="J29" s="919">
        <v>28.378290619410357</v>
      </c>
    </row>
    <row r="30" spans="1:10" s="71" customFormat="1" ht="12.75" hidden="1" customHeight="1" x14ac:dyDescent="0.25">
      <c r="A30" s="452"/>
      <c r="B30" s="453"/>
      <c r="C30" s="453"/>
      <c r="D30" s="453"/>
      <c r="E30" s="454"/>
      <c r="F30" s="454"/>
      <c r="G30" s="454"/>
      <c r="H30" s="453"/>
      <c r="I30" s="453"/>
      <c r="J30" s="454"/>
    </row>
    <row r="31" spans="1:10" s="290" customFormat="1" ht="51.2" customHeight="1" x14ac:dyDescent="0.25">
      <c r="A31" s="1125" t="s">
        <v>739</v>
      </c>
      <c r="B31" s="1125"/>
      <c r="C31" s="1125"/>
      <c r="D31" s="1125"/>
      <c r="E31" s="1125"/>
      <c r="F31" s="1125"/>
      <c r="G31" s="1125"/>
      <c r="H31" s="1125"/>
      <c r="I31" s="1125"/>
      <c r="J31" s="1125"/>
    </row>
    <row r="32" spans="1:10" s="19" customFormat="1" ht="24" customHeight="1" x14ac:dyDescent="0.25">
      <c r="A32" s="1142" t="s">
        <v>740</v>
      </c>
      <c r="B32" s="1142"/>
      <c r="C32" s="1142"/>
      <c r="D32" s="1142"/>
      <c r="E32" s="1142"/>
      <c r="F32" s="1142"/>
      <c r="G32" s="1142"/>
      <c r="H32" s="1142"/>
      <c r="I32" s="1142"/>
      <c r="J32" s="1142"/>
    </row>
    <row r="33" spans="1:10" s="19" customFormat="1" ht="38.450000000000003" customHeight="1" x14ac:dyDescent="0.25">
      <c r="A33" s="1143" t="s">
        <v>741</v>
      </c>
      <c r="B33" s="1143"/>
      <c r="C33" s="1143"/>
      <c r="D33" s="1143"/>
      <c r="E33" s="1143"/>
      <c r="F33" s="1143"/>
      <c r="G33" s="1143"/>
      <c r="H33" s="1143"/>
      <c r="I33" s="1143"/>
      <c r="J33" s="1143"/>
    </row>
    <row r="34" spans="1:10" s="283" customFormat="1" ht="12.75" customHeight="1" x14ac:dyDescent="0.25">
      <c r="A34" s="1141" t="s">
        <v>547</v>
      </c>
      <c r="B34" s="1141"/>
      <c r="C34" s="1141"/>
      <c r="D34" s="1141"/>
      <c r="E34" s="1141"/>
      <c r="F34" s="1141"/>
      <c r="G34" s="1141"/>
      <c r="H34" s="1141"/>
      <c r="I34" s="1141"/>
      <c r="J34" s="1141"/>
    </row>
  </sheetData>
  <mergeCells count="12">
    <mergeCell ref="A34:J34"/>
    <mergeCell ref="A31:J31"/>
    <mergeCell ref="A32:J32"/>
    <mergeCell ref="A33:J33"/>
    <mergeCell ref="A1:J1"/>
    <mergeCell ref="A2:J2"/>
    <mergeCell ref="A4:A6"/>
    <mergeCell ref="B4:B6"/>
    <mergeCell ref="D4:F4"/>
    <mergeCell ref="H4:J4"/>
    <mergeCell ref="E5:E6"/>
    <mergeCell ref="J5:J6"/>
  </mergeCells>
  <printOptions horizontalCentered="1"/>
  <pageMargins left="0.47244094488188981" right="0.43307086614173229" top="0.74803149606299213" bottom="0.74803149606299213" header="0.31496062992125984" footer="0.31496062992125984"/>
  <pageSetup paperSize="9" scale="8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O36"/>
  <sheetViews>
    <sheetView showGridLines="0" zoomScaleNormal="100" zoomScaleSheetLayoutView="100" workbookViewId="0">
      <selection activeCell="A25" sqref="A25:K36"/>
    </sheetView>
  </sheetViews>
  <sheetFormatPr baseColWidth="10" defaultColWidth="11.28515625" defaultRowHeight="12.75" customHeight="1" x14ac:dyDescent="0.3"/>
  <cols>
    <col min="1" max="1" width="29.28515625" style="39" customWidth="1"/>
    <col min="2" max="11" width="10.28515625" style="39" customWidth="1"/>
    <col min="12" max="16384" width="11.28515625" style="39"/>
  </cols>
  <sheetData>
    <row r="1" spans="1:15" s="34" customFormat="1" ht="12.75" customHeight="1" x14ac:dyDescent="0.3">
      <c r="A1" s="33" t="s">
        <v>581</v>
      </c>
      <c r="C1" s="93"/>
      <c r="O1" s="34" t="s">
        <v>225</v>
      </c>
    </row>
    <row r="2" spans="1:15" s="34" customFormat="1" ht="12.75" customHeight="1" x14ac:dyDescent="0.3">
      <c r="A2" s="32"/>
      <c r="C2" s="93"/>
    </row>
    <row r="3" spans="1:15" ht="12.75" customHeight="1" x14ac:dyDescent="0.3">
      <c r="A3" s="1144" t="s">
        <v>886</v>
      </c>
      <c r="B3" s="1144"/>
      <c r="C3" s="1144"/>
      <c r="D3" s="1144"/>
      <c r="E3" s="1144"/>
      <c r="F3" s="1144"/>
      <c r="G3" s="1144"/>
      <c r="H3" s="1144"/>
      <c r="I3" s="1144"/>
      <c r="J3" s="1144"/>
      <c r="K3" s="1144"/>
    </row>
    <row r="4" spans="1:15" ht="12.75" customHeight="1" x14ac:dyDescent="0.3">
      <c r="A4" s="1153" t="s">
        <v>580</v>
      </c>
      <c r="B4" s="1153"/>
      <c r="C4" s="1153"/>
      <c r="D4" s="1153"/>
      <c r="E4" s="1153"/>
      <c r="F4" s="1153"/>
      <c r="G4" s="1153"/>
      <c r="H4" s="1153"/>
      <c r="I4" s="1153"/>
      <c r="J4" s="1153"/>
      <c r="K4" s="1153"/>
    </row>
    <row r="5" spans="1:15" ht="12.75" customHeight="1" x14ac:dyDescent="0.3">
      <c r="A5" s="295"/>
      <c r="B5" s="296"/>
      <c r="C5" s="296"/>
      <c r="D5" s="296"/>
      <c r="E5" s="296"/>
      <c r="F5" s="296"/>
      <c r="G5" s="296"/>
      <c r="H5" s="34"/>
      <c r="I5" s="34"/>
      <c r="J5" s="34"/>
      <c r="K5" s="34"/>
    </row>
    <row r="6" spans="1:15" ht="32.1" customHeight="1" x14ac:dyDescent="0.3">
      <c r="A6" s="920" t="s">
        <v>103</v>
      </c>
      <c r="B6" s="921">
        <v>2011</v>
      </c>
      <c r="C6" s="921">
        <v>2012</v>
      </c>
      <c r="D6" s="921">
        <v>2013</v>
      </c>
      <c r="E6" s="921">
        <v>2014</v>
      </c>
      <c r="F6" s="921">
        <v>2015</v>
      </c>
      <c r="G6" s="921">
        <v>2016</v>
      </c>
      <c r="H6" s="921">
        <v>2017</v>
      </c>
      <c r="I6" s="921">
        <v>2018</v>
      </c>
      <c r="J6" s="921">
        <v>2019</v>
      </c>
      <c r="K6" s="921">
        <v>2020</v>
      </c>
    </row>
    <row r="7" spans="1:15" ht="3" customHeight="1" x14ac:dyDescent="0.3">
      <c r="A7" s="922"/>
      <c r="B7" s="923"/>
      <c r="C7" s="923"/>
      <c r="D7" s="923"/>
      <c r="E7" s="923"/>
      <c r="F7" s="923"/>
      <c r="G7" s="923"/>
      <c r="H7" s="923"/>
      <c r="I7" s="923"/>
      <c r="J7" s="923"/>
      <c r="K7" s="923"/>
    </row>
    <row r="8" spans="1:15" ht="15.95" customHeight="1" x14ac:dyDescent="0.3">
      <c r="A8" s="924" t="s">
        <v>57</v>
      </c>
      <c r="B8" s="925">
        <v>23316</v>
      </c>
      <c r="C8" s="925">
        <v>23377</v>
      </c>
      <c r="D8" s="925">
        <v>23419</v>
      </c>
      <c r="E8" s="925">
        <v>23506</v>
      </c>
      <c r="F8" s="925">
        <v>23490</v>
      </c>
      <c r="G8" s="925">
        <v>23504</v>
      </c>
      <c r="H8" s="925">
        <v>23689</v>
      </c>
      <c r="I8" s="925">
        <v>23822</v>
      </c>
      <c r="J8" s="925">
        <v>25169</v>
      </c>
      <c r="K8" s="925">
        <v>25464</v>
      </c>
    </row>
    <row r="9" spans="1:15" ht="15.95" customHeight="1" x14ac:dyDescent="0.3">
      <c r="A9" s="589" t="s">
        <v>575</v>
      </c>
      <c r="B9" s="926">
        <v>538</v>
      </c>
      <c r="C9" s="926">
        <v>538</v>
      </c>
      <c r="D9" s="926">
        <v>538</v>
      </c>
      <c r="E9" s="905">
        <v>624</v>
      </c>
      <c r="F9" s="905">
        <v>588</v>
      </c>
      <c r="G9" s="926">
        <v>588</v>
      </c>
      <c r="H9" s="927">
        <v>603</v>
      </c>
      <c r="I9" s="927">
        <v>622</v>
      </c>
      <c r="J9" s="927">
        <v>626</v>
      </c>
      <c r="K9" s="927">
        <v>636</v>
      </c>
    </row>
    <row r="10" spans="1:15" ht="15.95" customHeight="1" x14ac:dyDescent="0.3">
      <c r="A10" s="589" t="s">
        <v>574</v>
      </c>
      <c r="B10" s="926">
        <v>421</v>
      </c>
      <c r="C10" s="926">
        <v>421</v>
      </c>
      <c r="D10" s="926">
        <v>446</v>
      </c>
      <c r="E10" s="905">
        <v>446</v>
      </c>
      <c r="F10" s="928">
        <v>452</v>
      </c>
      <c r="G10" s="928">
        <v>455</v>
      </c>
      <c r="H10" s="928">
        <v>467</v>
      </c>
      <c r="I10" s="928">
        <v>469</v>
      </c>
      <c r="J10" s="928">
        <v>474</v>
      </c>
      <c r="K10" s="928">
        <v>488</v>
      </c>
    </row>
    <row r="11" spans="1:15" ht="15.95" customHeight="1" x14ac:dyDescent="0.3">
      <c r="A11" s="589" t="s">
        <v>573</v>
      </c>
      <c r="B11" s="926">
        <v>1835</v>
      </c>
      <c r="C11" s="926">
        <v>1835</v>
      </c>
      <c r="D11" s="926">
        <v>1847</v>
      </c>
      <c r="E11" s="926">
        <v>1847</v>
      </c>
      <c r="F11" s="926">
        <v>1849</v>
      </c>
      <c r="G11" s="926">
        <v>1852</v>
      </c>
      <c r="H11" s="926">
        <v>1857</v>
      </c>
      <c r="I11" s="926">
        <v>1857</v>
      </c>
      <c r="J11" s="926">
        <v>1857</v>
      </c>
      <c r="K11" s="926">
        <v>1878</v>
      </c>
    </row>
    <row r="12" spans="1:15" ht="15.95" customHeight="1" x14ac:dyDescent="0.3">
      <c r="A12" s="589" t="s">
        <v>572</v>
      </c>
      <c r="B12" s="926">
        <v>512</v>
      </c>
      <c r="C12" s="926">
        <v>519</v>
      </c>
      <c r="D12" s="926">
        <v>524</v>
      </c>
      <c r="E12" s="926">
        <v>525</v>
      </c>
      <c r="F12" s="926">
        <v>537</v>
      </c>
      <c r="G12" s="926">
        <v>545</v>
      </c>
      <c r="H12" s="926">
        <v>551</v>
      </c>
      <c r="I12" s="926">
        <v>559</v>
      </c>
      <c r="J12" s="926">
        <v>559</v>
      </c>
      <c r="K12" s="926">
        <v>569</v>
      </c>
    </row>
    <row r="13" spans="1:15" ht="15.95" customHeight="1" x14ac:dyDescent="0.3">
      <c r="A13" s="589" t="s">
        <v>571</v>
      </c>
      <c r="B13" s="926">
        <v>1010</v>
      </c>
      <c r="C13" s="926">
        <v>1064</v>
      </c>
      <c r="D13" s="926">
        <v>1064</v>
      </c>
      <c r="E13" s="926">
        <v>1064</v>
      </c>
      <c r="F13" s="926">
        <v>1064</v>
      </c>
      <c r="G13" s="926">
        <v>1064</v>
      </c>
      <c r="H13" s="926">
        <v>1064</v>
      </c>
      <c r="I13" s="926">
        <v>1141</v>
      </c>
      <c r="J13" s="926">
        <v>1141</v>
      </c>
      <c r="K13" s="926">
        <v>1141</v>
      </c>
    </row>
    <row r="14" spans="1:15" ht="15.95" customHeight="1" x14ac:dyDescent="0.3">
      <c r="A14" s="589" t="s">
        <v>579</v>
      </c>
      <c r="B14" s="926" t="s">
        <v>578</v>
      </c>
      <c r="C14" s="926" t="s">
        <v>578</v>
      </c>
      <c r="D14" s="926" t="s">
        <v>578</v>
      </c>
      <c r="E14" s="926" t="s">
        <v>578</v>
      </c>
      <c r="F14" s="926" t="s">
        <v>578</v>
      </c>
      <c r="G14" s="926" t="s">
        <v>578</v>
      </c>
      <c r="H14" s="926" t="s">
        <v>578</v>
      </c>
      <c r="I14" s="926" t="s">
        <v>578</v>
      </c>
      <c r="J14" s="926">
        <v>1090</v>
      </c>
      <c r="K14" s="926">
        <v>942</v>
      </c>
    </row>
    <row r="15" spans="1:15" ht="15.95" customHeight="1" x14ac:dyDescent="0.3">
      <c r="A15" s="589" t="s">
        <v>717</v>
      </c>
      <c r="B15" s="926" t="s">
        <v>578</v>
      </c>
      <c r="C15" s="926" t="s">
        <v>578</v>
      </c>
      <c r="D15" s="926" t="s">
        <v>578</v>
      </c>
      <c r="E15" s="926" t="s">
        <v>578</v>
      </c>
      <c r="F15" s="926" t="s">
        <v>578</v>
      </c>
      <c r="G15" s="926" t="s">
        <v>578</v>
      </c>
      <c r="H15" s="926" t="s">
        <v>578</v>
      </c>
      <c r="I15" s="926" t="s">
        <v>578</v>
      </c>
      <c r="J15" s="926" t="s">
        <v>578</v>
      </c>
      <c r="K15" s="926">
        <v>388</v>
      </c>
    </row>
    <row r="16" spans="1:15" ht="15.95" customHeight="1" x14ac:dyDescent="0.3">
      <c r="A16" s="917" t="s">
        <v>570</v>
      </c>
      <c r="B16" s="929">
        <v>19000</v>
      </c>
      <c r="C16" s="929">
        <v>19000</v>
      </c>
      <c r="D16" s="929">
        <v>19000</v>
      </c>
      <c r="E16" s="929">
        <v>19000</v>
      </c>
      <c r="F16" s="929">
        <v>19000</v>
      </c>
      <c r="G16" s="929">
        <v>19000</v>
      </c>
      <c r="H16" s="929">
        <v>19147</v>
      </c>
      <c r="I16" s="929">
        <v>19174</v>
      </c>
      <c r="J16" s="930">
        <v>19422</v>
      </c>
      <c r="K16" s="929">
        <v>19422</v>
      </c>
    </row>
    <row r="17" spans="1:11" ht="12" customHeight="1" x14ac:dyDescent="0.3">
      <c r="A17" s="1154" t="s">
        <v>742</v>
      </c>
      <c r="B17" s="1154"/>
      <c r="C17" s="1154"/>
      <c r="D17" s="1154"/>
      <c r="E17" s="1154"/>
      <c r="F17" s="1154"/>
      <c r="G17" s="1154"/>
      <c r="H17" s="1154"/>
      <c r="I17" s="1154"/>
      <c r="J17" s="1154"/>
      <c r="K17" s="1154"/>
    </row>
    <row r="18" spans="1:11" s="478" customFormat="1" ht="24" customHeight="1" x14ac:dyDescent="0.3">
      <c r="A18" s="1155" t="s">
        <v>743</v>
      </c>
      <c r="B18" s="1155"/>
      <c r="C18" s="1155"/>
      <c r="D18" s="1155"/>
      <c r="E18" s="1155"/>
      <c r="F18" s="1155"/>
      <c r="G18" s="1155"/>
      <c r="H18" s="1155"/>
      <c r="I18" s="1155"/>
      <c r="J18" s="1155"/>
      <c r="K18" s="1155"/>
    </row>
    <row r="19" spans="1:11" ht="12" customHeight="1" x14ac:dyDescent="0.3">
      <c r="A19" s="1152" t="s">
        <v>744</v>
      </c>
      <c r="B19" s="1152"/>
      <c r="C19" s="1152"/>
      <c r="D19" s="1152"/>
      <c r="E19" s="1152"/>
      <c r="F19" s="1152"/>
      <c r="G19" s="1152"/>
      <c r="H19" s="1152"/>
      <c r="I19" s="1152"/>
      <c r="J19" s="1152"/>
      <c r="K19" s="1152"/>
    </row>
    <row r="20" spans="1:11" ht="12" customHeight="1" x14ac:dyDescent="0.3">
      <c r="A20" s="258" t="s">
        <v>531</v>
      </c>
      <c r="B20" s="285"/>
      <c r="C20" s="285"/>
      <c r="D20" s="294"/>
      <c r="E20" s="283"/>
      <c r="F20" s="283"/>
      <c r="G20" s="283"/>
      <c r="H20" s="283"/>
      <c r="I20" s="283"/>
      <c r="J20" s="283"/>
      <c r="K20" s="283"/>
    </row>
    <row r="21" spans="1:11" s="34" customFormat="1" ht="12.75" customHeight="1" x14ac:dyDescent="0.3">
      <c r="B21" s="94"/>
      <c r="C21" s="94"/>
      <c r="D21" s="94"/>
      <c r="E21" s="94"/>
      <c r="F21" s="94"/>
      <c r="G21" s="94"/>
    </row>
    <row r="22" spans="1:11" s="34" customFormat="1" ht="12.75" customHeight="1" x14ac:dyDescent="0.3">
      <c r="A22" s="1070" t="s">
        <v>887</v>
      </c>
      <c r="B22" s="1070"/>
      <c r="C22" s="1070"/>
      <c r="D22" s="1070"/>
      <c r="E22" s="1070"/>
      <c r="F22" s="1070"/>
      <c r="G22" s="1070"/>
      <c r="H22" s="1070"/>
      <c r="I22" s="1070"/>
      <c r="J22" s="1070"/>
      <c r="K22" s="1070"/>
    </row>
    <row r="23" spans="1:11" s="34" customFormat="1" ht="12.75" customHeight="1" x14ac:dyDescent="0.3">
      <c r="A23" s="1071" t="s">
        <v>577</v>
      </c>
      <c r="B23" s="1071"/>
      <c r="C23" s="1071"/>
      <c r="D23" s="1071"/>
      <c r="E23" s="1071"/>
      <c r="F23" s="1071"/>
      <c r="G23" s="1071"/>
      <c r="H23" s="1071"/>
      <c r="I23" s="1071"/>
      <c r="J23" s="1071"/>
      <c r="K23" s="1071"/>
    </row>
    <row r="24" spans="1:11" s="34" customFormat="1" ht="3" customHeight="1" x14ac:dyDescent="0.3">
      <c r="A24" s="95"/>
      <c r="B24" s="96"/>
      <c r="C24" s="96"/>
      <c r="D24" s="96"/>
      <c r="E24" s="96"/>
      <c r="F24" s="96"/>
      <c r="G24" s="96"/>
      <c r="H24" s="96"/>
      <c r="I24" s="96"/>
      <c r="J24" s="96"/>
      <c r="K24" s="96"/>
    </row>
    <row r="25" spans="1:11" s="34" customFormat="1" ht="32.1" customHeight="1" x14ac:dyDescent="0.3">
      <c r="A25" s="931" t="s">
        <v>576</v>
      </c>
      <c r="B25" s="932">
        <v>2011</v>
      </c>
      <c r="C25" s="932">
        <v>2012</v>
      </c>
      <c r="D25" s="932">
        <v>2013</v>
      </c>
      <c r="E25" s="932">
        <v>2014</v>
      </c>
      <c r="F25" s="932">
        <v>2015</v>
      </c>
      <c r="G25" s="932">
        <v>2016</v>
      </c>
      <c r="H25" s="932">
        <v>2017</v>
      </c>
      <c r="I25" s="932">
        <v>2018</v>
      </c>
      <c r="J25" s="932">
        <v>2019</v>
      </c>
      <c r="K25" s="932">
        <v>2020</v>
      </c>
    </row>
    <row r="26" spans="1:11" s="34" customFormat="1" ht="12.75" hidden="1" customHeight="1" x14ac:dyDescent="0.3">
      <c r="A26" s="933"/>
      <c r="B26" s="934"/>
      <c r="C26" s="934"/>
      <c r="D26" s="934"/>
      <c r="E26" s="934"/>
      <c r="F26" s="934"/>
      <c r="G26" s="934"/>
      <c r="H26" s="934"/>
      <c r="I26" s="934"/>
      <c r="J26" s="934"/>
      <c r="K26" s="934"/>
    </row>
    <row r="27" spans="1:11" s="34" customFormat="1" ht="15.95" customHeight="1" x14ac:dyDescent="0.3">
      <c r="A27" s="935" t="s">
        <v>57</v>
      </c>
      <c r="B27" s="936">
        <v>6051</v>
      </c>
      <c r="C27" s="936">
        <v>6051</v>
      </c>
      <c r="D27" s="936">
        <v>6053</v>
      </c>
      <c r="E27" s="936">
        <v>6078</v>
      </c>
      <c r="F27" s="936">
        <v>6174</v>
      </c>
      <c r="G27" s="936">
        <v>6178</v>
      </c>
      <c r="H27" s="936">
        <v>8315</v>
      </c>
      <c r="I27" s="936">
        <v>8314</v>
      </c>
      <c r="J27" s="936">
        <v>8567</v>
      </c>
      <c r="K27" s="936">
        <v>8586</v>
      </c>
    </row>
    <row r="28" spans="1:11" s="34" customFormat="1" ht="15.95" customHeight="1" x14ac:dyDescent="0.3">
      <c r="A28" s="883" t="s">
        <v>575</v>
      </c>
      <c r="B28" s="888">
        <v>187</v>
      </c>
      <c r="C28" s="888">
        <v>187</v>
      </c>
      <c r="D28" s="888">
        <v>187</v>
      </c>
      <c r="E28" s="888">
        <v>187</v>
      </c>
      <c r="F28" s="888">
        <v>278</v>
      </c>
      <c r="G28" s="888">
        <v>278</v>
      </c>
      <c r="H28" s="888">
        <v>330</v>
      </c>
      <c r="I28" s="888">
        <v>330</v>
      </c>
      <c r="J28" s="888">
        <v>330</v>
      </c>
      <c r="K28" s="888">
        <v>330</v>
      </c>
    </row>
    <row r="29" spans="1:11" s="34" customFormat="1" ht="15.95" customHeight="1" x14ac:dyDescent="0.3">
      <c r="A29" s="883" t="s">
        <v>574</v>
      </c>
      <c r="B29" s="888">
        <v>113</v>
      </c>
      <c r="C29" s="888">
        <v>113</v>
      </c>
      <c r="D29" s="888">
        <v>113</v>
      </c>
      <c r="E29" s="888">
        <v>131</v>
      </c>
      <c r="F29" s="888">
        <v>135</v>
      </c>
      <c r="G29" s="888">
        <v>137</v>
      </c>
      <c r="H29" s="888">
        <v>137</v>
      </c>
      <c r="I29" s="888">
        <v>137</v>
      </c>
      <c r="J29" s="888">
        <v>137</v>
      </c>
      <c r="K29" s="888">
        <v>151</v>
      </c>
    </row>
    <row r="30" spans="1:11" s="34" customFormat="1" ht="15.95" customHeight="1" x14ac:dyDescent="0.3">
      <c r="A30" s="883" t="s">
        <v>573</v>
      </c>
      <c r="B30" s="888">
        <v>103</v>
      </c>
      <c r="C30" s="888">
        <v>103</v>
      </c>
      <c r="D30" s="888">
        <v>104</v>
      </c>
      <c r="E30" s="888">
        <v>105</v>
      </c>
      <c r="F30" s="888">
        <v>105</v>
      </c>
      <c r="G30" s="888">
        <v>105</v>
      </c>
      <c r="H30" s="888">
        <v>108</v>
      </c>
      <c r="I30" s="888">
        <v>106</v>
      </c>
      <c r="J30" s="888">
        <v>106</v>
      </c>
      <c r="K30" s="888">
        <v>110</v>
      </c>
    </row>
    <row r="31" spans="1:11" s="34" customFormat="1" ht="15.95" customHeight="1" x14ac:dyDescent="0.3">
      <c r="A31" s="883" t="s">
        <v>572</v>
      </c>
      <c r="B31" s="888">
        <v>69</v>
      </c>
      <c r="C31" s="888">
        <v>69</v>
      </c>
      <c r="D31" s="888">
        <v>70</v>
      </c>
      <c r="E31" s="888">
        <v>76</v>
      </c>
      <c r="F31" s="888">
        <v>77</v>
      </c>
      <c r="G31" s="888">
        <v>79</v>
      </c>
      <c r="H31" s="888">
        <v>80</v>
      </c>
      <c r="I31" s="888">
        <v>81</v>
      </c>
      <c r="J31" s="888">
        <v>81</v>
      </c>
      <c r="K31" s="888">
        <v>82</v>
      </c>
    </row>
    <row r="32" spans="1:11" s="34" customFormat="1" ht="15.95" customHeight="1" x14ac:dyDescent="0.3">
      <c r="A32" s="883" t="s">
        <v>571</v>
      </c>
      <c r="B32" s="888">
        <v>70</v>
      </c>
      <c r="C32" s="888">
        <v>70</v>
      </c>
      <c r="D32" s="888">
        <v>70</v>
      </c>
      <c r="E32" s="888">
        <v>70</v>
      </c>
      <c r="F32" s="888">
        <v>70</v>
      </c>
      <c r="G32" s="888">
        <v>70</v>
      </c>
      <c r="H32" s="888">
        <v>70</v>
      </c>
      <c r="I32" s="888">
        <v>70</v>
      </c>
      <c r="J32" s="888">
        <v>75</v>
      </c>
      <c r="K32" s="888">
        <v>75</v>
      </c>
    </row>
    <row r="33" spans="1:11" s="34" customFormat="1" ht="15.95" customHeight="1" x14ac:dyDescent="0.3">
      <c r="A33" s="885" t="s">
        <v>570</v>
      </c>
      <c r="B33" s="880">
        <v>5509</v>
      </c>
      <c r="C33" s="880">
        <v>5509</v>
      </c>
      <c r="D33" s="880">
        <v>5509</v>
      </c>
      <c r="E33" s="880">
        <v>5509</v>
      </c>
      <c r="F33" s="880">
        <v>5509</v>
      </c>
      <c r="G33" s="880">
        <v>5509</v>
      </c>
      <c r="H33" s="880">
        <v>7590</v>
      </c>
      <c r="I33" s="880">
        <v>7590</v>
      </c>
      <c r="J33" s="880">
        <v>7838</v>
      </c>
      <c r="K33" s="880">
        <v>7838</v>
      </c>
    </row>
    <row r="34" spans="1:11" ht="24" customHeight="1" x14ac:dyDescent="0.3">
      <c r="A34" s="1151" t="s">
        <v>745</v>
      </c>
      <c r="B34" s="1151"/>
      <c r="C34" s="1151"/>
      <c r="D34" s="1151"/>
      <c r="E34" s="1151"/>
      <c r="F34" s="1151"/>
      <c r="G34" s="1151"/>
      <c r="H34" s="1151"/>
      <c r="I34" s="1151"/>
      <c r="J34" s="1151"/>
      <c r="K34" s="1151"/>
    </row>
    <row r="35" spans="1:11" ht="24" customHeight="1" x14ac:dyDescent="0.3">
      <c r="A35" s="1152" t="s">
        <v>746</v>
      </c>
      <c r="B35" s="1152"/>
      <c r="C35" s="1152"/>
      <c r="D35" s="1152"/>
      <c r="E35" s="1152"/>
      <c r="F35" s="1152"/>
      <c r="G35" s="1152"/>
      <c r="H35" s="1152"/>
      <c r="I35" s="1152"/>
      <c r="J35" s="1152"/>
      <c r="K35" s="1152"/>
    </row>
    <row r="36" spans="1:11" ht="12" customHeight="1" x14ac:dyDescent="0.3">
      <c r="A36" s="258" t="s">
        <v>531</v>
      </c>
      <c r="B36" s="283"/>
      <c r="C36" s="283"/>
      <c r="D36" s="283"/>
      <c r="E36" s="283"/>
      <c r="F36" s="283"/>
      <c r="G36" s="283"/>
      <c r="H36" s="283"/>
      <c r="I36" s="283"/>
      <c r="J36" s="283"/>
      <c r="K36" s="283"/>
    </row>
  </sheetData>
  <mergeCells count="9">
    <mergeCell ref="A34:K34"/>
    <mergeCell ref="A35:K35"/>
    <mergeCell ref="A3:K3"/>
    <mergeCell ref="A4:K4"/>
    <mergeCell ref="A23:K23"/>
    <mergeCell ref="A22:K22"/>
    <mergeCell ref="A17:K17"/>
    <mergeCell ref="A18:K18"/>
    <mergeCell ref="A19:K19"/>
  </mergeCells>
  <hyperlinks>
    <hyperlink ref="C13" r:id="rId1" display="http://museohn.unmsm.edu.pe/docs/pub_ictio/Ortega_et_al.2012Lista_Peces_Aguas_Cont.Peru.pdf"/>
    <hyperlink ref="C11" r:id="rId2" display="https://sites.google.com/site/boletinunop/checklist"/>
    <hyperlink ref="B13" r:id="rId3" display="http://museohn.unmsm.edu.pe/docs/pub_ictio/BIV00464.pdf"/>
    <hyperlink ref="B33:G33" r:id="rId4" display="http://www.scielo.org.pe/pdf/rpb/v13n2/v13n02a004"/>
    <hyperlink ref="H29" r:id="rId5" display="http://reptile-database.reptarium.cz/advanced_search?location=peru&amp;submit=Search"/>
  </hyperlinks>
  <printOptions horizontalCentered="1"/>
  <pageMargins left="0.70866141732283472" right="0.70866141732283472" top="0.74803149606299213" bottom="0.74803149606299213" header="0.31496062992125984" footer="0.31496062992125984"/>
  <pageSetup paperSize="9" orientation="landscape" horizontalDpi="4294967293" verticalDpi="4294967293" r:id="rId6"/>
  <rowBreaks count="1" manualBreakCount="1">
    <brk id="20" max="11"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M17"/>
  <sheetViews>
    <sheetView showGridLines="0" zoomScaleNormal="100" zoomScaleSheetLayoutView="100" workbookViewId="0">
      <selection activeCell="A4" sqref="A4:M17"/>
    </sheetView>
  </sheetViews>
  <sheetFormatPr baseColWidth="10" defaultColWidth="11.28515625" defaultRowHeight="12.75" customHeight="1" x14ac:dyDescent="0.3"/>
  <cols>
    <col min="1" max="1" width="21.140625" style="39" customWidth="1"/>
    <col min="2" max="2" width="7.28515625" style="39" customWidth="1"/>
    <col min="3" max="3" width="9.5703125" style="39" customWidth="1"/>
    <col min="4" max="4" width="9.42578125" style="39" customWidth="1"/>
    <col min="5" max="5" width="6" style="39" customWidth="1"/>
    <col min="6" max="6" width="10.5703125" style="39" customWidth="1"/>
    <col min="7" max="7" width="1.7109375" style="39" customWidth="1"/>
    <col min="8" max="8" width="7.28515625" style="39" customWidth="1"/>
    <col min="9" max="9" width="14.42578125" style="39" customWidth="1"/>
    <col min="10" max="10" width="9.5703125" style="39" customWidth="1"/>
    <col min="11" max="11" width="9.42578125" style="39" customWidth="1"/>
    <col min="12" max="12" width="6" style="39" customWidth="1"/>
    <col min="13" max="13" width="10.5703125" style="39" customWidth="1"/>
    <col min="14" max="16384" width="11.28515625" style="39"/>
  </cols>
  <sheetData>
    <row r="1" spans="1:13" s="31" customFormat="1" ht="12.75" customHeight="1" x14ac:dyDescent="0.25">
      <c r="A1" s="1159" t="s">
        <v>884</v>
      </c>
      <c r="B1" s="1159"/>
      <c r="C1" s="1159"/>
      <c r="D1" s="1159"/>
      <c r="E1" s="1159"/>
      <c r="F1" s="1159"/>
      <c r="G1" s="1159"/>
      <c r="H1" s="1159"/>
      <c r="I1" s="1159"/>
      <c r="J1" s="1159"/>
      <c r="K1" s="1159"/>
      <c r="L1" s="1159"/>
      <c r="M1" s="1159"/>
    </row>
    <row r="2" spans="1:13" s="31" customFormat="1" ht="12.75" customHeight="1" x14ac:dyDescent="0.25">
      <c r="A2" s="1140" t="s">
        <v>589</v>
      </c>
      <c r="B2" s="1140"/>
      <c r="C2" s="1140"/>
      <c r="D2" s="1140"/>
      <c r="E2" s="1140"/>
      <c r="F2" s="1140"/>
      <c r="G2" s="1140"/>
      <c r="H2" s="1140"/>
      <c r="I2" s="1140"/>
      <c r="J2" s="1140"/>
      <c r="K2" s="1140"/>
      <c r="L2" s="1140"/>
      <c r="M2" s="1140"/>
    </row>
    <row r="3" spans="1:13" ht="12.75" customHeight="1" x14ac:dyDescent="0.3">
      <c r="A3" s="91"/>
      <c r="B3" s="91"/>
      <c r="C3" s="92"/>
      <c r="D3" s="92"/>
      <c r="E3" s="92"/>
      <c r="F3" s="92"/>
    </row>
    <row r="4" spans="1:13" ht="19.5" customHeight="1" x14ac:dyDescent="0.3">
      <c r="A4" s="1160" t="s">
        <v>103</v>
      </c>
      <c r="B4" s="1162" t="s">
        <v>908</v>
      </c>
      <c r="C4" s="1162"/>
      <c r="D4" s="1162"/>
      <c r="E4" s="1162"/>
      <c r="F4" s="1162"/>
      <c r="G4" s="945"/>
      <c r="H4" s="1163" t="s">
        <v>909</v>
      </c>
      <c r="I4" s="1163"/>
      <c r="J4" s="1163"/>
      <c r="K4" s="1163"/>
      <c r="L4" s="1163"/>
      <c r="M4" s="1163"/>
    </row>
    <row r="5" spans="1:13" ht="19.5" customHeight="1" x14ac:dyDescent="0.3">
      <c r="A5" s="1161"/>
      <c r="B5" s="943" t="s">
        <v>57</v>
      </c>
      <c r="C5" s="943" t="s">
        <v>575</v>
      </c>
      <c r="D5" s="943" t="s">
        <v>574</v>
      </c>
      <c r="E5" s="943" t="s">
        <v>573</v>
      </c>
      <c r="F5" s="943" t="s">
        <v>572</v>
      </c>
      <c r="G5" s="944"/>
      <c r="H5" s="903" t="s">
        <v>57</v>
      </c>
      <c r="I5" s="903" t="s">
        <v>588</v>
      </c>
      <c r="J5" s="903" t="s">
        <v>575</v>
      </c>
      <c r="K5" s="903" t="s">
        <v>574</v>
      </c>
      <c r="L5" s="903" t="s">
        <v>573</v>
      </c>
      <c r="M5" s="903" t="s">
        <v>572</v>
      </c>
    </row>
    <row r="6" spans="1:13" ht="12.75" hidden="1" customHeight="1" x14ac:dyDescent="0.3">
      <c r="A6" s="865"/>
      <c r="B6" s="946"/>
      <c r="C6" s="946"/>
      <c r="D6" s="946"/>
      <c r="E6" s="946"/>
      <c r="F6" s="946"/>
      <c r="G6" s="946"/>
      <c r="H6" s="946"/>
      <c r="I6" s="946"/>
      <c r="J6" s="946"/>
      <c r="K6" s="946"/>
      <c r="L6" s="946"/>
      <c r="M6" s="946"/>
    </row>
    <row r="7" spans="1:13" ht="15.95" customHeight="1" x14ac:dyDescent="0.3">
      <c r="A7" s="937" t="s">
        <v>57</v>
      </c>
      <c r="B7" s="947">
        <v>301</v>
      </c>
      <c r="C7" s="948">
        <v>38</v>
      </c>
      <c r="D7" s="948">
        <v>26</v>
      </c>
      <c r="E7" s="948">
        <v>172</v>
      </c>
      <c r="F7" s="948">
        <v>65</v>
      </c>
      <c r="G7" s="949"/>
      <c r="H7" s="950">
        <v>535</v>
      </c>
      <c r="I7" s="950">
        <v>23</v>
      </c>
      <c r="J7" s="950">
        <v>146</v>
      </c>
      <c r="K7" s="950">
        <v>52</v>
      </c>
      <c r="L7" s="950">
        <v>190</v>
      </c>
      <c r="M7" s="950">
        <v>124</v>
      </c>
    </row>
    <row r="8" spans="1:13" ht="15.95" customHeight="1" x14ac:dyDescent="0.3">
      <c r="A8" s="938" t="s">
        <v>587</v>
      </c>
      <c r="B8" s="951">
        <v>23</v>
      </c>
      <c r="C8" s="952">
        <v>2</v>
      </c>
      <c r="D8" s="952">
        <v>4</v>
      </c>
      <c r="E8" s="952">
        <v>12</v>
      </c>
      <c r="F8" s="952">
        <v>5</v>
      </c>
      <c r="G8" s="838"/>
      <c r="H8" s="953">
        <v>64</v>
      </c>
      <c r="I8" s="953">
        <v>2</v>
      </c>
      <c r="J8" s="953">
        <v>33</v>
      </c>
      <c r="K8" s="953">
        <v>4</v>
      </c>
      <c r="L8" s="953">
        <v>15</v>
      </c>
      <c r="M8" s="953">
        <v>10</v>
      </c>
    </row>
    <row r="9" spans="1:13" ht="15.95" customHeight="1" x14ac:dyDescent="0.3">
      <c r="A9" s="938" t="s">
        <v>586</v>
      </c>
      <c r="B9" s="951">
        <v>71</v>
      </c>
      <c r="C9" s="952">
        <v>8</v>
      </c>
      <c r="D9" s="952">
        <v>10</v>
      </c>
      <c r="E9" s="952">
        <v>35</v>
      </c>
      <c r="F9" s="952">
        <v>18</v>
      </c>
      <c r="G9" s="838"/>
      <c r="H9" s="954">
        <v>122</v>
      </c>
      <c r="I9" s="953">
        <v>7</v>
      </c>
      <c r="J9" s="953">
        <v>42</v>
      </c>
      <c r="K9" s="953">
        <v>12</v>
      </c>
      <c r="L9" s="953">
        <v>29</v>
      </c>
      <c r="M9" s="953">
        <v>32</v>
      </c>
    </row>
    <row r="10" spans="1:13" ht="15.95" customHeight="1" x14ac:dyDescent="0.3">
      <c r="A10" s="938" t="s">
        <v>585</v>
      </c>
      <c r="B10" s="951">
        <v>116</v>
      </c>
      <c r="C10" s="952">
        <v>9</v>
      </c>
      <c r="D10" s="952">
        <v>9</v>
      </c>
      <c r="E10" s="952">
        <v>61</v>
      </c>
      <c r="F10" s="952">
        <v>37</v>
      </c>
      <c r="G10" s="838"/>
      <c r="H10" s="954">
        <v>203</v>
      </c>
      <c r="I10" s="953">
        <v>14</v>
      </c>
      <c r="J10" s="953">
        <v>45</v>
      </c>
      <c r="K10" s="953">
        <v>16</v>
      </c>
      <c r="L10" s="953">
        <v>78</v>
      </c>
      <c r="M10" s="953">
        <v>50</v>
      </c>
    </row>
    <row r="11" spans="1:13" ht="15.95" customHeight="1" x14ac:dyDescent="0.3">
      <c r="A11" s="938" t="s">
        <v>584</v>
      </c>
      <c r="B11" s="951">
        <v>91</v>
      </c>
      <c r="C11" s="952">
        <v>19</v>
      </c>
      <c r="D11" s="952">
        <v>3</v>
      </c>
      <c r="E11" s="952">
        <v>64</v>
      </c>
      <c r="F11" s="952">
        <v>5</v>
      </c>
      <c r="G11" s="838"/>
      <c r="H11" s="953">
        <v>103</v>
      </c>
      <c r="I11" s="953" t="s">
        <v>47</v>
      </c>
      <c r="J11" s="953">
        <v>14</v>
      </c>
      <c r="K11" s="953">
        <v>7</v>
      </c>
      <c r="L11" s="953">
        <v>68</v>
      </c>
      <c r="M11" s="953">
        <v>14</v>
      </c>
    </row>
    <row r="12" spans="1:13" ht="15.95" customHeight="1" x14ac:dyDescent="0.3">
      <c r="A12" s="939" t="s">
        <v>583</v>
      </c>
      <c r="B12" s="940" t="s">
        <v>47</v>
      </c>
      <c r="C12" s="941" t="s">
        <v>47</v>
      </c>
      <c r="D12" s="941" t="s">
        <v>47</v>
      </c>
      <c r="E12" s="941" t="s">
        <v>47</v>
      </c>
      <c r="F12" s="941" t="s">
        <v>47</v>
      </c>
      <c r="G12" s="826"/>
      <c r="H12" s="942">
        <v>43</v>
      </c>
      <c r="I12" s="942" t="s">
        <v>47</v>
      </c>
      <c r="J12" s="942">
        <v>12</v>
      </c>
      <c r="K12" s="942">
        <v>13</v>
      </c>
      <c r="L12" s="942" t="s">
        <v>47</v>
      </c>
      <c r="M12" s="942">
        <v>18</v>
      </c>
    </row>
    <row r="13" spans="1:13" s="283" customFormat="1" ht="56.25" customHeight="1" x14ac:dyDescent="0.25">
      <c r="A13" s="1156" t="s">
        <v>747</v>
      </c>
      <c r="B13" s="1156"/>
      <c r="C13" s="1156"/>
      <c r="D13" s="1156"/>
      <c r="E13" s="1156"/>
      <c r="F13" s="1156"/>
      <c r="G13" s="1156"/>
      <c r="H13" s="1156"/>
      <c r="I13" s="1156"/>
      <c r="J13" s="1156"/>
      <c r="K13" s="1156"/>
      <c r="L13" s="1156"/>
      <c r="M13" s="1156"/>
    </row>
    <row r="14" spans="1:13" s="283" customFormat="1" ht="12" customHeight="1" x14ac:dyDescent="0.25">
      <c r="A14" s="1157" t="s">
        <v>748</v>
      </c>
      <c r="B14" s="1157"/>
      <c r="C14" s="1157"/>
      <c r="D14" s="1157"/>
      <c r="E14" s="1157"/>
      <c r="F14" s="1157"/>
      <c r="G14" s="1157"/>
      <c r="H14" s="1157"/>
      <c r="I14" s="1157"/>
      <c r="J14" s="1157"/>
      <c r="K14" s="1157"/>
      <c r="L14" s="1157"/>
      <c r="M14" s="1157"/>
    </row>
    <row r="15" spans="1:13" s="283" customFormat="1" ht="24" customHeight="1" x14ac:dyDescent="0.25">
      <c r="A15" s="1158" t="s">
        <v>749</v>
      </c>
      <c r="B15" s="1158"/>
      <c r="C15" s="1158"/>
      <c r="D15" s="1158"/>
      <c r="E15" s="1158"/>
      <c r="F15" s="1158"/>
      <c r="G15" s="1158"/>
      <c r="H15" s="1158"/>
      <c r="I15" s="1158"/>
      <c r="J15" s="1158"/>
      <c r="K15" s="1158"/>
      <c r="L15" s="1158"/>
      <c r="M15" s="1158"/>
    </row>
    <row r="16" spans="1:13" s="283" customFormat="1" ht="12" customHeight="1" x14ac:dyDescent="0.25">
      <c r="A16" s="297" t="s">
        <v>582</v>
      </c>
      <c r="B16" s="298"/>
      <c r="C16" s="298"/>
      <c r="D16" s="299"/>
      <c r="E16" s="299"/>
      <c r="F16" s="19"/>
      <c r="G16" s="19"/>
      <c r="H16" s="19"/>
      <c r="I16" s="19"/>
      <c r="J16" s="19"/>
      <c r="K16" s="19"/>
      <c r="L16" s="19"/>
      <c r="M16" s="19"/>
    </row>
    <row r="17" spans="1:13" s="283" customFormat="1" ht="12" customHeight="1" x14ac:dyDescent="0.25">
      <c r="A17" s="300" t="s">
        <v>910</v>
      </c>
      <c r="B17" s="15"/>
      <c r="C17" s="15"/>
      <c r="D17" s="15"/>
      <c r="E17" s="15"/>
      <c r="F17" s="15"/>
      <c r="G17" s="15"/>
      <c r="H17" s="15"/>
      <c r="I17" s="15"/>
      <c r="J17" s="15"/>
      <c r="K17" s="15"/>
      <c r="L17" s="15"/>
      <c r="M17" s="15"/>
    </row>
  </sheetData>
  <mergeCells count="8">
    <mergeCell ref="A13:M13"/>
    <mergeCell ref="A14:M14"/>
    <mergeCell ref="A15:M15"/>
    <mergeCell ref="A1:M1"/>
    <mergeCell ref="A2:M2"/>
    <mergeCell ref="A4:A5"/>
    <mergeCell ref="B4:F4"/>
    <mergeCell ref="H4:M4"/>
  </mergeCells>
  <printOptions horizontalCentered="1"/>
  <pageMargins left="0.82677165354330717" right="0.43307086614173229" top="0.74803149606299213" bottom="0.74803149606299213" header="0.31496062992125984" footer="0.31496062992125984"/>
  <pageSetup paperSize="9" scale="67"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N15"/>
  <sheetViews>
    <sheetView showGridLines="0" zoomScaleNormal="100" zoomScaleSheetLayoutView="100" workbookViewId="0">
      <selection activeCell="A3" sqref="A3:N13"/>
    </sheetView>
  </sheetViews>
  <sheetFormatPr baseColWidth="10" defaultRowHeight="12.75" customHeight="1" x14ac:dyDescent="0.3"/>
  <cols>
    <col min="1" max="1" width="36" style="88" customWidth="1"/>
    <col min="2" max="4" width="8.7109375" style="89" customWidth="1"/>
    <col min="5" max="5" width="11.5703125" style="89" customWidth="1"/>
    <col min="6" max="6" width="1.7109375" style="89" customWidth="1"/>
    <col min="7" max="7" width="8.7109375" style="89" customWidth="1"/>
    <col min="8" max="8" width="1.7109375" style="89" customWidth="1"/>
    <col min="9" max="9" width="8.7109375" style="89" customWidth="1"/>
    <col min="10" max="10" width="1.7109375" style="89" customWidth="1"/>
    <col min="11" max="11" width="8.7109375" style="89" customWidth="1"/>
    <col min="12" max="12" width="1.7109375" style="89" customWidth="1"/>
    <col min="13" max="13" width="11.5703125" style="89" customWidth="1"/>
    <col min="14" max="14" width="1.7109375" style="89" customWidth="1"/>
    <col min="15" max="244" width="11.7109375" style="88"/>
    <col min="245" max="245" width="12.28515625" style="88" customWidth="1"/>
    <col min="246" max="246" width="0" style="88" hidden="1" customWidth="1"/>
    <col min="247" max="247" width="0.7109375" style="88" customWidth="1"/>
    <col min="248" max="248" width="6.7109375" style="88" customWidth="1"/>
    <col min="249" max="249" width="4" style="88" customWidth="1"/>
    <col min="250" max="250" width="0.28515625" style="88" customWidth="1"/>
    <col min="251" max="252" width="4.7109375" style="88" customWidth="1"/>
    <col min="253" max="253" width="0.7109375" style="88" customWidth="1"/>
    <col min="254" max="254" width="6.28515625" style="88" customWidth="1"/>
    <col min="255" max="255" width="1.7109375" style="88" customWidth="1"/>
    <col min="256" max="256" width="4" style="88" customWidth="1"/>
    <col min="257" max="257" width="1.7109375" style="88" customWidth="1"/>
    <col min="258" max="258" width="5.28515625" style="88" customWidth="1"/>
    <col min="259" max="259" width="1.7109375" style="88" customWidth="1"/>
    <col min="260" max="260" width="5" style="88" customWidth="1"/>
    <col min="261" max="261" width="1.7109375" style="88" customWidth="1"/>
    <col min="262" max="500" width="11.7109375" style="88"/>
    <col min="501" max="501" width="12.28515625" style="88" customWidth="1"/>
    <col min="502" max="502" width="0" style="88" hidden="1" customWidth="1"/>
    <col min="503" max="503" width="0.7109375" style="88" customWidth="1"/>
    <col min="504" max="504" width="6.7109375" style="88" customWidth="1"/>
    <col min="505" max="505" width="4" style="88" customWidth="1"/>
    <col min="506" max="506" width="0.28515625" style="88" customWidth="1"/>
    <col min="507" max="508" width="4.7109375" style="88" customWidth="1"/>
    <col min="509" max="509" width="0.7109375" style="88" customWidth="1"/>
    <col min="510" max="510" width="6.28515625" style="88" customWidth="1"/>
    <col min="511" max="511" width="1.7109375" style="88" customWidth="1"/>
    <col min="512" max="512" width="4" style="88" customWidth="1"/>
    <col min="513" max="513" width="1.7109375" style="88" customWidth="1"/>
    <col min="514" max="514" width="5.28515625" style="88" customWidth="1"/>
    <col min="515" max="515" width="1.7109375" style="88" customWidth="1"/>
    <col min="516" max="516" width="5" style="88" customWidth="1"/>
    <col min="517" max="517" width="1.7109375" style="88" customWidth="1"/>
    <col min="518" max="756" width="11.7109375" style="88"/>
    <col min="757" max="757" width="12.28515625" style="88" customWidth="1"/>
    <col min="758" max="758" width="0" style="88" hidden="1" customWidth="1"/>
    <col min="759" max="759" width="0.7109375" style="88" customWidth="1"/>
    <col min="760" max="760" width="6.7109375" style="88" customWidth="1"/>
    <col min="761" max="761" width="4" style="88" customWidth="1"/>
    <col min="762" max="762" width="0.28515625" style="88" customWidth="1"/>
    <col min="763" max="764" width="4.7109375" style="88" customWidth="1"/>
    <col min="765" max="765" width="0.7109375" style="88" customWidth="1"/>
    <col min="766" max="766" width="6.28515625" style="88" customWidth="1"/>
    <col min="767" max="767" width="1.7109375" style="88" customWidth="1"/>
    <col min="768" max="768" width="4" style="88" customWidth="1"/>
    <col min="769" max="769" width="1.7109375" style="88" customWidth="1"/>
    <col min="770" max="770" width="5.28515625" style="88" customWidth="1"/>
    <col min="771" max="771" width="1.7109375" style="88" customWidth="1"/>
    <col min="772" max="772" width="5" style="88" customWidth="1"/>
    <col min="773" max="773" width="1.7109375" style="88" customWidth="1"/>
    <col min="774" max="1012" width="11.7109375" style="88"/>
    <col min="1013" max="1013" width="12.28515625" style="88" customWidth="1"/>
    <col min="1014" max="1014" width="0" style="88" hidden="1" customWidth="1"/>
    <col min="1015" max="1015" width="0.7109375" style="88" customWidth="1"/>
    <col min="1016" max="1016" width="6.7109375" style="88" customWidth="1"/>
    <col min="1017" max="1017" width="4" style="88" customWidth="1"/>
    <col min="1018" max="1018" width="0.28515625" style="88" customWidth="1"/>
    <col min="1019" max="1020" width="4.7109375" style="88" customWidth="1"/>
    <col min="1021" max="1021" width="0.7109375" style="88" customWidth="1"/>
    <col min="1022" max="1022" width="6.28515625" style="88" customWidth="1"/>
    <col min="1023" max="1023" width="1.7109375" style="88" customWidth="1"/>
    <col min="1024" max="1024" width="4" style="88" customWidth="1"/>
    <col min="1025" max="1025" width="1.7109375" style="88" customWidth="1"/>
    <col min="1026" max="1026" width="5.28515625" style="88" customWidth="1"/>
    <col min="1027" max="1027" width="1.7109375" style="88" customWidth="1"/>
    <col min="1028" max="1028" width="5" style="88" customWidth="1"/>
    <col min="1029" max="1029" width="1.7109375" style="88" customWidth="1"/>
    <col min="1030" max="1268" width="11.7109375" style="88"/>
    <col min="1269" max="1269" width="12.28515625" style="88" customWidth="1"/>
    <col min="1270" max="1270" width="0" style="88" hidden="1" customWidth="1"/>
    <col min="1271" max="1271" width="0.7109375" style="88" customWidth="1"/>
    <col min="1272" max="1272" width="6.7109375" style="88" customWidth="1"/>
    <col min="1273" max="1273" width="4" style="88" customWidth="1"/>
    <col min="1274" max="1274" width="0.28515625" style="88" customWidth="1"/>
    <col min="1275" max="1276" width="4.7109375" style="88" customWidth="1"/>
    <col min="1277" max="1277" width="0.7109375" style="88" customWidth="1"/>
    <col min="1278" max="1278" width="6.28515625" style="88" customWidth="1"/>
    <col min="1279" max="1279" width="1.7109375" style="88" customWidth="1"/>
    <col min="1280" max="1280" width="4" style="88" customWidth="1"/>
    <col min="1281" max="1281" width="1.7109375" style="88" customWidth="1"/>
    <col min="1282" max="1282" width="5.28515625" style="88" customWidth="1"/>
    <col min="1283" max="1283" width="1.7109375" style="88" customWidth="1"/>
    <col min="1284" max="1284" width="5" style="88" customWidth="1"/>
    <col min="1285" max="1285" width="1.7109375" style="88" customWidth="1"/>
    <col min="1286" max="1524" width="11.7109375" style="88"/>
    <col min="1525" max="1525" width="12.28515625" style="88" customWidth="1"/>
    <col min="1526" max="1526" width="0" style="88" hidden="1" customWidth="1"/>
    <col min="1527" max="1527" width="0.7109375" style="88" customWidth="1"/>
    <col min="1528" max="1528" width="6.7109375" style="88" customWidth="1"/>
    <col min="1529" max="1529" width="4" style="88" customWidth="1"/>
    <col min="1530" max="1530" width="0.28515625" style="88" customWidth="1"/>
    <col min="1531" max="1532" width="4.7109375" style="88" customWidth="1"/>
    <col min="1533" max="1533" width="0.7109375" style="88" customWidth="1"/>
    <col min="1534" max="1534" width="6.28515625" style="88" customWidth="1"/>
    <col min="1535" max="1535" width="1.7109375" style="88" customWidth="1"/>
    <col min="1536" max="1536" width="4" style="88" customWidth="1"/>
    <col min="1537" max="1537" width="1.7109375" style="88" customWidth="1"/>
    <col min="1538" max="1538" width="5.28515625" style="88" customWidth="1"/>
    <col min="1539" max="1539" width="1.7109375" style="88" customWidth="1"/>
    <col min="1540" max="1540" width="5" style="88" customWidth="1"/>
    <col min="1541" max="1541" width="1.7109375" style="88" customWidth="1"/>
    <col min="1542" max="1780" width="11.7109375" style="88"/>
    <col min="1781" max="1781" width="12.28515625" style="88" customWidth="1"/>
    <col min="1782" max="1782" width="0" style="88" hidden="1" customWidth="1"/>
    <col min="1783" max="1783" width="0.7109375" style="88" customWidth="1"/>
    <col min="1784" max="1784" width="6.7109375" style="88" customWidth="1"/>
    <col min="1785" max="1785" width="4" style="88" customWidth="1"/>
    <col min="1786" max="1786" width="0.28515625" style="88" customWidth="1"/>
    <col min="1787" max="1788" width="4.7109375" style="88" customWidth="1"/>
    <col min="1789" max="1789" width="0.7109375" style="88" customWidth="1"/>
    <col min="1790" max="1790" width="6.28515625" style="88" customWidth="1"/>
    <col min="1791" max="1791" width="1.7109375" style="88" customWidth="1"/>
    <col min="1792" max="1792" width="4" style="88" customWidth="1"/>
    <col min="1793" max="1793" width="1.7109375" style="88" customWidth="1"/>
    <col min="1794" max="1794" width="5.28515625" style="88" customWidth="1"/>
    <col min="1795" max="1795" width="1.7109375" style="88" customWidth="1"/>
    <col min="1796" max="1796" width="5" style="88" customWidth="1"/>
    <col min="1797" max="1797" width="1.7109375" style="88" customWidth="1"/>
    <col min="1798" max="2036" width="11.7109375" style="88"/>
    <col min="2037" max="2037" width="12.28515625" style="88" customWidth="1"/>
    <col min="2038" max="2038" width="0" style="88" hidden="1" customWidth="1"/>
    <col min="2039" max="2039" width="0.7109375" style="88" customWidth="1"/>
    <col min="2040" max="2040" width="6.7109375" style="88" customWidth="1"/>
    <col min="2041" max="2041" width="4" style="88" customWidth="1"/>
    <col min="2042" max="2042" width="0.28515625" style="88" customWidth="1"/>
    <col min="2043" max="2044" width="4.7109375" style="88" customWidth="1"/>
    <col min="2045" max="2045" width="0.7109375" style="88" customWidth="1"/>
    <col min="2046" max="2046" width="6.28515625" style="88" customWidth="1"/>
    <col min="2047" max="2047" width="1.7109375" style="88" customWidth="1"/>
    <col min="2048" max="2048" width="4" style="88" customWidth="1"/>
    <col min="2049" max="2049" width="1.7109375" style="88" customWidth="1"/>
    <col min="2050" max="2050" width="5.28515625" style="88" customWidth="1"/>
    <col min="2051" max="2051" width="1.7109375" style="88" customWidth="1"/>
    <col min="2052" max="2052" width="5" style="88" customWidth="1"/>
    <col min="2053" max="2053" width="1.7109375" style="88" customWidth="1"/>
    <col min="2054" max="2292" width="11.7109375" style="88"/>
    <col min="2293" max="2293" width="12.28515625" style="88" customWidth="1"/>
    <col min="2294" max="2294" width="0" style="88" hidden="1" customWidth="1"/>
    <col min="2295" max="2295" width="0.7109375" style="88" customWidth="1"/>
    <col min="2296" max="2296" width="6.7109375" style="88" customWidth="1"/>
    <col min="2297" max="2297" width="4" style="88" customWidth="1"/>
    <col min="2298" max="2298" width="0.28515625" style="88" customWidth="1"/>
    <col min="2299" max="2300" width="4.7109375" style="88" customWidth="1"/>
    <col min="2301" max="2301" width="0.7109375" style="88" customWidth="1"/>
    <col min="2302" max="2302" width="6.28515625" style="88" customWidth="1"/>
    <col min="2303" max="2303" width="1.7109375" style="88" customWidth="1"/>
    <col min="2304" max="2304" width="4" style="88" customWidth="1"/>
    <col min="2305" max="2305" width="1.7109375" style="88" customWidth="1"/>
    <col min="2306" max="2306" width="5.28515625" style="88" customWidth="1"/>
    <col min="2307" max="2307" width="1.7109375" style="88" customWidth="1"/>
    <col min="2308" max="2308" width="5" style="88" customWidth="1"/>
    <col min="2309" max="2309" width="1.7109375" style="88" customWidth="1"/>
    <col min="2310" max="2548" width="11.7109375" style="88"/>
    <col min="2549" max="2549" width="12.28515625" style="88" customWidth="1"/>
    <col min="2550" max="2550" width="0" style="88" hidden="1" customWidth="1"/>
    <col min="2551" max="2551" width="0.7109375" style="88" customWidth="1"/>
    <col min="2552" max="2552" width="6.7109375" style="88" customWidth="1"/>
    <col min="2553" max="2553" width="4" style="88" customWidth="1"/>
    <col min="2554" max="2554" width="0.28515625" style="88" customWidth="1"/>
    <col min="2555" max="2556" width="4.7109375" style="88" customWidth="1"/>
    <col min="2557" max="2557" width="0.7109375" style="88" customWidth="1"/>
    <col min="2558" max="2558" width="6.28515625" style="88" customWidth="1"/>
    <col min="2559" max="2559" width="1.7109375" style="88" customWidth="1"/>
    <col min="2560" max="2560" width="4" style="88" customWidth="1"/>
    <col min="2561" max="2561" width="1.7109375" style="88" customWidth="1"/>
    <col min="2562" max="2562" width="5.28515625" style="88" customWidth="1"/>
    <col min="2563" max="2563" width="1.7109375" style="88" customWidth="1"/>
    <col min="2564" max="2564" width="5" style="88" customWidth="1"/>
    <col min="2565" max="2565" width="1.7109375" style="88" customWidth="1"/>
    <col min="2566" max="2804" width="11.7109375" style="88"/>
    <col min="2805" max="2805" width="12.28515625" style="88" customWidth="1"/>
    <col min="2806" max="2806" width="0" style="88" hidden="1" customWidth="1"/>
    <col min="2807" max="2807" width="0.7109375" style="88" customWidth="1"/>
    <col min="2808" max="2808" width="6.7109375" style="88" customWidth="1"/>
    <col min="2809" max="2809" width="4" style="88" customWidth="1"/>
    <col min="2810" max="2810" width="0.28515625" style="88" customWidth="1"/>
    <col min="2811" max="2812" width="4.7109375" style="88" customWidth="1"/>
    <col min="2813" max="2813" width="0.7109375" style="88" customWidth="1"/>
    <col min="2814" max="2814" width="6.28515625" style="88" customWidth="1"/>
    <col min="2815" max="2815" width="1.7109375" style="88" customWidth="1"/>
    <col min="2816" max="2816" width="4" style="88" customWidth="1"/>
    <col min="2817" max="2817" width="1.7109375" style="88" customWidth="1"/>
    <col min="2818" max="2818" width="5.28515625" style="88" customWidth="1"/>
    <col min="2819" max="2819" width="1.7109375" style="88" customWidth="1"/>
    <col min="2820" max="2820" width="5" style="88" customWidth="1"/>
    <col min="2821" max="2821" width="1.7109375" style="88" customWidth="1"/>
    <col min="2822" max="3060" width="11.7109375" style="88"/>
    <col min="3061" max="3061" width="12.28515625" style="88" customWidth="1"/>
    <col min="3062" max="3062" width="0" style="88" hidden="1" customWidth="1"/>
    <col min="3063" max="3063" width="0.7109375" style="88" customWidth="1"/>
    <col min="3064" max="3064" width="6.7109375" style="88" customWidth="1"/>
    <col min="3065" max="3065" width="4" style="88" customWidth="1"/>
    <col min="3066" max="3066" width="0.28515625" style="88" customWidth="1"/>
    <col min="3067" max="3068" width="4.7109375" style="88" customWidth="1"/>
    <col min="3069" max="3069" width="0.7109375" style="88" customWidth="1"/>
    <col min="3070" max="3070" width="6.28515625" style="88" customWidth="1"/>
    <col min="3071" max="3071" width="1.7109375" style="88" customWidth="1"/>
    <col min="3072" max="3072" width="4" style="88" customWidth="1"/>
    <col min="3073" max="3073" width="1.7109375" style="88" customWidth="1"/>
    <col min="3074" max="3074" width="5.28515625" style="88" customWidth="1"/>
    <col min="3075" max="3075" width="1.7109375" style="88" customWidth="1"/>
    <col min="3076" max="3076" width="5" style="88" customWidth="1"/>
    <col min="3077" max="3077" width="1.7109375" style="88" customWidth="1"/>
    <col min="3078" max="3316" width="11.7109375" style="88"/>
    <col min="3317" max="3317" width="12.28515625" style="88" customWidth="1"/>
    <col min="3318" max="3318" width="0" style="88" hidden="1" customWidth="1"/>
    <col min="3319" max="3319" width="0.7109375" style="88" customWidth="1"/>
    <col min="3320" max="3320" width="6.7109375" style="88" customWidth="1"/>
    <col min="3321" max="3321" width="4" style="88" customWidth="1"/>
    <col min="3322" max="3322" width="0.28515625" style="88" customWidth="1"/>
    <col min="3323" max="3324" width="4.7109375" style="88" customWidth="1"/>
    <col min="3325" max="3325" width="0.7109375" style="88" customWidth="1"/>
    <col min="3326" max="3326" width="6.28515625" style="88" customWidth="1"/>
    <col min="3327" max="3327" width="1.7109375" style="88" customWidth="1"/>
    <col min="3328" max="3328" width="4" style="88" customWidth="1"/>
    <col min="3329" max="3329" width="1.7109375" style="88" customWidth="1"/>
    <col min="3330" max="3330" width="5.28515625" style="88" customWidth="1"/>
    <col min="3331" max="3331" width="1.7109375" style="88" customWidth="1"/>
    <col min="3332" max="3332" width="5" style="88" customWidth="1"/>
    <col min="3333" max="3333" width="1.7109375" style="88" customWidth="1"/>
    <col min="3334" max="3572" width="11.7109375" style="88"/>
    <col min="3573" max="3573" width="12.28515625" style="88" customWidth="1"/>
    <col min="3574" max="3574" width="0" style="88" hidden="1" customWidth="1"/>
    <col min="3575" max="3575" width="0.7109375" style="88" customWidth="1"/>
    <col min="3576" max="3576" width="6.7109375" style="88" customWidth="1"/>
    <col min="3577" max="3577" width="4" style="88" customWidth="1"/>
    <col min="3578" max="3578" width="0.28515625" style="88" customWidth="1"/>
    <col min="3579" max="3580" width="4.7109375" style="88" customWidth="1"/>
    <col min="3581" max="3581" width="0.7109375" style="88" customWidth="1"/>
    <col min="3582" max="3582" width="6.28515625" style="88" customWidth="1"/>
    <col min="3583" max="3583" width="1.7109375" style="88" customWidth="1"/>
    <col min="3584" max="3584" width="4" style="88" customWidth="1"/>
    <col min="3585" max="3585" width="1.7109375" style="88" customWidth="1"/>
    <col min="3586" max="3586" width="5.28515625" style="88" customWidth="1"/>
    <col min="3587" max="3587" width="1.7109375" style="88" customWidth="1"/>
    <col min="3588" max="3588" width="5" style="88" customWidth="1"/>
    <col min="3589" max="3589" width="1.7109375" style="88" customWidth="1"/>
    <col min="3590" max="3828" width="11.7109375" style="88"/>
    <col min="3829" max="3829" width="12.28515625" style="88" customWidth="1"/>
    <col min="3830" max="3830" width="0" style="88" hidden="1" customWidth="1"/>
    <col min="3831" max="3831" width="0.7109375" style="88" customWidth="1"/>
    <col min="3832" max="3832" width="6.7109375" style="88" customWidth="1"/>
    <col min="3833" max="3833" width="4" style="88" customWidth="1"/>
    <col min="3834" max="3834" width="0.28515625" style="88" customWidth="1"/>
    <col min="3835" max="3836" width="4.7109375" style="88" customWidth="1"/>
    <col min="3837" max="3837" width="0.7109375" style="88" customWidth="1"/>
    <col min="3838" max="3838" width="6.28515625" style="88" customWidth="1"/>
    <col min="3839" max="3839" width="1.7109375" style="88" customWidth="1"/>
    <col min="3840" max="3840" width="4" style="88" customWidth="1"/>
    <col min="3841" max="3841" width="1.7109375" style="88" customWidth="1"/>
    <col min="3842" max="3842" width="5.28515625" style="88" customWidth="1"/>
    <col min="3843" max="3843" width="1.7109375" style="88" customWidth="1"/>
    <col min="3844" max="3844" width="5" style="88" customWidth="1"/>
    <col min="3845" max="3845" width="1.7109375" style="88" customWidth="1"/>
    <col min="3846" max="4084" width="11.7109375" style="88"/>
    <col min="4085" max="4085" width="12.28515625" style="88" customWidth="1"/>
    <col min="4086" max="4086" width="0" style="88" hidden="1" customWidth="1"/>
    <col min="4087" max="4087" width="0.7109375" style="88" customWidth="1"/>
    <col min="4088" max="4088" width="6.7109375" style="88" customWidth="1"/>
    <col min="4089" max="4089" width="4" style="88" customWidth="1"/>
    <col min="4090" max="4090" width="0.28515625" style="88" customWidth="1"/>
    <col min="4091" max="4092" width="4.7109375" style="88" customWidth="1"/>
    <col min="4093" max="4093" width="0.7109375" style="88" customWidth="1"/>
    <col min="4094" max="4094" width="6.28515625" style="88" customWidth="1"/>
    <col min="4095" max="4095" width="1.7109375" style="88" customWidth="1"/>
    <col min="4096" max="4096" width="4" style="88" customWidth="1"/>
    <col min="4097" max="4097" width="1.7109375" style="88" customWidth="1"/>
    <col min="4098" max="4098" width="5.28515625" style="88" customWidth="1"/>
    <col min="4099" max="4099" width="1.7109375" style="88" customWidth="1"/>
    <col min="4100" max="4100" width="5" style="88" customWidth="1"/>
    <col min="4101" max="4101" width="1.7109375" style="88" customWidth="1"/>
    <col min="4102" max="4340" width="11.7109375" style="88"/>
    <col min="4341" max="4341" width="12.28515625" style="88" customWidth="1"/>
    <col min="4342" max="4342" width="0" style="88" hidden="1" customWidth="1"/>
    <col min="4343" max="4343" width="0.7109375" style="88" customWidth="1"/>
    <col min="4344" max="4344" width="6.7109375" style="88" customWidth="1"/>
    <col min="4345" max="4345" width="4" style="88" customWidth="1"/>
    <col min="4346" max="4346" width="0.28515625" style="88" customWidth="1"/>
    <col min="4347" max="4348" width="4.7109375" style="88" customWidth="1"/>
    <col min="4349" max="4349" width="0.7109375" style="88" customWidth="1"/>
    <col min="4350" max="4350" width="6.28515625" style="88" customWidth="1"/>
    <col min="4351" max="4351" width="1.7109375" style="88" customWidth="1"/>
    <col min="4352" max="4352" width="4" style="88" customWidth="1"/>
    <col min="4353" max="4353" width="1.7109375" style="88" customWidth="1"/>
    <col min="4354" max="4354" width="5.28515625" style="88" customWidth="1"/>
    <col min="4355" max="4355" width="1.7109375" style="88" customWidth="1"/>
    <col min="4356" max="4356" width="5" style="88" customWidth="1"/>
    <col min="4357" max="4357" width="1.7109375" style="88" customWidth="1"/>
    <col min="4358" max="4596" width="11.7109375" style="88"/>
    <col min="4597" max="4597" width="12.28515625" style="88" customWidth="1"/>
    <col min="4598" max="4598" width="0" style="88" hidden="1" customWidth="1"/>
    <col min="4599" max="4599" width="0.7109375" style="88" customWidth="1"/>
    <col min="4600" max="4600" width="6.7109375" style="88" customWidth="1"/>
    <col min="4601" max="4601" width="4" style="88" customWidth="1"/>
    <col min="4602" max="4602" width="0.28515625" style="88" customWidth="1"/>
    <col min="4603" max="4604" width="4.7109375" style="88" customWidth="1"/>
    <col min="4605" max="4605" width="0.7109375" style="88" customWidth="1"/>
    <col min="4606" max="4606" width="6.28515625" style="88" customWidth="1"/>
    <col min="4607" max="4607" width="1.7109375" style="88" customWidth="1"/>
    <col min="4608" max="4608" width="4" style="88" customWidth="1"/>
    <col min="4609" max="4609" width="1.7109375" style="88" customWidth="1"/>
    <col min="4610" max="4610" width="5.28515625" style="88" customWidth="1"/>
    <col min="4611" max="4611" width="1.7109375" style="88" customWidth="1"/>
    <col min="4612" max="4612" width="5" style="88" customWidth="1"/>
    <col min="4613" max="4613" width="1.7109375" style="88" customWidth="1"/>
    <col min="4614" max="4852" width="11.7109375" style="88"/>
    <col min="4853" max="4853" width="12.28515625" style="88" customWidth="1"/>
    <col min="4854" max="4854" width="0" style="88" hidden="1" customWidth="1"/>
    <col min="4855" max="4855" width="0.7109375" style="88" customWidth="1"/>
    <col min="4856" max="4856" width="6.7109375" style="88" customWidth="1"/>
    <col min="4857" max="4857" width="4" style="88" customWidth="1"/>
    <col min="4858" max="4858" width="0.28515625" style="88" customWidth="1"/>
    <col min="4859" max="4860" width="4.7109375" style="88" customWidth="1"/>
    <col min="4861" max="4861" width="0.7109375" style="88" customWidth="1"/>
    <col min="4862" max="4862" width="6.28515625" style="88" customWidth="1"/>
    <col min="4863" max="4863" width="1.7109375" style="88" customWidth="1"/>
    <col min="4864" max="4864" width="4" style="88" customWidth="1"/>
    <col min="4865" max="4865" width="1.7109375" style="88" customWidth="1"/>
    <col min="4866" max="4866" width="5.28515625" style="88" customWidth="1"/>
    <col min="4867" max="4867" width="1.7109375" style="88" customWidth="1"/>
    <col min="4868" max="4868" width="5" style="88" customWidth="1"/>
    <col min="4869" max="4869" width="1.7109375" style="88" customWidth="1"/>
    <col min="4870" max="5108" width="11.7109375" style="88"/>
    <col min="5109" max="5109" width="12.28515625" style="88" customWidth="1"/>
    <col min="5110" max="5110" width="0" style="88" hidden="1" customWidth="1"/>
    <col min="5111" max="5111" width="0.7109375" style="88" customWidth="1"/>
    <col min="5112" max="5112" width="6.7109375" style="88" customWidth="1"/>
    <col min="5113" max="5113" width="4" style="88" customWidth="1"/>
    <col min="5114" max="5114" width="0.28515625" style="88" customWidth="1"/>
    <col min="5115" max="5116" width="4.7109375" style="88" customWidth="1"/>
    <col min="5117" max="5117" width="0.7109375" style="88" customWidth="1"/>
    <col min="5118" max="5118" width="6.28515625" style="88" customWidth="1"/>
    <col min="5119" max="5119" width="1.7109375" style="88" customWidth="1"/>
    <col min="5120" max="5120" width="4" style="88" customWidth="1"/>
    <col min="5121" max="5121" width="1.7109375" style="88" customWidth="1"/>
    <col min="5122" max="5122" width="5.28515625" style="88" customWidth="1"/>
    <col min="5123" max="5123" width="1.7109375" style="88" customWidth="1"/>
    <col min="5124" max="5124" width="5" style="88" customWidth="1"/>
    <col min="5125" max="5125" width="1.7109375" style="88" customWidth="1"/>
    <col min="5126" max="5364" width="11.7109375" style="88"/>
    <col min="5365" max="5365" width="12.28515625" style="88" customWidth="1"/>
    <col min="5366" max="5366" width="0" style="88" hidden="1" customWidth="1"/>
    <col min="5367" max="5367" width="0.7109375" style="88" customWidth="1"/>
    <col min="5368" max="5368" width="6.7109375" style="88" customWidth="1"/>
    <col min="5369" max="5369" width="4" style="88" customWidth="1"/>
    <col min="5370" max="5370" width="0.28515625" style="88" customWidth="1"/>
    <col min="5371" max="5372" width="4.7109375" style="88" customWidth="1"/>
    <col min="5373" max="5373" width="0.7109375" style="88" customWidth="1"/>
    <col min="5374" max="5374" width="6.28515625" style="88" customWidth="1"/>
    <col min="5375" max="5375" width="1.7109375" style="88" customWidth="1"/>
    <col min="5376" max="5376" width="4" style="88" customWidth="1"/>
    <col min="5377" max="5377" width="1.7109375" style="88" customWidth="1"/>
    <col min="5378" max="5378" width="5.28515625" style="88" customWidth="1"/>
    <col min="5379" max="5379" width="1.7109375" style="88" customWidth="1"/>
    <col min="5380" max="5380" width="5" style="88" customWidth="1"/>
    <col min="5381" max="5381" width="1.7109375" style="88" customWidth="1"/>
    <col min="5382" max="5620" width="11.7109375" style="88"/>
    <col min="5621" max="5621" width="12.28515625" style="88" customWidth="1"/>
    <col min="5622" max="5622" width="0" style="88" hidden="1" customWidth="1"/>
    <col min="5623" max="5623" width="0.7109375" style="88" customWidth="1"/>
    <col min="5624" max="5624" width="6.7109375" style="88" customWidth="1"/>
    <col min="5625" max="5625" width="4" style="88" customWidth="1"/>
    <col min="5626" max="5626" width="0.28515625" style="88" customWidth="1"/>
    <col min="5627" max="5628" width="4.7109375" style="88" customWidth="1"/>
    <col min="5629" max="5629" width="0.7109375" style="88" customWidth="1"/>
    <col min="5630" max="5630" width="6.28515625" style="88" customWidth="1"/>
    <col min="5631" max="5631" width="1.7109375" style="88" customWidth="1"/>
    <col min="5632" max="5632" width="4" style="88" customWidth="1"/>
    <col min="5633" max="5633" width="1.7109375" style="88" customWidth="1"/>
    <col min="5634" max="5634" width="5.28515625" style="88" customWidth="1"/>
    <col min="5635" max="5635" width="1.7109375" style="88" customWidth="1"/>
    <col min="5636" max="5636" width="5" style="88" customWidth="1"/>
    <col min="5637" max="5637" width="1.7109375" style="88" customWidth="1"/>
    <col min="5638" max="5876" width="11.7109375" style="88"/>
    <col min="5877" max="5877" width="12.28515625" style="88" customWidth="1"/>
    <col min="5878" max="5878" width="0" style="88" hidden="1" customWidth="1"/>
    <col min="5879" max="5879" width="0.7109375" style="88" customWidth="1"/>
    <col min="5880" max="5880" width="6.7109375" style="88" customWidth="1"/>
    <col min="5881" max="5881" width="4" style="88" customWidth="1"/>
    <col min="5882" max="5882" width="0.28515625" style="88" customWidth="1"/>
    <col min="5883" max="5884" width="4.7109375" style="88" customWidth="1"/>
    <col min="5885" max="5885" width="0.7109375" style="88" customWidth="1"/>
    <col min="5886" max="5886" width="6.28515625" style="88" customWidth="1"/>
    <col min="5887" max="5887" width="1.7109375" style="88" customWidth="1"/>
    <col min="5888" max="5888" width="4" style="88" customWidth="1"/>
    <col min="5889" max="5889" width="1.7109375" style="88" customWidth="1"/>
    <col min="5890" max="5890" width="5.28515625" style="88" customWidth="1"/>
    <col min="5891" max="5891" width="1.7109375" style="88" customWidth="1"/>
    <col min="5892" max="5892" width="5" style="88" customWidth="1"/>
    <col min="5893" max="5893" width="1.7109375" style="88" customWidth="1"/>
    <col min="5894" max="6132" width="11.7109375" style="88"/>
    <col min="6133" max="6133" width="12.28515625" style="88" customWidth="1"/>
    <col min="6134" max="6134" width="0" style="88" hidden="1" customWidth="1"/>
    <col min="6135" max="6135" width="0.7109375" style="88" customWidth="1"/>
    <col min="6136" max="6136" width="6.7109375" style="88" customWidth="1"/>
    <col min="6137" max="6137" width="4" style="88" customWidth="1"/>
    <col min="6138" max="6138" width="0.28515625" style="88" customWidth="1"/>
    <col min="6139" max="6140" width="4.7109375" style="88" customWidth="1"/>
    <col min="6141" max="6141" width="0.7109375" style="88" customWidth="1"/>
    <col min="6142" max="6142" width="6.28515625" style="88" customWidth="1"/>
    <col min="6143" max="6143" width="1.7109375" style="88" customWidth="1"/>
    <col min="6144" max="6144" width="4" style="88" customWidth="1"/>
    <col min="6145" max="6145" width="1.7109375" style="88" customWidth="1"/>
    <col min="6146" max="6146" width="5.28515625" style="88" customWidth="1"/>
    <col min="6147" max="6147" width="1.7109375" style="88" customWidth="1"/>
    <col min="6148" max="6148" width="5" style="88" customWidth="1"/>
    <col min="6149" max="6149" width="1.7109375" style="88" customWidth="1"/>
    <col min="6150" max="6388" width="11.7109375" style="88"/>
    <col min="6389" max="6389" width="12.28515625" style="88" customWidth="1"/>
    <col min="6390" max="6390" width="0" style="88" hidden="1" customWidth="1"/>
    <col min="6391" max="6391" width="0.7109375" style="88" customWidth="1"/>
    <col min="6392" max="6392" width="6.7109375" style="88" customWidth="1"/>
    <col min="6393" max="6393" width="4" style="88" customWidth="1"/>
    <col min="6394" max="6394" width="0.28515625" style="88" customWidth="1"/>
    <col min="6395" max="6396" width="4.7109375" style="88" customWidth="1"/>
    <col min="6397" max="6397" width="0.7109375" style="88" customWidth="1"/>
    <col min="6398" max="6398" width="6.28515625" style="88" customWidth="1"/>
    <col min="6399" max="6399" width="1.7109375" style="88" customWidth="1"/>
    <col min="6400" max="6400" width="4" style="88" customWidth="1"/>
    <col min="6401" max="6401" width="1.7109375" style="88" customWidth="1"/>
    <col min="6402" max="6402" width="5.28515625" style="88" customWidth="1"/>
    <col min="6403" max="6403" width="1.7109375" style="88" customWidth="1"/>
    <col min="6404" max="6404" width="5" style="88" customWidth="1"/>
    <col min="6405" max="6405" width="1.7109375" style="88" customWidth="1"/>
    <col min="6406" max="6644" width="11.7109375" style="88"/>
    <col min="6645" max="6645" width="12.28515625" style="88" customWidth="1"/>
    <col min="6646" max="6646" width="0" style="88" hidden="1" customWidth="1"/>
    <col min="6647" max="6647" width="0.7109375" style="88" customWidth="1"/>
    <col min="6648" max="6648" width="6.7109375" style="88" customWidth="1"/>
    <col min="6649" max="6649" width="4" style="88" customWidth="1"/>
    <col min="6650" max="6650" width="0.28515625" style="88" customWidth="1"/>
    <col min="6651" max="6652" width="4.7109375" style="88" customWidth="1"/>
    <col min="6653" max="6653" width="0.7109375" style="88" customWidth="1"/>
    <col min="6654" max="6654" width="6.28515625" style="88" customWidth="1"/>
    <col min="6655" max="6655" width="1.7109375" style="88" customWidth="1"/>
    <col min="6656" max="6656" width="4" style="88" customWidth="1"/>
    <col min="6657" max="6657" width="1.7109375" style="88" customWidth="1"/>
    <col min="6658" max="6658" width="5.28515625" style="88" customWidth="1"/>
    <col min="6659" max="6659" width="1.7109375" style="88" customWidth="1"/>
    <col min="6660" max="6660" width="5" style="88" customWidth="1"/>
    <col min="6661" max="6661" width="1.7109375" style="88" customWidth="1"/>
    <col min="6662" max="6900" width="11.7109375" style="88"/>
    <col min="6901" max="6901" width="12.28515625" style="88" customWidth="1"/>
    <col min="6902" max="6902" width="0" style="88" hidden="1" customWidth="1"/>
    <col min="6903" max="6903" width="0.7109375" style="88" customWidth="1"/>
    <col min="6904" max="6904" width="6.7109375" style="88" customWidth="1"/>
    <col min="6905" max="6905" width="4" style="88" customWidth="1"/>
    <col min="6906" max="6906" width="0.28515625" style="88" customWidth="1"/>
    <col min="6907" max="6908" width="4.7109375" style="88" customWidth="1"/>
    <col min="6909" max="6909" width="0.7109375" style="88" customWidth="1"/>
    <col min="6910" max="6910" width="6.28515625" style="88" customWidth="1"/>
    <col min="6911" max="6911" width="1.7109375" style="88" customWidth="1"/>
    <col min="6912" max="6912" width="4" style="88" customWidth="1"/>
    <col min="6913" max="6913" width="1.7109375" style="88" customWidth="1"/>
    <col min="6914" max="6914" width="5.28515625" style="88" customWidth="1"/>
    <col min="6915" max="6915" width="1.7109375" style="88" customWidth="1"/>
    <col min="6916" max="6916" width="5" style="88" customWidth="1"/>
    <col min="6917" max="6917" width="1.7109375" style="88" customWidth="1"/>
    <col min="6918" max="7156" width="11.7109375" style="88"/>
    <col min="7157" max="7157" width="12.28515625" style="88" customWidth="1"/>
    <col min="7158" max="7158" width="0" style="88" hidden="1" customWidth="1"/>
    <col min="7159" max="7159" width="0.7109375" style="88" customWidth="1"/>
    <col min="7160" max="7160" width="6.7109375" style="88" customWidth="1"/>
    <col min="7161" max="7161" width="4" style="88" customWidth="1"/>
    <col min="7162" max="7162" width="0.28515625" style="88" customWidth="1"/>
    <col min="7163" max="7164" width="4.7109375" style="88" customWidth="1"/>
    <col min="7165" max="7165" width="0.7109375" style="88" customWidth="1"/>
    <col min="7166" max="7166" width="6.28515625" style="88" customWidth="1"/>
    <col min="7167" max="7167" width="1.7109375" style="88" customWidth="1"/>
    <col min="7168" max="7168" width="4" style="88" customWidth="1"/>
    <col min="7169" max="7169" width="1.7109375" style="88" customWidth="1"/>
    <col min="7170" max="7170" width="5.28515625" style="88" customWidth="1"/>
    <col min="7171" max="7171" width="1.7109375" style="88" customWidth="1"/>
    <col min="7172" max="7172" width="5" style="88" customWidth="1"/>
    <col min="7173" max="7173" width="1.7109375" style="88" customWidth="1"/>
    <col min="7174" max="7412" width="11.7109375" style="88"/>
    <col min="7413" max="7413" width="12.28515625" style="88" customWidth="1"/>
    <col min="7414" max="7414" width="0" style="88" hidden="1" customWidth="1"/>
    <col min="7415" max="7415" width="0.7109375" style="88" customWidth="1"/>
    <col min="7416" max="7416" width="6.7109375" style="88" customWidth="1"/>
    <col min="7417" max="7417" width="4" style="88" customWidth="1"/>
    <col min="7418" max="7418" width="0.28515625" style="88" customWidth="1"/>
    <col min="7419" max="7420" width="4.7109375" style="88" customWidth="1"/>
    <col min="7421" max="7421" width="0.7109375" style="88" customWidth="1"/>
    <col min="7422" max="7422" width="6.28515625" style="88" customWidth="1"/>
    <col min="7423" max="7423" width="1.7109375" style="88" customWidth="1"/>
    <col min="7424" max="7424" width="4" style="88" customWidth="1"/>
    <col min="7425" max="7425" width="1.7109375" style="88" customWidth="1"/>
    <col min="7426" max="7426" width="5.28515625" style="88" customWidth="1"/>
    <col min="7427" max="7427" width="1.7109375" style="88" customWidth="1"/>
    <col min="7428" max="7428" width="5" style="88" customWidth="1"/>
    <col min="7429" max="7429" width="1.7109375" style="88" customWidth="1"/>
    <col min="7430" max="7668" width="11.7109375" style="88"/>
    <col min="7669" max="7669" width="12.28515625" style="88" customWidth="1"/>
    <col min="7670" max="7670" width="0" style="88" hidden="1" customWidth="1"/>
    <col min="7671" max="7671" width="0.7109375" style="88" customWidth="1"/>
    <col min="7672" max="7672" width="6.7109375" style="88" customWidth="1"/>
    <col min="7673" max="7673" width="4" style="88" customWidth="1"/>
    <col min="7674" max="7674" width="0.28515625" style="88" customWidth="1"/>
    <col min="7675" max="7676" width="4.7109375" style="88" customWidth="1"/>
    <col min="7677" max="7677" width="0.7109375" style="88" customWidth="1"/>
    <col min="7678" max="7678" width="6.28515625" style="88" customWidth="1"/>
    <col min="7679" max="7679" width="1.7109375" style="88" customWidth="1"/>
    <col min="7680" max="7680" width="4" style="88" customWidth="1"/>
    <col min="7681" max="7681" width="1.7109375" style="88" customWidth="1"/>
    <col min="7682" max="7682" width="5.28515625" style="88" customWidth="1"/>
    <col min="7683" max="7683" width="1.7109375" style="88" customWidth="1"/>
    <col min="7684" max="7684" width="5" style="88" customWidth="1"/>
    <col min="7685" max="7685" width="1.7109375" style="88" customWidth="1"/>
    <col min="7686" max="7924" width="11.7109375" style="88"/>
    <col min="7925" max="7925" width="12.28515625" style="88" customWidth="1"/>
    <col min="7926" max="7926" width="0" style="88" hidden="1" customWidth="1"/>
    <col min="7927" max="7927" width="0.7109375" style="88" customWidth="1"/>
    <col min="7928" max="7928" width="6.7109375" style="88" customWidth="1"/>
    <col min="7929" max="7929" width="4" style="88" customWidth="1"/>
    <col min="7930" max="7930" width="0.28515625" style="88" customWidth="1"/>
    <col min="7931" max="7932" width="4.7109375" style="88" customWidth="1"/>
    <col min="7933" max="7933" width="0.7109375" style="88" customWidth="1"/>
    <col min="7934" max="7934" width="6.28515625" style="88" customWidth="1"/>
    <col min="7935" max="7935" width="1.7109375" style="88" customWidth="1"/>
    <col min="7936" max="7936" width="4" style="88" customWidth="1"/>
    <col min="7937" max="7937" width="1.7109375" style="88" customWidth="1"/>
    <col min="7938" max="7938" width="5.28515625" style="88" customWidth="1"/>
    <col min="7939" max="7939" width="1.7109375" style="88" customWidth="1"/>
    <col min="7940" max="7940" width="5" style="88" customWidth="1"/>
    <col min="7941" max="7941" width="1.7109375" style="88" customWidth="1"/>
    <col min="7942" max="8180" width="11.7109375" style="88"/>
    <col min="8181" max="8181" width="12.28515625" style="88" customWidth="1"/>
    <col min="8182" max="8182" width="0" style="88" hidden="1" customWidth="1"/>
    <col min="8183" max="8183" width="0.7109375" style="88" customWidth="1"/>
    <col min="8184" max="8184" width="6.7109375" style="88" customWidth="1"/>
    <col min="8185" max="8185" width="4" style="88" customWidth="1"/>
    <col min="8186" max="8186" width="0.28515625" style="88" customWidth="1"/>
    <col min="8187" max="8188" width="4.7109375" style="88" customWidth="1"/>
    <col min="8189" max="8189" width="0.7109375" style="88" customWidth="1"/>
    <col min="8190" max="8190" width="6.28515625" style="88" customWidth="1"/>
    <col min="8191" max="8191" width="1.7109375" style="88" customWidth="1"/>
    <col min="8192" max="8192" width="4" style="88" customWidth="1"/>
    <col min="8193" max="8193" width="1.7109375" style="88" customWidth="1"/>
    <col min="8194" max="8194" width="5.28515625" style="88" customWidth="1"/>
    <col min="8195" max="8195" width="1.7109375" style="88" customWidth="1"/>
    <col min="8196" max="8196" width="5" style="88" customWidth="1"/>
    <col min="8197" max="8197" width="1.7109375" style="88" customWidth="1"/>
    <col min="8198" max="8436" width="11.7109375" style="88"/>
    <col min="8437" max="8437" width="12.28515625" style="88" customWidth="1"/>
    <col min="8438" max="8438" width="0" style="88" hidden="1" customWidth="1"/>
    <col min="8439" max="8439" width="0.7109375" style="88" customWidth="1"/>
    <col min="8440" max="8440" width="6.7109375" style="88" customWidth="1"/>
    <col min="8441" max="8441" width="4" style="88" customWidth="1"/>
    <col min="8442" max="8442" width="0.28515625" style="88" customWidth="1"/>
    <col min="8443" max="8444" width="4.7109375" style="88" customWidth="1"/>
    <col min="8445" max="8445" width="0.7109375" style="88" customWidth="1"/>
    <col min="8446" max="8446" width="6.28515625" style="88" customWidth="1"/>
    <col min="8447" max="8447" width="1.7109375" style="88" customWidth="1"/>
    <col min="8448" max="8448" width="4" style="88" customWidth="1"/>
    <col min="8449" max="8449" width="1.7109375" style="88" customWidth="1"/>
    <col min="8450" max="8450" width="5.28515625" style="88" customWidth="1"/>
    <col min="8451" max="8451" width="1.7109375" style="88" customWidth="1"/>
    <col min="8452" max="8452" width="5" style="88" customWidth="1"/>
    <col min="8453" max="8453" width="1.7109375" style="88" customWidth="1"/>
    <col min="8454" max="8692" width="11.7109375" style="88"/>
    <col min="8693" max="8693" width="12.28515625" style="88" customWidth="1"/>
    <col min="8694" max="8694" width="0" style="88" hidden="1" customWidth="1"/>
    <col min="8695" max="8695" width="0.7109375" style="88" customWidth="1"/>
    <col min="8696" max="8696" width="6.7109375" style="88" customWidth="1"/>
    <col min="8697" max="8697" width="4" style="88" customWidth="1"/>
    <col min="8698" max="8698" width="0.28515625" style="88" customWidth="1"/>
    <col min="8699" max="8700" width="4.7109375" style="88" customWidth="1"/>
    <col min="8701" max="8701" width="0.7109375" style="88" customWidth="1"/>
    <col min="8702" max="8702" width="6.28515625" style="88" customWidth="1"/>
    <col min="8703" max="8703" width="1.7109375" style="88" customWidth="1"/>
    <col min="8704" max="8704" width="4" style="88" customWidth="1"/>
    <col min="8705" max="8705" width="1.7109375" style="88" customWidth="1"/>
    <col min="8706" max="8706" width="5.28515625" style="88" customWidth="1"/>
    <col min="8707" max="8707" width="1.7109375" style="88" customWidth="1"/>
    <col min="8708" max="8708" width="5" style="88" customWidth="1"/>
    <col min="8709" max="8709" width="1.7109375" style="88" customWidth="1"/>
    <col min="8710" max="8948" width="11.7109375" style="88"/>
    <col min="8949" max="8949" width="12.28515625" style="88" customWidth="1"/>
    <col min="8950" max="8950" width="0" style="88" hidden="1" customWidth="1"/>
    <col min="8951" max="8951" width="0.7109375" style="88" customWidth="1"/>
    <col min="8952" max="8952" width="6.7109375" style="88" customWidth="1"/>
    <col min="8953" max="8953" width="4" style="88" customWidth="1"/>
    <col min="8954" max="8954" width="0.28515625" style="88" customWidth="1"/>
    <col min="8955" max="8956" width="4.7109375" style="88" customWidth="1"/>
    <col min="8957" max="8957" width="0.7109375" style="88" customWidth="1"/>
    <col min="8958" max="8958" width="6.28515625" style="88" customWidth="1"/>
    <col min="8959" max="8959" width="1.7109375" style="88" customWidth="1"/>
    <col min="8960" max="8960" width="4" style="88" customWidth="1"/>
    <col min="8961" max="8961" width="1.7109375" style="88" customWidth="1"/>
    <col min="8962" max="8962" width="5.28515625" style="88" customWidth="1"/>
    <col min="8963" max="8963" width="1.7109375" style="88" customWidth="1"/>
    <col min="8964" max="8964" width="5" style="88" customWidth="1"/>
    <col min="8965" max="8965" width="1.7109375" style="88" customWidth="1"/>
    <col min="8966" max="9204" width="11.7109375" style="88"/>
    <col min="9205" max="9205" width="12.28515625" style="88" customWidth="1"/>
    <col min="9206" max="9206" width="0" style="88" hidden="1" customWidth="1"/>
    <col min="9207" max="9207" width="0.7109375" style="88" customWidth="1"/>
    <col min="9208" max="9208" width="6.7109375" style="88" customWidth="1"/>
    <col min="9209" max="9209" width="4" style="88" customWidth="1"/>
    <col min="9210" max="9210" width="0.28515625" style="88" customWidth="1"/>
    <col min="9211" max="9212" width="4.7109375" style="88" customWidth="1"/>
    <col min="9213" max="9213" width="0.7109375" style="88" customWidth="1"/>
    <col min="9214" max="9214" width="6.28515625" style="88" customWidth="1"/>
    <col min="9215" max="9215" width="1.7109375" style="88" customWidth="1"/>
    <col min="9216" max="9216" width="4" style="88" customWidth="1"/>
    <col min="9217" max="9217" width="1.7109375" style="88" customWidth="1"/>
    <col min="9218" max="9218" width="5.28515625" style="88" customWidth="1"/>
    <col min="9219" max="9219" width="1.7109375" style="88" customWidth="1"/>
    <col min="9220" max="9220" width="5" style="88" customWidth="1"/>
    <col min="9221" max="9221" width="1.7109375" style="88" customWidth="1"/>
    <col min="9222" max="9460" width="11.7109375" style="88"/>
    <col min="9461" max="9461" width="12.28515625" style="88" customWidth="1"/>
    <col min="9462" max="9462" width="0" style="88" hidden="1" customWidth="1"/>
    <col min="9463" max="9463" width="0.7109375" style="88" customWidth="1"/>
    <col min="9464" max="9464" width="6.7109375" style="88" customWidth="1"/>
    <col min="9465" max="9465" width="4" style="88" customWidth="1"/>
    <col min="9466" max="9466" width="0.28515625" style="88" customWidth="1"/>
    <col min="9467" max="9468" width="4.7109375" style="88" customWidth="1"/>
    <col min="9469" max="9469" width="0.7109375" style="88" customWidth="1"/>
    <col min="9470" max="9470" width="6.28515625" style="88" customWidth="1"/>
    <col min="9471" max="9471" width="1.7109375" style="88" customWidth="1"/>
    <col min="9472" max="9472" width="4" style="88" customWidth="1"/>
    <col min="9473" max="9473" width="1.7109375" style="88" customWidth="1"/>
    <col min="9474" max="9474" width="5.28515625" style="88" customWidth="1"/>
    <col min="9475" max="9475" width="1.7109375" style="88" customWidth="1"/>
    <col min="9476" max="9476" width="5" style="88" customWidth="1"/>
    <col min="9477" max="9477" width="1.7109375" style="88" customWidth="1"/>
    <col min="9478" max="9716" width="11.7109375" style="88"/>
    <col min="9717" max="9717" width="12.28515625" style="88" customWidth="1"/>
    <col min="9718" max="9718" width="0" style="88" hidden="1" customWidth="1"/>
    <col min="9719" max="9719" width="0.7109375" style="88" customWidth="1"/>
    <col min="9720" max="9720" width="6.7109375" style="88" customWidth="1"/>
    <col min="9721" max="9721" width="4" style="88" customWidth="1"/>
    <col min="9722" max="9722" width="0.28515625" style="88" customWidth="1"/>
    <col min="9723" max="9724" width="4.7109375" style="88" customWidth="1"/>
    <col min="9725" max="9725" width="0.7109375" style="88" customWidth="1"/>
    <col min="9726" max="9726" width="6.28515625" style="88" customWidth="1"/>
    <col min="9727" max="9727" width="1.7109375" style="88" customWidth="1"/>
    <col min="9728" max="9728" width="4" style="88" customWidth="1"/>
    <col min="9729" max="9729" width="1.7109375" style="88" customWidth="1"/>
    <col min="9730" max="9730" width="5.28515625" style="88" customWidth="1"/>
    <col min="9731" max="9731" width="1.7109375" style="88" customWidth="1"/>
    <col min="9732" max="9732" width="5" style="88" customWidth="1"/>
    <col min="9733" max="9733" width="1.7109375" style="88" customWidth="1"/>
    <col min="9734" max="9972" width="11.7109375" style="88"/>
    <col min="9973" max="9973" width="12.28515625" style="88" customWidth="1"/>
    <col min="9974" max="9974" width="0" style="88" hidden="1" customWidth="1"/>
    <col min="9975" max="9975" width="0.7109375" style="88" customWidth="1"/>
    <col min="9976" max="9976" width="6.7109375" style="88" customWidth="1"/>
    <col min="9977" max="9977" width="4" style="88" customWidth="1"/>
    <col min="9978" max="9978" width="0.28515625" style="88" customWidth="1"/>
    <col min="9979" max="9980" width="4.7109375" style="88" customWidth="1"/>
    <col min="9981" max="9981" width="0.7109375" style="88" customWidth="1"/>
    <col min="9982" max="9982" width="6.28515625" style="88" customWidth="1"/>
    <col min="9983" max="9983" width="1.7109375" style="88" customWidth="1"/>
    <col min="9984" max="9984" width="4" style="88" customWidth="1"/>
    <col min="9985" max="9985" width="1.7109375" style="88" customWidth="1"/>
    <col min="9986" max="9986" width="5.28515625" style="88" customWidth="1"/>
    <col min="9987" max="9987" width="1.7109375" style="88" customWidth="1"/>
    <col min="9988" max="9988" width="5" style="88" customWidth="1"/>
    <col min="9989" max="9989" width="1.7109375" style="88" customWidth="1"/>
    <col min="9990" max="10228" width="11.7109375" style="88"/>
    <col min="10229" max="10229" width="12.28515625" style="88" customWidth="1"/>
    <col min="10230" max="10230" width="0" style="88" hidden="1" customWidth="1"/>
    <col min="10231" max="10231" width="0.7109375" style="88" customWidth="1"/>
    <col min="10232" max="10232" width="6.7109375" style="88" customWidth="1"/>
    <col min="10233" max="10233" width="4" style="88" customWidth="1"/>
    <col min="10234" max="10234" width="0.28515625" style="88" customWidth="1"/>
    <col min="10235" max="10236" width="4.7109375" style="88" customWidth="1"/>
    <col min="10237" max="10237" width="0.7109375" style="88" customWidth="1"/>
    <col min="10238" max="10238" width="6.28515625" style="88" customWidth="1"/>
    <col min="10239" max="10239" width="1.7109375" style="88" customWidth="1"/>
    <col min="10240" max="10240" width="4" style="88" customWidth="1"/>
    <col min="10241" max="10241" width="1.7109375" style="88" customWidth="1"/>
    <col min="10242" max="10242" width="5.28515625" style="88" customWidth="1"/>
    <col min="10243" max="10243" width="1.7109375" style="88" customWidth="1"/>
    <col min="10244" max="10244" width="5" style="88" customWidth="1"/>
    <col min="10245" max="10245" width="1.7109375" style="88" customWidth="1"/>
    <col min="10246" max="10484" width="11.7109375" style="88"/>
    <col min="10485" max="10485" width="12.28515625" style="88" customWidth="1"/>
    <col min="10486" max="10486" width="0" style="88" hidden="1" customWidth="1"/>
    <col min="10487" max="10487" width="0.7109375" style="88" customWidth="1"/>
    <col min="10488" max="10488" width="6.7109375" style="88" customWidth="1"/>
    <col min="10489" max="10489" width="4" style="88" customWidth="1"/>
    <col min="10490" max="10490" width="0.28515625" style="88" customWidth="1"/>
    <col min="10491" max="10492" width="4.7109375" style="88" customWidth="1"/>
    <col min="10493" max="10493" width="0.7109375" style="88" customWidth="1"/>
    <col min="10494" max="10494" width="6.28515625" style="88" customWidth="1"/>
    <col min="10495" max="10495" width="1.7109375" style="88" customWidth="1"/>
    <col min="10496" max="10496" width="4" style="88" customWidth="1"/>
    <col min="10497" max="10497" width="1.7109375" style="88" customWidth="1"/>
    <col min="10498" max="10498" width="5.28515625" style="88" customWidth="1"/>
    <col min="10499" max="10499" width="1.7109375" style="88" customWidth="1"/>
    <col min="10500" max="10500" width="5" style="88" customWidth="1"/>
    <col min="10501" max="10501" width="1.7109375" style="88" customWidth="1"/>
    <col min="10502" max="10740" width="11.7109375" style="88"/>
    <col min="10741" max="10741" width="12.28515625" style="88" customWidth="1"/>
    <col min="10742" max="10742" width="0" style="88" hidden="1" customWidth="1"/>
    <col min="10743" max="10743" width="0.7109375" style="88" customWidth="1"/>
    <col min="10744" max="10744" width="6.7109375" style="88" customWidth="1"/>
    <col min="10745" max="10745" width="4" style="88" customWidth="1"/>
    <col min="10746" max="10746" width="0.28515625" style="88" customWidth="1"/>
    <col min="10747" max="10748" width="4.7109375" style="88" customWidth="1"/>
    <col min="10749" max="10749" width="0.7109375" style="88" customWidth="1"/>
    <col min="10750" max="10750" width="6.28515625" style="88" customWidth="1"/>
    <col min="10751" max="10751" width="1.7109375" style="88" customWidth="1"/>
    <col min="10752" max="10752" width="4" style="88" customWidth="1"/>
    <col min="10753" max="10753" width="1.7109375" style="88" customWidth="1"/>
    <col min="10754" max="10754" width="5.28515625" style="88" customWidth="1"/>
    <col min="10755" max="10755" width="1.7109375" style="88" customWidth="1"/>
    <col min="10756" max="10756" width="5" style="88" customWidth="1"/>
    <col min="10757" max="10757" width="1.7109375" style="88" customWidth="1"/>
    <col min="10758" max="10996" width="11.7109375" style="88"/>
    <col min="10997" max="10997" width="12.28515625" style="88" customWidth="1"/>
    <col min="10998" max="10998" width="0" style="88" hidden="1" customWidth="1"/>
    <col min="10999" max="10999" width="0.7109375" style="88" customWidth="1"/>
    <col min="11000" max="11000" width="6.7109375" style="88" customWidth="1"/>
    <col min="11001" max="11001" width="4" style="88" customWidth="1"/>
    <col min="11002" max="11002" width="0.28515625" style="88" customWidth="1"/>
    <col min="11003" max="11004" width="4.7109375" style="88" customWidth="1"/>
    <col min="11005" max="11005" width="0.7109375" style="88" customWidth="1"/>
    <col min="11006" max="11006" width="6.28515625" style="88" customWidth="1"/>
    <col min="11007" max="11007" width="1.7109375" style="88" customWidth="1"/>
    <col min="11008" max="11008" width="4" style="88" customWidth="1"/>
    <col min="11009" max="11009" width="1.7109375" style="88" customWidth="1"/>
    <col min="11010" max="11010" width="5.28515625" style="88" customWidth="1"/>
    <col min="11011" max="11011" width="1.7109375" style="88" customWidth="1"/>
    <col min="11012" max="11012" width="5" style="88" customWidth="1"/>
    <col min="11013" max="11013" width="1.7109375" style="88" customWidth="1"/>
    <col min="11014" max="11252" width="11.7109375" style="88"/>
    <col min="11253" max="11253" width="12.28515625" style="88" customWidth="1"/>
    <col min="11254" max="11254" width="0" style="88" hidden="1" customWidth="1"/>
    <col min="11255" max="11255" width="0.7109375" style="88" customWidth="1"/>
    <col min="11256" max="11256" width="6.7109375" style="88" customWidth="1"/>
    <col min="11257" max="11257" width="4" style="88" customWidth="1"/>
    <col min="11258" max="11258" width="0.28515625" style="88" customWidth="1"/>
    <col min="11259" max="11260" width="4.7109375" style="88" customWidth="1"/>
    <col min="11261" max="11261" width="0.7109375" style="88" customWidth="1"/>
    <col min="11262" max="11262" width="6.28515625" style="88" customWidth="1"/>
    <col min="11263" max="11263" width="1.7109375" style="88" customWidth="1"/>
    <col min="11264" max="11264" width="4" style="88" customWidth="1"/>
    <col min="11265" max="11265" width="1.7109375" style="88" customWidth="1"/>
    <col min="11266" max="11266" width="5.28515625" style="88" customWidth="1"/>
    <col min="11267" max="11267" width="1.7109375" style="88" customWidth="1"/>
    <col min="11268" max="11268" width="5" style="88" customWidth="1"/>
    <col min="11269" max="11269" width="1.7109375" style="88" customWidth="1"/>
    <col min="11270" max="11508" width="11.7109375" style="88"/>
    <col min="11509" max="11509" width="12.28515625" style="88" customWidth="1"/>
    <col min="11510" max="11510" width="0" style="88" hidden="1" customWidth="1"/>
    <col min="11511" max="11511" width="0.7109375" style="88" customWidth="1"/>
    <col min="11512" max="11512" width="6.7109375" style="88" customWidth="1"/>
    <col min="11513" max="11513" width="4" style="88" customWidth="1"/>
    <col min="11514" max="11514" width="0.28515625" style="88" customWidth="1"/>
    <col min="11515" max="11516" width="4.7109375" style="88" customWidth="1"/>
    <col min="11517" max="11517" width="0.7109375" style="88" customWidth="1"/>
    <col min="11518" max="11518" width="6.28515625" style="88" customWidth="1"/>
    <col min="11519" max="11519" width="1.7109375" style="88" customWidth="1"/>
    <col min="11520" max="11520" width="4" style="88" customWidth="1"/>
    <col min="11521" max="11521" width="1.7109375" style="88" customWidth="1"/>
    <col min="11522" max="11522" width="5.28515625" style="88" customWidth="1"/>
    <col min="11523" max="11523" width="1.7109375" style="88" customWidth="1"/>
    <col min="11524" max="11524" width="5" style="88" customWidth="1"/>
    <col min="11525" max="11525" width="1.7109375" style="88" customWidth="1"/>
    <col min="11526" max="11764" width="11.7109375" style="88"/>
    <col min="11765" max="11765" width="12.28515625" style="88" customWidth="1"/>
    <col min="11766" max="11766" width="0" style="88" hidden="1" customWidth="1"/>
    <col min="11767" max="11767" width="0.7109375" style="88" customWidth="1"/>
    <col min="11768" max="11768" width="6.7109375" style="88" customWidth="1"/>
    <col min="11769" max="11769" width="4" style="88" customWidth="1"/>
    <col min="11770" max="11770" width="0.28515625" style="88" customWidth="1"/>
    <col min="11771" max="11772" width="4.7109375" style="88" customWidth="1"/>
    <col min="11773" max="11773" width="0.7109375" style="88" customWidth="1"/>
    <col min="11774" max="11774" width="6.28515625" style="88" customWidth="1"/>
    <col min="11775" max="11775" width="1.7109375" style="88" customWidth="1"/>
    <col min="11776" max="11776" width="4" style="88" customWidth="1"/>
    <col min="11777" max="11777" width="1.7109375" style="88" customWidth="1"/>
    <col min="11778" max="11778" width="5.28515625" style="88" customWidth="1"/>
    <col min="11779" max="11779" width="1.7109375" style="88" customWidth="1"/>
    <col min="11780" max="11780" width="5" style="88" customWidth="1"/>
    <col min="11781" max="11781" width="1.7109375" style="88" customWidth="1"/>
    <col min="11782" max="12020" width="11.7109375" style="88"/>
    <col min="12021" max="12021" width="12.28515625" style="88" customWidth="1"/>
    <col min="12022" max="12022" width="0" style="88" hidden="1" customWidth="1"/>
    <col min="12023" max="12023" width="0.7109375" style="88" customWidth="1"/>
    <col min="12024" max="12024" width="6.7109375" style="88" customWidth="1"/>
    <col min="12025" max="12025" width="4" style="88" customWidth="1"/>
    <col min="12026" max="12026" width="0.28515625" style="88" customWidth="1"/>
    <col min="12027" max="12028" width="4.7109375" style="88" customWidth="1"/>
    <col min="12029" max="12029" width="0.7109375" style="88" customWidth="1"/>
    <col min="12030" max="12030" width="6.28515625" style="88" customWidth="1"/>
    <col min="12031" max="12031" width="1.7109375" style="88" customWidth="1"/>
    <col min="12032" max="12032" width="4" style="88" customWidth="1"/>
    <col min="12033" max="12033" width="1.7109375" style="88" customWidth="1"/>
    <col min="12034" max="12034" width="5.28515625" style="88" customWidth="1"/>
    <col min="12035" max="12035" width="1.7109375" style="88" customWidth="1"/>
    <col min="12036" max="12036" width="5" style="88" customWidth="1"/>
    <col min="12037" max="12037" width="1.7109375" style="88" customWidth="1"/>
    <col min="12038" max="12276" width="11.7109375" style="88"/>
    <col min="12277" max="12277" width="12.28515625" style="88" customWidth="1"/>
    <col min="12278" max="12278" width="0" style="88" hidden="1" customWidth="1"/>
    <col min="12279" max="12279" width="0.7109375" style="88" customWidth="1"/>
    <col min="12280" max="12280" width="6.7109375" style="88" customWidth="1"/>
    <col min="12281" max="12281" width="4" style="88" customWidth="1"/>
    <col min="12282" max="12282" width="0.28515625" style="88" customWidth="1"/>
    <col min="12283" max="12284" width="4.7109375" style="88" customWidth="1"/>
    <col min="12285" max="12285" width="0.7109375" style="88" customWidth="1"/>
    <col min="12286" max="12286" width="6.28515625" style="88" customWidth="1"/>
    <col min="12287" max="12287" width="1.7109375" style="88" customWidth="1"/>
    <col min="12288" max="12288" width="4" style="88" customWidth="1"/>
    <col min="12289" max="12289" width="1.7109375" style="88" customWidth="1"/>
    <col min="12290" max="12290" width="5.28515625" style="88" customWidth="1"/>
    <col min="12291" max="12291" width="1.7109375" style="88" customWidth="1"/>
    <col min="12292" max="12292" width="5" style="88" customWidth="1"/>
    <col min="12293" max="12293" width="1.7109375" style="88" customWidth="1"/>
    <col min="12294" max="12532" width="11.7109375" style="88"/>
    <col min="12533" max="12533" width="12.28515625" style="88" customWidth="1"/>
    <col min="12534" max="12534" width="0" style="88" hidden="1" customWidth="1"/>
    <col min="12535" max="12535" width="0.7109375" style="88" customWidth="1"/>
    <col min="12536" max="12536" width="6.7109375" style="88" customWidth="1"/>
    <col min="12537" max="12537" width="4" style="88" customWidth="1"/>
    <col min="12538" max="12538" width="0.28515625" style="88" customWidth="1"/>
    <col min="12539" max="12540" width="4.7109375" style="88" customWidth="1"/>
    <col min="12541" max="12541" width="0.7109375" style="88" customWidth="1"/>
    <col min="12542" max="12542" width="6.28515625" style="88" customWidth="1"/>
    <col min="12543" max="12543" width="1.7109375" style="88" customWidth="1"/>
    <col min="12544" max="12544" width="4" style="88" customWidth="1"/>
    <col min="12545" max="12545" width="1.7109375" style="88" customWidth="1"/>
    <col min="12546" max="12546" width="5.28515625" style="88" customWidth="1"/>
    <col min="12547" max="12547" width="1.7109375" style="88" customWidth="1"/>
    <col min="12548" max="12548" width="5" style="88" customWidth="1"/>
    <col min="12549" max="12549" width="1.7109375" style="88" customWidth="1"/>
    <col min="12550" max="12788" width="11.7109375" style="88"/>
    <col min="12789" max="12789" width="12.28515625" style="88" customWidth="1"/>
    <col min="12790" max="12790" width="0" style="88" hidden="1" customWidth="1"/>
    <col min="12791" max="12791" width="0.7109375" style="88" customWidth="1"/>
    <col min="12792" max="12792" width="6.7109375" style="88" customWidth="1"/>
    <col min="12793" max="12793" width="4" style="88" customWidth="1"/>
    <col min="12794" max="12794" width="0.28515625" style="88" customWidth="1"/>
    <col min="12795" max="12796" width="4.7109375" style="88" customWidth="1"/>
    <col min="12797" max="12797" width="0.7109375" style="88" customWidth="1"/>
    <col min="12798" max="12798" width="6.28515625" style="88" customWidth="1"/>
    <col min="12799" max="12799" width="1.7109375" style="88" customWidth="1"/>
    <col min="12800" max="12800" width="4" style="88" customWidth="1"/>
    <col min="12801" max="12801" width="1.7109375" style="88" customWidth="1"/>
    <col min="12802" max="12802" width="5.28515625" style="88" customWidth="1"/>
    <col min="12803" max="12803" width="1.7109375" style="88" customWidth="1"/>
    <col min="12804" max="12804" width="5" style="88" customWidth="1"/>
    <col min="12805" max="12805" width="1.7109375" style="88" customWidth="1"/>
    <col min="12806" max="13044" width="11.7109375" style="88"/>
    <col min="13045" max="13045" width="12.28515625" style="88" customWidth="1"/>
    <col min="13046" max="13046" width="0" style="88" hidden="1" customWidth="1"/>
    <col min="13047" max="13047" width="0.7109375" style="88" customWidth="1"/>
    <col min="13048" max="13048" width="6.7109375" style="88" customWidth="1"/>
    <col min="13049" max="13049" width="4" style="88" customWidth="1"/>
    <col min="13050" max="13050" width="0.28515625" style="88" customWidth="1"/>
    <col min="13051" max="13052" width="4.7109375" style="88" customWidth="1"/>
    <col min="13053" max="13053" width="0.7109375" style="88" customWidth="1"/>
    <col min="13054" max="13054" width="6.28515625" style="88" customWidth="1"/>
    <col min="13055" max="13055" width="1.7109375" style="88" customWidth="1"/>
    <col min="13056" max="13056" width="4" style="88" customWidth="1"/>
    <col min="13057" max="13057" width="1.7109375" style="88" customWidth="1"/>
    <col min="13058" max="13058" width="5.28515625" style="88" customWidth="1"/>
    <col min="13059" max="13059" width="1.7109375" style="88" customWidth="1"/>
    <col min="13060" max="13060" width="5" style="88" customWidth="1"/>
    <col min="13061" max="13061" width="1.7109375" style="88" customWidth="1"/>
    <col min="13062" max="13300" width="11.7109375" style="88"/>
    <col min="13301" max="13301" width="12.28515625" style="88" customWidth="1"/>
    <col min="13302" max="13302" width="0" style="88" hidden="1" customWidth="1"/>
    <col min="13303" max="13303" width="0.7109375" style="88" customWidth="1"/>
    <col min="13304" max="13304" width="6.7109375" style="88" customWidth="1"/>
    <col min="13305" max="13305" width="4" style="88" customWidth="1"/>
    <col min="13306" max="13306" width="0.28515625" style="88" customWidth="1"/>
    <col min="13307" max="13308" width="4.7109375" style="88" customWidth="1"/>
    <col min="13309" max="13309" width="0.7109375" style="88" customWidth="1"/>
    <col min="13310" max="13310" width="6.28515625" style="88" customWidth="1"/>
    <col min="13311" max="13311" width="1.7109375" style="88" customWidth="1"/>
    <col min="13312" max="13312" width="4" style="88" customWidth="1"/>
    <col min="13313" max="13313" width="1.7109375" style="88" customWidth="1"/>
    <col min="13314" max="13314" width="5.28515625" style="88" customWidth="1"/>
    <col min="13315" max="13315" width="1.7109375" style="88" customWidth="1"/>
    <col min="13316" max="13316" width="5" style="88" customWidth="1"/>
    <col min="13317" max="13317" width="1.7109375" style="88" customWidth="1"/>
    <col min="13318" max="13556" width="11.7109375" style="88"/>
    <col min="13557" max="13557" width="12.28515625" style="88" customWidth="1"/>
    <col min="13558" max="13558" width="0" style="88" hidden="1" customWidth="1"/>
    <col min="13559" max="13559" width="0.7109375" style="88" customWidth="1"/>
    <col min="13560" max="13560" width="6.7109375" style="88" customWidth="1"/>
    <col min="13561" max="13561" width="4" style="88" customWidth="1"/>
    <col min="13562" max="13562" width="0.28515625" style="88" customWidth="1"/>
    <col min="13563" max="13564" width="4.7109375" style="88" customWidth="1"/>
    <col min="13565" max="13565" width="0.7109375" style="88" customWidth="1"/>
    <col min="13566" max="13566" width="6.28515625" style="88" customWidth="1"/>
    <col min="13567" max="13567" width="1.7109375" style="88" customWidth="1"/>
    <col min="13568" max="13568" width="4" style="88" customWidth="1"/>
    <col min="13569" max="13569" width="1.7109375" style="88" customWidth="1"/>
    <col min="13570" max="13570" width="5.28515625" style="88" customWidth="1"/>
    <col min="13571" max="13571" width="1.7109375" style="88" customWidth="1"/>
    <col min="13572" max="13572" width="5" style="88" customWidth="1"/>
    <col min="13573" max="13573" width="1.7109375" style="88" customWidth="1"/>
    <col min="13574" max="13812" width="11.7109375" style="88"/>
    <col min="13813" max="13813" width="12.28515625" style="88" customWidth="1"/>
    <col min="13814" max="13814" width="0" style="88" hidden="1" customWidth="1"/>
    <col min="13815" max="13815" width="0.7109375" style="88" customWidth="1"/>
    <col min="13816" max="13816" width="6.7109375" style="88" customWidth="1"/>
    <col min="13817" max="13817" width="4" style="88" customWidth="1"/>
    <col min="13818" max="13818" width="0.28515625" style="88" customWidth="1"/>
    <col min="13819" max="13820" width="4.7109375" style="88" customWidth="1"/>
    <col min="13821" max="13821" width="0.7109375" style="88" customWidth="1"/>
    <col min="13822" max="13822" width="6.28515625" style="88" customWidth="1"/>
    <col min="13823" max="13823" width="1.7109375" style="88" customWidth="1"/>
    <col min="13824" max="13824" width="4" style="88" customWidth="1"/>
    <col min="13825" max="13825" width="1.7109375" style="88" customWidth="1"/>
    <col min="13826" max="13826" width="5.28515625" style="88" customWidth="1"/>
    <col min="13827" max="13827" width="1.7109375" style="88" customWidth="1"/>
    <col min="13828" max="13828" width="5" style="88" customWidth="1"/>
    <col min="13829" max="13829" width="1.7109375" style="88" customWidth="1"/>
    <col min="13830" max="14068" width="11.7109375" style="88"/>
    <col min="14069" max="14069" width="12.28515625" style="88" customWidth="1"/>
    <col min="14070" max="14070" width="0" style="88" hidden="1" customWidth="1"/>
    <col min="14071" max="14071" width="0.7109375" style="88" customWidth="1"/>
    <col min="14072" max="14072" width="6.7109375" style="88" customWidth="1"/>
    <col min="14073" max="14073" width="4" style="88" customWidth="1"/>
    <col min="14074" max="14074" width="0.28515625" style="88" customWidth="1"/>
    <col min="14075" max="14076" width="4.7109375" style="88" customWidth="1"/>
    <col min="14077" max="14077" width="0.7109375" style="88" customWidth="1"/>
    <col min="14078" max="14078" width="6.28515625" style="88" customWidth="1"/>
    <col min="14079" max="14079" width="1.7109375" style="88" customWidth="1"/>
    <col min="14080" max="14080" width="4" style="88" customWidth="1"/>
    <col min="14081" max="14081" width="1.7109375" style="88" customWidth="1"/>
    <col min="14082" max="14082" width="5.28515625" style="88" customWidth="1"/>
    <col min="14083" max="14083" width="1.7109375" style="88" customWidth="1"/>
    <col min="14084" max="14084" width="5" style="88" customWidth="1"/>
    <col min="14085" max="14085" width="1.7109375" style="88" customWidth="1"/>
    <col min="14086" max="14324" width="11.7109375" style="88"/>
    <col min="14325" max="14325" width="12.28515625" style="88" customWidth="1"/>
    <col min="14326" max="14326" width="0" style="88" hidden="1" customWidth="1"/>
    <col min="14327" max="14327" width="0.7109375" style="88" customWidth="1"/>
    <col min="14328" max="14328" width="6.7109375" style="88" customWidth="1"/>
    <col min="14329" max="14329" width="4" style="88" customWidth="1"/>
    <col min="14330" max="14330" width="0.28515625" style="88" customWidth="1"/>
    <col min="14331" max="14332" width="4.7109375" style="88" customWidth="1"/>
    <col min="14333" max="14333" width="0.7109375" style="88" customWidth="1"/>
    <col min="14334" max="14334" width="6.28515625" style="88" customWidth="1"/>
    <col min="14335" max="14335" width="1.7109375" style="88" customWidth="1"/>
    <col min="14336" max="14336" width="4" style="88" customWidth="1"/>
    <col min="14337" max="14337" width="1.7109375" style="88" customWidth="1"/>
    <col min="14338" max="14338" width="5.28515625" style="88" customWidth="1"/>
    <col min="14339" max="14339" width="1.7109375" style="88" customWidth="1"/>
    <col min="14340" max="14340" width="5" style="88" customWidth="1"/>
    <col min="14341" max="14341" width="1.7109375" style="88" customWidth="1"/>
    <col min="14342" max="14580" width="11.7109375" style="88"/>
    <col min="14581" max="14581" width="12.28515625" style="88" customWidth="1"/>
    <col min="14582" max="14582" width="0" style="88" hidden="1" customWidth="1"/>
    <col min="14583" max="14583" width="0.7109375" style="88" customWidth="1"/>
    <col min="14584" max="14584" width="6.7109375" style="88" customWidth="1"/>
    <col min="14585" max="14585" width="4" style="88" customWidth="1"/>
    <col min="14586" max="14586" width="0.28515625" style="88" customWidth="1"/>
    <col min="14587" max="14588" width="4.7109375" style="88" customWidth="1"/>
    <col min="14589" max="14589" width="0.7109375" style="88" customWidth="1"/>
    <col min="14590" max="14590" width="6.28515625" style="88" customWidth="1"/>
    <col min="14591" max="14591" width="1.7109375" style="88" customWidth="1"/>
    <col min="14592" max="14592" width="4" style="88" customWidth="1"/>
    <col min="14593" max="14593" width="1.7109375" style="88" customWidth="1"/>
    <col min="14594" max="14594" width="5.28515625" style="88" customWidth="1"/>
    <col min="14595" max="14595" width="1.7109375" style="88" customWidth="1"/>
    <col min="14596" max="14596" width="5" style="88" customWidth="1"/>
    <col min="14597" max="14597" width="1.7109375" style="88" customWidth="1"/>
    <col min="14598" max="14836" width="11.7109375" style="88"/>
    <col min="14837" max="14837" width="12.28515625" style="88" customWidth="1"/>
    <col min="14838" max="14838" width="0" style="88" hidden="1" customWidth="1"/>
    <col min="14839" max="14839" width="0.7109375" style="88" customWidth="1"/>
    <col min="14840" max="14840" width="6.7109375" style="88" customWidth="1"/>
    <col min="14841" max="14841" width="4" style="88" customWidth="1"/>
    <col min="14842" max="14842" width="0.28515625" style="88" customWidth="1"/>
    <col min="14843" max="14844" width="4.7109375" style="88" customWidth="1"/>
    <col min="14845" max="14845" width="0.7109375" style="88" customWidth="1"/>
    <col min="14846" max="14846" width="6.28515625" style="88" customWidth="1"/>
    <col min="14847" max="14847" width="1.7109375" style="88" customWidth="1"/>
    <col min="14848" max="14848" width="4" style="88" customWidth="1"/>
    <col min="14849" max="14849" width="1.7109375" style="88" customWidth="1"/>
    <col min="14850" max="14850" width="5.28515625" style="88" customWidth="1"/>
    <col min="14851" max="14851" width="1.7109375" style="88" customWidth="1"/>
    <col min="14852" max="14852" width="5" style="88" customWidth="1"/>
    <col min="14853" max="14853" width="1.7109375" style="88" customWidth="1"/>
    <col min="14854" max="15092" width="11.7109375" style="88"/>
    <col min="15093" max="15093" width="12.28515625" style="88" customWidth="1"/>
    <col min="15094" max="15094" width="0" style="88" hidden="1" customWidth="1"/>
    <col min="15095" max="15095" width="0.7109375" style="88" customWidth="1"/>
    <col min="15096" max="15096" width="6.7109375" style="88" customWidth="1"/>
    <col min="15097" max="15097" width="4" style="88" customWidth="1"/>
    <col min="15098" max="15098" width="0.28515625" style="88" customWidth="1"/>
    <col min="15099" max="15100" width="4.7109375" style="88" customWidth="1"/>
    <col min="15101" max="15101" width="0.7109375" style="88" customWidth="1"/>
    <col min="15102" max="15102" width="6.28515625" style="88" customWidth="1"/>
    <col min="15103" max="15103" width="1.7109375" style="88" customWidth="1"/>
    <col min="15104" max="15104" width="4" style="88" customWidth="1"/>
    <col min="15105" max="15105" width="1.7109375" style="88" customWidth="1"/>
    <col min="15106" max="15106" width="5.28515625" style="88" customWidth="1"/>
    <col min="15107" max="15107" width="1.7109375" style="88" customWidth="1"/>
    <col min="15108" max="15108" width="5" style="88" customWidth="1"/>
    <col min="15109" max="15109" width="1.7109375" style="88" customWidth="1"/>
    <col min="15110" max="15348" width="11.7109375" style="88"/>
    <col min="15349" max="15349" width="12.28515625" style="88" customWidth="1"/>
    <col min="15350" max="15350" width="0" style="88" hidden="1" customWidth="1"/>
    <col min="15351" max="15351" width="0.7109375" style="88" customWidth="1"/>
    <col min="15352" max="15352" width="6.7109375" style="88" customWidth="1"/>
    <col min="15353" max="15353" width="4" style="88" customWidth="1"/>
    <col min="15354" max="15354" width="0.28515625" style="88" customWidth="1"/>
    <col min="15355" max="15356" width="4.7109375" style="88" customWidth="1"/>
    <col min="15357" max="15357" width="0.7109375" style="88" customWidth="1"/>
    <col min="15358" max="15358" width="6.28515625" style="88" customWidth="1"/>
    <col min="15359" max="15359" width="1.7109375" style="88" customWidth="1"/>
    <col min="15360" max="15360" width="4" style="88" customWidth="1"/>
    <col min="15361" max="15361" width="1.7109375" style="88" customWidth="1"/>
    <col min="15362" max="15362" width="5.28515625" style="88" customWidth="1"/>
    <col min="15363" max="15363" width="1.7109375" style="88" customWidth="1"/>
    <col min="15364" max="15364" width="5" style="88" customWidth="1"/>
    <col min="15365" max="15365" width="1.7109375" style="88" customWidth="1"/>
    <col min="15366" max="15604" width="11.7109375" style="88"/>
    <col min="15605" max="15605" width="12.28515625" style="88" customWidth="1"/>
    <col min="15606" max="15606" width="0" style="88" hidden="1" customWidth="1"/>
    <col min="15607" max="15607" width="0.7109375" style="88" customWidth="1"/>
    <col min="15608" max="15608" width="6.7109375" style="88" customWidth="1"/>
    <col min="15609" max="15609" width="4" style="88" customWidth="1"/>
    <col min="15610" max="15610" width="0.28515625" style="88" customWidth="1"/>
    <col min="15611" max="15612" width="4.7109375" style="88" customWidth="1"/>
    <col min="15613" max="15613" width="0.7109375" style="88" customWidth="1"/>
    <col min="15614" max="15614" width="6.28515625" style="88" customWidth="1"/>
    <col min="15615" max="15615" width="1.7109375" style="88" customWidth="1"/>
    <col min="15616" max="15616" width="4" style="88" customWidth="1"/>
    <col min="15617" max="15617" width="1.7109375" style="88" customWidth="1"/>
    <col min="15618" max="15618" width="5.28515625" style="88" customWidth="1"/>
    <col min="15619" max="15619" width="1.7109375" style="88" customWidth="1"/>
    <col min="15620" max="15620" width="5" style="88" customWidth="1"/>
    <col min="15621" max="15621" width="1.7109375" style="88" customWidth="1"/>
    <col min="15622" max="15860" width="11.7109375" style="88"/>
    <col min="15861" max="15861" width="12.28515625" style="88" customWidth="1"/>
    <col min="15862" max="15862" width="0" style="88" hidden="1" customWidth="1"/>
    <col min="15863" max="15863" width="0.7109375" style="88" customWidth="1"/>
    <col min="15864" max="15864" width="6.7109375" style="88" customWidth="1"/>
    <col min="15865" max="15865" width="4" style="88" customWidth="1"/>
    <col min="15866" max="15866" width="0.28515625" style="88" customWidth="1"/>
    <col min="15867" max="15868" width="4.7109375" style="88" customWidth="1"/>
    <col min="15869" max="15869" width="0.7109375" style="88" customWidth="1"/>
    <col min="15870" max="15870" width="6.28515625" style="88" customWidth="1"/>
    <col min="15871" max="15871" width="1.7109375" style="88" customWidth="1"/>
    <col min="15872" max="15872" width="4" style="88" customWidth="1"/>
    <col min="15873" max="15873" width="1.7109375" style="88" customWidth="1"/>
    <col min="15874" max="15874" width="5.28515625" style="88" customWidth="1"/>
    <col min="15875" max="15875" width="1.7109375" style="88" customWidth="1"/>
    <col min="15876" max="15876" width="5" style="88" customWidth="1"/>
    <col min="15877" max="15877" width="1.7109375" style="88" customWidth="1"/>
    <col min="15878" max="16116" width="11.7109375" style="88"/>
    <col min="16117" max="16117" width="12.28515625" style="88" customWidth="1"/>
    <col min="16118" max="16118" width="0" style="88" hidden="1" customWidth="1"/>
    <col min="16119" max="16119" width="0.7109375" style="88" customWidth="1"/>
    <col min="16120" max="16120" width="6.7109375" style="88" customWidth="1"/>
    <col min="16121" max="16121" width="4" style="88" customWidth="1"/>
    <col min="16122" max="16122" width="0.28515625" style="88" customWidth="1"/>
    <col min="16123" max="16124" width="4.7109375" style="88" customWidth="1"/>
    <col min="16125" max="16125" width="0.7109375" style="88" customWidth="1"/>
    <col min="16126" max="16126" width="6.28515625" style="88" customWidth="1"/>
    <col min="16127" max="16127" width="1.7109375" style="88" customWidth="1"/>
    <col min="16128" max="16128" width="4" style="88" customWidth="1"/>
    <col min="16129" max="16129" width="1.7109375" style="88" customWidth="1"/>
    <col min="16130" max="16130" width="5.28515625" style="88" customWidth="1"/>
    <col min="16131" max="16131" width="1.7109375" style="88" customWidth="1"/>
    <col min="16132" max="16132" width="5" style="88" customWidth="1"/>
    <col min="16133" max="16133" width="1.7109375" style="88" customWidth="1"/>
    <col min="16134" max="16375" width="11.7109375" style="88"/>
    <col min="16376" max="16384" width="11.7109375" style="88" customWidth="1"/>
  </cols>
  <sheetData>
    <row r="1" spans="1:14" s="43" customFormat="1" ht="12.75" customHeight="1" x14ac:dyDescent="0.25">
      <c r="A1" s="1159" t="s">
        <v>888</v>
      </c>
      <c r="B1" s="1159"/>
      <c r="C1" s="1159"/>
      <c r="D1" s="1159"/>
      <c r="E1" s="1159"/>
      <c r="F1" s="1159"/>
      <c r="G1" s="1159"/>
      <c r="H1" s="1159"/>
      <c r="I1" s="1159"/>
      <c r="J1" s="1159"/>
      <c r="K1" s="1159"/>
      <c r="L1" s="1159"/>
      <c r="M1" s="1159"/>
      <c r="N1" s="1159"/>
    </row>
    <row r="2" spans="1:14" s="47" customFormat="1" ht="12.75" customHeight="1" x14ac:dyDescent="0.25">
      <c r="B2" s="87"/>
      <c r="C2" s="87"/>
      <c r="D2" s="87"/>
      <c r="E2" s="87"/>
      <c r="F2" s="87"/>
      <c r="G2" s="87"/>
      <c r="H2" s="87"/>
      <c r="I2" s="87"/>
      <c r="J2" s="87"/>
      <c r="K2" s="87"/>
      <c r="L2" s="87"/>
      <c r="M2" s="87"/>
      <c r="N2" s="87"/>
    </row>
    <row r="3" spans="1:14" ht="19.5" customHeight="1" x14ac:dyDescent="0.3">
      <c r="A3" s="1166" t="s">
        <v>591</v>
      </c>
      <c r="B3" s="1167" t="s">
        <v>911</v>
      </c>
      <c r="C3" s="1167"/>
      <c r="D3" s="1167"/>
      <c r="E3" s="1167"/>
      <c r="F3" s="955"/>
      <c r="G3" s="1167" t="s">
        <v>912</v>
      </c>
      <c r="H3" s="1167"/>
      <c r="I3" s="1167"/>
      <c r="J3" s="1167"/>
      <c r="K3" s="1167"/>
      <c r="L3" s="1167"/>
      <c r="M3" s="1167"/>
      <c r="N3" s="455"/>
    </row>
    <row r="4" spans="1:14" ht="19.5" customHeight="1" x14ac:dyDescent="0.3">
      <c r="A4" s="1166"/>
      <c r="B4" s="956" t="s">
        <v>575</v>
      </c>
      <c r="C4" s="956" t="s">
        <v>574</v>
      </c>
      <c r="D4" s="956" t="s">
        <v>573</v>
      </c>
      <c r="E4" s="957" t="s">
        <v>572</v>
      </c>
      <c r="F4" s="958"/>
      <c r="G4" s="957" t="s">
        <v>575</v>
      </c>
      <c r="H4" s="959"/>
      <c r="I4" s="957" t="s">
        <v>574</v>
      </c>
      <c r="J4" s="959"/>
      <c r="K4" s="957" t="s">
        <v>573</v>
      </c>
      <c r="L4" s="959"/>
      <c r="M4" s="957" t="s">
        <v>572</v>
      </c>
      <c r="N4" s="456"/>
    </row>
    <row r="5" spans="1:14" ht="3" customHeight="1" x14ac:dyDescent="0.3">
      <c r="A5" s="960"/>
      <c r="B5" s="961"/>
      <c r="C5" s="961"/>
      <c r="D5" s="961"/>
      <c r="E5" s="961"/>
      <c r="F5" s="962"/>
      <c r="G5" s="963"/>
      <c r="H5" s="964"/>
      <c r="I5" s="963"/>
      <c r="J5" s="964"/>
      <c r="K5" s="963"/>
      <c r="L5" s="964"/>
      <c r="M5" s="963"/>
      <c r="N5" s="457"/>
    </row>
    <row r="6" spans="1:14" ht="15.95" customHeight="1" x14ac:dyDescent="0.3">
      <c r="A6" s="965" t="s">
        <v>913</v>
      </c>
      <c r="B6" s="966">
        <v>9.2457420924574212</v>
      </c>
      <c r="C6" s="966">
        <v>6.7183462532299743</v>
      </c>
      <c r="D6" s="966">
        <v>9.4143404488232072</v>
      </c>
      <c r="E6" s="966">
        <v>14.06926406926407</v>
      </c>
      <c r="F6" s="967"/>
      <c r="G6" s="968">
        <v>35.180722891566262</v>
      </c>
      <c r="H6" s="969"/>
      <c r="I6" s="968">
        <v>13</v>
      </c>
      <c r="J6" s="970"/>
      <c r="K6" s="968">
        <v>10.376843255051885</v>
      </c>
      <c r="L6" s="969"/>
      <c r="M6" s="968">
        <v>24.45759368836292</v>
      </c>
      <c r="N6" s="458"/>
    </row>
    <row r="7" spans="1:14" ht="15.95" customHeight="1" x14ac:dyDescent="0.3">
      <c r="A7" s="971" t="s">
        <v>590</v>
      </c>
      <c r="B7" s="972">
        <v>411</v>
      </c>
      <c r="C7" s="972">
        <v>387</v>
      </c>
      <c r="D7" s="972">
        <v>1827</v>
      </c>
      <c r="E7" s="972">
        <v>462</v>
      </c>
      <c r="F7" s="962"/>
      <c r="G7" s="962">
        <v>415</v>
      </c>
      <c r="H7" s="975" t="s">
        <v>140</v>
      </c>
      <c r="I7" s="962">
        <v>400</v>
      </c>
      <c r="J7" s="975" t="s">
        <v>140</v>
      </c>
      <c r="K7" s="962">
        <v>1831</v>
      </c>
      <c r="L7" s="975" t="s">
        <v>140</v>
      </c>
      <c r="M7" s="962">
        <v>507</v>
      </c>
      <c r="N7" s="976" t="s">
        <v>140</v>
      </c>
    </row>
    <row r="8" spans="1:14" ht="15.95" customHeight="1" x14ac:dyDescent="0.3">
      <c r="A8" s="973" t="s">
        <v>914</v>
      </c>
      <c r="B8" s="962">
        <v>38</v>
      </c>
      <c r="C8" s="962">
        <v>26</v>
      </c>
      <c r="D8" s="962">
        <v>172</v>
      </c>
      <c r="E8" s="962">
        <v>65</v>
      </c>
      <c r="F8" s="962"/>
      <c r="G8" s="972">
        <v>146</v>
      </c>
      <c r="H8" s="974"/>
      <c r="I8" s="972">
        <v>52</v>
      </c>
      <c r="J8" s="974"/>
      <c r="K8" s="972">
        <v>190</v>
      </c>
      <c r="L8" s="974"/>
      <c r="M8" s="972">
        <v>124</v>
      </c>
      <c r="N8" s="459"/>
    </row>
    <row r="9" spans="1:14" s="301" customFormat="1" ht="12" customHeight="1" x14ac:dyDescent="0.25">
      <c r="A9" s="1164" t="s">
        <v>750</v>
      </c>
      <c r="B9" s="1164"/>
      <c r="C9" s="1164"/>
      <c r="D9" s="1164"/>
      <c r="E9" s="1164"/>
      <c r="F9" s="1164"/>
      <c r="G9" s="1164"/>
      <c r="H9" s="1164"/>
      <c r="I9" s="1164"/>
      <c r="J9" s="1164"/>
      <c r="K9" s="1164"/>
      <c r="L9" s="1164"/>
      <c r="M9" s="1164"/>
      <c r="N9" s="1164"/>
    </row>
    <row r="10" spans="1:14" s="302" customFormat="1" ht="12" customHeight="1" x14ac:dyDescent="0.25">
      <c r="A10" s="1165" t="s">
        <v>751</v>
      </c>
      <c r="B10" s="1165"/>
      <c r="C10" s="1165"/>
      <c r="D10" s="1165"/>
      <c r="E10" s="1165"/>
      <c r="F10" s="1165"/>
      <c r="G10" s="1165"/>
      <c r="H10" s="1165"/>
      <c r="I10" s="1165"/>
      <c r="J10" s="1165"/>
      <c r="K10" s="1165"/>
      <c r="L10" s="1165"/>
      <c r="M10" s="1165"/>
      <c r="N10" s="1165"/>
    </row>
    <row r="11" spans="1:14" s="302" customFormat="1" ht="12" customHeight="1" x14ac:dyDescent="0.25">
      <c r="A11" s="1165" t="s">
        <v>749</v>
      </c>
      <c r="B11" s="1165"/>
      <c r="C11" s="1165"/>
      <c r="D11" s="1165"/>
      <c r="E11" s="1165"/>
      <c r="F11" s="1165"/>
      <c r="G11" s="1165"/>
      <c r="H11" s="1165"/>
      <c r="I11" s="1165"/>
      <c r="J11" s="1165"/>
      <c r="K11" s="1165"/>
      <c r="L11" s="1165"/>
      <c r="M11" s="1165"/>
      <c r="N11" s="1165"/>
    </row>
    <row r="12" spans="1:14" s="302" customFormat="1" ht="12" customHeight="1" x14ac:dyDescent="0.25">
      <c r="A12" s="1165" t="s">
        <v>752</v>
      </c>
      <c r="B12" s="1165"/>
      <c r="C12" s="1165"/>
      <c r="D12" s="1165"/>
      <c r="E12" s="1165"/>
      <c r="F12" s="1165"/>
      <c r="G12" s="1165"/>
      <c r="H12" s="1165"/>
      <c r="I12" s="1165"/>
      <c r="J12" s="1165"/>
      <c r="K12" s="1165"/>
      <c r="L12" s="1165"/>
      <c r="M12" s="1165"/>
      <c r="N12" s="1165"/>
    </row>
    <row r="13" spans="1:14" s="301" customFormat="1" ht="12" customHeight="1" x14ac:dyDescent="0.25">
      <c r="A13" s="303" t="s">
        <v>582</v>
      </c>
    </row>
    <row r="15" spans="1:14" ht="12.75" customHeight="1" x14ac:dyDescent="0.3">
      <c r="B15" s="90"/>
      <c r="C15" s="90"/>
      <c r="D15" s="90"/>
      <c r="E15" s="90"/>
      <c r="F15" s="90"/>
      <c r="G15" s="90"/>
      <c r="H15" s="90"/>
      <c r="I15" s="90"/>
      <c r="J15" s="90"/>
      <c r="K15" s="90"/>
      <c r="L15" s="90"/>
      <c r="M15" s="90"/>
      <c r="N15" s="90"/>
    </row>
  </sheetData>
  <mergeCells count="8">
    <mergeCell ref="A9:N9"/>
    <mergeCell ref="A10:N10"/>
    <mergeCell ref="A11:N11"/>
    <mergeCell ref="A12:N12"/>
    <mergeCell ref="A1:N1"/>
    <mergeCell ref="A3:A4"/>
    <mergeCell ref="B3:E3"/>
    <mergeCell ref="G3:M3"/>
  </mergeCells>
  <pageMargins left="0.51181102362204722" right="0.51181102362204722" top="0.74803149606299213" bottom="0.74803149606299213" header="0.31496062992125984" footer="0.31496062992125984"/>
  <pageSetup paperSize="9" scale="6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G73"/>
  <sheetViews>
    <sheetView showGridLines="0" zoomScaleNormal="100" zoomScaleSheetLayoutView="100" workbookViewId="0">
      <selection activeCell="A3" sqref="A1:A1048576"/>
    </sheetView>
  </sheetViews>
  <sheetFormatPr baseColWidth="10" defaultColWidth="11.28515625" defaultRowHeight="12.75" customHeight="1" x14ac:dyDescent="0.3"/>
  <cols>
    <col min="1" max="1" width="22.5703125" style="39" customWidth="1"/>
    <col min="2" max="2" width="13" style="39" customWidth="1"/>
    <col min="3" max="3" width="4.140625" style="39" customWidth="1"/>
    <col min="4" max="4" width="13" style="42" customWidth="1"/>
    <col min="5" max="5" width="4.7109375" style="39" customWidth="1"/>
    <col min="6" max="6" width="13" style="39" customWidth="1"/>
    <col min="7" max="7" width="6.7109375" style="39" customWidth="1"/>
    <col min="8" max="16384" width="11.28515625" style="39"/>
  </cols>
  <sheetData>
    <row r="1" spans="1:7" ht="12.75" customHeight="1" x14ac:dyDescent="0.3">
      <c r="A1" s="1159" t="s">
        <v>772</v>
      </c>
      <c r="B1" s="1159"/>
      <c r="C1" s="1159"/>
      <c r="D1" s="1159"/>
      <c r="E1" s="1159"/>
      <c r="F1" s="1159"/>
      <c r="G1" s="1159"/>
    </row>
    <row r="2" spans="1:7" ht="12.75" customHeight="1" x14ac:dyDescent="0.3">
      <c r="A2" s="1140" t="s">
        <v>659</v>
      </c>
      <c r="B2" s="1140"/>
      <c r="C2" s="1140"/>
      <c r="D2" s="1140"/>
      <c r="E2" s="1140"/>
      <c r="F2" s="1140"/>
      <c r="G2" s="1140"/>
    </row>
    <row r="3" spans="1:7" ht="3" customHeight="1" x14ac:dyDescent="0.3">
      <c r="A3" s="31"/>
      <c r="B3" s="84"/>
      <c r="C3" s="85"/>
      <c r="D3" s="304"/>
      <c r="E3" s="85"/>
    </row>
    <row r="4" spans="1:7" ht="24.75" customHeight="1" x14ac:dyDescent="0.3">
      <c r="A4" s="977" t="s">
        <v>576</v>
      </c>
      <c r="B4" s="978">
        <v>2003</v>
      </c>
      <c r="C4" s="979" t="s">
        <v>134</v>
      </c>
      <c r="D4" s="978">
        <v>2020</v>
      </c>
      <c r="E4" s="980"/>
      <c r="F4" s="978">
        <v>2021</v>
      </c>
      <c r="G4" s="980"/>
    </row>
    <row r="5" spans="1:7" s="86" customFormat="1" ht="12.75" hidden="1" customHeight="1" x14ac:dyDescent="0.3">
      <c r="A5" s="981"/>
      <c r="B5" s="996"/>
      <c r="C5" s="997"/>
      <c r="D5" s="996"/>
      <c r="E5" s="998"/>
      <c r="F5" s="996"/>
      <c r="G5" s="998"/>
    </row>
    <row r="6" spans="1:7" s="86" customFormat="1" ht="15.95" customHeight="1" x14ac:dyDescent="0.3">
      <c r="A6" s="984" t="s">
        <v>57</v>
      </c>
      <c r="B6" s="999">
        <v>3638</v>
      </c>
      <c r="C6" s="1000"/>
      <c r="D6" s="1001">
        <v>4283</v>
      </c>
      <c r="E6" s="949"/>
      <c r="F6" s="1001">
        <v>4332</v>
      </c>
      <c r="G6" s="949"/>
    </row>
    <row r="7" spans="1:7" s="86" customFormat="1" ht="12.75" hidden="1" customHeight="1" x14ac:dyDescent="0.3">
      <c r="A7" s="981"/>
      <c r="B7" s="1002"/>
      <c r="C7" s="998"/>
      <c r="D7" s="1003"/>
      <c r="E7" s="1004"/>
      <c r="F7" s="1005"/>
      <c r="G7" s="1005"/>
    </row>
    <row r="8" spans="1:7" ht="15.95" customHeight="1" x14ac:dyDescent="0.3">
      <c r="A8" s="981" t="s">
        <v>658</v>
      </c>
      <c r="B8" s="996">
        <v>602</v>
      </c>
      <c r="C8" s="1006"/>
      <c r="D8" s="991">
        <v>601</v>
      </c>
      <c r="E8" s="992" t="s">
        <v>132</v>
      </c>
      <c r="F8" s="991">
        <v>625</v>
      </c>
      <c r="G8" s="992" t="s">
        <v>132</v>
      </c>
    </row>
    <row r="9" spans="1:7" ht="15.95" customHeight="1" x14ac:dyDescent="0.3">
      <c r="A9" s="988" t="s">
        <v>657</v>
      </c>
      <c r="B9" s="1004">
        <v>168</v>
      </c>
      <c r="C9" s="998"/>
      <c r="D9" s="1007">
        <v>169</v>
      </c>
      <c r="E9" s="992"/>
      <c r="F9" s="1007">
        <v>169</v>
      </c>
      <c r="G9" s="992"/>
    </row>
    <row r="10" spans="1:7" ht="15.95" customHeight="1" x14ac:dyDescent="0.3">
      <c r="A10" s="988" t="s">
        <v>656</v>
      </c>
      <c r="B10" s="1004">
        <v>209</v>
      </c>
      <c r="C10" s="998"/>
      <c r="D10" s="1007">
        <v>208</v>
      </c>
      <c r="E10" s="992"/>
      <c r="F10" s="1007">
        <v>208</v>
      </c>
      <c r="G10" s="992"/>
    </row>
    <row r="11" spans="1:7" ht="15.95" customHeight="1" x14ac:dyDescent="0.3">
      <c r="A11" s="988" t="s">
        <v>655</v>
      </c>
      <c r="B11" s="1004">
        <v>37</v>
      </c>
      <c r="C11" s="998"/>
      <c r="D11" s="1007">
        <v>37</v>
      </c>
      <c r="E11" s="992"/>
      <c r="F11" s="1007">
        <v>37</v>
      </c>
      <c r="G11" s="992"/>
    </row>
    <row r="12" spans="1:7" ht="15.95" customHeight="1" x14ac:dyDescent="0.3">
      <c r="A12" s="988" t="s">
        <v>654</v>
      </c>
      <c r="B12" s="1004">
        <v>31</v>
      </c>
      <c r="C12" s="998"/>
      <c r="D12" s="1007">
        <v>32</v>
      </c>
      <c r="E12" s="992"/>
      <c r="F12" s="1007">
        <v>32</v>
      </c>
      <c r="G12" s="992"/>
    </row>
    <row r="13" spans="1:7" ht="15.95" customHeight="1" x14ac:dyDescent="0.3">
      <c r="A13" s="988" t="s">
        <v>653</v>
      </c>
      <c r="B13" s="1004">
        <v>157</v>
      </c>
      <c r="C13" s="998"/>
      <c r="D13" s="1007">
        <v>179</v>
      </c>
      <c r="E13" s="992"/>
      <c r="F13" s="1007">
        <v>179</v>
      </c>
      <c r="G13" s="992"/>
    </row>
    <row r="14" spans="1:7" ht="12.75" hidden="1" customHeight="1" x14ac:dyDescent="0.3">
      <c r="A14" s="988"/>
      <c r="B14" s="1004"/>
      <c r="C14" s="998"/>
      <c r="D14" s="1007"/>
      <c r="E14" s="992"/>
      <c r="F14" s="1007"/>
      <c r="G14" s="992"/>
    </row>
    <row r="15" spans="1:7" ht="15.95" customHeight="1" x14ac:dyDescent="0.3">
      <c r="A15" s="981" t="s">
        <v>652</v>
      </c>
      <c r="B15" s="991" t="s">
        <v>578</v>
      </c>
      <c r="C15" s="991"/>
      <c r="D15" s="991">
        <v>19</v>
      </c>
      <c r="E15" s="992" t="s">
        <v>140</v>
      </c>
      <c r="F15" s="991">
        <v>19</v>
      </c>
      <c r="G15" s="992" t="s">
        <v>140</v>
      </c>
    </row>
    <row r="16" spans="1:7" ht="12.75" hidden="1" customHeight="1" x14ac:dyDescent="0.3">
      <c r="A16" s="988"/>
      <c r="B16" s="1004"/>
      <c r="C16" s="998"/>
      <c r="D16" s="1007"/>
      <c r="E16" s="992"/>
      <c r="F16" s="1007"/>
      <c r="G16" s="992"/>
    </row>
    <row r="17" spans="1:7" ht="15.95" customHeight="1" x14ac:dyDescent="0.3">
      <c r="A17" s="981" t="s">
        <v>651</v>
      </c>
      <c r="B17" s="1007" t="s">
        <v>578</v>
      </c>
      <c r="C17" s="991"/>
      <c r="D17" s="991">
        <v>106</v>
      </c>
      <c r="E17" s="992" t="s">
        <v>650</v>
      </c>
      <c r="F17" s="991">
        <v>107</v>
      </c>
      <c r="G17" s="992" t="s">
        <v>891</v>
      </c>
    </row>
    <row r="18" spans="1:7" ht="15.95" customHeight="1" x14ac:dyDescent="0.3">
      <c r="A18" s="988" t="s">
        <v>649</v>
      </c>
      <c r="B18" s="1007" t="s">
        <v>578</v>
      </c>
      <c r="C18" s="998"/>
      <c r="D18" s="1007">
        <v>79</v>
      </c>
      <c r="E18" s="992"/>
      <c r="F18" s="1007">
        <v>79</v>
      </c>
      <c r="G18" s="992"/>
    </row>
    <row r="19" spans="1:7" ht="15.95" customHeight="1" x14ac:dyDescent="0.3">
      <c r="A19" s="988" t="s">
        <v>648</v>
      </c>
      <c r="B19" s="1007" t="s">
        <v>578</v>
      </c>
      <c r="C19" s="998"/>
      <c r="D19" s="1007">
        <v>8</v>
      </c>
      <c r="E19" s="992"/>
      <c r="F19" s="1007">
        <v>8</v>
      </c>
      <c r="G19" s="992"/>
    </row>
    <row r="20" spans="1:7" ht="15.95" customHeight="1" x14ac:dyDescent="0.3">
      <c r="A20" s="988" t="s">
        <v>647</v>
      </c>
      <c r="B20" s="1007" t="s">
        <v>578</v>
      </c>
      <c r="C20" s="998"/>
      <c r="D20" s="1007">
        <v>19</v>
      </c>
      <c r="E20" s="992"/>
      <c r="F20" s="1007">
        <v>20</v>
      </c>
      <c r="G20" s="992"/>
    </row>
    <row r="21" spans="1:7" ht="12.75" hidden="1" customHeight="1" x14ac:dyDescent="0.3">
      <c r="A21" s="988"/>
      <c r="B21" s="1004"/>
      <c r="C21" s="998"/>
      <c r="D21" s="1007"/>
      <c r="E21" s="992"/>
      <c r="F21" s="1007"/>
      <c r="G21" s="992"/>
    </row>
    <row r="22" spans="1:7" ht="15.95" customHeight="1" x14ac:dyDescent="0.3">
      <c r="A22" s="981" t="s">
        <v>646</v>
      </c>
      <c r="B22" s="991" t="s">
        <v>578</v>
      </c>
      <c r="C22" s="991"/>
      <c r="D22" s="991">
        <v>5</v>
      </c>
      <c r="E22" s="992" t="s">
        <v>603</v>
      </c>
      <c r="F22" s="991">
        <v>5</v>
      </c>
      <c r="G22" s="992" t="s">
        <v>603</v>
      </c>
    </row>
    <row r="23" spans="1:7" ht="12.75" hidden="1" customHeight="1" x14ac:dyDescent="0.3">
      <c r="A23" s="988"/>
      <c r="B23" s="1004"/>
      <c r="C23" s="998"/>
      <c r="D23" s="1007"/>
      <c r="E23" s="992"/>
      <c r="F23" s="1007"/>
      <c r="G23" s="992"/>
    </row>
    <row r="24" spans="1:7" ht="15.95" customHeight="1" x14ac:dyDescent="0.3">
      <c r="A24" s="981" t="s">
        <v>645</v>
      </c>
      <c r="B24" s="1002">
        <v>1024</v>
      </c>
      <c r="C24" s="991"/>
      <c r="D24" s="991">
        <v>1068</v>
      </c>
      <c r="E24" s="992" t="s">
        <v>644</v>
      </c>
      <c r="F24" s="991">
        <v>1071</v>
      </c>
      <c r="G24" s="992" t="s">
        <v>892</v>
      </c>
    </row>
    <row r="25" spans="1:7" ht="15.95" customHeight="1" x14ac:dyDescent="0.3">
      <c r="A25" s="988" t="s">
        <v>643</v>
      </c>
      <c r="B25" s="1004">
        <v>1</v>
      </c>
      <c r="C25" s="998"/>
      <c r="D25" s="1007">
        <v>1</v>
      </c>
      <c r="E25" s="992"/>
      <c r="F25" s="1007">
        <v>1</v>
      </c>
      <c r="G25" s="992"/>
    </row>
    <row r="26" spans="1:7" ht="15.95" customHeight="1" x14ac:dyDescent="0.3">
      <c r="A26" s="988" t="s">
        <v>642</v>
      </c>
      <c r="B26" s="1004">
        <v>1</v>
      </c>
      <c r="C26" s="998"/>
      <c r="D26" s="1007">
        <v>1</v>
      </c>
      <c r="E26" s="992"/>
      <c r="F26" s="1007">
        <v>1</v>
      </c>
      <c r="G26" s="992"/>
    </row>
    <row r="27" spans="1:7" ht="15.95" customHeight="1" x14ac:dyDescent="0.3">
      <c r="A27" s="988" t="s">
        <v>641</v>
      </c>
      <c r="B27" s="1004">
        <v>34</v>
      </c>
      <c r="C27" s="998"/>
      <c r="D27" s="1007">
        <v>34</v>
      </c>
      <c r="E27" s="992"/>
      <c r="F27" s="1007">
        <v>34</v>
      </c>
      <c r="G27" s="992"/>
    </row>
    <row r="28" spans="1:7" ht="15.95" customHeight="1" x14ac:dyDescent="0.3">
      <c r="A28" s="988" t="s">
        <v>640</v>
      </c>
      <c r="B28" s="1004">
        <v>3</v>
      </c>
      <c r="C28" s="998"/>
      <c r="D28" s="1007">
        <v>3</v>
      </c>
      <c r="E28" s="992"/>
      <c r="F28" s="1007">
        <v>3</v>
      </c>
      <c r="G28" s="992"/>
    </row>
    <row r="29" spans="1:7" ht="15.95" customHeight="1" x14ac:dyDescent="0.3">
      <c r="A29" s="988" t="s">
        <v>639</v>
      </c>
      <c r="B29" s="1004">
        <v>573</v>
      </c>
      <c r="C29" s="998"/>
      <c r="D29" s="1007">
        <v>589</v>
      </c>
      <c r="E29" s="992"/>
      <c r="F29" s="1007">
        <v>592</v>
      </c>
      <c r="G29" s="992"/>
    </row>
    <row r="30" spans="1:7" ht="15.95" customHeight="1" x14ac:dyDescent="0.3">
      <c r="A30" s="988" t="s">
        <v>638</v>
      </c>
      <c r="B30" s="1004">
        <v>373</v>
      </c>
      <c r="C30" s="998"/>
      <c r="D30" s="1007">
        <v>401</v>
      </c>
      <c r="E30" s="992"/>
      <c r="F30" s="1007">
        <v>401</v>
      </c>
      <c r="G30" s="992"/>
    </row>
    <row r="31" spans="1:7" ht="15.95" customHeight="1" x14ac:dyDescent="0.3">
      <c r="A31" s="988" t="s">
        <v>637</v>
      </c>
      <c r="B31" s="1004">
        <v>3</v>
      </c>
      <c r="C31" s="998"/>
      <c r="D31" s="1007">
        <v>3</v>
      </c>
      <c r="E31" s="992"/>
      <c r="F31" s="1007">
        <v>3</v>
      </c>
      <c r="G31" s="992"/>
    </row>
    <row r="32" spans="1:7" ht="15.95" customHeight="1" x14ac:dyDescent="0.3">
      <c r="A32" s="988" t="s">
        <v>636</v>
      </c>
      <c r="B32" s="1004">
        <v>36</v>
      </c>
      <c r="C32" s="998"/>
      <c r="D32" s="1007">
        <v>36</v>
      </c>
      <c r="E32" s="992"/>
      <c r="F32" s="1007">
        <v>36</v>
      </c>
      <c r="G32" s="992"/>
    </row>
    <row r="33" spans="1:7" ht="12.75" hidden="1" customHeight="1" x14ac:dyDescent="0.3">
      <c r="A33" s="988"/>
      <c r="B33" s="1004"/>
      <c r="C33" s="998"/>
      <c r="D33" s="1007"/>
      <c r="E33" s="992"/>
      <c r="F33" s="1007"/>
      <c r="G33" s="992"/>
    </row>
    <row r="34" spans="1:7" ht="15.95" customHeight="1" x14ac:dyDescent="0.3">
      <c r="A34" s="981" t="s">
        <v>635</v>
      </c>
      <c r="B34" s="996">
        <v>341</v>
      </c>
      <c r="C34" s="1006"/>
      <c r="D34" s="991">
        <v>341</v>
      </c>
      <c r="E34" s="992" t="s">
        <v>134</v>
      </c>
      <c r="F34" s="991">
        <v>354</v>
      </c>
      <c r="G34" s="992" t="s">
        <v>893</v>
      </c>
    </row>
    <row r="35" spans="1:7" ht="15.95" customHeight="1" x14ac:dyDescent="0.3">
      <c r="A35" s="988" t="s">
        <v>634</v>
      </c>
      <c r="B35" s="1004">
        <v>207</v>
      </c>
      <c r="C35" s="998"/>
      <c r="D35" s="1007">
        <v>207</v>
      </c>
      <c r="E35" s="992"/>
      <c r="F35" s="1007">
        <v>242</v>
      </c>
      <c r="G35" s="992"/>
    </row>
    <row r="36" spans="1:7" ht="15.95" customHeight="1" x14ac:dyDescent="0.3">
      <c r="A36" s="988" t="s">
        <v>633</v>
      </c>
      <c r="B36" s="1004">
        <v>134</v>
      </c>
      <c r="C36" s="998"/>
      <c r="D36" s="1007">
        <v>134</v>
      </c>
      <c r="E36" s="992"/>
      <c r="F36" s="1007">
        <v>112</v>
      </c>
      <c r="G36" s="992"/>
    </row>
    <row r="37" spans="1:7" ht="12.75" hidden="1" customHeight="1" x14ac:dyDescent="0.3">
      <c r="A37" s="988"/>
      <c r="B37" s="1004"/>
      <c r="C37" s="998"/>
      <c r="D37" s="1007"/>
      <c r="E37" s="992"/>
      <c r="F37" s="1007"/>
      <c r="G37" s="992"/>
    </row>
    <row r="38" spans="1:7" ht="15.95" customHeight="1" x14ac:dyDescent="0.3">
      <c r="A38" s="981" t="s">
        <v>632</v>
      </c>
      <c r="B38" s="991" t="s">
        <v>578</v>
      </c>
      <c r="C38" s="1006"/>
      <c r="D38" s="991">
        <v>2</v>
      </c>
      <c r="E38" s="992" t="s">
        <v>626</v>
      </c>
      <c r="F38" s="991">
        <v>3</v>
      </c>
      <c r="G38" s="992" t="s">
        <v>894</v>
      </c>
    </row>
    <row r="39" spans="1:7" ht="12.75" hidden="1" customHeight="1" x14ac:dyDescent="0.3">
      <c r="A39" s="988"/>
      <c r="B39" s="1004"/>
      <c r="C39" s="998"/>
      <c r="D39" s="1007"/>
      <c r="E39" s="992"/>
      <c r="F39" s="1007"/>
      <c r="G39" s="992"/>
    </row>
    <row r="40" spans="1:7" ht="15.95" customHeight="1" x14ac:dyDescent="0.3">
      <c r="A40" s="981" t="s">
        <v>631</v>
      </c>
      <c r="B40" s="991" t="s">
        <v>578</v>
      </c>
      <c r="C40" s="1006"/>
      <c r="D40" s="991">
        <v>1</v>
      </c>
      <c r="E40" s="992" t="s">
        <v>626</v>
      </c>
      <c r="F40" s="991">
        <v>1</v>
      </c>
      <c r="G40" s="992" t="s">
        <v>626</v>
      </c>
    </row>
    <row r="41" spans="1:7" ht="12.75" hidden="1" customHeight="1" x14ac:dyDescent="0.3">
      <c r="A41" s="988"/>
      <c r="B41" s="1004"/>
      <c r="C41" s="998"/>
      <c r="D41" s="1007"/>
      <c r="E41" s="992"/>
      <c r="F41" s="892"/>
      <c r="G41" s="892"/>
    </row>
    <row r="42" spans="1:7" ht="15.95" customHeight="1" x14ac:dyDescent="0.3">
      <c r="A42" s="981" t="s">
        <v>630</v>
      </c>
      <c r="B42" s="991" t="s">
        <v>578</v>
      </c>
      <c r="C42" s="1006"/>
      <c r="D42" s="991">
        <v>1</v>
      </c>
      <c r="E42" s="992" t="s">
        <v>626</v>
      </c>
      <c r="F42" s="991">
        <v>3</v>
      </c>
      <c r="G42" s="992" t="s">
        <v>895</v>
      </c>
    </row>
    <row r="43" spans="1:7" ht="12.75" hidden="1" customHeight="1" x14ac:dyDescent="0.3">
      <c r="A43" s="988"/>
      <c r="B43" s="1004"/>
      <c r="C43" s="998"/>
      <c r="D43" s="1007"/>
      <c r="E43" s="992"/>
      <c r="F43" s="892"/>
      <c r="G43" s="892"/>
    </row>
    <row r="44" spans="1:7" ht="15.95" customHeight="1" x14ac:dyDescent="0.3">
      <c r="A44" s="981" t="s">
        <v>629</v>
      </c>
      <c r="B44" s="991" t="s">
        <v>578</v>
      </c>
      <c r="C44" s="1006"/>
      <c r="D44" s="991">
        <v>1</v>
      </c>
      <c r="E44" s="992" t="s">
        <v>626</v>
      </c>
      <c r="F44" s="991">
        <v>1</v>
      </c>
      <c r="G44" s="992" t="s">
        <v>626</v>
      </c>
    </row>
    <row r="45" spans="1:7" ht="12.75" hidden="1" customHeight="1" x14ac:dyDescent="0.3">
      <c r="A45" s="988"/>
      <c r="B45" s="1004"/>
      <c r="C45" s="998"/>
      <c r="D45" s="1007"/>
      <c r="E45" s="992"/>
      <c r="F45" s="1007"/>
      <c r="G45" s="992"/>
    </row>
    <row r="46" spans="1:7" ht="15.95" customHeight="1" x14ac:dyDescent="0.3">
      <c r="A46" s="981" t="s">
        <v>628</v>
      </c>
      <c r="B46" s="996">
        <v>2</v>
      </c>
      <c r="C46" s="1006"/>
      <c r="D46" s="991">
        <v>2</v>
      </c>
      <c r="E46" s="992" t="s">
        <v>134</v>
      </c>
      <c r="F46" s="991">
        <v>2</v>
      </c>
      <c r="G46" s="992" t="s">
        <v>134</v>
      </c>
    </row>
    <row r="47" spans="1:7" ht="12.75" hidden="1" customHeight="1" x14ac:dyDescent="0.3">
      <c r="A47" s="981"/>
      <c r="B47" s="996"/>
      <c r="C47" s="1006"/>
      <c r="D47" s="991"/>
      <c r="E47" s="992"/>
      <c r="F47" s="991"/>
      <c r="G47" s="992"/>
    </row>
    <row r="48" spans="1:7" ht="15.95" customHeight="1" x14ac:dyDescent="0.3">
      <c r="A48" s="981" t="s">
        <v>627</v>
      </c>
      <c r="B48" s="991" t="s">
        <v>578</v>
      </c>
      <c r="C48" s="1006"/>
      <c r="D48" s="991">
        <v>1</v>
      </c>
      <c r="E48" s="992" t="s">
        <v>626</v>
      </c>
      <c r="F48" s="991">
        <v>1</v>
      </c>
      <c r="G48" s="992" t="s">
        <v>626</v>
      </c>
    </row>
    <row r="49" spans="1:7" ht="12.75" hidden="1" customHeight="1" x14ac:dyDescent="0.3">
      <c r="A49" s="981"/>
      <c r="B49" s="996"/>
      <c r="C49" s="1006"/>
      <c r="D49" s="991"/>
      <c r="E49" s="992"/>
      <c r="F49" s="991"/>
      <c r="G49" s="992"/>
    </row>
    <row r="50" spans="1:7" ht="15.95" customHeight="1" x14ac:dyDescent="0.3">
      <c r="A50" s="981" t="s">
        <v>625</v>
      </c>
      <c r="B50" s="996">
        <v>480</v>
      </c>
      <c r="C50" s="1006"/>
      <c r="D50" s="991">
        <v>728</v>
      </c>
      <c r="E50" s="992" t="s">
        <v>624</v>
      </c>
      <c r="F50" s="991">
        <v>729</v>
      </c>
      <c r="G50" s="992" t="s">
        <v>896</v>
      </c>
    </row>
    <row r="51" spans="1:7" ht="15.95" customHeight="1" x14ac:dyDescent="0.3">
      <c r="A51" s="990" t="s">
        <v>623</v>
      </c>
      <c r="B51" s="1004">
        <v>6</v>
      </c>
      <c r="C51" s="998"/>
      <c r="D51" s="1007">
        <v>22</v>
      </c>
      <c r="E51" s="992"/>
      <c r="F51" s="1007">
        <v>22</v>
      </c>
      <c r="G51" s="992"/>
    </row>
    <row r="52" spans="1:7" ht="15.95" customHeight="1" x14ac:dyDescent="0.3">
      <c r="A52" s="988" t="s">
        <v>622</v>
      </c>
      <c r="B52" s="1004">
        <v>24</v>
      </c>
      <c r="C52" s="998"/>
      <c r="D52" s="1007">
        <v>24</v>
      </c>
      <c r="E52" s="992"/>
      <c r="F52" s="1007">
        <v>24</v>
      </c>
      <c r="G52" s="992"/>
    </row>
    <row r="53" spans="1:7" ht="15.95" customHeight="1" x14ac:dyDescent="0.3">
      <c r="A53" s="988" t="s">
        <v>621</v>
      </c>
      <c r="B53" s="1007" t="s">
        <v>578</v>
      </c>
      <c r="C53" s="998"/>
      <c r="D53" s="1007">
        <v>147</v>
      </c>
      <c r="E53" s="992"/>
      <c r="F53" s="1007">
        <v>147</v>
      </c>
      <c r="G53" s="992"/>
    </row>
    <row r="54" spans="1:7" ht="15.95" customHeight="1" x14ac:dyDescent="0.3">
      <c r="A54" s="988" t="s">
        <v>620</v>
      </c>
      <c r="B54" s="1007" t="s">
        <v>578</v>
      </c>
      <c r="C54" s="998"/>
      <c r="D54" s="1007">
        <v>5</v>
      </c>
      <c r="E54" s="992"/>
      <c r="F54" s="1007">
        <v>5</v>
      </c>
      <c r="G54" s="992"/>
    </row>
    <row r="55" spans="1:7" ht="15.95" customHeight="1" x14ac:dyDescent="0.3">
      <c r="A55" s="988" t="s">
        <v>619</v>
      </c>
      <c r="B55" s="1007" t="s">
        <v>578</v>
      </c>
      <c r="C55" s="998"/>
      <c r="D55" s="1007">
        <v>14</v>
      </c>
      <c r="E55" s="992"/>
      <c r="F55" s="1007">
        <v>14</v>
      </c>
      <c r="G55" s="992"/>
    </row>
    <row r="56" spans="1:7" ht="15.95" customHeight="1" x14ac:dyDescent="0.3">
      <c r="A56" s="988" t="s">
        <v>618</v>
      </c>
      <c r="B56" s="1007" t="s">
        <v>578</v>
      </c>
      <c r="C56" s="998"/>
      <c r="D56" s="1007">
        <v>5</v>
      </c>
      <c r="E56" s="992"/>
      <c r="F56" s="1007">
        <v>5</v>
      </c>
      <c r="G56" s="992"/>
    </row>
    <row r="57" spans="1:7" ht="15.95" customHeight="1" x14ac:dyDescent="0.3">
      <c r="A57" s="988" t="s">
        <v>617</v>
      </c>
      <c r="B57" s="1004">
        <v>18</v>
      </c>
      <c r="C57" s="998"/>
      <c r="D57" s="1007">
        <v>18</v>
      </c>
      <c r="E57" s="992"/>
      <c r="F57" s="1007">
        <v>18</v>
      </c>
      <c r="G57" s="992"/>
    </row>
    <row r="58" spans="1:7" ht="15.95" customHeight="1" x14ac:dyDescent="0.3">
      <c r="A58" s="988" t="s">
        <v>616</v>
      </c>
      <c r="B58" s="1004">
        <v>18</v>
      </c>
      <c r="C58" s="998"/>
      <c r="D58" s="1007">
        <v>75</v>
      </c>
      <c r="E58" s="992"/>
      <c r="F58" s="1007">
        <v>75</v>
      </c>
      <c r="G58" s="992"/>
    </row>
    <row r="59" spans="1:7" ht="15.95" customHeight="1" x14ac:dyDescent="0.3">
      <c r="A59" s="988" t="s">
        <v>615</v>
      </c>
      <c r="B59" s="1004">
        <v>397</v>
      </c>
      <c r="C59" s="998"/>
      <c r="D59" s="1007">
        <v>403</v>
      </c>
      <c r="E59" s="992"/>
      <c r="F59" s="1007">
        <v>404</v>
      </c>
      <c r="G59" s="992"/>
    </row>
    <row r="60" spans="1:7" ht="15.95" customHeight="1" x14ac:dyDescent="0.3">
      <c r="A60" s="988" t="s">
        <v>614</v>
      </c>
      <c r="B60" s="1004">
        <v>17</v>
      </c>
      <c r="C60" s="998"/>
      <c r="D60" s="1007">
        <v>15</v>
      </c>
      <c r="E60" s="992"/>
      <c r="F60" s="1007">
        <v>15</v>
      </c>
      <c r="G60" s="992"/>
    </row>
    <row r="61" spans="1:7" ht="12.75" hidden="1" customHeight="1" x14ac:dyDescent="0.3">
      <c r="A61" s="988"/>
      <c r="B61" s="1004"/>
      <c r="C61" s="998"/>
      <c r="D61" s="1007"/>
      <c r="E61" s="992"/>
      <c r="F61" s="1007"/>
      <c r="G61" s="992"/>
    </row>
    <row r="62" spans="1:7" ht="15.95" customHeight="1" x14ac:dyDescent="0.3">
      <c r="A62" s="981" t="s">
        <v>613</v>
      </c>
      <c r="B62" s="991" t="s">
        <v>578</v>
      </c>
      <c r="C62" s="998"/>
      <c r="D62" s="991">
        <v>167</v>
      </c>
      <c r="E62" s="1008" t="s">
        <v>612</v>
      </c>
      <c r="F62" s="991">
        <f>SUM(F63:F66)</f>
        <v>167</v>
      </c>
      <c r="G62" s="1008" t="s">
        <v>612</v>
      </c>
    </row>
    <row r="63" spans="1:7" ht="15.95" customHeight="1" x14ac:dyDescent="0.3">
      <c r="A63" s="990" t="s">
        <v>611</v>
      </c>
      <c r="B63" s="1007" t="s">
        <v>578</v>
      </c>
      <c r="C63" s="998"/>
      <c r="D63" s="1007">
        <v>62</v>
      </c>
      <c r="E63" s="992"/>
      <c r="F63" s="1007">
        <v>62</v>
      </c>
      <c r="G63" s="992"/>
    </row>
    <row r="64" spans="1:7" ht="15.95" customHeight="1" x14ac:dyDescent="0.3">
      <c r="A64" s="990" t="s">
        <v>610</v>
      </c>
      <c r="B64" s="1007" t="s">
        <v>578</v>
      </c>
      <c r="C64" s="998"/>
      <c r="D64" s="1007">
        <v>1</v>
      </c>
      <c r="E64" s="992"/>
      <c r="F64" s="1007">
        <v>1</v>
      </c>
      <c r="G64" s="992"/>
    </row>
    <row r="65" spans="1:7" ht="15.95" customHeight="1" x14ac:dyDescent="0.3">
      <c r="A65" s="990" t="s">
        <v>609</v>
      </c>
      <c r="B65" s="1007" t="s">
        <v>578</v>
      </c>
      <c r="C65" s="998"/>
      <c r="D65" s="1007">
        <v>33</v>
      </c>
      <c r="E65" s="992"/>
      <c r="F65" s="1007">
        <v>33</v>
      </c>
      <c r="G65" s="992"/>
    </row>
    <row r="66" spans="1:7" ht="15.95" customHeight="1" x14ac:dyDescent="0.3">
      <c r="A66" s="990" t="s">
        <v>608</v>
      </c>
      <c r="B66" s="1007" t="s">
        <v>578</v>
      </c>
      <c r="C66" s="998"/>
      <c r="D66" s="1007">
        <v>71</v>
      </c>
      <c r="E66" s="992"/>
      <c r="F66" s="1007">
        <v>71</v>
      </c>
      <c r="G66" s="992"/>
    </row>
    <row r="67" spans="1:7" ht="3" customHeight="1" x14ac:dyDescent="0.3">
      <c r="A67" s="988"/>
      <c r="B67" s="1004"/>
      <c r="C67" s="998"/>
      <c r="D67" s="1007"/>
      <c r="E67" s="992"/>
      <c r="F67" s="1007"/>
      <c r="G67" s="992"/>
    </row>
    <row r="68" spans="1:7" ht="15.95" customHeight="1" x14ac:dyDescent="0.3">
      <c r="A68" s="981" t="s">
        <v>607</v>
      </c>
      <c r="B68" s="991" t="s">
        <v>578</v>
      </c>
      <c r="C68" s="991"/>
      <c r="D68" s="991">
        <v>15</v>
      </c>
      <c r="E68" s="992" t="s">
        <v>603</v>
      </c>
      <c r="F68" s="991">
        <v>15</v>
      </c>
      <c r="G68" s="992" t="s">
        <v>603</v>
      </c>
    </row>
    <row r="69" spans="1:7" ht="12.75" hidden="1" customHeight="1" x14ac:dyDescent="0.3">
      <c r="A69" s="988"/>
      <c r="B69" s="1004"/>
      <c r="C69" s="998"/>
      <c r="D69" s="1007"/>
      <c r="E69" s="992"/>
      <c r="F69" s="1007"/>
      <c r="G69" s="992"/>
    </row>
    <row r="70" spans="1:7" ht="15.95" customHeight="1" x14ac:dyDescent="0.3">
      <c r="A70" s="981" t="s">
        <v>606</v>
      </c>
      <c r="B70" s="991" t="s">
        <v>578</v>
      </c>
      <c r="C70" s="991"/>
      <c r="D70" s="991">
        <v>9</v>
      </c>
      <c r="E70" s="992" t="s">
        <v>603</v>
      </c>
      <c r="F70" s="991">
        <v>9</v>
      </c>
      <c r="G70" s="992" t="s">
        <v>603</v>
      </c>
    </row>
    <row r="71" spans="1:7" ht="3" customHeight="1" x14ac:dyDescent="0.3">
      <c r="A71" s="464"/>
      <c r="B71" s="993"/>
      <c r="C71" s="994"/>
      <c r="D71" s="465"/>
      <c r="E71" s="466"/>
      <c r="F71" s="995"/>
      <c r="G71" s="995"/>
    </row>
    <row r="72" spans="1:7" ht="15.95" customHeight="1" x14ac:dyDescent="0.3">
      <c r="A72" s="461"/>
      <c r="B72" s="461"/>
      <c r="C72" s="460"/>
      <c r="D72" s="463"/>
      <c r="E72" s="462"/>
      <c r="F72" s="519"/>
      <c r="G72" s="520" t="s">
        <v>59</v>
      </c>
    </row>
    <row r="73" spans="1:7" ht="12.75" customHeight="1" x14ac:dyDescent="0.3">
      <c r="A73" s="41"/>
    </row>
  </sheetData>
  <mergeCells count="2">
    <mergeCell ref="A1:G1"/>
    <mergeCell ref="A2:G2"/>
  </mergeCells>
  <printOptions horizontalCentered="1"/>
  <pageMargins left="0.98425196850393704" right="0.98425196850393704" top="0.74803149606299213" bottom="0.74803149606299213" header="0.31496062992125984" footer="0.3149606299212598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H35"/>
  <sheetViews>
    <sheetView showGridLines="0" topLeftCell="A25" zoomScaleNormal="100" zoomScaleSheetLayoutView="100" workbookViewId="0">
      <selection activeCell="F38" sqref="F38"/>
    </sheetView>
  </sheetViews>
  <sheetFormatPr baseColWidth="10" defaultColWidth="11.28515625" defaultRowHeight="12.75" customHeight="1" x14ac:dyDescent="0.3"/>
  <cols>
    <col min="1" max="1" width="24.42578125" style="39" customWidth="1"/>
    <col min="2" max="2" width="11.140625" style="39" customWidth="1"/>
    <col min="3" max="3" width="4.140625" style="39" customWidth="1"/>
    <col min="4" max="4" width="11.140625" style="42" customWidth="1"/>
    <col min="5" max="5" width="4.7109375" style="39" customWidth="1"/>
    <col min="6" max="6" width="11.140625" style="39" customWidth="1"/>
    <col min="7" max="7" width="8.7109375" style="39" customWidth="1"/>
    <col min="8" max="16384" width="11.28515625" style="39"/>
  </cols>
  <sheetData>
    <row r="1" spans="1:8" ht="12.75" customHeight="1" x14ac:dyDescent="0.3">
      <c r="A1" s="1159" t="s">
        <v>772</v>
      </c>
      <c r="B1" s="1159"/>
      <c r="C1" s="1159"/>
      <c r="D1" s="1159"/>
      <c r="E1" s="1159"/>
      <c r="F1" s="1159"/>
      <c r="G1" s="1159"/>
    </row>
    <row r="2" spans="1:8" ht="12.75" customHeight="1" x14ac:dyDescent="0.3">
      <c r="A2" s="1140" t="s">
        <v>659</v>
      </c>
      <c r="B2" s="1140"/>
      <c r="C2" s="1140"/>
      <c r="D2" s="1140"/>
      <c r="E2" s="1140"/>
      <c r="F2" s="1140"/>
      <c r="G2" s="1140"/>
    </row>
    <row r="3" spans="1:8" ht="15.95" customHeight="1" x14ac:dyDescent="0.3">
      <c r="A3" s="31"/>
      <c r="B3" s="84"/>
      <c r="C3" s="85"/>
      <c r="D3" s="304"/>
      <c r="E3" s="85"/>
      <c r="G3" s="521" t="s">
        <v>50</v>
      </c>
    </row>
    <row r="4" spans="1:8" ht="24.75" customHeight="1" x14ac:dyDescent="0.3">
      <c r="A4" s="977" t="s">
        <v>576</v>
      </c>
      <c r="B4" s="978">
        <v>2003</v>
      </c>
      <c r="C4" s="979" t="s">
        <v>134</v>
      </c>
      <c r="D4" s="978">
        <v>2020</v>
      </c>
      <c r="E4" s="980"/>
      <c r="F4" s="978">
        <v>2021</v>
      </c>
      <c r="G4" s="980"/>
      <c r="H4" s="519"/>
    </row>
    <row r="5" spans="1:8" ht="3.6" customHeight="1" x14ac:dyDescent="0.3">
      <c r="A5" s="988"/>
      <c r="B5" s="986"/>
      <c r="C5" s="983"/>
      <c r="D5" s="989"/>
      <c r="E5" s="518"/>
      <c r="H5" s="519"/>
    </row>
    <row r="6" spans="1:8" ht="15.95" customHeight="1" x14ac:dyDescent="0.3">
      <c r="A6" s="981" t="s">
        <v>605</v>
      </c>
      <c r="B6" s="517" t="s">
        <v>578</v>
      </c>
      <c r="C6" s="517"/>
      <c r="D6" s="517">
        <v>12</v>
      </c>
      <c r="E6" s="518" t="s">
        <v>603</v>
      </c>
      <c r="F6" s="517">
        <v>12</v>
      </c>
      <c r="G6" s="518" t="s">
        <v>603</v>
      </c>
      <c r="H6" s="519"/>
    </row>
    <row r="7" spans="1:8" ht="12.75" hidden="1" customHeight="1" x14ac:dyDescent="0.3">
      <c r="A7" s="988"/>
      <c r="B7" s="986"/>
      <c r="C7" s="983"/>
      <c r="D7" s="989"/>
      <c r="E7" s="518"/>
      <c r="H7" s="519"/>
    </row>
    <row r="8" spans="1:8" ht="15.95" customHeight="1" x14ac:dyDescent="0.3">
      <c r="A8" s="981" t="s">
        <v>889</v>
      </c>
      <c r="B8" s="517" t="s">
        <v>578</v>
      </c>
      <c r="C8" s="517"/>
      <c r="D8" s="517" t="s">
        <v>578</v>
      </c>
      <c r="E8" s="518"/>
      <c r="F8" s="517">
        <v>4</v>
      </c>
      <c r="G8" s="518" t="s">
        <v>890</v>
      </c>
      <c r="H8" s="519"/>
    </row>
    <row r="9" spans="1:8" ht="15.95" customHeight="1" x14ac:dyDescent="0.3">
      <c r="A9" s="981" t="s">
        <v>604</v>
      </c>
      <c r="B9" s="517" t="s">
        <v>578</v>
      </c>
      <c r="C9" s="517"/>
      <c r="D9" s="517">
        <v>1</v>
      </c>
      <c r="E9" s="518" t="s">
        <v>603</v>
      </c>
      <c r="F9" s="517">
        <v>1</v>
      </c>
      <c r="G9" s="518" t="s">
        <v>603</v>
      </c>
      <c r="H9" s="519"/>
    </row>
    <row r="10" spans="1:8" ht="12.75" hidden="1" customHeight="1" x14ac:dyDescent="0.3">
      <c r="A10" s="988"/>
      <c r="B10" s="986"/>
      <c r="C10" s="983"/>
      <c r="D10" s="989"/>
      <c r="E10" s="518"/>
      <c r="H10" s="519"/>
    </row>
    <row r="11" spans="1:8" ht="15.95" customHeight="1" x14ac:dyDescent="0.3">
      <c r="A11" s="981" t="s">
        <v>602</v>
      </c>
      <c r="B11" s="985">
        <v>1070</v>
      </c>
      <c r="C11" s="517"/>
      <c r="D11" s="517">
        <v>1083</v>
      </c>
      <c r="E11" s="518" t="s">
        <v>601</v>
      </c>
      <c r="F11" s="517">
        <v>1083</v>
      </c>
      <c r="G11" s="518" t="s">
        <v>601</v>
      </c>
      <c r="H11" s="519"/>
    </row>
    <row r="12" spans="1:8" ht="12.75" hidden="1" customHeight="1" x14ac:dyDescent="0.3">
      <c r="A12" s="981"/>
      <c r="B12" s="985"/>
      <c r="C12" s="517"/>
      <c r="D12" s="517"/>
      <c r="E12" s="518"/>
      <c r="H12" s="519"/>
    </row>
    <row r="13" spans="1:8" ht="15.95" customHeight="1" x14ac:dyDescent="0.3">
      <c r="A13" s="981" t="s">
        <v>573</v>
      </c>
      <c r="B13" s="982">
        <v>82</v>
      </c>
      <c r="C13" s="987"/>
      <c r="D13" s="517">
        <v>82</v>
      </c>
      <c r="E13" s="518" t="s">
        <v>600</v>
      </c>
      <c r="F13" s="517">
        <v>82</v>
      </c>
      <c r="G13" s="518" t="s">
        <v>600</v>
      </c>
      <c r="H13" s="519"/>
    </row>
    <row r="14" spans="1:8" ht="12.75" hidden="1" customHeight="1" x14ac:dyDescent="0.3">
      <c r="A14" s="981"/>
      <c r="B14" s="982"/>
      <c r="C14" s="987"/>
      <c r="D14" s="517"/>
      <c r="E14" s="518"/>
      <c r="H14" s="519"/>
    </row>
    <row r="15" spans="1:8" ht="15.95" customHeight="1" x14ac:dyDescent="0.3">
      <c r="A15" s="1009" t="s">
        <v>599</v>
      </c>
      <c r="B15" s="982">
        <v>4</v>
      </c>
      <c r="C15" s="987"/>
      <c r="D15" s="1010">
        <v>5</v>
      </c>
      <c r="E15" s="1011" t="s">
        <v>598</v>
      </c>
      <c r="F15" s="1010">
        <v>5</v>
      </c>
      <c r="G15" s="1011" t="s">
        <v>598</v>
      </c>
      <c r="H15" s="519"/>
    </row>
    <row r="16" spans="1:8" ht="12.75" hidden="1" customHeight="1" x14ac:dyDescent="0.3">
      <c r="A16" s="1009"/>
      <c r="B16" s="982"/>
      <c r="C16" s="987"/>
      <c r="D16" s="1010"/>
      <c r="E16" s="1011"/>
    </row>
    <row r="17" spans="1:7" ht="15.95" customHeight="1" x14ac:dyDescent="0.3">
      <c r="A17" s="981" t="s">
        <v>597</v>
      </c>
      <c r="B17" s="982">
        <v>33</v>
      </c>
      <c r="C17" s="987"/>
      <c r="D17" s="517">
        <v>33</v>
      </c>
      <c r="E17" s="518" t="s">
        <v>596</v>
      </c>
      <c r="F17" s="517">
        <v>33</v>
      </c>
      <c r="G17" s="518" t="s">
        <v>596</v>
      </c>
    </row>
    <row r="18" spans="1:7" ht="15.95" customHeight="1" x14ac:dyDescent="0.3">
      <c r="A18" s="988" t="s">
        <v>595</v>
      </c>
      <c r="B18" s="986">
        <v>30</v>
      </c>
      <c r="C18" s="983"/>
      <c r="D18" s="989">
        <v>30</v>
      </c>
      <c r="E18" s="518"/>
      <c r="F18" s="989">
        <v>30</v>
      </c>
    </row>
    <row r="19" spans="1:7" ht="15.95" customHeight="1" x14ac:dyDescent="0.3">
      <c r="A19" s="1012" t="s">
        <v>594</v>
      </c>
      <c r="B19" s="826">
        <v>3</v>
      </c>
      <c r="C19" s="1013"/>
      <c r="D19" s="1014">
        <v>3</v>
      </c>
      <c r="E19" s="1015"/>
      <c r="F19" s="1014">
        <v>3</v>
      </c>
      <c r="G19" s="1015"/>
    </row>
    <row r="20" spans="1:7" s="283" customFormat="1" ht="12" customHeight="1" x14ac:dyDescent="0.25">
      <c r="A20" s="260" t="s">
        <v>593</v>
      </c>
      <c r="B20" s="287"/>
      <c r="C20" s="287"/>
      <c r="D20" s="305"/>
      <c r="E20" s="287"/>
    </row>
    <row r="21" spans="1:7" s="283" customFormat="1" ht="12" customHeight="1" x14ac:dyDescent="0.25">
      <c r="A21" s="260" t="s">
        <v>592</v>
      </c>
      <c r="B21" s="287"/>
      <c r="C21" s="287"/>
      <c r="D21" s="305"/>
      <c r="E21" s="287"/>
    </row>
    <row r="22" spans="1:7" s="283" customFormat="1" ht="24" customHeight="1" x14ac:dyDescent="0.25">
      <c r="A22" s="1168" t="s">
        <v>753</v>
      </c>
      <c r="B22" s="1168"/>
      <c r="C22" s="1168"/>
      <c r="D22" s="1168"/>
      <c r="E22" s="1168"/>
      <c r="F22" s="1168"/>
      <c r="G22" s="1168"/>
    </row>
    <row r="23" spans="1:7" s="479" customFormat="1" ht="96" customHeight="1" x14ac:dyDescent="0.25">
      <c r="A23" s="1169" t="s">
        <v>754</v>
      </c>
      <c r="B23" s="1169"/>
      <c r="C23" s="1169"/>
      <c r="D23" s="1169"/>
      <c r="E23" s="1169"/>
      <c r="F23" s="1169"/>
      <c r="G23" s="1169"/>
    </row>
    <row r="24" spans="1:7" s="479" customFormat="1" ht="163.15" customHeight="1" x14ac:dyDescent="0.25">
      <c r="A24" s="1169" t="s">
        <v>755</v>
      </c>
      <c r="B24" s="1169"/>
      <c r="C24" s="1169"/>
      <c r="D24" s="1169"/>
      <c r="E24" s="1169"/>
      <c r="F24" s="1169"/>
      <c r="G24" s="1169"/>
    </row>
    <row r="25" spans="1:7" s="283" customFormat="1" ht="24.75" customHeight="1" x14ac:dyDescent="0.25">
      <c r="A25" s="1168" t="s">
        <v>756</v>
      </c>
      <c r="B25" s="1168"/>
      <c r="C25" s="1168"/>
      <c r="D25" s="1168"/>
      <c r="E25" s="1168"/>
      <c r="F25" s="1168"/>
      <c r="G25" s="1168"/>
    </row>
    <row r="26" spans="1:7" s="479" customFormat="1" ht="39" customHeight="1" x14ac:dyDescent="0.25">
      <c r="A26" s="1169" t="s">
        <v>757</v>
      </c>
      <c r="B26" s="1169"/>
      <c r="C26" s="1169"/>
      <c r="D26" s="1169"/>
      <c r="E26" s="1169"/>
      <c r="F26" s="1169"/>
      <c r="G26" s="1169"/>
    </row>
    <row r="27" spans="1:7" s="479" customFormat="1" ht="26.25" customHeight="1" x14ac:dyDescent="0.25">
      <c r="A27" s="1169" t="s">
        <v>758</v>
      </c>
      <c r="B27" s="1169"/>
      <c r="C27" s="1169"/>
      <c r="D27" s="1169"/>
      <c r="E27" s="1169"/>
      <c r="F27" s="1169"/>
      <c r="G27" s="1169"/>
    </row>
    <row r="28" spans="1:7" s="479" customFormat="1" ht="24" customHeight="1" x14ac:dyDescent="0.25">
      <c r="A28" s="1169" t="s">
        <v>759</v>
      </c>
      <c r="B28" s="1169"/>
      <c r="C28" s="1169"/>
      <c r="D28" s="1169"/>
      <c r="E28" s="1169"/>
      <c r="F28" s="1169"/>
      <c r="G28" s="1169"/>
    </row>
    <row r="29" spans="1:7" s="283" customFormat="1" ht="12" customHeight="1" x14ac:dyDescent="0.25">
      <c r="A29" s="1168" t="s">
        <v>760</v>
      </c>
      <c r="B29" s="1168"/>
      <c r="C29" s="1168"/>
      <c r="D29" s="1168"/>
      <c r="E29" s="1168"/>
      <c r="F29" s="1168"/>
      <c r="G29" s="1168"/>
    </row>
    <row r="30" spans="1:7" s="283" customFormat="1" ht="24" customHeight="1" x14ac:dyDescent="0.25">
      <c r="A30" s="1168" t="s">
        <v>761</v>
      </c>
      <c r="B30" s="1168"/>
      <c r="C30" s="1168"/>
      <c r="D30" s="1168"/>
      <c r="E30" s="1168"/>
      <c r="F30" s="1168"/>
      <c r="G30" s="1168"/>
    </row>
    <row r="31" spans="1:7" s="479" customFormat="1" ht="61.15" customHeight="1" x14ac:dyDescent="0.25">
      <c r="A31" s="1169" t="s">
        <v>762</v>
      </c>
      <c r="B31" s="1169"/>
      <c r="C31" s="1169"/>
      <c r="D31" s="1169"/>
      <c r="E31" s="1169"/>
      <c r="F31" s="1169"/>
      <c r="G31" s="1169"/>
    </row>
    <row r="32" spans="1:7" s="479" customFormat="1" ht="24" customHeight="1" x14ac:dyDescent="0.25">
      <c r="A32" s="1169" t="s">
        <v>763</v>
      </c>
      <c r="B32" s="1169"/>
      <c r="C32" s="1169"/>
      <c r="D32" s="1169"/>
      <c r="E32" s="1169"/>
      <c r="F32" s="1169"/>
      <c r="G32" s="1169"/>
    </row>
    <row r="33" spans="1:7" s="283" customFormat="1" ht="12" customHeight="1" x14ac:dyDescent="0.25">
      <c r="A33" s="1168" t="s">
        <v>764</v>
      </c>
      <c r="B33" s="1168"/>
      <c r="C33" s="1168"/>
      <c r="D33" s="1168"/>
      <c r="E33" s="1168"/>
      <c r="F33" s="1168"/>
      <c r="G33" s="1168"/>
    </row>
    <row r="34" spans="1:7" s="479" customFormat="1" ht="42" customHeight="1" x14ac:dyDescent="0.25">
      <c r="A34" s="1169" t="s">
        <v>765</v>
      </c>
      <c r="B34" s="1169"/>
      <c r="C34" s="1169"/>
      <c r="D34" s="1169"/>
      <c r="E34" s="1169"/>
      <c r="F34" s="1169"/>
      <c r="G34" s="1169"/>
    </row>
    <row r="35" spans="1:7" ht="12.75" customHeight="1" x14ac:dyDescent="0.3">
      <c r="A35" s="41"/>
    </row>
  </sheetData>
  <mergeCells count="15">
    <mergeCell ref="A29:G29"/>
    <mergeCell ref="A1:G1"/>
    <mergeCell ref="A2:G2"/>
    <mergeCell ref="A22:G22"/>
    <mergeCell ref="A23:G23"/>
    <mergeCell ref="A24:G24"/>
    <mergeCell ref="A25:G25"/>
    <mergeCell ref="A26:G26"/>
    <mergeCell ref="A27:G27"/>
    <mergeCell ref="A28:G28"/>
    <mergeCell ref="A30:G30"/>
    <mergeCell ref="A31:G31"/>
    <mergeCell ref="A32:G32"/>
    <mergeCell ref="A33:G33"/>
    <mergeCell ref="A34:G34"/>
  </mergeCells>
  <printOptions horizontalCentered="1"/>
  <pageMargins left="0.98425196850393704" right="0.98425196850393704" top="0.74803149606299213" bottom="0.7480314960629921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L59"/>
  <sheetViews>
    <sheetView showGridLines="0" zoomScaleNormal="100" zoomScaleSheetLayoutView="145" workbookViewId="0">
      <pane xSplit="2" ySplit="41" topLeftCell="C42" activePane="bottomRight" state="frozen"/>
      <selection pane="topRight" activeCell="C1" sqref="C1"/>
      <selection pane="bottomLeft" activeCell="A42" sqref="A42"/>
      <selection pane="bottomRight" activeCell="C42" sqref="C42"/>
    </sheetView>
  </sheetViews>
  <sheetFormatPr baseColWidth="10" defaultColWidth="11.28515625" defaultRowHeight="12.75" customHeight="1" x14ac:dyDescent="0.3"/>
  <cols>
    <col min="1" max="1" width="17.7109375" style="39" customWidth="1"/>
    <col min="2" max="2" width="10.28515625" style="39" hidden="1" customWidth="1"/>
    <col min="3" max="5" width="10.28515625" style="39" customWidth="1"/>
    <col min="6" max="12" width="11.28515625" style="39" customWidth="1"/>
    <col min="13" max="16384" width="11.28515625" style="39"/>
  </cols>
  <sheetData>
    <row r="1" spans="1:12" ht="12.75" customHeight="1" x14ac:dyDescent="0.3">
      <c r="A1" s="1173" t="s">
        <v>660</v>
      </c>
      <c r="B1" s="1173"/>
      <c r="C1" s="1173"/>
      <c r="D1" s="1173"/>
      <c r="E1" s="1173"/>
      <c r="F1" s="1173"/>
    </row>
    <row r="2" spans="1:12" s="36" customFormat="1" ht="12.75" hidden="1" customHeight="1" x14ac:dyDescent="0.3"/>
    <row r="3" spans="1:12" s="38" customFormat="1" ht="12.75" hidden="1" customHeight="1" x14ac:dyDescent="0.3">
      <c r="A3" s="1174" t="s">
        <v>696</v>
      </c>
      <c r="B3" s="1174"/>
      <c r="C3" s="1174"/>
      <c r="D3" s="1174"/>
      <c r="E3" s="1174"/>
      <c r="F3" s="1174"/>
      <c r="G3" s="1174"/>
      <c r="H3" s="1174"/>
      <c r="I3" s="1174"/>
      <c r="J3" s="1174"/>
      <c r="K3" s="1174"/>
      <c r="L3" s="1174"/>
    </row>
    <row r="4" spans="1:12" s="38" customFormat="1" ht="12.75" hidden="1" customHeight="1" x14ac:dyDescent="0.3">
      <c r="A4" s="1175" t="s">
        <v>71</v>
      </c>
      <c r="B4" s="1175"/>
      <c r="C4" s="1175"/>
      <c r="D4" s="1175"/>
      <c r="E4" s="1175"/>
      <c r="F4" s="1175"/>
      <c r="G4" s="1175"/>
      <c r="H4" s="1175"/>
      <c r="I4" s="1175"/>
      <c r="J4" s="1175"/>
      <c r="K4" s="1175"/>
      <c r="L4" s="1175"/>
    </row>
    <row r="5" spans="1:12" s="36" customFormat="1" ht="12.75" hidden="1" customHeight="1" x14ac:dyDescent="0.3">
      <c r="A5" s="74"/>
      <c r="B5" s="74"/>
      <c r="C5" s="74"/>
      <c r="D5" s="75"/>
      <c r="E5" s="75"/>
      <c r="F5" s="75"/>
      <c r="G5" s="75"/>
      <c r="H5" s="40"/>
      <c r="I5" s="40"/>
      <c r="J5" s="40"/>
      <c r="K5" s="40"/>
      <c r="L5" s="40"/>
    </row>
    <row r="6" spans="1:12" s="36" customFormat="1" ht="12.75" hidden="1" customHeight="1" x14ac:dyDescent="0.3">
      <c r="A6" s="76" t="s">
        <v>16</v>
      </c>
      <c r="B6" s="77">
        <v>2000</v>
      </c>
      <c r="C6" s="77">
        <v>2002</v>
      </c>
      <c r="D6" s="77">
        <v>2003</v>
      </c>
      <c r="E6" s="77">
        <v>2004</v>
      </c>
      <c r="F6" s="77">
        <v>2005</v>
      </c>
      <c r="G6" s="77">
        <v>2006</v>
      </c>
      <c r="H6" s="77">
        <v>2007</v>
      </c>
      <c r="I6" s="77">
        <v>2008</v>
      </c>
      <c r="J6" s="77">
        <v>2009</v>
      </c>
      <c r="K6" s="77">
        <v>2010</v>
      </c>
      <c r="L6" s="77">
        <v>2010</v>
      </c>
    </row>
    <row r="7" spans="1:12" s="36" customFormat="1" ht="12.75" hidden="1" customHeight="1" x14ac:dyDescent="0.3">
      <c r="A7" s="78"/>
      <c r="B7" s="79"/>
      <c r="C7" s="79"/>
      <c r="D7" s="38"/>
      <c r="E7" s="38"/>
      <c r="F7" s="38"/>
      <c r="G7" s="38"/>
    </row>
    <row r="8" spans="1:12" s="36" customFormat="1" ht="12.75" hidden="1" customHeight="1" x14ac:dyDescent="0.3">
      <c r="A8" s="80" t="s">
        <v>57</v>
      </c>
      <c r="B8" s="61">
        <v>70707474</v>
      </c>
      <c r="C8" s="61">
        <v>70543649</v>
      </c>
      <c r="D8" s="61">
        <v>70470776</v>
      </c>
      <c r="E8" s="61">
        <v>70377632</v>
      </c>
      <c r="F8" s="61">
        <v>70230011</v>
      </c>
      <c r="G8" s="61">
        <v>70155512</v>
      </c>
      <c r="H8" s="61">
        <v>70049327</v>
      </c>
      <c r="I8" s="61">
        <v>69943625</v>
      </c>
      <c r="J8" s="61">
        <v>69791467</v>
      </c>
      <c r="K8" s="61">
        <v>69655266</v>
      </c>
      <c r="L8" s="61">
        <v>69655266</v>
      </c>
    </row>
    <row r="9" spans="1:12" s="36" customFormat="1" ht="12.75" hidden="1" customHeight="1" x14ac:dyDescent="0.3">
      <c r="A9" s="81" t="s">
        <v>17</v>
      </c>
      <c r="B9" s="64">
        <v>2920011</v>
      </c>
      <c r="C9" s="64">
        <v>2913053</v>
      </c>
      <c r="D9" s="64">
        <v>2909163</v>
      </c>
      <c r="E9" s="64">
        <v>2905610</v>
      </c>
      <c r="F9" s="64">
        <v>2901988</v>
      </c>
      <c r="G9" s="64">
        <v>2898132</v>
      </c>
      <c r="H9" s="64">
        <v>2892550</v>
      </c>
      <c r="I9" s="64">
        <v>2889502</v>
      </c>
      <c r="J9" s="64">
        <v>2884957</v>
      </c>
      <c r="K9" s="64">
        <v>2881362</v>
      </c>
      <c r="L9" s="64">
        <v>2881362</v>
      </c>
    </row>
    <row r="10" spans="1:12" s="36" customFormat="1" ht="12.75" hidden="1" customHeight="1" x14ac:dyDescent="0.3">
      <c r="A10" s="81" t="s">
        <v>21</v>
      </c>
      <c r="B10" s="64">
        <v>225272</v>
      </c>
      <c r="C10" s="64">
        <v>224228</v>
      </c>
      <c r="D10" s="64">
        <v>223761</v>
      </c>
      <c r="E10" s="64">
        <v>223175</v>
      </c>
      <c r="F10" s="64">
        <v>222677</v>
      </c>
      <c r="G10" s="64">
        <v>221879</v>
      </c>
      <c r="H10" s="64">
        <v>221159</v>
      </c>
      <c r="I10" s="64">
        <v>220966</v>
      </c>
      <c r="J10" s="64">
        <v>219878</v>
      </c>
      <c r="K10" s="64">
        <v>219275</v>
      </c>
      <c r="L10" s="64">
        <v>219275</v>
      </c>
    </row>
    <row r="11" spans="1:12" s="36" customFormat="1" ht="12.75" hidden="1" customHeight="1" x14ac:dyDescent="0.3">
      <c r="A11" s="81" t="s">
        <v>22</v>
      </c>
      <c r="B11" s="64">
        <v>365437</v>
      </c>
      <c r="C11" s="64">
        <v>363642</v>
      </c>
      <c r="D11" s="64">
        <v>363128</v>
      </c>
      <c r="E11" s="64">
        <v>362602</v>
      </c>
      <c r="F11" s="64">
        <v>361214</v>
      </c>
      <c r="G11" s="64">
        <v>360499</v>
      </c>
      <c r="H11" s="64">
        <v>359343</v>
      </c>
      <c r="I11" s="64">
        <v>358741</v>
      </c>
      <c r="J11" s="64">
        <v>358007</v>
      </c>
      <c r="K11" s="64">
        <v>356876</v>
      </c>
      <c r="L11" s="64">
        <v>356876</v>
      </c>
    </row>
    <row r="12" spans="1:12" s="36" customFormat="1" ht="12.75" hidden="1" customHeight="1" x14ac:dyDescent="0.3">
      <c r="A12" s="81" t="s">
        <v>23</v>
      </c>
      <c r="B12" s="64">
        <v>3147380</v>
      </c>
      <c r="C12" s="64">
        <v>3138878</v>
      </c>
      <c r="D12" s="64">
        <v>3135750</v>
      </c>
      <c r="E12" s="64">
        <v>3132622</v>
      </c>
      <c r="F12" s="64">
        <v>3128982</v>
      </c>
      <c r="G12" s="64">
        <v>3125668</v>
      </c>
      <c r="H12" s="64">
        <v>3122800</v>
      </c>
      <c r="I12" s="64">
        <v>3120348</v>
      </c>
      <c r="J12" s="64">
        <v>3115987</v>
      </c>
      <c r="K12" s="64">
        <v>3112378</v>
      </c>
      <c r="L12" s="64">
        <v>3112378</v>
      </c>
    </row>
    <row r="13" spans="1:12" s="36" customFormat="1" ht="12.75" hidden="1" customHeight="1" x14ac:dyDescent="0.3">
      <c r="A13" s="81" t="s">
        <v>24</v>
      </c>
      <c r="B13" s="64">
        <v>18312</v>
      </c>
      <c r="C13" s="64">
        <v>18234</v>
      </c>
      <c r="D13" s="64">
        <v>18215</v>
      </c>
      <c r="E13" s="64">
        <v>18166</v>
      </c>
      <c r="F13" s="64">
        <v>18063</v>
      </c>
      <c r="G13" s="64">
        <v>18041</v>
      </c>
      <c r="H13" s="64">
        <v>17996</v>
      </c>
      <c r="I13" s="64">
        <v>17963</v>
      </c>
      <c r="J13" s="64">
        <v>17935</v>
      </c>
      <c r="K13" s="64">
        <v>17804</v>
      </c>
      <c r="L13" s="64">
        <v>17804</v>
      </c>
    </row>
    <row r="14" spans="1:12" s="36" customFormat="1" ht="12.75" hidden="1" customHeight="1" x14ac:dyDescent="0.3">
      <c r="A14" s="81" t="s">
        <v>25</v>
      </c>
      <c r="B14" s="64">
        <v>1864896</v>
      </c>
      <c r="C14" s="64">
        <v>1843735</v>
      </c>
      <c r="D14" s="64">
        <v>1829607</v>
      </c>
      <c r="E14" s="64">
        <v>1820496</v>
      </c>
      <c r="F14" s="64">
        <v>1794091</v>
      </c>
      <c r="G14" s="64">
        <v>1785391</v>
      </c>
      <c r="H14" s="64">
        <v>1773719</v>
      </c>
      <c r="I14" s="64">
        <v>1756592</v>
      </c>
      <c r="J14" s="64">
        <v>1731601</v>
      </c>
      <c r="K14" s="64">
        <v>1713696</v>
      </c>
      <c r="L14" s="64">
        <v>1713696</v>
      </c>
    </row>
    <row r="15" spans="1:12" s="36" customFormat="1" ht="12.75" hidden="1" customHeight="1" x14ac:dyDescent="0.3">
      <c r="A15" s="81" t="s">
        <v>82</v>
      </c>
      <c r="B15" s="64">
        <v>2002130</v>
      </c>
      <c r="C15" s="64">
        <v>1990125</v>
      </c>
      <c r="D15" s="64">
        <v>1986813</v>
      </c>
      <c r="E15" s="64">
        <v>1979002</v>
      </c>
      <c r="F15" s="64">
        <v>1965113</v>
      </c>
      <c r="G15" s="64">
        <v>1959217</v>
      </c>
      <c r="H15" s="64">
        <v>1954176</v>
      </c>
      <c r="I15" s="64">
        <v>1947490</v>
      </c>
      <c r="J15" s="64">
        <v>1938258</v>
      </c>
      <c r="K15" s="64">
        <v>1931059</v>
      </c>
      <c r="L15" s="64">
        <v>1931059</v>
      </c>
    </row>
    <row r="16" spans="1:12" s="36" customFormat="1" ht="12.75" hidden="1" customHeight="1" x14ac:dyDescent="0.3">
      <c r="A16" s="81" t="s">
        <v>28</v>
      </c>
      <c r="B16" s="64">
        <v>69303</v>
      </c>
      <c r="C16" s="64">
        <v>69252</v>
      </c>
      <c r="D16" s="64">
        <v>69236</v>
      </c>
      <c r="E16" s="64">
        <v>69186</v>
      </c>
      <c r="F16" s="64">
        <v>69104</v>
      </c>
      <c r="G16" s="64">
        <v>69073</v>
      </c>
      <c r="H16" s="64">
        <v>69027</v>
      </c>
      <c r="I16" s="64">
        <v>69006</v>
      </c>
      <c r="J16" s="64">
        <v>68948</v>
      </c>
      <c r="K16" s="64">
        <v>68838</v>
      </c>
      <c r="L16" s="64">
        <v>68838</v>
      </c>
    </row>
    <row r="17" spans="1:12" s="36" customFormat="1" ht="12.75" hidden="1" customHeight="1" x14ac:dyDescent="0.3">
      <c r="A17" s="81" t="s">
        <v>31</v>
      </c>
      <c r="B17" s="64">
        <v>35478222</v>
      </c>
      <c r="C17" s="64">
        <v>35447185</v>
      </c>
      <c r="D17" s="64">
        <v>35437004</v>
      </c>
      <c r="E17" s="64">
        <v>35417410</v>
      </c>
      <c r="F17" s="64">
        <v>35394400</v>
      </c>
      <c r="G17" s="64">
        <v>35381763</v>
      </c>
      <c r="H17" s="64">
        <v>35361707</v>
      </c>
      <c r="I17" s="64">
        <v>35336191</v>
      </c>
      <c r="J17" s="64">
        <v>35307969</v>
      </c>
      <c r="K17" s="64">
        <v>35282772</v>
      </c>
      <c r="L17" s="64">
        <v>35282772</v>
      </c>
    </row>
    <row r="18" spans="1:12" s="36" customFormat="1" ht="12.75" hidden="1" customHeight="1" x14ac:dyDescent="0.3">
      <c r="A18" s="81" t="s">
        <v>32</v>
      </c>
      <c r="B18" s="64">
        <v>8115477</v>
      </c>
      <c r="C18" s="64">
        <v>8104651</v>
      </c>
      <c r="D18" s="64">
        <v>8099025</v>
      </c>
      <c r="E18" s="64">
        <v>8091259</v>
      </c>
      <c r="F18" s="64">
        <v>8082971</v>
      </c>
      <c r="G18" s="64">
        <v>8077215</v>
      </c>
      <c r="H18" s="64">
        <v>8069877</v>
      </c>
      <c r="I18" s="64">
        <v>8059374</v>
      </c>
      <c r="J18" s="64">
        <v>8053683</v>
      </c>
      <c r="K18" s="64">
        <v>8039397</v>
      </c>
      <c r="L18" s="64">
        <v>8039397</v>
      </c>
    </row>
    <row r="19" spans="1:12" s="36" customFormat="1" ht="12.75" hidden="1" customHeight="1" x14ac:dyDescent="0.3">
      <c r="A19" s="81" t="s">
        <v>34</v>
      </c>
      <c r="B19" s="64">
        <v>1497586</v>
      </c>
      <c r="C19" s="64">
        <v>1490419</v>
      </c>
      <c r="D19" s="64">
        <v>1487159</v>
      </c>
      <c r="E19" s="64">
        <v>1482975</v>
      </c>
      <c r="F19" s="64">
        <v>1475115</v>
      </c>
      <c r="G19" s="64">
        <v>1470762</v>
      </c>
      <c r="H19" s="64">
        <v>1467630</v>
      </c>
      <c r="I19" s="64">
        <v>1464103</v>
      </c>
      <c r="J19" s="64">
        <v>1456520</v>
      </c>
      <c r="K19" s="64">
        <v>1449219</v>
      </c>
      <c r="L19" s="64">
        <v>1449219</v>
      </c>
    </row>
    <row r="20" spans="1:12" s="36" customFormat="1" ht="12.75" hidden="1" customHeight="1" x14ac:dyDescent="0.3">
      <c r="A20" s="81" t="s">
        <v>35</v>
      </c>
      <c r="B20" s="64">
        <v>44782</v>
      </c>
      <c r="C20" s="64">
        <v>44249</v>
      </c>
      <c r="D20" s="64">
        <v>44153</v>
      </c>
      <c r="E20" s="64">
        <v>44010</v>
      </c>
      <c r="F20" s="64">
        <v>43780</v>
      </c>
      <c r="G20" s="64">
        <v>43578</v>
      </c>
      <c r="H20" s="64">
        <v>43297</v>
      </c>
      <c r="I20" s="64">
        <v>43148</v>
      </c>
      <c r="J20" s="64">
        <v>43023</v>
      </c>
      <c r="K20" s="64">
        <v>42849</v>
      </c>
      <c r="L20" s="64">
        <v>42849</v>
      </c>
    </row>
    <row r="21" spans="1:12" s="36" customFormat="1" ht="12.75" hidden="1" customHeight="1" x14ac:dyDescent="0.3">
      <c r="A21" s="81" t="s">
        <v>36</v>
      </c>
      <c r="B21" s="64">
        <v>1456367</v>
      </c>
      <c r="C21" s="64">
        <v>1454763</v>
      </c>
      <c r="D21" s="64">
        <v>1453819</v>
      </c>
      <c r="E21" s="64">
        <v>1452900</v>
      </c>
      <c r="F21" s="64">
        <v>1450819</v>
      </c>
      <c r="G21" s="64">
        <v>1450088</v>
      </c>
      <c r="H21" s="64">
        <v>1449185</v>
      </c>
      <c r="I21" s="64">
        <v>1448145</v>
      </c>
      <c r="J21" s="64">
        <v>1447607</v>
      </c>
      <c r="K21" s="64">
        <v>1445454</v>
      </c>
      <c r="L21" s="64">
        <v>1445454</v>
      </c>
    </row>
    <row r="22" spans="1:12" s="36" customFormat="1" ht="12.75" hidden="1" customHeight="1" x14ac:dyDescent="0.3">
      <c r="A22" s="81" t="s">
        <v>37</v>
      </c>
      <c r="B22" s="64">
        <v>3781052</v>
      </c>
      <c r="C22" s="64">
        <v>3742152</v>
      </c>
      <c r="D22" s="64">
        <v>3726797</v>
      </c>
      <c r="E22" s="64">
        <v>3702665</v>
      </c>
      <c r="F22" s="64">
        <v>3668412</v>
      </c>
      <c r="G22" s="64">
        <v>3653239</v>
      </c>
      <c r="H22" s="64">
        <v>3616121</v>
      </c>
      <c r="I22" s="64">
        <v>3598349</v>
      </c>
      <c r="J22" s="64">
        <v>3559066</v>
      </c>
      <c r="K22" s="64">
        <v>3524185</v>
      </c>
      <c r="L22" s="64">
        <v>3524185</v>
      </c>
    </row>
    <row r="23" spans="1:12" s="36" customFormat="1" ht="12.75" hidden="1" customHeight="1" x14ac:dyDescent="0.3">
      <c r="A23" s="82" t="s">
        <v>40</v>
      </c>
      <c r="B23" s="67">
        <v>9721247</v>
      </c>
      <c r="C23" s="67">
        <v>9699083</v>
      </c>
      <c r="D23" s="67">
        <v>9687146</v>
      </c>
      <c r="E23" s="67">
        <v>9675554</v>
      </c>
      <c r="F23" s="67">
        <v>9653282</v>
      </c>
      <c r="G23" s="67">
        <v>9640967</v>
      </c>
      <c r="H23" s="67">
        <v>9630740</v>
      </c>
      <c r="I23" s="67">
        <v>9613707</v>
      </c>
      <c r="J23" s="67">
        <v>9588028</v>
      </c>
      <c r="K23" s="67">
        <v>9570102</v>
      </c>
      <c r="L23" s="67">
        <v>9570102</v>
      </c>
    </row>
    <row r="24" spans="1:12" s="38" customFormat="1" ht="12.75" hidden="1" customHeight="1" x14ac:dyDescent="0.25">
      <c r="A24" s="68"/>
      <c r="B24" s="68"/>
      <c r="C24" s="68"/>
      <c r="J24" s="69"/>
      <c r="K24" s="69" t="s">
        <v>59</v>
      </c>
      <c r="L24" s="69" t="s">
        <v>59</v>
      </c>
    </row>
    <row r="25" spans="1:12" s="38" customFormat="1" ht="12.75" hidden="1" customHeight="1" x14ac:dyDescent="0.25">
      <c r="A25" s="1176"/>
      <c r="B25" s="1176"/>
      <c r="C25" s="1176"/>
      <c r="D25" s="1176"/>
      <c r="E25" s="1176"/>
      <c r="F25" s="1176"/>
      <c r="G25" s="1176"/>
      <c r="H25" s="1176"/>
      <c r="I25" s="83"/>
    </row>
    <row r="26" spans="1:12" s="38" customFormat="1" ht="12.75" hidden="1" customHeight="1" x14ac:dyDescent="0.25">
      <c r="A26" s="83"/>
      <c r="B26" s="83"/>
      <c r="C26" s="83"/>
      <c r="D26" s="83"/>
      <c r="E26" s="83"/>
      <c r="F26" s="83"/>
      <c r="G26" s="83"/>
      <c r="H26" s="83"/>
      <c r="I26" s="83"/>
    </row>
    <row r="27" spans="1:12" s="38" customFormat="1" ht="12.75" hidden="1" customHeight="1" x14ac:dyDescent="0.25">
      <c r="A27" s="83"/>
      <c r="B27" s="83"/>
      <c r="C27" s="83"/>
      <c r="D27" s="83"/>
      <c r="E27" s="83"/>
      <c r="F27" s="83"/>
      <c r="G27" s="83"/>
      <c r="H27" s="83"/>
      <c r="I27" s="83"/>
    </row>
    <row r="28" spans="1:12" s="38" customFormat="1" ht="12.75" hidden="1" customHeight="1" x14ac:dyDescent="0.25">
      <c r="A28" s="83"/>
      <c r="B28" s="83"/>
      <c r="C28" s="83"/>
      <c r="D28" s="83"/>
      <c r="E28" s="83"/>
      <c r="F28" s="83"/>
      <c r="G28" s="83"/>
      <c r="H28" s="83"/>
      <c r="I28" s="83"/>
    </row>
    <row r="29" spans="1:12" s="38" customFormat="1" ht="12.75" hidden="1" customHeight="1" x14ac:dyDescent="0.25">
      <c r="A29" s="83"/>
      <c r="B29" s="83"/>
      <c r="C29" s="83"/>
      <c r="D29" s="83"/>
      <c r="E29" s="83"/>
      <c r="F29" s="83"/>
      <c r="G29" s="83"/>
      <c r="H29" s="83"/>
      <c r="I29" s="83"/>
    </row>
    <row r="30" spans="1:12" s="38" customFormat="1" ht="12.75" hidden="1" customHeight="1" x14ac:dyDescent="0.25">
      <c r="A30" s="83"/>
      <c r="B30" s="83"/>
      <c r="C30" s="83"/>
      <c r="D30" s="83"/>
      <c r="E30" s="83"/>
      <c r="F30" s="83"/>
      <c r="G30" s="83"/>
      <c r="H30" s="83"/>
      <c r="I30" s="83"/>
    </row>
    <row r="31" spans="1:12" s="38" customFormat="1" ht="12.75" hidden="1" customHeight="1" x14ac:dyDescent="0.25">
      <c r="A31" s="83"/>
      <c r="B31" s="83"/>
      <c r="C31" s="83"/>
      <c r="D31" s="83"/>
      <c r="E31" s="83"/>
      <c r="F31" s="83"/>
      <c r="G31" s="83"/>
      <c r="H31" s="83"/>
      <c r="I31" s="83"/>
    </row>
    <row r="32" spans="1:12" s="38" customFormat="1" ht="12.75" hidden="1" customHeight="1" x14ac:dyDescent="0.25">
      <c r="A32" s="83"/>
      <c r="B32" s="83"/>
      <c r="C32" s="83"/>
      <c r="D32" s="83"/>
      <c r="E32" s="83"/>
      <c r="F32" s="83"/>
      <c r="G32" s="83"/>
      <c r="H32" s="83"/>
      <c r="I32" s="83"/>
    </row>
    <row r="33" spans="1:12" s="38" customFormat="1" ht="12.75" hidden="1" customHeight="1" x14ac:dyDescent="0.25">
      <c r="A33" s="83"/>
      <c r="B33" s="83"/>
      <c r="C33" s="83"/>
      <c r="D33" s="83"/>
      <c r="E33" s="83"/>
      <c r="F33" s="83"/>
      <c r="G33" s="83"/>
      <c r="H33" s="83"/>
      <c r="I33" s="83"/>
    </row>
    <row r="34" spans="1:12" s="38" customFormat="1" ht="12.75" hidden="1" customHeight="1" x14ac:dyDescent="0.25">
      <c r="A34" s="83"/>
      <c r="B34" s="83"/>
      <c r="C34" s="83"/>
      <c r="D34" s="83"/>
      <c r="E34" s="83"/>
      <c r="F34" s="83"/>
      <c r="G34" s="83"/>
      <c r="H34" s="83"/>
      <c r="I34" s="83"/>
    </row>
    <row r="35" spans="1:12" s="38" customFormat="1" ht="12.75" hidden="1" customHeight="1" x14ac:dyDescent="0.25">
      <c r="A35" s="83"/>
      <c r="B35" s="83"/>
      <c r="C35" s="83"/>
      <c r="D35" s="83"/>
      <c r="E35" s="83"/>
      <c r="F35" s="83"/>
      <c r="G35" s="83"/>
      <c r="H35" s="83"/>
      <c r="I35" s="83"/>
    </row>
    <row r="36" spans="1:12" s="38" customFormat="1" ht="12.75" hidden="1" customHeight="1" x14ac:dyDescent="0.25">
      <c r="A36" s="83"/>
      <c r="B36" s="83"/>
      <c r="C36" s="83"/>
      <c r="D36" s="83"/>
      <c r="E36" s="83"/>
      <c r="F36" s="83"/>
      <c r="G36" s="83"/>
      <c r="H36" s="83"/>
      <c r="I36" s="83"/>
    </row>
    <row r="37" spans="1:12" s="31" customFormat="1" ht="12.75" customHeight="1" x14ac:dyDescent="0.25">
      <c r="A37" s="1177" t="s">
        <v>882</v>
      </c>
      <c r="B37" s="1177"/>
      <c r="C37" s="1177"/>
      <c r="D37" s="1177"/>
      <c r="E37" s="1177"/>
      <c r="F37" s="1177"/>
      <c r="G37" s="1177"/>
      <c r="H37" s="1177"/>
      <c r="I37" s="1177"/>
      <c r="J37" s="1177"/>
      <c r="K37" s="1177"/>
      <c r="L37" s="1177"/>
    </row>
    <row r="38" spans="1:12" s="31" customFormat="1" ht="12.75" customHeight="1" x14ac:dyDescent="0.25">
      <c r="A38" s="1170" t="s">
        <v>71</v>
      </c>
      <c r="B38" s="1170"/>
      <c r="C38" s="1170"/>
      <c r="D38" s="1170"/>
      <c r="E38" s="1170"/>
      <c r="F38" s="1170"/>
      <c r="G38" s="1170"/>
      <c r="H38" s="1170"/>
      <c r="I38" s="1170"/>
      <c r="J38" s="1170"/>
      <c r="K38" s="1170"/>
      <c r="L38" s="1170"/>
    </row>
    <row r="39" spans="1:12" ht="12.75" customHeight="1" x14ac:dyDescent="0.3">
      <c r="A39" s="70"/>
      <c r="B39" s="70"/>
      <c r="C39" s="70"/>
      <c r="D39" s="71"/>
      <c r="E39" s="71"/>
      <c r="F39" s="71"/>
      <c r="J39" s="293"/>
      <c r="K39" s="293"/>
      <c r="L39" s="293"/>
    </row>
    <row r="40" spans="1:12" s="34" customFormat="1" ht="27.95" customHeight="1" x14ac:dyDescent="0.3">
      <c r="A40" s="1016"/>
      <c r="B40" s="921"/>
      <c r="C40" s="921">
        <v>2012</v>
      </c>
      <c r="D40" s="921">
        <v>2013</v>
      </c>
      <c r="E40" s="921">
        <v>2014</v>
      </c>
      <c r="F40" s="921">
        <v>2015</v>
      </c>
      <c r="G40" s="921">
        <v>2016</v>
      </c>
      <c r="H40" s="921">
        <v>2017</v>
      </c>
      <c r="I40" s="921">
        <v>2018</v>
      </c>
      <c r="J40" s="921">
        <v>2019</v>
      </c>
      <c r="K40" s="921">
        <v>2020</v>
      </c>
      <c r="L40" s="921">
        <v>2021</v>
      </c>
    </row>
    <row r="41" spans="1:12" s="34" customFormat="1" ht="3" customHeight="1" x14ac:dyDescent="0.3">
      <c r="A41" s="1017"/>
    </row>
    <row r="42" spans="1:12" ht="15.95" customHeight="1" x14ac:dyDescent="0.3">
      <c r="A42" s="1018" t="s">
        <v>57</v>
      </c>
      <c r="B42" s="1019"/>
      <c r="C42" s="1019">
        <v>69382235</v>
      </c>
      <c r="D42" s="1019">
        <v>69231955</v>
      </c>
      <c r="E42" s="1019">
        <v>69054389</v>
      </c>
      <c r="F42" s="1019">
        <v>68897927</v>
      </c>
      <c r="G42" s="1019">
        <v>68733265</v>
      </c>
      <c r="H42" s="1019">
        <v>68577351</v>
      </c>
      <c r="I42" s="1019">
        <v>68422585</v>
      </c>
      <c r="J42" s="1019">
        <v>68274160</v>
      </c>
      <c r="K42" s="1019">
        <v>68070889.140000001</v>
      </c>
      <c r="L42" s="1019">
        <v>67932914.709999993</v>
      </c>
    </row>
    <row r="43" spans="1:12" s="34" customFormat="1" ht="15.95" customHeight="1" x14ac:dyDescent="0.3">
      <c r="A43" s="1020" t="s">
        <v>17</v>
      </c>
      <c r="B43" s="1021"/>
      <c r="C43" s="1021">
        <v>2873435</v>
      </c>
      <c r="D43" s="1021">
        <v>2866753</v>
      </c>
      <c r="E43" s="1021">
        <v>2861554</v>
      </c>
      <c r="F43" s="1021">
        <v>2854623</v>
      </c>
      <c r="G43" s="1021">
        <v>2847639</v>
      </c>
      <c r="H43" s="1021">
        <v>2839184</v>
      </c>
      <c r="I43" s="1021">
        <v>2831731</v>
      </c>
      <c r="J43" s="1021">
        <v>2825927</v>
      </c>
      <c r="K43" s="1021">
        <v>2814385.57</v>
      </c>
      <c r="L43" s="1021">
        <v>2810056.5</v>
      </c>
    </row>
    <row r="44" spans="1:12" s="34" customFormat="1" ht="15.95" customHeight="1" x14ac:dyDescent="0.3">
      <c r="A44" s="1020" t="s">
        <v>21</v>
      </c>
      <c r="B44" s="1021"/>
      <c r="C44" s="1021">
        <v>217814</v>
      </c>
      <c r="D44" s="1021">
        <v>217011</v>
      </c>
      <c r="E44" s="1021">
        <v>216239</v>
      </c>
      <c r="F44" s="1021">
        <v>215426</v>
      </c>
      <c r="G44" s="1021">
        <v>214446</v>
      </c>
      <c r="H44" s="1021">
        <v>211665</v>
      </c>
      <c r="I44" s="1021">
        <v>209922</v>
      </c>
      <c r="J44" s="1021">
        <v>207755</v>
      </c>
      <c r="K44" s="1021">
        <v>205044.57</v>
      </c>
      <c r="L44" s="1021">
        <v>204151.23</v>
      </c>
    </row>
    <row r="45" spans="1:12" s="34" customFormat="1" ht="15.95" customHeight="1" x14ac:dyDescent="0.3">
      <c r="A45" s="1020" t="s">
        <v>22</v>
      </c>
      <c r="B45" s="1021"/>
      <c r="C45" s="1021">
        <v>355200</v>
      </c>
      <c r="D45" s="1021">
        <v>354372</v>
      </c>
      <c r="E45" s="1021">
        <v>353224</v>
      </c>
      <c r="F45" s="1021">
        <v>352150</v>
      </c>
      <c r="G45" s="1021">
        <v>350260</v>
      </c>
      <c r="H45" s="1021">
        <v>348038</v>
      </c>
      <c r="I45" s="1021">
        <v>346762</v>
      </c>
      <c r="J45" s="1021">
        <v>346162</v>
      </c>
      <c r="K45" s="1021">
        <v>344558.57</v>
      </c>
      <c r="L45" s="1021">
        <v>344175.21</v>
      </c>
    </row>
    <row r="46" spans="1:12" s="34" customFormat="1" ht="15.95" customHeight="1" x14ac:dyDescent="0.3">
      <c r="A46" s="1020" t="s">
        <v>23</v>
      </c>
      <c r="B46" s="1021"/>
      <c r="C46" s="1021">
        <v>3104861</v>
      </c>
      <c r="D46" s="1021">
        <v>3101359</v>
      </c>
      <c r="E46" s="1021">
        <v>3096272</v>
      </c>
      <c r="F46" s="1021">
        <v>3091464</v>
      </c>
      <c r="G46" s="1021">
        <v>3085764</v>
      </c>
      <c r="H46" s="1021">
        <v>3073583</v>
      </c>
      <c r="I46" s="1021">
        <v>3063940</v>
      </c>
      <c r="J46" s="1021">
        <v>3056838</v>
      </c>
      <c r="K46" s="1021">
        <v>3047979.42</v>
      </c>
      <c r="L46" s="1021">
        <v>3042630.18</v>
      </c>
    </row>
    <row r="47" spans="1:12" s="34" customFormat="1" ht="15.95" customHeight="1" x14ac:dyDescent="0.3">
      <c r="A47" s="1020" t="s">
        <v>24</v>
      </c>
      <c r="B47" s="1021"/>
      <c r="C47" s="1021">
        <v>17752</v>
      </c>
      <c r="D47" s="1021">
        <v>17724</v>
      </c>
      <c r="E47" s="1021">
        <v>17649</v>
      </c>
      <c r="F47" s="1021">
        <v>17576</v>
      </c>
      <c r="G47" s="1021">
        <v>17337</v>
      </c>
      <c r="H47" s="1021">
        <v>17318</v>
      </c>
      <c r="I47" s="1021">
        <v>17299</v>
      </c>
      <c r="J47" s="1022">
        <v>17207</v>
      </c>
      <c r="K47" s="1021">
        <v>17036.28</v>
      </c>
      <c r="L47" s="1021">
        <v>17014.32</v>
      </c>
    </row>
    <row r="48" spans="1:12" s="34" customFormat="1" ht="15.95" customHeight="1" x14ac:dyDescent="0.3">
      <c r="A48" s="1020" t="s">
        <v>25</v>
      </c>
      <c r="B48" s="1021"/>
      <c r="C48" s="1021">
        <v>1671267</v>
      </c>
      <c r="D48" s="1021">
        <v>1650472</v>
      </c>
      <c r="E48" s="1021">
        <v>1622877</v>
      </c>
      <c r="F48" s="1021">
        <v>1599965</v>
      </c>
      <c r="G48" s="1021">
        <v>1581767</v>
      </c>
      <c r="H48" s="1021">
        <v>1562531</v>
      </c>
      <c r="I48" s="1021">
        <v>1545972</v>
      </c>
      <c r="J48" s="1021">
        <v>1531015</v>
      </c>
      <c r="K48" s="1021">
        <v>1513103.54</v>
      </c>
      <c r="L48" s="1021">
        <v>1498083.03</v>
      </c>
    </row>
    <row r="49" spans="1:12" s="34" customFormat="1" ht="15.95" customHeight="1" x14ac:dyDescent="0.3">
      <c r="A49" s="1020" t="s">
        <v>82</v>
      </c>
      <c r="B49" s="1021"/>
      <c r="C49" s="1021">
        <v>1916751</v>
      </c>
      <c r="D49" s="1021">
        <v>1908521</v>
      </c>
      <c r="E49" s="1021">
        <v>1896244</v>
      </c>
      <c r="F49" s="1021">
        <v>1887191</v>
      </c>
      <c r="G49" s="1021">
        <v>1870813</v>
      </c>
      <c r="H49" s="1021">
        <v>1859386</v>
      </c>
      <c r="I49" s="1021">
        <v>1850889</v>
      </c>
      <c r="J49" s="1021">
        <v>1836929</v>
      </c>
      <c r="K49" s="1021">
        <v>1816163.0099999998</v>
      </c>
      <c r="L49" s="1021">
        <v>1804080.69</v>
      </c>
    </row>
    <row r="50" spans="1:12" s="34" customFormat="1" ht="15.95" customHeight="1" x14ac:dyDescent="0.3">
      <c r="A50" s="1020" t="s">
        <v>28</v>
      </c>
      <c r="B50" s="1021"/>
      <c r="C50" s="1021">
        <v>68757</v>
      </c>
      <c r="D50" s="1021">
        <v>68710</v>
      </c>
      <c r="E50" s="1021">
        <v>68661</v>
      </c>
      <c r="F50" s="1021">
        <v>68555</v>
      </c>
      <c r="G50" s="1021">
        <v>68478</v>
      </c>
      <c r="H50" s="1021">
        <v>68371</v>
      </c>
      <c r="I50" s="1021">
        <v>68228</v>
      </c>
      <c r="J50" s="1021">
        <v>68191</v>
      </c>
      <c r="K50" s="1021">
        <v>68062.559999999998</v>
      </c>
      <c r="L50" s="1021">
        <v>68037.66</v>
      </c>
    </row>
    <row r="51" spans="1:12" s="34" customFormat="1" ht="15.95" customHeight="1" x14ac:dyDescent="0.3">
      <c r="A51" s="1020" t="s">
        <v>31</v>
      </c>
      <c r="B51" s="1021"/>
      <c r="C51" s="1021">
        <v>35228431</v>
      </c>
      <c r="D51" s="1021">
        <v>35199610</v>
      </c>
      <c r="E51" s="1021">
        <v>35162046</v>
      </c>
      <c r="F51" s="1021">
        <v>35130378</v>
      </c>
      <c r="G51" s="1021">
        <v>35093227</v>
      </c>
      <c r="H51" s="1021">
        <v>35074145</v>
      </c>
      <c r="I51" s="1021">
        <v>35047942</v>
      </c>
      <c r="J51" s="1021">
        <v>35024802</v>
      </c>
      <c r="K51" s="1021">
        <v>34990024.229999997</v>
      </c>
      <c r="L51" s="1021">
        <v>34970194.890000001</v>
      </c>
    </row>
    <row r="52" spans="1:12" s="34" customFormat="1" ht="15.95" customHeight="1" x14ac:dyDescent="0.3">
      <c r="A52" s="1020" t="s">
        <v>32</v>
      </c>
      <c r="B52" s="1021"/>
      <c r="C52" s="1021">
        <v>8015928</v>
      </c>
      <c r="D52" s="1021">
        <v>8003527</v>
      </c>
      <c r="E52" s="1021">
        <v>7987761</v>
      </c>
      <c r="F52" s="1021">
        <v>7969959</v>
      </c>
      <c r="G52" s="1021">
        <v>7952904</v>
      </c>
      <c r="H52" s="1021">
        <v>7929236</v>
      </c>
      <c r="I52" s="1021">
        <v>7905744</v>
      </c>
      <c r="J52" s="1021">
        <v>7884366</v>
      </c>
      <c r="K52" s="1021">
        <v>7861327.0199999996</v>
      </c>
      <c r="L52" s="1021">
        <v>7838184.959999999</v>
      </c>
    </row>
    <row r="53" spans="1:12" s="34" customFormat="1" ht="15.95" customHeight="1" x14ac:dyDescent="0.3">
      <c r="A53" s="1020" t="s">
        <v>34</v>
      </c>
      <c r="B53" s="1021"/>
      <c r="C53" s="1021">
        <v>1434569</v>
      </c>
      <c r="D53" s="1021">
        <v>1426946</v>
      </c>
      <c r="E53" s="1021">
        <v>1416959</v>
      </c>
      <c r="F53" s="1021">
        <v>1409481</v>
      </c>
      <c r="G53" s="1021">
        <v>1401978</v>
      </c>
      <c r="H53" s="1021">
        <v>1393888</v>
      </c>
      <c r="I53" s="1021">
        <v>1388278</v>
      </c>
      <c r="J53" s="1021">
        <v>1382242</v>
      </c>
      <c r="K53" s="1021">
        <v>1373564.58</v>
      </c>
      <c r="L53" s="1021">
        <v>1367967.7799999998</v>
      </c>
    </row>
    <row r="54" spans="1:12" s="34" customFormat="1" ht="15.95" customHeight="1" x14ac:dyDescent="0.3">
      <c r="A54" s="1020" t="s">
        <v>35</v>
      </c>
      <c r="B54" s="1021"/>
      <c r="C54" s="1021">
        <v>42439</v>
      </c>
      <c r="D54" s="1021">
        <v>42395</v>
      </c>
      <c r="E54" s="1021">
        <v>42329</v>
      </c>
      <c r="F54" s="1021">
        <v>42217</v>
      </c>
      <c r="G54" s="1021">
        <v>42018</v>
      </c>
      <c r="H54" s="1021">
        <v>41552</v>
      </c>
      <c r="I54" s="1021">
        <v>41492</v>
      </c>
      <c r="J54" s="1022">
        <v>41466</v>
      </c>
      <c r="K54" s="1021">
        <v>41397.56</v>
      </c>
      <c r="L54" s="1021">
        <v>41372.729999999996</v>
      </c>
    </row>
    <row r="55" spans="1:12" s="34" customFormat="1" ht="15.95" customHeight="1" x14ac:dyDescent="0.3">
      <c r="A55" s="1020" t="s">
        <v>36</v>
      </c>
      <c r="B55" s="1021"/>
      <c r="C55" s="1021">
        <v>1443581</v>
      </c>
      <c r="D55" s="1021">
        <v>1442416</v>
      </c>
      <c r="E55" s="1021">
        <v>1439473</v>
      </c>
      <c r="F55" s="1021">
        <v>1437657</v>
      </c>
      <c r="G55" s="1021">
        <v>1435548</v>
      </c>
      <c r="H55" s="1021">
        <v>1429774</v>
      </c>
      <c r="I55" s="1021">
        <v>1423073</v>
      </c>
      <c r="J55" s="1021">
        <v>1419357</v>
      </c>
      <c r="K55" s="1021">
        <v>1413756.09</v>
      </c>
      <c r="L55" s="1021">
        <v>1411865.19</v>
      </c>
    </row>
    <row r="56" spans="1:12" s="34" customFormat="1" ht="15.95" customHeight="1" x14ac:dyDescent="0.3">
      <c r="A56" s="1020" t="s">
        <v>37</v>
      </c>
      <c r="B56" s="1021"/>
      <c r="C56" s="1021">
        <v>3470023</v>
      </c>
      <c r="D56" s="1021">
        <v>3447506</v>
      </c>
      <c r="E56" s="1021">
        <v>3421106</v>
      </c>
      <c r="F56" s="1021">
        <v>3399005</v>
      </c>
      <c r="G56" s="1021">
        <v>3378417</v>
      </c>
      <c r="H56" s="1021">
        <v>3365916</v>
      </c>
      <c r="I56" s="1021">
        <v>3344540</v>
      </c>
      <c r="J56" s="1021">
        <v>3333506</v>
      </c>
      <c r="K56" s="1021">
        <v>3313356.56</v>
      </c>
      <c r="L56" s="1021">
        <v>3300276.51</v>
      </c>
    </row>
    <row r="57" spans="1:12" s="34" customFormat="1" ht="15.95" customHeight="1" x14ac:dyDescent="0.3">
      <c r="A57" s="1023" t="s">
        <v>40</v>
      </c>
      <c r="B57" s="1024"/>
      <c r="C57" s="1024">
        <v>9521427</v>
      </c>
      <c r="D57" s="1024">
        <v>9484633</v>
      </c>
      <c r="E57" s="1024">
        <v>9451995</v>
      </c>
      <c r="F57" s="1024">
        <v>9422280</v>
      </c>
      <c r="G57" s="1024">
        <v>9392669</v>
      </c>
      <c r="H57" s="1024">
        <v>9362764</v>
      </c>
      <c r="I57" s="1024">
        <v>9336773</v>
      </c>
      <c r="J57" s="1024">
        <v>9298397</v>
      </c>
      <c r="K57" s="1024">
        <v>9251129.5800000001</v>
      </c>
      <c r="L57" s="1024">
        <v>9214824.2400000002</v>
      </c>
    </row>
    <row r="58" spans="1:12" s="285" customFormat="1" ht="12" customHeight="1" x14ac:dyDescent="0.25">
      <c r="A58" s="1171" t="s">
        <v>766</v>
      </c>
      <c r="B58" s="1171"/>
      <c r="C58" s="1171"/>
      <c r="D58" s="1171"/>
      <c r="E58" s="1171"/>
      <c r="F58" s="1171"/>
      <c r="G58" s="1171"/>
      <c r="H58" s="1171"/>
      <c r="I58" s="1171"/>
      <c r="J58" s="1171"/>
      <c r="K58" s="1171"/>
      <c r="L58" s="1172"/>
    </row>
    <row r="59" spans="1:12" s="283" customFormat="1" ht="12" customHeight="1" x14ac:dyDescent="0.25">
      <c r="A59" s="307" t="s">
        <v>721</v>
      </c>
      <c r="B59" s="35"/>
      <c r="C59" s="35"/>
      <c r="D59" s="19"/>
      <c r="E59" s="19"/>
      <c r="F59" s="19"/>
      <c r="G59" s="19"/>
      <c r="H59" s="19"/>
      <c r="I59" s="19"/>
      <c r="K59" s="306"/>
      <c r="L59" s="306"/>
    </row>
  </sheetData>
  <mergeCells count="7">
    <mergeCell ref="A38:L38"/>
    <mergeCell ref="A58:L58"/>
    <mergeCell ref="A1:F1"/>
    <mergeCell ref="A3:L3"/>
    <mergeCell ref="A4:L4"/>
    <mergeCell ref="A25:H25"/>
    <mergeCell ref="A37:L37"/>
  </mergeCells>
  <printOptions horizontalCentered="1"/>
  <pageMargins left="0.9055118110236221" right="0.9055118110236221" top="0.74803149606299213" bottom="0.74803149606299213" header="0.31496062992125984"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L64"/>
  <sheetViews>
    <sheetView showGridLines="0" topLeftCell="A33" zoomScaleNormal="100" zoomScaleSheetLayoutView="100" workbookViewId="0">
      <pane xSplit="2" ySplit="6" topLeftCell="E39" activePane="bottomRight" state="frozen"/>
      <selection activeCell="A33" sqref="A33"/>
      <selection pane="topRight" activeCell="C33" sqref="C33"/>
      <selection pane="bottomLeft" activeCell="A39" sqref="A39"/>
      <selection pane="bottomRight" activeCell="A37" sqref="A37:L57"/>
    </sheetView>
  </sheetViews>
  <sheetFormatPr baseColWidth="10" defaultColWidth="11.28515625" defaultRowHeight="12.75" customHeight="1" x14ac:dyDescent="0.3"/>
  <cols>
    <col min="1" max="1" width="41.85546875" style="39" customWidth="1"/>
    <col min="2" max="2" width="9.28515625" style="39" hidden="1" customWidth="1"/>
    <col min="3" max="12" width="11.140625" style="39" customWidth="1"/>
    <col min="13" max="16384" width="11.28515625" style="39"/>
  </cols>
  <sheetData>
    <row r="1" spans="1:12" s="38" customFormat="1" ht="12.75" hidden="1" customHeight="1" x14ac:dyDescent="0.25">
      <c r="A1" s="1179" t="s">
        <v>697</v>
      </c>
      <c r="B1" s="1179"/>
      <c r="C1" s="1179"/>
      <c r="D1" s="1179"/>
      <c r="E1" s="1179"/>
      <c r="F1" s="1179"/>
      <c r="G1" s="1179"/>
      <c r="H1" s="1179"/>
      <c r="I1" s="1179"/>
      <c r="J1" s="1179"/>
      <c r="K1" s="1179"/>
      <c r="L1" s="1179"/>
    </row>
    <row r="2" spans="1:12" s="38" customFormat="1" ht="12.75" hidden="1" customHeight="1" x14ac:dyDescent="0.25">
      <c r="A2" s="1178" t="s">
        <v>41</v>
      </c>
      <c r="B2" s="1178"/>
      <c r="C2" s="1178"/>
      <c r="D2" s="1178"/>
      <c r="E2" s="1178"/>
      <c r="F2" s="1178"/>
      <c r="G2" s="1178"/>
      <c r="H2" s="1178"/>
      <c r="I2" s="1178"/>
      <c r="J2" s="1178"/>
    </row>
    <row r="3" spans="1:12" s="38" customFormat="1" ht="12.75" hidden="1" customHeight="1" x14ac:dyDescent="0.25">
      <c r="A3" s="51"/>
      <c r="B3" s="52"/>
      <c r="C3" s="52"/>
      <c r="D3" s="52"/>
      <c r="E3" s="52"/>
      <c r="F3" s="52"/>
      <c r="G3" s="52"/>
      <c r="H3" s="52"/>
      <c r="I3" s="52"/>
    </row>
    <row r="4" spans="1:12" s="36" customFormat="1" ht="12.75" hidden="1" customHeight="1" x14ac:dyDescent="0.3">
      <c r="A4" s="53" t="s">
        <v>684</v>
      </c>
      <c r="B4" s="54" t="s">
        <v>693</v>
      </c>
      <c r="C4" s="55" t="s">
        <v>692</v>
      </c>
      <c r="D4" s="55" t="s">
        <v>691</v>
      </c>
      <c r="E4" s="55" t="s">
        <v>690</v>
      </c>
      <c r="F4" s="55" t="s">
        <v>689</v>
      </c>
      <c r="G4" s="55" t="s">
        <v>688</v>
      </c>
      <c r="H4" s="55" t="s">
        <v>687</v>
      </c>
      <c r="I4" s="55" t="s">
        <v>686</v>
      </c>
      <c r="J4" s="55" t="s">
        <v>685</v>
      </c>
      <c r="K4" s="55" t="s">
        <v>683</v>
      </c>
      <c r="L4" s="55" t="s">
        <v>683</v>
      </c>
    </row>
    <row r="5" spans="1:12" s="36" customFormat="1" ht="12.75" hidden="1" customHeight="1" x14ac:dyDescent="0.3">
      <c r="A5" s="56"/>
      <c r="B5" s="57"/>
      <c r="C5" s="58"/>
      <c r="D5" s="58"/>
      <c r="E5" s="58"/>
      <c r="F5" s="58"/>
      <c r="G5" s="58"/>
      <c r="H5" s="58"/>
      <c r="I5" s="58"/>
    </row>
    <row r="6" spans="1:12" s="36" customFormat="1" ht="12.75" hidden="1" customHeight="1" x14ac:dyDescent="0.3">
      <c r="A6" s="59" t="s">
        <v>57</v>
      </c>
      <c r="B6" s="60">
        <v>70707776</v>
      </c>
      <c r="C6" s="61">
        <v>70543951</v>
      </c>
      <c r="D6" s="61">
        <v>70471079</v>
      </c>
      <c r="E6" s="61">
        <v>70377934</v>
      </c>
      <c r="F6" s="61">
        <v>70230313</v>
      </c>
      <c r="G6" s="61">
        <v>70155814</v>
      </c>
      <c r="H6" s="61">
        <v>70049630</v>
      </c>
      <c r="I6" s="61">
        <v>69943928</v>
      </c>
      <c r="J6" s="61">
        <v>69791769</v>
      </c>
      <c r="K6" s="61">
        <v>69655568</v>
      </c>
      <c r="L6" s="61">
        <v>69655568</v>
      </c>
    </row>
    <row r="7" spans="1:12" s="36" customFormat="1" ht="12.75" hidden="1" customHeight="1" x14ac:dyDescent="0.3">
      <c r="A7" s="62" t="s">
        <v>676</v>
      </c>
      <c r="B7" s="63">
        <v>16155692</v>
      </c>
      <c r="C7" s="64">
        <v>16151101</v>
      </c>
      <c r="D7" s="64">
        <v>16149058</v>
      </c>
      <c r="E7" s="64">
        <v>16145924</v>
      </c>
      <c r="F7" s="64">
        <v>16142209</v>
      </c>
      <c r="G7" s="64">
        <v>16139207</v>
      </c>
      <c r="H7" s="64">
        <v>16136096</v>
      </c>
      <c r="I7" s="64">
        <v>16132986</v>
      </c>
      <c r="J7" s="64">
        <v>16128524</v>
      </c>
      <c r="K7" s="64">
        <v>16124048</v>
      </c>
      <c r="L7" s="64">
        <v>16124048</v>
      </c>
    </row>
    <row r="8" spans="1:12" s="36" customFormat="1" ht="12.75" hidden="1" customHeight="1" x14ac:dyDescent="0.3">
      <c r="A8" s="62" t="s">
        <v>675</v>
      </c>
      <c r="B8" s="63">
        <v>15440617</v>
      </c>
      <c r="C8" s="64">
        <v>15365078</v>
      </c>
      <c r="D8" s="64">
        <v>15334939</v>
      </c>
      <c r="E8" s="64">
        <v>15293476</v>
      </c>
      <c r="F8" s="64">
        <v>15225555</v>
      </c>
      <c r="G8" s="64">
        <v>15195973</v>
      </c>
      <c r="H8" s="64">
        <v>15152315</v>
      </c>
      <c r="I8" s="64">
        <v>15109281</v>
      </c>
      <c r="J8" s="64">
        <v>15047622</v>
      </c>
      <c r="K8" s="64">
        <v>14993450</v>
      </c>
      <c r="L8" s="64">
        <v>14993450</v>
      </c>
    </row>
    <row r="9" spans="1:12" s="36" customFormat="1" ht="12.75" hidden="1" customHeight="1" x14ac:dyDescent="0.3">
      <c r="A9" s="62" t="s">
        <v>674</v>
      </c>
      <c r="B9" s="63">
        <v>12000628</v>
      </c>
      <c r="C9" s="64">
        <v>11975115</v>
      </c>
      <c r="D9" s="64">
        <v>11965092</v>
      </c>
      <c r="E9" s="64">
        <v>11949952</v>
      </c>
      <c r="F9" s="64">
        <v>11928249</v>
      </c>
      <c r="G9" s="64">
        <v>11915277</v>
      </c>
      <c r="H9" s="64">
        <v>11897805</v>
      </c>
      <c r="I9" s="64">
        <v>11881632</v>
      </c>
      <c r="J9" s="64">
        <v>11857734</v>
      </c>
      <c r="K9" s="64">
        <v>11833122</v>
      </c>
      <c r="L9" s="64">
        <v>11833122</v>
      </c>
    </row>
    <row r="10" spans="1:12" s="36" customFormat="1" ht="12.75" hidden="1" customHeight="1" x14ac:dyDescent="0.3">
      <c r="A10" s="62" t="s">
        <v>673</v>
      </c>
      <c r="B10" s="63">
        <v>8532013</v>
      </c>
      <c r="C10" s="64">
        <v>8513483</v>
      </c>
      <c r="D10" s="64">
        <v>8504940</v>
      </c>
      <c r="E10" s="64">
        <v>8494366</v>
      </c>
      <c r="F10" s="64">
        <v>8477677</v>
      </c>
      <c r="G10" s="64">
        <v>8469058</v>
      </c>
      <c r="H10" s="64">
        <v>8455182</v>
      </c>
      <c r="I10" s="64">
        <v>8443285</v>
      </c>
      <c r="J10" s="64">
        <v>8421726</v>
      </c>
      <c r="K10" s="64">
        <v>8405771</v>
      </c>
      <c r="L10" s="64">
        <v>8405771</v>
      </c>
    </row>
    <row r="11" spans="1:12" s="36" customFormat="1" ht="12.75" hidden="1" customHeight="1" x14ac:dyDescent="0.3">
      <c r="A11" s="62" t="s">
        <v>672</v>
      </c>
      <c r="B11" s="63">
        <v>7617201</v>
      </c>
      <c r="C11" s="64">
        <v>7609586</v>
      </c>
      <c r="D11" s="64">
        <v>7605385</v>
      </c>
      <c r="E11" s="64">
        <v>7600164</v>
      </c>
      <c r="F11" s="64">
        <v>7591729</v>
      </c>
      <c r="G11" s="64">
        <v>7587067</v>
      </c>
      <c r="H11" s="64">
        <v>7579757</v>
      </c>
      <c r="I11" s="64">
        <v>7571793</v>
      </c>
      <c r="J11" s="64">
        <v>7558532</v>
      </c>
      <c r="K11" s="64">
        <v>7546291</v>
      </c>
      <c r="L11" s="64">
        <v>7546291</v>
      </c>
    </row>
    <row r="12" spans="1:12" s="36" customFormat="1" ht="12.75" hidden="1" customHeight="1" x14ac:dyDescent="0.3">
      <c r="A12" s="62" t="s">
        <v>671</v>
      </c>
      <c r="B12" s="63">
        <v>3222661</v>
      </c>
      <c r="C12" s="64">
        <v>3221600</v>
      </c>
      <c r="D12" s="64">
        <v>3221128</v>
      </c>
      <c r="E12" s="64">
        <v>3220242</v>
      </c>
      <c r="F12" s="64">
        <v>3219405</v>
      </c>
      <c r="G12" s="64">
        <v>3218877</v>
      </c>
      <c r="H12" s="64">
        <v>3218253</v>
      </c>
      <c r="I12" s="64">
        <v>3217542</v>
      </c>
      <c r="J12" s="64">
        <v>3216577</v>
      </c>
      <c r="K12" s="64">
        <v>3215588</v>
      </c>
      <c r="L12" s="64">
        <v>3215588</v>
      </c>
    </row>
    <row r="13" spans="1:12" s="36" customFormat="1" ht="12.75" hidden="1" customHeight="1" x14ac:dyDescent="0.3">
      <c r="A13" s="62" t="s">
        <v>670</v>
      </c>
      <c r="B13" s="63">
        <v>2436851</v>
      </c>
      <c r="C13" s="64">
        <v>2436151</v>
      </c>
      <c r="D13" s="64">
        <v>2435909</v>
      </c>
      <c r="E13" s="64">
        <v>2435591</v>
      </c>
      <c r="F13" s="64">
        <v>2434700</v>
      </c>
      <c r="G13" s="64">
        <v>2434226</v>
      </c>
      <c r="H13" s="64">
        <v>2433764</v>
      </c>
      <c r="I13" s="64">
        <v>2433222</v>
      </c>
      <c r="J13" s="64">
        <v>2432752</v>
      </c>
      <c r="K13" s="64">
        <v>2432353</v>
      </c>
      <c r="L13" s="64">
        <v>2432353</v>
      </c>
    </row>
    <row r="14" spans="1:12" s="36" customFormat="1" ht="12.75" hidden="1" customHeight="1" x14ac:dyDescent="0.3">
      <c r="A14" s="62" t="s">
        <v>669</v>
      </c>
      <c r="B14" s="63">
        <v>1688295</v>
      </c>
      <c r="C14" s="64">
        <v>1688179</v>
      </c>
      <c r="D14" s="64">
        <v>1688127</v>
      </c>
      <c r="E14" s="64">
        <v>1688034</v>
      </c>
      <c r="F14" s="64">
        <v>1687979</v>
      </c>
      <c r="G14" s="64">
        <v>1687942</v>
      </c>
      <c r="H14" s="64">
        <v>1687893</v>
      </c>
      <c r="I14" s="64">
        <v>1687813</v>
      </c>
      <c r="J14" s="64">
        <v>1687672</v>
      </c>
      <c r="K14" s="64">
        <v>1687630</v>
      </c>
      <c r="L14" s="64">
        <v>1687630</v>
      </c>
    </row>
    <row r="15" spans="1:12" s="36" customFormat="1" ht="12.75" hidden="1" customHeight="1" x14ac:dyDescent="0.3">
      <c r="A15" s="62" t="s">
        <v>668</v>
      </c>
      <c r="B15" s="63">
        <v>1032227</v>
      </c>
      <c r="C15" s="64">
        <v>1030743</v>
      </c>
      <c r="D15" s="64">
        <v>1030209</v>
      </c>
      <c r="E15" s="64">
        <v>1029549</v>
      </c>
      <c r="F15" s="64">
        <v>1028095</v>
      </c>
      <c r="G15" s="64">
        <v>1027440</v>
      </c>
      <c r="H15" s="64">
        <v>1026514</v>
      </c>
      <c r="I15" s="64">
        <v>1025663</v>
      </c>
      <c r="J15" s="64">
        <v>1024204</v>
      </c>
      <c r="K15" s="64">
        <v>1022947</v>
      </c>
      <c r="L15" s="64">
        <v>1022947</v>
      </c>
    </row>
    <row r="16" spans="1:12" s="36" customFormat="1" ht="12.75" hidden="1" customHeight="1" x14ac:dyDescent="0.3">
      <c r="A16" s="62" t="s">
        <v>667</v>
      </c>
      <c r="B16" s="63">
        <v>974067</v>
      </c>
      <c r="C16" s="64">
        <v>973113</v>
      </c>
      <c r="D16" s="64">
        <v>972643</v>
      </c>
      <c r="E16" s="64">
        <v>971893</v>
      </c>
      <c r="F16" s="64">
        <v>970912</v>
      </c>
      <c r="G16" s="64">
        <v>970335</v>
      </c>
      <c r="H16" s="64">
        <v>969658</v>
      </c>
      <c r="I16" s="64">
        <v>968579</v>
      </c>
      <c r="J16" s="64">
        <v>968033</v>
      </c>
      <c r="K16" s="64">
        <v>967002</v>
      </c>
      <c r="L16" s="64">
        <v>967002</v>
      </c>
    </row>
    <row r="17" spans="1:12" s="36" customFormat="1" ht="12.75" hidden="1" customHeight="1" x14ac:dyDescent="0.3">
      <c r="A17" s="62" t="s">
        <v>666</v>
      </c>
      <c r="B17" s="63">
        <v>995287</v>
      </c>
      <c r="C17" s="64">
        <v>970577</v>
      </c>
      <c r="D17" s="64">
        <v>956163</v>
      </c>
      <c r="E17" s="64">
        <v>943075</v>
      </c>
      <c r="F17" s="64">
        <v>919801</v>
      </c>
      <c r="G17" s="64">
        <v>908242</v>
      </c>
      <c r="H17" s="64">
        <v>892349</v>
      </c>
      <c r="I17" s="64">
        <v>874341</v>
      </c>
      <c r="J17" s="64">
        <v>852560</v>
      </c>
      <c r="K17" s="64">
        <v>834141</v>
      </c>
      <c r="L17" s="64">
        <v>834141</v>
      </c>
    </row>
    <row r="18" spans="1:12" s="36" customFormat="1" ht="12.75" hidden="1" customHeight="1" x14ac:dyDescent="0.3">
      <c r="A18" s="62" t="s">
        <v>665</v>
      </c>
      <c r="B18" s="63">
        <v>358275</v>
      </c>
      <c r="C18" s="64">
        <v>355570</v>
      </c>
      <c r="D18" s="64">
        <v>353983</v>
      </c>
      <c r="E18" s="64">
        <v>352481</v>
      </c>
      <c r="F18" s="64">
        <v>351064</v>
      </c>
      <c r="G18" s="64">
        <v>349426</v>
      </c>
      <c r="H18" s="64">
        <v>347719</v>
      </c>
      <c r="I18" s="64">
        <v>346383</v>
      </c>
      <c r="J18" s="64">
        <v>345100</v>
      </c>
      <c r="K18" s="64">
        <v>343662</v>
      </c>
      <c r="L18" s="64">
        <v>343662</v>
      </c>
    </row>
    <row r="19" spans="1:12" s="36" customFormat="1" ht="12.75" hidden="1" customHeight="1" x14ac:dyDescent="0.3">
      <c r="A19" s="62" t="s">
        <v>664</v>
      </c>
      <c r="B19" s="63">
        <v>131718</v>
      </c>
      <c r="C19" s="64">
        <v>131614</v>
      </c>
      <c r="D19" s="64">
        <v>131544</v>
      </c>
      <c r="E19" s="64">
        <v>131392</v>
      </c>
      <c r="F19" s="64">
        <v>131346</v>
      </c>
      <c r="G19" s="64">
        <v>131264</v>
      </c>
      <c r="H19" s="64">
        <v>131061</v>
      </c>
      <c r="I19" s="64">
        <v>130333</v>
      </c>
      <c r="J19" s="64">
        <v>129859</v>
      </c>
      <c r="K19" s="64">
        <v>129104</v>
      </c>
      <c r="L19" s="64">
        <v>129104</v>
      </c>
    </row>
    <row r="20" spans="1:12" s="36" customFormat="1" ht="12.75" hidden="1" customHeight="1" x14ac:dyDescent="0.3">
      <c r="A20" s="62" t="s">
        <v>663</v>
      </c>
      <c r="B20" s="63">
        <v>100410</v>
      </c>
      <c r="C20" s="64">
        <v>100309</v>
      </c>
      <c r="D20" s="64">
        <v>100248</v>
      </c>
      <c r="E20" s="64">
        <v>100157</v>
      </c>
      <c r="F20" s="64">
        <v>100046</v>
      </c>
      <c r="G20" s="64">
        <v>99972</v>
      </c>
      <c r="H20" s="64">
        <v>99822</v>
      </c>
      <c r="I20" s="64">
        <v>99681</v>
      </c>
      <c r="J20" s="64">
        <v>99530</v>
      </c>
      <c r="K20" s="64">
        <v>99183</v>
      </c>
      <c r="L20" s="64">
        <v>99183</v>
      </c>
    </row>
    <row r="21" spans="1:12" s="36" customFormat="1" ht="12.75" hidden="1" customHeight="1" x14ac:dyDescent="0.3">
      <c r="A21" s="62" t="s">
        <v>662</v>
      </c>
      <c r="B21" s="63">
        <v>19602</v>
      </c>
      <c r="C21" s="64">
        <v>19579</v>
      </c>
      <c r="D21" s="64">
        <v>19574</v>
      </c>
      <c r="E21" s="64">
        <v>19564</v>
      </c>
      <c r="F21" s="64">
        <v>19556</v>
      </c>
      <c r="G21" s="64">
        <v>19546</v>
      </c>
      <c r="H21" s="64">
        <v>19530</v>
      </c>
      <c r="I21" s="64">
        <v>19517</v>
      </c>
      <c r="J21" s="64">
        <v>19508</v>
      </c>
      <c r="K21" s="64">
        <v>19488</v>
      </c>
      <c r="L21" s="64">
        <v>19488</v>
      </c>
    </row>
    <row r="22" spans="1:12" s="36" customFormat="1" ht="12.75" hidden="1" customHeight="1" x14ac:dyDescent="0.3">
      <c r="A22" s="65" t="s">
        <v>661</v>
      </c>
      <c r="B22" s="66">
        <v>2232</v>
      </c>
      <c r="C22" s="67">
        <v>2153</v>
      </c>
      <c r="D22" s="67">
        <v>2137</v>
      </c>
      <c r="E22" s="67">
        <v>2074</v>
      </c>
      <c r="F22" s="67">
        <v>1990</v>
      </c>
      <c r="G22" s="67">
        <v>1962</v>
      </c>
      <c r="H22" s="67">
        <v>1912</v>
      </c>
      <c r="I22" s="67">
        <v>1877</v>
      </c>
      <c r="J22" s="67">
        <v>1836</v>
      </c>
      <c r="K22" s="67">
        <v>1788</v>
      </c>
      <c r="L22" s="67">
        <v>1788</v>
      </c>
    </row>
    <row r="23" spans="1:12" s="36" customFormat="1" ht="12.75" hidden="1" customHeight="1" x14ac:dyDescent="0.3">
      <c r="B23" s="68"/>
      <c r="C23" s="68"/>
      <c r="D23" s="38"/>
      <c r="K23" s="69" t="s">
        <v>59</v>
      </c>
      <c r="L23" s="69" t="s">
        <v>59</v>
      </c>
    </row>
    <row r="24" spans="1:12" s="36" customFormat="1" ht="12.75" hidden="1" customHeight="1" x14ac:dyDescent="0.3">
      <c r="B24" s="68"/>
      <c r="C24" s="68"/>
      <c r="D24" s="38"/>
      <c r="I24" s="69"/>
    </row>
    <row r="25" spans="1:12" s="36" customFormat="1" ht="12.75" hidden="1" customHeight="1" x14ac:dyDescent="0.3">
      <c r="B25" s="68"/>
      <c r="C25" s="68"/>
      <c r="D25" s="38"/>
      <c r="I25" s="69"/>
    </row>
    <row r="26" spans="1:12" s="36" customFormat="1" ht="12.75" hidden="1" customHeight="1" x14ac:dyDescent="0.3">
      <c r="B26" s="68"/>
      <c r="C26" s="68"/>
      <c r="D26" s="38"/>
      <c r="I26" s="69"/>
    </row>
    <row r="27" spans="1:12" s="36" customFormat="1" ht="12.75" hidden="1" customHeight="1" x14ac:dyDescent="0.3">
      <c r="B27" s="68"/>
      <c r="C27" s="68"/>
      <c r="D27" s="38"/>
      <c r="I27" s="69"/>
    </row>
    <row r="28" spans="1:12" s="36" customFormat="1" ht="12.75" hidden="1" customHeight="1" x14ac:dyDescent="0.3">
      <c r="B28" s="68"/>
      <c r="C28" s="68"/>
      <c r="D28" s="38"/>
      <c r="I28" s="69"/>
    </row>
    <row r="29" spans="1:12" s="36" customFormat="1" ht="12.75" hidden="1" customHeight="1" x14ac:dyDescent="0.3">
      <c r="B29" s="68"/>
      <c r="C29" s="68"/>
      <c r="D29" s="38"/>
      <c r="I29" s="69"/>
    </row>
    <row r="30" spans="1:12" s="36" customFormat="1" ht="12.75" hidden="1" customHeight="1" x14ac:dyDescent="0.3">
      <c r="B30" s="68"/>
      <c r="C30" s="68"/>
      <c r="D30" s="38"/>
      <c r="I30" s="69"/>
    </row>
    <row r="31" spans="1:12" s="36" customFormat="1" ht="12.75" hidden="1" customHeight="1" x14ac:dyDescent="0.3">
      <c r="B31" s="68"/>
      <c r="C31" s="68"/>
      <c r="D31" s="38"/>
    </row>
    <row r="32" spans="1:12" s="36" customFormat="1" ht="12.75" hidden="1" customHeight="1" x14ac:dyDescent="0.3">
      <c r="B32" s="68"/>
      <c r="C32" s="68"/>
      <c r="D32" s="38"/>
      <c r="I32" s="69"/>
    </row>
    <row r="33" spans="1:12" s="34" customFormat="1" ht="12.75" customHeight="1" x14ac:dyDescent="0.3">
      <c r="A33" s="1180" t="s">
        <v>881</v>
      </c>
      <c r="B33" s="1180"/>
      <c r="C33" s="1180"/>
      <c r="D33" s="1180"/>
      <c r="E33" s="1180"/>
      <c r="F33" s="1180"/>
      <c r="G33" s="1180"/>
      <c r="H33" s="1180"/>
      <c r="I33" s="1180"/>
      <c r="J33" s="1180"/>
      <c r="K33" s="1180"/>
      <c r="L33" s="1180"/>
    </row>
    <row r="34" spans="1:12" s="34" customFormat="1" ht="12.75" customHeight="1" x14ac:dyDescent="0.3">
      <c r="A34" s="1181" t="s">
        <v>41</v>
      </c>
      <c r="B34" s="1181"/>
      <c r="C34" s="1181"/>
      <c r="D34" s="1181"/>
      <c r="E34" s="1181"/>
      <c r="F34" s="1181"/>
      <c r="G34" s="1181"/>
      <c r="H34" s="1181"/>
      <c r="I34" s="1181"/>
      <c r="J34" s="1181"/>
      <c r="K34" s="1181"/>
      <c r="L34" s="1181"/>
    </row>
    <row r="35" spans="1:12" ht="12.75" hidden="1" customHeight="1" x14ac:dyDescent="0.3">
      <c r="B35" s="70"/>
      <c r="C35" s="70"/>
      <c r="D35" s="71"/>
      <c r="E35" s="71"/>
      <c r="F35" s="71"/>
      <c r="G35" s="71"/>
      <c r="H35" s="71"/>
    </row>
    <row r="36" spans="1:12" s="31" customFormat="1" ht="12.75" customHeight="1" x14ac:dyDescent="0.25">
      <c r="A36" s="72"/>
      <c r="B36" s="73"/>
      <c r="C36" s="73"/>
      <c r="D36" s="73"/>
      <c r="E36" s="73"/>
      <c r="F36" s="73"/>
      <c r="G36" s="73"/>
      <c r="K36" s="293"/>
      <c r="L36" s="293"/>
    </row>
    <row r="37" spans="1:12" ht="27.95" customHeight="1" x14ac:dyDescent="0.3">
      <c r="A37" s="1025" t="s">
        <v>684</v>
      </c>
      <c r="B37" s="1026"/>
      <c r="C37" s="1026" t="s">
        <v>682</v>
      </c>
      <c r="D37" s="1026" t="s">
        <v>681</v>
      </c>
      <c r="E37" s="1026" t="s">
        <v>680</v>
      </c>
      <c r="F37" s="1026" t="s">
        <v>679</v>
      </c>
      <c r="G37" s="1026" t="s">
        <v>678</v>
      </c>
      <c r="H37" s="1026" t="s">
        <v>677</v>
      </c>
      <c r="I37" s="1026" t="s">
        <v>5</v>
      </c>
      <c r="J37" s="1026" t="s">
        <v>6</v>
      </c>
      <c r="K37" s="1026" t="s">
        <v>7</v>
      </c>
      <c r="L37" s="1026" t="s">
        <v>770</v>
      </c>
    </row>
    <row r="38" spans="1:12" ht="12.75" hidden="1" customHeight="1" x14ac:dyDescent="0.3">
      <c r="A38" s="1027"/>
      <c r="B38" s="1031"/>
      <c r="C38" s="1031"/>
      <c r="D38" s="1031"/>
      <c r="E38" s="1031"/>
      <c r="F38" s="1031"/>
      <c r="G38" s="1031"/>
      <c r="H38" s="1031"/>
      <c r="I38" s="1031"/>
      <c r="J38" s="1031"/>
      <c r="K38" s="1031"/>
      <c r="L38" s="1031"/>
    </row>
    <row r="39" spans="1:12" ht="15.95" customHeight="1" x14ac:dyDescent="0.3">
      <c r="A39" s="1028" t="s">
        <v>57</v>
      </c>
      <c r="B39" s="1032"/>
      <c r="C39" s="1032">
        <v>69382537</v>
      </c>
      <c r="D39" s="1032">
        <v>69232257</v>
      </c>
      <c r="E39" s="1032">
        <v>69054691</v>
      </c>
      <c r="F39" s="1032">
        <v>68898230</v>
      </c>
      <c r="G39" s="1032">
        <v>68733568</v>
      </c>
      <c r="H39" s="1032">
        <v>68577351</v>
      </c>
      <c r="I39" s="1032">
        <v>68422585</v>
      </c>
      <c r="J39" s="1032">
        <v>68274160</v>
      </c>
      <c r="K39" s="1032">
        <v>68070888.829999983</v>
      </c>
      <c r="L39" s="1032">
        <v>67932914.709999993</v>
      </c>
    </row>
    <row r="40" spans="1:12" ht="15.95" customHeight="1" x14ac:dyDescent="0.3">
      <c r="A40" s="1029" t="s">
        <v>676</v>
      </c>
      <c r="B40" s="1033"/>
      <c r="C40" s="1033">
        <v>16116015</v>
      </c>
      <c r="D40" s="1033">
        <v>16112351</v>
      </c>
      <c r="E40" s="1033">
        <v>16105877</v>
      </c>
      <c r="F40" s="1033">
        <v>16099800</v>
      </c>
      <c r="G40" s="1033">
        <v>16093870</v>
      </c>
      <c r="H40" s="1033">
        <v>16090802</v>
      </c>
      <c r="I40" s="1033">
        <v>16087493</v>
      </c>
      <c r="J40" s="1033">
        <v>16090978</v>
      </c>
      <c r="K40" s="1033">
        <v>16088252.4</v>
      </c>
      <c r="L40" s="1033">
        <v>16085206.92</v>
      </c>
    </row>
    <row r="41" spans="1:12" ht="15.95" customHeight="1" x14ac:dyDescent="0.3">
      <c r="A41" s="1029" t="s">
        <v>675</v>
      </c>
      <c r="B41" s="1033"/>
      <c r="C41" s="1033">
        <v>14890750</v>
      </c>
      <c r="D41" s="1033">
        <v>14833089</v>
      </c>
      <c r="E41" s="1033">
        <v>14767032</v>
      </c>
      <c r="F41" s="1033">
        <v>14712682</v>
      </c>
      <c r="G41" s="1033">
        <v>14655646</v>
      </c>
      <c r="H41" s="1033">
        <v>13263827</v>
      </c>
      <c r="I41" s="1033">
        <v>13211505</v>
      </c>
      <c r="J41" s="1033">
        <v>13554704</v>
      </c>
      <c r="K41" s="1033">
        <v>13488061.449999999</v>
      </c>
      <c r="L41" s="1033">
        <v>13446985.439999999</v>
      </c>
    </row>
    <row r="42" spans="1:12" ht="15.95" customHeight="1" x14ac:dyDescent="0.3">
      <c r="A42" s="1029" t="s">
        <v>674</v>
      </c>
      <c r="B42" s="1033"/>
      <c r="C42" s="1033">
        <v>11783095</v>
      </c>
      <c r="D42" s="1033">
        <v>11754691</v>
      </c>
      <c r="E42" s="1033">
        <v>11722144</v>
      </c>
      <c r="F42" s="1033">
        <v>11690616</v>
      </c>
      <c r="G42" s="1033">
        <v>11655626</v>
      </c>
      <c r="H42" s="1033">
        <v>12753479</v>
      </c>
      <c r="I42" s="1033">
        <v>12723727</v>
      </c>
      <c r="J42" s="1033">
        <v>13078549</v>
      </c>
      <c r="K42" s="1033">
        <v>13034710.08</v>
      </c>
      <c r="L42" s="1033">
        <v>13008450.449999999</v>
      </c>
    </row>
    <row r="43" spans="1:12" ht="15.95" customHeight="1" x14ac:dyDescent="0.3">
      <c r="A43" s="1029" t="s">
        <v>673</v>
      </c>
      <c r="B43" s="1033"/>
      <c r="C43" s="1033">
        <v>8371300</v>
      </c>
      <c r="D43" s="1033">
        <v>8353616</v>
      </c>
      <c r="E43" s="1033">
        <v>8331826</v>
      </c>
      <c r="F43" s="1033">
        <v>8312141</v>
      </c>
      <c r="G43" s="1033">
        <v>8289861</v>
      </c>
      <c r="H43" s="1033">
        <v>7654856</v>
      </c>
      <c r="I43" s="1033">
        <v>7633571</v>
      </c>
      <c r="J43" s="1033">
        <v>8325033</v>
      </c>
      <c r="K43" s="1033">
        <v>8292230.9500000002</v>
      </c>
      <c r="L43" s="1033">
        <v>8269624.8200000003</v>
      </c>
    </row>
    <row r="44" spans="1:12" ht="15.95" customHeight="1" x14ac:dyDescent="0.3">
      <c r="A44" s="1029" t="s">
        <v>672</v>
      </c>
      <c r="B44" s="1033"/>
      <c r="C44" s="1033">
        <v>7516861</v>
      </c>
      <c r="D44" s="1033">
        <v>7499103</v>
      </c>
      <c r="E44" s="1033">
        <v>7477377</v>
      </c>
      <c r="F44" s="1033">
        <v>7459555</v>
      </c>
      <c r="G44" s="1033">
        <v>7441936</v>
      </c>
      <c r="H44" s="1033">
        <v>7753598</v>
      </c>
      <c r="I44" s="1033">
        <v>7733509</v>
      </c>
      <c r="J44" s="1033">
        <v>6776700</v>
      </c>
      <c r="K44" s="1033">
        <v>6749371.4400000004</v>
      </c>
      <c r="L44" s="1033">
        <v>6728164.8600000003</v>
      </c>
    </row>
    <row r="45" spans="1:12" ht="15.95" customHeight="1" x14ac:dyDescent="0.3">
      <c r="A45" s="1029" t="s">
        <v>671</v>
      </c>
      <c r="B45" s="1033"/>
      <c r="C45" s="1033">
        <v>3212033</v>
      </c>
      <c r="D45" s="1033">
        <v>3210269</v>
      </c>
      <c r="E45" s="1033">
        <v>3208494</v>
      </c>
      <c r="F45" s="1033">
        <v>3206899</v>
      </c>
      <c r="G45" s="1033">
        <v>3204864</v>
      </c>
      <c r="H45" s="1033">
        <v>3038417</v>
      </c>
      <c r="I45" s="1033">
        <v>3037357</v>
      </c>
      <c r="J45" s="1033">
        <v>2375034</v>
      </c>
      <c r="K45" s="1033">
        <v>2374561.98</v>
      </c>
      <c r="L45" s="1033">
        <v>2374225.7400000002</v>
      </c>
    </row>
    <row r="46" spans="1:12" ht="15.95" customHeight="1" x14ac:dyDescent="0.3">
      <c r="A46" s="1029" t="s">
        <v>670</v>
      </c>
      <c r="B46" s="1033"/>
      <c r="C46" s="1033">
        <v>2431275</v>
      </c>
      <c r="D46" s="1033">
        <v>2430724</v>
      </c>
      <c r="E46" s="1033">
        <v>2430193</v>
      </c>
      <c r="F46" s="1033">
        <v>2429808</v>
      </c>
      <c r="G46" s="1033">
        <v>2429229</v>
      </c>
      <c r="H46" s="1033">
        <v>2428622</v>
      </c>
      <c r="I46" s="1033">
        <v>2428318</v>
      </c>
      <c r="J46" s="1033">
        <v>2676715</v>
      </c>
      <c r="K46" s="1033">
        <v>2675630.88</v>
      </c>
      <c r="L46" s="1033">
        <v>2675145.96</v>
      </c>
    </row>
    <row r="47" spans="1:12" ht="15.95" customHeight="1" x14ac:dyDescent="0.3">
      <c r="A47" s="1029" t="s">
        <v>669</v>
      </c>
      <c r="B47" s="1033"/>
      <c r="C47" s="1033">
        <v>1687467</v>
      </c>
      <c r="D47" s="1033">
        <v>1687357</v>
      </c>
      <c r="E47" s="1033">
        <v>1687098</v>
      </c>
      <c r="F47" s="1033">
        <v>1686880</v>
      </c>
      <c r="G47" s="1033">
        <v>1686760</v>
      </c>
      <c r="H47" s="1033">
        <v>1686245</v>
      </c>
      <c r="I47" s="1033">
        <v>1686047</v>
      </c>
      <c r="J47" s="1033">
        <v>1686161</v>
      </c>
      <c r="K47" s="1033">
        <v>1686065.97</v>
      </c>
      <c r="L47" s="1033">
        <v>1686007.8</v>
      </c>
    </row>
    <row r="48" spans="1:12" ht="15.95" customHeight="1" x14ac:dyDescent="0.3">
      <c r="A48" s="1029" t="s">
        <v>668</v>
      </c>
      <c r="B48" s="1033"/>
      <c r="C48" s="1033">
        <v>1020655</v>
      </c>
      <c r="D48" s="1033">
        <v>1019522</v>
      </c>
      <c r="E48" s="1033">
        <v>1017817</v>
      </c>
      <c r="F48" s="1033">
        <v>1016475</v>
      </c>
      <c r="G48" s="1033">
        <v>1014832</v>
      </c>
      <c r="H48" s="1033">
        <v>1239158</v>
      </c>
      <c r="I48" s="1033">
        <v>1236751</v>
      </c>
      <c r="J48" s="1033">
        <v>1329843</v>
      </c>
      <c r="K48" s="1033">
        <v>1326806.28</v>
      </c>
      <c r="L48" s="1033">
        <v>1324642.8600000001</v>
      </c>
    </row>
    <row r="49" spans="1:12" ht="15.95" customHeight="1" x14ac:dyDescent="0.3">
      <c r="A49" s="1029" t="s">
        <v>667</v>
      </c>
      <c r="B49" s="1033"/>
      <c r="C49" s="1033">
        <v>964782</v>
      </c>
      <c r="D49" s="1033">
        <v>963365</v>
      </c>
      <c r="E49" s="1033">
        <v>961432</v>
      </c>
      <c r="F49" s="1033">
        <v>959377</v>
      </c>
      <c r="G49" s="1033">
        <v>957585</v>
      </c>
      <c r="H49" s="1033">
        <v>935637</v>
      </c>
      <c r="I49" s="1033">
        <v>933600</v>
      </c>
      <c r="J49" s="1033">
        <v>716406</v>
      </c>
      <c r="K49" s="1033">
        <v>714317.85</v>
      </c>
      <c r="L49" s="1033">
        <v>711872.94</v>
      </c>
    </row>
    <row r="50" spans="1:12" ht="15.95" customHeight="1" x14ac:dyDescent="0.3">
      <c r="A50" s="1029" t="s">
        <v>666</v>
      </c>
      <c r="B50" s="1033"/>
      <c r="C50" s="1033">
        <v>800403</v>
      </c>
      <c r="D50" s="1033">
        <v>783473</v>
      </c>
      <c r="E50" s="1033">
        <v>763941</v>
      </c>
      <c r="F50" s="1033">
        <v>747192</v>
      </c>
      <c r="G50" s="1033">
        <v>731116</v>
      </c>
      <c r="H50" s="1033">
        <v>823934</v>
      </c>
      <c r="I50" s="1033">
        <v>807078</v>
      </c>
      <c r="J50" s="1033">
        <v>790910</v>
      </c>
      <c r="K50" s="1033">
        <v>771854.49</v>
      </c>
      <c r="L50" s="1033">
        <v>756875.79</v>
      </c>
    </row>
    <row r="51" spans="1:12" ht="15.95" customHeight="1" x14ac:dyDescent="0.3">
      <c r="A51" s="1029" t="s">
        <v>665</v>
      </c>
      <c r="B51" s="1033"/>
      <c r="C51" s="1033">
        <v>341669</v>
      </c>
      <c r="D51" s="1033">
        <v>340446</v>
      </c>
      <c r="E51" s="1033">
        <v>338952</v>
      </c>
      <c r="F51" s="1033">
        <v>337404</v>
      </c>
      <c r="G51" s="1033">
        <v>335139</v>
      </c>
      <c r="H51" s="1033">
        <v>673632</v>
      </c>
      <c r="I51" s="1033">
        <v>671862</v>
      </c>
      <c r="J51" s="1033">
        <v>670630</v>
      </c>
      <c r="K51" s="1033">
        <v>668799.99</v>
      </c>
      <c r="L51" s="1033">
        <v>667634.57999999996</v>
      </c>
    </row>
    <row r="52" spans="1:12" ht="15.95" customHeight="1" x14ac:dyDescent="0.3">
      <c r="A52" s="1029" t="s">
        <v>664</v>
      </c>
      <c r="B52" s="1033"/>
      <c r="C52" s="1033">
        <v>126644</v>
      </c>
      <c r="D52" s="1033">
        <v>125460</v>
      </c>
      <c r="E52" s="1033">
        <v>124462</v>
      </c>
      <c r="F52" s="1033">
        <v>122776</v>
      </c>
      <c r="G52" s="1033">
        <v>121349</v>
      </c>
      <c r="H52" s="1033">
        <v>117455</v>
      </c>
      <c r="I52" s="1033">
        <v>115297</v>
      </c>
      <c r="J52" s="1033">
        <v>97787</v>
      </c>
      <c r="K52" s="1033">
        <v>95818.96</v>
      </c>
      <c r="L52" s="1033">
        <v>93876.3</v>
      </c>
    </row>
    <row r="53" spans="1:12" ht="15.95" customHeight="1" x14ac:dyDescent="0.3">
      <c r="A53" s="1029" t="s">
        <v>663</v>
      </c>
      <c r="B53" s="1033"/>
      <c r="C53" s="1033">
        <v>98360</v>
      </c>
      <c r="D53" s="1033">
        <v>97597</v>
      </c>
      <c r="E53" s="1033">
        <v>96896</v>
      </c>
      <c r="F53" s="1033">
        <v>95498</v>
      </c>
      <c r="G53" s="1033">
        <v>94646</v>
      </c>
      <c r="H53" s="1033">
        <v>86929</v>
      </c>
      <c r="I53" s="1033">
        <v>85742</v>
      </c>
      <c r="J53" s="1033">
        <v>76532</v>
      </c>
      <c r="K53" s="1033">
        <v>76258.929999999993</v>
      </c>
      <c r="L53" s="1033">
        <v>76063.44</v>
      </c>
    </row>
    <row r="54" spans="1:12" ht="15.95" customHeight="1" x14ac:dyDescent="0.3">
      <c r="A54" s="1029" t="s">
        <v>662</v>
      </c>
      <c r="B54" s="1033"/>
      <c r="C54" s="1033">
        <v>19471</v>
      </c>
      <c r="D54" s="1033">
        <v>19462</v>
      </c>
      <c r="E54" s="1033">
        <v>19455</v>
      </c>
      <c r="F54" s="1033">
        <v>19441</v>
      </c>
      <c r="G54" s="1033">
        <v>19435</v>
      </c>
      <c r="H54" s="1033">
        <v>29093</v>
      </c>
      <c r="I54" s="1033">
        <v>29069</v>
      </c>
      <c r="J54" s="1033">
        <v>26523</v>
      </c>
      <c r="K54" s="1033">
        <v>26512.959999999999</v>
      </c>
      <c r="L54" s="1033">
        <v>26508.89</v>
      </c>
    </row>
    <row r="55" spans="1:12" ht="15.95" customHeight="1" x14ac:dyDescent="0.3">
      <c r="A55" s="1030" t="s">
        <v>661</v>
      </c>
      <c r="B55" s="1024"/>
      <c r="C55" s="1024">
        <v>1757</v>
      </c>
      <c r="D55" s="1024">
        <v>1732</v>
      </c>
      <c r="E55" s="1024">
        <v>1695</v>
      </c>
      <c r="F55" s="1024">
        <v>1686</v>
      </c>
      <c r="G55" s="1024">
        <v>1674</v>
      </c>
      <c r="H55" s="1024">
        <v>1667</v>
      </c>
      <c r="I55" s="1024">
        <v>1659</v>
      </c>
      <c r="J55" s="1024">
        <v>1655</v>
      </c>
      <c r="K55" s="1024">
        <v>1634.22</v>
      </c>
      <c r="L55" s="1024">
        <v>1627.92</v>
      </c>
    </row>
    <row r="56" spans="1:12" s="283" customFormat="1" ht="12" customHeight="1" x14ac:dyDescent="0.25">
      <c r="A56" s="35" t="s">
        <v>767</v>
      </c>
      <c r="B56" s="308"/>
    </row>
    <row r="57" spans="1:12" s="283" customFormat="1" ht="12" customHeight="1" x14ac:dyDescent="0.25">
      <c r="A57" s="307" t="s">
        <v>721</v>
      </c>
    </row>
    <row r="58" spans="1:12" ht="12.75" customHeight="1" x14ac:dyDescent="0.3">
      <c r="A58" s="34"/>
    </row>
    <row r="59" spans="1:12" ht="12.75" customHeight="1" x14ac:dyDescent="0.3">
      <c r="A59" s="34"/>
      <c r="B59" s="34"/>
      <c r="C59" s="34"/>
      <c r="D59" s="34"/>
      <c r="E59" s="34"/>
      <c r="F59" s="34"/>
      <c r="G59" s="34"/>
      <c r="H59" s="34"/>
    </row>
    <row r="60" spans="1:12" ht="12.75" customHeight="1" x14ac:dyDescent="0.3">
      <c r="A60" s="34"/>
      <c r="B60" s="34"/>
      <c r="C60" s="34"/>
      <c r="D60" s="34"/>
      <c r="E60" s="34"/>
      <c r="F60" s="34"/>
      <c r="G60" s="34"/>
      <c r="H60" s="34"/>
    </row>
    <row r="61" spans="1:12" ht="12.75" customHeight="1" x14ac:dyDescent="0.3">
      <c r="A61" s="34"/>
      <c r="B61" s="34"/>
      <c r="C61" s="34"/>
      <c r="D61" s="34"/>
      <c r="E61" s="34"/>
      <c r="F61" s="34"/>
      <c r="G61" s="34"/>
      <c r="H61" s="34"/>
    </row>
    <row r="62" spans="1:12" ht="12.75" customHeight="1" x14ac:dyDescent="0.3">
      <c r="A62" s="34"/>
      <c r="B62" s="34"/>
      <c r="C62" s="34"/>
      <c r="D62" s="34"/>
      <c r="E62" s="34"/>
      <c r="F62" s="34"/>
      <c r="G62" s="34"/>
      <c r="H62" s="34"/>
    </row>
    <row r="63" spans="1:12" ht="12.75" customHeight="1" x14ac:dyDescent="0.3">
      <c r="A63" s="34"/>
      <c r="B63" s="34"/>
      <c r="C63" s="34"/>
      <c r="D63" s="34"/>
      <c r="E63" s="34"/>
      <c r="F63" s="34"/>
      <c r="G63" s="34"/>
      <c r="H63" s="34"/>
    </row>
    <row r="64" spans="1:12" ht="12.75" customHeight="1" x14ac:dyDescent="0.3">
      <c r="A64" s="34"/>
      <c r="B64" s="34"/>
      <c r="C64" s="34"/>
      <c r="D64" s="34"/>
      <c r="E64" s="34"/>
      <c r="F64" s="34"/>
      <c r="G64" s="34"/>
      <c r="H64" s="34"/>
    </row>
  </sheetData>
  <mergeCells count="4">
    <mergeCell ref="A2:J2"/>
    <mergeCell ref="A1:L1"/>
    <mergeCell ref="A33:L33"/>
    <mergeCell ref="A34:L34"/>
  </mergeCells>
  <printOptions horizontalCentered="1"/>
  <pageMargins left="0.70866141732283472" right="0.55118110236220474" top="0.74803149606299213" bottom="0.74803149606299213" header="0.31496062992125984" footer="0.31496062992125984"/>
  <pageSetup paperSize="9" orientation="landscape" r:id="rId1"/>
  <ignoredErrors>
    <ignoredError sqref="C37:J37 K37:L37"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AE25"/>
  <sheetViews>
    <sheetView showGridLines="0" zoomScaleNormal="100" zoomScaleSheetLayoutView="160" workbookViewId="0">
      <pane xSplit="16" ySplit="6" topLeftCell="Q7" activePane="bottomRight" state="frozen"/>
      <selection pane="topRight" activeCell="Q1" sqref="Q1"/>
      <selection pane="bottomLeft" activeCell="A7" sqref="A7"/>
      <selection pane="bottomRight" activeCell="S9" sqref="S9"/>
    </sheetView>
  </sheetViews>
  <sheetFormatPr baseColWidth="10" defaultColWidth="11.28515625" defaultRowHeight="12.75" customHeight="1" x14ac:dyDescent="0.3"/>
  <cols>
    <col min="1" max="1" width="14.85546875" style="49" customWidth="1"/>
    <col min="2" max="3" width="9.7109375" style="49" hidden="1" customWidth="1"/>
    <col min="4" max="4" width="12.28515625" style="49" hidden="1" customWidth="1"/>
    <col min="5" max="5" width="1.28515625" style="49" hidden="1" customWidth="1"/>
    <col min="6" max="7" width="9.7109375" style="49" hidden="1" customWidth="1"/>
    <col min="8" max="8" width="12.28515625" style="49" hidden="1" customWidth="1"/>
    <col min="9" max="9" width="1.28515625" style="49" hidden="1" customWidth="1"/>
    <col min="10" max="11" width="10.7109375" style="49" hidden="1" customWidth="1"/>
    <col min="12" max="12" width="12.28515625" style="49" hidden="1" customWidth="1"/>
    <col min="13" max="14" width="10.7109375" style="49" hidden="1" customWidth="1"/>
    <col min="15" max="15" width="12.28515625" style="49" hidden="1" customWidth="1"/>
    <col min="16" max="16" width="1.7109375" style="49" hidden="1" customWidth="1"/>
    <col min="17" max="17" width="13.7109375" style="49" customWidth="1"/>
    <col min="18" max="18" width="11.140625" style="49" customWidth="1"/>
    <col min="19" max="19" width="13.85546875" style="49" customWidth="1"/>
    <col min="20" max="20" width="1.7109375" style="49" customWidth="1"/>
    <col min="21" max="21" width="13.7109375" style="49" customWidth="1"/>
    <col min="22" max="22" width="11.140625" style="49" customWidth="1"/>
    <col min="23" max="23" width="13.85546875" style="49" customWidth="1"/>
    <col min="24" max="24" width="1.7109375" style="49" customWidth="1"/>
    <col min="25" max="25" width="13.7109375" style="49" customWidth="1"/>
    <col min="26" max="26" width="11.140625" style="49" customWidth="1"/>
    <col min="27" max="27" width="13.85546875" style="49" customWidth="1"/>
    <col min="28" max="28" width="1.7109375" style="49" customWidth="1"/>
    <col min="29" max="29" width="13.7109375" style="49" customWidth="1"/>
    <col min="30" max="30" width="11.140625" style="49" customWidth="1"/>
    <col min="31" max="31" width="13.85546875" style="49" customWidth="1"/>
    <col min="32" max="16384" width="11.28515625" style="49"/>
  </cols>
  <sheetData>
    <row r="1" spans="1:31" s="37" customFormat="1" ht="25.7" customHeight="1" x14ac:dyDescent="0.25">
      <c r="A1" s="1182" t="s">
        <v>883</v>
      </c>
      <c r="B1" s="1182"/>
      <c r="C1" s="1182"/>
      <c r="D1" s="1182"/>
      <c r="E1" s="1182"/>
      <c r="F1" s="1182"/>
      <c r="G1" s="1182"/>
      <c r="H1" s="1182"/>
      <c r="I1" s="1182"/>
      <c r="J1" s="1182"/>
      <c r="K1" s="1182"/>
      <c r="L1" s="1182"/>
      <c r="M1" s="1182"/>
      <c r="N1" s="1182"/>
      <c r="O1" s="1182"/>
      <c r="P1" s="1182"/>
      <c r="Q1" s="1182"/>
      <c r="R1" s="1182"/>
      <c r="S1" s="1182"/>
      <c r="T1" s="1182"/>
      <c r="U1" s="1182"/>
      <c r="V1" s="1182"/>
      <c r="W1" s="1182"/>
      <c r="X1" s="1182"/>
      <c r="Y1" s="1182"/>
      <c r="Z1" s="1182"/>
      <c r="AA1" s="1182"/>
      <c r="AB1" s="1182"/>
      <c r="AC1" s="1182"/>
      <c r="AD1" s="1182"/>
      <c r="AE1" s="1182"/>
    </row>
    <row r="2" spans="1:31" s="37" customFormat="1" ht="12.75" customHeight="1" x14ac:dyDescent="0.25">
      <c r="A2" s="1183" t="s">
        <v>695</v>
      </c>
      <c r="B2" s="1183"/>
      <c r="C2" s="1183"/>
      <c r="D2" s="1183"/>
      <c r="E2" s="1183"/>
      <c r="F2" s="1183"/>
      <c r="G2" s="1183"/>
      <c r="H2" s="1183"/>
      <c r="I2" s="1183"/>
      <c r="J2" s="1183"/>
      <c r="K2" s="1183"/>
      <c r="L2" s="1183"/>
      <c r="M2" s="1183"/>
      <c r="N2" s="1183"/>
      <c r="O2" s="1183"/>
      <c r="P2" s="1183"/>
      <c r="Q2" s="1183"/>
      <c r="R2" s="1183"/>
      <c r="S2" s="1183"/>
      <c r="T2" s="1183"/>
      <c r="U2" s="1183"/>
      <c r="V2" s="1183"/>
      <c r="W2" s="1183"/>
      <c r="X2" s="1183"/>
      <c r="Y2" s="1183"/>
      <c r="Z2" s="1183"/>
      <c r="AA2" s="1183"/>
      <c r="AB2" s="1183"/>
      <c r="AC2" s="1183"/>
      <c r="AD2" s="1183"/>
      <c r="AE2" s="1183"/>
    </row>
    <row r="3" spans="1:31" ht="12.75" customHeight="1" x14ac:dyDescent="0.3">
      <c r="A3" s="48"/>
    </row>
    <row r="4" spans="1:31" ht="27.95" customHeight="1" x14ac:dyDescent="0.3">
      <c r="A4" s="1185" t="s">
        <v>16</v>
      </c>
      <c r="B4" s="1186">
        <v>2014</v>
      </c>
      <c r="C4" s="1186"/>
      <c r="D4" s="1186"/>
      <c r="E4" s="1034"/>
      <c r="F4" s="1186">
        <v>2015</v>
      </c>
      <c r="G4" s="1186"/>
      <c r="H4" s="1186"/>
      <c r="I4" s="1034"/>
      <c r="J4" s="1186">
        <v>2016</v>
      </c>
      <c r="K4" s="1186"/>
      <c r="L4" s="1186"/>
      <c r="M4" s="1186">
        <v>2017</v>
      </c>
      <c r="N4" s="1186"/>
      <c r="O4" s="1186"/>
      <c r="P4" s="1034"/>
      <c r="Q4" s="1186">
        <v>2018</v>
      </c>
      <c r="R4" s="1186"/>
      <c r="S4" s="1186"/>
      <c r="T4" s="1035"/>
      <c r="U4" s="1186">
        <v>2019</v>
      </c>
      <c r="V4" s="1186"/>
      <c r="W4" s="1186"/>
      <c r="X4" s="1035"/>
      <c r="Y4" s="1186">
        <v>2020</v>
      </c>
      <c r="Z4" s="1186"/>
      <c r="AA4" s="1186"/>
      <c r="AB4" s="1035"/>
      <c r="AC4" s="1186">
        <v>2021</v>
      </c>
      <c r="AD4" s="1186"/>
      <c r="AE4" s="1186"/>
    </row>
    <row r="5" spans="1:31" ht="130.5" customHeight="1" x14ac:dyDescent="0.3">
      <c r="A5" s="1185"/>
      <c r="B5" s="1036" t="s">
        <v>694</v>
      </c>
      <c r="C5" s="1036" t="s">
        <v>718</v>
      </c>
      <c r="D5" s="1036" t="s">
        <v>719</v>
      </c>
      <c r="E5" s="1034"/>
      <c r="F5" s="1036" t="s">
        <v>694</v>
      </c>
      <c r="G5" s="1036" t="s">
        <v>718</v>
      </c>
      <c r="H5" s="1036" t="s">
        <v>719</v>
      </c>
      <c r="I5" s="1034"/>
      <c r="J5" s="1036" t="s">
        <v>694</v>
      </c>
      <c r="K5" s="1036" t="s">
        <v>718</v>
      </c>
      <c r="L5" s="1036" t="s">
        <v>719</v>
      </c>
      <c r="M5" s="1036" t="s">
        <v>694</v>
      </c>
      <c r="N5" s="1036" t="s">
        <v>718</v>
      </c>
      <c r="O5" s="1036" t="s">
        <v>719</v>
      </c>
      <c r="P5" s="1034"/>
      <c r="Q5" s="1036" t="s">
        <v>694</v>
      </c>
      <c r="R5" s="1036" t="s">
        <v>718</v>
      </c>
      <c r="S5" s="1036" t="s">
        <v>719</v>
      </c>
      <c r="T5" s="1037"/>
      <c r="U5" s="1036" t="s">
        <v>694</v>
      </c>
      <c r="V5" s="1036" t="s">
        <v>718</v>
      </c>
      <c r="W5" s="1036" t="s">
        <v>719</v>
      </c>
      <c r="X5" s="1037"/>
      <c r="Y5" s="1036" t="s">
        <v>694</v>
      </c>
      <c r="Z5" s="1036" t="s">
        <v>718</v>
      </c>
      <c r="AA5" s="1036" t="s">
        <v>719</v>
      </c>
      <c r="AB5" s="1037"/>
      <c r="AC5" s="1036" t="s">
        <v>694</v>
      </c>
      <c r="AD5" s="1036" t="s">
        <v>718</v>
      </c>
      <c r="AE5" s="1036" t="s">
        <v>719</v>
      </c>
    </row>
    <row r="6" spans="1:31" ht="3" customHeight="1" x14ac:dyDescent="0.3">
      <c r="A6" s="1038"/>
      <c r="B6" s="1047"/>
      <c r="C6" s="1047"/>
      <c r="D6" s="1047"/>
      <c r="E6" s="1047"/>
      <c r="F6" s="1047"/>
      <c r="G6" s="1047"/>
      <c r="H6" s="1047"/>
      <c r="I6" s="1047"/>
      <c r="J6" s="1047"/>
      <c r="K6" s="1047"/>
      <c r="L6" s="1047"/>
      <c r="M6" s="1047"/>
      <c r="N6" s="1047"/>
      <c r="O6" s="1047"/>
      <c r="P6" s="1047"/>
      <c r="Q6" s="1047"/>
      <c r="R6" s="1047"/>
      <c r="S6" s="1047"/>
      <c r="T6" s="1047"/>
      <c r="U6" s="1047"/>
      <c r="V6" s="1047"/>
      <c r="W6" s="1047"/>
      <c r="X6" s="1047"/>
      <c r="Y6" s="1047"/>
      <c r="Z6" s="1047"/>
      <c r="AA6" s="1047"/>
      <c r="AB6" s="1047"/>
      <c r="AC6" s="1047"/>
      <c r="AD6" s="1047"/>
      <c r="AE6" s="1047"/>
    </row>
    <row r="7" spans="1:31" s="50" customFormat="1" ht="15.95" customHeight="1" x14ac:dyDescent="0.3">
      <c r="A7" s="1039" t="s">
        <v>57</v>
      </c>
      <c r="B7" s="1048">
        <v>105782405</v>
      </c>
      <c r="C7" s="1032">
        <v>69054389</v>
      </c>
      <c r="D7" s="1049">
        <v>65.279654967194205</v>
      </c>
      <c r="E7" s="1050"/>
      <c r="F7" s="1048">
        <v>105782405</v>
      </c>
      <c r="G7" s="1051">
        <v>68897927</v>
      </c>
      <c r="H7" s="1049">
        <v>65.131745681146128</v>
      </c>
      <c r="I7" s="1050"/>
      <c r="J7" s="1048">
        <v>105782405</v>
      </c>
      <c r="K7" s="1051">
        <v>68733265</v>
      </c>
      <c r="L7" s="1049">
        <v>64.97608463335655</v>
      </c>
      <c r="M7" s="1048">
        <v>105782405</v>
      </c>
      <c r="N7" s="1051">
        <v>68577351</v>
      </c>
      <c r="O7" s="1049">
        <v>64.828693391873628</v>
      </c>
      <c r="P7" s="1049"/>
      <c r="Q7" s="1048">
        <v>105782405</v>
      </c>
      <c r="R7" s="1051">
        <v>68422585</v>
      </c>
      <c r="S7" s="1049">
        <v>64.682387397034503</v>
      </c>
      <c r="T7" s="1049"/>
      <c r="U7" s="1048">
        <v>105782405</v>
      </c>
      <c r="V7" s="1051">
        <v>68274159.569999993</v>
      </c>
      <c r="W7" s="1049">
        <v>64.542075376335035</v>
      </c>
      <c r="X7" s="1049"/>
      <c r="Y7" s="1048">
        <v>105782405</v>
      </c>
      <c r="Z7" s="1051">
        <v>68070889.140000001</v>
      </c>
      <c r="AA7" s="1049">
        <v>64.349916358963483</v>
      </c>
      <c r="AB7" s="1049"/>
      <c r="AC7" s="1048">
        <v>105782405</v>
      </c>
      <c r="AD7" s="1051">
        <v>67932914.709999993</v>
      </c>
      <c r="AE7" s="1049">
        <f>(AD7*100)/AC7</f>
        <v>64.21948405313718</v>
      </c>
    </row>
    <row r="8" spans="1:31" s="50" customFormat="1" ht="3" customHeight="1" x14ac:dyDescent="0.3">
      <c r="A8" s="1040"/>
      <c r="B8" s="1052"/>
      <c r="C8" s="1053"/>
      <c r="D8" s="1054"/>
      <c r="E8" s="1050"/>
      <c r="F8" s="1052"/>
      <c r="G8" s="1053"/>
      <c r="H8" s="1054"/>
      <c r="I8" s="1050"/>
      <c r="J8" s="1052"/>
      <c r="K8" s="1053"/>
      <c r="L8" s="1054"/>
      <c r="M8" s="1052"/>
      <c r="N8" s="1053"/>
      <c r="O8" s="1054"/>
      <c r="P8" s="1050"/>
      <c r="Q8" s="1052"/>
      <c r="R8" s="1053"/>
      <c r="S8" s="1054"/>
      <c r="T8" s="1050"/>
      <c r="U8" s="1052"/>
      <c r="V8" s="1053"/>
      <c r="W8" s="1054"/>
      <c r="X8" s="1050"/>
      <c r="Y8" s="1052"/>
      <c r="Z8" s="1053"/>
      <c r="AA8" s="1054"/>
      <c r="AB8" s="1050"/>
      <c r="AC8" s="1052"/>
      <c r="AD8" s="1053"/>
      <c r="AE8" s="1054"/>
    </row>
    <row r="9" spans="1:31" s="50" customFormat="1" ht="15.95" customHeight="1" x14ac:dyDescent="0.3">
      <c r="A9" s="1041" t="s">
        <v>17</v>
      </c>
      <c r="B9" s="1055">
        <v>3924912.9999999995</v>
      </c>
      <c r="C9" s="1033">
        <v>2861554</v>
      </c>
      <c r="D9" s="1056">
        <v>72.907450432659289</v>
      </c>
      <c r="E9" s="1050"/>
      <c r="F9" s="1055">
        <v>3924912.9999999995</v>
      </c>
      <c r="G9" s="1057">
        <v>2854623</v>
      </c>
      <c r="H9" s="1056">
        <v>72.730860531176106</v>
      </c>
      <c r="I9" s="1050"/>
      <c r="J9" s="1055">
        <v>3924912.9999999995</v>
      </c>
      <c r="K9" s="1057">
        <v>2847639</v>
      </c>
      <c r="L9" s="1056">
        <v>72.552920281290326</v>
      </c>
      <c r="M9" s="1055">
        <v>3924912.9999999995</v>
      </c>
      <c r="N9" s="1057">
        <v>2839184</v>
      </c>
      <c r="O9" s="1056">
        <v>72.337501493663694</v>
      </c>
      <c r="P9" s="1050"/>
      <c r="Q9" s="1055">
        <v>3924912.9999999995</v>
      </c>
      <c r="R9" s="1057">
        <v>2831731.38</v>
      </c>
      <c r="S9" s="1056">
        <v>72.147621616071504</v>
      </c>
      <c r="T9" s="1050"/>
      <c r="U9" s="1055">
        <v>3924912.9999999995</v>
      </c>
      <c r="V9" s="1033">
        <v>2825927</v>
      </c>
      <c r="W9" s="1056">
        <v>71.999736045104697</v>
      </c>
      <c r="X9" s="1050"/>
      <c r="Y9" s="1055">
        <v>3924912.9999999995</v>
      </c>
      <c r="Z9" s="1057">
        <v>2814385.57</v>
      </c>
      <c r="AA9" s="1056">
        <v>71.705680355207875</v>
      </c>
      <c r="AB9" s="1050"/>
      <c r="AC9" s="1055">
        <v>3924912.9999999995</v>
      </c>
      <c r="AD9" s="1057">
        <v>2810056.5</v>
      </c>
      <c r="AE9" s="1056">
        <f>(AD9*100)/AC9</f>
        <v>71.595383133333158</v>
      </c>
    </row>
    <row r="10" spans="1:31" s="50" customFormat="1" ht="15.95" customHeight="1" x14ac:dyDescent="0.3">
      <c r="A10" s="1041" t="s">
        <v>21</v>
      </c>
      <c r="B10" s="1055">
        <v>4381480</v>
      </c>
      <c r="C10" s="1033">
        <v>216239</v>
      </c>
      <c r="D10" s="1056">
        <v>4.9352958361101731</v>
      </c>
      <c r="E10" s="1050"/>
      <c r="F10" s="1055">
        <v>4381480</v>
      </c>
      <c r="G10" s="1057">
        <v>215426</v>
      </c>
      <c r="H10" s="1056">
        <v>4.9167404621269526</v>
      </c>
      <c r="I10" s="1050"/>
      <c r="J10" s="1055">
        <v>4381480</v>
      </c>
      <c r="K10" s="1057">
        <v>214446</v>
      </c>
      <c r="L10" s="1056">
        <v>4.8943735906588639</v>
      </c>
      <c r="M10" s="1055">
        <v>4381480</v>
      </c>
      <c r="N10" s="1057">
        <v>211665</v>
      </c>
      <c r="O10" s="1056">
        <v>4.8309155810365452</v>
      </c>
      <c r="P10" s="1050"/>
      <c r="Q10" s="1055">
        <v>4381480</v>
      </c>
      <c r="R10" s="1057">
        <v>209921.58</v>
      </c>
      <c r="S10" s="1056">
        <v>4.7911112226918755</v>
      </c>
      <c r="T10" s="1050"/>
      <c r="U10" s="1055">
        <v>4381480</v>
      </c>
      <c r="V10" s="1033">
        <v>207755</v>
      </c>
      <c r="W10" s="1056">
        <v>4.7416626345435784</v>
      </c>
      <c r="X10" s="1050"/>
      <c r="Y10" s="1055">
        <v>4381480</v>
      </c>
      <c r="Z10" s="1057">
        <v>205044.57</v>
      </c>
      <c r="AA10" s="1056">
        <v>4.6798015738974046</v>
      </c>
      <c r="AB10" s="1050"/>
      <c r="AC10" s="1055">
        <v>4381480</v>
      </c>
      <c r="AD10" s="1057">
        <v>204151.23</v>
      </c>
      <c r="AE10" s="1056">
        <f t="shared" ref="AE10:AE23" si="0">(AD10*100)/AC10</f>
        <v>4.6594125729205658</v>
      </c>
    </row>
    <row r="11" spans="1:31" s="50" customFormat="1" ht="15.95" customHeight="1" x14ac:dyDescent="0.3">
      <c r="A11" s="1041" t="s">
        <v>22</v>
      </c>
      <c r="B11" s="1055">
        <v>3330430.0000000005</v>
      </c>
      <c r="C11" s="1033">
        <v>353224</v>
      </c>
      <c r="D11" s="1056">
        <v>10.605957789234422</v>
      </c>
      <c r="E11" s="1050"/>
      <c r="F11" s="1055">
        <v>3330430.0000000005</v>
      </c>
      <c r="G11" s="1057">
        <v>352150</v>
      </c>
      <c r="H11" s="1056">
        <v>10.573709701149699</v>
      </c>
      <c r="I11" s="1050"/>
      <c r="J11" s="1055">
        <v>3330430.0000000005</v>
      </c>
      <c r="K11" s="1057">
        <v>350260</v>
      </c>
      <c r="L11" s="1056">
        <v>10.516960272397256</v>
      </c>
      <c r="M11" s="1055">
        <v>3330430.0000000005</v>
      </c>
      <c r="N11" s="1057">
        <v>348038</v>
      </c>
      <c r="O11" s="1056">
        <v>10.450234354122438</v>
      </c>
      <c r="P11" s="1050"/>
      <c r="Q11" s="1055">
        <v>3330430.0000000005</v>
      </c>
      <c r="R11" s="1057">
        <v>346761.63</v>
      </c>
      <c r="S11" s="1056">
        <v>10.41191768029954</v>
      </c>
      <c r="T11" s="1050"/>
      <c r="U11" s="1055">
        <v>3330430.0000000005</v>
      </c>
      <c r="V11" s="1033">
        <v>346162</v>
      </c>
      <c r="W11" s="1056">
        <v>10.393913098308625</v>
      </c>
      <c r="X11" s="1050"/>
      <c r="Y11" s="1055">
        <v>3330430.0000000005</v>
      </c>
      <c r="Z11" s="1057">
        <v>344558.57</v>
      </c>
      <c r="AA11" s="1056">
        <v>10.34576826415808</v>
      </c>
      <c r="AB11" s="1050"/>
      <c r="AC11" s="1055">
        <v>3330430.0000000005</v>
      </c>
      <c r="AD11" s="1057">
        <v>344175.21</v>
      </c>
      <c r="AE11" s="1056">
        <f t="shared" si="0"/>
        <v>10.334257438228695</v>
      </c>
    </row>
    <row r="12" spans="1:31" s="50" customFormat="1" ht="15.95" customHeight="1" x14ac:dyDescent="0.3">
      <c r="A12" s="1041" t="s">
        <v>23</v>
      </c>
      <c r="B12" s="1055">
        <v>7198650</v>
      </c>
      <c r="C12" s="1033">
        <v>3096272</v>
      </c>
      <c r="D12" s="1056">
        <v>43.011842498246203</v>
      </c>
      <c r="E12" s="1050"/>
      <c r="F12" s="1055">
        <v>7198650</v>
      </c>
      <c r="G12" s="1057">
        <v>3091464</v>
      </c>
      <c r="H12" s="1056">
        <v>42.945052197286991</v>
      </c>
      <c r="I12" s="1050"/>
      <c r="J12" s="1055">
        <v>7198650</v>
      </c>
      <c r="K12" s="1057">
        <v>3085764</v>
      </c>
      <c r="L12" s="1056">
        <v>42.865870684086602</v>
      </c>
      <c r="M12" s="1055">
        <v>7198650</v>
      </c>
      <c r="N12" s="1057">
        <v>3073583</v>
      </c>
      <c r="O12" s="1056">
        <v>42.696658401228014</v>
      </c>
      <c r="P12" s="1050"/>
      <c r="Q12" s="1055">
        <v>7198650</v>
      </c>
      <c r="R12" s="1057">
        <v>3063940.47</v>
      </c>
      <c r="S12" s="1056">
        <v>42.562709257985873</v>
      </c>
      <c r="T12" s="1050"/>
      <c r="U12" s="1055">
        <v>7198650</v>
      </c>
      <c r="V12" s="1033">
        <v>3056838</v>
      </c>
      <c r="W12" s="1056">
        <v>42.464045341834925</v>
      </c>
      <c r="X12" s="1050"/>
      <c r="Y12" s="1055">
        <v>7198650</v>
      </c>
      <c r="Z12" s="1057">
        <v>3047979.42</v>
      </c>
      <c r="AA12" s="1056">
        <v>42.340986434956548</v>
      </c>
      <c r="AB12" s="1050"/>
      <c r="AC12" s="1055">
        <v>7198650</v>
      </c>
      <c r="AD12" s="1057">
        <v>3042630.18</v>
      </c>
      <c r="AE12" s="1056">
        <f t="shared" si="0"/>
        <v>42.266677502031634</v>
      </c>
    </row>
    <row r="13" spans="1:31" s="50" customFormat="1" ht="15.95" customHeight="1" x14ac:dyDescent="0.3">
      <c r="A13" s="1041" t="s">
        <v>24</v>
      </c>
      <c r="B13" s="1055">
        <v>2213147</v>
      </c>
      <c r="C13" s="1033">
        <v>17649</v>
      </c>
      <c r="D13" s="1056">
        <v>0.7974617140208039</v>
      </c>
      <c r="E13" s="1050"/>
      <c r="F13" s="1055">
        <v>2213147</v>
      </c>
      <c r="G13" s="1057">
        <v>17576</v>
      </c>
      <c r="H13" s="1056">
        <v>0.79416324356222157</v>
      </c>
      <c r="I13" s="1050"/>
      <c r="J13" s="1055">
        <v>2213147</v>
      </c>
      <c r="K13" s="1057">
        <v>17337</v>
      </c>
      <c r="L13" s="1056">
        <v>0.78336414164987689</v>
      </c>
      <c r="M13" s="1055">
        <v>2213147</v>
      </c>
      <c r="N13" s="1057">
        <v>17318</v>
      </c>
      <c r="O13" s="1056">
        <v>0.78250563564010878</v>
      </c>
      <c r="P13" s="1050"/>
      <c r="Q13" s="1055">
        <v>2213147</v>
      </c>
      <c r="R13" s="1057">
        <v>17299.439999999999</v>
      </c>
      <c r="S13" s="1056">
        <v>0.78166701082214596</v>
      </c>
      <c r="T13" s="1050"/>
      <c r="U13" s="1055">
        <v>2213147</v>
      </c>
      <c r="V13" s="1058">
        <v>17207</v>
      </c>
      <c r="W13" s="1056">
        <v>0.77749015316199055</v>
      </c>
      <c r="X13" s="1050"/>
      <c r="Y13" s="1055">
        <v>2213147</v>
      </c>
      <c r="Z13" s="1057">
        <v>17036.28</v>
      </c>
      <c r="AA13" s="1056">
        <v>0.76977625074159095</v>
      </c>
      <c r="AB13" s="1050"/>
      <c r="AC13" s="1055">
        <v>2213147</v>
      </c>
      <c r="AD13" s="1057">
        <v>17014.32</v>
      </c>
      <c r="AE13" s="1056">
        <f t="shared" si="0"/>
        <v>0.76878399853240653</v>
      </c>
    </row>
    <row r="14" spans="1:31" s="50" customFormat="1" ht="15.95" customHeight="1" x14ac:dyDescent="0.3">
      <c r="A14" s="1041" t="s">
        <v>25</v>
      </c>
      <c r="B14" s="1055">
        <v>3702107</v>
      </c>
      <c r="C14" s="1033">
        <v>1622877</v>
      </c>
      <c r="D14" s="1056">
        <v>43.836577386877259</v>
      </c>
      <c r="E14" s="1050"/>
      <c r="F14" s="1055">
        <v>3702107</v>
      </c>
      <c r="G14" s="1057">
        <v>1599965</v>
      </c>
      <c r="H14" s="1056">
        <v>43.217686576860146</v>
      </c>
      <c r="I14" s="1050"/>
      <c r="J14" s="1055">
        <v>3702107</v>
      </c>
      <c r="K14" s="1057">
        <v>1581767</v>
      </c>
      <c r="L14" s="1056">
        <v>42.726128661327181</v>
      </c>
      <c r="M14" s="1055">
        <v>3702107</v>
      </c>
      <c r="N14" s="1057">
        <v>1562531</v>
      </c>
      <c r="O14" s="1056">
        <v>42.206532658294314</v>
      </c>
      <c r="P14" s="1050"/>
      <c r="Q14" s="1055">
        <v>3702107</v>
      </c>
      <c r="R14" s="1057">
        <v>1545971.67</v>
      </c>
      <c r="S14" s="1056">
        <v>41.759237915057554</v>
      </c>
      <c r="T14" s="1050"/>
      <c r="U14" s="1055">
        <v>3702107</v>
      </c>
      <c r="V14" s="1033">
        <v>1531015</v>
      </c>
      <c r="W14" s="1056">
        <v>41.355233654780918</v>
      </c>
      <c r="X14" s="1050"/>
      <c r="Y14" s="1055">
        <v>3702107</v>
      </c>
      <c r="Z14" s="1057">
        <v>1513103.54</v>
      </c>
      <c r="AA14" s="1056">
        <v>40.871415656003464</v>
      </c>
      <c r="AB14" s="1050"/>
      <c r="AC14" s="1055">
        <v>3702107</v>
      </c>
      <c r="AD14" s="1057">
        <v>1498083.03</v>
      </c>
      <c r="AE14" s="1056">
        <f t="shared" si="0"/>
        <v>40.465686972310635</v>
      </c>
    </row>
    <row r="15" spans="1:31" s="50" customFormat="1" ht="15.95" customHeight="1" x14ac:dyDescent="0.3">
      <c r="A15" s="1041" t="s">
        <v>82</v>
      </c>
      <c r="B15" s="1055">
        <v>4432880</v>
      </c>
      <c r="C15" s="1033">
        <v>1896244</v>
      </c>
      <c r="D15" s="1056">
        <v>42.776795221165472</v>
      </c>
      <c r="E15" s="1050"/>
      <c r="F15" s="1055">
        <v>4432880</v>
      </c>
      <c r="G15" s="1057">
        <v>1887191</v>
      </c>
      <c r="H15" s="1056">
        <v>42.57257133060223</v>
      </c>
      <c r="I15" s="1050"/>
      <c r="J15" s="1055">
        <v>4432880</v>
      </c>
      <c r="K15" s="1057">
        <v>1870813</v>
      </c>
      <c r="L15" s="1056">
        <v>42.203104979155768</v>
      </c>
      <c r="M15" s="1055">
        <v>4432880</v>
      </c>
      <c r="N15" s="1057">
        <v>1859386</v>
      </c>
      <c r="O15" s="1056">
        <v>41.94532674017794</v>
      </c>
      <c r="P15" s="1050"/>
      <c r="Q15" s="1055">
        <v>4432880</v>
      </c>
      <c r="R15" s="1057">
        <v>1850888.97</v>
      </c>
      <c r="S15" s="1056">
        <v>41.75364480879248</v>
      </c>
      <c r="T15" s="1050"/>
      <c r="U15" s="1055">
        <v>4432880</v>
      </c>
      <c r="V15" s="1033">
        <v>1836929</v>
      </c>
      <c r="W15" s="1056">
        <v>41.438726065221708</v>
      </c>
      <c r="X15" s="1050"/>
      <c r="Y15" s="1055">
        <v>4432880</v>
      </c>
      <c r="Z15" s="1057">
        <v>1816163.0099999998</v>
      </c>
      <c r="AA15" s="1056">
        <v>40.970272373716405</v>
      </c>
      <c r="AB15" s="1050"/>
      <c r="AC15" s="1055">
        <v>4432880</v>
      </c>
      <c r="AD15" s="1057">
        <v>1804080.69</v>
      </c>
      <c r="AE15" s="1056">
        <f t="shared" si="0"/>
        <v>40.697710968941188</v>
      </c>
    </row>
    <row r="16" spans="1:31" s="50" customFormat="1" ht="15.95" customHeight="1" x14ac:dyDescent="0.3">
      <c r="A16" s="1041" t="s">
        <v>28</v>
      </c>
      <c r="B16" s="1055">
        <v>2549990</v>
      </c>
      <c r="C16" s="1033">
        <v>68661</v>
      </c>
      <c r="D16" s="1056">
        <v>2.6925987945050767</v>
      </c>
      <c r="E16" s="1050"/>
      <c r="F16" s="1055">
        <v>2549990</v>
      </c>
      <c r="G16" s="1057">
        <v>68555</v>
      </c>
      <c r="H16" s="1056">
        <v>2.6884419154584922</v>
      </c>
      <c r="I16" s="1050"/>
      <c r="J16" s="1055">
        <v>2549990</v>
      </c>
      <c r="K16" s="1057">
        <v>68478</v>
      </c>
      <c r="L16" s="1056">
        <v>2.6854222957737086</v>
      </c>
      <c r="M16" s="1055">
        <v>2549990</v>
      </c>
      <c r="N16" s="1057">
        <v>68371</v>
      </c>
      <c r="O16" s="1056">
        <v>2.6812262008870622</v>
      </c>
      <c r="P16" s="1050"/>
      <c r="Q16" s="1055">
        <v>2549990</v>
      </c>
      <c r="R16" s="1057">
        <v>68228.100000000006</v>
      </c>
      <c r="S16" s="1056">
        <v>2.675622257342186</v>
      </c>
      <c r="T16" s="1050"/>
      <c r="U16" s="1055">
        <v>2549990</v>
      </c>
      <c r="V16" s="1033">
        <v>68191</v>
      </c>
      <c r="W16" s="1056">
        <v>2.6741673496758813</v>
      </c>
      <c r="X16" s="1050"/>
      <c r="Y16" s="1055">
        <v>2549990</v>
      </c>
      <c r="Z16" s="1057">
        <v>68062.559999999998</v>
      </c>
      <c r="AA16" s="1056">
        <v>2.6691304671783023</v>
      </c>
      <c r="AB16" s="1050"/>
      <c r="AC16" s="1055">
        <v>2549990</v>
      </c>
      <c r="AD16" s="1057">
        <v>68037.66</v>
      </c>
      <c r="AE16" s="1056">
        <f t="shared" si="0"/>
        <v>2.668153992760756</v>
      </c>
    </row>
    <row r="17" spans="1:31" s="50" customFormat="1" ht="15.95" customHeight="1" x14ac:dyDescent="0.3">
      <c r="A17" s="1041" t="s">
        <v>31</v>
      </c>
      <c r="B17" s="1055">
        <v>36879948</v>
      </c>
      <c r="C17" s="1033">
        <v>35162046</v>
      </c>
      <c r="D17" s="1056">
        <v>95.341907748893789</v>
      </c>
      <c r="E17" s="1050"/>
      <c r="F17" s="1055">
        <v>36879948</v>
      </c>
      <c r="G17" s="1057">
        <v>35130378</v>
      </c>
      <c r="H17" s="1056">
        <v>95.256039948863275</v>
      </c>
      <c r="I17" s="1050"/>
      <c r="J17" s="1055">
        <v>36879948</v>
      </c>
      <c r="K17" s="1057">
        <v>35093227</v>
      </c>
      <c r="L17" s="1056">
        <v>95.15530499121094</v>
      </c>
      <c r="M17" s="1055">
        <v>36879948</v>
      </c>
      <c r="N17" s="1057">
        <v>35074145</v>
      </c>
      <c r="O17" s="1056">
        <v>95.103564137346396</v>
      </c>
      <c r="P17" s="1050"/>
      <c r="Q17" s="1055">
        <v>36879948</v>
      </c>
      <c r="R17" s="1057">
        <v>35047942.020000003</v>
      </c>
      <c r="S17" s="1056">
        <v>95.03251474215746</v>
      </c>
      <c r="T17" s="1050"/>
      <c r="U17" s="1055">
        <v>36879948</v>
      </c>
      <c r="V17" s="1033">
        <v>35024802</v>
      </c>
      <c r="W17" s="1056">
        <v>94.969770564752423</v>
      </c>
      <c r="X17" s="1050"/>
      <c r="Y17" s="1055">
        <v>36879948</v>
      </c>
      <c r="Z17" s="1057">
        <v>34990024.229999997</v>
      </c>
      <c r="AA17" s="1056">
        <v>94.875470621596321</v>
      </c>
      <c r="AB17" s="1050"/>
      <c r="AC17" s="1055">
        <v>36879948</v>
      </c>
      <c r="AD17" s="1057">
        <v>34970194.890000001</v>
      </c>
      <c r="AE17" s="1056">
        <f t="shared" si="0"/>
        <v>94.821703354896272</v>
      </c>
    </row>
    <row r="18" spans="1:31" s="50" customFormat="1" ht="15.95" customHeight="1" x14ac:dyDescent="0.3">
      <c r="A18" s="1041" t="s">
        <v>32</v>
      </c>
      <c r="B18" s="1055">
        <v>8530054</v>
      </c>
      <c r="C18" s="1033">
        <v>7987761</v>
      </c>
      <c r="D18" s="1056">
        <v>93.642560762217926</v>
      </c>
      <c r="E18" s="1050"/>
      <c r="F18" s="1055">
        <v>8530054</v>
      </c>
      <c r="G18" s="1057">
        <v>7969959</v>
      </c>
      <c r="H18" s="1056">
        <v>93.433863372963415</v>
      </c>
      <c r="I18" s="1050"/>
      <c r="J18" s="1055">
        <v>8530054</v>
      </c>
      <c r="K18" s="1057">
        <v>7952904</v>
      </c>
      <c r="L18" s="1056">
        <v>93.23392325535103</v>
      </c>
      <c r="M18" s="1055">
        <v>8530054</v>
      </c>
      <c r="N18" s="1057">
        <v>7929236</v>
      </c>
      <c r="O18" s="1056">
        <v>92.956457251032646</v>
      </c>
      <c r="P18" s="1050"/>
      <c r="Q18" s="1055">
        <v>8530054</v>
      </c>
      <c r="R18" s="1057">
        <v>7905744.0899999999</v>
      </c>
      <c r="S18" s="1056">
        <v>92.681055594724242</v>
      </c>
      <c r="T18" s="1050"/>
      <c r="U18" s="1055">
        <v>8530054</v>
      </c>
      <c r="V18" s="1033">
        <v>7884366</v>
      </c>
      <c r="W18" s="1056">
        <v>92.430434789744581</v>
      </c>
      <c r="X18" s="1050"/>
      <c r="Y18" s="1055">
        <v>8530054</v>
      </c>
      <c r="Z18" s="1057">
        <v>7861327.0199999996</v>
      </c>
      <c r="AA18" s="1056">
        <v>92.160342947418613</v>
      </c>
      <c r="AB18" s="1050"/>
      <c r="AC18" s="1055">
        <v>8530054</v>
      </c>
      <c r="AD18" s="1057">
        <v>7838184.959999999</v>
      </c>
      <c r="AE18" s="1056">
        <f t="shared" si="0"/>
        <v>91.88904267194556</v>
      </c>
    </row>
    <row r="19" spans="1:31" s="50" customFormat="1" ht="15.95" customHeight="1" x14ac:dyDescent="0.3">
      <c r="A19" s="1041" t="s">
        <v>34</v>
      </c>
      <c r="B19" s="1055">
        <v>2502584</v>
      </c>
      <c r="C19" s="1033">
        <v>1416959</v>
      </c>
      <c r="D19" s="1056">
        <v>56.619837735716359</v>
      </c>
      <c r="E19" s="1050"/>
      <c r="F19" s="1055">
        <v>2502584</v>
      </c>
      <c r="G19" s="1057">
        <v>1409481</v>
      </c>
      <c r="H19" s="1056">
        <v>56.321026586919764</v>
      </c>
      <c r="I19" s="1050"/>
      <c r="J19" s="1055">
        <v>2502584</v>
      </c>
      <c r="K19" s="1057">
        <v>1401978</v>
      </c>
      <c r="L19" s="1056">
        <v>56.021216470655929</v>
      </c>
      <c r="M19" s="1055">
        <v>2502584</v>
      </c>
      <c r="N19" s="1057">
        <v>1393888</v>
      </c>
      <c r="O19" s="1056">
        <v>55.697950598261635</v>
      </c>
      <c r="P19" s="1050"/>
      <c r="Q19" s="1055">
        <v>2502584</v>
      </c>
      <c r="R19" s="1057">
        <v>1388277.72</v>
      </c>
      <c r="S19" s="1056">
        <v>55.473771110180515</v>
      </c>
      <c r="T19" s="1050"/>
      <c r="U19" s="1055">
        <v>2502584</v>
      </c>
      <c r="V19" s="1033">
        <v>1382242</v>
      </c>
      <c r="W19" s="1056">
        <v>55.23259159332914</v>
      </c>
      <c r="X19" s="1050"/>
      <c r="Y19" s="1055">
        <v>2502584</v>
      </c>
      <c r="Z19" s="1057">
        <v>1373564.58</v>
      </c>
      <c r="AA19" s="1056">
        <v>54.885853182150932</v>
      </c>
      <c r="AB19" s="1050"/>
      <c r="AC19" s="1055">
        <v>2502584</v>
      </c>
      <c r="AD19" s="1057">
        <v>1367967.7799999998</v>
      </c>
      <c r="AE19" s="1056">
        <f t="shared" si="0"/>
        <v>54.662212337328128</v>
      </c>
    </row>
    <row r="20" spans="1:31" s="50" customFormat="1" ht="15.95" customHeight="1" x14ac:dyDescent="0.3">
      <c r="A20" s="1041" t="s">
        <v>35</v>
      </c>
      <c r="B20" s="1055">
        <v>3565750</v>
      </c>
      <c r="C20" s="1033">
        <v>42329</v>
      </c>
      <c r="D20" s="1056">
        <v>1.187099488186216</v>
      </c>
      <c r="E20" s="1050"/>
      <c r="F20" s="1055">
        <v>3565750</v>
      </c>
      <c r="G20" s="1057">
        <v>42217</v>
      </c>
      <c r="H20" s="1056">
        <v>1.1839584940054686</v>
      </c>
      <c r="I20" s="1050"/>
      <c r="J20" s="1055">
        <v>3565750</v>
      </c>
      <c r="K20" s="1057">
        <v>42018</v>
      </c>
      <c r="L20" s="1056">
        <v>1.1783776204164622</v>
      </c>
      <c r="M20" s="1055">
        <v>3565750</v>
      </c>
      <c r="N20" s="1057">
        <v>41552</v>
      </c>
      <c r="O20" s="1056">
        <v>1.1653088410572812</v>
      </c>
      <c r="P20" s="1050"/>
      <c r="Q20" s="1055">
        <v>3565750</v>
      </c>
      <c r="R20" s="1057">
        <v>41492.07</v>
      </c>
      <c r="S20" s="1056">
        <v>1.1636281287246724</v>
      </c>
      <c r="T20" s="1050"/>
      <c r="U20" s="1055">
        <v>3565750</v>
      </c>
      <c r="V20" s="1058">
        <v>41466</v>
      </c>
      <c r="W20" s="1056">
        <v>1.1628970062399215</v>
      </c>
      <c r="X20" s="1050"/>
      <c r="Y20" s="1055">
        <v>3565750</v>
      </c>
      <c r="Z20" s="1057">
        <v>41397.56</v>
      </c>
      <c r="AA20" s="1056">
        <v>1.1609776344387577</v>
      </c>
      <c r="AB20" s="1050"/>
      <c r="AC20" s="1055">
        <v>3565750</v>
      </c>
      <c r="AD20" s="1057">
        <v>41372.729999999996</v>
      </c>
      <c r="AE20" s="1056">
        <f t="shared" si="0"/>
        <v>1.1602812872467221</v>
      </c>
    </row>
    <row r="21" spans="1:31" s="50" customFormat="1" ht="15.95" customHeight="1" x14ac:dyDescent="0.3">
      <c r="A21" s="1041" t="s">
        <v>36</v>
      </c>
      <c r="B21" s="1055">
        <v>7199900</v>
      </c>
      <c r="C21" s="1033">
        <v>1439473</v>
      </c>
      <c r="D21" s="1056">
        <v>19.992958235531049</v>
      </c>
      <c r="E21" s="1050"/>
      <c r="F21" s="1055">
        <v>7199900</v>
      </c>
      <c r="G21" s="1057">
        <v>1437657</v>
      </c>
      <c r="H21" s="1056">
        <v>19.96773566299532</v>
      </c>
      <c r="I21" s="1050"/>
      <c r="J21" s="1055">
        <v>7199900</v>
      </c>
      <c r="K21" s="1057">
        <v>1435548</v>
      </c>
      <c r="L21" s="1056">
        <v>19.938443589494298</v>
      </c>
      <c r="M21" s="1055">
        <v>7199900</v>
      </c>
      <c r="N21" s="1057">
        <v>1429774</v>
      </c>
      <c r="O21" s="1056">
        <v>19.858248031222654</v>
      </c>
      <c r="P21" s="1050"/>
      <c r="Q21" s="1055">
        <v>7199900</v>
      </c>
      <c r="R21" s="1057">
        <v>1423073.07</v>
      </c>
      <c r="S21" s="1056">
        <v>19.76517826636481</v>
      </c>
      <c r="T21" s="1050"/>
      <c r="U21" s="1055">
        <v>7199900</v>
      </c>
      <c r="V21" s="1033">
        <v>1419357</v>
      </c>
      <c r="W21" s="1056">
        <v>19.713565466187031</v>
      </c>
      <c r="X21" s="1050"/>
      <c r="Y21" s="1055">
        <v>7199900</v>
      </c>
      <c r="Z21" s="1057">
        <v>1413756.09</v>
      </c>
      <c r="AA21" s="1056">
        <v>19.635773969082905</v>
      </c>
      <c r="AB21" s="1050"/>
      <c r="AC21" s="1055">
        <v>7199900</v>
      </c>
      <c r="AD21" s="1057">
        <v>1411865.19</v>
      </c>
      <c r="AE21" s="1056">
        <f t="shared" si="0"/>
        <v>19.609511104320895</v>
      </c>
    </row>
    <row r="22" spans="1:31" s="50" customFormat="1" ht="15.95" customHeight="1" x14ac:dyDescent="0.3">
      <c r="A22" s="1041" t="s">
        <v>37</v>
      </c>
      <c r="B22" s="1055">
        <v>5130578</v>
      </c>
      <c r="C22" s="1033">
        <v>3421106</v>
      </c>
      <c r="D22" s="1056">
        <v>66.680713167210399</v>
      </c>
      <c r="E22" s="1050"/>
      <c r="F22" s="1055">
        <v>5130578</v>
      </c>
      <c r="G22" s="1057">
        <v>3399005</v>
      </c>
      <c r="H22" s="1056">
        <v>66.249942988879624</v>
      </c>
      <c r="I22" s="1050"/>
      <c r="J22" s="1055">
        <v>5130578</v>
      </c>
      <c r="K22" s="1057">
        <v>3378417</v>
      </c>
      <c r="L22" s="1056">
        <v>65.848662665298136</v>
      </c>
      <c r="M22" s="1055">
        <v>5130578</v>
      </c>
      <c r="N22" s="1057">
        <v>3365916</v>
      </c>
      <c r="O22" s="1056">
        <v>65.605005907716446</v>
      </c>
      <c r="P22" s="1050"/>
      <c r="Q22" s="1055">
        <v>5130578</v>
      </c>
      <c r="R22" s="1057">
        <v>3344540.22</v>
      </c>
      <c r="S22" s="1056">
        <v>65.18837097886437</v>
      </c>
      <c r="T22" s="1050"/>
      <c r="U22" s="1055">
        <v>5130578</v>
      </c>
      <c r="V22" s="1033">
        <v>3333506</v>
      </c>
      <c r="W22" s="1056">
        <v>64.973303202875002</v>
      </c>
      <c r="X22" s="1050"/>
      <c r="Y22" s="1055">
        <v>5130578</v>
      </c>
      <c r="Z22" s="1057">
        <v>3313356.56</v>
      </c>
      <c r="AA22" s="1056">
        <v>64.580570844064738</v>
      </c>
      <c r="AB22" s="1050"/>
      <c r="AC22" s="1055">
        <v>5130578</v>
      </c>
      <c r="AD22" s="1057">
        <v>3300276.51</v>
      </c>
      <c r="AE22" s="1056">
        <f t="shared" si="0"/>
        <v>64.325627833745045</v>
      </c>
    </row>
    <row r="23" spans="1:31" s="50" customFormat="1" ht="15.95" customHeight="1" x14ac:dyDescent="0.3">
      <c r="A23" s="1042" t="s">
        <v>40</v>
      </c>
      <c r="B23" s="1043">
        <v>10239994</v>
      </c>
      <c r="C23" s="1024">
        <v>9451995</v>
      </c>
      <c r="D23" s="1044">
        <v>92.304692756655911</v>
      </c>
      <c r="E23" s="1045"/>
      <c r="F23" s="1043">
        <v>10239994</v>
      </c>
      <c r="G23" s="1046">
        <v>9422280</v>
      </c>
      <c r="H23" s="1044">
        <v>92.014507039750214</v>
      </c>
      <c r="I23" s="1045"/>
      <c r="J23" s="1043">
        <v>10239994</v>
      </c>
      <c r="K23" s="1046">
        <v>9392669</v>
      </c>
      <c r="L23" s="1044">
        <v>91.725336948439619</v>
      </c>
      <c r="M23" s="1043">
        <v>10239994</v>
      </c>
      <c r="N23" s="1046">
        <v>9362764</v>
      </c>
      <c r="O23" s="1044">
        <v>91.433295761696726</v>
      </c>
      <c r="P23" s="1045"/>
      <c r="Q23" s="1043">
        <v>10239994</v>
      </c>
      <c r="R23" s="1046">
        <v>9336772.9800000004</v>
      </c>
      <c r="S23" s="1044">
        <v>91.179477058287333</v>
      </c>
      <c r="T23" s="1045"/>
      <c r="U23" s="1043">
        <v>10239994</v>
      </c>
      <c r="V23" s="1024">
        <v>9298397</v>
      </c>
      <c r="W23" s="1044">
        <v>90.804711409010594</v>
      </c>
      <c r="X23" s="1045"/>
      <c r="Y23" s="1043">
        <v>10239994</v>
      </c>
      <c r="Z23" s="1046">
        <v>9251129.5800000001</v>
      </c>
      <c r="AA23" s="1044">
        <v>90.343115240106584</v>
      </c>
      <c r="AB23" s="1045"/>
      <c r="AC23" s="1043">
        <v>10239994</v>
      </c>
      <c r="AD23" s="1046">
        <v>9214824.2400000002</v>
      </c>
      <c r="AE23" s="1044">
        <f t="shared" si="0"/>
        <v>89.988570696428141</v>
      </c>
    </row>
    <row r="24" spans="1:31" s="310" customFormat="1" ht="12" customHeight="1" x14ac:dyDescent="0.25">
      <c r="A24" s="309" t="s">
        <v>766</v>
      </c>
    </row>
    <row r="25" spans="1:31" s="311" customFormat="1" ht="12" customHeight="1" x14ac:dyDescent="0.25">
      <c r="A25" s="1184" t="s">
        <v>721</v>
      </c>
      <c r="B25" s="1184"/>
      <c r="C25" s="1184"/>
      <c r="D25" s="1184"/>
      <c r="E25" s="1184"/>
      <c r="F25" s="1184"/>
      <c r="G25" s="1184"/>
      <c r="H25" s="1184"/>
      <c r="I25" s="1184"/>
      <c r="J25" s="1184"/>
      <c r="K25" s="1184"/>
      <c r="L25" s="1184"/>
      <c r="M25" s="1184"/>
      <c r="N25" s="1184"/>
      <c r="O25" s="1184"/>
      <c r="P25" s="1184"/>
      <c r="Q25" s="1184"/>
      <c r="R25" s="1184"/>
      <c r="S25" s="1184"/>
      <c r="T25" s="1184"/>
      <c r="U25" s="1184"/>
      <c r="V25" s="1184"/>
      <c r="W25" s="1184"/>
      <c r="X25" s="1184"/>
      <c r="Y25" s="1184"/>
      <c r="Z25" s="1184"/>
      <c r="AA25" s="1184"/>
      <c r="AB25" s="1184"/>
      <c r="AC25" s="1184"/>
      <c r="AD25" s="1184"/>
      <c r="AE25" s="1184"/>
    </row>
  </sheetData>
  <mergeCells count="12">
    <mergeCell ref="A1:AE1"/>
    <mergeCell ref="A2:AE2"/>
    <mergeCell ref="A25:AE25"/>
    <mergeCell ref="A4:A5"/>
    <mergeCell ref="B4:D4"/>
    <mergeCell ref="F4:H4"/>
    <mergeCell ref="J4:L4"/>
    <mergeCell ref="M4:O4"/>
    <mergeCell ref="AC4:AE4"/>
    <mergeCell ref="Q4:S4"/>
    <mergeCell ref="U4:W4"/>
    <mergeCell ref="Y4:AA4"/>
  </mergeCells>
  <printOptions horizontalCentered="1"/>
  <pageMargins left="0.94488188976377963" right="0.74803149606299213" top="0.98425196850393704" bottom="0.98425196850393704" header="0" footer="0"/>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22</vt:i4>
      </vt:variant>
    </vt:vector>
  </HeadingPairs>
  <TitlesOfParts>
    <vt:vector size="45" baseType="lpstr">
      <vt:lpstr>1.2</vt:lpstr>
      <vt:lpstr>1.2.1_1a</vt:lpstr>
      <vt:lpstr>2a</vt:lpstr>
      <vt:lpstr>3a</vt:lpstr>
      <vt:lpstr>4a</vt:lpstr>
      <vt:lpstr>5a</vt:lpstr>
      <vt:lpstr>6a</vt:lpstr>
      <vt:lpstr>1.2.2_1a</vt:lpstr>
      <vt:lpstr>2</vt:lpstr>
      <vt:lpstr>3</vt:lpstr>
      <vt:lpstr>4</vt:lpstr>
      <vt:lpstr>5</vt:lpstr>
      <vt:lpstr>6</vt:lpstr>
      <vt:lpstr>7-8</vt:lpstr>
      <vt:lpstr>9</vt:lpstr>
      <vt:lpstr>b1-2</vt:lpstr>
      <vt:lpstr>3b</vt:lpstr>
      <vt:lpstr>4b</vt:lpstr>
      <vt:lpstr>5b-1</vt:lpstr>
      <vt:lpstr>5b2</vt:lpstr>
      <vt:lpstr>1.2.3_1c</vt:lpstr>
      <vt:lpstr>2c</vt:lpstr>
      <vt:lpstr>3c</vt:lpstr>
      <vt:lpstr>'1.2.1_1a'!Área_de_impresión</vt:lpstr>
      <vt:lpstr>'1.2.2_1a'!Área_de_impresión</vt:lpstr>
      <vt:lpstr>'1.2.3_1c'!Área_de_impresión</vt:lpstr>
      <vt:lpstr>'2'!Área_de_impresión</vt:lpstr>
      <vt:lpstr>'2a'!Área_de_impresión</vt:lpstr>
      <vt:lpstr>'2c'!Área_de_impresión</vt:lpstr>
      <vt:lpstr>'3'!Área_de_impresión</vt:lpstr>
      <vt:lpstr>'3a'!Área_de_impresión</vt:lpstr>
      <vt:lpstr>'3b'!Área_de_impresión</vt:lpstr>
      <vt:lpstr>'3c'!Área_de_impresión</vt:lpstr>
      <vt:lpstr>'4'!Área_de_impresión</vt:lpstr>
      <vt:lpstr>'4a'!Área_de_impresión</vt:lpstr>
      <vt:lpstr>'4b'!Área_de_impresión</vt:lpstr>
      <vt:lpstr>'5'!Área_de_impresión</vt:lpstr>
      <vt:lpstr>'5a'!Área_de_impresión</vt:lpstr>
      <vt:lpstr>'5b-1'!Área_de_impresión</vt:lpstr>
      <vt:lpstr>'5b2'!Área_de_impresión</vt:lpstr>
      <vt:lpstr>'6'!Área_de_impresión</vt:lpstr>
      <vt:lpstr>'6a'!Área_de_impresión</vt:lpstr>
      <vt:lpstr>'7-8'!Área_de_impresión</vt:lpstr>
      <vt:lpstr>'9'!Área_de_impresión</vt:lpstr>
      <vt:lpstr>'b1-2'!Área_de_impresión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2022-11-18T14:26:28Z</cp:lastPrinted>
  <dcterms:created xsi:type="dcterms:W3CDTF">2021-02-11T03:27:16Z</dcterms:created>
  <dcterms:modified xsi:type="dcterms:W3CDTF">2022-12-16T23:21:06Z</dcterms:modified>
</cp:coreProperties>
</file>