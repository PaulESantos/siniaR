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illari\CN_BASE2007\Anuario_Ambientales\Anuario_Ambientales_2022\RevisiónDNCN\Componente2\"/>
    </mc:Choice>
  </mc:AlternateContent>
  <bookViews>
    <workbookView xWindow="-120" yWindow="-120" windowWidth="29040" windowHeight="15720" tabRatio="818" activeTab="2"/>
  </bookViews>
  <sheets>
    <sheet name="1-2h" sheetId="1" r:id="rId1"/>
    <sheet name="3h" sheetId="3" r:id="rId2"/>
    <sheet name="4h" sheetId="4" r:id="rId3"/>
    <sheet name="5h" sheetId="5" r:id="rId4"/>
    <sheet name="6h" sheetId="24" r:id="rId5"/>
    <sheet name="1f" sheetId="6" r:id="rId6"/>
    <sheet name="2f" sheetId="7" r:id="rId7"/>
    <sheet name="3f" sheetId="8" r:id="rId8"/>
    <sheet name="4f" sheetId="9" r:id="rId9"/>
    <sheet name="5f" sheetId="10" r:id="rId10"/>
    <sheet name="6f" sheetId="11" r:id="rId11"/>
    <sheet name="7f" sheetId="12" r:id="rId12"/>
    <sheet name="8f" sheetId="13" r:id="rId13"/>
    <sheet name="9f" sheetId="14" r:id="rId14"/>
    <sheet name="10f" sheetId="15" r:id="rId15"/>
    <sheet name="245_1i" sheetId="16" r:id="rId16"/>
    <sheet name="2i" sheetId="18" r:id="rId17"/>
    <sheet name="3i" sheetId="17" r:id="rId18"/>
    <sheet name="4i" sheetId="19" r:id="rId19"/>
    <sheet name="5i" sheetId="20" r:id="rId20"/>
    <sheet name="6i" sheetId="21" r:id="rId21"/>
    <sheet name="7i" sheetId="22" r:id="rId22"/>
    <sheet name="8i" sheetId="23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\a" localSheetId="14">#REF!</definedName>
    <definedName name="\a" localSheetId="0">#REF!</definedName>
    <definedName name="\a" localSheetId="5">#REF!</definedName>
    <definedName name="\a" localSheetId="15">#REF!</definedName>
    <definedName name="\a" localSheetId="6">#REF!</definedName>
    <definedName name="\a" localSheetId="16">#REF!</definedName>
    <definedName name="\a" localSheetId="7">#REF!</definedName>
    <definedName name="\a" localSheetId="1">#REF!</definedName>
    <definedName name="\a" localSheetId="17">#REF!</definedName>
    <definedName name="\a" localSheetId="8">#REF!</definedName>
    <definedName name="\a" localSheetId="2">#REF!</definedName>
    <definedName name="\a" localSheetId="18">#REF!</definedName>
    <definedName name="\a" localSheetId="9">#REF!</definedName>
    <definedName name="\a" localSheetId="3">#REF!</definedName>
    <definedName name="\a" localSheetId="19">#REF!</definedName>
    <definedName name="\a" localSheetId="10">#REF!</definedName>
    <definedName name="\a" localSheetId="20">#REF!</definedName>
    <definedName name="\a" localSheetId="11">#REF!</definedName>
    <definedName name="\a" localSheetId="21">#REF!</definedName>
    <definedName name="\a" localSheetId="12">#REF!</definedName>
    <definedName name="\a" localSheetId="22">#REF!</definedName>
    <definedName name="\a" localSheetId="13">#REF!</definedName>
    <definedName name="\a">#REF!</definedName>
    <definedName name="\c">#N/A</definedName>
    <definedName name="\D" localSheetId="14">#REF!</definedName>
    <definedName name="\D" localSheetId="0">#REF!</definedName>
    <definedName name="\D" localSheetId="5">#REF!</definedName>
    <definedName name="\D" localSheetId="15">#REF!</definedName>
    <definedName name="\D" localSheetId="6">#REF!</definedName>
    <definedName name="\D" localSheetId="16">#REF!</definedName>
    <definedName name="\D" localSheetId="7">#REF!</definedName>
    <definedName name="\D" localSheetId="1">#REF!</definedName>
    <definedName name="\D" localSheetId="17">#REF!</definedName>
    <definedName name="\D" localSheetId="8">#REF!</definedName>
    <definedName name="\D" localSheetId="2">#REF!</definedName>
    <definedName name="\D" localSheetId="18">#REF!</definedName>
    <definedName name="\D" localSheetId="9">#REF!</definedName>
    <definedName name="\D" localSheetId="3">#REF!</definedName>
    <definedName name="\D" localSheetId="19">#REF!</definedName>
    <definedName name="\D" localSheetId="10">#REF!</definedName>
    <definedName name="\D" localSheetId="20">#REF!</definedName>
    <definedName name="\D" localSheetId="11">#REF!</definedName>
    <definedName name="\D" localSheetId="21">#REF!</definedName>
    <definedName name="\D" localSheetId="12">#REF!</definedName>
    <definedName name="\D" localSheetId="22">#REF!</definedName>
    <definedName name="\D" localSheetId="13">#REF!</definedName>
    <definedName name="\D">#REF!</definedName>
    <definedName name="\i">#N/A</definedName>
    <definedName name="\K" localSheetId="14">#REF!</definedName>
    <definedName name="\K" localSheetId="0">#REF!</definedName>
    <definedName name="\K" localSheetId="5">#REF!</definedName>
    <definedName name="\K" localSheetId="15">#REF!</definedName>
    <definedName name="\K" localSheetId="6">#REF!</definedName>
    <definedName name="\K" localSheetId="16">#REF!</definedName>
    <definedName name="\K" localSheetId="7">#REF!</definedName>
    <definedName name="\K" localSheetId="1">#REF!</definedName>
    <definedName name="\K" localSheetId="17">#REF!</definedName>
    <definedName name="\K" localSheetId="8">#REF!</definedName>
    <definedName name="\K" localSheetId="2">#REF!</definedName>
    <definedName name="\K" localSheetId="18">#REF!</definedName>
    <definedName name="\K" localSheetId="9">#REF!</definedName>
    <definedName name="\K" localSheetId="3">#REF!</definedName>
    <definedName name="\K" localSheetId="19">#REF!</definedName>
    <definedName name="\K" localSheetId="10">#REF!</definedName>
    <definedName name="\K" localSheetId="20">#REF!</definedName>
    <definedName name="\K" localSheetId="11">#REF!</definedName>
    <definedName name="\K" localSheetId="21">#REF!</definedName>
    <definedName name="\K" localSheetId="12">#REF!</definedName>
    <definedName name="\K" localSheetId="22">#REF!</definedName>
    <definedName name="\K" localSheetId="13">#REF!</definedName>
    <definedName name="\K">#REF!</definedName>
    <definedName name="\m">#N/A</definedName>
    <definedName name="\p" localSheetId="14">#REF!</definedName>
    <definedName name="\p" localSheetId="0">#REF!</definedName>
    <definedName name="\p" localSheetId="5">#REF!</definedName>
    <definedName name="\p" localSheetId="15">#REF!</definedName>
    <definedName name="\p" localSheetId="6">#REF!</definedName>
    <definedName name="\p" localSheetId="16">#REF!</definedName>
    <definedName name="\p" localSheetId="7">#REF!</definedName>
    <definedName name="\p" localSheetId="1">#REF!</definedName>
    <definedName name="\p" localSheetId="17">#REF!</definedName>
    <definedName name="\p" localSheetId="8">#REF!</definedName>
    <definedName name="\p" localSheetId="2">#REF!</definedName>
    <definedName name="\p" localSheetId="18">#REF!</definedName>
    <definedName name="\p" localSheetId="9">#REF!</definedName>
    <definedName name="\p" localSheetId="3">#REF!</definedName>
    <definedName name="\p" localSheetId="19">#REF!</definedName>
    <definedName name="\p" localSheetId="10">#REF!</definedName>
    <definedName name="\p" localSheetId="20">#REF!</definedName>
    <definedName name="\p" localSheetId="11">#REF!</definedName>
    <definedName name="\p" localSheetId="21">#REF!</definedName>
    <definedName name="\p" localSheetId="12">#REF!</definedName>
    <definedName name="\p" localSheetId="22">#REF!</definedName>
    <definedName name="\p" localSheetId="13">#REF!</definedName>
    <definedName name="\p">#REF!</definedName>
    <definedName name="\q">#N/A</definedName>
    <definedName name="\s">#N/A</definedName>
    <definedName name="\t">#N/A</definedName>
    <definedName name="\w">#N/A</definedName>
    <definedName name="\Z" localSheetId="14">[1]Data!#REF!</definedName>
    <definedName name="\Z" localSheetId="0">[1]Data!#REF!</definedName>
    <definedName name="\Z" localSheetId="5">[1]Data!#REF!</definedName>
    <definedName name="\Z" localSheetId="15">[1]Data!#REF!</definedName>
    <definedName name="\Z" localSheetId="6">[1]Data!#REF!</definedName>
    <definedName name="\Z" localSheetId="16">[1]Data!#REF!</definedName>
    <definedName name="\Z" localSheetId="7">[1]Data!#REF!</definedName>
    <definedName name="\Z" localSheetId="1">[1]Data!#REF!</definedName>
    <definedName name="\Z" localSheetId="17">[1]Data!#REF!</definedName>
    <definedName name="\Z" localSheetId="8">[1]Data!#REF!</definedName>
    <definedName name="\Z" localSheetId="2">[1]Data!#REF!</definedName>
    <definedName name="\Z" localSheetId="18">[1]Data!#REF!</definedName>
    <definedName name="\Z" localSheetId="9">[1]Data!#REF!</definedName>
    <definedName name="\Z" localSheetId="3">[1]Data!#REF!</definedName>
    <definedName name="\Z" localSheetId="19">[1]Data!#REF!</definedName>
    <definedName name="\Z" localSheetId="10">[1]Data!#REF!</definedName>
    <definedName name="\Z" localSheetId="20">[1]Data!#REF!</definedName>
    <definedName name="\Z" localSheetId="11">[1]Data!#REF!</definedName>
    <definedName name="\Z" localSheetId="21">[1]Data!#REF!</definedName>
    <definedName name="\Z" localSheetId="12">[1]Data!#REF!</definedName>
    <definedName name="\Z" localSheetId="22">[1]Data!#REF!</definedName>
    <definedName name="\Z" localSheetId="13">[1]Data!#REF!</definedName>
    <definedName name="\Z">[1]Data!#REF!</definedName>
    <definedName name="____________key2" localSheetId="14" hidden="1">#REF!</definedName>
    <definedName name="____________key2" localSheetId="0" hidden="1">#REF!</definedName>
    <definedName name="____________key2" localSheetId="5" hidden="1">#REF!</definedName>
    <definedName name="____________key2" localSheetId="15" hidden="1">#REF!</definedName>
    <definedName name="____________key2" localSheetId="6" hidden="1">#REF!</definedName>
    <definedName name="____________key2" localSheetId="16" hidden="1">#REF!</definedName>
    <definedName name="____________key2" localSheetId="7" hidden="1">#REF!</definedName>
    <definedName name="____________key2" localSheetId="1" hidden="1">#REF!</definedName>
    <definedName name="____________key2" localSheetId="17" hidden="1">#REF!</definedName>
    <definedName name="____________key2" localSheetId="8" hidden="1">#REF!</definedName>
    <definedName name="____________key2" localSheetId="2" hidden="1">#REF!</definedName>
    <definedName name="____________key2" localSheetId="18" hidden="1">#REF!</definedName>
    <definedName name="____________key2" localSheetId="9" hidden="1">#REF!</definedName>
    <definedName name="____________key2" localSheetId="3" hidden="1">#REF!</definedName>
    <definedName name="____________key2" localSheetId="19" hidden="1">#REF!</definedName>
    <definedName name="____________key2" localSheetId="10" hidden="1">#REF!</definedName>
    <definedName name="____________key2" localSheetId="20" hidden="1">#REF!</definedName>
    <definedName name="____________key2" localSheetId="11" hidden="1">#REF!</definedName>
    <definedName name="____________key2" localSheetId="21" hidden="1">#REF!</definedName>
    <definedName name="____________key2" localSheetId="12" hidden="1">#REF!</definedName>
    <definedName name="____________key2" localSheetId="22" hidden="1">#REF!</definedName>
    <definedName name="____________key2" localSheetId="13" hidden="1">#REF!</definedName>
    <definedName name="____________key2" hidden="1">#REF!</definedName>
    <definedName name="___________A2" localSheetId="14">'[2]R. Natural'!#REF!</definedName>
    <definedName name="___________A2" localSheetId="0">'[2]R. Natural'!#REF!</definedName>
    <definedName name="___________A2" localSheetId="5">'[2]R. Natural'!#REF!</definedName>
    <definedName name="___________A2" localSheetId="15">'[2]R. Natural'!#REF!</definedName>
    <definedName name="___________A2" localSheetId="6">'[2]R. Natural'!#REF!</definedName>
    <definedName name="___________A2" localSheetId="16">'[2]R. Natural'!#REF!</definedName>
    <definedName name="___________A2" localSheetId="7">'[2]R. Natural'!#REF!</definedName>
    <definedName name="___________A2" localSheetId="1">'[2]R. Natural'!#REF!</definedName>
    <definedName name="___________A2" localSheetId="17">'[2]R. Natural'!#REF!</definedName>
    <definedName name="___________A2" localSheetId="8">'[2]R. Natural'!#REF!</definedName>
    <definedName name="___________A2" localSheetId="2">'[2]R. Natural'!#REF!</definedName>
    <definedName name="___________A2" localSheetId="18">'[2]R. Natural'!#REF!</definedName>
    <definedName name="___________A2" localSheetId="9">'[2]R. Natural'!#REF!</definedName>
    <definedName name="___________A2" localSheetId="3">'[2]R. Natural'!#REF!</definedName>
    <definedName name="___________A2" localSheetId="19">'[2]R. Natural'!#REF!</definedName>
    <definedName name="___________A2" localSheetId="10">'[2]R. Natural'!#REF!</definedName>
    <definedName name="___________A2" localSheetId="20">'[2]R. Natural'!#REF!</definedName>
    <definedName name="___________A2" localSheetId="11">'[2]R. Natural'!#REF!</definedName>
    <definedName name="___________A2" localSheetId="21">'[2]R. Natural'!#REF!</definedName>
    <definedName name="___________A2" localSheetId="12">'[2]R. Natural'!#REF!</definedName>
    <definedName name="___________A2" localSheetId="22">'[2]R. Natural'!#REF!</definedName>
    <definedName name="___________A2" localSheetId="13">'[2]R. Natural'!#REF!</definedName>
    <definedName name="___________A2">'[2]R. Natural'!#REF!</definedName>
    <definedName name="___________bol52" localSheetId="14">[3]PAG_35!#REF!</definedName>
    <definedName name="___________bol52" localSheetId="0">[3]PAG_35!#REF!</definedName>
    <definedName name="___________bol52" localSheetId="5">[3]PAG_35!#REF!</definedName>
    <definedName name="___________bol52" localSheetId="15">[3]PAG_35!#REF!</definedName>
    <definedName name="___________bol52" localSheetId="6">[3]PAG_35!#REF!</definedName>
    <definedName name="___________bol52" localSheetId="16">[3]PAG_35!#REF!</definedName>
    <definedName name="___________bol52" localSheetId="7">[3]PAG_35!#REF!</definedName>
    <definedName name="___________bol52" localSheetId="1">[3]PAG_35!#REF!</definedName>
    <definedName name="___________bol52" localSheetId="17">[3]PAG_35!#REF!</definedName>
    <definedName name="___________bol52" localSheetId="8">[3]PAG_35!#REF!</definedName>
    <definedName name="___________bol52" localSheetId="2">[3]PAG_35!#REF!</definedName>
    <definedName name="___________bol52" localSheetId="18">[3]PAG_35!#REF!</definedName>
    <definedName name="___________bol52" localSheetId="9">[3]PAG_35!#REF!</definedName>
    <definedName name="___________bol52" localSheetId="3">[3]PAG_35!#REF!</definedName>
    <definedName name="___________bol52" localSheetId="19">[3]PAG_35!#REF!</definedName>
    <definedName name="___________bol52" localSheetId="10">[3]PAG_35!#REF!</definedName>
    <definedName name="___________bol52" localSheetId="20">[3]PAG_35!#REF!</definedName>
    <definedName name="___________bol52" localSheetId="11">[3]PAG_35!#REF!</definedName>
    <definedName name="___________bol52" localSheetId="21">[3]PAG_35!#REF!</definedName>
    <definedName name="___________bol52" localSheetId="12">[3]PAG_35!#REF!</definedName>
    <definedName name="___________bol52" localSheetId="22">[3]PAG_35!#REF!</definedName>
    <definedName name="___________bol52" localSheetId="13">[3]PAG_35!#REF!</definedName>
    <definedName name="___________bol52">[3]PAG_35!#REF!</definedName>
    <definedName name="___________BTP1">[4]BTPMP!$A$2:$M$19922</definedName>
    <definedName name="___________BTP2">[4]BTPMS!$A$2:$N$19683</definedName>
    <definedName name="___________CDB1">[4]CDMP!$B$2:$N$20020</definedName>
    <definedName name="___________CDB2">[4]CDMS!$A$2:$M$20027</definedName>
    <definedName name="___________cdr2" localSheetId="14">[5]Cdr7!#REF!</definedName>
    <definedName name="___________cdr2" localSheetId="0">[5]Cdr7!#REF!</definedName>
    <definedName name="___________cdr2" localSheetId="5">[5]Cdr7!#REF!</definedName>
    <definedName name="___________cdr2" localSheetId="15">[5]Cdr7!#REF!</definedName>
    <definedName name="___________cdr2" localSheetId="6">[5]Cdr7!#REF!</definedName>
    <definedName name="___________cdr2" localSheetId="16">[5]Cdr7!#REF!</definedName>
    <definedName name="___________cdr2" localSheetId="7">[5]Cdr7!#REF!</definedName>
    <definedName name="___________cdr2" localSheetId="1">[5]Cdr7!#REF!</definedName>
    <definedName name="___________cdr2" localSheetId="17">[5]Cdr7!#REF!</definedName>
    <definedName name="___________cdr2" localSheetId="8">[5]Cdr7!#REF!</definedName>
    <definedName name="___________cdr2" localSheetId="2">[5]Cdr7!#REF!</definedName>
    <definedName name="___________cdr2" localSheetId="18">[5]Cdr7!#REF!</definedName>
    <definedName name="___________cdr2" localSheetId="9">[5]Cdr7!#REF!</definedName>
    <definedName name="___________cdr2" localSheetId="3">[5]Cdr7!#REF!</definedName>
    <definedName name="___________cdr2" localSheetId="19">[5]Cdr7!#REF!</definedName>
    <definedName name="___________cdr2" localSheetId="10">[5]Cdr7!#REF!</definedName>
    <definedName name="___________cdr2" localSheetId="20">[5]Cdr7!#REF!</definedName>
    <definedName name="___________cdr2" localSheetId="11">[5]Cdr7!#REF!</definedName>
    <definedName name="___________cdr2" localSheetId="21">[5]Cdr7!#REF!</definedName>
    <definedName name="___________cdr2" localSheetId="12">[5]Cdr7!#REF!</definedName>
    <definedName name="___________cdr2" localSheetId="22">[5]Cdr7!#REF!</definedName>
    <definedName name="___________cdr2" localSheetId="13">[5]Cdr7!#REF!</definedName>
    <definedName name="___________cdr2">[5]Cdr7!#REF!</definedName>
    <definedName name="___________Cdr7">'[6]Cdrs 1-2'!$A$1:$S$46</definedName>
    <definedName name="___________Cdr8">'[6]Cdrs 1-2'!$A$69:$S$114</definedName>
    <definedName name="___________Dur1">[4]Dur!$A$2:$I$27</definedName>
    <definedName name="___________G7" localSheetId="14" hidden="1">#REF!</definedName>
    <definedName name="___________G7" localSheetId="0" hidden="1">#REF!</definedName>
    <definedName name="___________G7" localSheetId="5" hidden="1">#REF!</definedName>
    <definedName name="___________G7" localSheetId="15" hidden="1">#REF!</definedName>
    <definedName name="___________G7" localSheetId="6" hidden="1">#REF!</definedName>
    <definedName name="___________G7" localSheetId="16" hidden="1">#REF!</definedName>
    <definedName name="___________G7" localSheetId="7" hidden="1">#REF!</definedName>
    <definedName name="___________G7" localSheetId="1" hidden="1">#REF!</definedName>
    <definedName name="___________G7" localSheetId="17" hidden="1">#REF!</definedName>
    <definedName name="___________G7" localSheetId="8" hidden="1">#REF!</definedName>
    <definedName name="___________G7" localSheetId="2" hidden="1">#REF!</definedName>
    <definedName name="___________G7" localSheetId="18" hidden="1">#REF!</definedName>
    <definedName name="___________G7" localSheetId="9" hidden="1">#REF!</definedName>
    <definedName name="___________G7" localSheetId="3" hidden="1">#REF!</definedName>
    <definedName name="___________G7" localSheetId="19" hidden="1">#REF!</definedName>
    <definedName name="___________G7" localSheetId="10" hidden="1">#REF!</definedName>
    <definedName name="___________G7" localSheetId="20" hidden="1">#REF!</definedName>
    <definedName name="___________G7" localSheetId="11" hidden="1">#REF!</definedName>
    <definedName name="___________G7" localSheetId="21" hidden="1">#REF!</definedName>
    <definedName name="___________G7" localSheetId="12" hidden="1">#REF!</definedName>
    <definedName name="___________G7" localSheetId="22" hidden="1">#REF!</definedName>
    <definedName name="___________G7" localSheetId="13" hidden="1">#REF!</definedName>
    <definedName name="___________G7" hidden="1">#REF!</definedName>
    <definedName name="___________gas001" localSheetId="14">#REF!</definedName>
    <definedName name="___________gas001" localSheetId="0">#REF!</definedName>
    <definedName name="___________gas001" localSheetId="5">#REF!</definedName>
    <definedName name="___________gas001" localSheetId="15">#REF!</definedName>
    <definedName name="___________gas001" localSheetId="6">#REF!</definedName>
    <definedName name="___________gas001" localSheetId="16">#REF!</definedName>
    <definedName name="___________gas001" localSheetId="7">#REF!</definedName>
    <definedName name="___________gas001" localSheetId="1">#REF!</definedName>
    <definedName name="___________gas001" localSheetId="17">#REF!</definedName>
    <definedName name="___________gas001" localSheetId="8">#REF!</definedName>
    <definedName name="___________gas001" localSheetId="2">#REF!</definedName>
    <definedName name="___________gas001" localSheetId="18">#REF!</definedName>
    <definedName name="___________gas001" localSheetId="9">#REF!</definedName>
    <definedName name="___________gas001" localSheetId="3">#REF!</definedName>
    <definedName name="___________gas001" localSheetId="19">#REF!</definedName>
    <definedName name="___________gas001" localSheetId="10">#REF!</definedName>
    <definedName name="___________gas001" localSheetId="20">#REF!</definedName>
    <definedName name="___________gas001" localSheetId="11">#REF!</definedName>
    <definedName name="___________gas001" localSheetId="21">#REF!</definedName>
    <definedName name="___________gas001" localSheetId="12">#REF!</definedName>
    <definedName name="___________gas001" localSheetId="22">#REF!</definedName>
    <definedName name="___________gas001" localSheetId="13">#REF!</definedName>
    <definedName name="___________gas001">#REF!</definedName>
    <definedName name="___________Gas01" localSheetId="14">#REF!</definedName>
    <definedName name="___________Gas01" localSheetId="0">#REF!</definedName>
    <definedName name="___________Gas01" localSheetId="5">#REF!</definedName>
    <definedName name="___________Gas01" localSheetId="15">#REF!</definedName>
    <definedName name="___________Gas01" localSheetId="6">#REF!</definedName>
    <definedName name="___________Gas01" localSheetId="16">#REF!</definedName>
    <definedName name="___________Gas01" localSheetId="7">#REF!</definedName>
    <definedName name="___________Gas01" localSheetId="1">#REF!</definedName>
    <definedName name="___________Gas01" localSheetId="17">#REF!</definedName>
    <definedName name="___________Gas01" localSheetId="8">#REF!</definedName>
    <definedName name="___________Gas01" localSheetId="2">#REF!</definedName>
    <definedName name="___________Gas01" localSheetId="18">#REF!</definedName>
    <definedName name="___________Gas01" localSheetId="9">#REF!</definedName>
    <definedName name="___________Gas01" localSheetId="3">#REF!</definedName>
    <definedName name="___________Gas01" localSheetId="19">#REF!</definedName>
    <definedName name="___________Gas01" localSheetId="10">#REF!</definedName>
    <definedName name="___________Gas01" localSheetId="20">#REF!</definedName>
    <definedName name="___________Gas01" localSheetId="11">#REF!</definedName>
    <definedName name="___________Gas01" localSheetId="21">#REF!</definedName>
    <definedName name="___________Gas01" localSheetId="12">#REF!</definedName>
    <definedName name="___________Gas01" localSheetId="22">#REF!</definedName>
    <definedName name="___________Gas01" localSheetId="13">#REF!</definedName>
    <definedName name="___________Gas01">#REF!</definedName>
    <definedName name="___________gas1" localSheetId="14">#REF!</definedName>
    <definedName name="___________gas1" localSheetId="0">#REF!</definedName>
    <definedName name="___________gas1" localSheetId="5">#REF!</definedName>
    <definedName name="___________gas1" localSheetId="15">#REF!</definedName>
    <definedName name="___________gas1" localSheetId="6">#REF!</definedName>
    <definedName name="___________gas1" localSheetId="16">#REF!</definedName>
    <definedName name="___________gas1" localSheetId="7">#REF!</definedName>
    <definedName name="___________gas1" localSheetId="1">#REF!</definedName>
    <definedName name="___________gas1" localSheetId="17">#REF!</definedName>
    <definedName name="___________gas1" localSheetId="8">#REF!</definedName>
    <definedName name="___________gas1" localSheetId="2">#REF!</definedName>
    <definedName name="___________gas1" localSheetId="18">#REF!</definedName>
    <definedName name="___________gas1" localSheetId="9">#REF!</definedName>
    <definedName name="___________gas1" localSheetId="3">#REF!</definedName>
    <definedName name="___________gas1" localSheetId="19">#REF!</definedName>
    <definedName name="___________gas1" localSheetId="10">#REF!</definedName>
    <definedName name="___________gas1" localSheetId="20">#REF!</definedName>
    <definedName name="___________gas1" localSheetId="11">#REF!</definedName>
    <definedName name="___________gas1" localSheetId="21">#REF!</definedName>
    <definedName name="___________gas1" localSheetId="12">#REF!</definedName>
    <definedName name="___________gas1" localSheetId="22">#REF!</definedName>
    <definedName name="___________gas1" localSheetId="13">#REF!</definedName>
    <definedName name="___________gas1">#REF!</definedName>
    <definedName name="___________Imp1" localSheetId="14">#REF!</definedName>
    <definedName name="___________Imp1" localSheetId="0">#REF!</definedName>
    <definedName name="___________Imp1" localSheetId="5">#REF!</definedName>
    <definedName name="___________Imp1" localSheetId="15">#REF!</definedName>
    <definedName name="___________Imp1" localSheetId="6">#REF!</definedName>
    <definedName name="___________Imp1" localSheetId="16">#REF!</definedName>
    <definedName name="___________Imp1" localSheetId="7">#REF!</definedName>
    <definedName name="___________Imp1" localSheetId="1">#REF!</definedName>
    <definedName name="___________Imp1" localSheetId="17">#REF!</definedName>
    <definedName name="___________Imp1" localSheetId="8">#REF!</definedName>
    <definedName name="___________Imp1" localSheetId="2">#REF!</definedName>
    <definedName name="___________Imp1" localSheetId="18">#REF!</definedName>
    <definedName name="___________Imp1" localSheetId="9">#REF!</definedName>
    <definedName name="___________Imp1" localSheetId="3">#REF!</definedName>
    <definedName name="___________Imp1" localSheetId="19">#REF!</definedName>
    <definedName name="___________Imp1" localSheetId="10">#REF!</definedName>
    <definedName name="___________Imp1" localSheetId="20">#REF!</definedName>
    <definedName name="___________Imp1" localSheetId="11">#REF!</definedName>
    <definedName name="___________Imp1" localSheetId="21">#REF!</definedName>
    <definedName name="___________Imp1" localSheetId="12">#REF!</definedName>
    <definedName name="___________Imp1" localSheetId="22">#REF!</definedName>
    <definedName name="___________Imp1" localSheetId="13">#REF!</definedName>
    <definedName name="___________Imp1">#REF!</definedName>
    <definedName name="___________Imp2" localSheetId="14">#REF!</definedName>
    <definedName name="___________Imp2" localSheetId="0">#REF!</definedName>
    <definedName name="___________Imp2" localSheetId="5">#REF!</definedName>
    <definedName name="___________Imp2" localSheetId="15">#REF!</definedName>
    <definedName name="___________Imp2" localSheetId="6">#REF!</definedName>
    <definedName name="___________Imp2" localSheetId="16">#REF!</definedName>
    <definedName name="___________Imp2" localSheetId="7">#REF!</definedName>
    <definedName name="___________Imp2" localSheetId="1">#REF!</definedName>
    <definedName name="___________Imp2" localSheetId="17">#REF!</definedName>
    <definedName name="___________Imp2" localSheetId="8">#REF!</definedName>
    <definedName name="___________Imp2" localSheetId="2">#REF!</definedName>
    <definedName name="___________Imp2" localSheetId="18">#REF!</definedName>
    <definedName name="___________Imp2" localSheetId="9">#REF!</definedName>
    <definedName name="___________Imp2" localSheetId="3">#REF!</definedName>
    <definedName name="___________Imp2" localSheetId="19">#REF!</definedName>
    <definedName name="___________Imp2" localSheetId="10">#REF!</definedName>
    <definedName name="___________Imp2" localSheetId="20">#REF!</definedName>
    <definedName name="___________Imp2" localSheetId="11">#REF!</definedName>
    <definedName name="___________Imp2" localSheetId="21">#REF!</definedName>
    <definedName name="___________Imp2" localSheetId="12">#REF!</definedName>
    <definedName name="___________Imp2" localSheetId="22">#REF!</definedName>
    <definedName name="___________Imp2" localSheetId="13">#REF!</definedName>
    <definedName name="___________Imp2">#REF!</definedName>
    <definedName name="___________key2" localSheetId="14" hidden="1">#REF!</definedName>
    <definedName name="___________key2" localSheetId="0" hidden="1">#REF!</definedName>
    <definedName name="___________key2" localSheetId="5" hidden="1">#REF!</definedName>
    <definedName name="___________key2" localSheetId="15" hidden="1">#REF!</definedName>
    <definedName name="___________key2" localSheetId="6" hidden="1">#REF!</definedName>
    <definedName name="___________key2" localSheetId="16" hidden="1">#REF!</definedName>
    <definedName name="___________key2" localSheetId="7" hidden="1">#REF!</definedName>
    <definedName name="___________key2" localSheetId="1" hidden="1">#REF!</definedName>
    <definedName name="___________key2" localSheetId="17" hidden="1">#REF!</definedName>
    <definedName name="___________key2" localSheetId="8" hidden="1">#REF!</definedName>
    <definedName name="___________key2" localSheetId="2" hidden="1">#REF!</definedName>
    <definedName name="___________key2" localSheetId="18" hidden="1">#REF!</definedName>
    <definedName name="___________key2" localSheetId="9" hidden="1">#REF!</definedName>
    <definedName name="___________key2" localSheetId="3" hidden="1">#REF!</definedName>
    <definedName name="___________key2" localSheetId="19" hidden="1">#REF!</definedName>
    <definedName name="___________key2" localSheetId="10" hidden="1">#REF!</definedName>
    <definedName name="___________key2" localSheetId="20" hidden="1">#REF!</definedName>
    <definedName name="___________key2" localSheetId="11" hidden="1">#REF!</definedName>
    <definedName name="___________key2" localSheetId="21" hidden="1">#REF!</definedName>
    <definedName name="___________key2" localSheetId="12" hidden="1">#REF!</definedName>
    <definedName name="___________key2" localSheetId="22" hidden="1">#REF!</definedName>
    <definedName name="___________key2" localSheetId="13" hidden="1">#REF!</definedName>
    <definedName name="___________key2" hidden="1">#REF!</definedName>
    <definedName name="___________p1" localSheetId="14">#REF!</definedName>
    <definedName name="___________p1" localSheetId="0">#REF!</definedName>
    <definedName name="___________p1" localSheetId="5">#REF!</definedName>
    <definedName name="___________p1" localSheetId="15">#REF!</definedName>
    <definedName name="___________p1" localSheetId="6">#REF!</definedName>
    <definedName name="___________p1" localSheetId="16">#REF!</definedName>
    <definedName name="___________p1" localSheetId="7">#REF!</definedName>
    <definedName name="___________p1" localSheetId="1">#REF!</definedName>
    <definedName name="___________p1" localSheetId="17">#REF!</definedName>
    <definedName name="___________p1" localSheetId="8">#REF!</definedName>
    <definedName name="___________p1" localSheetId="2">#REF!</definedName>
    <definedName name="___________p1" localSheetId="18">#REF!</definedName>
    <definedName name="___________p1" localSheetId="9">#REF!</definedName>
    <definedName name="___________p1" localSheetId="3">#REF!</definedName>
    <definedName name="___________p1" localSheetId="19">#REF!</definedName>
    <definedName name="___________p1" localSheetId="10">#REF!</definedName>
    <definedName name="___________p1" localSheetId="20">#REF!</definedName>
    <definedName name="___________p1" localSheetId="11">#REF!</definedName>
    <definedName name="___________p1" localSheetId="21">#REF!</definedName>
    <definedName name="___________p1" localSheetId="12">#REF!</definedName>
    <definedName name="___________p1" localSheetId="22">#REF!</definedName>
    <definedName name="___________p1" localSheetId="13">#REF!</definedName>
    <definedName name="___________p1">#REF!</definedName>
    <definedName name="___________RM1">[7]PAG19!$B$3:$I$39</definedName>
    <definedName name="___________RM2">[7]PAG19!$J$3:$P$39</definedName>
    <definedName name="__________A2" localSheetId="14">'[2]R. Natural'!#REF!</definedName>
    <definedName name="__________A2" localSheetId="0">'[2]R. Natural'!#REF!</definedName>
    <definedName name="__________A2" localSheetId="5">'[2]R. Natural'!#REF!</definedName>
    <definedName name="__________A2" localSheetId="15">'[2]R. Natural'!#REF!</definedName>
    <definedName name="__________A2" localSheetId="6">'[2]R. Natural'!#REF!</definedName>
    <definedName name="__________A2" localSheetId="16">'[2]R. Natural'!#REF!</definedName>
    <definedName name="__________A2" localSheetId="7">'[2]R. Natural'!#REF!</definedName>
    <definedName name="__________A2" localSheetId="1">'[2]R. Natural'!#REF!</definedName>
    <definedName name="__________A2" localSheetId="17">'[2]R. Natural'!#REF!</definedName>
    <definedName name="__________A2" localSheetId="8">'[2]R. Natural'!#REF!</definedName>
    <definedName name="__________A2" localSheetId="2">'[2]R. Natural'!#REF!</definedName>
    <definedName name="__________A2" localSheetId="18">'[2]R. Natural'!#REF!</definedName>
    <definedName name="__________A2" localSheetId="9">'[2]R. Natural'!#REF!</definedName>
    <definedName name="__________A2" localSheetId="3">'[2]R. Natural'!#REF!</definedName>
    <definedName name="__________A2" localSheetId="19">'[2]R. Natural'!#REF!</definedName>
    <definedName name="__________A2" localSheetId="10">'[2]R. Natural'!#REF!</definedName>
    <definedName name="__________A2" localSheetId="20">'[2]R. Natural'!#REF!</definedName>
    <definedName name="__________A2" localSheetId="11">'[2]R. Natural'!#REF!</definedName>
    <definedName name="__________A2" localSheetId="21">'[2]R. Natural'!#REF!</definedName>
    <definedName name="__________A2" localSheetId="12">'[2]R. Natural'!#REF!</definedName>
    <definedName name="__________A2" localSheetId="22">'[2]R. Natural'!#REF!</definedName>
    <definedName name="__________A2" localSheetId="13">'[2]R. Natural'!#REF!</definedName>
    <definedName name="__________A2">'[2]R. Natural'!#REF!</definedName>
    <definedName name="__________bol52" localSheetId="14">[3]PAG_35!#REF!</definedName>
    <definedName name="__________bol52" localSheetId="0">[3]PAG_35!#REF!</definedName>
    <definedName name="__________bol52" localSheetId="5">[3]PAG_35!#REF!</definedName>
    <definedName name="__________bol52" localSheetId="15">[3]PAG_35!#REF!</definedName>
    <definedName name="__________bol52" localSheetId="6">[3]PAG_35!#REF!</definedName>
    <definedName name="__________bol52" localSheetId="16">[3]PAG_35!#REF!</definedName>
    <definedName name="__________bol52" localSheetId="7">[3]PAG_35!#REF!</definedName>
    <definedName name="__________bol52" localSheetId="1">[3]PAG_35!#REF!</definedName>
    <definedName name="__________bol52" localSheetId="17">[3]PAG_35!#REF!</definedName>
    <definedName name="__________bol52" localSheetId="8">[3]PAG_35!#REF!</definedName>
    <definedName name="__________bol52" localSheetId="2">[3]PAG_35!#REF!</definedName>
    <definedName name="__________bol52" localSheetId="18">[3]PAG_35!#REF!</definedName>
    <definedName name="__________bol52" localSheetId="9">[3]PAG_35!#REF!</definedName>
    <definedName name="__________bol52" localSheetId="3">[3]PAG_35!#REF!</definedName>
    <definedName name="__________bol52" localSheetId="19">[3]PAG_35!#REF!</definedName>
    <definedName name="__________bol52" localSheetId="10">[3]PAG_35!#REF!</definedName>
    <definedName name="__________bol52" localSheetId="20">[3]PAG_35!#REF!</definedName>
    <definedName name="__________bol52" localSheetId="11">[3]PAG_35!#REF!</definedName>
    <definedName name="__________bol52" localSheetId="21">[3]PAG_35!#REF!</definedName>
    <definedName name="__________bol52" localSheetId="12">[3]PAG_35!#REF!</definedName>
    <definedName name="__________bol52" localSheetId="22">[3]PAG_35!#REF!</definedName>
    <definedName name="__________bol52" localSheetId="13">[3]PAG_35!#REF!</definedName>
    <definedName name="__________bol52">[3]PAG_35!#REF!</definedName>
    <definedName name="__________BTP1">[4]BTPMP!$A$2:$M$19922</definedName>
    <definedName name="__________BTP2">[4]BTPMS!$A$2:$N$19683</definedName>
    <definedName name="__________CDB1">[4]CDMP!$B$2:$N$20020</definedName>
    <definedName name="__________CDB2">[4]CDMS!$A$2:$M$20027</definedName>
    <definedName name="__________cdr2" localSheetId="14">[5]Cdr7!#REF!</definedName>
    <definedName name="__________cdr2" localSheetId="0">[5]Cdr7!#REF!</definedName>
    <definedName name="__________cdr2" localSheetId="5">[5]Cdr7!#REF!</definedName>
    <definedName name="__________cdr2" localSheetId="15">[5]Cdr7!#REF!</definedName>
    <definedName name="__________cdr2" localSheetId="6">[5]Cdr7!#REF!</definedName>
    <definedName name="__________cdr2" localSheetId="16">[5]Cdr7!#REF!</definedName>
    <definedName name="__________cdr2" localSheetId="7">[5]Cdr7!#REF!</definedName>
    <definedName name="__________cdr2" localSheetId="1">[5]Cdr7!#REF!</definedName>
    <definedName name="__________cdr2" localSheetId="17">[5]Cdr7!#REF!</definedName>
    <definedName name="__________cdr2" localSheetId="8">[5]Cdr7!#REF!</definedName>
    <definedName name="__________cdr2" localSheetId="2">[5]Cdr7!#REF!</definedName>
    <definedName name="__________cdr2" localSheetId="18">[5]Cdr7!#REF!</definedName>
    <definedName name="__________cdr2" localSheetId="9">[5]Cdr7!#REF!</definedName>
    <definedName name="__________cdr2" localSheetId="3">[5]Cdr7!#REF!</definedName>
    <definedName name="__________cdr2" localSheetId="19">[5]Cdr7!#REF!</definedName>
    <definedName name="__________cdr2" localSheetId="10">[5]Cdr7!#REF!</definedName>
    <definedName name="__________cdr2" localSheetId="20">[5]Cdr7!#REF!</definedName>
    <definedName name="__________cdr2" localSheetId="11">[5]Cdr7!#REF!</definedName>
    <definedName name="__________cdr2" localSheetId="21">[5]Cdr7!#REF!</definedName>
    <definedName name="__________cdr2" localSheetId="12">[5]Cdr7!#REF!</definedName>
    <definedName name="__________cdr2" localSheetId="22">[5]Cdr7!#REF!</definedName>
    <definedName name="__________cdr2" localSheetId="13">[5]Cdr7!#REF!</definedName>
    <definedName name="__________cdr2">[5]Cdr7!#REF!</definedName>
    <definedName name="__________Cdr7">'[6]Cdrs 1-2'!$A$1:$S$46</definedName>
    <definedName name="__________Cdr8">'[6]Cdrs 1-2'!$A$69:$S$114</definedName>
    <definedName name="__________Dur1">[4]Dur!$A$2:$I$27</definedName>
    <definedName name="__________G7" localSheetId="14" hidden="1">#REF!</definedName>
    <definedName name="__________G7" localSheetId="0" hidden="1">#REF!</definedName>
    <definedName name="__________G7" localSheetId="5" hidden="1">#REF!</definedName>
    <definedName name="__________G7" localSheetId="15" hidden="1">#REF!</definedName>
    <definedName name="__________G7" localSheetId="6" hidden="1">#REF!</definedName>
    <definedName name="__________G7" localSheetId="16" hidden="1">#REF!</definedName>
    <definedName name="__________G7" localSheetId="7" hidden="1">#REF!</definedName>
    <definedName name="__________G7" localSheetId="1" hidden="1">#REF!</definedName>
    <definedName name="__________G7" localSheetId="17" hidden="1">#REF!</definedName>
    <definedName name="__________G7" localSheetId="8" hidden="1">#REF!</definedName>
    <definedName name="__________G7" localSheetId="2" hidden="1">#REF!</definedName>
    <definedName name="__________G7" localSheetId="18" hidden="1">#REF!</definedName>
    <definedName name="__________G7" localSheetId="9" hidden="1">#REF!</definedName>
    <definedName name="__________G7" localSheetId="3" hidden="1">#REF!</definedName>
    <definedName name="__________G7" localSheetId="19" hidden="1">#REF!</definedName>
    <definedName name="__________G7" localSheetId="10" hidden="1">#REF!</definedName>
    <definedName name="__________G7" localSheetId="20" hidden="1">#REF!</definedName>
    <definedName name="__________G7" localSheetId="11" hidden="1">#REF!</definedName>
    <definedName name="__________G7" localSheetId="21" hidden="1">#REF!</definedName>
    <definedName name="__________G7" localSheetId="12" hidden="1">#REF!</definedName>
    <definedName name="__________G7" localSheetId="22" hidden="1">#REF!</definedName>
    <definedName name="__________G7" localSheetId="13" hidden="1">#REF!</definedName>
    <definedName name="__________G7" hidden="1">#REF!</definedName>
    <definedName name="__________gas001" localSheetId="14">#REF!</definedName>
    <definedName name="__________gas001" localSheetId="0">#REF!</definedName>
    <definedName name="__________gas001" localSheetId="5">#REF!</definedName>
    <definedName name="__________gas001" localSheetId="15">#REF!</definedName>
    <definedName name="__________gas001" localSheetId="6">#REF!</definedName>
    <definedName name="__________gas001" localSheetId="16">#REF!</definedName>
    <definedName name="__________gas001" localSheetId="7">#REF!</definedName>
    <definedName name="__________gas001" localSheetId="1">#REF!</definedName>
    <definedName name="__________gas001" localSheetId="17">#REF!</definedName>
    <definedName name="__________gas001" localSheetId="8">#REF!</definedName>
    <definedName name="__________gas001" localSheetId="2">#REF!</definedName>
    <definedName name="__________gas001" localSheetId="18">#REF!</definedName>
    <definedName name="__________gas001" localSheetId="9">#REF!</definedName>
    <definedName name="__________gas001" localSheetId="3">#REF!</definedName>
    <definedName name="__________gas001" localSheetId="19">#REF!</definedName>
    <definedName name="__________gas001" localSheetId="10">#REF!</definedName>
    <definedName name="__________gas001" localSheetId="20">#REF!</definedName>
    <definedName name="__________gas001" localSheetId="11">#REF!</definedName>
    <definedName name="__________gas001" localSheetId="21">#REF!</definedName>
    <definedName name="__________gas001" localSheetId="12">#REF!</definedName>
    <definedName name="__________gas001" localSheetId="22">#REF!</definedName>
    <definedName name="__________gas001" localSheetId="13">#REF!</definedName>
    <definedName name="__________gas001">#REF!</definedName>
    <definedName name="__________Gas01" localSheetId="14">#REF!</definedName>
    <definedName name="__________Gas01" localSheetId="0">#REF!</definedName>
    <definedName name="__________Gas01" localSheetId="5">#REF!</definedName>
    <definedName name="__________Gas01" localSheetId="15">#REF!</definedName>
    <definedName name="__________Gas01" localSheetId="6">#REF!</definedName>
    <definedName name="__________Gas01" localSheetId="16">#REF!</definedName>
    <definedName name="__________Gas01" localSheetId="7">#REF!</definedName>
    <definedName name="__________Gas01" localSheetId="1">#REF!</definedName>
    <definedName name="__________Gas01" localSheetId="17">#REF!</definedName>
    <definedName name="__________Gas01" localSheetId="8">#REF!</definedName>
    <definedName name="__________Gas01" localSheetId="2">#REF!</definedName>
    <definedName name="__________Gas01" localSheetId="18">#REF!</definedName>
    <definedName name="__________Gas01" localSheetId="9">#REF!</definedName>
    <definedName name="__________Gas01" localSheetId="3">#REF!</definedName>
    <definedName name="__________Gas01" localSheetId="19">#REF!</definedName>
    <definedName name="__________Gas01" localSheetId="10">#REF!</definedName>
    <definedName name="__________Gas01" localSheetId="20">#REF!</definedName>
    <definedName name="__________Gas01" localSheetId="11">#REF!</definedName>
    <definedName name="__________Gas01" localSheetId="21">#REF!</definedName>
    <definedName name="__________Gas01" localSheetId="12">#REF!</definedName>
    <definedName name="__________Gas01" localSheetId="22">#REF!</definedName>
    <definedName name="__________Gas01" localSheetId="13">#REF!</definedName>
    <definedName name="__________Gas01">#REF!</definedName>
    <definedName name="__________gas1" localSheetId="14">#REF!</definedName>
    <definedName name="__________gas1" localSheetId="0">#REF!</definedName>
    <definedName name="__________gas1" localSheetId="5">#REF!</definedName>
    <definedName name="__________gas1" localSheetId="15">#REF!</definedName>
    <definedName name="__________gas1" localSheetId="6">#REF!</definedName>
    <definedName name="__________gas1" localSheetId="16">#REF!</definedName>
    <definedName name="__________gas1" localSheetId="7">#REF!</definedName>
    <definedName name="__________gas1" localSheetId="1">#REF!</definedName>
    <definedName name="__________gas1" localSheetId="17">#REF!</definedName>
    <definedName name="__________gas1" localSheetId="8">#REF!</definedName>
    <definedName name="__________gas1" localSheetId="2">#REF!</definedName>
    <definedName name="__________gas1" localSheetId="18">#REF!</definedName>
    <definedName name="__________gas1" localSheetId="9">#REF!</definedName>
    <definedName name="__________gas1" localSheetId="3">#REF!</definedName>
    <definedName name="__________gas1" localSheetId="19">#REF!</definedName>
    <definedName name="__________gas1" localSheetId="10">#REF!</definedName>
    <definedName name="__________gas1" localSheetId="20">#REF!</definedName>
    <definedName name="__________gas1" localSheetId="11">#REF!</definedName>
    <definedName name="__________gas1" localSheetId="21">#REF!</definedName>
    <definedName name="__________gas1" localSheetId="12">#REF!</definedName>
    <definedName name="__________gas1" localSheetId="22">#REF!</definedName>
    <definedName name="__________gas1" localSheetId="13">#REF!</definedName>
    <definedName name="__________gas1">#REF!</definedName>
    <definedName name="__________Imp1" localSheetId="14">#REF!</definedName>
    <definedName name="__________Imp1" localSheetId="0">#REF!</definedName>
    <definedName name="__________Imp1" localSheetId="5">#REF!</definedName>
    <definedName name="__________Imp1" localSheetId="15">#REF!</definedName>
    <definedName name="__________Imp1" localSheetId="6">#REF!</definedName>
    <definedName name="__________Imp1" localSheetId="16">#REF!</definedName>
    <definedName name="__________Imp1" localSheetId="7">#REF!</definedName>
    <definedName name="__________Imp1" localSheetId="1">#REF!</definedName>
    <definedName name="__________Imp1" localSheetId="17">#REF!</definedName>
    <definedName name="__________Imp1" localSheetId="8">#REF!</definedName>
    <definedName name="__________Imp1" localSheetId="2">#REF!</definedName>
    <definedName name="__________Imp1" localSheetId="18">#REF!</definedName>
    <definedName name="__________Imp1" localSheetId="9">#REF!</definedName>
    <definedName name="__________Imp1" localSheetId="3">#REF!</definedName>
    <definedName name="__________Imp1" localSheetId="19">#REF!</definedName>
    <definedName name="__________Imp1" localSheetId="10">#REF!</definedName>
    <definedName name="__________Imp1" localSheetId="20">#REF!</definedName>
    <definedName name="__________Imp1" localSheetId="11">#REF!</definedName>
    <definedName name="__________Imp1" localSheetId="21">#REF!</definedName>
    <definedName name="__________Imp1" localSheetId="12">#REF!</definedName>
    <definedName name="__________Imp1" localSheetId="22">#REF!</definedName>
    <definedName name="__________Imp1" localSheetId="13">#REF!</definedName>
    <definedName name="__________Imp1">#REF!</definedName>
    <definedName name="__________Imp2" localSheetId="14">#REF!</definedName>
    <definedName name="__________Imp2" localSheetId="0">#REF!</definedName>
    <definedName name="__________Imp2" localSheetId="5">#REF!</definedName>
    <definedName name="__________Imp2" localSheetId="15">#REF!</definedName>
    <definedName name="__________Imp2" localSheetId="6">#REF!</definedName>
    <definedName name="__________Imp2" localSheetId="16">#REF!</definedName>
    <definedName name="__________Imp2" localSheetId="7">#REF!</definedName>
    <definedName name="__________Imp2" localSheetId="1">#REF!</definedName>
    <definedName name="__________Imp2" localSheetId="17">#REF!</definedName>
    <definedName name="__________Imp2" localSheetId="8">#REF!</definedName>
    <definedName name="__________Imp2" localSheetId="2">#REF!</definedName>
    <definedName name="__________Imp2" localSheetId="18">#REF!</definedName>
    <definedName name="__________Imp2" localSheetId="9">#REF!</definedName>
    <definedName name="__________Imp2" localSheetId="3">#REF!</definedName>
    <definedName name="__________Imp2" localSheetId="19">#REF!</definedName>
    <definedName name="__________Imp2" localSheetId="10">#REF!</definedName>
    <definedName name="__________Imp2" localSheetId="20">#REF!</definedName>
    <definedName name="__________Imp2" localSheetId="11">#REF!</definedName>
    <definedName name="__________Imp2" localSheetId="21">#REF!</definedName>
    <definedName name="__________Imp2" localSheetId="12">#REF!</definedName>
    <definedName name="__________Imp2" localSheetId="22">#REF!</definedName>
    <definedName name="__________Imp2" localSheetId="13">#REF!</definedName>
    <definedName name="__________Imp2">#REF!</definedName>
    <definedName name="__________key2" localSheetId="14" hidden="1">#REF!</definedName>
    <definedName name="__________key2" localSheetId="0" hidden="1">#REF!</definedName>
    <definedName name="__________key2" localSheetId="5" hidden="1">#REF!</definedName>
    <definedName name="__________key2" localSheetId="15" hidden="1">#REF!</definedName>
    <definedName name="__________key2" localSheetId="6" hidden="1">#REF!</definedName>
    <definedName name="__________key2" localSheetId="16" hidden="1">#REF!</definedName>
    <definedName name="__________key2" localSheetId="7" hidden="1">#REF!</definedName>
    <definedName name="__________key2" localSheetId="1" hidden="1">#REF!</definedName>
    <definedName name="__________key2" localSheetId="17" hidden="1">#REF!</definedName>
    <definedName name="__________key2" localSheetId="8" hidden="1">#REF!</definedName>
    <definedName name="__________key2" localSheetId="2" hidden="1">#REF!</definedName>
    <definedName name="__________key2" localSheetId="18" hidden="1">#REF!</definedName>
    <definedName name="__________key2" localSheetId="9" hidden="1">#REF!</definedName>
    <definedName name="__________key2" localSheetId="3" hidden="1">#REF!</definedName>
    <definedName name="__________key2" localSheetId="19" hidden="1">#REF!</definedName>
    <definedName name="__________key2" localSheetId="10" hidden="1">#REF!</definedName>
    <definedName name="__________key2" localSheetId="20" hidden="1">#REF!</definedName>
    <definedName name="__________key2" localSheetId="11" hidden="1">#REF!</definedName>
    <definedName name="__________key2" localSheetId="21" hidden="1">#REF!</definedName>
    <definedName name="__________key2" localSheetId="12" hidden="1">#REF!</definedName>
    <definedName name="__________key2" localSheetId="22" hidden="1">#REF!</definedName>
    <definedName name="__________key2" localSheetId="13" hidden="1">#REF!</definedName>
    <definedName name="__________key2" hidden="1">#REF!</definedName>
    <definedName name="__________p1" localSheetId="14">#REF!</definedName>
    <definedName name="__________p1" localSheetId="0">#REF!</definedName>
    <definedName name="__________p1" localSheetId="5">#REF!</definedName>
    <definedName name="__________p1" localSheetId="15">#REF!</definedName>
    <definedName name="__________p1" localSheetId="6">#REF!</definedName>
    <definedName name="__________p1" localSheetId="16">#REF!</definedName>
    <definedName name="__________p1" localSheetId="7">#REF!</definedName>
    <definedName name="__________p1" localSheetId="1">#REF!</definedName>
    <definedName name="__________p1" localSheetId="17">#REF!</definedName>
    <definedName name="__________p1" localSheetId="8">#REF!</definedName>
    <definedName name="__________p1" localSheetId="2">#REF!</definedName>
    <definedName name="__________p1" localSheetId="18">#REF!</definedName>
    <definedName name="__________p1" localSheetId="9">#REF!</definedName>
    <definedName name="__________p1" localSheetId="3">#REF!</definedName>
    <definedName name="__________p1" localSheetId="19">#REF!</definedName>
    <definedName name="__________p1" localSheetId="10">#REF!</definedName>
    <definedName name="__________p1" localSheetId="20">#REF!</definedName>
    <definedName name="__________p1" localSheetId="11">#REF!</definedName>
    <definedName name="__________p1" localSheetId="21">#REF!</definedName>
    <definedName name="__________p1" localSheetId="12">#REF!</definedName>
    <definedName name="__________p1" localSheetId="22">#REF!</definedName>
    <definedName name="__________p1" localSheetId="13">#REF!</definedName>
    <definedName name="__________p1">#REF!</definedName>
    <definedName name="__________RM1">[7]PAG19!$B$3:$I$39</definedName>
    <definedName name="__________RM2">[7]PAG19!$J$3:$P$39</definedName>
    <definedName name="_________A2" localSheetId="14">'[2]R. Natural'!#REF!</definedName>
    <definedName name="_________A2" localSheetId="0">'[2]R. Natural'!#REF!</definedName>
    <definedName name="_________A2" localSheetId="5">'[2]R. Natural'!#REF!</definedName>
    <definedName name="_________A2" localSheetId="15">'[2]R. Natural'!#REF!</definedName>
    <definedName name="_________A2" localSheetId="6">'[2]R. Natural'!#REF!</definedName>
    <definedName name="_________A2" localSheetId="16">'[2]R. Natural'!#REF!</definedName>
    <definedName name="_________A2" localSheetId="7">'[2]R. Natural'!#REF!</definedName>
    <definedName name="_________A2" localSheetId="1">'[2]R. Natural'!#REF!</definedName>
    <definedName name="_________A2" localSheetId="17">'[2]R. Natural'!#REF!</definedName>
    <definedName name="_________A2" localSheetId="8">'[2]R. Natural'!#REF!</definedName>
    <definedName name="_________A2" localSheetId="2">'[2]R. Natural'!#REF!</definedName>
    <definedName name="_________A2" localSheetId="18">'[2]R. Natural'!#REF!</definedName>
    <definedName name="_________A2" localSheetId="9">'[2]R. Natural'!#REF!</definedName>
    <definedName name="_________A2" localSheetId="3">'[2]R. Natural'!#REF!</definedName>
    <definedName name="_________A2" localSheetId="19">'[2]R. Natural'!#REF!</definedName>
    <definedName name="_________A2" localSheetId="10">'[2]R. Natural'!#REF!</definedName>
    <definedName name="_________A2" localSheetId="20">'[2]R. Natural'!#REF!</definedName>
    <definedName name="_________A2" localSheetId="11">'[2]R. Natural'!#REF!</definedName>
    <definedName name="_________A2" localSheetId="21">'[2]R. Natural'!#REF!</definedName>
    <definedName name="_________A2" localSheetId="12">'[2]R. Natural'!#REF!</definedName>
    <definedName name="_________A2" localSheetId="22">'[2]R. Natural'!#REF!</definedName>
    <definedName name="_________A2" localSheetId="13">'[2]R. Natural'!#REF!</definedName>
    <definedName name="_________A2">'[2]R. Natural'!#REF!</definedName>
    <definedName name="_________bol52" localSheetId="14">[3]PAG_35!#REF!</definedName>
    <definedName name="_________bol52" localSheetId="0">[3]PAG_35!#REF!</definedName>
    <definedName name="_________bol52" localSheetId="5">[3]PAG_35!#REF!</definedName>
    <definedName name="_________bol52" localSheetId="15">[3]PAG_35!#REF!</definedName>
    <definedName name="_________bol52" localSheetId="6">[3]PAG_35!#REF!</definedName>
    <definedName name="_________bol52" localSheetId="16">[3]PAG_35!#REF!</definedName>
    <definedName name="_________bol52" localSheetId="7">[3]PAG_35!#REF!</definedName>
    <definedName name="_________bol52" localSheetId="1">[3]PAG_35!#REF!</definedName>
    <definedName name="_________bol52" localSheetId="17">[3]PAG_35!#REF!</definedName>
    <definedName name="_________bol52" localSheetId="8">[3]PAG_35!#REF!</definedName>
    <definedName name="_________bol52" localSheetId="2">[3]PAG_35!#REF!</definedName>
    <definedName name="_________bol52" localSheetId="18">[3]PAG_35!#REF!</definedName>
    <definedName name="_________bol52" localSheetId="9">[3]PAG_35!#REF!</definedName>
    <definedName name="_________bol52" localSheetId="3">[3]PAG_35!#REF!</definedName>
    <definedName name="_________bol52" localSheetId="19">[3]PAG_35!#REF!</definedName>
    <definedName name="_________bol52" localSheetId="10">[3]PAG_35!#REF!</definedName>
    <definedName name="_________bol52" localSheetId="20">[3]PAG_35!#REF!</definedName>
    <definedName name="_________bol52" localSheetId="11">[3]PAG_35!#REF!</definedName>
    <definedName name="_________bol52" localSheetId="21">[3]PAG_35!#REF!</definedName>
    <definedName name="_________bol52" localSheetId="12">[3]PAG_35!#REF!</definedName>
    <definedName name="_________bol52" localSheetId="22">[3]PAG_35!#REF!</definedName>
    <definedName name="_________bol52" localSheetId="13">[3]PAG_35!#REF!</definedName>
    <definedName name="_________bol52">[3]PAG_35!#REF!</definedName>
    <definedName name="_________BTP1">[4]BTPMP!$A$2:$M$19922</definedName>
    <definedName name="_________BTP2">[4]BTPMS!$A$2:$N$19683</definedName>
    <definedName name="_________CDB1">[4]CDMP!$B$2:$N$20020</definedName>
    <definedName name="_________CDB2">[4]CDMS!$A$2:$M$20027</definedName>
    <definedName name="_________cdr2" localSheetId="14">[5]Cdr7!#REF!</definedName>
    <definedName name="_________cdr2" localSheetId="0">[5]Cdr7!#REF!</definedName>
    <definedName name="_________cdr2" localSheetId="5">[5]Cdr7!#REF!</definedName>
    <definedName name="_________cdr2" localSheetId="15">[5]Cdr7!#REF!</definedName>
    <definedName name="_________cdr2" localSheetId="6">[5]Cdr7!#REF!</definedName>
    <definedName name="_________cdr2" localSheetId="16">[5]Cdr7!#REF!</definedName>
    <definedName name="_________cdr2" localSheetId="7">[5]Cdr7!#REF!</definedName>
    <definedName name="_________cdr2" localSheetId="1">[5]Cdr7!#REF!</definedName>
    <definedName name="_________cdr2" localSheetId="17">[5]Cdr7!#REF!</definedName>
    <definedName name="_________cdr2" localSheetId="8">[5]Cdr7!#REF!</definedName>
    <definedName name="_________cdr2" localSheetId="2">[5]Cdr7!#REF!</definedName>
    <definedName name="_________cdr2" localSheetId="18">[5]Cdr7!#REF!</definedName>
    <definedName name="_________cdr2" localSheetId="9">[5]Cdr7!#REF!</definedName>
    <definedName name="_________cdr2" localSheetId="3">[5]Cdr7!#REF!</definedName>
    <definedName name="_________cdr2" localSheetId="19">[5]Cdr7!#REF!</definedName>
    <definedName name="_________cdr2" localSheetId="10">[5]Cdr7!#REF!</definedName>
    <definedName name="_________cdr2" localSheetId="20">[5]Cdr7!#REF!</definedName>
    <definedName name="_________cdr2" localSheetId="11">[5]Cdr7!#REF!</definedName>
    <definedName name="_________cdr2" localSheetId="21">[5]Cdr7!#REF!</definedName>
    <definedName name="_________cdr2" localSheetId="12">[5]Cdr7!#REF!</definedName>
    <definedName name="_________cdr2" localSheetId="22">[5]Cdr7!#REF!</definedName>
    <definedName name="_________cdr2" localSheetId="13">[5]Cdr7!#REF!</definedName>
    <definedName name="_________cdr2">[5]Cdr7!#REF!</definedName>
    <definedName name="_________Cdr7">'[6]Cdrs 1-2'!$A$1:$S$46</definedName>
    <definedName name="_________Cdr8">'[6]Cdrs 1-2'!$A$69:$S$114</definedName>
    <definedName name="_________Dur1">[4]Dur!$A$2:$I$27</definedName>
    <definedName name="_________G7" localSheetId="14" hidden="1">#REF!</definedName>
    <definedName name="_________G7" localSheetId="0" hidden="1">#REF!</definedName>
    <definedName name="_________G7" localSheetId="5" hidden="1">#REF!</definedName>
    <definedName name="_________G7" localSheetId="15" hidden="1">#REF!</definedName>
    <definedName name="_________G7" localSheetId="6" hidden="1">#REF!</definedName>
    <definedName name="_________G7" localSheetId="16" hidden="1">#REF!</definedName>
    <definedName name="_________G7" localSheetId="7" hidden="1">#REF!</definedName>
    <definedName name="_________G7" localSheetId="1" hidden="1">#REF!</definedName>
    <definedName name="_________G7" localSheetId="17" hidden="1">#REF!</definedName>
    <definedName name="_________G7" localSheetId="8" hidden="1">#REF!</definedName>
    <definedName name="_________G7" localSheetId="2" hidden="1">#REF!</definedName>
    <definedName name="_________G7" localSheetId="18" hidden="1">#REF!</definedName>
    <definedName name="_________G7" localSheetId="9" hidden="1">#REF!</definedName>
    <definedName name="_________G7" localSheetId="3" hidden="1">#REF!</definedName>
    <definedName name="_________G7" localSheetId="19" hidden="1">#REF!</definedName>
    <definedName name="_________G7" localSheetId="10" hidden="1">#REF!</definedName>
    <definedName name="_________G7" localSheetId="20" hidden="1">#REF!</definedName>
    <definedName name="_________G7" localSheetId="11" hidden="1">#REF!</definedName>
    <definedName name="_________G7" localSheetId="21" hidden="1">#REF!</definedName>
    <definedName name="_________G7" localSheetId="12" hidden="1">#REF!</definedName>
    <definedName name="_________G7" localSheetId="22" hidden="1">#REF!</definedName>
    <definedName name="_________G7" localSheetId="13" hidden="1">#REF!</definedName>
    <definedName name="_________G7" hidden="1">#REF!</definedName>
    <definedName name="_________gas001" localSheetId="14">#REF!</definedName>
    <definedName name="_________gas001" localSheetId="0">#REF!</definedName>
    <definedName name="_________gas001" localSheetId="5">#REF!</definedName>
    <definedName name="_________gas001" localSheetId="15">#REF!</definedName>
    <definedName name="_________gas001" localSheetId="6">#REF!</definedName>
    <definedName name="_________gas001" localSheetId="16">#REF!</definedName>
    <definedName name="_________gas001" localSheetId="7">#REF!</definedName>
    <definedName name="_________gas001" localSheetId="1">#REF!</definedName>
    <definedName name="_________gas001" localSheetId="17">#REF!</definedName>
    <definedName name="_________gas001" localSheetId="8">#REF!</definedName>
    <definedName name="_________gas001" localSheetId="2">#REF!</definedName>
    <definedName name="_________gas001" localSheetId="18">#REF!</definedName>
    <definedName name="_________gas001" localSheetId="9">#REF!</definedName>
    <definedName name="_________gas001" localSheetId="3">#REF!</definedName>
    <definedName name="_________gas001" localSheetId="19">#REF!</definedName>
    <definedName name="_________gas001" localSheetId="10">#REF!</definedName>
    <definedName name="_________gas001" localSheetId="20">#REF!</definedName>
    <definedName name="_________gas001" localSheetId="11">#REF!</definedName>
    <definedName name="_________gas001" localSheetId="21">#REF!</definedName>
    <definedName name="_________gas001" localSheetId="12">#REF!</definedName>
    <definedName name="_________gas001" localSheetId="22">#REF!</definedName>
    <definedName name="_________gas001" localSheetId="13">#REF!</definedName>
    <definedName name="_________gas001">#REF!</definedName>
    <definedName name="_________Gas01" localSheetId="14">#REF!</definedName>
    <definedName name="_________Gas01" localSheetId="0">#REF!</definedName>
    <definedName name="_________Gas01" localSheetId="5">#REF!</definedName>
    <definedName name="_________Gas01" localSheetId="15">#REF!</definedName>
    <definedName name="_________Gas01" localSheetId="6">#REF!</definedName>
    <definedName name="_________Gas01" localSheetId="16">#REF!</definedName>
    <definedName name="_________Gas01" localSheetId="7">#REF!</definedName>
    <definedName name="_________Gas01" localSheetId="1">#REF!</definedName>
    <definedName name="_________Gas01" localSheetId="17">#REF!</definedName>
    <definedName name="_________Gas01" localSheetId="8">#REF!</definedName>
    <definedName name="_________Gas01" localSheetId="2">#REF!</definedName>
    <definedName name="_________Gas01" localSheetId="18">#REF!</definedName>
    <definedName name="_________Gas01" localSheetId="9">#REF!</definedName>
    <definedName name="_________Gas01" localSheetId="3">#REF!</definedName>
    <definedName name="_________Gas01" localSheetId="19">#REF!</definedName>
    <definedName name="_________Gas01" localSheetId="10">#REF!</definedName>
    <definedName name="_________Gas01" localSheetId="20">#REF!</definedName>
    <definedName name="_________Gas01" localSheetId="11">#REF!</definedName>
    <definedName name="_________Gas01" localSheetId="21">#REF!</definedName>
    <definedName name="_________Gas01" localSheetId="12">#REF!</definedName>
    <definedName name="_________Gas01" localSheetId="22">#REF!</definedName>
    <definedName name="_________Gas01" localSheetId="13">#REF!</definedName>
    <definedName name="_________Gas01">#REF!</definedName>
    <definedName name="_________gas1" localSheetId="14">#REF!</definedName>
    <definedName name="_________gas1" localSheetId="0">#REF!</definedName>
    <definedName name="_________gas1" localSheetId="5">#REF!</definedName>
    <definedName name="_________gas1" localSheetId="15">#REF!</definedName>
    <definedName name="_________gas1" localSheetId="6">#REF!</definedName>
    <definedName name="_________gas1" localSheetId="16">#REF!</definedName>
    <definedName name="_________gas1" localSheetId="7">#REF!</definedName>
    <definedName name="_________gas1" localSheetId="1">#REF!</definedName>
    <definedName name="_________gas1" localSheetId="17">#REF!</definedName>
    <definedName name="_________gas1" localSheetId="8">#REF!</definedName>
    <definedName name="_________gas1" localSheetId="2">#REF!</definedName>
    <definedName name="_________gas1" localSheetId="18">#REF!</definedName>
    <definedName name="_________gas1" localSheetId="9">#REF!</definedName>
    <definedName name="_________gas1" localSheetId="3">#REF!</definedName>
    <definedName name="_________gas1" localSheetId="19">#REF!</definedName>
    <definedName name="_________gas1" localSheetId="10">#REF!</definedName>
    <definedName name="_________gas1" localSheetId="20">#REF!</definedName>
    <definedName name="_________gas1" localSheetId="11">#REF!</definedName>
    <definedName name="_________gas1" localSheetId="21">#REF!</definedName>
    <definedName name="_________gas1" localSheetId="12">#REF!</definedName>
    <definedName name="_________gas1" localSheetId="22">#REF!</definedName>
    <definedName name="_________gas1" localSheetId="13">#REF!</definedName>
    <definedName name="_________gas1">#REF!</definedName>
    <definedName name="_________Imp1" localSheetId="14">#REF!</definedName>
    <definedName name="_________Imp1" localSheetId="0">#REF!</definedName>
    <definedName name="_________Imp1" localSheetId="5">#REF!</definedName>
    <definedName name="_________Imp1" localSheetId="15">#REF!</definedName>
    <definedName name="_________Imp1" localSheetId="6">#REF!</definedName>
    <definedName name="_________Imp1" localSheetId="16">#REF!</definedName>
    <definedName name="_________Imp1" localSheetId="7">#REF!</definedName>
    <definedName name="_________Imp1" localSheetId="1">#REF!</definedName>
    <definedName name="_________Imp1" localSheetId="17">#REF!</definedName>
    <definedName name="_________Imp1" localSheetId="8">#REF!</definedName>
    <definedName name="_________Imp1" localSheetId="2">#REF!</definedName>
    <definedName name="_________Imp1" localSheetId="18">#REF!</definedName>
    <definedName name="_________Imp1" localSheetId="9">#REF!</definedName>
    <definedName name="_________Imp1" localSheetId="3">#REF!</definedName>
    <definedName name="_________Imp1" localSheetId="19">#REF!</definedName>
    <definedName name="_________Imp1" localSheetId="10">#REF!</definedName>
    <definedName name="_________Imp1" localSheetId="20">#REF!</definedName>
    <definedName name="_________Imp1" localSheetId="11">#REF!</definedName>
    <definedName name="_________Imp1" localSheetId="21">#REF!</definedName>
    <definedName name="_________Imp1" localSheetId="12">#REF!</definedName>
    <definedName name="_________Imp1" localSheetId="22">#REF!</definedName>
    <definedName name="_________Imp1" localSheetId="13">#REF!</definedName>
    <definedName name="_________Imp1">#REF!</definedName>
    <definedName name="_________Imp2" localSheetId="14">#REF!</definedName>
    <definedName name="_________Imp2" localSheetId="0">#REF!</definedName>
    <definedName name="_________Imp2" localSheetId="5">#REF!</definedName>
    <definedName name="_________Imp2" localSheetId="15">#REF!</definedName>
    <definedName name="_________Imp2" localSheetId="6">#REF!</definedName>
    <definedName name="_________Imp2" localSheetId="16">#REF!</definedName>
    <definedName name="_________Imp2" localSheetId="7">#REF!</definedName>
    <definedName name="_________Imp2" localSheetId="1">#REF!</definedName>
    <definedName name="_________Imp2" localSheetId="17">#REF!</definedName>
    <definedName name="_________Imp2" localSheetId="8">#REF!</definedName>
    <definedName name="_________Imp2" localSheetId="2">#REF!</definedName>
    <definedName name="_________Imp2" localSheetId="18">#REF!</definedName>
    <definedName name="_________Imp2" localSheetId="9">#REF!</definedName>
    <definedName name="_________Imp2" localSheetId="3">#REF!</definedName>
    <definedName name="_________Imp2" localSheetId="19">#REF!</definedName>
    <definedName name="_________Imp2" localSheetId="10">#REF!</definedName>
    <definedName name="_________Imp2" localSheetId="20">#REF!</definedName>
    <definedName name="_________Imp2" localSheetId="11">#REF!</definedName>
    <definedName name="_________Imp2" localSheetId="21">#REF!</definedName>
    <definedName name="_________Imp2" localSheetId="12">#REF!</definedName>
    <definedName name="_________Imp2" localSheetId="22">#REF!</definedName>
    <definedName name="_________Imp2" localSheetId="13">#REF!</definedName>
    <definedName name="_________Imp2">#REF!</definedName>
    <definedName name="_________key2" localSheetId="14" hidden="1">#REF!</definedName>
    <definedName name="_________key2" localSheetId="0" hidden="1">#REF!</definedName>
    <definedName name="_________key2" localSheetId="5" hidden="1">#REF!</definedName>
    <definedName name="_________key2" localSheetId="15" hidden="1">#REF!</definedName>
    <definedName name="_________key2" localSheetId="6" hidden="1">#REF!</definedName>
    <definedName name="_________key2" localSheetId="16" hidden="1">#REF!</definedName>
    <definedName name="_________key2" localSheetId="7" hidden="1">#REF!</definedName>
    <definedName name="_________key2" localSheetId="1" hidden="1">#REF!</definedName>
    <definedName name="_________key2" localSheetId="17" hidden="1">#REF!</definedName>
    <definedName name="_________key2" localSheetId="8" hidden="1">#REF!</definedName>
    <definedName name="_________key2" localSheetId="2" hidden="1">#REF!</definedName>
    <definedName name="_________key2" localSheetId="18" hidden="1">#REF!</definedName>
    <definedName name="_________key2" localSheetId="9" hidden="1">#REF!</definedName>
    <definedName name="_________key2" localSheetId="3" hidden="1">#REF!</definedName>
    <definedName name="_________key2" localSheetId="19" hidden="1">#REF!</definedName>
    <definedName name="_________key2" localSheetId="10" hidden="1">#REF!</definedName>
    <definedName name="_________key2" localSheetId="20" hidden="1">#REF!</definedName>
    <definedName name="_________key2" localSheetId="11" hidden="1">#REF!</definedName>
    <definedName name="_________key2" localSheetId="21" hidden="1">#REF!</definedName>
    <definedName name="_________key2" localSheetId="12" hidden="1">#REF!</definedName>
    <definedName name="_________key2" localSheetId="22" hidden="1">#REF!</definedName>
    <definedName name="_________key2" localSheetId="13" hidden="1">#REF!</definedName>
    <definedName name="_________key2" hidden="1">#REF!</definedName>
    <definedName name="_________p1" localSheetId="14">#REF!</definedName>
    <definedName name="_________p1" localSheetId="0">#REF!</definedName>
    <definedName name="_________p1" localSheetId="5">#REF!</definedName>
    <definedName name="_________p1" localSheetId="15">#REF!</definedName>
    <definedName name="_________p1" localSheetId="6">#REF!</definedName>
    <definedName name="_________p1" localSheetId="16">#REF!</definedName>
    <definedName name="_________p1" localSheetId="7">#REF!</definedName>
    <definedName name="_________p1" localSheetId="1">#REF!</definedName>
    <definedName name="_________p1" localSheetId="17">#REF!</definedName>
    <definedName name="_________p1" localSheetId="8">#REF!</definedName>
    <definedName name="_________p1" localSheetId="2">#REF!</definedName>
    <definedName name="_________p1" localSheetId="18">#REF!</definedName>
    <definedName name="_________p1" localSheetId="9">#REF!</definedName>
    <definedName name="_________p1" localSheetId="3">#REF!</definedName>
    <definedName name="_________p1" localSheetId="19">#REF!</definedName>
    <definedName name="_________p1" localSheetId="10">#REF!</definedName>
    <definedName name="_________p1" localSheetId="20">#REF!</definedName>
    <definedName name="_________p1" localSheetId="11">#REF!</definedName>
    <definedName name="_________p1" localSheetId="21">#REF!</definedName>
    <definedName name="_________p1" localSheetId="12">#REF!</definedName>
    <definedName name="_________p1" localSheetId="22">#REF!</definedName>
    <definedName name="_________p1" localSheetId="13">#REF!</definedName>
    <definedName name="_________p1">#REF!</definedName>
    <definedName name="_________RM1">[7]PAG19!$B$3:$I$39</definedName>
    <definedName name="_________RM2">[7]PAG19!$J$3:$P$39</definedName>
    <definedName name="________A2" localSheetId="14">'[2]R. Natural'!#REF!</definedName>
    <definedName name="________A2" localSheetId="0">'[2]R. Natural'!#REF!</definedName>
    <definedName name="________A2" localSheetId="5">'[2]R. Natural'!#REF!</definedName>
    <definedName name="________A2" localSheetId="15">'[2]R. Natural'!#REF!</definedName>
    <definedName name="________A2" localSheetId="6">'[2]R. Natural'!#REF!</definedName>
    <definedName name="________A2" localSheetId="16">'[2]R. Natural'!#REF!</definedName>
    <definedName name="________A2" localSheetId="7">'[2]R. Natural'!#REF!</definedName>
    <definedName name="________A2" localSheetId="1">'[2]R. Natural'!#REF!</definedName>
    <definedName name="________A2" localSheetId="17">'[2]R. Natural'!#REF!</definedName>
    <definedName name="________A2" localSheetId="8">'[2]R. Natural'!#REF!</definedName>
    <definedName name="________A2" localSheetId="2">'[2]R. Natural'!#REF!</definedName>
    <definedName name="________A2" localSheetId="18">'[2]R. Natural'!#REF!</definedName>
    <definedName name="________A2" localSheetId="9">'[2]R. Natural'!#REF!</definedName>
    <definedName name="________A2" localSheetId="3">'[2]R. Natural'!#REF!</definedName>
    <definedName name="________A2" localSheetId="19">'[2]R. Natural'!#REF!</definedName>
    <definedName name="________A2" localSheetId="10">'[2]R. Natural'!#REF!</definedName>
    <definedName name="________A2" localSheetId="20">'[2]R. Natural'!#REF!</definedName>
    <definedName name="________A2" localSheetId="11">'[2]R. Natural'!#REF!</definedName>
    <definedName name="________A2" localSheetId="21">'[2]R. Natural'!#REF!</definedName>
    <definedName name="________A2" localSheetId="12">'[2]R. Natural'!#REF!</definedName>
    <definedName name="________A2" localSheetId="22">'[2]R. Natural'!#REF!</definedName>
    <definedName name="________A2" localSheetId="13">'[2]R. Natural'!#REF!</definedName>
    <definedName name="________A2">'[2]R. Natural'!#REF!</definedName>
    <definedName name="________bol52" localSheetId="14">[3]PAG_35!#REF!</definedName>
    <definedName name="________bol52" localSheetId="0">[3]PAG_35!#REF!</definedName>
    <definedName name="________bol52" localSheetId="5">[3]PAG_35!#REF!</definedName>
    <definedName name="________bol52" localSheetId="15">[3]PAG_35!#REF!</definedName>
    <definedName name="________bol52" localSheetId="6">[3]PAG_35!#REF!</definedName>
    <definedName name="________bol52" localSheetId="16">[3]PAG_35!#REF!</definedName>
    <definedName name="________bol52" localSheetId="7">[3]PAG_35!#REF!</definedName>
    <definedName name="________bol52" localSheetId="1">[3]PAG_35!#REF!</definedName>
    <definedName name="________bol52" localSheetId="17">[3]PAG_35!#REF!</definedName>
    <definedName name="________bol52" localSheetId="8">[3]PAG_35!#REF!</definedName>
    <definedName name="________bol52" localSheetId="2">[3]PAG_35!#REF!</definedName>
    <definedName name="________bol52" localSheetId="18">[3]PAG_35!#REF!</definedName>
    <definedName name="________bol52" localSheetId="9">[3]PAG_35!#REF!</definedName>
    <definedName name="________bol52" localSheetId="3">[3]PAG_35!#REF!</definedName>
    <definedName name="________bol52" localSheetId="19">[3]PAG_35!#REF!</definedName>
    <definedName name="________bol52" localSheetId="10">[3]PAG_35!#REF!</definedName>
    <definedName name="________bol52" localSheetId="20">[3]PAG_35!#REF!</definedName>
    <definedName name="________bol52" localSheetId="11">[3]PAG_35!#REF!</definedName>
    <definedName name="________bol52" localSheetId="21">[3]PAG_35!#REF!</definedName>
    <definedName name="________bol52" localSheetId="12">[3]PAG_35!#REF!</definedName>
    <definedName name="________bol52" localSheetId="22">[3]PAG_35!#REF!</definedName>
    <definedName name="________bol52" localSheetId="13">[3]PAG_35!#REF!</definedName>
    <definedName name="________bol52">[3]PAG_35!#REF!</definedName>
    <definedName name="________BTP1">[4]BTPMP!$A$2:$M$19922</definedName>
    <definedName name="________BTP2">[4]BTPMS!$A$2:$N$19683</definedName>
    <definedName name="________CDB1">[4]CDMP!$B$2:$N$20020</definedName>
    <definedName name="________CDB2">[4]CDMS!$A$2:$M$20027</definedName>
    <definedName name="________cdr2" localSheetId="14">[5]Cdr7!#REF!</definedName>
    <definedName name="________cdr2" localSheetId="0">[5]Cdr7!#REF!</definedName>
    <definedName name="________cdr2" localSheetId="5">[5]Cdr7!#REF!</definedName>
    <definedName name="________cdr2" localSheetId="15">[5]Cdr7!#REF!</definedName>
    <definedName name="________cdr2" localSheetId="6">[5]Cdr7!#REF!</definedName>
    <definedName name="________cdr2" localSheetId="16">[5]Cdr7!#REF!</definedName>
    <definedName name="________cdr2" localSheetId="7">[5]Cdr7!#REF!</definedName>
    <definedName name="________cdr2" localSheetId="1">[5]Cdr7!#REF!</definedName>
    <definedName name="________cdr2" localSheetId="17">[5]Cdr7!#REF!</definedName>
    <definedName name="________cdr2" localSheetId="8">[5]Cdr7!#REF!</definedName>
    <definedName name="________cdr2" localSheetId="2">[5]Cdr7!#REF!</definedName>
    <definedName name="________cdr2" localSheetId="18">[5]Cdr7!#REF!</definedName>
    <definedName name="________cdr2" localSheetId="9">[5]Cdr7!#REF!</definedName>
    <definedName name="________cdr2" localSheetId="3">[5]Cdr7!#REF!</definedName>
    <definedName name="________cdr2" localSheetId="19">[5]Cdr7!#REF!</definedName>
    <definedName name="________cdr2" localSheetId="10">[5]Cdr7!#REF!</definedName>
    <definedName name="________cdr2" localSheetId="20">[5]Cdr7!#REF!</definedName>
    <definedName name="________cdr2" localSheetId="11">[5]Cdr7!#REF!</definedName>
    <definedName name="________cdr2" localSheetId="21">[5]Cdr7!#REF!</definedName>
    <definedName name="________cdr2" localSheetId="12">[5]Cdr7!#REF!</definedName>
    <definedName name="________cdr2" localSheetId="22">[5]Cdr7!#REF!</definedName>
    <definedName name="________cdr2" localSheetId="13">[5]Cdr7!#REF!</definedName>
    <definedName name="________cdr2">[5]Cdr7!#REF!</definedName>
    <definedName name="________Cdr7">'[6]Cdrs 1-2'!$A$1:$S$46</definedName>
    <definedName name="________Cdr8">'[6]Cdrs 1-2'!$A$69:$S$114</definedName>
    <definedName name="________Dur1">[4]Dur!$A$2:$I$27</definedName>
    <definedName name="________G7" localSheetId="14" hidden="1">#REF!</definedName>
    <definedName name="________G7" localSheetId="0" hidden="1">#REF!</definedName>
    <definedName name="________G7" localSheetId="5" hidden="1">#REF!</definedName>
    <definedName name="________G7" localSheetId="15" hidden="1">#REF!</definedName>
    <definedName name="________G7" localSheetId="6" hidden="1">#REF!</definedName>
    <definedName name="________G7" localSheetId="16" hidden="1">#REF!</definedName>
    <definedName name="________G7" localSheetId="7" hidden="1">#REF!</definedName>
    <definedName name="________G7" localSheetId="1" hidden="1">#REF!</definedName>
    <definedName name="________G7" localSheetId="17" hidden="1">#REF!</definedName>
    <definedName name="________G7" localSheetId="8" hidden="1">#REF!</definedName>
    <definedName name="________G7" localSheetId="2" hidden="1">#REF!</definedName>
    <definedName name="________G7" localSheetId="18" hidden="1">#REF!</definedName>
    <definedName name="________G7" localSheetId="9" hidden="1">#REF!</definedName>
    <definedName name="________G7" localSheetId="3" hidden="1">#REF!</definedName>
    <definedName name="________G7" localSheetId="19" hidden="1">#REF!</definedName>
    <definedName name="________G7" localSheetId="10" hidden="1">#REF!</definedName>
    <definedName name="________G7" localSheetId="20" hidden="1">#REF!</definedName>
    <definedName name="________G7" localSheetId="11" hidden="1">#REF!</definedName>
    <definedName name="________G7" localSheetId="21" hidden="1">#REF!</definedName>
    <definedName name="________G7" localSheetId="12" hidden="1">#REF!</definedName>
    <definedName name="________G7" localSheetId="22" hidden="1">#REF!</definedName>
    <definedName name="________G7" localSheetId="13" hidden="1">#REF!</definedName>
    <definedName name="________G7" hidden="1">#REF!</definedName>
    <definedName name="________gas001" localSheetId="14">#REF!</definedName>
    <definedName name="________gas001" localSheetId="0">#REF!</definedName>
    <definedName name="________gas001" localSheetId="5">#REF!</definedName>
    <definedName name="________gas001" localSheetId="15">#REF!</definedName>
    <definedName name="________gas001" localSheetId="6">#REF!</definedName>
    <definedName name="________gas001" localSheetId="16">#REF!</definedName>
    <definedName name="________gas001" localSheetId="7">#REF!</definedName>
    <definedName name="________gas001" localSheetId="1">#REF!</definedName>
    <definedName name="________gas001" localSheetId="17">#REF!</definedName>
    <definedName name="________gas001" localSheetId="8">#REF!</definedName>
    <definedName name="________gas001" localSheetId="2">#REF!</definedName>
    <definedName name="________gas001" localSheetId="18">#REF!</definedName>
    <definedName name="________gas001" localSheetId="9">#REF!</definedName>
    <definedName name="________gas001" localSheetId="3">#REF!</definedName>
    <definedName name="________gas001" localSheetId="19">#REF!</definedName>
    <definedName name="________gas001" localSheetId="10">#REF!</definedName>
    <definedName name="________gas001" localSheetId="20">#REF!</definedName>
    <definedName name="________gas001" localSheetId="11">#REF!</definedName>
    <definedName name="________gas001" localSheetId="21">#REF!</definedName>
    <definedName name="________gas001" localSheetId="12">#REF!</definedName>
    <definedName name="________gas001" localSheetId="22">#REF!</definedName>
    <definedName name="________gas001" localSheetId="13">#REF!</definedName>
    <definedName name="________gas001">#REF!</definedName>
    <definedName name="________Gas01" localSheetId="14">#REF!</definedName>
    <definedName name="________Gas01" localSheetId="0">#REF!</definedName>
    <definedName name="________Gas01" localSheetId="5">#REF!</definedName>
    <definedName name="________Gas01" localSheetId="15">#REF!</definedName>
    <definedName name="________Gas01" localSheetId="6">#REF!</definedName>
    <definedName name="________Gas01" localSheetId="16">#REF!</definedName>
    <definedName name="________Gas01" localSheetId="7">#REF!</definedName>
    <definedName name="________Gas01" localSheetId="1">#REF!</definedName>
    <definedName name="________Gas01" localSheetId="17">#REF!</definedName>
    <definedName name="________Gas01" localSheetId="8">#REF!</definedName>
    <definedName name="________Gas01" localSheetId="2">#REF!</definedName>
    <definedName name="________Gas01" localSheetId="18">#REF!</definedName>
    <definedName name="________Gas01" localSheetId="9">#REF!</definedName>
    <definedName name="________Gas01" localSheetId="3">#REF!</definedName>
    <definedName name="________Gas01" localSheetId="19">#REF!</definedName>
    <definedName name="________Gas01" localSheetId="10">#REF!</definedName>
    <definedName name="________Gas01" localSheetId="20">#REF!</definedName>
    <definedName name="________Gas01" localSheetId="11">#REF!</definedName>
    <definedName name="________Gas01" localSheetId="21">#REF!</definedName>
    <definedName name="________Gas01" localSheetId="12">#REF!</definedName>
    <definedName name="________Gas01" localSheetId="22">#REF!</definedName>
    <definedName name="________Gas01" localSheetId="13">#REF!</definedName>
    <definedName name="________Gas01">#REF!</definedName>
    <definedName name="________gas1" localSheetId="14">#REF!</definedName>
    <definedName name="________gas1" localSheetId="0">#REF!</definedName>
    <definedName name="________gas1" localSheetId="5">#REF!</definedName>
    <definedName name="________gas1" localSheetId="15">#REF!</definedName>
    <definedName name="________gas1" localSheetId="6">#REF!</definedName>
    <definedName name="________gas1" localSheetId="16">#REF!</definedName>
    <definedName name="________gas1" localSheetId="7">#REF!</definedName>
    <definedName name="________gas1" localSheetId="1">#REF!</definedName>
    <definedName name="________gas1" localSheetId="17">#REF!</definedName>
    <definedName name="________gas1" localSheetId="8">#REF!</definedName>
    <definedName name="________gas1" localSheetId="2">#REF!</definedName>
    <definedName name="________gas1" localSheetId="18">#REF!</definedName>
    <definedName name="________gas1" localSheetId="9">#REF!</definedName>
    <definedName name="________gas1" localSheetId="3">#REF!</definedName>
    <definedName name="________gas1" localSheetId="19">#REF!</definedName>
    <definedName name="________gas1" localSheetId="10">#REF!</definedName>
    <definedName name="________gas1" localSheetId="20">#REF!</definedName>
    <definedName name="________gas1" localSheetId="11">#REF!</definedName>
    <definedName name="________gas1" localSheetId="21">#REF!</definedName>
    <definedName name="________gas1" localSheetId="12">#REF!</definedName>
    <definedName name="________gas1" localSheetId="22">#REF!</definedName>
    <definedName name="________gas1" localSheetId="13">#REF!</definedName>
    <definedName name="________gas1">#REF!</definedName>
    <definedName name="________Imp1" localSheetId="14">#REF!</definedName>
    <definedName name="________Imp1" localSheetId="0">#REF!</definedName>
    <definedName name="________Imp1" localSheetId="5">#REF!</definedName>
    <definedName name="________Imp1" localSheetId="15">#REF!</definedName>
    <definedName name="________Imp1" localSheetId="6">#REF!</definedName>
    <definedName name="________Imp1" localSheetId="16">#REF!</definedName>
    <definedName name="________Imp1" localSheetId="7">#REF!</definedName>
    <definedName name="________Imp1" localSheetId="1">#REF!</definedName>
    <definedName name="________Imp1" localSheetId="17">#REF!</definedName>
    <definedName name="________Imp1" localSheetId="8">#REF!</definedName>
    <definedName name="________Imp1" localSheetId="2">#REF!</definedName>
    <definedName name="________Imp1" localSheetId="18">#REF!</definedName>
    <definedName name="________Imp1" localSheetId="9">#REF!</definedName>
    <definedName name="________Imp1" localSheetId="3">#REF!</definedName>
    <definedName name="________Imp1" localSheetId="19">#REF!</definedName>
    <definedName name="________Imp1" localSheetId="10">#REF!</definedName>
    <definedName name="________Imp1" localSheetId="20">#REF!</definedName>
    <definedName name="________Imp1" localSheetId="11">#REF!</definedName>
    <definedName name="________Imp1" localSheetId="21">#REF!</definedName>
    <definedName name="________Imp1" localSheetId="12">#REF!</definedName>
    <definedName name="________Imp1" localSheetId="22">#REF!</definedName>
    <definedName name="________Imp1" localSheetId="13">#REF!</definedName>
    <definedName name="________Imp1">#REF!</definedName>
    <definedName name="________Imp2" localSheetId="14">#REF!</definedName>
    <definedName name="________Imp2" localSheetId="0">#REF!</definedName>
    <definedName name="________Imp2" localSheetId="5">#REF!</definedName>
    <definedName name="________Imp2" localSheetId="15">#REF!</definedName>
    <definedName name="________Imp2" localSheetId="6">#REF!</definedName>
    <definedName name="________Imp2" localSheetId="16">#REF!</definedName>
    <definedName name="________Imp2" localSheetId="7">#REF!</definedName>
    <definedName name="________Imp2" localSheetId="1">#REF!</definedName>
    <definedName name="________Imp2" localSheetId="17">#REF!</definedName>
    <definedName name="________Imp2" localSheetId="8">#REF!</definedName>
    <definedName name="________Imp2" localSheetId="2">#REF!</definedName>
    <definedName name="________Imp2" localSheetId="18">#REF!</definedName>
    <definedName name="________Imp2" localSheetId="9">#REF!</definedName>
    <definedName name="________Imp2" localSheetId="3">#REF!</definedName>
    <definedName name="________Imp2" localSheetId="19">#REF!</definedName>
    <definedName name="________Imp2" localSheetId="10">#REF!</definedName>
    <definedName name="________Imp2" localSheetId="20">#REF!</definedName>
    <definedName name="________Imp2" localSheetId="11">#REF!</definedName>
    <definedName name="________Imp2" localSheetId="21">#REF!</definedName>
    <definedName name="________Imp2" localSheetId="12">#REF!</definedName>
    <definedName name="________Imp2" localSheetId="22">#REF!</definedName>
    <definedName name="________Imp2" localSheetId="13">#REF!</definedName>
    <definedName name="________Imp2">#REF!</definedName>
    <definedName name="________key2" localSheetId="14" hidden="1">#REF!</definedName>
    <definedName name="________key2" localSheetId="0" hidden="1">#REF!</definedName>
    <definedName name="________key2" localSheetId="5" hidden="1">#REF!</definedName>
    <definedName name="________key2" localSheetId="15" hidden="1">#REF!</definedName>
    <definedName name="________key2" localSheetId="6" hidden="1">#REF!</definedName>
    <definedName name="________key2" localSheetId="16" hidden="1">#REF!</definedName>
    <definedName name="________key2" localSheetId="7" hidden="1">#REF!</definedName>
    <definedName name="________key2" localSheetId="1" hidden="1">#REF!</definedName>
    <definedName name="________key2" localSheetId="17" hidden="1">#REF!</definedName>
    <definedName name="________key2" localSheetId="8" hidden="1">#REF!</definedName>
    <definedName name="________key2" localSheetId="2" hidden="1">#REF!</definedName>
    <definedName name="________key2" localSheetId="18" hidden="1">#REF!</definedName>
    <definedName name="________key2" localSheetId="9" hidden="1">#REF!</definedName>
    <definedName name="________key2" localSheetId="3" hidden="1">#REF!</definedName>
    <definedName name="________key2" localSheetId="19" hidden="1">#REF!</definedName>
    <definedName name="________key2" localSheetId="10" hidden="1">#REF!</definedName>
    <definedName name="________key2" localSheetId="20" hidden="1">#REF!</definedName>
    <definedName name="________key2" localSheetId="11" hidden="1">#REF!</definedName>
    <definedName name="________key2" localSheetId="21" hidden="1">#REF!</definedName>
    <definedName name="________key2" localSheetId="12" hidden="1">#REF!</definedName>
    <definedName name="________key2" localSheetId="22" hidden="1">#REF!</definedName>
    <definedName name="________key2" localSheetId="13" hidden="1">#REF!</definedName>
    <definedName name="________key2" hidden="1">#REF!</definedName>
    <definedName name="________p1" localSheetId="14">#REF!</definedName>
    <definedName name="________p1" localSheetId="0">#REF!</definedName>
    <definedName name="________p1" localSheetId="5">#REF!</definedName>
    <definedName name="________p1" localSheetId="15">#REF!</definedName>
    <definedName name="________p1" localSheetId="6">#REF!</definedName>
    <definedName name="________p1" localSheetId="16">#REF!</definedName>
    <definedName name="________p1" localSheetId="7">#REF!</definedName>
    <definedName name="________p1" localSheetId="1">#REF!</definedName>
    <definedName name="________p1" localSheetId="17">#REF!</definedName>
    <definedName name="________p1" localSheetId="8">#REF!</definedName>
    <definedName name="________p1" localSheetId="2">#REF!</definedName>
    <definedName name="________p1" localSheetId="18">#REF!</definedName>
    <definedName name="________p1" localSheetId="9">#REF!</definedName>
    <definedName name="________p1" localSheetId="3">#REF!</definedName>
    <definedName name="________p1" localSheetId="19">#REF!</definedName>
    <definedName name="________p1" localSheetId="10">#REF!</definedName>
    <definedName name="________p1" localSheetId="20">#REF!</definedName>
    <definedName name="________p1" localSheetId="11">#REF!</definedName>
    <definedName name="________p1" localSheetId="21">#REF!</definedName>
    <definedName name="________p1" localSheetId="12">#REF!</definedName>
    <definedName name="________p1" localSheetId="22">#REF!</definedName>
    <definedName name="________p1" localSheetId="13">#REF!</definedName>
    <definedName name="________p1">#REF!</definedName>
    <definedName name="________RM1">[7]PAG19!$B$3:$I$39</definedName>
    <definedName name="________RM2">[7]PAG19!$J$3:$P$39</definedName>
    <definedName name="_______A2" localSheetId="14">'[2]R. Natural'!#REF!</definedName>
    <definedName name="_______A2" localSheetId="0">'[2]R. Natural'!#REF!</definedName>
    <definedName name="_______A2" localSheetId="5">'[2]R. Natural'!#REF!</definedName>
    <definedName name="_______A2" localSheetId="15">'[2]R. Natural'!#REF!</definedName>
    <definedName name="_______A2" localSheetId="6">'[2]R. Natural'!#REF!</definedName>
    <definedName name="_______A2" localSheetId="16">'[2]R. Natural'!#REF!</definedName>
    <definedName name="_______A2" localSheetId="7">'[2]R. Natural'!#REF!</definedName>
    <definedName name="_______A2" localSheetId="1">'[2]R. Natural'!#REF!</definedName>
    <definedName name="_______A2" localSheetId="17">'[2]R. Natural'!#REF!</definedName>
    <definedName name="_______A2" localSheetId="8">'[2]R. Natural'!#REF!</definedName>
    <definedName name="_______A2" localSheetId="2">'[2]R. Natural'!#REF!</definedName>
    <definedName name="_______A2" localSheetId="18">'[2]R. Natural'!#REF!</definedName>
    <definedName name="_______A2" localSheetId="9">'[2]R. Natural'!#REF!</definedName>
    <definedName name="_______A2" localSheetId="3">'[2]R. Natural'!#REF!</definedName>
    <definedName name="_______A2" localSheetId="19">'[2]R. Natural'!#REF!</definedName>
    <definedName name="_______A2" localSheetId="10">'[2]R. Natural'!#REF!</definedName>
    <definedName name="_______A2" localSheetId="20">'[2]R. Natural'!#REF!</definedName>
    <definedName name="_______A2" localSheetId="11">'[2]R. Natural'!#REF!</definedName>
    <definedName name="_______A2" localSheetId="21">'[2]R. Natural'!#REF!</definedName>
    <definedName name="_______A2" localSheetId="12">'[2]R. Natural'!#REF!</definedName>
    <definedName name="_______A2" localSheetId="22">'[2]R. Natural'!#REF!</definedName>
    <definedName name="_______A2" localSheetId="13">'[2]R. Natural'!#REF!</definedName>
    <definedName name="_______A2">'[2]R. Natural'!#REF!</definedName>
    <definedName name="_______bol52" localSheetId="14">[3]PAG_35!#REF!</definedName>
    <definedName name="_______bol52" localSheetId="0">[3]PAG_35!#REF!</definedName>
    <definedName name="_______bol52" localSheetId="5">[3]PAG_35!#REF!</definedName>
    <definedName name="_______bol52" localSheetId="15">[3]PAG_35!#REF!</definedName>
    <definedName name="_______bol52" localSheetId="6">[3]PAG_35!#REF!</definedName>
    <definedName name="_______bol52" localSheetId="16">[3]PAG_35!#REF!</definedName>
    <definedName name="_______bol52" localSheetId="7">[3]PAG_35!#REF!</definedName>
    <definedName name="_______bol52" localSheetId="1">[3]PAG_35!#REF!</definedName>
    <definedName name="_______bol52" localSheetId="17">[3]PAG_35!#REF!</definedName>
    <definedName name="_______bol52" localSheetId="8">[3]PAG_35!#REF!</definedName>
    <definedName name="_______bol52" localSheetId="2">[3]PAG_35!#REF!</definedName>
    <definedName name="_______bol52" localSheetId="18">[3]PAG_35!#REF!</definedName>
    <definedName name="_______bol52" localSheetId="9">[3]PAG_35!#REF!</definedName>
    <definedName name="_______bol52" localSheetId="3">[3]PAG_35!#REF!</definedName>
    <definedName name="_______bol52" localSheetId="19">[3]PAG_35!#REF!</definedName>
    <definedName name="_______bol52" localSheetId="10">[3]PAG_35!#REF!</definedName>
    <definedName name="_______bol52" localSheetId="20">[3]PAG_35!#REF!</definedName>
    <definedName name="_______bol52" localSheetId="11">[3]PAG_35!#REF!</definedName>
    <definedName name="_______bol52" localSheetId="21">[3]PAG_35!#REF!</definedName>
    <definedName name="_______bol52" localSheetId="12">[3]PAG_35!#REF!</definedName>
    <definedName name="_______bol52" localSheetId="22">[3]PAG_35!#REF!</definedName>
    <definedName name="_______bol52" localSheetId="13">[3]PAG_35!#REF!</definedName>
    <definedName name="_______bol52">[3]PAG_35!#REF!</definedName>
    <definedName name="_______BTP1">[4]BTPMP!$A$2:$M$19922</definedName>
    <definedName name="_______BTP2">[4]BTPMS!$A$2:$N$19683</definedName>
    <definedName name="_______CDB1">[4]CDMP!$B$2:$N$20020</definedName>
    <definedName name="_______CDB2">[4]CDMS!$A$2:$M$20027</definedName>
    <definedName name="_______cdr2" localSheetId="14">[5]Cdr7!#REF!</definedName>
    <definedName name="_______cdr2" localSheetId="0">[5]Cdr7!#REF!</definedName>
    <definedName name="_______cdr2" localSheetId="5">[5]Cdr7!#REF!</definedName>
    <definedName name="_______cdr2" localSheetId="15">[5]Cdr7!#REF!</definedName>
    <definedName name="_______cdr2" localSheetId="6">[5]Cdr7!#REF!</definedName>
    <definedName name="_______cdr2" localSheetId="16">[5]Cdr7!#REF!</definedName>
    <definedName name="_______cdr2" localSheetId="7">[5]Cdr7!#REF!</definedName>
    <definedName name="_______cdr2" localSheetId="1">[5]Cdr7!#REF!</definedName>
    <definedName name="_______cdr2" localSheetId="17">[5]Cdr7!#REF!</definedName>
    <definedName name="_______cdr2" localSheetId="8">[5]Cdr7!#REF!</definedName>
    <definedName name="_______cdr2" localSheetId="2">[5]Cdr7!#REF!</definedName>
    <definedName name="_______cdr2" localSheetId="18">[5]Cdr7!#REF!</definedName>
    <definedName name="_______cdr2" localSheetId="9">[5]Cdr7!#REF!</definedName>
    <definedName name="_______cdr2" localSheetId="3">[5]Cdr7!#REF!</definedName>
    <definedName name="_______cdr2" localSheetId="19">[5]Cdr7!#REF!</definedName>
    <definedName name="_______cdr2" localSheetId="10">[5]Cdr7!#REF!</definedName>
    <definedName name="_______cdr2" localSheetId="20">[5]Cdr7!#REF!</definedName>
    <definedName name="_______cdr2" localSheetId="11">[5]Cdr7!#REF!</definedName>
    <definedName name="_______cdr2" localSheetId="21">[5]Cdr7!#REF!</definedName>
    <definedName name="_______cdr2" localSheetId="12">[5]Cdr7!#REF!</definedName>
    <definedName name="_______cdr2" localSheetId="22">[5]Cdr7!#REF!</definedName>
    <definedName name="_______cdr2" localSheetId="13">[5]Cdr7!#REF!</definedName>
    <definedName name="_______cdr2">[5]Cdr7!#REF!</definedName>
    <definedName name="_______Cdr7">'[6]Cdrs 1-2'!$A$1:$S$46</definedName>
    <definedName name="_______Cdr8">'[6]Cdrs 1-2'!$A$69:$S$114</definedName>
    <definedName name="_______Dur1">[4]Dur!$A$2:$I$27</definedName>
    <definedName name="_______G7" localSheetId="14" hidden="1">#REF!</definedName>
    <definedName name="_______G7" localSheetId="0" hidden="1">#REF!</definedName>
    <definedName name="_______G7" localSheetId="5" hidden="1">#REF!</definedName>
    <definedName name="_______G7" localSheetId="15" hidden="1">#REF!</definedName>
    <definedName name="_______G7" localSheetId="6" hidden="1">#REF!</definedName>
    <definedName name="_______G7" localSheetId="16" hidden="1">#REF!</definedName>
    <definedName name="_______G7" localSheetId="7" hidden="1">#REF!</definedName>
    <definedName name="_______G7" localSheetId="1" hidden="1">#REF!</definedName>
    <definedName name="_______G7" localSheetId="17" hidden="1">#REF!</definedName>
    <definedName name="_______G7" localSheetId="8" hidden="1">#REF!</definedName>
    <definedName name="_______G7" localSheetId="2" hidden="1">#REF!</definedName>
    <definedName name="_______G7" localSheetId="18" hidden="1">#REF!</definedName>
    <definedName name="_______G7" localSheetId="9" hidden="1">#REF!</definedName>
    <definedName name="_______G7" localSheetId="3" hidden="1">#REF!</definedName>
    <definedName name="_______G7" localSheetId="19" hidden="1">#REF!</definedName>
    <definedName name="_______G7" localSheetId="10" hidden="1">#REF!</definedName>
    <definedName name="_______G7" localSheetId="20" hidden="1">#REF!</definedName>
    <definedName name="_______G7" localSheetId="11" hidden="1">#REF!</definedName>
    <definedName name="_______G7" localSheetId="21" hidden="1">#REF!</definedName>
    <definedName name="_______G7" localSheetId="12" hidden="1">#REF!</definedName>
    <definedName name="_______G7" localSheetId="22" hidden="1">#REF!</definedName>
    <definedName name="_______G7" localSheetId="13" hidden="1">#REF!</definedName>
    <definedName name="_______G7" hidden="1">#REF!</definedName>
    <definedName name="_______gas001" localSheetId="14">#REF!</definedName>
    <definedName name="_______gas001" localSheetId="0">#REF!</definedName>
    <definedName name="_______gas001" localSheetId="5">#REF!</definedName>
    <definedName name="_______gas001" localSheetId="15">#REF!</definedName>
    <definedName name="_______gas001" localSheetId="6">#REF!</definedName>
    <definedName name="_______gas001" localSheetId="16">#REF!</definedName>
    <definedName name="_______gas001" localSheetId="7">#REF!</definedName>
    <definedName name="_______gas001" localSheetId="1">#REF!</definedName>
    <definedName name="_______gas001" localSheetId="17">#REF!</definedName>
    <definedName name="_______gas001" localSheetId="8">#REF!</definedName>
    <definedName name="_______gas001" localSheetId="2">#REF!</definedName>
    <definedName name="_______gas001" localSheetId="18">#REF!</definedName>
    <definedName name="_______gas001" localSheetId="9">#REF!</definedName>
    <definedName name="_______gas001" localSheetId="3">#REF!</definedName>
    <definedName name="_______gas001" localSheetId="19">#REF!</definedName>
    <definedName name="_______gas001" localSheetId="10">#REF!</definedName>
    <definedName name="_______gas001" localSheetId="20">#REF!</definedName>
    <definedName name="_______gas001" localSheetId="11">#REF!</definedName>
    <definedName name="_______gas001" localSheetId="21">#REF!</definedName>
    <definedName name="_______gas001" localSheetId="12">#REF!</definedName>
    <definedName name="_______gas001" localSheetId="22">#REF!</definedName>
    <definedName name="_______gas001" localSheetId="13">#REF!</definedName>
    <definedName name="_______gas001">#REF!</definedName>
    <definedName name="_______Gas01" localSheetId="14">#REF!</definedName>
    <definedName name="_______Gas01" localSheetId="0">#REF!</definedName>
    <definedName name="_______Gas01" localSheetId="5">#REF!</definedName>
    <definedName name="_______Gas01" localSheetId="15">#REF!</definedName>
    <definedName name="_______Gas01" localSheetId="6">#REF!</definedName>
    <definedName name="_______Gas01" localSheetId="16">#REF!</definedName>
    <definedName name="_______Gas01" localSheetId="7">#REF!</definedName>
    <definedName name="_______Gas01" localSheetId="1">#REF!</definedName>
    <definedName name="_______Gas01" localSheetId="17">#REF!</definedName>
    <definedName name="_______Gas01" localSheetId="8">#REF!</definedName>
    <definedName name="_______Gas01" localSheetId="2">#REF!</definedName>
    <definedName name="_______Gas01" localSheetId="18">#REF!</definedName>
    <definedName name="_______Gas01" localSheetId="9">#REF!</definedName>
    <definedName name="_______Gas01" localSheetId="3">#REF!</definedName>
    <definedName name="_______Gas01" localSheetId="19">#REF!</definedName>
    <definedName name="_______Gas01" localSheetId="10">#REF!</definedName>
    <definedName name="_______Gas01" localSheetId="20">#REF!</definedName>
    <definedName name="_______Gas01" localSheetId="11">#REF!</definedName>
    <definedName name="_______Gas01" localSheetId="21">#REF!</definedName>
    <definedName name="_______Gas01" localSheetId="12">#REF!</definedName>
    <definedName name="_______Gas01" localSheetId="22">#REF!</definedName>
    <definedName name="_______Gas01" localSheetId="13">#REF!</definedName>
    <definedName name="_______Gas01">#REF!</definedName>
    <definedName name="_______gas1" localSheetId="14">#REF!</definedName>
    <definedName name="_______gas1" localSheetId="0">#REF!</definedName>
    <definedName name="_______gas1" localSheetId="5">#REF!</definedName>
    <definedName name="_______gas1" localSheetId="15">#REF!</definedName>
    <definedName name="_______gas1" localSheetId="6">#REF!</definedName>
    <definedName name="_______gas1" localSheetId="16">#REF!</definedName>
    <definedName name="_______gas1" localSheetId="7">#REF!</definedName>
    <definedName name="_______gas1" localSheetId="1">#REF!</definedName>
    <definedName name="_______gas1" localSheetId="17">#REF!</definedName>
    <definedName name="_______gas1" localSheetId="8">#REF!</definedName>
    <definedName name="_______gas1" localSheetId="2">#REF!</definedName>
    <definedName name="_______gas1" localSheetId="18">#REF!</definedName>
    <definedName name="_______gas1" localSheetId="9">#REF!</definedName>
    <definedName name="_______gas1" localSheetId="3">#REF!</definedName>
    <definedName name="_______gas1" localSheetId="19">#REF!</definedName>
    <definedName name="_______gas1" localSheetId="10">#REF!</definedName>
    <definedName name="_______gas1" localSheetId="20">#REF!</definedName>
    <definedName name="_______gas1" localSheetId="11">#REF!</definedName>
    <definedName name="_______gas1" localSheetId="21">#REF!</definedName>
    <definedName name="_______gas1" localSheetId="12">#REF!</definedName>
    <definedName name="_______gas1" localSheetId="22">#REF!</definedName>
    <definedName name="_______gas1" localSheetId="13">#REF!</definedName>
    <definedName name="_______gas1">#REF!</definedName>
    <definedName name="_______Imp1" localSheetId="14">#REF!</definedName>
    <definedName name="_______Imp1" localSheetId="0">#REF!</definedName>
    <definedName name="_______Imp1" localSheetId="5">#REF!</definedName>
    <definedName name="_______Imp1" localSheetId="15">#REF!</definedName>
    <definedName name="_______Imp1" localSheetId="6">#REF!</definedName>
    <definedName name="_______Imp1" localSheetId="16">#REF!</definedName>
    <definedName name="_______Imp1" localSheetId="7">#REF!</definedName>
    <definedName name="_______Imp1" localSheetId="1">#REF!</definedName>
    <definedName name="_______Imp1" localSheetId="17">#REF!</definedName>
    <definedName name="_______Imp1" localSheetId="8">#REF!</definedName>
    <definedName name="_______Imp1" localSheetId="2">#REF!</definedName>
    <definedName name="_______Imp1" localSheetId="18">#REF!</definedName>
    <definedName name="_______Imp1" localSheetId="9">#REF!</definedName>
    <definedName name="_______Imp1" localSheetId="3">#REF!</definedName>
    <definedName name="_______Imp1" localSheetId="19">#REF!</definedName>
    <definedName name="_______Imp1" localSheetId="10">#REF!</definedName>
    <definedName name="_______Imp1" localSheetId="20">#REF!</definedName>
    <definedName name="_______Imp1" localSheetId="11">#REF!</definedName>
    <definedName name="_______Imp1" localSheetId="21">#REF!</definedName>
    <definedName name="_______Imp1" localSheetId="12">#REF!</definedName>
    <definedName name="_______Imp1" localSheetId="22">#REF!</definedName>
    <definedName name="_______Imp1" localSheetId="13">#REF!</definedName>
    <definedName name="_______Imp1">#REF!</definedName>
    <definedName name="_______Imp2" localSheetId="14">#REF!</definedName>
    <definedName name="_______Imp2" localSheetId="0">#REF!</definedName>
    <definedName name="_______Imp2" localSheetId="5">#REF!</definedName>
    <definedName name="_______Imp2" localSheetId="15">#REF!</definedName>
    <definedName name="_______Imp2" localSheetId="6">#REF!</definedName>
    <definedName name="_______Imp2" localSheetId="16">#REF!</definedName>
    <definedName name="_______Imp2" localSheetId="7">#REF!</definedName>
    <definedName name="_______Imp2" localSheetId="1">#REF!</definedName>
    <definedName name="_______Imp2" localSheetId="17">#REF!</definedName>
    <definedName name="_______Imp2" localSheetId="8">#REF!</definedName>
    <definedName name="_______Imp2" localSheetId="2">#REF!</definedName>
    <definedName name="_______Imp2" localSheetId="18">#REF!</definedName>
    <definedName name="_______Imp2" localSheetId="9">#REF!</definedName>
    <definedName name="_______Imp2" localSheetId="3">#REF!</definedName>
    <definedName name="_______Imp2" localSheetId="19">#REF!</definedName>
    <definedName name="_______Imp2" localSheetId="10">#REF!</definedName>
    <definedName name="_______Imp2" localSheetId="20">#REF!</definedName>
    <definedName name="_______Imp2" localSheetId="11">#REF!</definedName>
    <definedName name="_______Imp2" localSheetId="21">#REF!</definedName>
    <definedName name="_______Imp2" localSheetId="12">#REF!</definedName>
    <definedName name="_______Imp2" localSheetId="22">#REF!</definedName>
    <definedName name="_______Imp2" localSheetId="13">#REF!</definedName>
    <definedName name="_______Imp2">#REF!</definedName>
    <definedName name="_______key2" localSheetId="14" hidden="1">#REF!</definedName>
    <definedName name="_______key2" localSheetId="0" hidden="1">#REF!</definedName>
    <definedName name="_______key2" localSheetId="5" hidden="1">#REF!</definedName>
    <definedName name="_______key2" localSheetId="15" hidden="1">#REF!</definedName>
    <definedName name="_______key2" localSheetId="6" hidden="1">#REF!</definedName>
    <definedName name="_______key2" localSheetId="16" hidden="1">#REF!</definedName>
    <definedName name="_______key2" localSheetId="7" hidden="1">#REF!</definedName>
    <definedName name="_______key2" localSheetId="1" hidden="1">#REF!</definedName>
    <definedName name="_______key2" localSheetId="17" hidden="1">#REF!</definedName>
    <definedName name="_______key2" localSheetId="8" hidden="1">#REF!</definedName>
    <definedName name="_______key2" localSheetId="2" hidden="1">#REF!</definedName>
    <definedName name="_______key2" localSheetId="18" hidden="1">#REF!</definedName>
    <definedName name="_______key2" localSheetId="9" hidden="1">#REF!</definedName>
    <definedName name="_______key2" localSheetId="3" hidden="1">#REF!</definedName>
    <definedName name="_______key2" localSheetId="19" hidden="1">#REF!</definedName>
    <definedName name="_______key2" localSheetId="10" hidden="1">#REF!</definedName>
    <definedName name="_______key2" localSheetId="20" hidden="1">#REF!</definedName>
    <definedName name="_______key2" localSheetId="11" hidden="1">#REF!</definedName>
    <definedName name="_______key2" localSheetId="21" hidden="1">#REF!</definedName>
    <definedName name="_______key2" localSheetId="12" hidden="1">#REF!</definedName>
    <definedName name="_______key2" localSheetId="22" hidden="1">#REF!</definedName>
    <definedName name="_______key2" localSheetId="13" hidden="1">#REF!</definedName>
    <definedName name="_______key2" hidden="1">#REF!</definedName>
    <definedName name="_______p1" localSheetId="14">#REF!</definedName>
    <definedName name="_______p1" localSheetId="0">#REF!</definedName>
    <definedName name="_______p1" localSheetId="5">#REF!</definedName>
    <definedName name="_______p1" localSheetId="15">#REF!</definedName>
    <definedName name="_______p1" localSheetId="6">#REF!</definedName>
    <definedName name="_______p1" localSheetId="16">#REF!</definedName>
    <definedName name="_______p1" localSheetId="7">#REF!</definedName>
    <definedName name="_______p1" localSheetId="1">#REF!</definedName>
    <definedName name="_______p1" localSheetId="17">#REF!</definedName>
    <definedName name="_______p1" localSheetId="8">#REF!</definedName>
    <definedName name="_______p1" localSheetId="2">#REF!</definedName>
    <definedName name="_______p1" localSheetId="18">#REF!</definedName>
    <definedName name="_______p1" localSheetId="9">#REF!</definedName>
    <definedName name="_______p1" localSheetId="3">#REF!</definedName>
    <definedName name="_______p1" localSheetId="19">#REF!</definedName>
    <definedName name="_______p1" localSheetId="10">#REF!</definedName>
    <definedName name="_______p1" localSheetId="20">#REF!</definedName>
    <definedName name="_______p1" localSheetId="11">#REF!</definedName>
    <definedName name="_______p1" localSheetId="21">#REF!</definedName>
    <definedName name="_______p1" localSheetId="12">#REF!</definedName>
    <definedName name="_______p1" localSheetId="22">#REF!</definedName>
    <definedName name="_______p1" localSheetId="13">#REF!</definedName>
    <definedName name="_______p1">#REF!</definedName>
    <definedName name="_______RM1">[7]PAG19!$B$3:$I$39</definedName>
    <definedName name="_______RM2">[7]PAG19!$J$3:$P$39</definedName>
    <definedName name="______A2" localSheetId="14">'[8]R. Natural'!#REF!</definedName>
    <definedName name="______A2" localSheetId="0">'[8]R. Natural'!#REF!</definedName>
    <definedName name="______A2" localSheetId="5">'[8]R. Natural'!#REF!</definedName>
    <definedName name="______A2" localSheetId="15">'[8]R. Natural'!#REF!</definedName>
    <definedName name="______A2" localSheetId="6">'[8]R. Natural'!#REF!</definedName>
    <definedName name="______A2" localSheetId="16">'[8]R. Natural'!#REF!</definedName>
    <definedName name="______A2" localSheetId="7">'[8]R. Natural'!#REF!</definedName>
    <definedName name="______A2" localSheetId="1">'[8]R. Natural'!#REF!</definedName>
    <definedName name="______A2" localSheetId="17">'[8]R. Natural'!#REF!</definedName>
    <definedName name="______A2" localSheetId="8">'[8]R. Natural'!#REF!</definedName>
    <definedName name="______A2" localSheetId="2">'[8]R. Natural'!#REF!</definedName>
    <definedName name="______A2" localSheetId="18">'[8]R. Natural'!#REF!</definedName>
    <definedName name="______A2" localSheetId="9">'[8]R. Natural'!#REF!</definedName>
    <definedName name="______A2" localSheetId="3">'[8]R. Natural'!#REF!</definedName>
    <definedName name="______A2" localSheetId="19">'[8]R. Natural'!#REF!</definedName>
    <definedName name="______A2" localSheetId="10">'[8]R. Natural'!#REF!</definedName>
    <definedName name="______A2" localSheetId="20">'[8]R. Natural'!#REF!</definedName>
    <definedName name="______A2" localSheetId="11">'[8]R. Natural'!#REF!</definedName>
    <definedName name="______A2" localSheetId="21">'[8]R. Natural'!#REF!</definedName>
    <definedName name="______A2" localSheetId="12">'[8]R. Natural'!#REF!</definedName>
    <definedName name="______A2" localSheetId="22">'[8]R. Natural'!#REF!</definedName>
    <definedName name="______A2" localSheetId="13">'[8]R. Natural'!#REF!</definedName>
    <definedName name="______A2">'[8]R. Natural'!#REF!</definedName>
    <definedName name="______bol52" localSheetId="14">[3]PAG_35!#REF!</definedName>
    <definedName name="______bol52" localSheetId="0">[3]PAG_35!#REF!</definedName>
    <definedName name="______bol52" localSheetId="5">[3]PAG_35!#REF!</definedName>
    <definedName name="______bol52" localSheetId="15">[3]PAG_35!#REF!</definedName>
    <definedName name="______bol52" localSheetId="6">[3]PAG_35!#REF!</definedName>
    <definedName name="______bol52" localSheetId="16">[3]PAG_35!#REF!</definedName>
    <definedName name="______bol52" localSheetId="7">[3]PAG_35!#REF!</definedName>
    <definedName name="______bol52" localSheetId="1">[3]PAG_35!#REF!</definedName>
    <definedName name="______bol52" localSheetId="17">[3]PAG_35!#REF!</definedName>
    <definedName name="______bol52" localSheetId="8">[3]PAG_35!#REF!</definedName>
    <definedName name="______bol52" localSheetId="2">[3]PAG_35!#REF!</definedName>
    <definedName name="______bol52" localSheetId="18">[3]PAG_35!#REF!</definedName>
    <definedName name="______bol52" localSheetId="9">[3]PAG_35!#REF!</definedName>
    <definedName name="______bol52" localSheetId="3">[3]PAG_35!#REF!</definedName>
    <definedName name="______bol52" localSheetId="19">[3]PAG_35!#REF!</definedName>
    <definedName name="______bol52" localSheetId="10">[3]PAG_35!#REF!</definedName>
    <definedName name="______bol52" localSheetId="20">[3]PAG_35!#REF!</definedName>
    <definedName name="______bol52" localSheetId="11">[3]PAG_35!#REF!</definedName>
    <definedName name="______bol52" localSheetId="21">[3]PAG_35!#REF!</definedName>
    <definedName name="______bol52" localSheetId="12">[3]PAG_35!#REF!</definedName>
    <definedName name="______bol52" localSheetId="22">[3]PAG_35!#REF!</definedName>
    <definedName name="______bol52" localSheetId="13">[3]PAG_35!#REF!</definedName>
    <definedName name="______bol52">[3]PAG_35!#REF!</definedName>
    <definedName name="______BTP1">[4]BTPMP!$A$2:$M$19922</definedName>
    <definedName name="______BTP2">[4]BTPMS!$A$2:$N$19683</definedName>
    <definedName name="______CDB1">[4]CDMP!$B$2:$N$20020</definedName>
    <definedName name="______CDB2">[4]CDMS!$A$2:$M$20027</definedName>
    <definedName name="______cdr2" localSheetId="14">[5]Cdr7!#REF!</definedName>
    <definedName name="______cdr2" localSheetId="0">[5]Cdr7!#REF!</definedName>
    <definedName name="______cdr2" localSheetId="5">[5]Cdr7!#REF!</definedName>
    <definedName name="______cdr2" localSheetId="15">[5]Cdr7!#REF!</definedName>
    <definedName name="______cdr2" localSheetId="6">[5]Cdr7!#REF!</definedName>
    <definedName name="______cdr2" localSheetId="16">[5]Cdr7!#REF!</definedName>
    <definedName name="______cdr2" localSheetId="7">[5]Cdr7!#REF!</definedName>
    <definedName name="______cdr2" localSheetId="1">[5]Cdr7!#REF!</definedName>
    <definedName name="______cdr2" localSheetId="17">[5]Cdr7!#REF!</definedName>
    <definedName name="______cdr2" localSheetId="8">[5]Cdr7!#REF!</definedName>
    <definedName name="______cdr2" localSheetId="2">[5]Cdr7!#REF!</definedName>
    <definedName name="______cdr2" localSheetId="18">[5]Cdr7!#REF!</definedName>
    <definedName name="______cdr2" localSheetId="9">[5]Cdr7!#REF!</definedName>
    <definedName name="______cdr2" localSheetId="3">[5]Cdr7!#REF!</definedName>
    <definedName name="______cdr2" localSheetId="19">[5]Cdr7!#REF!</definedName>
    <definedName name="______cdr2" localSheetId="10">[5]Cdr7!#REF!</definedName>
    <definedName name="______cdr2" localSheetId="20">[5]Cdr7!#REF!</definedName>
    <definedName name="______cdr2" localSheetId="11">[5]Cdr7!#REF!</definedName>
    <definedName name="______cdr2" localSheetId="21">[5]Cdr7!#REF!</definedName>
    <definedName name="______cdr2" localSheetId="12">[5]Cdr7!#REF!</definedName>
    <definedName name="______cdr2" localSheetId="22">[5]Cdr7!#REF!</definedName>
    <definedName name="______cdr2" localSheetId="13">[5]Cdr7!#REF!</definedName>
    <definedName name="______cdr2">[5]Cdr7!#REF!</definedName>
    <definedName name="______Cdr7">'[6]Cdrs 1-2'!$A$1:$S$46</definedName>
    <definedName name="______Cdr8">'[6]Cdrs 1-2'!$A$69:$S$114</definedName>
    <definedName name="______Dur1">[4]Dur!$A$2:$I$27</definedName>
    <definedName name="______G7" localSheetId="14" hidden="1">#REF!</definedName>
    <definedName name="______G7" localSheetId="0" hidden="1">#REF!</definedName>
    <definedName name="______G7" localSheetId="5" hidden="1">#REF!</definedName>
    <definedName name="______G7" localSheetId="15" hidden="1">#REF!</definedName>
    <definedName name="______G7" localSheetId="6" hidden="1">#REF!</definedName>
    <definedName name="______G7" localSheetId="16" hidden="1">#REF!</definedName>
    <definedName name="______G7" localSheetId="7" hidden="1">#REF!</definedName>
    <definedName name="______G7" localSheetId="1" hidden="1">#REF!</definedName>
    <definedName name="______G7" localSheetId="17" hidden="1">#REF!</definedName>
    <definedName name="______G7" localSheetId="8" hidden="1">#REF!</definedName>
    <definedName name="______G7" localSheetId="2" hidden="1">#REF!</definedName>
    <definedName name="______G7" localSheetId="18" hidden="1">#REF!</definedName>
    <definedName name="______G7" localSheetId="9" hidden="1">#REF!</definedName>
    <definedName name="______G7" localSheetId="3" hidden="1">#REF!</definedName>
    <definedName name="______G7" localSheetId="19" hidden="1">#REF!</definedName>
    <definedName name="______G7" localSheetId="10" hidden="1">#REF!</definedName>
    <definedName name="______G7" localSheetId="20" hidden="1">#REF!</definedName>
    <definedName name="______G7" localSheetId="11" hidden="1">#REF!</definedName>
    <definedName name="______G7" localSheetId="21" hidden="1">#REF!</definedName>
    <definedName name="______G7" localSheetId="12" hidden="1">#REF!</definedName>
    <definedName name="______G7" localSheetId="22" hidden="1">#REF!</definedName>
    <definedName name="______G7" localSheetId="13" hidden="1">#REF!</definedName>
    <definedName name="______G7" hidden="1">#REF!</definedName>
    <definedName name="______gas001" localSheetId="14">#REF!</definedName>
    <definedName name="______gas001" localSheetId="0">#REF!</definedName>
    <definedName name="______gas001" localSheetId="5">#REF!</definedName>
    <definedName name="______gas001" localSheetId="15">#REF!</definedName>
    <definedName name="______gas001" localSheetId="6">#REF!</definedName>
    <definedName name="______gas001" localSheetId="16">#REF!</definedName>
    <definedName name="______gas001" localSheetId="7">#REF!</definedName>
    <definedName name="______gas001" localSheetId="1">#REF!</definedName>
    <definedName name="______gas001" localSheetId="17">#REF!</definedName>
    <definedName name="______gas001" localSheetId="8">#REF!</definedName>
    <definedName name="______gas001" localSheetId="2">#REF!</definedName>
    <definedName name="______gas001" localSheetId="18">#REF!</definedName>
    <definedName name="______gas001" localSheetId="9">#REF!</definedName>
    <definedName name="______gas001" localSheetId="3">#REF!</definedName>
    <definedName name="______gas001" localSheetId="19">#REF!</definedName>
    <definedName name="______gas001" localSheetId="10">#REF!</definedName>
    <definedName name="______gas001" localSheetId="20">#REF!</definedName>
    <definedName name="______gas001" localSheetId="11">#REF!</definedName>
    <definedName name="______gas001" localSheetId="21">#REF!</definedName>
    <definedName name="______gas001" localSheetId="12">#REF!</definedName>
    <definedName name="______gas001" localSheetId="22">#REF!</definedName>
    <definedName name="______gas001" localSheetId="13">#REF!</definedName>
    <definedName name="______gas001">#REF!</definedName>
    <definedName name="______Gas01" localSheetId="14">#REF!</definedName>
    <definedName name="______Gas01" localSheetId="0">#REF!</definedName>
    <definedName name="______Gas01" localSheetId="5">#REF!</definedName>
    <definedName name="______Gas01" localSheetId="15">#REF!</definedName>
    <definedName name="______Gas01" localSheetId="6">#REF!</definedName>
    <definedName name="______Gas01" localSheetId="16">#REF!</definedName>
    <definedName name="______Gas01" localSheetId="7">#REF!</definedName>
    <definedName name="______Gas01" localSheetId="1">#REF!</definedName>
    <definedName name="______Gas01" localSheetId="17">#REF!</definedName>
    <definedName name="______Gas01" localSheetId="8">#REF!</definedName>
    <definedName name="______Gas01" localSheetId="2">#REF!</definedName>
    <definedName name="______Gas01" localSheetId="18">#REF!</definedName>
    <definedName name="______Gas01" localSheetId="9">#REF!</definedName>
    <definedName name="______Gas01" localSheetId="3">#REF!</definedName>
    <definedName name="______Gas01" localSheetId="19">#REF!</definedName>
    <definedName name="______Gas01" localSheetId="10">#REF!</definedName>
    <definedName name="______Gas01" localSheetId="20">#REF!</definedName>
    <definedName name="______Gas01" localSheetId="11">#REF!</definedName>
    <definedName name="______Gas01" localSheetId="21">#REF!</definedName>
    <definedName name="______Gas01" localSheetId="12">#REF!</definedName>
    <definedName name="______Gas01" localSheetId="22">#REF!</definedName>
    <definedName name="______Gas01" localSheetId="13">#REF!</definedName>
    <definedName name="______Gas01">#REF!</definedName>
    <definedName name="______gas1" localSheetId="14">#REF!</definedName>
    <definedName name="______gas1" localSheetId="0">#REF!</definedName>
    <definedName name="______gas1" localSheetId="5">#REF!</definedName>
    <definedName name="______gas1" localSheetId="15">#REF!</definedName>
    <definedName name="______gas1" localSheetId="6">#REF!</definedName>
    <definedName name="______gas1" localSheetId="16">#REF!</definedName>
    <definedName name="______gas1" localSheetId="7">#REF!</definedName>
    <definedName name="______gas1" localSheetId="1">#REF!</definedName>
    <definedName name="______gas1" localSheetId="17">#REF!</definedName>
    <definedName name="______gas1" localSheetId="8">#REF!</definedName>
    <definedName name="______gas1" localSheetId="2">#REF!</definedName>
    <definedName name="______gas1" localSheetId="18">#REF!</definedName>
    <definedName name="______gas1" localSheetId="9">#REF!</definedName>
    <definedName name="______gas1" localSheetId="3">#REF!</definedName>
    <definedName name="______gas1" localSheetId="19">#REF!</definedName>
    <definedName name="______gas1" localSheetId="10">#REF!</definedName>
    <definedName name="______gas1" localSheetId="20">#REF!</definedName>
    <definedName name="______gas1" localSheetId="11">#REF!</definedName>
    <definedName name="______gas1" localSheetId="21">#REF!</definedName>
    <definedName name="______gas1" localSheetId="12">#REF!</definedName>
    <definedName name="______gas1" localSheetId="22">#REF!</definedName>
    <definedName name="______gas1" localSheetId="13">#REF!</definedName>
    <definedName name="______gas1">#REF!</definedName>
    <definedName name="______Imp1" localSheetId="14">#REF!</definedName>
    <definedName name="______Imp1" localSheetId="0">#REF!</definedName>
    <definedName name="______Imp1" localSheetId="5">#REF!</definedName>
    <definedName name="______Imp1" localSheetId="15">#REF!</definedName>
    <definedName name="______Imp1" localSheetId="6">#REF!</definedName>
    <definedName name="______Imp1" localSheetId="16">#REF!</definedName>
    <definedName name="______Imp1" localSheetId="7">#REF!</definedName>
    <definedName name="______Imp1" localSheetId="1">#REF!</definedName>
    <definedName name="______Imp1" localSheetId="17">#REF!</definedName>
    <definedName name="______Imp1" localSheetId="8">#REF!</definedName>
    <definedName name="______Imp1" localSheetId="2">#REF!</definedName>
    <definedName name="______Imp1" localSheetId="18">#REF!</definedName>
    <definedName name="______Imp1" localSheetId="9">#REF!</definedName>
    <definedName name="______Imp1" localSheetId="3">#REF!</definedName>
    <definedName name="______Imp1" localSheetId="19">#REF!</definedName>
    <definedName name="______Imp1" localSheetId="10">#REF!</definedName>
    <definedName name="______Imp1" localSheetId="20">#REF!</definedName>
    <definedName name="______Imp1" localSheetId="11">#REF!</definedName>
    <definedName name="______Imp1" localSheetId="21">#REF!</definedName>
    <definedName name="______Imp1" localSheetId="12">#REF!</definedName>
    <definedName name="______Imp1" localSheetId="22">#REF!</definedName>
    <definedName name="______Imp1" localSheetId="13">#REF!</definedName>
    <definedName name="______Imp1">#REF!</definedName>
    <definedName name="______Imp2" localSheetId="14">#REF!</definedName>
    <definedName name="______Imp2" localSheetId="0">#REF!</definedName>
    <definedName name="______Imp2" localSheetId="5">#REF!</definedName>
    <definedName name="______Imp2" localSheetId="15">#REF!</definedName>
    <definedName name="______Imp2" localSheetId="6">#REF!</definedName>
    <definedName name="______Imp2" localSheetId="16">#REF!</definedName>
    <definedName name="______Imp2" localSheetId="7">#REF!</definedName>
    <definedName name="______Imp2" localSheetId="1">#REF!</definedName>
    <definedName name="______Imp2" localSheetId="17">#REF!</definedName>
    <definedName name="______Imp2" localSheetId="8">#REF!</definedName>
    <definedName name="______Imp2" localSheetId="2">#REF!</definedName>
    <definedName name="______Imp2" localSheetId="18">#REF!</definedName>
    <definedName name="______Imp2" localSheetId="9">#REF!</definedName>
    <definedName name="______Imp2" localSheetId="3">#REF!</definedName>
    <definedName name="______Imp2" localSheetId="19">#REF!</definedName>
    <definedName name="______Imp2" localSheetId="10">#REF!</definedName>
    <definedName name="______Imp2" localSheetId="20">#REF!</definedName>
    <definedName name="______Imp2" localSheetId="11">#REF!</definedName>
    <definedName name="______Imp2" localSheetId="21">#REF!</definedName>
    <definedName name="______Imp2" localSheetId="12">#REF!</definedName>
    <definedName name="______Imp2" localSheetId="22">#REF!</definedName>
    <definedName name="______Imp2" localSheetId="13">#REF!</definedName>
    <definedName name="______Imp2">#REF!</definedName>
    <definedName name="______key2" localSheetId="14" hidden="1">#REF!</definedName>
    <definedName name="______key2" localSheetId="0" hidden="1">#REF!</definedName>
    <definedName name="______key2" localSheetId="5" hidden="1">#REF!</definedName>
    <definedName name="______key2" localSheetId="15" hidden="1">#REF!</definedName>
    <definedName name="______key2" localSheetId="6" hidden="1">#REF!</definedName>
    <definedName name="______key2" localSheetId="16" hidden="1">#REF!</definedName>
    <definedName name="______key2" localSheetId="7" hidden="1">#REF!</definedName>
    <definedName name="______key2" localSheetId="1" hidden="1">#REF!</definedName>
    <definedName name="______key2" localSheetId="17" hidden="1">#REF!</definedName>
    <definedName name="______key2" localSheetId="8" hidden="1">#REF!</definedName>
    <definedName name="______key2" localSheetId="2" hidden="1">#REF!</definedName>
    <definedName name="______key2" localSheetId="18" hidden="1">#REF!</definedName>
    <definedName name="______key2" localSheetId="9" hidden="1">#REF!</definedName>
    <definedName name="______key2" localSheetId="3" hidden="1">#REF!</definedName>
    <definedName name="______key2" localSheetId="19" hidden="1">#REF!</definedName>
    <definedName name="______key2" localSheetId="10" hidden="1">#REF!</definedName>
    <definedName name="______key2" localSheetId="20" hidden="1">#REF!</definedName>
    <definedName name="______key2" localSheetId="11" hidden="1">#REF!</definedName>
    <definedName name="______key2" localSheetId="21" hidden="1">#REF!</definedName>
    <definedName name="______key2" localSheetId="12" hidden="1">#REF!</definedName>
    <definedName name="______key2" localSheetId="22" hidden="1">#REF!</definedName>
    <definedName name="______key2" localSheetId="13" hidden="1">#REF!</definedName>
    <definedName name="______key2" hidden="1">#REF!</definedName>
    <definedName name="______p1" localSheetId="14">#REF!</definedName>
    <definedName name="______p1" localSheetId="0">#REF!</definedName>
    <definedName name="______p1" localSheetId="5">#REF!</definedName>
    <definedName name="______p1" localSheetId="15">#REF!</definedName>
    <definedName name="______p1" localSheetId="6">#REF!</definedName>
    <definedName name="______p1" localSheetId="16">#REF!</definedName>
    <definedName name="______p1" localSheetId="7">#REF!</definedName>
    <definedName name="______p1" localSheetId="1">#REF!</definedName>
    <definedName name="______p1" localSheetId="17">#REF!</definedName>
    <definedName name="______p1" localSheetId="8">#REF!</definedName>
    <definedName name="______p1" localSheetId="2">#REF!</definedName>
    <definedName name="______p1" localSheetId="18">#REF!</definedName>
    <definedName name="______p1" localSheetId="9">#REF!</definedName>
    <definedName name="______p1" localSheetId="3">#REF!</definedName>
    <definedName name="______p1" localSheetId="19">#REF!</definedName>
    <definedName name="______p1" localSheetId="10">#REF!</definedName>
    <definedName name="______p1" localSheetId="20">#REF!</definedName>
    <definedName name="______p1" localSheetId="11">#REF!</definedName>
    <definedName name="______p1" localSheetId="21">#REF!</definedName>
    <definedName name="______p1" localSheetId="12">#REF!</definedName>
    <definedName name="______p1" localSheetId="22">#REF!</definedName>
    <definedName name="______p1" localSheetId="13">#REF!</definedName>
    <definedName name="______p1">#REF!</definedName>
    <definedName name="______RM1">[7]PAG19!$B$3:$I$39</definedName>
    <definedName name="______RM2">[7]PAG19!$J$3:$P$39</definedName>
    <definedName name="_____A2" localSheetId="14">'[9]R. Natural'!#REF!</definedName>
    <definedName name="_____A2" localSheetId="0">'[9]R. Natural'!#REF!</definedName>
    <definedName name="_____A2" localSheetId="5">'[9]R. Natural'!#REF!</definedName>
    <definedName name="_____A2" localSheetId="15">'[9]R. Natural'!#REF!</definedName>
    <definedName name="_____A2" localSheetId="6">'[9]R. Natural'!#REF!</definedName>
    <definedName name="_____A2" localSheetId="16">'[9]R. Natural'!#REF!</definedName>
    <definedName name="_____A2" localSheetId="7">'[9]R. Natural'!#REF!</definedName>
    <definedName name="_____A2" localSheetId="1">'[9]R. Natural'!#REF!</definedName>
    <definedName name="_____A2" localSheetId="17">'[9]R. Natural'!#REF!</definedName>
    <definedName name="_____A2" localSheetId="8">'[9]R. Natural'!#REF!</definedName>
    <definedName name="_____A2" localSheetId="2">'[9]R. Natural'!#REF!</definedName>
    <definedName name="_____A2" localSheetId="18">'[9]R. Natural'!#REF!</definedName>
    <definedName name="_____A2" localSheetId="9">'[9]R. Natural'!#REF!</definedName>
    <definedName name="_____A2" localSheetId="3">'[9]R. Natural'!#REF!</definedName>
    <definedName name="_____A2" localSheetId="19">'[9]R. Natural'!#REF!</definedName>
    <definedName name="_____A2" localSheetId="10">'[9]R. Natural'!#REF!</definedName>
    <definedName name="_____A2" localSheetId="20">'[9]R. Natural'!#REF!</definedName>
    <definedName name="_____A2" localSheetId="11">'[9]R. Natural'!#REF!</definedName>
    <definedName name="_____A2" localSheetId="21">'[9]R. Natural'!#REF!</definedName>
    <definedName name="_____A2" localSheetId="12">'[9]R. Natural'!#REF!</definedName>
    <definedName name="_____A2" localSheetId="22">'[9]R. Natural'!#REF!</definedName>
    <definedName name="_____A2" localSheetId="13">'[9]R. Natural'!#REF!</definedName>
    <definedName name="_____A2">'[9]R. Natural'!#REF!</definedName>
    <definedName name="_____bol52" localSheetId="14">[3]PAG_35!#REF!</definedName>
    <definedName name="_____bol52" localSheetId="0">[3]PAG_35!#REF!</definedName>
    <definedName name="_____bol52" localSheetId="5">[3]PAG_35!#REF!</definedName>
    <definedName name="_____bol52" localSheetId="15">[3]PAG_35!#REF!</definedName>
    <definedName name="_____bol52" localSheetId="6">[3]PAG_35!#REF!</definedName>
    <definedName name="_____bol52" localSheetId="16">[3]PAG_35!#REF!</definedName>
    <definedName name="_____bol52" localSheetId="7">[3]PAG_35!#REF!</definedName>
    <definedName name="_____bol52" localSheetId="1">[3]PAG_35!#REF!</definedName>
    <definedName name="_____bol52" localSheetId="17">[3]PAG_35!#REF!</definedName>
    <definedName name="_____bol52" localSheetId="8">[3]PAG_35!#REF!</definedName>
    <definedName name="_____bol52" localSheetId="2">[3]PAG_35!#REF!</definedName>
    <definedName name="_____bol52" localSheetId="18">[3]PAG_35!#REF!</definedName>
    <definedName name="_____bol52" localSheetId="9">[3]PAG_35!#REF!</definedName>
    <definedName name="_____bol52" localSheetId="3">[3]PAG_35!#REF!</definedName>
    <definedName name="_____bol52" localSheetId="19">[3]PAG_35!#REF!</definedName>
    <definedName name="_____bol52" localSheetId="10">[3]PAG_35!#REF!</definedName>
    <definedName name="_____bol52" localSheetId="20">[3]PAG_35!#REF!</definedName>
    <definedName name="_____bol52" localSheetId="11">[3]PAG_35!#REF!</definedName>
    <definedName name="_____bol52" localSheetId="21">[3]PAG_35!#REF!</definedName>
    <definedName name="_____bol52" localSheetId="12">[3]PAG_35!#REF!</definedName>
    <definedName name="_____bol52" localSheetId="22">[3]PAG_35!#REF!</definedName>
    <definedName name="_____bol52" localSheetId="13">[3]PAG_35!#REF!</definedName>
    <definedName name="_____bol52">[3]PAG_35!#REF!</definedName>
    <definedName name="_____BTP1">[4]BTPMP!$A$2:$M$19922</definedName>
    <definedName name="_____BTP2">[4]BTPMS!$A$2:$N$19683</definedName>
    <definedName name="_____CDB1">[4]CDMP!$B$2:$N$20020</definedName>
    <definedName name="_____CDB2">[4]CDMS!$A$2:$M$20027</definedName>
    <definedName name="_____cdr2" localSheetId="14">[5]Cdr7!#REF!</definedName>
    <definedName name="_____cdr2" localSheetId="0">[5]Cdr7!#REF!</definedName>
    <definedName name="_____cdr2" localSheetId="5">[5]Cdr7!#REF!</definedName>
    <definedName name="_____cdr2" localSheetId="15">[5]Cdr7!#REF!</definedName>
    <definedName name="_____cdr2" localSheetId="6">[5]Cdr7!#REF!</definedName>
    <definedName name="_____cdr2" localSheetId="16">[5]Cdr7!#REF!</definedName>
    <definedName name="_____cdr2" localSheetId="7">[5]Cdr7!#REF!</definedName>
    <definedName name="_____cdr2" localSheetId="1">[5]Cdr7!#REF!</definedName>
    <definedName name="_____cdr2" localSheetId="17">[5]Cdr7!#REF!</definedName>
    <definedName name="_____cdr2" localSheetId="8">[5]Cdr7!#REF!</definedName>
    <definedName name="_____cdr2" localSheetId="2">[5]Cdr7!#REF!</definedName>
    <definedName name="_____cdr2" localSheetId="18">[5]Cdr7!#REF!</definedName>
    <definedName name="_____cdr2" localSheetId="9">[5]Cdr7!#REF!</definedName>
    <definedName name="_____cdr2" localSheetId="3">[5]Cdr7!#REF!</definedName>
    <definedName name="_____cdr2" localSheetId="19">[5]Cdr7!#REF!</definedName>
    <definedName name="_____cdr2" localSheetId="10">[5]Cdr7!#REF!</definedName>
    <definedName name="_____cdr2" localSheetId="20">[5]Cdr7!#REF!</definedName>
    <definedName name="_____cdr2" localSheetId="11">[5]Cdr7!#REF!</definedName>
    <definedName name="_____cdr2" localSheetId="21">[5]Cdr7!#REF!</definedName>
    <definedName name="_____cdr2" localSheetId="12">[5]Cdr7!#REF!</definedName>
    <definedName name="_____cdr2" localSheetId="22">[5]Cdr7!#REF!</definedName>
    <definedName name="_____cdr2" localSheetId="13">[5]Cdr7!#REF!</definedName>
    <definedName name="_____cdr2">[5]Cdr7!#REF!</definedName>
    <definedName name="_____Cdr7" localSheetId="14">'[10]Cdrs 1-2'!$A$1:$S$46</definedName>
    <definedName name="_____Cdr7" localSheetId="0">'[10]Cdrs 1-2'!$A$1:$S$46</definedName>
    <definedName name="_____Cdr7" localSheetId="5">'[10]Cdrs 1-2'!$A$1:$S$46</definedName>
    <definedName name="_____Cdr7" localSheetId="15">'[10]Cdrs 1-2'!$A$1:$S$46</definedName>
    <definedName name="_____Cdr7" localSheetId="6">'[10]Cdrs 1-2'!$A$1:$S$46</definedName>
    <definedName name="_____Cdr7" localSheetId="16">'[10]Cdrs 1-2'!$A$1:$S$46</definedName>
    <definedName name="_____Cdr7" localSheetId="7">'[10]Cdrs 1-2'!$A$1:$S$46</definedName>
    <definedName name="_____Cdr7" localSheetId="1">'[10]Cdrs 1-2'!$A$1:$S$46</definedName>
    <definedName name="_____Cdr7" localSheetId="17">'[10]Cdrs 1-2'!$A$1:$S$46</definedName>
    <definedName name="_____Cdr7" localSheetId="8">'[10]Cdrs 1-2'!$A$1:$S$46</definedName>
    <definedName name="_____Cdr7" localSheetId="2">'[10]Cdrs 1-2'!$A$1:$S$46</definedName>
    <definedName name="_____Cdr7" localSheetId="18">'[10]Cdrs 1-2'!$A$1:$S$46</definedName>
    <definedName name="_____Cdr7" localSheetId="9">'[10]Cdrs 1-2'!$A$1:$S$46</definedName>
    <definedName name="_____Cdr7" localSheetId="3">'[10]Cdrs 1-2'!$A$1:$S$46</definedName>
    <definedName name="_____Cdr7" localSheetId="19">'[10]Cdrs 1-2'!$A$1:$S$46</definedName>
    <definedName name="_____Cdr7" localSheetId="10">'[10]Cdrs 1-2'!$A$1:$S$46</definedName>
    <definedName name="_____Cdr7" localSheetId="20">'[10]Cdrs 1-2'!$A$1:$S$46</definedName>
    <definedName name="_____Cdr7" localSheetId="11">'[10]Cdrs 1-2'!$A$1:$S$46</definedName>
    <definedName name="_____Cdr7" localSheetId="21">'[10]Cdrs 1-2'!$A$1:$S$46</definedName>
    <definedName name="_____Cdr7" localSheetId="12">'[10]Cdrs 1-2'!$A$1:$S$46</definedName>
    <definedName name="_____Cdr7" localSheetId="22">'[11]Cdrs 1-2'!$A$1:$S$46</definedName>
    <definedName name="_____Cdr7" localSheetId="13">'[10]Cdrs 1-2'!$A$1:$S$46</definedName>
    <definedName name="_____Cdr7">'[12]Cdrs 1-2'!$A$1:$S$46</definedName>
    <definedName name="_____Cdr8" localSheetId="14">'[10]Cdrs 1-2'!$A$69:$S$114</definedName>
    <definedName name="_____Cdr8" localSheetId="0">'[10]Cdrs 1-2'!$A$69:$S$114</definedName>
    <definedName name="_____Cdr8" localSheetId="5">'[10]Cdrs 1-2'!$A$69:$S$114</definedName>
    <definedName name="_____Cdr8" localSheetId="15">'[10]Cdrs 1-2'!$A$69:$S$114</definedName>
    <definedName name="_____Cdr8" localSheetId="6">'[10]Cdrs 1-2'!$A$69:$S$114</definedName>
    <definedName name="_____Cdr8" localSheetId="16">'[10]Cdrs 1-2'!$A$69:$S$114</definedName>
    <definedName name="_____Cdr8" localSheetId="7">'[10]Cdrs 1-2'!$A$69:$S$114</definedName>
    <definedName name="_____Cdr8" localSheetId="1">'[10]Cdrs 1-2'!$A$69:$S$114</definedName>
    <definedName name="_____Cdr8" localSheetId="17">'[10]Cdrs 1-2'!$A$69:$S$114</definedName>
    <definedName name="_____Cdr8" localSheetId="8">'[10]Cdrs 1-2'!$A$69:$S$114</definedName>
    <definedName name="_____Cdr8" localSheetId="2">'[10]Cdrs 1-2'!$A$69:$S$114</definedName>
    <definedName name="_____Cdr8" localSheetId="18">'[10]Cdrs 1-2'!$A$69:$S$114</definedName>
    <definedName name="_____Cdr8" localSheetId="9">'[10]Cdrs 1-2'!$A$69:$S$114</definedName>
    <definedName name="_____Cdr8" localSheetId="3">'[10]Cdrs 1-2'!$A$69:$S$114</definedName>
    <definedName name="_____Cdr8" localSheetId="19">'[10]Cdrs 1-2'!$A$69:$S$114</definedName>
    <definedName name="_____Cdr8" localSheetId="10">'[10]Cdrs 1-2'!$A$69:$S$114</definedName>
    <definedName name="_____Cdr8" localSheetId="20">'[10]Cdrs 1-2'!$A$69:$S$114</definedName>
    <definedName name="_____Cdr8" localSheetId="11">'[10]Cdrs 1-2'!$A$69:$S$114</definedName>
    <definedName name="_____Cdr8" localSheetId="21">'[10]Cdrs 1-2'!$A$69:$S$114</definedName>
    <definedName name="_____Cdr8" localSheetId="12">'[10]Cdrs 1-2'!$A$69:$S$114</definedName>
    <definedName name="_____Cdr8" localSheetId="22">'[11]Cdrs 1-2'!$A$69:$S$114</definedName>
    <definedName name="_____Cdr8" localSheetId="13">'[10]Cdrs 1-2'!$A$69:$S$114</definedName>
    <definedName name="_____Cdr8">'[12]Cdrs 1-2'!$A$69:$S$114</definedName>
    <definedName name="_____Dur1">[4]Dur!$A$2:$I$27</definedName>
    <definedName name="_____G7" localSheetId="14" hidden="1">#REF!</definedName>
    <definedName name="_____G7" localSheetId="0" hidden="1">#REF!</definedName>
    <definedName name="_____G7" localSheetId="5" hidden="1">#REF!</definedName>
    <definedName name="_____G7" localSheetId="15" hidden="1">#REF!</definedName>
    <definedName name="_____G7" localSheetId="6" hidden="1">#REF!</definedName>
    <definedName name="_____G7" localSheetId="16" hidden="1">#REF!</definedName>
    <definedName name="_____G7" localSheetId="7" hidden="1">#REF!</definedName>
    <definedName name="_____G7" localSheetId="1" hidden="1">#REF!</definedName>
    <definedName name="_____G7" localSheetId="17" hidden="1">#REF!</definedName>
    <definedName name="_____G7" localSheetId="8" hidden="1">#REF!</definedName>
    <definedName name="_____G7" localSheetId="2" hidden="1">#REF!</definedName>
    <definedName name="_____G7" localSheetId="18" hidden="1">#REF!</definedName>
    <definedName name="_____G7" localSheetId="9" hidden="1">#REF!</definedName>
    <definedName name="_____G7" localSheetId="3" hidden="1">#REF!</definedName>
    <definedName name="_____G7" localSheetId="19" hidden="1">#REF!</definedName>
    <definedName name="_____G7" localSheetId="10" hidden="1">#REF!</definedName>
    <definedName name="_____G7" localSheetId="20" hidden="1">#REF!</definedName>
    <definedName name="_____G7" localSheetId="11" hidden="1">#REF!</definedName>
    <definedName name="_____G7" localSheetId="21" hidden="1">#REF!</definedName>
    <definedName name="_____G7" localSheetId="12" hidden="1">#REF!</definedName>
    <definedName name="_____G7" localSheetId="22" hidden="1">#REF!</definedName>
    <definedName name="_____G7" localSheetId="13" hidden="1">#REF!</definedName>
    <definedName name="_____G7" hidden="1">#REF!</definedName>
    <definedName name="_____gas001" localSheetId="14">#REF!</definedName>
    <definedName name="_____gas001" localSheetId="0">#REF!</definedName>
    <definedName name="_____gas001" localSheetId="5">#REF!</definedName>
    <definedName name="_____gas001" localSheetId="15">#REF!</definedName>
    <definedName name="_____gas001" localSheetId="6">#REF!</definedName>
    <definedName name="_____gas001" localSheetId="16">#REF!</definedName>
    <definedName name="_____gas001" localSheetId="7">#REF!</definedName>
    <definedName name="_____gas001" localSheetId="1">#REF!</definedName>
    <definedName name="_____gas001" localSheetId="17">#REF!</definedName>
    <definedName name="_____gas001" localSheetId="8">#REF!</definedName>
    <definedName name="_____gas001" localSheetId="2">#REF!</definedName>
    <definedName name="_____gas001" localSheetId="18">#REF!</definedName>
    <definedName name="_____gas001" localSheetId="9">#REF!</definedName>
    <definedName name="_____gas001" localSheetId="3">#REF!</definedName>
    <definedName name="_____gas001" localSheetId="19">#REF!</definedName>
    <definedName name="_____gas001" localSheetId="10">#REF!</definedName>
    <definedName name="_____gas001" localSheetId="20">#REF!</definedName>
    <definedName name="_____gas001" localSheetId="11">#REF!</definedName>
    <definedName name="_____gas001" localSheetId="21">#REF!</definedName>
    <definedName name="_____gas001" localSheetId="12">#REF!</definedName>
    <definedName name="_____gas001" localSheetId="22">#REF!</definedName>
    <definedName name="_____gas001" localSheetId="13">#REF!</definedName>
    <definedName name="_____gas001">#REF!</definedName>
    <definedName name="_____Gas01" localSheetId="14">#REF!</definedName>
    <definedName name="_____Gas01" localSheetId="0">#REF!</definedName>
    <definedName name="_____Gas01" localSheetId="5">#REF!</definedName>
    <definedName name="_____Gas01" localSheetId="15">#REF!</definedName>
    <definedName name="_____Gas01" localSheetId="6">#REF!</definedName>
    <definedName name="_____Gas01" localSheetId="16">#REF!</definedName>
    <definedName name="_____Gas01" localSheetId="7">#REF!</definedName>
    <definedName name="_____Gas01" localSheetId="1">#REF!</definedName>
    <definedName name="_____Gas01" localSheetId="17">#REF!</definedName>
    <definedName name="_____Gas01" localSheetId="8">#REF!</definedName>
    <definedName name="_____Gas01" localSheetId="2">#REF!</definedName>
    <definedName name="_____Gas01" localSheetId="18">#REF!</definedName>
    <definedName name="_____Gas01" localSheetId="9">#REF!</definedName>
    <definedName name="_____Gas01" localSheetId="3">#REF!</definedName>
    <definedName name="_____Gas01" localSheetId="19">#REF!</definedName>
    <definedName name="_____Gas01" localSheetId="10">#REF!</definedName>
    <definedName name="_____Gas01" localSheetId="20">#REF!</definedName>
    <definedName name="_____Gas01" localSheetId="11">#REF!</definedName>
    <definedName name="_____Gas01" localSheetId="21">#REF!</definedName>
    <definedName name="_____Gas01" localSheetId="12">#REF!</definedName>
    <definedName name="_____Gas01" localSheetId="22">#REF!</definedName>
    <definedName name="_____Gas01" localSheetId="13">#REF!</definedName>
    <definedName name="_____Gas01">#REF!</definedName>
    <definedName name="_____gas1" localSheetId="14">#REF!</definedName>
    <definedName name="_____gas1" localSheetId="0">#REF!</definedName>
    <definedName name="_____gas1" localSheetId="5">#REF!</definedName>
    <definedName name="_____gas1" localSheetId="15">#REF!</definedName>
    <definedName name="_____gas1" localSheetId="6">#REF!</definedName>
    <definedName name="_____gas1" localSheetId="16">#REF!</definedName>
    <definedName name="_____gas1" localSheetId="7">#REF!</definedName>
    <definedName name="_____gas1" localSheetId="1">#REF!</definedName>
    <definedName name="_____gas1" localSheetId="17">#REF!</definedName>
    <definedName name="_____gas1" localSheetId="8">#REF!</definedName>
    <definedName name="_____gas1" localSheetId="2">#REF!</definedName>
    <definedName name="_____gas1" localSheetId="18">#REF!</definedName>
    <definedName name="_____gas1" localSheetId="9">#REF!</definedName>
    <definedName name="_____gas1" localSheetId="3">#REF!</definedName>
    <definedName name="_____gas1" localSheetId="19">#REF!</definedName>
    <definedName name="_____gas1" localSheetId="10">#REF!</definedName>
    <definedName name="_____gas1" localSheetId="20">#REF!</definedName>
    <definedName name="_____gas1" localSheetId="11">#REF!</definedName>
    <definedName name="_____gas1" localSheetId="21">#REF!</definedName>
    <definedName name="_____gas1" localSheetId="12">#REF!</definedName>
    <definedName name="_____gas1" localSheetId="22">#REF!</definedName>
    <definedName name="_____gas1" localSheetId="13">#REF!</definedName>
    <definedName name="_____gas1">#REF!</definedName>
    <definedName name="_____Imp1" localSheetId="14">#REF!</definedName>
    <definedName name="_____Imp1" localSheetId="0">#REF!</definedName>
    <definedName name="_____Imp1" localSheetId="5">#REF!</definedName>
    <definedName name="_____Imp1" localSheetId="15">#REF!</definedName>
    <definedName name="_____Imp1" localSheetId="6">#REF!</definedName>
    <definedName name="_____Imp1" localSheetId="16">#REF!</definedName>
    <definedName name="_____Imp1" localSheetId="7">#REF!</definedName>
    <definedName name="_____Imp1" localSheetId="1">#REF!</definedName>
    <definedName name="_____Imp1" localSheetId="17">#REF!</definedName>
    <definedName name="_____Imp1" localSheetId="8">#REF!</definedName>
    <definedName name="_____Imp1" localSheetId="2">#REF!</definedName>
    <definedName name="_____Imp1" localSheetId="18">#REF!</definedName>
    <definedName name="_____Imp1" localSheetId="9">#REF!</definedName>
    <definedName name="_____Imp1" localSheetId="3">#REF!</definedName>
    <definedName name="_____Imp1" localSheetId="19">#REF!</definedName>
    <definedName name="_____Imp1" localSheetId="10">#REF!</definedName>
    <definedName name="_____Imp1" localSheetId="20">#REF!</definedName>
    <definedName name="_____Imp1" localSheetId="11">#REF!</definedName>
    <definedName name="_____Imp1" localSheetId="21">#REF!</definedName>
    <definedName name="_____Imp1" localSheetId="12">#REF!</definedName>
    <definedName name="_____Imp1" localSheetId="22">#REF!</definedName>
    <definedName name="_____Imp1" localSheetId="13">#REF!</definedName>
    <definedName name="_____Imp1">#REF!</definedName>
    <definedName name="_____Imp2" localSheetId="14">#REF!</definedName>
    <definedName name="_____Imp2" localSheetId="0">#REF!</definedName>
    <definedName name="_____Imp2" localSheetId="5">#REF!</definedName>
    <definedName name="_____Imp2" localSheetId="15">#REF!</definedName>
    <definedName name="_____Imp2" localSheetId="6">#REF!</definedName>
    <definedName name="_____Imp2" localSheetId="16">#REF!</definedName>
    <definedName name="_____Imp2" localSheetId="7">#REF!</definedName>
    <definedName name="_____Imp2" localSheetId="1">#REF!</definedName>
    <definedName name="_____Imp2" localSheetId="17">#REF!</definedName>
    <definedName name="_____Imp2" localSheetId="8">#REF!</definedName>
    <definedName name="_____Imp2" localSheetId="2">#REF!</definedName>
    <definedName name="_____Imp2" localSheetId="18">#REF!</definedName>
    <definedName name="_____Imp2" localSheetId="9">#REF!</definedName>
    <definedName name="_____Imp2" localSheetId="3">#REF!</definedName>
    <definedName name="_____Imp2" localSheetId="19">#REF!</definedName>
    <definedName name="_____Imp2" localSheetId="10">#REF!</definedName>
    <definedName name="_____Imp2" localSheetId="20">#REF!</definedName>
    <definedName name="_____Imp2" localSheetId="11">#REF!</definedName>
    <definedName name="_____Imp2" localSheetId="21">#REF!</definedName>
    <definedName name="_____Imp2" localSheetId="12">#REF!</definedName>
    <definedName name="_____Imp2" localSheetId="22">#REF!</definedName>
    <definedName name="_____Imp2" localSheetId="13">#REF!</definedName>
    <definedName name="_____Imp2">#REF!</definedName>
    <definedName name="_____key2" localSheetId="14" hidden="1">#REF!</definedName>
    <definedName name="_____key2" localSheetId="0" hidden="1">#REF!</definedName>
    <definedName name="_____key2" localSheetId="5" hidden="1">#REF!</definedName>
    <definedName name="_____key2" localSheetId="15" hidden="1">#REF!</definedName>
    <definedName name="_____key2" localSheetId="6" hidden="1">#REF!</definedName>
    <definedName name="_____key2" localSheetId="16" hidden="1">#REF!</definedName>
    <definedName name="_____key2" localSheetId="7" hidden="1">#REF!</definedName>
    <definedName name="_____key2" localSheetId="1" hidden="1">#REF!</definedName>
    <definedName name="_____key2" localSheetId="17" hidden="1">#REF!</definedName>
    <definedName name="_____key2" localSheetId="8" hidden="1">#REF!</definedName>
    <definedName name="_____key2" localSheetId="2" hidden="1">#REF!</definedName>
    <definedName name="_____key2" localSheetId="18" hidden="1">#REF!</definedName>
    <definedName name="_____key2" localSheetId="9" hidden="1">#REF!</definedName>
    <definedName name="_____key2" localSheetId="3" hidden="1">#REF!</definedName>
    <definedName name="_____key2" localSheetId="19" hidden="1">#REF!</definedName>
    <definedName name="_____key2" localSheetId="10" hidden="1">#REF!</definedName>
    <definedName name="_____key2" localSheetId="20" hidden="1">#REF!</definedName>
    <definedName name="_____key2" localSheetId="11" hidden="1">#REF!</definedName>
    <definedName name="_____key2" localSheetId="21" hidden="1">#REF!</definedName>
    <definedName name="_____key2" localSheetId="12" hidden="1">#REF!</definedName>
    <definedName name="_____key2" localSheetId="22" hidden="1">#REF!</definedName>
    <definedName name="_____key2" localSheetId="13" hidden="1">#REF!</definedName>
    <definedName name="_____key2" hidden="1">#REF!</definedName>
    <definedName name="_____p1" localSheetId="14">#REF!</definedName>
    <definedName name="_____p1" localSheetId="0">#REF!</definedName>
    <definedName name="_____p1" localSheetId="5">#REF!</definedName>
    <definedName name="_____p1" localSheetId="15">#REF!</definedName>
    <definedName name="_____p1" localSheetId="6">#REF!</definedName>
    <definedName name="_____p1" localSheetId="16">#REF!</definedName>
    <definedName name="_____p1" localSheetId="7">#REF!</definedName>
    <definedName name="_____p1" localSheetId="1">#REF!</definedName>
    <definedName name="_____p1" localSheetId="17">#REF!</definedName>
    <definedName name="_____p1" localSheetId="8">#REF!</definedName>
    <definedName name="_____p1" localSheetId="2">#REF!</definedName>
    <definedName name="_____p1" localSheetId="18">#REF!</definedName>
    <definedName name="_____p1" localSheetId="9">#REF!</definedName>
    <definedName name="_____p1" localSheetId="3">#REF!</definedName>
    <definedName name="_____p1" localSheetId="19">#REF!</definedName>
    <definedName name="_____p1" localSheetId="10">#REF!</definedName>
    <definedName name="_____p1" localSheetId="20">#REF!</definedName>
    <definedName name="_____p1" localSheetId="11">#REF!</definedName>
    <definedName name="_____p1" localSheetId="21">#REF!</definedName>
    <definedName name="_____p1" localSheetId="12">#REF!</definedName>
    <definedName name="_____p1" localSheetId="22">#REF!</definedName>
    <definedName name="_____p1" localSheetId="13">#REF!</definedName>
    <definedName name="_____p1">#REF!</definedName>
    <definedName name="_____RM1">[7]PAG19!$B$3:$I$39</definedName>
    <definedName name="_____RM2">[7]PAG19!$J$3:$P$39</definedName>
    <definedName name="____A2" localSheetId="14">'[9]R. Natural'!#REF!</definedName>
    <definedName name="____A2" localSheetId="0">'[9]R. Natural'!#REF!</definedName>
    <definedName name="____A2" localSheetId="5">'[9]R. Natural'!#REF!</definedName>
    <definedName name="____A2" localSheetId="15">'[9]R. Natural'!#REF!</definedName>
    <definedName name="____A2" localSheetId="6">'[9]R. Natural'!#REF!</definedName>
    <definedName name="____A2" localSheetId="16">'[9]R. Natural'!#REF!</definedName>
    <definedName name="____A2" localSheetId="7">'[9]R. Natural'!#REF!</definedName>
    <definedName name="____A2" localSheetId="1">'[9]R. Natural'!#REF!</definedName>
    <definedName name="____A2" localSheetId="17">'[9]R. Natural'!#REF!</definedName>
    <definedName name="____A2" localSheetId="8">'[9]R. Natural'!#REF!</definedName>
    <definedName name="____A2" localSheetId="2">'[9]R. Natural'!#REF!</definedName>
    <definedName name="____A2" localSheetId="18">'[9]R. Natural'!#REF!</definedName>
    <definedName name="____A2" localSheetId="9">'[9]R. Natural'!#REF!</definedName>
    <definedName name="____A2" localSheetId="3">'[9]R. Natural'!#REF!</definedName>
    <definedName name="____A2" localSheetId="19">'[9]R. Natural'!#REF!</definedName>
    <definedName name="____A2" localSheetId="10">'[9]R. Natural'!#REF!</definedName>
    <definedName name="____A2" localSheetId="20">'[9]R. Natural'!#REF!</definedName>
    <definedName name="____A2" localSheetId="11">'[9]R. Natural'!#REF!</definedName>
    <definedName name="____A2" localSheetId="21">'[9]R. Natural'!#REF!</definedName>
    <definedName name="____A2" localSheetId="12">'[9]R. Natural'!#REF!</definedName>
    <definedName name="____A2" localSheetId="22">'[9]R. Natural'!#REF!</definedName>
    <definedName name="____A2" localSheetId="13">'[9]R. Natural'!#REF!</definedName>
    <definedName name="____A2">'[9]R. Natural'!#REF!</definedName>
    <definedName name="____bol52" localSheetId="14">[3]PAG_35!#REF!</definedName>
    <definedName name="____bol52" localSheetId="0">[3]PAG_35!#REF!</definedName>
    <definedName name="____bol52" localSheetId="5">[3]PAG_35!#REF!</definedName>
    <definedName name="____bol52" localSheetId="15">[3]PAG_35!#REF!</definedName>
    <definedName name="____bol52" localSheetId="6">[3]PAG_35!#REF!</definedName>
    <definedName name="____bol52" localSheetId="16">[3]PAG_35!#REF!</definedName>
    <definedName name="____bol52" localSheetId="7">[3]PAG_35!#REF!</definedName>
    <definedName name="____bol52" localSheetId="1">[3]PAG_35!#REF!</definedName>
    <definedName name="____bol52" localSheetId="17">[3]PAG_35!#REF!</definedName>
    <definedName name="____bol52" localSheetId="8">[3]PAG_35!#REF!</definedName>
    <definedName name="____bol52" localSheetId="2">[3]PAG_35!#REF!</definedName>
    <definedName name="____bol52" localSheetId="18">[3]PAG_35!#REF!</definedName>
    <definedName name="____bol52" localSheetId="9">[3]PAG_35!#REF!</definedName>
    <definedName name="____bol52" localSheetId="3">[3]PAG_35!#REF!</definedName>
    <definedName name="____bol52" localSheetId="19">[3]PAG_35!#REF!</definedName>
    <definedName name="____bol52" localSheetId="10">[3]PAG_35!#REF!</definedName>
    <definedName name="____bol52" localSheetId="20">[3]PAG_35!#REF!</definedName>
    <definedName name="____bol52" localSheetId="11">[3]PAG_35!#REF!</definedName>
    <definedName name="____bol52" localSheetId="21">[3]PAG_35!#REF!</definedName>
    <definedName name="____bol52" localSheetId="12">[3]PAG_35!#REF!</definedName>
    <definedName name="____bol52" localSheetId="22">[3]PAG_35!#REF!</definedName>
    <definedName name="____bol52" localSheetId="13">[3]PAG_35!#REF!</definedName>
    <definedName name="____bol52">[3]PAG_35!#REF!</definedName>
    <definedName name="____BTP1">[4]BTPMP!$A$2:$M$19922</definedName>
    <definedName name="____BTP2">[4]BTPMS!$A$2:$N$19683</definedName>
    <definedName name="____CDB1">[4]CDMP!$B$2:$N$20020</definedName>
    <definedName name="____CDB2">[4]CDMS!$A$2:$M$20027</definedName>
    <definedName name="____cdr2" localSheetId="14">[5]Cdr7!#REF!</definedName>
    <definedName name="____cdr2" localSheetId="0">[5]Cdr7!#REF!</definedName>
    <definedName name="____cdr2" localSheetId="5">[5]Cdr7!#REF!</definedName>
    <definedName name="____cdr2" localSheetId="15">[5]Cdr7!#REF!</definedName>
    <definedName name="____cdr2" localSheetId="6">[5]Cdr7!#REF!</definedName>
    <definedName name="____cdr2" localSheetId="16">[5]Cdr7!#REF!</definedName>
    <definedName name="____cdr2" localSheetId="7">[5]Cdr7!#REF!</definedName>
    <definedName name="____cdr2" localSheetId="1">[5]Cdr7!#REF!</definedName>
    <definedName name="____cdr2" localSheetId="17">[5]Cdr7!#REF!</definedName>
    <definedName name="____cdr2" localSheetId="8">[5]Cdr7!#REF!</definedName>
    <definedName name="____cdr2" localSheetId="2">[5]Cdr7!#REF!</definedName>
    <definedName name="____cdr2" localSheetId="18">[5]Cdr7!#REF!</definedName>
    <definedName name="____cdr2" localSheetId="9">[5]Cdr7!#REF!</definedName>
    <definedName name="____cdr2" localSheetId="3">[5]Cdr7!#REF!</definedName>
    <definedName name="____cdr2" localSheetId="19">[5]Cdr7!#REF!</definedName>
    <definedName name="____cdr2" localSheetId="10">[5]Cdr7!#REF!</definedName>
    <definedName name="____cdr2" localSheetId="20">[5]Cdr7!#REF!</definedName>
    <definedName name="____cdr2" localSheetId="11">[5]Cdr7!#REF!</definedName>
    <definedName name="____cdr2" localSheetId="21">[5]Cdr7!#REF!</definedName>
    <definedName name="____cdr2" localSheetId="12">[5]Cdr7!#REF!</definedName>
    <definedName name="____cdr2" localSheetId="22">[5]Cdr7!#REF!</definedName>
    <definedName name="____cdr2" localSheetId="13">[5]Cdr7!#REF!</definedName>
    <definedName name="____cdr2">[5]Cdr7!#REF!</definedName>
    <definedName name="____Cdr7" localSheetId="14">'[10]Cdrs 1-2'!$A$1:$S$46</definedName>
    <definedName name="____Cdr7" localSheetId="0">'[10]Cdrs 1-2'!$A$1:$S$46</definedName>
    <definedName name="____Cdr7" localSheetId="5">'[10]Cdrs 1-2'!$A$1:$S$46</definedName>
    <definedName name="____Cdr7" localSheetId="15">'[10]Cdrs 1-2'!$A$1:$S$46</definedName>
    <definedName name="____Cdr7" localSheetId="6">'[10]Cdrs 1-2'!$A$1:$S$46</definedName>
    <definedName name="____Cdr7" localSheetId="16">'[10]Cdrs 1-2'!$A$1:$S$46</definedName>
    <definedName name="____Cdr7" localSheetId="7">'[10]Cdrs 1-2'!$A$1:$S$46</definedName>
    <definedName name="____Cdr7" localSheetId="1">'[10]Cdrs 1-2'!$A$1:$S$46</definedName>
    <definedName name="____Cdr7" localSheetId="17">'[10]Cdrs 1-2'!$A$1:$S$46</definedName>
    <definedName name="____Cdr7" localSheetId="8">'[10]Cdrs 1-2'!$A$1:$S$46</definedName>
    <definedName name="____Cdr7" localSheetId="2">'[10]Cdrs 1-2'!$A$1:$S$46</definedName>
    <definedName name="____Cdr7" localSheetId="18">'[10]Cdrs 1-2'!$A$1:$S$46</definedName>
    <definedName name="____Cdr7" localSheetId="9">'[10]Cdrs 1-2'!$A$1:$S$46</definedName>
    <definedName name="____Cdr7" localSheetId="3">'[10]Cdrs 1-2'!$A$1:$S$46</definedName>
    <definedName name="____Cdr7" localSheetId="19">'[10]Cdrs 1-2'!$A$1:$S$46</definedName>
    <definedName name="____Cdr7" localSheetId="10">'[10]Cdrs 1-2'!$A$1:$S$46</definedName>
    <definedName name="____Cdr7" localSheetId="20">'[10]Cdrs 1-2'!$A$1:$S$46</definedName>
    <definedName name="____Cdr7" localSheetId="11">'[10]Cdrs 1-2'!$A$1:$S$46</definedName>
    <definedName name="____Cdr7" localSheetId="21">'[10]Cdrs 1-2'!$A$1:$S$46</definedName>
    <definedName name="____Cdr7" localSheetId="12">'[10]Cdrs 1-2'!$A$1:$S$46</definedName>
    <definedName name="____Cdr7" localSheetId="22">'[11]Cdrs 1-2'!$A$1:$S$46</definedName>
    <definedName name="____Cdr7" localSheetId="13">'[10]Cdrs 1-2'!$A$1:$S$46</definedName>
    <definedName name="____Cdr7">'[12]Cdrs 1-2'!$A$1:$S$46</definedName>
    <definedName name="____Cdr8" localSheetId="14">'[10]Cdrs 1-2'!$A$69:$S$114</definedName>
    <definedName name="____Cdr8" localSheetId="0">'[10]Cdrs 1-2'!$A$69:$S$114</definedName>
    <definedName name="____Cdr8" localSheetId="5">'[10]Cdrs 1-2'!$A$69:$S$114</definedName>
    <definedName name="____Cdr8" localSheetId="15">'[10]Cdrs 1-2'!$A$69:$S$114</definedName>
    <definedName name="____Cdr8" localSheetId="6">'[10]Cdrs 1-2'!$A$69:$S$114</definedName>
    <definedName name="____Cdr8" localSheetId="16">'[10]Cdrs 1-2'!$A$69:$S$114</definedName>
    <definedName name="____Cdr8" localSheetId="7">'[10]Cdrs 1-2'!$A$69:$S$114</definedName>
    <definedName name="____Cdr8" localSheetId="1">'[10]Cdrs 1-2'!$A$69:$S$114</definedName>
    <definedName name="____Cdr8" localSheetId="17">'[10]Cdrs 1-2'!$A$69:$S$114</definedName>
    <definedName name="____Cdr8" localSheetId="8">'[10]Cdrs 1-2'!$A$69:$S$114</definedName>
    <definedName name="____Cdr8" localSheetId="2">'[10]Cdrs 1-2'!$A$69:$S$114</definedName>
    <definedName name="____Cdr8" localSheetId="18">'[10]Cdrs 1-2'!$A$69:$S$114</definedName>
    <definedName name="____Cdr8" localSheetId="9">'[10]Cdrs 1-2'!$A$69:$S$114</definedName>
    <definedName name="____Cdr8" localSheetId="3">'[10]Cdrs 1-2'!$A$69:$S$114</definedName>
    <definedName name="____Cdr8" localSheetId="19">'[10]Cdrs 1-2'!$A$69:$S$114</definedName>
    <definedName name="____Cdr8" localSheetId="10">'[10]Cdrs 1-2'!$A$69:$S$114</definedName>
    <definedName name="____Cdr8" localSheetId="20">'[10]Cdrs 1-2'!$A$69:$S$114</definedName>
    <definedName name="____Cdr8" localSheetId="11">'[10]Cdrs 1-2'!$A$69:$S$114</definedName>
    <definedName name="____Cdr8" localSheetId="21">'[10]Cdrs 1-2'!$A$69:$S$114</definedName>
    <definedName name="____Cdr8" localSheetId="12">'[10]Cdrs 1-2'!$A$69:$S$114</definedName>
    <definedName name="____Cdr8" localSheetId="22">'[11]Cdrs 1-2'!$A$69:$S$114</definedName>
    <definedName name="____Cdr8" localSheetId="13">'[10]Cdrs 1-2'!$A$69:$S$114</definedName>
    <definedName name="____Cdr8">'[12]Cdrs 1-2'!$A$69:$S$114</definedName>
    <definedName name="____Dur1">[4]Dur!$A$2:$I$27</definedName>
    <definedName name="____G7" localSheetId="14" hidden="1">#REF!</definedName>
    <definedName name="____G7" localSheetId="0" hidden="1">#REF!</definedName>
    <definedName name="____G7" localSheetId="5" hidden="1">#REF!</definedName>
    <definedName name="____G7" localSheetId="15" hidden="1">#REF!</definedName>
    <definedName name="____G7" localSheetId="6" hidden="1">#REF!</definedName>
    <definedName name="____G7" localSheetId="16" hidden="1">#REF!</definedName>
    <definedName name="____G7" localSheetId="7" hidden="1">#REF!</definedName>
    <definedName name="____G7" localSheetId="1" hidden="1">#REF!</definedName>
    <definedName name="____G7" localSheetId="17" hidden="1">#REF!</definedName>
    <definedName name="____G7" localSheetId="8" hidden="1">#REF!</definedName>
    <definedName name="____G7" localSheetId="2" hidden="1">#REF!</definedName>
    <definedName name="____G7" localSheetId="18" hidden="1">#REF!</definedName>
    <definedName name="____G7" localSheetId="9" hidden="1">#REF!</definedName>
    <definedName name="____G7" localSheetId="3" hidden="1">#REF!</definedName>
    <definedName name="____G7" localSheetId="19" hidden="1">#REF!</definedName>
    <definedName name="____G7" localSheetId="10" hidden="1">#REF!</definedName>
    <definedName name="____G7" localSheetId="20" hidden="1">#REF!</definedName>
    <definedName name="____G7" localSheetId="11" hidden="1">#REF!</definedName>
    <definedName name="____G7" localSheetId="21" hidden="1">#REF!</definedName>
    <definedName name="____G7" localSheetId="12" hidden="1">#REF!</definedName>
    <definedName name="____G7" localSheetId="22" hidden="1">#REF!</definedName>
    <definedName name="____G7" localSheetId="13" hidden="1">#REF!</definedName>
    <definedName name="____G7" hidden="1">#REF!</definedName>
    <definedName name="____gas001" localSheetId="14">#REF!</definedName>
    <definedName name="____gas001" localSheetId="0">#REF!</definedName>
    <definedName name="____gas001" localSheetId="5">#REF!</definedName>
    <definedName name="____gas001" localSheetId="15">#REF!</definedName>
    <definedName name="____gas001" localSheetId="6">#REF!</definedName>
    <definedName name="____gas001" localSheetId="16">#REF!</definedName>
    <definedName name="____gas001" localSheetId="7">#REF!</definedName>
    <definedName name="____gas001" localSheetId="1">#REF!</definedName>
    <definedName name="____gas001" localSheetId="17">#REF!</definedName>
    <definedName name="____gas001" localSheetId="8">#REF!</definedName>
    <definedName name="____gas001" localSheetId="2">#REF!</definedName>
    <definedName name="____gas001" localSheetId="18">#REF!</definedName>
    <definedName name="____gas001" localSheetId="9">#REF!</definedName>
    <definedName name="____gas001" localSheetId="3">#REF!</definedName>
    <definedName name="____gas001" localSheetId="19">#REF!</definedName>
    <definedName name="____gas001" localSheetId="10">#REF!</definedName>
    <definedName name="____gas001" localSheetId="20">#REF!</definedName>
    <definedName name="____gas001" localSheetId="11">#REF!</definedName>
    <definedName name="____gas001" localSheetId="21">#REF!</definedName>
    <definedName name="____gas001" localSheetId="12">#REF!</definedName>
    <definedName name="____gas001" localSheetId="22">#REF!</definedName>
    <definedName name="____gas001" localSheetId="13">#REF!</definedName>
    <definedName name="____gas001">#REF!</definedName>
    <definedName name="____Gas01" localSheetId="14">#REF!</definedName>
    <definedName name="____Gas01" localSheetId="0">#REF!</definedName>
    <definedName name="____Gas01" localSheetId="5">#REF!</definedName>
    <definedName name="____Gas01" localSheetId="15">#REF!</definedName>
    <definedName name="____Gas01" localSheetId="6">#REF!</definedName>
    <definedName name="____Gas01" localSheetId="16">#REF!</definedName>
    <definedName name="____Gas01" localSheetId="7">#REF!</definedName>
    <definedName name="____Gas01" localSheetId="1">#REF!</definedName>
    <definedName name="____Gas01" localSheetId="17">#REF!</definedName>
    <definedName name="____Gas01" localSheetId="8">#REF!</definedName>
    <definedName name="____Gas01" localSheetId="2">#REF!</definedName>
    <definedName name="____Gas01" localSheetId="18">#REF!</definedName>
    <definedName name="____Gas01" localSheetId="9">#REF!</definedName>
    <definedName name="____Gas01" localSheetId="3">#REF!</definedName>
    <definedName name="____Gas01" localSheetId="19">#REF!</definedName>
    <definedName name="____Gas01" localSheetId="10">#REF!</definedName>
    <definedName name="____Gas01" localSheetId="20">#REF!</definedName>
    <definedName name="____Gas01" localSheetId="11">#REF!</definedName>
    <definedName name="____Gas01" localSheetId="21">#REF!</definedName>
    <definedName name="____Gas01" localSheetId="12">#REF!</definedName>
    <definedName name="____Gas01" localSheetId="22">#REF!</definedName>
    <definedName name="____Gas01" localSheetId="13">#REF!</definedName>
    <definedName name="____Gas01">#REF!</definedName>
    <definedName name="____gas1" localSheetId="14">#REF!</definedName>
    <definedName name="____gas1" localSheetId="0">#REF!</definedName>
    <definedName name="____gas1" localSheetId="5">#REF!</definedName>
    <definedName name="____gas1" localSheetId="15">#REF!</definedName>
    <definedName name="____gas1" localSheetId="6">#REF!</definedName>
    <definedName name="____gas1" localSheetId="16">#REF!</definedName>
    <definedName name="____gas1" localSheetId="7">#REF!</definedName>
    <definedName name="____gas1" localSheetId="1">#REF!</definedName>
    <definedName name="____gas1" localSheetId="17">#REF!</definedName>
    <definedName name="____gas1" localSheetId="8">#REF!</definedName>
    <definedName name="____gas1" localSheetId="2">#REF!</definedName>
    <definedName name="____gas1" localSheetId="18">#REF!</definedName>
    <definedName name="____gas1" localSheetId="9">#REF!</definedName>
    <definedName name="____gas1" localSheetId="3">#REF!</definedName>
    <definedName name="____gas1" localSheetId="19">#REF!</definedName>
    <definedName name="____gas1" localSheetId="10">#REF!</definedName>
    <definedName name="____gas1" localSheetId="20">#REF!</definedName>
    <definedName name="____gas1" localSheetId="11">#REF!</definedName>
    <definedName name="____gas1" localSheetId="21">#REF!</definedName>
    <definedName name="____gas1" localSheetId="12">#REF!</definedName>
    <definedName name="____gas1" localSheetId="22">#REF!</definedName>
    <definedName name="____gas1" localSheetId="13">#REF!</definedName>
    <definedName name="____gas1">#REF!</definedName>
    <definedName name="____Imp1" localSheetId="14">#REF!</definedName>
    <definedName name="____Imp1" localSheetId="0">#REF!</definedName>
    <definedName name="____Imp1" localSheetId="5">#REF!</definedName>
    <definedName name="____Imp1" localSheetId="15">#REF!</definedName>
    <definedName name="____Imp1" localSheetId="6">#REF!</definedName>
    <definedName name="____Imp1" localSheetId="16">#REF!</definedName>
    <definedName name="____Imp1" localSheetId="7">#REF!</definedName>
    <definedName name="____Imp1" localSheetId="1">#REF!</definedName>
    <definedName name="____Imp1" localSheetId="17">#REF!</definedName>
    <definedName name="____Imp1" localSheetId="8">#REF!</definedName>
    <definedName name="____Imp1" localSheetId="2">#REF!</definedName>
    <definedName name="____Imp1" localSheetId="18">#REF!</definedName>
    <definedName name="____Imp1" localSheetId="9">#REF!</definedName>
    <definedName name="____Imp1" localSheetId="3">#REF!</definedName>
    <definedName name="____Imp1" localSheetId="19">#REF!</definedName>
    <definedName name="____Imp1" localSheetId="10">#REF!</definedName>
    <definedName name="____Imp1" localSheetId="20">#REF!</definedName>
    <definedName name="____Imp1" localSheetId="11">#REF!</definedName>
    <definedName name="____Imp1" localSheetId="21">#REF!</definedName>
    <definedName name="____Imp1" localSheetId="12">#REF!</definedName>
    <definedName name="____Imp1" localSheetId="22">#REF!</definedName>
    <definedName name="____Imp1" localSheetId="13">#REF!</definedName>
    <definedName name="____Imp1">#REF!</definedName>
    <definedName name="____Imp2" localSheetId="14">#REF!</definedName>
    <definedName name="____Imp2" localSheetId="0">#REF!</definedName>
    <definedName name="____Imp2" localSheetId="5">#REF!</definedName>
    <definedName name="____Imp2" localSheetId="15">#REF!</definedName>
    <definedName name="____Imp2" localSheetId="6">#REF!</definedName>
    <definedName name="____Imp2" localSheetId="16">#REF!</definedName>
    <definedName name="____Imp2" localSheetId="7">#REF!</definedName>
    <definedName name="____Imp2" localSheetId="1">#REF!</definedName>
    <definedName name="____Imp2" localSheetId="17">#REF!</definedName>
    <definedName name="____Imp2" localSheetId="8">#REF!</definedName>
    <definedName name="____Imp2" localSheetId="2">#REF!</definedName>
    <definedName name="____Imp2" localSheetId="18">#REF!</definedName>
    <definedName name="____Imp2" localSheetId="9">#REF!</definedName>
    <definedName name="____Imp2" localSheetId="3">#REF!</definedName>
    <definedName name="____Imp2" localSheetId="19">#REF!</definedName>
    <definedName name="____Imp2" localSheetId="10">#REF!</definedName>
    <definedName name="____Imp2" localSheetId="20">#REF!</definedName>
    <definedName name="____Imp2" localSheetId="11">#REF!</definedName>
    <definedName name="____Imp2" localSheetId="21">#REF!</definedName>
    <definedName name="____Imp2" localSheetId="12">#REF!</definedName>
    <definedName name="____Imp2" localSheetId="22">#REF!</definedName>
    <definedName name="____Imp2" localSheetId="13">#REF!</definedName>
    <definedName name="____Imp2">#REF!</definedName>
    <definedName name="____key2" localSheetId="14" hidden="1">#REF!</definedName>
    <definedName name="____key2" localSheetId="0" hidden="1">#REF!</definedName>
    <definedName name="____key2" localSheetId="5" hidden="1">#REF!</definedName>
    <definedName name="____key2" localSheetId="15" hidden="1">#REF!</definedName>
    <definedName name="____key2" localSheetId="6" hidden="1">#REF!</definedName>
    <definedName name="____key2" localSheetId="16" hidden="1">#REF!</definedName>
    <definedName name="____key2" localSheetId="7" hidden="1">#REF!</definedName>
    <definedName name="____key2" localSheetId="1" hidden="1">#REF!</definedName>
    <definedName name="____key2" localSheetId="17" hidden="1">#REF!</definedName>
    <definedName name="____key2" localSheetId="8" hidden="1">#REF!</definedName>
    <definedName name="____key2" localSheetId="2" hidden="1">#REF!</definedName>
    <definedName name="____key2" localSheetId="18" hidden="1">#REF!</definedName>
    <definedName name="____key2" localSheetId="9" hidden="1">#REF!</definedName>
    <definedName name="____key2" localSheetId="3" hidden="1">#REF!</definedName>
    <definedName name="____key2" localSheetId="19" hidden="1">#REF!</definedName>
    <definedName name="____key2" localSheetId="10" hidden="1">#REF!</definedName>
    <definedName name="____key2" localSheetId="20" hidden="1">#REF!</definedName>
    <definedName name="____key2" localSheetId="11" hidden="1">#REF!</definedName>
    <definedName name="____key2" localSheetId="21" hidden="1">#REF!</definedName>
    <definedName name="____key2" localSheetId="12" hidden="1">#REF!</definedName>
    <definedName name="____key2" localSheetId="22" hidden="1">#REF!</definedName>
    <definedName name="____key2" localSheetId="13" hidden="1">#REF!</definedName>
    <definedName name="____key2" hidden="1">#REF!</definedName>
    <definedName name="____p1" localSheetId="14">#REF!</definedName>
    <definedName name="____p1" localSheetId="0">#REF!</definedName>
    <definedName name="____p1" localSheetId="5">#REF!</definedName>
    <definedName name="____p1" localSheetId="15">#REF!</definedName>
    <definedName name="____p1" localSheetId="6">#REF!</definedName>
    <definedName name="____p1" localSheetId="16">#REF!</definedName>
    <definedName name="____p1" localSheetId="7">#REF!</definedName>
    <definedName name="____p1" localSheetId="1">#REF!</definedName>
    <definedName name="____p1" localSheetId="17">#REF!</definedName>
    <definedName name="____p1" localSheetId="8">#REF!</definedName>
    <definedName name="____p1" localSheetId="2">#REF!</definedName>
    <definedName name="____p1" localSheetId="18">#REF!</definedName>
    <definedName name="____p1" localSheetId="9">#REF!</definedName>
    <definedName name="____p1" localSheetId="3">#REF!</definedName>
    <definedName name="____p1" localSheetId="19">#REF!</definedName>
    <definedName name="____p1" localSheetId="10">#REF!</definedName>
    <definedName name="____p1" localSheetId="20">#REF!</definedName>
    <definedName name="____p1" localSheetId="11">#REF!</definedName>
    <definedName name="____p1" localSheetId="21">#REF!</definedName>
    <definedName name="____p1" localSheetId="12">#REF!</definedName>
    <definedName name="____p1" localSheetId="22">#REF!</definedName>
    <definedName name="____p1" localSheetId="13">#REF!</definedName>
    <definedName name="____p1">#REF!</definedName>
    <definedName name="____RM1">[7]PAG19!$B$3:$I$39</definedName>
    <definedName name="____RM2">[7]PAG19!$J$3:$P$39</definedName>
    <definedName name="___A2" localSheetId="14">'[9]R. Natural'!#REF!</definedName>
    <definedName name="___A2" localSheetId="0">'[9]R. Natural'!#REF!</definedName>
    <definedName name="___A2" localSheetId="5">'[9]R. Natural'!#REF!</definedName>
    <definedName name="___A2" localSheetId="15">'[9]R. Natural'!#REF!</definedName>
    <definedName name="___A2" localSheetId="6">'[9]R. Natural'!#REF!</definedName>
    <definedName name="___A2" localSheetId="16">'[9]R. Natural'!#REF!</definedName>
    <definedName name="___A2" localSheetId="7">'[9]R. Natural'!#REF!</definedName>
    <definedName name="___A2" localSheetId="1">'[9]R. Natural'!#REF!</definedName>
    <definedName name="___A2" localSheetId="17">'[9]R. Natural'!#REF!</definedName>
    <definedName name="___A2" localSheetId="8">'[9]R. Natural'!#REF!</definedName>
    <definedName name="___A2" localSheetId="2">'[9]R. Natural'!#REF!</definedName>
    <definedName name="___A2" localSheetId="18">'[9]R. Natural'!#REF!</definedName>
    <definedName name="___A2" localSheetId="9">'[9]R. Natural'!#REF!</definedName>
    <definedName name="___A2" localSheetId="3">'[9]R. Natural'!#REF!</definedName>
    <definedName name="___A2" localSheetId="19">'[9]R. Natural'!#REF!</definedName>
    <definedName name="___A2" localSheetId="10">'[9]R. Natural'!#REF!</definedName>
    <definedName name="___A2" localSheetId="20">'[9]R. Natural'!#REF!</definedName>
    <definedName name="___A2" localSheetId="11">'[9]R. Natural'!#REF!</definedName>
    <definedName name="___A2" localSheetId="21">'[9]R. Natural'!#REF!</definedName>
    <definedName name="___A2" localSheetId="12">'[9]R. Natural'!#REF!</definedName>
    <definedName name="___A2" localSheetId="22">'[9]R. Natural'!#REF!</definedName>
    <definedName name="___A2" localSheetId="13">'[9]R. Natural'!#REF!</definedName>
    <definedName name="___A2">'[9]R. Natural'!#REF!</definedName>
    <definedName name="___bol52" localSheetId="14">[3]PAG_35!#REF!</definedName>
    <definedName name="___bol52" localSheetId="0">[3]PAG_35!#REF!</definedName>
    <definedName name="___bol52" localSheetId="5">[3]PAG_35!#REF!</definedName>
    <definedName name="___bol52" localSheetId="15">[3]PAG_35!#REF!</definedName>
    <definedName name="___bol52" localSheetId="6">[3]PAG_35!#REF!</definedName>
    <definedName name="___bol52" localSheetId="16">[3]PAG_35!#REF!</definedName>
    <definedName name="___bol52" localSheetId="7">[3]PAG_35!#REF!</definedName>
    <definedName name="___bol52" localSheetId="1">[3]PAG_35!#REF!</definedName>
    <definedName name="___bol52" localSheetId="17">[3]PAG_35!#REF!</definedName>
    <definedName name="___bol52" localSheetId="8">[3]PAG_35!#REF!</definedName>
    <definedName name="___bol52" localSheetId="2">[3]PAG_35!#REF!</definedName>
    <definedName name="___bol52" localSheetId="18">[3]PAG_35!#REF!</definedName>
    <definedName name="___bol52" localSheetId="9">[3]PAG_35!#REF!</definedName>
    <definedName name="___bol52" localSheetId="3">[3]PAG_35!#REF!</definedName>
    <definedName name="___bol52" localSheetId="19">[3]PAG_35!#REF!</definedName>
    <definedName name="___bol52" localSheetId="10">[3]PAG_35!#REF!</definedName>
    <definedName name="___bol52" localSheetId="20">[3]PAG_35!#REF!</definedName>
    <definedName name="___bol52" localSheetId="11">[3]PAG_35!#REF!</definedName>
    <definedName name="___bol52" localSheetId="21">[3]PAG_35!#REF!</definedName>
    <definedName name="___bol52" localSheetId="12">[3]PAG_35!#REF!</definedName>
    <definedName name="___bol52" localSheetId="22">[3]PAG_35!#REF!</definedName>
    <definedName name="___bol52" localSheetId="13">[3]PAG_35!#REF!</definedName>
    <definedName name="___bol52">[3]PAG_35!#REF!</definedName>
    <definedName name="___BTP1">[4]BTPMP!$A$2:$M$19922</definedName>
    <definedName name="___BTP2">[4]BTPMS!$A$2:$N$19683</definedName>
    <definedName name="___CDB1">[4]CDMP!$B$2:$N$20020</definedName>
    <definedName name="___CDB2">[4]CDMS!$A$2:$M$20027</definedName>
    <definedName name="___cdr2" localSheetId="14">[5]Cdr7!#REF!</definedName>
    <definedName name="___cdr2" localSheetId="0">[5]Cdr7!#REF!</definedName>
    <definedName name="___cdr2" localSheetId="5">[5]Cdr7!#REF!</definedName>
    <definedName name="___cdr2" localSheetId="15">[5]Cdr7!#REF!</definedName>
    <definedName name="___cdr2" localSheetId="6">[5]Cdr7!#REF!</definedName>
    <definedName name="___cdr2" localSheetId="16">[5]Cdr7!#REF!</definedName>
    <definedName name="___cdr2" localSheetId="7">[5]Cdr7!#REF!</definedName>
    <definedName name="___cdr2" localSheetId="1">[5]Cdr7!#REF!</definedName>
    <definedName name="___cdr2" localSheetId="17">[5]Cdr7!#REF!</definedName>
    <definedName name="___cdr2" localSheetId="8">[5]Cdr7!#REF!</definedName>
    <definedName name="___cdr2" localSheetId="2">[5]Cdr7!#REF!</definedName>
    <definedName name="___cdr2" localSheetId="18">[5]Cdr7!#REF!</definedName>
    <definedName name="___cdr2" localSheetId="9">[5]Cdr7!#REF!</definedName>
    <definedName name="___cdr2" localSheetId="3">[5]Cdr7!#REF!</definedName>
    <definedName name="___cdr2" localSheetId="19">[5]Cdr7!#REF!</definedName>
    <definedName name="___cdr2" localSheetId="10">[5]Cdr7!#REF!</definedName>
    <definedName name="___cdr2" localSheetId="20">[5]Cdr7!#REF!</definedName>
    <definedName name="___cdr2" localSheetId="11">[5]Cdr7!#REF!</definedName>
    <definedName name="___cdr2" localSheetId="21">[5]Cdr7!#REF!</definedName>
    <definedName name="___cdr2" localSheetId="12">[5]Cdr7!#REF!</definedName>
    <definedName name="___cdr2" localSheetId="22">[5]Cdr7!#REF!</definedName>
    <definedName name="___cdr2" localSheetId="13">[5]Cdr7!#REF!</definedName>
    <definedName name="___cdr2">[5]Cdr7!#REF!</definedName>
    <definedName name="___Cdr7" localSheetId="14">'[10]Cdrs 1-2'!$A$1:$S$46</definedName>
    <definedName name="___Cdr7" localSheetId="0">'[10]Cdrs 1-2'!$A$1:$S$46</definedName>
    <definedName name="___Cdr7" localSheetId="5">'[10]Cdrs 1-2'!$A$1:$S$46</definedName>
    <definedName name="___Cdr7" localSheetId="15">'[10]Cdrs 1-2'!$A$1:$S$46</definedName>
    <definedName name="___Cdr7" localSheetId="6">'[10]Cdrs 1-2'!$A$1:$S$46</definedName>
    <definedName name="___Cdr7" localSheetId="16">'[10]Cdrs 1-2'!$A$1:$S$46</definedName>
    <definedName name="___Cdr7" localSheetId="7">'[10]Cdrs 1-2'!$A$1:$S$46</definedName>
    <definedName name="___Cdr7" localSheetId="1">'[10]Cdrs 1-2'!$A$1:$S$46</definedName>
    <definedName name="___Cdr7" localSheetId="17">'[10]Cdrs 1-2'!$A$1:$S$46</definedName>
    <definedName name="___Cdr7" localSheetId="8">'[10]Cdrs 1-2'!$A$1:$S$46</definedName>
    <definedName name="___Cdr7" localSheetId="2">'[10]Cdrs 1-2'!$A$1:$S$46</definedName>
    <definedName name="___Cdr7" localSheetId="18">'[10]Cdrs 1-2'!$A$1:$S$46</definedName>
    <definedName name="___Cdr7" localSheetId="9">'[10]Cdrs 1-2'!$A$1:$S$46</definedName>
    <definedName name="___Cdr7" localSheetId="3">'[10]Cdrs 1-2'!$A$1:$S$46</definedName>
    <definedName name="___Cdr7" localSheetId="19">'[10]Cdrs 1-2'!$A$1:$S$46</definedName>
    <definedName name="___Cdr7" localSheetId="10">'[10]Cdrs 1-2'!$A$1:$S$46</definedName>
    <definedName name="___Cdr7" localSheetId="20">'[10]Cdrs 1-2'!$A$1:$S$46</definedName>
    <definedName name="___Cdr7" localSheetId="11">'[10]Cdrs 1-2'!$A$1:$S$46</definedName>
    <definedName name="___Cdr7" localSheetId="21">'[10]Cdrs 1-2'!$A$1:$S$46</definedName>
    <definedName name="___Cdr7" localSheetId="12">'[10]Cdrs 1-2'!$A$1:$S$46</definedName>
    <definedName name="___Cdr7" localSheetId="22">'[11]Cdrs 1-2'!$A$1:$S$46</definedName>
    <definedName name="___Cdr7" localSheetId="13">'[10]Cdrs 1-2'!$A$1:$S$46</definedName>
    <definedName name="___Cdr7">'[12]Cdrs 1-2'!$A$1:$S$46</definedName>
    <definedName name="___Cdr8" localSheetId="14">'[10]Cdrs 1-2'!$A$69:$S$114</definedName>
    <definedName name="___Cdr8" localSheetId="0">'[10]Cdrs 1-2'!$A$69:$S$114</definedName>
    <definedName name="___Cdr8" localSheetId="5">'[10]Cdrs 1-2'!$A$69:$S$114</definedName>
    <definedName name="___Cdr8" localSheetId="15">'[10]Cdrs 1-2'!$A$69:$S$114</definedName>
    <definedName name="___Cdr8" localSheetId="6">'[10]Cdrs 1-2'!$A$69:$S$114</definedName>
    <definedName name="___Cdr8" localSheetId="16">'[10]Cdrs 1-2'!$A$69:$S$114</definedName>
    <definedName name="___Cdr8" localSheetId="7">'[10]Cdrs 1-2'!$A$69:$S$114</definedName>
    <definedName name="___Cdr8" localSheetId="1">'[10]Cdrs 1-2'!$A$69:$S$114</definedName>
    <definedName name="___Cdr8" localSheetId="17">'[10]Cdrs 1-2'!$A$69:$S$114</definedName>
    <definedName name="___Cdr8" localSheetId="8">'[10]Cdrs 1-2'!$A$69:$S$114</definedName>
    <definedName name="___Cdr8" localSheetId="2">'[10]Cdrs 1-2'!$A$69:$S$114</definedName>
    <definedName name="___Cdr8" localSheetId="18">'[10]Cdrs 1-2'!$A$69:$S$114</definedName>
    <definedName name="___Cdr8" localSheetId="9">'[10]Cdrs 1-2'!$A$69:$S$114</definedName>
    <definedName name="___Cdr8" localSheetId="3">'[10]Cdrs 1-2'!$A$69:$S$114</definedName>
    <definedName name="___Cdr8" localSheetId="19">'[10]Cdrs 1-2'!$A$69:$S$114</definedName>
    <definedName name="___Cdr8" localSheetId="10">'[10]Cdrs 1-2'!$A$69:$S$114</definedName>
    <definedName name="___Cdr8" localSheetId="20">'[10]Cdrs 1-2'!$A$69:$S$114</definedName>
    <definedName name="___Cdr8" localSheetId="11">'[10]Cdrs 1-2'!$A$69:$S$114</definedName>
    <definedName name="___Cdr8" localSheetId="21">'[10]Cdrs 1-2'!$A$69:$S$114</definedName>
    <definedName name="___Cdr8" localSheetId="12">'[10]Cdrs 1-2'!$A$69:$S$114</definedName>
    <definedName name="___Cdr8" localSheetId="22">'[11]Cdrs 1-2'!$A$69:$S$114</definedName>
    <definedName name="___Cdr8" localSheetId="13">'[10]Cdrs 1-2'!$A$69:$S$114</definedName>
    <definedName name="___Cdr8">'[12]Cdrs 1-2'!$A$69:$S$114</definedName>
    <definedName name="___Dur1">[4]Dur!$A$2:$I$27</definedName>
    <definedName name="___G7" localSheetId="14" hidden="1">#REF!</definedName>
    <definedName name="___G7" localSheetId="0" hidden="1">#REF!</definedName>
    <definedName name="___G7" localSheetId="5" hidden="1">#REF!</definedName>
    <definedName name="___G7" localSheetId="15" hidden="1">#REF!</definedName>
    <definedName name="___G7" localSheetId="6" hidden="1">#REF!</definedName>
    <definedName name="___G7" localSheetId="16" hidden="1">#REF!</definedName>
    <definedName name="___G7" localSheetId="7" hidden="1">#REF!</definedName>
    <definedName name="___G7" localSheetId="1" hidden="1">#REF!</definedName>
    <definedName name="___G7" localSheetId="17" hidden="1">#REF!</definedName>
    <definedName name="___G7" localSheetId="8" hidden="1">#REF!</definedName>
    <definedName name="___G7" localSheetId="2" hidden="1">#REF!</definedName>
    <definedName name="___G7" localSheetId="18" hidden="1">#REF!</definedName>
    <definedName name="___G7" localSheetId="9" hidden="1">#REF!</definedName>
    <definedName name="___G7" localSheetId="3" hidden="1">#REF!</definedName>
    <definedName name="___G7" localSheetId="19" hidden="1">#REF!</definedName>
    <definedName name="___G7" localSheetId="10" hidden="1">#REF!</definedName>
    <definedName name="___G7" localSheetId="20" hidden="1">#REF!</definedName>
    <definedName name="___G7" localSheetId="11" hidden="1">#REF!</definedName>
    <definedName name="___G7" localSheetId="21" hidden="1">#REF!</definedName>
    <definedName name="___G7" localSheetId="12" hidden="1">#REF!</definedName>
    <definedName name="___G7" localSheetId="22" hidden="1">#REF!</definedName>
    <definedName name="___G7" localSheetId="13" hidden="1">#REF!</definedName>
    <definedName name="___G7" hidden="1">#REF!</definedName>
    <definedName name="___gas001" localSheetId="14">#REF!</definedName>
    <definedName name="___gas001" localSheetId="0">#REF!</definedName>
    <definedName name="___gas001" localSheetId="5">#REF!</definedName>
    <definedName name="___gas001" localSheetId="15">#REF!</definedName>
    <definedName name="___gas001" localSheetId="6">#REF!</definedName>
    <definedName name="___gas001" localSheetId="16">#REF!</definedName>
    <definedName name="___gas001" localSheetId="7">#REF!</definedName>
    <definedName name="___gas001" localSheetId="1">#REF!</definedName>
    <definedName name="___gas001" localSheetId="17">#REF!</definedName>
    <definedName name="___gas001" localSheetId="8">#REF!</definedName>
    <definedName name="___gas001" localSheetId="2">#REF!</definedName>
    <definedName name="___gas001" localSheetId="18">#REF!</definedName>
    <definedName name="___gas001" localSheetId="9">#REF!</definedName>
    <definedName name="___gas001" localSheetId="3">#REF!</definedName>
    <definedName name="___gas001" localSheetId="19">#REF!</definedName>
    <definedName name="___gas001" localSheetId="10">#REF!</definedName>
    <definedName name="___gas001" localSheetId="20">#REF!</definedName>
    <definedName name="___gas001" localSheetId="11">#REF!</definedName>
    <definedName name="___gas001" localSheetId="21">#REF!</definedName>
    <definedName name="___gas001" localSheetId="12">#REF!</definedName>
    <definedName name="___gas001" localSheetId="22">#REF!</definedName>
    <definedName name="___gas001" localSheetId="13">#REF!</definedName>
    <definedName name="___gas001">#REF!</definedName>
    <definedName name="___Gas01" localSheetId="14">#REF!</definedName>
    <definedName name="___Gas01" localSheetId="0">#REF!</definedName>
    <definedName name="___Gas01" localSheetId="5">#REF!</definedName>
    <definedName name="___Gas01" localSheetId="15">#REF!</definedName>
    <definedName name="___Gas01" localSheetId="6">#REF!</definedName>
    <definedName name="___Gas01" localSheetId="16">#REF!</definedName>
    <definedName name="___Gas01" localSheetId="7">#REF!</definedName>
    <definedName name="___Gas01" localSheetId="1">#REF!</definedName>
    <definedName name="___Gas01" localSheetId="17">#REF!</definedName>
    <definedName name="___Gas01" localSheetId="8">#REF!</definedName>
    <definedName name="___Gas01" localSheetId="2">#REF!</definedName>
    <definedName name="___Gas01" localSheetId="18">#REF!</definedName>
    <definedName name="___Gas01" localSheetId="9">#REF!</definedName>
    <definedName name="___Gas01" localSheetId="3">#REF!</definedName>
    <definedName name="___Gas01" localSheetId="19">#REF!</definedName>
    <definedName name="___Gas01" localSheetId="10">#REF!</definedName>
    <definedName name="___Gas01" localSheetId="20">#REF!</definedName>
    <definedName name="___Gas01" localSheetId="11">#REF!</definedName>
    <definedName name="___Gas01" localSheetId="21">#REF!</definedName>
    <definedName name="___Gas01" localSheetId="12">#REF!</definedName>
    <definedName name="___Gas01" localSheetId="22">#REF!</definedName>
    <definedName name="___Gas01" localSheetId="13">#REF!</definedName>
    <definedName name="___Gas01">#REF!</definedName>
    <definedName name="___gas1" localSheetId="14">#REF!</definedName>
    <definedName name="___gas1" localSheetId="0">#REF!</definedName>
    <definedName name="___gas1" localSheetId="5">#REF!</definedName>
    <definedName name="___gas1" localSheetId="15">#REF!</definedName>
    <definedName name="___gas1" localSheetId="6">#REF!</definedName>
    <definedName name="___gas1" localSheetId="16">#REF!</definedName>
    <definedName name="___gas1" localSheetId="7">#REF!</definedName>
    <definedName name="___gas1" localSheetId="1">#REF!</definedName>
    <definedName name="___gas1" localSheetId="17">#REF!</definedName>
    <definedName name="___gas1" localSheetId="8">#REF!</definedName>
    <definedName name="___gas1" localSheetId="2">#REF!</definedName>
    <definedName name="___gas1" localSheetId="18">#REF!</definedName>
    <definedName name="___gas1" localSheetId="9">#REF!</definedName>
    <definedName name="___gas1" localSheetId="3">#REF!</definedName>
    <definedName name="___gas1" localSheetId="19">#REF!</definedName>
    <definedName name="___gas1" localSheetId="10">#REF!</definedName>
    <definedName name="___gas1" localSheetId="20">#REF!</definedName>
    <definedName name="___gas1" localSheetId="11">#REF!</definedName>
    <definedName name="___gas1" localSheetId="21">#REF!</definedName>
    <definedName name="___gas1" localSheetId="12">#REF!</definedName>
    <definedName name="___gas1" localSheetId="22">#REF!</definedName>
    <definedName name="___gas1" localSheetId="13">#REF!</definedName>
    <definedName name="___gas1">#REF!</definedName>
    <definedName name="___Imp1" localSheetId="14">#REF!</definedName>
    <definedName name="___Imp1" localSheetId="0">#REF!</definedName>
    <definedName name="___Imp1" localSheetId="5">#REF!</definedName>
    <definedName name="___Imp1" localSheetId="15">#REF!</definedName>
    <definedName name="___Imp1" localSheetId="6">#REF!</definedName>
    <definedName name="___Imp1" localSheetId="16">#REF!</definedName>
    <definedName name="___Imp1" localSheetId="7">#REF!</definedName>
    <definedName name="___Imp1" localSheetId="1">#REF!</definedName>
    <definedName name="___Imp1" localSheetId="17">#REF!</definedName>
    <definedName name="___Imp1" localSheetId="8">#REF!</definedName>
    <definedName name="___Imp1" localSheetId="2">#REF!</definedName>
    <definedName name="___Imp1" localSheetId="18">#REF!</definedName>
    <definedName name="___Imp1" localSheetId="9">#REF!</definedName>
    <definedName name="___Imp1" localSheetId="3">#REF!</definedName>
    <definedName name="___Imp1" localSheetId="19">#REF!</definedName>
    <definedName name="___Imp1" localSheetId="10">#REF!</definedName>
    <definedName name="___Imp1" localSheetId="20">#REF!</definedName>
    <definedName name="___Imp1" localSheetId="11">#REF!</definedName>
    <definedName name="___Imp1" localSheetId="21">#REF!</definedName>
    <definedName name="___Imp1" localSheetId="12">#REF!</definedName>
    <definedName name="___Imp1" localSheetId="22">#REF!</definedName>
    <definedName name="___Imp1" localSheetId="13">#REF!</definedName>
    <definedName name="___Imp1">#REF!</definedName>
    <definedName name="___Imp2" localSheetId="14">#REF!</definedName>
    <definedName name="___Imp2" localSheetId="0">#REF!</definedName>
    <definedName name="___Imp2" localSheetId="5">#REF!</definedName>
    <definedName name="___Imp2" localSheetId="15">#REF!</definedName>
    <definedName name="___Imp2" localSheetId="6">#REF!</definedName>
    <definedName name="___Imp2" localSheetId="16">#REF!</definedName>
    <definedName name="___Imp2" localSheetId="7">#REF!</definedName>
    <definedName name="___Imp2" localSheetId="1">#REF!</definedName>
    <definedName name="___Imp2" localSheetId="17">#REF!</definedName>
    <definedName name="___Imp2" localSheetId="8">#REF!</definedName>
    <definedName name="___Imp2" localSheetId="2">#REF!</definedName>
    <definedName name="___Imp2" localSheetId="18">#REF!</definedName>
    <definedName name="___Imp2" localSheetId="9">#REF!</definedName>
    <definedName name="___Imp2" localSheetId="3">#REF!</definedName>
    <definedName name="___Imp2" localSheetId="19">#REF!</definedName>
    <definedName name="___Imp2" localSheetId="10">#REF!</definedName>
    <definedName name="___Imp2" localSheetId="20">#REF!</definedName>
    <definedName name="___Imp2" localSheetId="11">#REF!</definedName>
    <definedName name="___Imp2" localSheetId="21">#REF!</definedName>
    <definedName name="___Imp2" localSheetId="12">#REF!</definedName>
    <definedName name="___Imp2" localSheetId="22">#REF!</definedName>
    <definedName name="___Imp2" localSheetId="13">#REF!</definedName>
    <definedName name="___Imp2">#REF!</definedName>
    <definedName name="___key2" localSheetId="14" hidden="1">#REF!</definedName>
    <definedName name="___key2" localSheetId="0" hidden="1">#REF!</definedName>
    <definedName name="___key2" localSheetId="5" hidden="1">#REF!</definedName>
    <definedName name="___key2" localSheetId="15" hidden="1">#REF!</definedName>
    <definedName name="___key2" localSheetId="6" hidden="1">#REF!</definedName>
    <definedName name="___key2" localSheetId="16" hidden="1">#REF!</definedName>
    <definedName name="___key2" localSheetId="7" hidden="1">#REF!</definedName>
    <definedName name="___key2" localSheetId="1" hidden="1">#REF!</definedName>
    <definedName name="___key2" localSheetId="17" hidden="1">#REF!</definedName>
    <definedName name="___key2" localSheetId="8" hidden="1">#REF!</definedName>
    <definedName name="___key2" localSheetId="2" hidden="1">#REF!</definedName>
    <definedName name="___key2" localSheetId="18" hidden="1">#REF!</definedName>
    <definedName name="___key2" localSheetId="9" hidden="1">#REF!</definedName>
    <definedName name="___key2" localSheetId="3" hidden="1">#REF!</definedName>
    <definedName name="___key2" localSheetId="19" hidden="1">#REF!</definedName>
    <definedName name="___key2" localSheetId="10" hidden="1">#REF!</definedName>
    <definedName name="___key2" localSheetId="20" hidden="1">#REF!</definedName>
    <definedName name="___key2" localSheetId="11" hidden="1">#REF!</definedName>
    <definedName name="___key2" localSheetId="21" hidden="1">#REF!</definedName>
    <definedName name="___key2" localSheetId="12" hidden="1">#REF!</definedName>
    <definedName name="___key2" localSheetId="22" hidden="1">#REF!</definedName>
    <definedName name="___key2" localSheetId="13" hidden="1">#REF!</definedName>
    <definedName name="___key2" hidden="1">#REF!</definedName>
    <definedName name="___p1" localSheetId="14">#REF!</definedName>
    <definedName name="___p1" localSheetId="0">#REF!</definedName>
    <definedName name="___p1" localSheetId="5">#REF!</definedName>
    <definedName name="___p1" localSheetId="15">#REF!</definedName>
    <definedName name="___p1" localSheetId="6">#REF!</definedName>
    <definedName name="___p1" localSheetId="16">#REF!</definedName>
    <definedName name="___p1" localSheetId="7">#REF!</definedName>
    <definedName name="___p1" localSheetId="1">#REF!</definedName>
    <definedName name="___p1" localSheetId="17">#REF!</definedName>
    <definedName name="___p1" localSheetId="8">#REF!</definedName>
    <definedName name="___p1" localSheetId="2">#REF!</definedName>
    <definedName name="___p1" localSheetId="18">#REF!</definedName>
    <definedName name="___p1" localSheetId="9">#REF!</definedName>
    <definedName name="___p1" localSheetId="3">#REF!</definedName>
    <definedName name="___p1" localSheetId="19">#REF!</definedName>
    <definedName name="___p1" localSheetId="10">#REF!</definedName>
    <definedName name="___p1" localSheetId="20">#REF!</definedName>
    <definedName name="___p1" localSheetId="11">#REF!</definedName>
    <definedName name="___p1" localSheetId="21">#REF!</definedName>
    <definedName name="___p1" localSheetId="12">#REF!</definedName>
    <definedName name="___p1" localSheetId="22">#REF!</definedName>
    <definedName name="___p1" localSheetId="13">#REF!</definedName>
    <definedName name="___p1">#REF!</definedName>
    <definedName name="___RM1">[7]PAG19!$B$3:$I$39</definedName>
    <definedName name="___RM2">[7]PAG19!$J$3:$P$39</definedName>
    <definedName name="__1__123Graph_ACHART_1" hidden="1">[13]Hoja3!$J$368:$J$408</definedName>
    <definedName name="__123Graph_A" localSheetId="0" hidden="1">[14]balance!#REF!</definedName>
    <definedName name="__123Graph_A" localSheetId="15" hidden="1">[14]balance!#REF!</definedName>
    <definedName name="__123Graph_A" localSheetId="6" hidden="1">[14]balance!#REF!</definedName>
    <definedName name="__123Graph_A" localSheetId="16" hidden="1">[14]balance!#REF!</definedName>
    <definedName name="__123Graph_A" localSheetId="1" hidden="1">[14]balance!#REF!</definedName>
    <definedName name="__123Graph_A" localSheetId="17" hidden="1">[14]balance!#REF!</definedName>
    <definedName name="__123Graph_A" localSheetId="8" hidden="1">[14]balance!#REF!</definedName>
    <definedName name="__123Graph_A" localSheetId="2" hidden="1">[14]balance!#REF!</definedName>
    <definedName name="__123Graph_A" localSheetId="18" hidden="1">[14]balance!#REF!</definedName>
    <definedName name="__123Graph_A" localSheetId="9" hidden="1">[14]balance!#REF!</definedName>
    <definedName name="__123Graph_A" localSheetId="3" hidden="1">[14]balance!#REF!</definedName>
    <definedName name="__123Graph_A" localSheetId="19" hidden="1">[14]balance!#REF!</definedName>
    <definedName name="__123Graph_A" localSheetId="20" hidden="1">[14]balance!#REF!</definedName>
    <definedName name="__123Graph_A" localSheetId="21" hidden="1">[14]balance!#REF!</definedName>
    <definedName name="__123Graph_A" localSheetId="22" hidden="1">[14]balance!#REF!</definedName>
    <definedName name="__123Graph_A" hidden="1">[14]balance!#REF!</definedName>
    <definedName name="__123Graph_ACURRENT" localSheetId="0" hidden="1">[14]balance!#REF!</definedName>
    <definedName name="__123Graph_ACURRENT" localSheetId="15" hidden="1">[14]balance!#REF!</definedName>
    <definedName name="__123Graph_ACURRENT" localSheetId="6" hidden="1">[14]balance!#REF!</definedName>
    <definedName name="__123Graph_ACURRENT" localSheetId="16" hidden="1">[14]balance!#REF!</definedName>
    <definedName name="__123Graph_ACURRENT" localSheetId="1" hidden="1">[14]balance!#REF!</definedName>
    <definedName name="__123Graph_ACURRENT" localSheetId="17" hidden="1">[14]balance!#REF!</definedName>
    <definedName name="__123Graph_ACURRENT" localSheetId="8" hidden="1">[14]balance!#REF!</definedName>
    <definedName name="__123Graph_ACURRENT" localSheetId="2" hidden="1">[14]balance!#REF!</definedName>
    <definedName name="__123Graph_ACURRENT" localSheetId="18" hidden="1">[14]balance!#REF!</definedName>
    <definedName name="__123Graph_ACURRENT" localSheetId="9" hidden="1">[14]balance!#REF!</definedName>
    <definedName name="__123Graph_ACURRENT" localSheetId="3" hidden="1">[14]balance!#REF!</definedName>
    <definedName name="__123Graph_ACURRENT" localSheetId="22" hidden="1">[14]balance!#REF!</definedName>
    <definedName name="__123Graph_ACURRENT" hidden="1">[14]balance!#REF!</definedName>
    <definedName name="__123Graph_B" localSheetId="0" hidden="1">[14]balance!#REF!</definedName>
    <definedName name="__123Graph_B" localSheetId="15" hidden="1">[14]balance!#REF!</definedName>
    <definedName name="__123Graph_B" localSheetId="6" hidden="1">[14]balance!#REF!</definedName>
    <definedName name="__123Graph_B" localSheetId="16" hidden="1">[14]balance!#REF!</definedName>
    <definedName name="__123Graph_B" localSheetId="1" hidden="1">[14]balance!#REF!</definedName>
    <definedName name="__123Graph_B" localSheetId="17" hidden="1">[14]balance!#REF!</definedName>
    <definedName name="__123Graph_B" localSheetId="8" hidden="1">[14]balance!#REF!</definedName>
    <definedName name="__123Graph_B" localSheetId="2" hidden="1">[14]balance!#REF!</definedName>
    <definedName name="__123Graph_B" localSheetId="18" hidden="1">[14]balance!#REF!</definedName>
    <definedName name="__123Graph_B" localSheetId="9" hidden="1">[14]balance!#REF!</definedName>
    <definedName name="__123Graph_B" localSheetId="3" hidden="1">[14]balance!#REF!</definedName>
    <definedName name="__123Graph_B" localSheetId="22" hidden="1">[14]balance!#REF!</definedName>
    <definedName name="__123Graph_B" hidden="1">[14]balance!#REF!</definedName>
    <definedName name="__123Graph_BCURRENT" localSheetId="0" hidden="1">[14]balance!#REF!</definedName>
    <definedName name="__123Graph_BCURRENT" localSheetId="15" hidden="1">[14]balance!#REF!</definedName>
    <definedName name="__123Graph_BCURRENT" localSheetId="6" hidden="1">[14]balance!#REF!</definedName>
    <definedName name="__123Graph_BCURRENT" localSheetId="16" hidden="1">[14]balance!#REF!</definedName>
    <definedName name="__123Graph_BCURRENT" localSheetId="1" hidden="1">[14]balance!#REF!</definedName>
    <definedName name="__123Graph_BCURRENT" localSheetId="17" hidden="1">[14]balance!#REF!</definedName>
    <definedName name="__123Graph_BCURRENT" localSheetId="8" hidden="1">[14]balance!#REF!</definedName>
    <definedName name="__123Graph_BCURRENT" localSheetId="2" hidden="1">[14]balance!#REF!</definedName>
    <definedName name="__123Graph_BCURRENT" localSheetId="18" hidden="1">[14]balance!#REF!</definedName>
    <definedName name="__123Graph_BCURRENT" localSheetId="9" hidden="1">[14]balance!#REF!</definedName>
    <definedName name="__123Graph_BCURRENT" localSheetId="3" hidden="1">[14]balance!#REF!</definedName>
    <definedName name="__123Graph_BCURRENT" localSheetId="22" hidden="1">[14]balance!#REF!</definedName>
    <definedName name="__123Graph_BCURRENT" hidden="1">[14]balance!#REF!</definedName>
    <definedName name="__123Graph_D" localSheetId="0" hidden="1">[14]balance!#REF!</definedName>
    <definedName name="__123Graph_D" localSheetId="15" hidden="1">[14]balance!#REF!</definedName>
    <definedName name="__123Graph_D" localSheetId="6" hidden="1">[14]balance!#REF!</definedName>
    <definedName name="__123Graph_D" localSheetId="16" hidden="1">[14]balance!#REF!</definedName>
    <definedName name="__123Graph_D" localSheetId="1" hidden="1">[14]balance!#REF!</definedName>
    <definedName name="__123Graph_D" localSheetId="17" hidden="1">[14]balance!#REF!</definedName>
    <definedName name="__123Graph_D" localSheetId="8" hidden="1">[14]balance!#REF!</definedName>
    <definedName name="__123Graph_D" localSheetId="2" hidden="1">[14]balance!#REF!</definedName>
    <definedName name="__123Graph_D" localSheetId="18" hidden="1">[14]balance!#REF!</definedName>
    <definedName name="__123Graph_D" localSheetId="9" hidden="1">[14]balance!#REF!</definedName>
    <definedName name="__123Graph_D" localSheetId="3" hidden="1">[14]balance!#REF!</definedName>
    <definedName name="__123Graph_D" localSheetId="22" hidden="1">[14]balance!#REF!</definedName>
    <definedName name="__123Graph_D" hidden="1">[14]balance!#REF!</definedName>
    <definedName name="__123Graph_DCURRENT" localSheetId="22" hidden="1">[14]balance!#REF!</definedName>
    <definedName name="__123Graph_DCURRENT" hidden="1">[14]balance!#REF!</definedName>
    <definedName name="__123Graph_F" localSheetId="22" hidden="1">[14]balance!#REF!</definedName>
    <definedName name="__123Graph_F" hidden="1">[14]balance!#REF!</definedName>
    <definedName name="__123Graph_FCURRENT" localSheetId="22" hidden="1">[14]balance!#REF!</definedName>
    <definedName name="__123Graph_FCURRENT" hidden="1">[14]balance!#REF!</definedName>
    <definedName name="__123Graph_X" localSheetId="22" hidden="1">[14]balance!#REF!</definedName>
    <definedName name="__123Graph_X" hidden="1">[14]balance!#REF!</definedName>
    <definedName name="__123Graph_XCURRENT" localSheetId="22" hidden="1">[14]balance!#REF!</definedName>
    <definedName name="__123Graph_XCURRENT" hidden="1">[14]balance!#REF!</definedName>
    <definedName name="__2_" localSheetId="14">#REF!</definedName>
    <definedName name="__2_" localSheetId="0">#REF!</definedName>
    <definedName name="__2_" localSheetId="5">#REF!</definedName>
    <definedName name="__2_" localSheetId="15">#REF!</definedName>
    <definedName name="__2_" localSheetId="6">#REF!</definedName>
    <definedName name="__2_" localSheetId="16">#REF!</definedName>
    <definedName name="__2_" localSheetId="7">#REF!</definedName>
    <definedName name="__2_" localSheetId="1">#REF!</definedName>
    <definedName name="__2_" localSheetId="17">#REF!</definedName>
    <definedName name="__2_" localSheetId="8">#REF!</definedName>
    <definedName name="__2_" localSheetId="2">#REF!</definedName>
    <definedName name="__2_" localSheetId="18">#REF!</definedName>
    <definedName name="__2_" localSheetId="9">#REF!</definedName>
    <definedName name="__2_" localSheetId="3">#REF!</definedName>
    <definedName name="__2_" localSheetId="19">#REF!</definedName>
    <definedName name="__2_" localSheetId="10">#REF!</definedName>
    <definedName name="__2_" localSheetId="20">#REF!</definedName>
    <definedName name="__2_" localSheetId="11">#REF!</definedName>
    <definedName name="__2_" localSheetId="21">#REF!</definedName>
    <definedName name="__2_" localSheetId="12">#REF!</definedName>
    <definedName name="__2_" localSheetId="22">#REF!</definedName>
    <definedName name="__2_" localSheetId="13">#REF!</definedName>
    <definedName name="__2_">#REF!</definedName>
    <definedName name="__2__123Graph_XCHART_1" hidden="1">[13]Hoja3!$A$368:$A$408</definedName>
    <definedName name="__4_0" localSheetId="14">#REF!</definedName>
    <definedName name="__4_0" localSheetId="0">#REF!</definedName>
    <definedName name="__4_0" localSheetId="5">#REF!</definedName>
    <definedName name="__4_0" localSheetId="15">#REF!</definedName>
    <definedName name="__4_0" localSheetId="6">#REF!</definedName>
    <definedName name="__4_0" localSheetId="16">#REF!</definedName>
    <definedName name="__4_0" localSheetId="7">#REF!</definedName>
    <definedName name="__4_0" localSheetId="1">#REF!</definedName>
    <definedName name="__4_0" localSheetId="17">#REF!</definedName>
    <definedName name="__4_0" localSheetId="8">#REF!</definedName>
    <definedName name="__4_0" localSheetId="2">#REF!</definedName>
    <definedName name="__4_0" localSheetId="18">#REF!</definedName>
    <definedName name="__4_0" localSheetId="9">#REF!</definedName>
    <definedName name="__4_0" localSheetId="3">#REF!</definedName>
    <definedName name="__4_0" localSheetId="19">#REF!</definedName>
    <definedName name="__4_0" localSheetId="10">#REF!</definedName>
    <definedName name="__4_0" localSheetId="20">#REF!</definedName>
    <definedName name="__4_0" localSheetId="11">#REF!</definedName>
    <definedName name="__4_0" localSheetId="21">#REF!</definedName>
    <definedName name="__4_0" localSheetId="12">#REF!</definedName>
    <definedName name="__4_0" localSheetId="22">#REF!</definedName>
    <definedName name="__4_0" localSheetId="13">#REF!</definedName>
    <definedName name="__4_0">#REF!</definedName>
    <definedName name="__A2" localSheetId="14">'[15]R. Natural'!#REF!</definedName>
    <definedName name="__A2" localSheetId="0">'[15]R. Natural'!#REF!</definedName>
    <definedName name="__A2" localSheetId="5">'[15]R. Natural'!#REF!</definedName>
    <definedName name="__A2" localSheetId="15">'[15]R. Natural'!#REF!</definedName>
    <definedName name="__A2" localSheetId="6">'[15]R. Natural'!#REF!</definedName>
    <definedName name="__A2" localSheetId="16">'[15]R. Natural'!#REF!</definedName>
    <definedName name="__A2" localSheetId="7">'[15]R. Natural'!#REF!</definedName>
    <definedName name="__A2" localSheetId="1">'[15]R. Natural'!#REF!</definedName>
    <definedName name="__A2" localSheetId="17">'[15]R. Natural'!#REF!</definedName>
    <definedName name="__A2" localSheetId="8">'[15]R. Natural'!#REF!</definedName>
    <definedName name="__A2" localSheetId="2">'[15]R. Natural'!#REF!</definedName>
    <definedName name="__A2" localSheetId="18">'[15]R. Natural'!#REF!</definedName>
    <definedName name="__A2" localSheetId="9">'[15]R. Natural'!#REF!</definedName>
    <definedName name="__A2" localSheetId="3">'[15]R. Natural'!#REF!</definedName>
    <definedName name="__A2" localSheetId="19">'[15]R. Natural'!#REF!</definedName>
    <definedName name="__A2" localSheetId="10">'[15]R. Natural'!#REF!</definedName>
    <definedName name="__A2" localSheetId="20">'[15]R. Natural'!#REF!</definedName>
    <definedName name="__A2" localSheetId="11">'[15]R. Natural'!#REF!</definedName>
    <definedName name="__A2" localSheetId="21">'[15]R. Natural'!#REF!</definedName>
    <definedName name="__A2" localSheetId="12">'[15]R. Natural'!#REF!</definedName>
    <definedName name="__A2" localSheetId="22">'[16]R. Natural'!#REF!</definedName>
    <definedName name="__A2" localSheetId="13">'[15]R. Natural'!#REF!</definedName>
    <definedName name="__A2">'[16]R. Natural'!#REF!</definedName>
    <definedName name="__bol52" localSheetId="14">[3]PAG_35!#REF!</definedName>
    <definedName name="__bol52" localSheetId="0">[3]PAG_35!#REF!</definedName>
    <definedName name="__bol52" localSheetId="5">[3]PAG_35!#REF!</definedName>
    <definedName name="__bol52" localSheetId="15">[3]PAG_35!#REF!</definedName>
    <definedName name="__bol52" localSheetId="6">[3]PAG_35!#REF!</definedName>
    <definedName name="__bol52" localSheetId="16">[3]PAG_35!#REF!</definedName>
    <definedName name="__bol52" localSheetId="7">[3]PAG_35!#REF!</definedName>
    <definedName name="__bol52" localSheetId="1">[3]PAG_35!#REF!</definedName>
    <definedName name="__bol52" localSheetId="17">[3]PAG_35!#REF!</definedName>
    <definedName name="__bol52" localSheetId="8">[3]PAG_35!#REF!</definedName>
    <definedName name="__bol52" localSheetId="2">[3]PAG_35!#REF!</definedName>
    <definedName name="__bol52" localSheetId="18">[3]PAG_35!#REF!</definedName>
    <definedName name="__bol52" localSheetId="9">[3]PAG_35!#REF!</definedName>
    <definedName name="__bol52" localSheetId="3">[3]PAG_35!#REF!</definedName>
    <definedName name="__bol52" localSheetId="19">[3]PAG_35!#REF!</definedName>
    <definedName name="__bol52" localSheetId="10">[3]PAG_35!#REF!</definedName>
    <definedName name="__bol52" localSheetId="20">[3]PAG_35!#REF!</definedName>
    <definedName name="__bol52" localSheetId="11">[3]PAG_35!#REF!</definedName>
    <definedName name="__bol52" localSheetId="21">[3]PAG_35!#REF!</definedName>
    <definedName name="__bol52" localSheetId="12">[3]PAG_35!#REF!</definedName>
    <definedName name="__bol52" localSheetId="22">[3]PAG_35!#REF!</definedName>
    <definedName name="__bol52" localSheetId="13">[3]PAG_35!#REF!</definedName>
    <definedName name="__bol52">[3]PAG_35!#REF!</definedName>
    <definedName name="__BTP1">[4]BTPMP!$A$2:$M$19922</definedName>
    <definedName name="__BTP2">[4]BTPMS!$A$2:$N$19683</definedName>
    <definedName name="__CDB1">[4]CDMP!$B$2:$N$20020</definedName>
    <definedName name="__CDB2">[4]CDMS!$A$2:$M$20027</definedName>
    <definedName name="__cdr2" localSheetId="14">[5]Cdr7!#REF!</definedName>
    <definedName name="__cdr2" localSheetId="0">[5]Cdr7!#REF!</definedName>
    <definedName name="__cdr2" localSheetId="5">[5]Cdr7!#REF!</definedName>
    <definedName name="__cdr2" localSheetId="15">[5]Cdr7!#REF!</definedName>
    <definedName name="__cdr2" localSheetId="6">[5]Cdr7!#REF!</definedName>
    <definedName name="__cdr2" localSheetId="16">[5]Cdr7!#REF!</definedName>
    <definedName name="__cdr2" localSheetId="7">[5]Cdr7!#REF!</definedName>
    <definedName name="__cdr2" localSheetId="1">[5]Cdr7!#REF!</definedName>
    <definedName name="__cdr2" localSheetId="17">[5]Cdr7!#REF!</definedName>
    <definedName name="__cdr2" localSheetId="8">[5]Cdr7!#REF!</definedName>
    <definedName name="__cdr2" localSheetId="2">[5]Cdr7!#REF!</definedName>
    <definedName name="__cdr2" localSheetId="18">[5]Cdr7!#REF!</definedName>
    <definedName name="__cdr2" localSheetId="9">[5]Cdr7!#REF!</definedName>
    <definedName name="__cdr2" localSheetId="3">[5]Cdr7!#REF!</definedName>
    <definedName name="__cdr2" localSheetId="19">[5]Cdr7!#REF!</definedName>
    <definedName name="__cdr2" localSheetId="10">[5]Cdr7!#REF!</definedName>
    <definedName name="__cdr2" localSheetId="20">[5]Cdr7!#REF!</definedName>
    <definedName name="__cdr2" localSheetId="11">[5]Cdr7!#REF!</definedName>
    <definedName name="__cdr2" localSheetId="21">[5]Cdr7!#REF!</definedName>
    <definedName name="__cdr2" localSheetId="12">[5]Cdr7!#REF!</definedName>
    <definedName name="__cdr2" localSheetId="22">[5]Cdr7!#REF!</definedName>
    <definedName name="__cdr2" localSheetId="13">[5]Cdr7!#REF!</definedName>
    <definedName name="__cdr2">[5]Cdr7!#REF!</definedName>
    <definedName name="__Cdr7">'[6]Cdrs 1-2'!$A$1:$S$46</definedName>
    <definedName name="__Cdr8">'[6]Cdrs 1-2'!$A$69:$S$114</definedName>
    <definedName name="__Dur1">[4]Dur!$A$2:$I$27</definedName>
    <definedName name="__G7" localSheetId="14" hidden="1">#REF!</definedName>
    <definedName name="__G7" localSheetId="0" hidden="1">#REF!</definedName>
    <definedName name="__G7" localSheetId="5" hidden="1">#REF!</definedName>
    <definedName name="__G7" localSheetId="15" hidden="1">#REF!</definedName>
    <definedName name="__G7" localSheetId="6" hidden="1">#REF!</definedName>
    <definedName name="__G7" localSheetId="16" hidden="1">#REF!</definedName>
    <definedName name="__G7" localSheetId="7" hidden="1">#REF!</definedName>
    <definedName name="__G7" localSheetId="1" hidden="1">#REF!</definedName>
    <definedName name="__G7" localSheetId="17" hidden="1">#REF!</definedName>
    <definedName name="__G7" localSheetId="8" hidden="1">#REF!</definedName>
    <definedName name="__G7" localSheetId="2" hidden="1">#REF!</definedName>
    <definedName name="__G7" localSheetId="18" hidden="1">#REF!</definedName>
    <definedName name="__G7" localSheetId="9" hidden="1">#REF!</definedName>
    <definedName name="__G7" localSheetId="3" hidden="1">#REF!</definedName>
    <definedName name="__G7" localSheetId="19" hidden="1">#REF!</definedName>
    <definedName name="__G7" localSheetId="10" hidden="1">#REF!</definedName>
    <definedName name="__G7" localSheetId="20" hidden="1">#REF!</definedName>
    <definedName name="__G7" localSheetId="11" hidden="1">#REF!</definedName>
    <definedName name="__G7" localSheetId="21" hidden="1">#REF!</definedName>
    <definedName name="__G7" localSheetId="12" hidden="1">#REF!</definedName>
    <definedName name="__G7" localSheetId="22" hidden="1">#REF!</definedName>
    <definedName name="__G7" localSheetId="13" hidden="1">#REF!</definedName>
    <definedName name="__G7" hidden="1">#REF!</definedName>
    <definedName name="__gas001" localSheetId="14">#REF!</definedName>
    <definedName name="__gas001" localSheetId="0">#REF!</definedName>
    <definedName name="__gas001" localSheetId="5">#REF!</definedName>
    <definedName name="__gas001" localSheetId="15">#REF!</definedName>
    <definedName name="__gas001" localSheetId="6">#REF!</definedName>
    <definedName name="__gas001" localSheetId="16">#REF!</definedName>
    <definedName name="__gas001" localSheetId="7">#REF!</definedName>
    <definedName name="__gas001" localSheetId="1">#REF!</definedName>
    <definedName name="__gas001" localSheetId="17">#REF!</definedName>
    <definedName name="__gas001" localSheetId="8">#REF!</definedName>
    <definedName name="__gas001" localSheetId="2">#REF!</definedName>
    <definedName name="__gas001" localSheetId="18">#REF!</definedName>
    <definedName name="__gas001" localSheetId="9">#REF!</definedName>
    <definedName name="__gas001" localSheetId="3">#REF!</definedName>
    <definedName name="__gas001" localSheetId="19">#REF!</definedName>
    <definedName name="__gas001" localSheetId="10">#REF!</definedName>
    <definedName name="__gas001" localSheetId="20">#REF!</definedName>
    <definedName name="__gas001" localSheetId="11">#REF!</definedName>
    <definedName name="__gas001" localSheetId="21">#REF!</definedName>
    <definedName name="__gas001" localSheetId="12">#REF!</definedName>
    <definedName name="__gas001" localSheetId="22">#REF!</definedName>
    <definedName name="__gas001" localSheetId="13">#REF!</definedName>
    <definedName name="__gas001">#REF!</definedName>
    <definedName name="__Gas01" localSheetId="14">#REF!</definedName>
    <definedName name="__Gas01" localSheetId="0">#REF!</definedName>
    <definedName name="__Gas01" localSheetId="5">#REF!</definedName>
    <definedName name="__Gas01" localSheetId="15">#REF!</definedName>
    <definedName name="__Gas01" localSheetId="6">#REF!</definedName>
    <definedName name="__Gas01" localSheetId="16">#REF!</definedName>
    <definedName name="__Gas01" localSheetId="7">#REF!</definedName>
    <definedName name="__Gas01" localSheetId="1">#REF!</definedName>
    <definedName name="__Gas01" localSheetId="17">#REF!</definedName>
    <definedName name="__Gas01" localSheetId="8">#REF!</definedName>
    <definedName name="__Gas01" localSheetId="2">#REF!</definedName>
    <definedName name="__Gas01" localSheetId="18">#REF!</definedName>
    <definedName name="__Gas01" localSheetId="9">#REF!</definedName>
    <definedName name="__Gas01" localSheetId="3">#REF!</definedName>
    <definedName name="__Gas01" localSheetId="19">#REF!</definedName>
    <definedName name="__Gas01" localSheetId="10">#REF!</definedName>
    <definedName name="__Gas01" localSheetId="20">#REF!</definedName>
    <definedName name="__Gas01" localSheetId="11">#REF!</definedName>
    <definedName name="__Gas01" localSheetId="21">#REF!</definedName>
    <definedName name="__Gas01" localSheetId="12">#REF!</definedName>
    <definedName name="__Gas01" localSheetId="22">#REF!</definedName>
    <definedName name="__Gas01" localSheetId="13">#REF!</definedName>
    <definedName name="__Gas01">#REF!</definedName>
    <definedName name="__gas1" localSheetId="14">#REF!</definedName>
    <definedName name="__gas1" localSheetId="0">#REF!</definedName>
    <definedName name="__gas1" localSheetId="5">#REF!</definedName>
    <definedName name="__gas1" localSheetId="15">#REF!</definedName>
    <definedName name="__gas1" localSheetId="6">#REF!</definedName>
    <definedName name="__gas1" localSheetId="16">#REF!</definedName>
    <definedName name="__gas1" localSheetId="7">#REF!</definedName>
    <definedName name="__gas1" localSheetId="1">#REF!</definedName>
    <definedName name="__gas1" localSheetId="17">#REF!</definedName>
    <definedName name="__gas1" localSheetId="8">#REF!</definedName>
    <definedName name="__gas1" localSheetId="2">#REF!</definedName>
    <definedName name="__gas1" localSheetId="18">#REF!</definedName>
    <definedName name="__gas1" localSheetId="9">#REF!</definedName>
    <definedName name="__gas1" localSheetId="3">#REF!</definedName>
    <definedName name="__gas1" localSheetId="19">#REF!</definedName>
    <definedName name="__gas1" localSheetId="10">#REF!</definedName>
    <definedName name="__gas1" localSheetId="20">#REF!</definedName>
    <definedName name="__gas1" localSheetId="11">#REF!</definedName>
    <definedName name="__gas1" localSheetId="21">#REF!</definedName>
    <definedName name="__gas1" localSheetId="12">#REF!</definedName>
    <definedName name="__gas1" localSheetId="22">#REF!</definedName>
    <definedName name="__gas1" localSheetId="13">#REF!</definedName>
    <definedName name="__gas1">#REF!</definedName>
    <definedName name="__Imp1" localSheetId="14">#REF!</definedName>
    <definedName name="__Imp1" localSheetId="0">#REF!</definedName>
    <definedName name="__Imp1" localSheetId="5">#REF!</definedName>
    <definedName name="__Imp1" localSheetId="15">#REF!</definedName>
    <definedName name="__Imp1" localSheetId="6">#REF!</definedName>
    <definedName name="__Imp1" localSheetId="16">#REF!</definedName>
    <definedName name="__Imp1" localSheetId="7">#REF!</definedName>
    <definedName name="__Imp1" localSheetId="1">#REF!</definedName>
    <definedName name="__Imp1" localSheetId="17">#REF!</definedName>
    <definedName name="__Imp1" localSheetId="8">#REF!</definedName>
    <definedName name="__Imp1" localSheetId="2">#REF!</definedName>
    <definedName name="__Imp1" localSheetId="18">#REF!</definedName>
    <definedName name="__Imp1" localSheetId="9">#REF!</definedName>
    <definedName name="__Imp1" localSheetId="3">#REF!</definedName>
    <definedName name="__Imp1" localSheetId="19">#REF!</definedName>
    <definedName name="__Imp1" localSheetId="10">#REF!</definedName>
    <definedName name="__Imp1" localSheetId="20">#REF!</definedName>
    <definedName name="__Imp1" localSheetId="11">#REF!</definedName>
    <definedName name="__Imp1" localSheetId="21">#REF!</definedName>
    <definedName name="__Imp1" localSheetId="12">#REF!</definedName>
    <definedName name="__Imp1" localSheetId="22">#REF!</definedName>
    <definedName name="__Imp1" localSheetId="13">#REF!</definedName>
    <definedName name="__Imp1">#REF!</definedName>
    <definedName name="__Imp2" localSheetId="14">#REF!</definedName>
    <definedName name="__Imp2" localSheetId="0">#REF!</definedName>
    <definedName name="__Imp2" localSheetId="5">#REF!</definedName>
    <definedName name="__Imp2" localSheetId="15">#REF!</definedName>
    <definedName name="__Imp2" localSheetId="6">#REF!</definedName>
    <definedName name="__Imp2" localSheetId="16">#REF!</definedName>
    <definedName name="__Imp2" localSheetId="7">#REF!</definedName>
    <definedName name="__Imp2" localSheetId="1">#REF!</definedName>
    <definedName name="__Imp2" localSheetId="17">#REF!</definedName>
    <definedName name="__Imp2" localSheetId="8">#REF!</definedName>
    <definedName name="__Imp2" localSheetId="2">#REF!</definedName>
    <definedName name="__Imp2" localSheetId="18">#REF!</definedName>
    <definedName name="__Imp2" localSheetId="9">#REF!</definedName>
    <definedName name="__Imp2" localSheetId="3">#REF!</definedName>
    <definedName name="__Imp2" localSheetId="19">#REF!</definedName>
    <definedName name="__Imp2" localSheetId="10">#REF!</definedName>
    <definedName name="__Imp2" localSheetId="20">#REF!</definedName>
    <definedName name="__Imp2" localSheetId="11">#REF!</definedName>
    <definedName name="__Imp2" localSheetId="21">#REF!</definedName>
    <definedName name="__Imp2" localSheetId="12">#REF!</definedName>
    <definedName name="__Imp2" localSheetId="22">#REF!</definedName>
    <definedName name="__Imp2" localSheetId="13">#REF!</definedName>
    <definedName name="__Imp2">#REF!</definedName>
    <definedName name="__key2" localSheetId="14" hidden="1">#REF!</definedName>
    <definedName name="__key2" localSheetId="0" hidden="1">#REF!</definedName>
    <definedName name="__key2" localSheetId="5" hidden="1">#REF!</definedName>
    <definedName name="__key2" localSheetId="15" hidden="1">#REF!</definedName>
    <definedName name="__key2" localSheetId="6" hidden="1">#REF!</definedName>
    <definedName name="__key2" localSheetId="16" hidden="1">#REF!</definedName>
    <definedName name="__key2" localSheetId="7" hidden="1">#REF!</definedName>
    <definedName name="__key2" localSheetId="1" hidden="1">#REF!</definedName>
    <definedName name="__key2" localSheetId="17" hidden="1">#REF!</definedName>
    <definedName name="__key2" localSheetId="8" hidden="1">#REF!</definedName>
    <definedName name="__key2" localSheetId="2" hidden="1">#REF!</definedName>
    <definedName name="__key2" localSheetId="18" hidden="1">#REF!</definedName>
    <definedName name="__key2" localSheetId="9" hidden="1">#REF!</definedName>
    <definedName name="__key2" localSheetId="3" hidden="1">#REF!</definedName>
    <definedName name="__key2" localSheetId="19" hidden="1">#REF!</definedName>
    <definedName name="__key2" localSheetId="10" hidden="1">#REF!</definedName>
    <definedName name="__key2" localSheetId="20" hidden="1">#REF!</definedName>
    <definedName name="__key2" localSheetId="11" hidden="1">#REF!</definedName>
    <definedName name="__key2" localSheetId="21" hidden="1">#REF!</definedName>
    <definedName name="__key2" localSheetId="12" hidden="1">#REF!</definedName>
    <definedName name="__key2" localSheetId="22" hidden="1">#REF!</definedName>
    <definedName name="__key2" localSheetId="13" hidden="1">#REF!</definedName>
    <definedName name="__key2" hidden="1">#REF!</definedName>
    <definedName name="__p1" localSheetId="14">#REF!</definedName>
    <definedName name="__p1" localSheetId="0">#REF!</definedName>
    <definedName name="__p1" localSheetId="5">#REF!</definedName>
    <definedName name="__p1" localSheetId="15">#REF!</definedName>
    <definedName name="__p1" localSheetId="6">#REF!</definedName>
    <definedName name="__p1" localSheetId="16">#REF!</definedName>
    <definedName name="__p1" localSheetId="7">#REF!</definedName>
    <definedName name="__p1" localSheetId="1">#REF!</definedName>
    <definedName name="__p1" localSheetId="17">#REF!</definedName>
    <definedName name="__p1" localSheetId="8">#REF!</definedName>
    <definedName name="__p1" localSheetId="2">#REF!</definedName>
    <definedName name="__p1" localSheetId="18">#REF!</definedName>
    <definedName name="__p1" localSheetId="9">#REF!</definedName>
    <definedName name="__p1" localSheetId="3">#REF!</definedName>
    <definedName name="__p1" localSheetId="19">#REF!</definedName>
    <definedName name="__p1" localSheetId="10">#REF!</definedName>
    <definedName name="__p1" localSheetId="20">#REF!</definedName>
    <definedName name="__p1" localSheetId="11">#REF!</definedName>
    <definedName name="__p1" localSheetId="21">#REF!</definedName>
    <definedName name="__p1" localSheetId="12">#REF!</definedName>
    <definedName name="__p1" localSheetId="22">#REF!</definedName>
    <definedName name="__p1" localSheetId="13">#REF!</definedName>
    <definedName name="__p1">#REF!</definedName>
    <definedName name="__RM1">[7]PAG19!$B$3:$I$39</definedName>
    <definedName name="__RM2">[7]PAG19!$J$3:$P$39</definedName>
    <definedName name="_1" hidden="1">#REF!</definedName>
    <definedName name="_1_" localSheetId="14">#REF!</definedName>
    <definedName name="_1_" localSheetId="0">#REF!</definedName>
    <definedName name="_1_" localSheetId="5">#REF!</definedName>
    <definedName name="_1_" localSheetId="15">#REF!</definedName>
    <definedName name="_1_" localSheetId="6">#REF!</definedName>
    <definedName name="_1_" localSheetId="16">#REF!</definedName>
    <definedName name="_1_" localSheetId="7">#REF!</definedName>
    <definedName name="_1_" localSheetId="1">#REF!</definedName>
    <definedName name="_1_" localSheetId="17">#REF!</definedName>
    <definedName name="_1_" localSheetId="8">#REF!</definedName>
    <definedName name="_1_" localSheetId="2">#REF!</definedName>
    <definedName name="_1_" localSheetId="18">#REF!</definedName>
    <definedName name="_1_" localSheetId="9">#REF!</definedName>
    <definedName name="_1_" localSheetId="3">#REF!</definedName>
    <definedName name="_1_" localSheetId="19">#REF!</definedName>
    <definedName name="_1_" localSheetId="10">#REF!</definedName>
    <definedName name="_1_" localSheetId="20">#REF!</definedName>
    <definedName name="_1_" localSheetId="11">#REF!</definedName>
    <definedName name="_1_" localSheetId="21">#REF!</definedName>
    <definedName name="_1_" localSheetId="12">#REF!</definedName>
    <definedName name="_1_" localSheetId="22">#REF!</definedName>
    <definedName name="_1_" localSheetId="13">#REF!</definedName>
    <definedName name="_1_">#REF!</definedName>
    <definedName name="_1__123Graph_ACHART_1" localSheetId="14" hidden="1">[13]Hoja3!$J$368:$J$408</definedName>
    <definedName name="_1__123Graph_ACHART_1" localSheetId="0" hidden="1">[13]Hoja3!$J$368:$J$408</definedName>
    <definedName name="_1__123Graph_ACHART_1" localSheetId="5" hidden="1">[13]Hoja3!$J$368:$J$408</definedName>
    <definedName name="_1__123Graph_ACHART_1" localSheetId="15" hidden="1">[17]Hoja3!$J$368:$J$408</definedName>
    <definedName name="_1__123Graph_ACHART_1" localSheetId="6" hidden="1">[17]Hoja3!$J$368:$J$408</definedName>
    <definedName name="_1__123Graph_ACHART_1" localSheetId="16" hidden="1">[17]Hoja3!$J$368:$J$408</definedName>
    <definedName name="_1__123Graph_ACHART_1" localSheetId="7" hidden="1">[13]Hoja3!$J$368:$J$408</definedName>
    <definedName name="_1__123Graph_ACHART_1" localSheetId="1" hidden="1">[13]Hoja3!$J$368:$J$408</definedName>
    <definedName name="_1__123Graph_ACHART_1" localSheetId="17" hidden="1">[17]Hoja3!$J$368:$J$408</definedName>
    <definedName name="_1__123Graph_ACHART_1" localSheetId="8" hidden="1">[17]Hoja3!$J$368:$J$408</definedName>
    <definedName name="_1__123Graph_ACHART_1" localSheetId="2" hidden="1">[13]Hoja3!$J$368:$J$408</definedName>
    <definedName name="_1__123Graph_ACHART_1" localSheetId="18" hidden="1">[17]Hoja3!$J$368:$J$408</definedName>
    <definedName name="_1__123Graph_ACHART_1" localSheetId="9" hidden="1">[17]Hoja3!$J$368:$J$408</definedName>
    <definedName name="_1__123Graph_ACHART_1" localSheetId="3" hidden="1">[13]Hoja3!$J$368:$J$408</definedName>
    <definedName name="_1__123Graph_ACHART_1" localSheetId="19" hidden="1">[13]Hoja3!$J$368:$J$408</definedName>
    <definedName name="_1__123Graph_ACHART_1" localSheetId="10" hidden="1">[13]Hoja3!$J$368:$J$408</definedName>
    <definedName name="_1__123Graph_ACHART_1" localSheetId="20" hidden="1">[13]Hoja3!$J$368:$J$408</definedName>
    <definedName name="_1__123Graph_ACHART_1" localSheetId="11" hidden="1">[13]Hoja3!$J$368:$J$408</definedName>
    <definedName name="_1__123Graph_ACHART_1" localSheetId="21" hidden="1">[13]Hoja3!$J$368:$J$408</definedName>
    <definedName name="_1__123Graph_ACHART_1" localSheetId="12" hidden="1">[13]Hoja3!$J$368:$J$408</definedName>
    <definedName name="_1__123Graph_ACHART_1" localSheetId="22" hidden="1">[13]Hoja3!$J$368:$J$408</definedName>
    <definedName name="_1__123Graph_ACHART_1" localSheetId="13" hidden="1">[13]Hoja3!$J$368:$J$408</definedName>
    <definedName name="_1__123Graph_ACHART_1" hidden="1">[13]Hoja3!$J$368:$J$408</definedName>
    <definedName name="_1__123Graph_AGráfico_1A" hidden="1">[18]HIERRO!$B$47:$D$47</definedName>
    <definedName name="_10_abc" localSheetId="14" hidden="1">[19]HIERRO!#REF!</definedName>
    <definedName name="_10_abc" localSheetId="0" hidden="1">[19]HIERRO!#REF!</definedName>
    <definedName name="_10_abc" localSheetId="5" hidden="1">[19]HIERRO!#REF!</definedName>
    <definedName name="_10_abc" localSheetId="15" hidden="1">[19]HIERRO!#REF!</definedName>
    <definedName name="_10_abc" localSheetId="6" hidden="1">[19]HIERRO!#REF!</definedName>
    <definedName name="_10_abc" localSheetId="16" hidden="1">[19]HIERRO!#REF!</definedName>
    <definedName name="_10_abc" localSheetId="7" hidden="1">[19]HIERRO!#REF!</definedName>
    <definedName name="_10_abc" localSheetId="1" hidden="1">[19]HIERRO!#REF!</definedName>
    <definedName name="_10_abc" localSheetId="17" hidden="1">[19]HIERRO!#REF!</definedName>
    <definedName name="_10_abc" localSheetId="8" hidden="1">[19]HIERRO!#REF!</definedName>
    <definedName name="_10_abc" localSheetId="2" hidden="1">[19]HIERRO!#REF!</definedName>
    <definedName name="_10_abc" localSheetId="18" hidden="1">[19]HIERRO!#REF!</definedName>
    <definedName name="_10_abc" localSheetId="9" hidden="1">[19]HIERRO!#REF!</definedName>
    <definedName name="_10_abc" localSheetId="3" hidden="1">[19]HIERRO!#REF!</definedName>
    <definedName name="_10_abc" localSheetId="19" hidden="1">[19]HIERRO!#REF!</definedName>
    <definedName name="_10_abc" localSheetId="10" hidden="1">[19]HIERRO!#REF!</definedName>
    <definedName name="_10_abc" localSheetId="20" hidden="1">[19]HIERRO!#REF!</definedName>
    <definedName name="_10_abc" localSheetId="11" hidden="1">[19]HIERRO!#REF!</definedName>
    <definedName name="_10_abc" localSheetId="21" hidden="1">[19]HIERRO!#REF!</definedName>
    <definedName name="_10_abc" localSheetId="12" hidden="1">[19]HIERRO!#REF!</definedName>
    <definedName name="_10_abc" localSheetId="22" hidden="1">[19]HIERRO!#REF!</definedName>
    <definedName name="_10_abc" localSheetId="13" hidden="1">[19]HIERRO!#REF!</definedName>
    <definedName name="_10_abc" hidden="1">[19]HIERRO!#REF!</definedName>
    <definedName name="_16_0" localSheetId="14">#REF!</definedName>
    <definedName name="_16_0" localSheetId="0">#REF!</definedName>
    <definedName name="_16_0" localSheetId="5">#REF!</definedName>
    <definedName name="_16_0" localSheetId="15">#REF!</definedName>
    <definedName name="_16_0" localSheetId="6">#REF!</definedName>
    <definedName name="_16_0" localSheetId="16">#REF!</definedName>
    <definedName name="_16_0" localSheetId="7">#REF!</definedName>
    <definedName name="_16_0" localSheetId="1">#REF!</definedName>
    <definedName name="_16_0" localSheetId="17">#REF!</definedName>
    <definedName name="_16_0" localSheetId="8">#REF!</definedName>
    <definedName name="_16_0" localSheetId="2">#REF!</definedName>
    <definedName name="_16_0" localSheetId="18">#REF!</definedName>
    <definedName name="_16_0" localSheetId="9">#REF!</definedName>
    <definedName name="_16_0" localSheetId="3">#REF!</definedName>
    <definedName name="_16_0" localSheetId="19">#REF!</definedName>
    <definedName name="_16_0" localSheetId="10">#REF!</definedName>
    <definedName name="_16_0" localSheetId="20">#REF!</definedName>
    <definedName name="_16_0" localSheetId="11">#REF!</definedName>
    <definedName name="_16_0" localSheetId="21">#REF!</definedName>
    <definedName name="_16_0" localSheetId="12">#REF!</definedName>
    <definedName name="_16_0" localSheetId="22">#REF!</definedName>
    <definedName name="_16_0" localSheetId="13">#REF!</definedName>
    <definedName name="_16_0">#REF!</definedName>
    <definedName name="_2_" localSheetId="14">#REF!</definedName>
    <definedName name="_2_" localSheetId="0">#REF!</definedName>
    <definedName name="_2_" localSheetId="5">#REF!</definedName>
    <definedName name="_2_" localSheetId="15">#REF!</definedName>
    <definedName name="_2_" localSheetId="6">#REF!</definedName>
    <definedName name="_2_" localSheetId="16">#REF!</definedName>
    <definedName name="_2_" localSheetId="7">#REF!</definedName>
    <definedName name="_2_" localSheetId="1">#REF!</definedName>
    <definedName name="_2_" localSheetId="17">#REF!</definedName>
    <definedName name="_2_" localSheetId="8">#REF!</definedName>
    <definedName name="_2_" localSheetId="2">#REF!</definedName>
    <definedName name="_2_" localSheetId="18">#REF!</definedName>
    <definedName name="_2_" localSheetId="9">#REF!</definedName>
    <definedName name="_2_" localSheetId="3">#REF!</definedName>
    <definedName name="_2_" localSheetId="19">#REF!</definedName>
    <definedName name="_2_" localSheetId="10">#REF!</definedName>
    <definedName name="_2_" localSheetId="20">#REF!</definedName>
    <definedName name="_2_" localSheetId="11">#REF!</definedName>
    <definedName name="_2_" localSheetId="21">#REF!</definedName>
    <definedName name="_2_" localSheetId="12">#REF!</definedName>
    <definedName name="_2_" localSheetId="22">#REF!</definedName>
    <definedName name="_2_" localSheetId="13">#REF!</definedName>
    <definedName name="_2_">#REF!</definedName>
    <definedName name="_2__123Graph_ACHART_1" hidden="1">[13]Hoja3!$J$368:$J$408</definedName>
    <definedName name="_2__123Graph_BCHART_1" localSheetId="14" hidden="1">[19]EST_PB!$B$18:$D$18</definedName>
    <definedName name="_2__123Graph_BCHART_1" localSheetId="0" hidden="1">[19]EST_PB!$B$18:$D$18</definedName>
    <definedName name="_2__123Graph_BCHART_1" localSheetId="5" hidden="1">[19]EST_PB!$B$18:$D$18</definedName>
    <definedName name="_2__123Graph_BCHART_1" localSheetId="15" hidden="1">[19]EST_PB!$B$18:$D$18</definedName>
    <definedName name="_2__123Graph_BCHART_1" localSheetId="6" hidden="1">[19]EST_PB!$B$18:$D$18</definedName>
    <definedName name="_2__123Graph_BCHART_1" localSheetId="16" hidden="1">[19]EST_PB!$B$18:$D$18</definedName>
    <definedName name="_2__123Graph_BCHART_1" localSheetId="7" hidden="1">[19]EST_PB!$B$18:$D$18</definedName>
    <definedName name="_2__123Graph_BCHART_1" localSheetId="1" hidden="1">[19]EST_PB!$B$18:$D$18</definedName>
    <definedName name="_2__123Graph_BCHART_1" localSheetId="17" hidden="1">[19]EST_PB!$B$18:$D$18</definedName>
    <definedName name="_2__123Graph_BCHART_1" localSheetId="8" hidden="1">[19]EST_PB!$B$18:$D$18</definedName>
    <definedName name="_2__123Graph_BCHART_1" localSheetId="2" hidden="1">[19]EST_PB!$B$18:$D$18</definedName>
    <definedName name="_2__123Graph_BCHART_1" localSheetId="18" hidden="1">[19]EST_PB!$B$18:$D$18</definedName>
    <definedName name="_2__123Graph_BCHART_1" localSheetId="9" hidden="1">[19]EST_PB!$B$18:$D$18</definedName>
    <definedName name="_2__123Graph_BCHART_1" localSheetId="3" hidden="1">[19]EST_PB!$B$18:$D$18</definedName>
    <definedName name="_2__123Graph_BCHART_1" localSheetId="19" hidden="1">[19]EST_PB!$B$18:$D$18</definedName>
    <definedName name="_2__123Graph_BCHART_1" localSheetId="10" hidden="1">[19]EST_PB!$B$18:$D$18</definedName>
    <definedName name="_2__123Graph_BCHART_1" localSheetId="20" hidden="1">[19]EST_PB!$B$18:$D$18</definedName>
    <definedName name="_2__123Graph_BCHART_1" localSheetId="11" hidden="1">[19]EST_PB!$B$18:$D$18</definedName>
    <definedName name="_2__123Graph_BCHART_1" localSheetId="21" hidden="1">[19]EST_PB!$B$18:$D$18</definedName>
    <definedName name="_2__123Graph_BCHART_1" localSheetId="12" hidden="1">[19]EST_PB!$B$18:$D$18</definedName>
    <definedName name="_2__123Graph_BCHART_1" localSheetId="22" hidden="1">[19]EST_PB!$B$18:$D$18</definedName>
    <definedName name="_2__123Graph_BCHART_1" localSheetId="13" hidden="1">[19]EST_PB!$B$18:$D$18</definedName>
    <definedName name="_2__123Graph_BCHART_1" hidden="1">[19]EST_PB!$B$18:$D$18</definedName>
    <definedName name="_2__123Graph_XCHART_1" localSheetId="14" hidden="1">[13]Hoja3!$A$368:$A$408</definedName>
    <definedName name="_2__123Graph_XCHART_1" localSheetId="0" hidden="1">[13]Hoja3!$A$368:$A$408</definedName>
    <definedName name="_2__123Graph_XCHART_1" localSheetId="5" hidden="1">[13]Hoja3!$A$368:$A$408</definedName>
    <definedName name="_2__123Graph_XCHART_1" localSheetId="15" hidden="1">[17]Hoja3!$A$368:$A$408</definedName>
    <definedName name="_2__123Graph_XCHART_1" localSheetId="6" hidden="1">[17]Hoja3!$A$368:$A$408</definedName>
    <definedName name="_2__123Graph_XCHART_1" localSheetId="16" hidden="1">[17]Hoja3!$A$368:$A$408</definedName>
    <definedName name="_2__123Graph_XCHART_1" localSheetId="7" hidden="1">[13]Hoja3!$A$368:$A$408</definedName>
    <definedName name="_2__123Graph_XCHART_1" localSheetId="1" hidden="1">[13]Hoja3!$A$368:$A$408</definedName>
    <definedName name="_2__123Graph_XCHART_1" localSheetId="17" hidden="1">[17]Hoja3!$A$368:$A$408</definedName>
    <definedName name="_2__123Graph_XCHART_1" localSheetId="8" hidden="1">[17]Hoja3!$A$368:$A$408</definedName>
    <definedName name="_2__123Graph_XCHART_1" localSheetId="2" hidden="1">[13]Hoja3!$A$368:$A$408</definedName>
    <definedName name="_2__123Graph_XCHART_1" localSheetId="18" hidden="1">[17]Hoja3!$A$368:$A$408</definedName>
    <definedName name="_2__123Graph_XCHART_1" localSheetId="9" hidden="1">[17]Hoja3!$A$368:$A$408</definedName>
    <definedName name="_2__123Graph_XCHART_1" localSheetId="3" hidden="1">[13]Hoja3!$A$368:$A$408</definedName>
    <definedName name="_2__123Graph_XCHART_1" localSheetId="19" hidden="1">[13]Hoja3!$A$368:$A$408</definedName>
    <definedName name="_2__123Graph_XCHART_1" localSheetId="10" hidden="1">[13]Hoja3!$A$368:$A$408</definedName>
    <definedName name="_2__123Graph_XCHART_1" localSheetId="20" hidden="1">[13]Hoja3!$A$368:$A$408</definedName>
    <definedName name="_2__123Graph_XCHART_1" localSheetId="11" hidden="1">[13]Hoja3!$A$368:$A$408</definedName>
    <definedName name="_2__123Graph_XCHART_1" localSheetId="21" hidden="1">[13]Hoja3!$A$368:$A$408</definedName>
    <definedName name="_2__123Graph_XCHART_1" localSheetId="12" hidden="1">[13]Hoja3!$A$368:$A$408</definedName>
    <definedName name="_2__123Graph_XCHART_1" localSheetId="22" hidden="1">[13]Hoja3!$A$368:$A$408</definedName>
    <definedName name="_2__123Graph_XCHART_1" localSheetId="13" hidden="1">[13]Hoja3!$A$368:$A$408</definedName>
    <definedName name="_2__123Graph_XCHART_1" hidden="1">[13]Hoja3!$A$368:$A$408</definedName>
    <definedName name="_2_0" localSheetId="14">#REF!</definedName>
    <definedName name="_2_0" localSheetId="0">#REF!</definedName>
    <definedName name="_2_0" localSheetId="5">#REF!</definedName>
    <definedName name="_2_0" localSheetId="15">#REF!</definedName>
    <definedName name="_2_0" localSheetId="6">#REF!</definedName>
    <definedName name="_2_0" localSheetId="16">#REF!</definedName>
    <definedName name="_2_0" localSheetId="7">#REF!</definedName>
    <definedName name="_2_0" localSheetId="1">#REF!</definedName>
    <definedName name="_2_0" localSheetId="17">#REF!</definedName>
    <definedName name="_2_0" localSheetId="8">#REF!</definedName>
    <definedName name="_2_0" localSheetId="2">#REF!</definedName>
    <definedName name="_2_0" localSheetId="18">#REF!</definedName>
    <definedName name="_2_0" localSheetId="9">#REF!</definedName>
    <definedName name="_2_0" localSheetId="3">#REF!</definedName>
    <definedName name="_2_0" localSheetId="19">#REF!</definedName>
    <definedName name="_2_0" localSheetId="10">#REF!</definedName>
    <definedName name="_2_0" localSheetId="20">#REF!</definedName>
    <definedName name="_2_0" localSheetId="11">#REF!</definedName>
    <definedName name="_2_0" localSheetId="21">#REF!</definedName>
    <definedName name="_2_0" localSheetId="12">#REF!</definedName>
    <definedName name="_2_0" localSheetId="22">#REF!</definedName>
    <definedName name="_2_0" localSheetId="13">#REF!</definedName>
    <definedName name="_2_0">#REF!</definedName>
    <definedName name="_27_0" localSheetId="14">#REF!</definedName>
    <definedName name="_27_0" localSheetId="0">#REF!</definedName>
    <definedName name="_27_0" localSheetId="5">#REF!</definedName>
    <definedName name="_27_0" localSheetId="15">#REF!</definedName>
    <definedName name="_27_0" localSheetId="6">#REF!</definedName>
    <definedName name="_27_0" localSheetId="16">#REF!</definedName>
    <definedName name="_27_0" localSheetId="7">#REF!</definedName>
    <definedName name="_27_0" localSheetId="1">#REF!</definedName>
    <definedName name="_27_0" localSheetId="17">#REF!</definedName>
    <definedName name="_27_0" localSheetId="8">#REF!</definedName>
    <definedName name="_27_0" localSheetId="2">#REF!</definedName>
    <definedName name="_27_0" localSheetId="18">#REF!</definedName>
    <definedName name="_27_0" localSheetId="9">#REF!</definedName>
    <definedName name="_27_0" localSheetId="3">#REF!</definedName>
    <definedName name="_27_0" localSheetId="19">#REF!</definedName>
    <definedName name="_27_0" localSheetId="10">#REF!</definedName>
    <definedName name="_27_0" localSheetId="20">#REF!</definedName>
    <definedName name="_27_0" localSheetId="11">#REF!</definedName>
    <definedName name="_27_0" localSheetId="21">#REF!</definedName>
    <definedName name="_27_0" localSheetId="12">#REF!</definedName>
    <definedName name="_27_0" localSheetId="22">#REF!</definedName>
    <definedName name="_27_0" localSheetId="13">#REF!</definedName>
    <definedName name="_27_0">#REF!</definedName>
    <definedName name="_28_0" localSheetId="14">#REF!</definedName>
    <definedName name="_28_0" localSheetId="0">#REF!</definedName>
    <definedName name="_28_0" localSheetId="5">#REF!</definedName>
    <definedName name="_28_0" localSheetId="15">#REF!</definedName>
    <definedName name="_28_0" localSheetId="6">#REF!</definedName>
    <definedName name="_28_0" localSheetId="16">#REF!</definedName>
    <definedName name="_28_0" localSheetId="7">#REF!</definedName>
    <definedName name="_28_0" localSheetId="1">#REF!</definedName>
    <definedName name="_28_0" localSheetId="17">#REF!</definedName>
    <definedName name="_28_0" localSheetId="8">#REF!</definedName>
    <definedName name="_28_0" localSheetId="2">#REF!</definedName>
    <definedName name="_28_0" localSheetId="18">#REF!</definedName>
    <definedName name="_28_0" localSheetId="9">#REF!</definedName>
    <definedName name="_28_0" localSheetId="3">#REF!</definedName>
    <definedName name="_28_0" localSheetId="19">#REF!</definedName>
    <definedName name="_28_0" localSheetId="10">#REF!</definedName>
    <definedName name="_28_0" localSheetId="20">#REF!</definedName>
    <definedName name="_28_0" localSheetId="11">#REF!</definedName>
    <definedName name="_28_0" localSheetId="21">#REF!</definedName>
    <definedName name="_28_0" localSheetId="12">#REF!</definedName>
    <definedName name="_28_0" localSheetId="22">#REF!</definedName>
    <definedName name="_28_0" localSheetId="13">#REF!</definedName>
    <definedName name="_28_0">#REF!</definedName>
    <definedName name="_29_0" localSheetId="14">#REF!</definedName>
    <definedName name="_29_0" localSheetId="0">#REF!</definedName>
    <definedName name="_29_0" localSheetId="5">#REF!</definedName>
    <definedName name="_29_0" localSheetId="15">#REF!</definedName>
    <definedName name="_29_0" localSheetId="6">#REF!</definedName>
    <definedName name="_29_0" localSheetId="16">#REF!</definedName>
    <definedName name="_29_0" localSheetId="7">#REF!</definedName>
    <definedName name="_29_0" localSheetId="1">#REF!</definedName>
    <definedName name="_29_0" localSheetId="17">#REF!</definedName>
    <definedName name="_29_0" localSheetId="8">#REF!</definedName>
    <definedName name="_29_0" localSheetId="2">#REF!</definedName>
    <definedName name="_29_0" localSheetId="18">#REF!</definedName>
    <definedName name="_29_0" localSheetId="9">#REF!</definedName>
    <definedName name="_29_0" localSheetId="3">#REF!</definedName>
    <definedName name="_29_0" localSheetId="19">#REF!</definedName>
    <definedName name="_29_0" localSheetId="10">#REF!</definedName>
    <definedName name="_29_0" localSheetId="20">#REF!</definedName>
    <definedName name="_29_0" localSheetId="11">#REF!</definedName>
    <definedName name="_29_0" localSheetId="21">#REF!</definedName>
    <definedName name="_29_0" localSheetId="12">#REF!</definedName>
    <definedName name="_29_0" localSheetId="22">#REF!</definedName>
    <definedName name="_29_0" localSheetId="13">#REF!</definedName>
    <definedName name="_29_0">#REF!</definedName>
    <definedName name="_3__123Graph_ACHART_1" hidden="1">[13]Hoja3!$J$368:$J$408</definedName>
    <definedName name="_3__123Graph_BGráfico_1A" hidden="1">[18]HIERRO!$B$49:$D$49</definedName>
    <definedName name="_3__123Graph_XCHART_1" hidden="1">[13]Hoja3!$A$368:$A$408</definedName>
    <definedName name="_3_0" localSheetId="14">#REF!</definedName>
    <definedName name="_3_0" localSheetId="0">#REF!</definedName>
    <definedName name="_3_0" localSheetId="5">#REF!</definedName>
    <definedName name="_3_0" localSheetId="15">#REF!</definedName>
    <definedName name="_3_0" localSheetId="6">#REF!</definedName>
    <definedName name="_3_0" localSheetId="16">#REF!</definedName>
    <definedName name="_3_0" localSheetId="7">#REF!</definedName>
    <definedName name="_3_0" localSheetId="1">#REF!</definedName>
    <definedName name="_3_0" localSheetId="17">#REF!</definedName>
    <definedName name="_3_0" localSheetId="8">#REF!</definedName>
    <definedName name="_3_0" localSheetId="2">#REF!</definedName>
    <definedName name="_3_0" localSheetId="18">#REF!</definedName>
    <definedName name="_3_0" localSheetId="9">#REF!</definedName>
    <definedName name="_3_0" localSheetId="3">#REF!</definedName>
    <definedName name="_3_0" localSheetId="19">#REF!</definedName>
    <definedName name="_3_0" localSheetId="10">#REF!</definedName>
    <definedName name="_3_0" localSheetId="20">#REF!</definedName>
    <definedName name="_3_0" localSheetId="11">#REF!</definedName>
    <definedName name="_3_0" localSheetId="21">#REF!</definedName>
    <definedName name="_3_0" localSheetId="12">#REF!</definedName>
    <definedName name="_3_0" localSheetId="22">#REF!</definedName>
    <definedName name="_3_0" localSheetId="13">#REF!</definedName>
    <definedName name="_3_0">#REF!</definedName>
    <definedName name="_30_0" localSheetId="14">#REF!</definedName>
    <definedName name="_30_0" localSheetId="0">#REF!</definedName>
    <definedName name="_30_0" localSheetId="5">#REF!</definedName>
    <definedName name="_30_0" localSheetId="15">#REF!</definedName>
    <definedName name="_30_0" localSheetId="6">#REF!</definedName>
    <definedName name="_30_0" localSheetId="16">#REF!</definedName>
    <definedName name="_30_0" localSheetId="7">#REF!</definedName>
    <definedName name="_30_0" localSheetId="1">#REF!</definedName>
    <definedName name="_30_0" localSheetId="17">#REF!</definedName>
    <definedName name="_30_0" localSheetId="8">#REF!</definedName>
    <definedName name="_30_0" localSheetId="2">#REF!</definedName>
    <definedName name="_30_0" localSheetId="18">#REF!</definedName>
    <definedName name="_30_0" localSheetId="9">#REF!</definedName>
    <definedName name="_30_0" localSheetId="3">#REF!</definedName>
    <definedName name="_30_0" localSheetId="19">#REF!</definedName>
    <definedName name="_30_0" localSheetId="10">#REF!</definedName>
    <definedName name="_30_0" localSheetId="20">#REF!</definedName>
    <definedName name="_30_0" localSheetId="11">#REF!</definedName>
    <definedName name="_30_0" localSheetId="21">#REF!</definedName>
    <definedName name="_30_0" localSheetId="12">#REF!</definedName>
    <definedName name="_30_0" localSheetId="22">#REF!</definedName>
    <definedName name="_30_0" localSheetId="13">#REF!</definedName>
    <definedName name="_30_0">#REF!</definedName>
    <definedName name="_31_0" localSheetId="14">#REF!</definedName>
    <definedName name="_31_0" localSheetId="0">#REF!</definedName>
    <definedName name="_31_0" localSheetId="5">#REF!</definedName>
    <definedName name="_31_0" localSheetId="15">#REF!</definedName>
    <definedName name="_31_0" localSheetId="6">#REF!</definedName>
    <definedName name="_31_0" localSheetId="16">#REF!</definedName>
    <definedName name="_31_0" localSheetId="7">#REF!</definedName>
    <definedName name="_31_0" localSheetId="1">#REF!</definedName>
    <definedName name="_31_0" localSheetId="17">#REF!</definedName>
    <definedName name="_31_0" localSheetId="8">#REF!</definedName>
    <definedName name="_31_0" localSheetId="2">#REF!</definedName>
    <definedName name="_31_0" localSheetId="18">#REF!</definedName>
    <definedName name="_31_0" localSheetId="9">#REF!</definedName>
    <definedName name="_31_0" localSheetId="3">#REF!</definedName>
    <definedName name="_31_0" localSheetId="19">#REF!</definedName>
    <definedName name="_31_0" localSheetId="10">#REF!</definedName>
    <definedName name="_31_0" localSheetId="20">#REF!</definedName>
    <definedName name="_31_0" localSheetId="11">#REF!</definedName>
    <definedName name="_31_0" localSheetId="21">#REF!</definedName>
    <definedName name="_31_0" localSheetId="12">#REF!</definedName>
    <definedName name="_31_0" localSheetId="22">#REF!</definedName>
    <definedName name="_31_0" localSheetId="13">#REF!</definedName>
    <definedName name="_31_0">#REF!</definedName>
    <definedName name="_4__123Graph_CCHART_1" localSheetId="14" hidden="1">[19]EST_PB!$B$19:$D$19</definedName>
    <definedName name="_4__123Graph_CCHART_1" localSheetId="0" hidden="1">[19]EST_PB!$B$19:$D$19</definedName>
    <definedName name="_4__123Graph_CCHART_1" localSheetId="5" hidden="1">[19]EST_PB!$B$19:$D$19</definedName>
    <definedName name="_4__123Graph_CCHART_1" localSheetId="15" hidden="1">[19]EST_PB!$B$19:$D$19</definedName>
    <definedName name="_4__123Graph_CCHART_1" localSheetId="6" hidden="1">[19]EST_PB!$B$19:$D$19</definedName>
    <definedName name="_4__123Graph_CCHART_1" localSheetId="16" hidden="1">[19]EST_PB!$B$19:$D$19</definedName>
    <definedName name="_4__123Graph_CCHART_1" localSheetId="7" hidden="1">[19]EST_PB!$B$19:$D$19</definedName>
    <definedName name="_4__123Graph_CCHART_1" localSheetId="1" hidden="1">[19]EST_PB!$B$19:$D$19</definedName>
    <definedName name="_4__123Graph_CCHART_1" localSheetId="17" hidden="1">[19]EST_PB!$B$19:$D$19</definedName>
    <definedName name="_4__123Graph_CCHART_1" localSheetId="8" hidden="1">[19]EST_PB!$B$19:$D$19</definedName>
    <definedName name="_4__123Graph_CCHART_1" localSheetId="2" hidden="1">[19]EST_PB!$B$19:$D$19</definedName>
    <definedName name="_4__123Graph_CCHART_1" localSheetId="18" hidden="1">[19]EST_PB!$B$19:$D$19</definedName>
    <definedName name="_4__123Graph_CCHART_1" localSheetId="9" hidden="1">[19]EST_PB!$B$19:$D$19</definedName>
    <definedName name="_4__123Graph_CCHART_1" localSheetId="3" hidden="1">[19]EST_PB!$B$19:$D$19</definedName>
    <definedName name="_4__123Graph_CCHART_1" localSheetId="19" hidden="1">[19]EST_PB!$B$19:$D$19</definedName>
    <definedName name="_4__123Graph_CCHART_1" localSheetId="10" hidden="1">[19]EST_PB!$B$19:$D$19</definedName>
    <definedName name="_4__123Graph_CCHART_1" localSheetId="20" hidden="1">[19]EST_PB!$B$19:$D$19</definedName>
    <definedName name="_4__123Graph_CCHART_1" localSheetId="11" hidden="1">[19]EST_PB!$B$19:$D$19</definedName>
    <definedName name="_4__123Graph_CCHART_1" localSheetId="21" hidden="1">[19]EST_PB!$B$19:$D$19</definedName>
    <definedName name="_4__123Graph_CCHART_1" localSheetId="12" hidden="1">[19]EST_PB!$B$19:$D$19</definedName>
    <definedName name="_4__123Graph_CCHART_1" localSheetId="22" hidden="1">[19]EST_PB!$B$19:$D$19</definedName>
    <definedName name="_4__123Graph_CCHART_1" localSheetId="13" hidden="1">[19]EST_PB!$B$19:$D$19</definedName>
    <definedName name="_4__123Graph_CCHART_1" hidden="1">[19]EST_PB!$B$19:$D$19</definedName>
    <definedName name="_4__123Graph_XCHART_1" hidden="1">[13]Hoja3!$A$368:$A$408</definedName>
    <definedName name="_4_0" localSheetId="14">#REF!</definedName>
    <definedName name="_4_0" localSheetId="0">#REF!</definedName>
    <definedName name="_4_0" localSheetId="5">#REF!</definedName>
    <definedName name="_4_0" localSheetId="15">#REF!</definedName>
    <definedName name="_4_0" localSheetId="6">#REF!</definedName>
    <definedName name="_4_0" localSheetId="16">#REF!</definedName>
    <definedName name="_4_0" localSheetId="7">#REF!</definedName>
    <definedName name="_4_0" localSheetId="1">#REF!</definedName>
    <definedName name="_4_0" localSheetId="17">#REF!</definedName>
    <definedName name="_4_0" localSheetId="8">#REF!</definedName>
    <definedName name="_4_0" localSheetId="2">#REF!</definedName>
    <definedName name="_4_0" localSheetId="18">#REF!</definedName>
    <definedName name="_4_0" localSheetId="9">#REF!</definedName>
    <definedName name="_4_0" localSheetId="3">#REF!</definedName>
    <definedName name="_4_0" localSheetId="19">#REF!</definedName>
    <definedName name="_4_0" localSheetId="10">#REF!</definedName>
    <definedName name="_4_0" localSheetId="20">#REF!</definedName>
    <definedName name="_4_0" localSheetId="11">#REF!</definedName>
    <definedName name="_4_0" localSheetId="21">#REF!</definedName>
    <definedName name="_4_0" localSheetId="12">#REF!</definedName>
    <definedName name="_4_0" localSheetId="22">#REF!</definedName>
    <definedName name="_4_0" localSheetId="13">#REF!</definedName>
    <definedName name="_4_0">#REF!</definedName>
    <definedName name="_5__123Graph_CGráfico_1A" hidden="1">[18]HIERRO!$B$51:$D$51</definedName>
    <definedName name="_5_0" localSheetId="14">#REF!</definedName>
    <definedName name="_5_0" localSheetId="0">#REF!</definedName>
    <definedName name="_5_0" localSheetId="5">#REF!</definedName>
    <definedName name="_5_0" localSheetId="15">#REF!</definedName>
    <definedName name="_5_0" localSheetId="6">#REF!</definedName>
    <definedName name="_5_0" localSheetId="16">#REF!</definedName>
    <definedName name="_5_0" localSheetId="7">#REF!</definedName>
    <definedName name="_5_0" localSheetId="1">#REF!</definedName>
    <definedName name="_5_0" localSheetId="17">#REF!</definedName>
    <definedName name="_5_0" localSheetId="8">#REF!</definedName>
    <definedName name="_5_0" localSheetId="2">#REF!</definedName>
    <definedName name="_5_0" localSheetId="18">#REF!</definedName>
    <definedName name="_5_0" localSheetId="9">#REF!</definedName>
    <definedName name="_5_0" localSheetId="3">#REF!</definedName>
    <definedName name="_5_0" localSheetId="19">#REF!</definedName>
    <definedName name="_5_0" localSheetId="10">#REF!</definedName>
    <definedName name="_5_0" localSheetId="20">#REF!</definedName>
    <definedName name="_5_0" localSheetId="11">#REF!</definedName>
    <definedName name="_5_0" localSheetId="21">#REF!</definedName>
    <definedName name="_5_0" localSheetId="12">#REF!</definedName>
    <definedName name="_5_0" localSheetId="22">#REF!</definedName>
    <definedName name="_5_0" localSheetId="13">#REF!</definedName>
    <definedName name="_5_0">#REF!</definedName>
    <definedName name="_6__123Graph_DGráfico_1A" hidden="1">[18]HIERRO!$B$53:$D$53</definedName>
    <definedName name="_6_0" localSheetId="14">#REF!</definedName>
    <definedName name="_6_0" localSheetId="0">#REF!</definedName>
    <definedName name="_6_0" localSheetId="5">#REF!</definedName>
    <definedName name="_6_0" localSheetId="15">#REF!</definedName>
    <definedName name="_6_0" localSheetId="6">#REF!</definedName>
    <definedName name="_6_0" localSheetId="16">#REF!</definedName>
    <definedName name="_6_0" localSheetId="7">#REF!</definedName>
    <definedName name="_6_0" localSheetId="1">#REF!</definedName>
    <definedName name="_6_0" localSheetId="17">#REF!</definedName>
    <definedName name="_6_0" localSheetId="8">#REF!</definedName>
    <definedName name="_6_0" localSheetId="2">#REF!</definedName>
    <definedName name="_6_0" localSheetId="18">#REF!</definedName>
    <definedName name="_6_0" localSheetId="9">#REF!</definedName>
    <definedName name="_6_0" localSheetId="3">#REF!</definedName>
    <definedName name="_6_0" localSheetId="19">#REF!</definedName>
    <definedName name="_6_0" localSheetId="10">#REF!</definedName>
    <definedName name="_6_0" localSheetId="20">#REF!</definedName>
    <definedName name="_6_0" localSheetId="11">#REF!</definedName>
    <definedName name="_6_0" localSheetId="21">#REF!</definedName>
    <definedName name="_6_0" localSheetId="12">#REF!</definedName>
    <definedName name="_6_0" localSheetId="22">#REF!</definedName>
    <definedName name="_6_0" localSheetId="13">#REF!</definedName>
    <definedName name="_6_0">#REF!</definedName>
    <definedName name="_7.4">#N/A</definedName>
    <definedName name="_7.5" localSheetId="14">#REF!</definedName>
    <definedName name="_7.5" localSheetId="0">#REF!</definedName>
    <definedName name="_7.5" localSheetId="5">#REF!</definedName>
    <definedName name="_7.5" localSheetId="15">#REF!</definedName>
    <definedName name="_7.5" localSheetId="6">#REF!</definedName>
    <definedName name="_7.5" localSheetId="16">#REF!</definedName>
    <definedName name="_7.5" localSheetId="7">#REF!</definedName>
    <definedName name="_7.5" localSheetId="1">#REF!</definedName>
    <definedName name="_7.5" localSheetId="17">#REF!</definedName>
    <definedName name="_7.5" localSheetId="8">#REF!</definedName>
    <definedName name="_7.5" localSheetId="2">#REF!</definedName>
    <definedName name="_7.5" localSheetId="18">#REF!</definedName>
    <definedName name="_7.5" localSheetId="9">#REF!</definedName>
    <definedName name="_7.5" localSheetId="3">#REF!</definedName>
    <definedName name="_7.5" localSheetId="19">#REF!</definedName>
    <definedName name="_7.5" localSheetId="10">#REF!</definedName>
    <definedName name="_7.5" localSheetId="20">#REF!</definedName>
    <definedName name="_7.5" localSheetId="11">#REF!</definedName>
    <definedName name="_7.5" localSheetId="21">#REF!</definedName>
    <definedName name="_7.5" localSheetId="12">#REF!</definedName>
    <definedName name="_7.5" localSheetId="22">#REF!</definedName>
    <definedName name="_7.5" localSheetId="13">#REF!</definedName>
    <definedName name="_7.5">#REF!</definedName>
    <definedName name="_7.6">#N/A</definedName>
    <definedName name="_7.7">#N/A</definedName>
    <definedName name="_7_" localSheetId="14">#REF!</definedName>
    <definedName name="_7_" localSheetId="0">#REF!</definedName>
    <definedName name="_7_" localSheetId="5">#REF!</definedName>
    <definedName name="_7_" localSheetId="15">#REF!</definedName>
    <definedName name="_7_" localSheetId="6">#REF!</definedName>
    <definedName name="_7_" localSheetId="16">#REF!</definedName>
    <definedName name="_7_" localSheetId="7">#REF!</definedName>
    <definedName name="_7_" localSheetId="1">#REF!</definedName>
    <definedName name="_7_" localSheetId="17">#REF!</definedName>
    <definedName name="_7_" localSheetId="8">#REF!</definedName>
    <definedName name="_7_" localSheetId="2">#REF!</definedName>
    <definedName name="_7_" localSheetId="18">#REF!</definedName>
    <definedName name="_7_" localSheetId="9">#REF!</definedName>
    <definedName name="_7_" localSheetId="3">#REF!</definedName>
    <definedName name="_7_" localSheetId="19">#REF!</definedName>
    <definedName name="_7_" localSheetId="10">#REF!</definedName>
    <definedName name="_7_" localSheetId="20">#REF!</definedName>
    <definedName name="_7_" localSheetId="11">#REF!</definedName>
    <definedName name="_7_" localSheetId="21">#REF!</definedName>
    <definedName name="_7_" localSheetId="12">#REF!</definedName>
    <definedName name="_7_" localSheetId="22">#REF!</definedName>
    <definedName name="_7_" localSheetId="13">#REF!</definedName>
    <definedName name="_7_">#REF!</definedName>
    <definedName name="_7__123Graph_EGráfico_1A" hidden="1">[18]HIERRO!$B$53:$D$53</definedName>
    <definedName name="_7_0" localSheetId="14">#REF!</definedName>
    <definedName name="_7_0" localSheetId="0">#REF!</definedName>
    <definedName name="_7_0" localSheetId="5">#REF!</definedName>
    <definedName name="_7_0" localSheetId="15">#REF!</definedName>
    <definedName name="_7_0" localSheetId="6">#REF!</definedName>
    <definedName name="_7_0" localSheetId="16">#REF!</definedName>
    <definedName name="_7_0" localSheetId="7">#REF!</definedName>
    <definedName name="_7_0" localSheetId="1">#REF!</definedName>
    <definedName name="_7_0" localSheetId="17">#REF!</definedName>
    <definedName name="_7_0" localSheetId="8">#REF!</definedName>
    <definedName name="_7_0" localSheetId="2">#REF!</definedName>
    <definedName name="_7_0" localSheetId="18">#REF!</definedName>
    <definedName name="_7_0" localSheetId="9">#REF!</definedName>
    <definedName name="_7_0" localSheetId="3">#REF!</definedName>
    <definedName name="_7_0" localSheetId="19">#REF!</definedName>
    <definedName name="_7_0" localSheetId="10">#REF!</definedName>
    <definedName name="_7_0" localSheetId="20">#REF!</definedName>
    <definedName name="_7_0" localSheetId="11">#REF!</definedName>
    <definedName name="_7_0" localSheetId="21">#REF!</definedName>
    <definedName name="_7_0" localSheetId="12">#REF!</definedName>
    <definedName name="_7_0" localSheetId="22">#REF!</definedName>
    <definedName name="_7_0" localSheetId="13">#REF!</definedName>
    <definedName name="_7_0">#REF!</definedName>
    <definedName name="_8__123Graph_ACHART_1" hidden="1">[13]Hoja3!$J$368:$J$408</definedName>
    <definedName name="_8__123Graph_FGráfico_1A" localSheetId="14" hidden="1">[19]HIERRO!#REF!</definedName>
    <definedName name="_8__123Graph_FGráfico_1A" localSheetId="0" hidden="1">[19]HIERRO!#REF!</definedName>
    <definedName name="_8__123Graph_FGráfico_1A" localSheetId="5" hidden="1">[19]HIERRO!#REF!</definedName>
    <definedName name="_8__123Graph_FGráfico_1A" localSheetId="15" hidden="1">[19]HIERRO!#REF!</definedName>
    <definedName name="_8__123Graph_FGráfico_1A" localSheetId="6" hidden="1">[19]HIERRO!#REF!</definedName>
    <definedName name="_8__123Graph_FGráfico_1A" localSheetId="16" hidden="1">[19]HIERRO!#REF!</definedName>
    <definedName name="_8__123Graph_FGráfico_1A" localSheetId="7" hidden="1">[19]HIERRO!#REF!</definedName>
    <definedName name="_8__123Graph_FGráfico_1A" localSheetId="1" hidden="1">[19]HIERRO!#REF!</definedName>
    <definedName name="_8__123Graph_FGráfico_1A" localSheetId="17" hidden="1">[19]HIERRO!#REF!</definedName>
    <definedName name="_8__123Graph_FGráfico_1A" localSheetId="8" hidden="1">[19]HIERRO!#REF!</definedName>
    <definedName name="_8__123Graph_FGráfico_1A" localSheetId="2" hidden="1">[19]HIERRO!#REF!</definedName>
    <definedName name="_8__123Graph_FGráfico_1A" localSheetId="18" hidden="1">[19]HIERRO!#REF!</definedName>
    <definedName name="_8__123Graph_FGráfico_1A" localSheetId="9" hidden="1">[19]HIERRO!#REF!</definedName>
    <definedName name="_8__123Graph_FGráfico_1A" localSheetId="3" hidden="1">[19]HIERRO!#REF!</definedName>
    <definedName name="_8__123Graph_FGráfico_1A" localSheetId="19" hidden="1">[19]HIERRO!#REF!</definedName>
    <definedName name="_8__123Graph_FGráfico_1A" localSheetId="10" hidden="1">[19]HIERRO!#REF!</definedName>
    <definedName name="_8__123Graph_FGráfico_1A" localSheetId="20" hidden="1">[19]HIERRO!#REF!</definedName>
    <definedName name="_8__123Graph_FGráfico_1A" localSheetId="11" hidden="1">[19]HIERRO!#REF!</definedName>
    <definedName name="_8__123Graph_FGráfico_1A" localSheetId="21" hidden="1">[19]HIERRO!#REF!</definedName>
    <definedName name="_8__123Graph_FGráfico_1A" localSheetId="12" hidden="1">[19]HIERRO!#REF!</definedName>
    <definedName name="_8__123Graph_FGráfico_1A" localSheetId="22" hidden="1">[19]HIERRO!#REF!</definedName>
    <definedName name="_8__123Graph_FGráfico_1A" localSheetId="13" hidden="1">[19]HIERRO!#REF!</definedName>
    <definedName name="_8__123Graph_FGráfico_1A" hidden="1">[19]HIERRO!#REF!</definedName>
    <definedName name="_9__123Graph_XCHART_1" hidden="1">[13]Hoja3!$A$368:$A$408</definedName>
    <definedName name="_9__123Graph_XGráfico_1A" localSheetId="14" hidden="1">[19]HIERRO!#REF!</definedName>
    <definedName name="_9__123Graph_XGráfico_1A" localSheetId="0" hidden="1">[19]HIERRO!#REF!</definedName>
    <definedName name="_9__123Graph_XGráfico_1A" localSheetId="5" hidden="1">[19]HIERRO!#REF!</definedName>
    <definedName name="_9__123Graph_XGráfico_1A" localSheetId="15" hidden="1">[19]HIERRO!#REF!</definedName>
    <definedName name="_9__123Graph_XGráfico_1A" localSheetId="6" hidden="1">[19]HIERRO!#REF!</definedName>
    <definedName name="_9__123Graph_XGráfico_1A" localSheetId="16" hidden="1">[19]HIERRO!#REF!</definedName>
    <definedName name="_9__123Graph_XGráfico_1A" localSheetId="7" hidden="1">[19]HIERRO!#REF!</definedName>
    <definedName name="_9__123Graph_XGráfico_1A" localSheetId="1" hidden="1">[19]HIERRO!#REF!</definedName>
    <definedName name="_9__123Graph_XGráfico_1A" localSheetId="17" hidden="1">[19]HIERRO!#REF!</definedName>
    <definedName name="_9__123Graph_XGráfico_1A" localSheetId="8" hidden="1">[19]HIERRO!#REF!</definedName>
    <definedName name="_9__123Graph_XGráfico_1A" localSheetId="2" hidden="1">[19]HIERRO!#REF!</definedName>
    <definedName name="_9__123Graph_XGráfico_1A" localSheetId="18" hidden="1">[19]HIERRO!#REF!</definedName>
    <definedName name="_9__123Graph_XGráfico_1A" localSheetId="9" hidden="1">[19]HIERRO!#REF!</definedName>
    <definedName name="_9__123Graph_XGráfico_1A" localSheetId="3" hidden="1">[19]HIERRO!#REF!</definedName>
    <definedName name="_9__123Graph_XGráfico_1A" localSheetId="19" hidden="1">[19]HIERRO!#REF!</definedName>
    <definedName name="_9__123Graph_XGráfico_1A" localSheetId="10" hidden="1">[19]HIERRO!#REF!</definedName>
    <definedName name="_9__123Graph_XGráfico_1A" localSheetId="20" hidden="1">[19]HIERRO!#REF!</definedName>
    <definedName name="_9__123Graph_XGráfico_1A" localSheetId="11" hidden="1">[19]HIERRO!#REF!</definedName>
    <definedName name="_9__123Graph_XGráfico_1A" localSheetId="21" hidden="1">[19]HIERRO!#REF!</definedName>
    <definedName name="_9__123Graph_XGráfico_1A" localSheetId="12" hidden="1">[19]HIERRO!#REF!</definedName>
    <definedName name="_9__123Graph_XGráfico_1A" localSheetId="22" hidden="1">[19]HIERRO!#REF!</definedName>
    <definedName name="_9__123Graph_XGráfico_1A" localSheetId="13" hidden="1">[19]HIERRO!#REF!</definedName>
    <definedName name="_9__123Graph_XGráfico_1A" hidden="1">[19]HIERRO!#REF!</definedName>
    <definedName name="_A2" localSheetId="14">'[15]R. Natural'!#REF!</definedName>
    <definedName name="_A2" localSheetId="0">'[15]R. Natural'!#REF!</definedName>
    <definedName name="_A2" localSheetId="5">'[15]R. Natural'!#REF!</definedName>
    <definedName name="_A2" localSheetId="15">'[15]R. Natural'!#REF!</definedName>
    <definedName name="_A2" localSheetId="6">'[15]R. Natural'!#REF!</definedName>
    <definedName name="_A2" localSheetId="16">'[15]R. Natural'!#REF!</definedName>
    <definedName name="_A2" localSheetId="7">'[15]R. Natural'!#REF!</definedName>
    <definedName name="_A2" localSheetId="1">'[15]R. Natural'!#REF!</definedName>
    <definedName name="_A2" localSheetId="17">'[15]R. Natural'!#REF!</definedName>
    <definedName name="_A2" localSheetId="8">'[15]R. Natural'!#REF!</definedName>
    <definedName name="_A2" localSheetId="2">'[15]R. Natural'!#REF!</definedName>
    <definedName name="_A2" localSheetId="18">'[15]R. Natural'!#REF!</definedName>
    <definedName name="_A2" localSheetId="9">'[15]R. Natural'!#REF!</definedName>
    <definedName name="_A2" localSheetId="3">'[15]R. Natural'!#REF!</definedName>
    <definedName name="_A2" localSheetId="19">'[15]R. Natural'!#REF!</definedName>
    <definedName name="_A2" localSheetId="10">'[15]R. Natural'!#REF!</definedName>
    <definedName name="_A2" localSheetId="20">'[15]R. Natural'!#REF!</definedName>
    <definedName name="_A2" localSheetId="11">'[15]R. Natural'!#REF!</definedName>
    <definedName name="_A2" localSheetId="21">'[15]R. Natural'!#REF!</definedName>
    <definedName name="_A2" localSheetId="12">'[15]R. Natural'!#REF!</definedName>
    <definedName name="_A2" localSheetId="22">'[16]R. Natural'!#REF!</definedName>
    <definedName name="_A2" localSheetId="13">'[15]R. Natural'!#REF!</definedName>
    <definedName name="_A2">'[16]R. Natural'!#REF!</definedName>
    <definedName name="_bol52" localSheetId="14">[3]PAG_35!#REF!</definedName>
    <definedName name="_bol52" localSheetId="0">[3]PAG_35!#REF!</definedName>
    <definedName name="_bol52" localSheetId="5">[3]PAG_35!#REF!</definedName>
    <definedName name="_bol52" localSheetId="6">[3]PAG_35!#REF!</definedName>
    <definedName name="_bol52" localSheetId="7">[3]PAG_35!#REF!</definedName>
    <definedName name="_bol52" localSheetId="1">[3]PAG_35!#REF!</definedName>
    <definedName name="_bol52" localSheetId="8">[3]PAG_35!#REF!</definedName>
    <definedName name="_bol52" localSheetId="2">[3]PAG_35!#REF!</definedName>
    <definedName name="_bol52" localSheetId="9">[3]PAG_35!#REF!</definedName>
    <definedName name="_bol52" localSheetId="3">[3]PAG_35!#REF!</definedName>
    <definedName name="_bol52" localSheetId="10">[3]PAG_35!#REF!</definedName>
    <definedName name="_bol52" localSheetId="11">[3]PAG_35!#REF!</definedName>
    <definedName name="_bol52" localSheetId="12">[3]PAG_35!#REF!</definedName>
    <definedName name="_bol52" localSheetId="22">[3]PAG_35!#REF!</definedName>
    <definedName name="_bol52" localSheetId="13">[3]PAG_35!#REF!</definedName>
    <definedName name="_bol52">[3]PAG_35!#REF!</definedName>
    <definedName name="_BTP1">[4]BTPMP!$A$2:$M$19922</definedName>
    <definedName name="_BTP2">[4]BTPMS!$A$2:$N$19683</definedName>
    <definedName name="_CDB1">[4]CDMP!$B$2:$N$20020</definedName>
    <definedName name="_CDB2">[4]CDMS!$A$2:$M$20027</definedName>
    <definedName name="_cdr2" localSheetId="14">[5]Cdr7!#REF!</definedName>
    <definedName name="_cdr2" localSheetId="0">[5]Cdr7!#REF!</definedName>
    <definedName name="_cdr2" localSheetId="5">[5]Cdr7!#REF!</definedName>
    <definedName name="_cdr2" localSheetId="15">[5]Cdr7!#REF!</definedName>
    <definedName name="_cdr2" localSheetId="6">[5]Cdr7!#REF!</definedName>
    <definedName name="_cdr2" localSheetId="16">[5]Cdr7!#REF!</definedName>
    <definedName name="_cdr2" localSheetId="7">[5]Cdr7!#REF!</definedName>
    <definedName name="_cdr2" localSheetId="1">[5]Cdr7!#REF!</definedName>
    <definedName name="_cdr2" localSheetId="17">[5]Cdr7!#REF!</definedName>
    <definedName name="_cdr2" localSheetId="8">[5]Cdr7!#REF!</definedName>
    <definedName name="_cdr2" localSheetId="2">[5]Cdr7!#REF!</definedName>
    <definedName name="_cdr2" localSheetId="18">[5]Cdr7!#REF!</definedName>
    <definedName name="_cdr2" localSheetId="9">[5]Cdr7!#REF!</definedName>
    <definedName name="_cdr2" localSheetId="3">[5]Cdr7!#REF!</definedName>
    <definedName name="_cdr2" localSheetId="19">[5]Cdr7!#REF!</definedName>
    <definedName name="_cdr2" localSheetId="10">[5]Cdr7!#REF!</definedName>
    <definedName name="_cdr2" localSheetId="20">[5]Cdr7!#REF!</definedName>
    <definedName name="_cdr2" localSheetId="11">[5]Cdr7!#REF!</definedName>
    <definedName name="_cdr2" localSheetId="21">[5]Cdr7!#REF!</definedName>
    <definedName name="_cdr2" localSheetId="12">[5]Cdr7!#REF!</definedName>
    <definedName name="_cdr2" localSheetId="22">[5]Cdr7!#REF!</definedName>
    <definedName name="_cdr2" localSheetId="13">[5]Cdr7!#REF!</definedName>
    <definedName name="_cdr2">[5]Cdr7!#REF!</definedName>
    <definedName name="_Cdr7" localSheetId="14">'[6]Cdrs 1-2'!$A$1:$S$46</definedName>
    <definedName name="_Cdr7" localSheetId="0">'[6]Cdrs 1-2'!$A$1:$S$46</definedName>
    <definedName name="_Cdr7" localSheetId="5">'[6]Cdrs 1-2'!$A$1:$S$46</definedName>
    <definedName name="_Cdr7" localSheetId="15">'[6]Cdrs 1-2'!$A$1:$S$46</definedName>
    <definedName name="_Cdr7" localSheetId="6">'[6]Cdrs 1-2'!$A$1:$S$46</definedName>
    <definedName name="_Cdr7" localSheetId="16">'[6]Cdrs 1-2'!$A$1:$S$46</definedName>
    <definedName name="_Cdr7" localSheetId="7">'[6]Cdrs 1-2'!$A$1:$S$46</definedName>
    <definedName name="_Cdr7" localSheetId="1">'[6]Cdrs 1-2'!$A$1:$S$46</definedName>
    <definedName name="_Cdr7" localSheetId="17">'[6]Cdrs 1-2'!$A$1:$S$46</definedName>
    <definedName name="_Cdr7" localSheetId="8">'[6]Cdrs 1-2'!$A$1:$S$46</definedName>
    <definedName name="_Cdr7" localSheetId="2">'[6]Cdrs 1-2'!$A$1:$S$46</definedName>
    <definedName name="_Cdr7" localSheetId="18">'[6]Cdrs 1-2'!$A$1:$S$46</definedName>
    <definedName name="_Cdr7" localSheetId="9">'[6]Cdrs 1-2'!$A$1:$S$46</definedName>
    <definedName name="_Cdr7" localSheetId="3">'[6]Cdrs 1-2'!$A$1:$S$46</definedName>
    <definedName name="_Cdr7" localSheetId="19">'[6]Cdrs 1-2'!$A$1:$S$46</definedName>
    <definedName name="_Cdr7" localSheetId="10">'[6]Cdrs 1-2'!$A$1:$S$46</definedName>
    <definedName name="_Cdr7" localSheetId="20">'[6]Cdrs 1-2'!$A$1:$S$46</definedName>
    <definedName name="_Cdr7" localSheetId="11">'[6]Cdrs 1-2'!$A$1:$S$46</definedName>
    <definedName name="_Cdr7" localSheetId="21">'[6]Cdrs 1-2'!$A$1:$S$46</definedName>
    <definedName name="_Cdr7" localSheetId="12">'[6]Cdrs 1-2'!$A$1:$S$46</definedName>
    <definedName name="_Cdr7" localSheetId="22">'[6]Cdrs 1-2'!$A$1:$S$46</definedName>
    <definedName name="_Cdr7" localSheetId="13">'[6]Cdrs 1-2'!$A$1:$S$46</definedName>
    <definedName name="_Cdr7">'[6]Cdrs 1-2'!$A$1:$S$46</definedName>
    <definedName name="_Cdr8" localSheetId="14">'[6]Cdrs 1-2'!$A$69:$S$114</definedName>
    <definedName name="_Cdr8" localSheetId="0">'[6]Cdrs 1-2'!$A$69:$S$114</definedName>
    <definedName name="_Cdr8" localSheetId="5">'[6]Cdrs 1-2'!$A$69:$S$114</definedName>
    <definedName name="_Cdr8" localSheetId="15">'[6]Cdrs 1-2'!$A$69:$S$114</definedName>
    <definedName name="_Cdr8" localSheetId="6">'[6]Cdrs 1-2'!$A$69:$S$114</definedName>
    <definedName name="_Cdr8" localSheetId="16">'[6]Cdrs 1-2'!$A$69:$S$114</definedName>
    <definedName name="_Cdr8" localSheetId="7">'[6]Cdrs 1-2'!$A$69:$S$114</definedName>
    <definedName name="_Cdr8" localSheetId="1">'[6]Cdrs 1-2'!$A$69:$S$114</definedName>
    <definedName name="_Cdr8" localSheetId="17">'[6]Cdrs 1-2'!$A$69:$S$114</definedName>
    <definedName name="_Cdr8" localSheetId="8">'[6]Cdrs 1-2'!$A$69:$S$114</definedName>
    <definedName name="_Cdr8" localSheetId="2">'[6]Cdrs 1-2'!$A$69:$S$114</definedName>
    <definedName name="_Cdr8" localSheetId="18">'[6]Cdrs 1-2'!$A$69:$S$114</definedName>
    <definedName name="_Cdr8" localSheetId="9">'[6]Cdrs 1-2'!$A$69:$S$114</definedName>
    <definedName name="_Cdr8" localSheetId="3">'[6]Cdrs 1-2'!$A$69:$S$114</definedName>
    <definedName name="_Cdr8" localSheetId="19">'[6]Cdrs 1-2'!$A$69:$S$114</definedName>
    <definedName name="_Cdr8" localSheetId="10">'[6]Cdrs 1-2'!$A$69:$S$114</definedName>
    <definedName name="_Cdr8" localSheetId="20">'[6]Cdrs 1-2'!$A$69:$S$114</definedName>
    <definedName name="_Cdr8" localSheetId="11">'[6]Cdrs 1-2'!$A$69:$S$114</definedName>
    <definedName name="_Cdr8" localSheetId="21">'[6]Cdrs 1-2'!$A$69:$S$114</definedName>
    <definedName name="_Cdr8" localSheetId="12">'[6]Cdrs 1-2'!$A$69:$S$114</definedName>
    <definedName name="_Cdr8" localSheetId="22">'[6]Cdrs 1-2'!$A$69:$S$114</definedName>
    <definedName name="_Cdr8" localSheetId="13">'[6]Cdrs 1-2'!$A$69:$S$114</definedName>
    <definedName name="_Cdr8">'[6]Cdrs 1-2'!$A$69:$S$114</definedName>
    <definedName name="_Dur1">[4]Dur!$A$2:$I$27</definedName>
    <definedName name="_Fill" localSheetId="14" hidden="1">#REF!</definedName>
    <definedName name="_Fill" localSheetId="0" hidden="1">#REF!</definedName>
    <definedName name="_Fill" localSheetId="5" hidden="1">#REF!</definedName>
    <definedName name="_Fill" localSheetId="15" hidden="1">#REF!</definedName>
    <definedName name="_Fill" localSheetId="6" hidden="1">#REF!</definedName>
    <definedName name="_Fill" localSheetId="16" hidden="1">#REF!</definedName>
    <definedName name="_Fill" localSheetId="7" hidden="1">#REF!</definedName>
    <definedName name="_Fill" localSheetId="1" hidden="1">#REF!</definedName>
    <definedName name="_Fill" localSheetId="17" hidden="1">#REF!</definedName>
    <definedName name="_Fill" localSheetId="8" hidden="1">#REF!</definedName>
    <definedName name="_Fill" localSheetId="2" hidden="1">#REF!</definedName>
    <definedName name="_Fill" localSheetId="18" hidden="1">#REF!</definedName>
    <definedName name="_Fill" localSheetId="9" hidden="1">#REF!</definedName>
    <definedName name="_Fill" localSheetId="3" hidden="1">#REF!</definedName>
    <definedName name="_Fill" localSheetId="19" hidden="1">#REF!</definedName>
    <definedName name="_Fill" localSheetId="10" hidden="1">#REF!</definedName>
    <definedName name="_Fill" localSheetId="20" hidden="1">#REF!</definedName>
    <definedName name="_Fill" localSheetId="11" hidden="1">#REF!</definedName>
    <definedName name="_Fill" localSheetId="21" hidden="1">#REF!</definedName>
    <definedName name="_Fill" localSheetId="12" hidden="1">#REF!</definedName>
    <definedName name="_Fill" localSheetId="22" hidden="1">#REF!</definedName>
    <definedName name="_Fill" localSheetId="13" hidden="1">#REF!</definedName>
    <definedName name="_Fill" hidden="1">#REF!</definedName>
    <definedName name="_fill1" localSheetId="14" hidden="1">#REF!</definedName>
    <definedName name="_fill1" localSheetId="0" hidden="1">#REF!</definedName>
    <definedName name="_fill1" localSheetId="5" hidden="1">#REF!</definedName>
    <definedName name="_fill1" localSheetId="15" hidden="1">#REF!</definedName>
    <definedName name="_fill1" localSheetId="6" hidden="1">#REF!</definedName>
    <definedName name="_fill1" localSheetId="16" hidden="1">#REF!</definedName>
    <definedName name="_fill1" localSheetId="7" hidden="1">#REF!</definedName>
    <definedName name="_fill1" localSheetId="1" hidden="1">#REF!</definedName>
    <definedName name="_fill1" localSheetId="17" hidden="1">#REF!</definedName>
    <definedName name="_fill1" localSheetId="8" hidden="1">#REF!</definedName>
    <definedName name="_fill1" localSheetId="2" hidden="1">#REF!</definedName>
    <definedName name="_fill1" localSheetId="18" hidden="1">#REF!</definedName>
    <definedName name="_fill1" localSheetId="9" hidden="1">#REF!</definedName>
    <definedName name="_fill1" localSheetId="3" hidden="1">#REF!</definedName>
    <definedName name="_fill1" localSheetId="19" hidden="1">#REF!</definedName>
    <definedName name="_fill1" localSheetId="10" hidden="1">#REF!</definedName>
    <definedName name="_fill1" localSheetId="20" hidden="1">#REF!</definedName>
    <definedName name="_fill1" localSheetId="11" hidden="1">#REF!</definedName>
    <definedName name="_fill1" localSheetId="21" hidden="1">#REF!</definedName>
    <definedName name="_fill1" localSheetId="12" hidden="1">#REF!</definedName>
    <definedName name="_fill1" localSheetId="22" hidden="1">#REF!</definedName>
    <definedName name="_fill1" localSheetId="13" hidden="1">#REF!</definedName>
    <definedName name="_fill1" hidden="1">#REF!</definedName>
    <definedName name="_G7" localSheetId="14" hidden="1">#REF!</definedName>
    <definedName name="_G7" localSheetId="0" hidden="1">#REF!</definedName>
    <definedName name="_G7" localSheetId="5" hidden="1">#REF!</definedName>
    <definedName name="_G7" localSheetId="15" hidden="1">#REF!</definedName>
    <definedName name="_G7" localSheetId="6" hidden="1">#REF!</definedName>
    <definedName name="_G7" localSheetId="16" hidden="1">#REF!</definedName>
    <definedName name="_G7" localSheetId="7" hidden="1">#REF!</definedName>
    <definedName name="_G7" localSheetId="1" hidden="1">#REF!</definedName>
    <definedName name="_G7" localSheetId="17" hidden="1">#REF!</definedName>
    <definedName name="_G7" localSheetId="8" hidden="1">#REF!</definedName>
    <definedName name="_G7" localSheetId="2" hidden="1">#REF!</definedName>
    <definedName name="_G7" localSheetId="18" hidden="1">#REF!</definedName>
    <definedName name="_G7" localSheetId="9" hidden="1">#REF!</definedName>
    <definedName name="_G7" localSheetId="3" hidden="1">#REF!</definedName>
    <definedName name="_G7" localSheetId="19" hidden="1">#REF!</definedName>
    <definedName name="_G7" localSheetId="10" hidden="1">#REF!</definedName>
    <definedName name="_G7" localSheetId="20" hidden="1">#REF!</definedName>
    <definedName name="_G7" localSheetId="11" hidden="1">#REF!</definedName>
    <definedName name="_G7" localSheetId="21" hidden="1">#REF!</definedName>
    <definedName name="_G7" localSheetId="12" hidden="1">#REF!</definedName>
    <definedName name="_G7" localSheetId="22" hidden="1">#REF!</definedName>
    <definedName name="_G7" localSheetId="13" hidden="1">#REF!</definedName>
    <definedName name="_G7" hidden="1">#REF!</definedName>
    <definedName name="_gas001" localSheetId="14">#REF!</definedName>
    <definedName name="_gas001" localSheetId="0">#REF!</definedName>
    <definedName name="_gas001" localSheetId="5">#REF!</definedName>
    <definedName name="_gas001" localSheetId="15">#REF!</definedName>
    <definedName name="_gas001" localSheetId="6">#REF!</definedName>
    <definedName name="_gas001" localSheetId="16">#REF!</definedName>
    <definedName name="_gas001" localSheetId="7">#REF!</definedName>
    <definedName name="_gas001" localSheetId="1">#REF!</definedName>
    <definedName name="_gas001" localSheetId="17">#REF!</definedName>
    <definedName name="_gas001" localSheetId="8">#REF!</definedName>
    <definedName name="_gas001" localSheetId="2">#REF!</definedName>
    <definedName name="_gas001" localSheetId="18">#REF!</definedName>
    <definedName name="_gas001" localSheetId="9">#REF!</definedName>
    <definedName name="_gas001" localSheetId="3">#REF!</definedName>
    <definedName name="_gas001" localSheetId="19">#REF!</definedName>
    <definedName name="_gas001" localSheetId="10">#REF!</definedName>
    <definedName name="_gas001" localSheetId="20">#REF!</definedName>
    <definedName name="_gas001" localSheetId="11">#REF!</definedName>
    <definedName name="_gas001" localSheetId="21">#REF!</definedName>
    <definedName name="_gas001" localSheetId="12">#REF!</definedName>
    <definedName name="_gas001" localSheetId="22">#REF!</definedName>
    <definedName name="_gas001" localSheetId="13">#REF!</definedName>
    <definedName name="_gas001">#REF!</definedName>
    <definedName name="_Gas01" localSheetId="14">#REF!</definedName>
    <definedName name="_Gas01" localSheetId="0">#REF!</definedName>
    <definedName name="_Gas01" localSheetId="5">#REF!</definedName>
    <definedName name="_Gas01" localSheetId="15">#REF!</definedName>
    <definedName name="_Gas01" localSheetId="6">#REF!</definedName>
    <definedName name="_Gas01" localSheetId="16">#REF!</definedName>
    <definedName name="_Gas01" localSheetId="7">#REF!</definedName>
    <definedName name="_Gas01" localSheetId="1">#REF!</definedName>
    <definedName name="_Gas01" localSheetId="17">#REF!</definedName>
    <definedName name="_Gas01" localSheetId="8">#REF!</definedName>
    <definedName name="_Gas01" localSheetId="2">#REF!</definedName>
    <definedName name="_Gas01" localSheetId="18">#REF!</definedName>
    <definedName name="_Gas01" localSheetId="9">#REF!</definedName>
    <definedName name="_Gas01" localSheetId="3">#REF!</definedName>
    <definedName name="_Gas01" localSheetId="19">#REF!</definedName>
    <definedName name="_Gas01" localSheetId="10">#REF!</definedName>
    <definedName name="_Gas01" localSheetId="20">#REF!</definedName>
    <definedName name="_Gas01" localSheetId="11">#REF!</definedName>
    <definedName name="_Gas01" localSheetId="21">#REF!</definedName>
    <definedName name="_Gas01" localSheetId="12">#REF!</definedName>
    <definedName name="_Gas01" localSheetId="22">#REF!</definedName>
    <definedName name="_Gas01" localSheetId="13">#REF!</definedName>
    <definedName name="_Gas01">#REF!</definedName>
    <definedName name="_gas1" localSheetId="14">#REF!</definedName>
    <definedName name="_gas1" localSheetId="0">#REF!</definedName>
    <definedName name="_gas1" localSheetId="5">#REF!</definedName>
    <definedName name="_gas1" localSheetId="15">#REF!</definedName>
    <definedName name="_gas1" localSheetId="6">#REF!</definedName>
    <definedName name="_gas1" localSheetId="16">#REF!</definedName>
    <definedName name="_gas1" localSheetId="7">#REF!</definedName>
    <definedName name="_gas1" localSheetId="1">#REF!</definedName>
    <definedName name="_gas1" localSheetId="17">#REF!</definedName>
    <definedName name="_gas1" localSheetId="8">#REF!</definedName>
    <definedName name="_gas1" localSheetId="2">#REF!</definedName>
    <definedName name="_gas1" localSheetId="18">#REF!</definedName>
    <definedName name="_gas1" localSheetId="9">#REF!</definedName>
    <definedName name="_gas1" localSheetId="3">#REF!</definedName>
    <definedName name="_gas1" localSheetId="19">#REF!</definedName>
    <definedName name="_gas1" localSheetId="10">#REF!</definedName>
    <definedName name="_gas1" localSheetId="20">#REF!</definedName>
    <definedName name="_gas1" localSheetId="11">#REF!</definedName>
    <definedName name="_gas1" localSheetId="21">#REF!</definedName>
    <definedName name="_gas1" localSheetId="12">#REF!</definedName>
    <definedName name="_gas1" localSheetId="22">#REF!</definedName>
    <definedName name="_gas1" localSheetId="13">#REF!</definedName>
    <definedName name="_gas1">#REF!</definedName>
    <definedName name="_Imp1" localSheetId="14">#REF!</definedName>
    <definedName name="_Imp1" localSheetId="0">#REF!</definedName>
    <definedName name="_Imp1" localSheetId="5">#REF!</definedName>
    <definedName name="_Imp1" localSheetId="15">#REF!</definedName>
    <definedName name="_Imp1" localSheetId="6">#REF!</definedName>
    <definedName name="_Imp1" localSheetId="16">#REF!</definedName>
    <definedName name="_Imp1" localSheetId="7">#REF!</definedName>
    <definedName name="_Imp1" localSheetId="1">#REF!</definedName>
    <definedName name="_Imp1" localSheetId="17">#REF!</definedName>
    <definedName name="_Imp1" localSheetId="8">#REF!</definedName>
    <definedName name="_Imp1" localSheetId="2">#REF!</definedName>
    <definedName name="_Imp1" localSheetId="18">#REF!</definedName>
    <definedName name="_Imp1" localSheetId="9">#REF!</definedName>
    <definedName name="_Imp1" localSheetId="3">#REF!</definedName>
    <definedName name="_Imp1" localSheetId="19">#REF!</definedName>
    <definedName name="_Imp1" localSheetId="10">#REF!</definedName>
    <definedName name="_Imp1" localSheetId="20">#REF!</definedName>
    <definedName name="_Imp1" localSheetId="11">#REF!</definedName>
    <definedName name="_Imp1" localSheetId="21">#REF!</definedName>
    <definedName name="_Imp1" localSheetId="12">#REF!</definedName>
    <definedName name="_Imp1" localSheetId="22">#REF!</definedName>
    <definedName name="_Imp1" localSheetId="13">#REF!</definedName>
    <definedName name="_Imp1">#REF!</definedName>
    <definedName name="_Imp2" localSheetId="14">#REF!</definedName>
    <definedName name="_Imp2" localSheetId="0">#REF!</definedName>
    <definedName name="_Imp2" localSheetId="5">#REF!</definedName>
    <definedName name="_Imp2" localSheetId="15">#REF!</definedName>
    <definedName name="_Imp2" localSheetId="6">#REF!</definedName>
    <definedName name="_Imp2" localSheetId="16">#REF!</definedName>
    <definedName name="_Imp2" localSheetId="7">#REF!</definedName>
    <definedName name="_Imp2" localSheetId="1">#REF!</definedName>
    <definedName name="_Imp2" localSheetId="17">#REF!</definedName>
    <definedName name="_Imp2" localSheetId="8">#REF!</definedName>
    <definedName name="_Imp2" localSheetId="2">#REF!</definedName>
    <definedName name="_Imp2" localSheetId="18">#REF!</definedName>
    <definedName name="_Imp2" localSheetId="9">#REF!</definedName>
    <definedName name="_Imp2" localSheetId="3">#REF!</definedName>
    <definedName name="_Imp2" localSheetId="19">#REF!</definedName>
    <definedName name="_Imp2" localSheetId="10">#REF!</definedName>
    <definedName name="_Imp2" localSheetId="20">#REF!</definedName>
    <definedName name="_Imp2" localSheetId="11">#REF!</definedName>
    <definedName name="_Imp2" localSheetId="21">#REF!</definedName>
    <definedName name="_Imp2" localSheetId="12">#REF!</definedName>
    <definedName name="_Imp2" localSheetId="22">#REF!</definedName>
    <definedName name="_Imp2" localSheetId="13">#REF!</definedName>
    <definedName name="_Imp2">#REF!</definedName>
    <definedName name="_key01" localSheetId="14" hidden="1">#REF!</definedName>
    <definedName name="_key01" localSheetId="0" hidden="1">#REF!</definedName>
    <definedName name="_key01" localSheetId="5" hidden="1">#REF!</definedName>
    <definedName name="_key01" localSheetId="15" hidden="1">#REF!</definedName>
    <definedName name="_key01" localSheetId="6" hidden="1">#REF!</definedName>
    <definedName name="_key01" localSheetId="16" hidden="1">#REF!</definedName>
    <definedName name="_key01" localSheetId="7" hidden="1">#REF!</definedName>
    <definedName name="_key01" localSheetId="1" hidden="1">#REF!</definedName>
    <definedName name="_key01" localSheetId="17" hidden="1">#REF!</definedName>
    <definedName name="_key01" localSheetId="8" hidden="1">#REF!</definedName>
    <definedName name="_key01" localSheetId="2" hidden="1">#REF!</definedName>
    <definedName name="_key01" localSheetId="18" hidden="1">#REF!</definedName>
    <definedName name="_key01" localSheetId="9" hidden="1">#REF!</definedName>
    <definedName name="_key01" localSheetId="3" hidden="1">#REF!</definedName>
    <definedName name="_key01" localSheetId="19" hidden="1">#REF!</definedName>
    <definedName name="_key01" localSheetId="10" hidden="1">#REF!</definedName>
    <definedName name="_key01" localSheetId="20" hidden="1">#REF!</definedName>
    <definedName name="_key01" localSheetId="11" hidden="1">#REF!</definedName>
    <definedName name="_key01" localSheetId="21" hidden="1">#REF!</definedName>
    <definedName name="_key01" localSheetId="12" hidden="1">#REF!</definedName>
    <definedName name="_key01" localSheetId="22" hidden="1">#REF!</definedName>
    <definedName name="_key01" localSheetId="13" hidden="1">#REF!</definedName>
    <definedName name="_key01" hidden="1">#REF!</definedName>
    <definedName name="_Key1" localSheetId="14" hidden="1">#REF!</definedName>
    <definedName name="_Key1" localSheetId="0" hidden="1">#REF!</definedName>
    <definedName name="_Key1" localSheetId="5" hidden="1">#REF!</definedName>
    <definedName name="_Key1" localSheetId="15" hidden="1">#REF!</definedName>
    <definedName name="_Key1" localSheetId="6" hidden="1">#REF!</definedName>
    <definedName name="_Key1" localSheetId="16" hidden="1">#REF!</definedName>
    <definedName name="_Key1" localSheetId="7" hidden="1">#REF!</definedName>
    <definedName name="_Key1" localSheetId="1" hidden="1">#REF!</definedName>
    <definedName name="_Key1" localSheetId="17" hidden="1">#REF!</definedName>
    <definedName name="_Key1" localSheetId="8" hidden="1">#REF!</definedName>
    <definedName name="_Key1" localSheetId="2" hidden="1">#REF!</definedName>
    <definedName name="_Key1" localSheetId="18" hidden="1">#REF!</definedName>
    <definedName name="_Key1" localSheetId="9" hidden="1">#REF!</definedName>
    <definedName name="_Key1" localSheetId="3" hidden="1">#REF!</definedName>
    <definedName name="_Key1" localSheetId="19" hidden="1">#REF!</definedName>
    <definedName name="_Key1" localSheetId="10" hidden="1">#REF!</definedName>
    <definedName name="_Key1" localSheetId="20" hidden="1">#REF!</definedName>
    <definedName name="_Key1" localSheetId="11" hidden="1">#REF!</definedName>
    <definedName name="_Key1" localSheetId="21" hidden="1">#REF!</definedName>
    <definedName name="_Key1" localSheetId="12" hidden="1">#REF!</definedName>
    <definedName name="_Key1" localSheetId="22" hidden="1">#REF!</definedName>
    <definedName name="_Key1" localSheetId="13" hidden="1">#REF!</definedName>
    <definedName name="_Key1" hidden="1">#REF!</definedName>
    <definedName name="_Key2" hidden="1">[20]plomo!$J$7:$J$17</definedName>
    <definedName name="_key3" localSheetId="14" hidden="1">#REF!</definedName>
    <definedName name="_key3" localSheetId="0" hidden="1">#REF!</definedName>
    <definedName name="_key3" localSheetId="5" hidden="1">#REF!</definedName>
    <definedName name="_key3" localSheetId="15" hidden="1">#REF!</definedName>
    <definedName name="_key3" localSheetId="6" hidden="1">#REF!</definedName>
    <definedName name="_key3" localSheetId="16" hidden="1">#REF!</definedName>
    <definedName name="_key3" localSheetId="7" hidden="1">#REF!</definedName>
    <definedName name="_key3" localSheetId="1" hidden="1">#REF!</definedName>
    <definedName name="_key3" localSheetId="17" hidden="1">#REF!</definedName>
    <definedName name="_key3" localSheetId="8" hidden="1">#REF!</definedName>
    <definedName name="_key3" localSheetId="2" hidden="1">#REF!</definedName>
    <definedName name="_key3" localSheetId="18" hidden="1">#REF!</definedName>
    <definedName name="_key3" localSheetId="9" hidden="1">#REF!</definedName>
    <definedName name="_key3" localSheetId="3" hidden="1">#REF!</definedName>
    <definedName name="_key3" localSheetId="19" hidden="1">#REF!</definedName>
    <definedName name="_key3" localSheetId="10" hidden="1">#REF!</definedName>
    <definedName name="_key3" localSheetId="20" hidden="1">#REF!</definedName>
    <definedName name="_key3" localSheetId="11" hidden="1">#REF!</definedName>
    <definedName name="_key3" localSheetId="21" hidden="1">#REF!</definedName>
    <definedName name="_key3" localSheetId="12" hidden="1">#REF!</definedName>
    <definedName name="_key3" localSheetId="22" hidden="1">#REF!</definedName>
    <definedName name="_key3" localSheetId="13" hidden="1">#REF!</definedName>
    <definedName name="_key3" hidden="1">#REF!</definedName>
    <definedName name="_M">#N/A</definedName>
    <definedName name="_MatInverse_In" hidden="1">[21]Asfalto!$T$7:$U$8</definedName>
    <definedName name="_MatInverse_Out" hidden="1">[21]Asfalto!$T$10:$T$10</definedName>
    <definedName name="_MatMult_A" hidden="1">[21]Asfalto!$T$10:$U$11</definedName>
    <definedName name="_MatMult_AxB" hidden="1">[21]Asfalto!$V$7:$V$7</definedName>
    <definedName name="_MatMult_B" hidden="1">[21]Asfalto!$W$7:$W$8</definedName>
    <definedName name="_Order1" hidden="1">0</definedName>
    <definedName name="_Order2" hidden="1">0</definedName>
    <definedName name="_P" localSheetId="14">#REF!</definedName>
    <definedName name="_P" localSheetId="0">#REF!</definedName>
    <definedName name="_P" localSheetId="5">#REF!</definedName>
    <definedName name="_P" localSheetId="15">#REF!</definedName>
    <definedName name="_P" localSheetId="6">#REF!</definedName>
    <definedName name="_P" localSheetId="16">#REF!</definedName>
    <definedName name="_P" localSheetId="7">#REF!</definedName>
    <definedName name="_P" localSheetId="1">#REF!</definedName>
    <definedName name="_P" localSheetId="17">#REF!</definedName>
    <definedName name="_P" localSheetId="8">#REF!</definedName>
    <definedName name="_P" localSheetId="2">#REF!</definedName>
    <definedName name="_P" localSheetId="18">#REF!</definedName>
    <definedName name="_P" localSheetId="9">#REF!</definedName>
    <definedName name="_P" localSheetId="3">#REF!</definedName>
    <definedName name="_P" localSheetId="19">#REF!</definedName>
    <definedName name="_P" localSheetId="10">#REF!</definedName>
    <definedName name="_P" localSheetId="20">#REF!</definedName>
    <definedName name="_P" localSheetId="11">#REF!</definedName>
    <definedName name="_P" localSheetId="21">#REF!</definedName>
    <definedName name="_P" localSheetId="12">#REF!</definedName>
    <definedName name="_P" localSheetId="22">#REF!</definedName>
    <definedName name="_P" localSheetId="13">#REF!</definedName>
    <definedName name="_P">#REF!</definedName>
    <definedName name="_p1" localSheetId="14">#REF!</definedName>
    <definedName name="_p1" localSheetId="0">#REF!</definedName>
    <definedName name="_p1" localSheetId="5">#REF!</definedName>
    <definedName name="_p1" localSheetId="15">#REF!</definedName>
    <definedName name="_p1" localSheetId="6">#REF!</definedName>
    <definedName name="_p1" localSheetId="16">#REF!</definedName>
    <definedName name="_p1" localSheetId="7">#REF!</definedName>
    <definedName name="_p1" localSheetId="1">#REF!</definedName>
    <definedName name="_p1" localSheetId="17">#REF!</definedName>
    <definedName name="_p1" localSheetId="8">#REF!</definedName>
    <definedName name="_p1" localSheetId="2">#REF!</definedName>
    <definedName name="_p1" localSheetId="18">#REF!</definedName>
    <definedName name="_p1" localSheetId="9">#REF!</definedName>
    <definedName name="_p1" localSheetId="3">#REF!</definedName>
    <definedName name="_p1" localSheetId="19">#REF!</definedName>
    <definedName name="_p1" localSheetId="10">#REF!</definedName>
    <definedName name="_p1" localSheetId="20">#REF!</definedName>
    <definedName name="_p1" localSheetId="11">#REF!</definedName>
    <definedName name="_p1" localSheetId="21">#REF!</definedName>
    <definedName name="_p1" localSheetId="12">#REF!</definedName>
    <definedName name="_p1" localSheetId="22">#REF!</definedName>
    <definedName name="_p1" localSheetId="13">#REF!</definedName>
    <definedName name="_p1">#REF!</definedName>
    <definedName name="_Parse_Out" localSheetId="14" hidden="1">#REF!</definedName>
    <definedName name="_Parse_Out" localSheetId="0" hidden="1">#REF!</definedName>
    <definedName name="_Parse_Out" localSheetId="5" hidden="1">#REF!</definedName>
    <definedName name="_Parse_Out" localSheetId="15" hidden="1">#REF!</definedName>
    <definedName name="_Parse_Out" localSheetId="6" hidden="1">#REF!</definedName>
    <definedName name="_Parse_Out" localSheetId="16" hidden="1">#REF!</definedName>
    <definedName name="_Parse_Out" localSheetId="7" hidden="1">#REF!</definedName>
    <definedName name="_Parse_Out" localSheetId="1" hidden="1">#REF!</definedName>
    <definedName name="_Parse_Out" localSheetId="17" hidden="1">#REF!</definedName>
    <definedName name="_Parse_Out" localSheetId="8" hidden="1">#REF!</definedName>
    <definedName name="_Parse_Out" localSheetId="2" hidden="1">#REF!</definedName>
    <definedName name="_Parse_Out" localSheetId="18" hidden="1">#REF!</definedName>
    <definedName name="_Parse_Out" localSheetId="9" hidden="1">#REF!</definedName>
    <definedName name="_Parse_Out" localSheetId="3" hidden="1">#REF!</definedName>
    <definedName name="_Parse_Out" localSheetId="19" hidden="1">#REF!</definedName>
    <definedName name="_Parse_Out" localSheetId="10" hidden="1">#REF!</definedName>
    <definedName name="_Parse_Out" localSheetId="20" hidden="1">#REF!</definedName>
    <definedName name="_Parse_Out" localSheetId="11" hidden="1">#REF!</definedName>
    <definedName name="_Parse_Out" localSheetId="21" hidden="1">#REF!</definedName>
    <definedName name="_Parse_Out" localSheetId="12" hidden="1">#REF!</definedName>
    <definedName name="_Parse_Out" localSheetId="22" hidden="1">#REF!</definedName>
    <definedName name="_Parse_Out" localSheetId="13" hidden="1">#REF!</definedName>
    <definedName name="_Parse_Out" hidden="1">#REF!</definedName>
    <definedName name="_RM1">[7]PAG19!$B$3:$I$39</definedName>
    <definedName name="_RM2">[7]PAG19!$J$3:$P$39</definedName>
    <definedName name="_S" localSheetId="14">#REF!</definedName>
    <definedName name="_S" localSheetId="0">#REF!</definedName>
    <definedName name="_S" localSheetId="5">#REF!</definedName>
    <definedName name="_S" localSheetId="15">#REF!</definedName>
    <definedName name="_S" localSheetId="6">#REF!</definedName>
    <definedName name="_S" localSheetId="16">#REF!</definedName>
    <definedName name="_S" localSheetId="7">#REF!</definedName>
    <definedName name="_S" localSheetId="1">#REF!</definedName>
    <definedName name="_S" localSheetId="17">#REF!</definedName>
    <definedName name="_S" localSheetId="8">#REF!</definedName>
    <definedName name="_S" localSheetId="2">#REF!</definedName>
    <definedName name="_S" localSheetId="18">#REF!</definedName>
    <definedName name="_S" localSheetId="9">#REF!</definedName>
    <definedName name="_S" localSheetId="3">#REF!</definedName>
    <definedName name="_S" localSheetId="19">#REF!</definedName>
    <definedName name="_S" localSheetId="10">#REF!</definedName>
    <definedName name="_S" localSheetId="20">#REF!</definedName>
    <definedName name="_S" localSheetId="11">#REF!</definedName>
    <definedName name="_S" localSheetId="21">#REF!</definedName>
    <definedName name="_S" localSheetId="12">#REF!</definedName>
    <definedName name="_S" localSheetId="22">#REF!</definedName>
    <definedName name="_S" localSheetId="13">#REF!</definedName>
    <definedName name="_S">#REF!</definedName>
    <definedName name="_Sort" localSheetId="14" hidden="1">#REF!</definedName>
    <definedName name="_Sort" localSheetId="0" hidden="1">#REF!</definedName>
    <definedName name="_Sort" localSheetId="5" hidden="1">#REF!</definedName>
    <definedName name="_Sort" localSheetId="15" hidden="1">#REF!</definedName>
    <definedName name="_Sort" localSheetId="6" hidden="1">#REF!</definedName>
    <definedName name="_Sort" localSheetId="16" hidden="1">#REF!</definedName>
    <definedName name="_Sort" localSheetId="7" hidden="1">#REF!</definedName>
    <definedName name="_Sort" localSheetId="1" hidden="1">#REF!</definedName>
    <definedName name="_Sort" localSheetId="17" hidden="1">#REF!</definedName>
    <definedName name="_Sort" localSheetId="8" hidden="1">#REF!</definedName>
    <definedName name="_Sort" localSheetId="2" hidden="1">#REF!</definedName>
    <definedName name="_Sort" localSheetId="18" hidden="1">#REF!</definedName>
    <definedName name="_Sort" localSheetId="9" hidden="1">#REF!</definedName>
    <definedName name="_Sort" localSheetId="3" hidden="1">#REF!</definedName>
    <definedName name="_Sort" localSheetId="19" hidden="1">#REF!</definedName>
    <definedName name="_Sort" localSheetId="10" hidden="1">#REF!</definedName>
    <definedName name="_Sort" localSheetId="20" hidden="1">#REF!</definedName>
    <definedName name="_Sort" localSheetId="11" hidden="1">#REF!</definedName>
    <definedName name="_Sort" localSheetId="21" hidden="1">#REF!</definedName>
    <definedName name="_Sort" localSheetId="12" hidden="1">#REF!</definedName>
    <definedName name="_Sort" localSheetId="22" hidden="1">#REF!</definedName>
    <definedName name="_Sort" localSheetId="13" hidden="1">#REF!</definedName>
    <definedName name="_Sort" hidden="1">#REF!</definedName>
    <definedName name="_sort01" localSheetId="14" hidden="1">#REF!</definedName>
    <definedName name="_sort01" localSheetId="0" hidden="1">#REF!</definedName>
    <definedName name="_sort01" localSheetId="5" hidden="1">#REF!</definedName>
    <definedName name="_sort01" localSheetId="15" hidden="1">#REF!</definedName>
    <definedName name="_sort01" localSheetId="6" hidden="1">#REF!</definedName>
    <definedName name="_sort01" localSheetId="16" hidden="1">#REF!</definedName>
    <definedName name="_sort01" localSheetId="7" hidden="1">#REF!</definedName>
    <definedName name="_sort01" localSheetId="1" hidden="1">#REF!</definedName>
    <definedName name="_sort01" localSheetId="17" hidden="1">#REF!</definedName>
    <definedName name="_sort01" localSheetId="8" hidden="1">#REF!</definedName>
    <definedName name="_sort01" localSheetId="2" hidden="1">#REF!</definedName>
    <definedName name="_sort01" localSheetId="18" hidden="1">#REF!</definedName>
    <definedName name="_sort01" localSheetId="9" hidden="1">#REF!</definedName>
    <definedName name="_sort01" localSheetId="3" hidden="1">#REF!</definedName>
    <definedName name="_sort01" localSheetId="19" hidden="1">#REF!</definedName>
    <definedName name="_sort01" localSheetId="10" hidden="1">#REF!</definedName>
    <definedName name="_sort01" localSheetId="20" hidden="1">#REF!</definedName>
    <definedName name="_sort01" localSheetId="11" hidden="1">#REF!</definedName>
    <definedName name="_sort01" localSheetId="21" hidden="1">#REF!</definedName>
    <definedName name="_sort01" localSheetId="12" hidden="1">#REF!</definedName>
    <definedName name="_sort01" localSheetId="22" hidden="1">#REF!</definedName>
    <definedName name="_sort01" localSheetId="13" hidden="1">#REF!</definedName>
    <definedName name="_sort01" hidden="1">#REF!</definedName>
    <definedName name="_sort1" localSheetId="14" hidden="1">#REF!</definedName>
    <definedName name="_sort1" localSheetId="0" hidden="1">#REF!</definedName>
    <definedName name="_sort1" localSheetId="5" hidden="1">#REF!</definedName>
    <definedName name="_sort1" localSheetId="15" hidden="1">#REF!</definedName>
    <definedName name="_sort1" localSheetId="6" hidden="1">#REF!</definedName>
    <definedName name="_sort1" localSheetId="16" hidden="1">#REF!</definedName>
    <definedName name="_sort1" localSheetId="7" hidden="1">#REF!</definedName>
    <definedName name="_sort1" localSheetId="1" hidden="1">#REF!</definedName>
    <definedName name="_sort1" localSheetId="17" hidden="1">#REF!</definedName>
    <definedName name="_sort1" localSheetId="8" hidden="1">#REF!</definedName>
    <definedName name="_sort1" localSheetId="2" hidden="1">#REF!</definedName>
    <definedName name="_sort1" localSheetId="18" hidden="1">#REF!</definedName>
    <definedName name="_sort1" localSheetId="9" hidden="1">#REF!</definedName>
    <definedName name="_sort1" localSheetId="3" hidden="1">#REF!</definedName>
    <definedName name="_sort1" localSheetId="19" hidden="1">#REF!</definedName>
    <definedName name="_sort1" localSheetId="10" hidden="1">#REF!</definedName>
    <definedName name="_sort1" localSheetId="20" hidden="1">#REF!</definedName>
    <definedName name="_sort1" localSheetId="11" hidden="1">#REF!</definedName>
    <definedName name="_sort1" localSheetId="21" hidden="1">#REF!</definedName>
    <definedName name="_sort1" localSheetId="12" hidden="1">#REF!</definedName>
    <definedName name="_sort1" localSheetId="22" hidden="1">#REF!</definedName>
    <definedName name="_sort1" localSheetId="13" hidden="1">#REF!</definedName>
    <definedName name="_sort1" hidden="1">#REF!</definedName>
    <definedName name="a" localSheetId="14">#REF!</definedName>
    <definedName name="a" localSheetId="0">#REF!</definedName>
    <definedName name="a" localSheetId="5">#REF!</definedName>
    <definedName name="a" localSheetId="15">#REF!</definedName>
    <definedName name="a" localSheetId="6">#REF!</definedName>
    <definedName name="a" localSheetId="16">#REF!</definedName>
    <definedName name="a" localSheetId="7">#REF!</definedName>
    <definedName name="a" localSheetId="1">#REF!</definedName>
    <definedName name="a" localSheetId="17">#REF!</definedName>
    <definedName name="a" localSheetId="8">#REF!</definedName>
    <definedName name="a" localSheetId="2">#REF!</definedName>
    <definedName name="a" localSheetId="18">#REF!</definedName>
    <definedName name="a" localSheetId="9">#REF!</definedName>
    <definedName name="a" localSheetId="3">#REF!</definedName>
    <definedName name="a" localSheetId="19">#REF!</definedName>
    <definedName name="a" localSheetId="10">#REF!</definedName>
    <definedName name="a" localSheetId="20">#REF!</definedName>
    <definedName name="a" localSheetId="11">#REF!</definedName>
    <definedName name="a" localSheetId="21">#REF!</definedName>
    <definedName name="a" localSheetId="12">#REF!</definedName>
    <definedName name="a" localSheetId="22">#REF!</definedName>
    <definedName name="a" localSheetId="13">#REF!</definedName>
    <definedName name="a">#REF!</definedName>
    <definedName name="A_impresión_IM" localSheetId="14">#REF!</definedName>
    <definedName name="A_impresión_IM" localSheetId="0">#REF!</definedName>
    <definedName name="A_impresión_IM" localSheetId="5">#REF!</definedName>
    <definedName name="A_impresión_IM" localSheetId="15">#REF!</definedName>
    <definedName name="A_impresión_IM" localSheetId="6">#REF!</definedName>
    <definedName name="A_impresión_IM" localSheetId="16">#REF!</definedName>
    <definedName name="A_impresión_IM" localSheetId="7">#REF!</definedName>
    <definedName name="A_impresión_IM" localSheetId="1">#REF!</definedName>
    <definedName name="A_impresión_IM" localSheetId="17">#REF!</definedName>
    <definedName name="A_impresión_IM" localSheetId="8">#REF!</definedName>
    <definedName name="A_impresión_IM" localSheetId="2">#REF!</definedName>
    <definedName name="A_impresión_IM" localSheetId="18">#REF!</definedName>
    <definedName name="A_impresión_IM" localSheetId="9">#REF!</definedName>
    <definedName name="A_impresión_IM" localSheetId="3">#REF!</definedName>
    <definedName name="A_impresión_IM" localSheetId="19">#REF!</definedName>
    <definedName name="A_impresión_IM" localSheetId="10">#REF!</definedName>
    <definedName name="A_impresión_IM" localSheetId="20">#REF!</definedName>
    <definedName name="A_impresión_IM" localSheetId="11">#REF!</definedName>
    <definedName name="A_impresión_IM" localSheetId="21">#REF!</definedName>
    <definedName name="A_impresión_IM" localSheetId="12">#REF!</definedName>
    <definedName name="A_impresión_IM" localSheetId="22">#REF!</definedName>
    <definedName name="A_impresión_IM" localSheetId="13">#REF!</definedName>
    <definedName name="A_impresión_IM">#REF!</definedName>
    <definedName name="A87_" localSheetId="14">#REF!</definedName>
    <definedName name="A87_" localSheetId="0">#REF!</definedName>
    <definedName name="A87_" localSheetId="5">#REF!</definedName>
    <definedName name="A87_" localSheetId="15">#REF!</definedName>
    <definedName name="A87_" localSheetId="6">#REF!</definedName>
    <definedName name="A87_" localSheetId="16">#REF!</definedName>
    <definedName name="A87_" localSheetId="7">#REF!</definedName>
    <definedName name="A87_" localSheetId="1">#REF!</definedName>
    <definedName name="A87_" localSheetId="17">#REF!</definedName>
    <definedName name="A87_" localSheetId="8">#REF!</definedName>
    <definedName name="A87_" localSheetId="2">#REF!</definedName>
    <definedName name="A87_" localSheetId="18">#REF!</definedName>
    <definedName name="A87_" localSheetId="9">#REF!</definedName>
    <definedName name="A87_" localSheetId="3">#REF!</definedName>
    <definedName name="A87_" localSheetId="19">#REF!</definedName>
    <definedName name="A87_" localSheetId="10">#REF!</definedName>
    <definedName name="A87_" localSheetId="20">#REF!</definedName>
    <definedName name="A87_" localSheetId="11">#REF!</definedName>
    <definedName name="A87_" localSheetId="21">#REF!</definedName>
    <definedName name="A87_" localSheetId="12">#REF!</definedName>
    <definedName name="A87_" localSheetId="22">#REF!</definedName>
    <definedName name="A87_" localSheetId="13">#REF!</definedName>
    <definedName name="A87_">#REF!</definedName>
    <definedName name="aaaa" localSheetId="14">#REF!</definedName>
    <definedName name="aaaa" localSheetId="0">#REF!</definedName>
    <definedName name="aaaa" localSheetId="5">#REF!</definedName>
    <definedName name="aaaa" localSheetId="15">#REF!</definedName>
    <definedName name="aaaa" localSheetId="6">#REF!</definedName>
    <definedName name="aaaa" localSheetId="16">#REF!</definedName>
    <definedName name="aaaa" localSheetId="7">#REF!</definedName>
    <definedName name="aaaa" localSheetId="1">#REF!</definedName>
    <definedName name="aaaa" localSheetId="17">#REF!</definedName>
    <definedName name="aaaa" localSheetId="8">#REF!</definedName>
    <definedName name="aaaa" localSheetId="2">#REF!</definedName>
    <definedName name="aaaa" localSheetId="18">#REF!</definedName>
    <definedName name="aaaa" localSheetId="9">#REF!</definedName>
    <definedName name="aaaa" localSheetId="3">#REF!</definedName>
    <definedName name="aaaa" localSheetId="19">#REF!</definedName>
    <definedName name="aaaa" localSheetId="10">#REF!</definedName>
    <definedName name="aaaa" localSheetId="20">#REF!</definedName>
    <definedName name="aaaa" localSheetId="11">#REF!</definedName>
    <definedName name="aaaa" localSheetId="21">#REF!</definedName>
    <definedName name="aaaa" localSheetId="12">#REF!</definedName>
    <definedName name="aaaa" localSheetId="22">#REF!</definedName>
    <definedName name="aaaa" localSheetId="13">#REF!</definedName>
    <definedName name="aaaa">#REF!</definedName>
    <definedName name="aaaaa" localSheetId="14" hidden="1">#REF!</definedName>
    <definedName name="aaaaa" localSheetId="0" hidden="1">#REF!</definedName>
    <definedName name="aaaaa" localSheetId="5" hidden="1">#REF!</definedName>
    <definedName name="aaaaa" localSheetId="15" hidden="1">#REF!</definedName>
    <definedName name="aaaaa" localSheetId="6" hidden="1">#REF!</definedName>
    <definedName name="aaaaa" localSheetId="16" hidden="1">#REF!</definedName>
    <definedName name="aaaaa" localSheetId="7" hidden="1">#REF!</definedName>
    <definedName name="aaaaa" localSheetId="1" hidden="1">#REF!</definedName>
    <definedName name="aaaaa" localSheetId="17" hidden="1">#REF!</definedName>
    <definedName name="aaaaa" localSheetId="8" hidden="1">#REF!</definedName>
    <definedName name="aaaaa" localSheetId="2" hidden="1">#REF!</definedName>
    <definedName name="aaaaa" localSheetId="18" hidden="1">#REF!</definedName>
    <definedName name="aaaaa" localSheetId="9" hidden="1">#REF!</definedName>
    <definedName name="aaaaa" localSheetId="3" hidden="1">#REF!</definedName>
    <definedName name="aaaaa" localSheetId="19" hidden="1">#REF!</definedName>
    <definedName name="aaaaa" localSheetId="10" hidden="1">#REF!</definedName>
    <definedName name="aaaaa" localSheetId="20" hidden="1">#REF!</definedName>
    <definedName name="aaaaa" localSheetId="11" hidden="1">#REF!</definedName>
    <definedName name="aaaaa" localSheetId="21" hidden="1">#REF!</definedName>
    <definedName name="aaaaa" localSheetId="12" hidden="1">#REF!</definedName>
    <definedName name="aaaaa" localSheetId="22" hidden="1">#REF!</definedName>
    <definedName name="aaaaa" localSheetId="13" hidden="1">#REF!</definedName>
    <definedName name="aaaaa" hidden="1">#REF!</definedName>
    <definedName name="ada" hidden="1">[14]balance!#REF!</definedName>
    <definedName name="adicional" localSheetId="14">#REF!</definedName>
    <definedName name="adicional" localSheetId="0">#REF!</definedName>
    <definedName name="adicional" localSheetId="5">#REF!</definedName>
    <definedName name="adicional" localSheetId="15">#REF!</definedName>
    <definedName name="adicional" localSheetId="6">#REF!</definedName>
    <definedName name="adicional" localSheetId="16">#REF!</definedName>
    <definedName name="adicional" localSheetId="7">#REF!</definedName>
    <definedName name="adicional" localSheetId="1">#REF!</definedName>
    <definedName name="adicional" localSheetId="17">#REF!</definedName>
    <definedName name="adicional" localSheetId="8">#REF!</definedName>
    <definedName name="adicional" localSheetId="2">#REF!</definedName>
    <definedName name="adicional" localSheetId="18">#REF!</definedName>
    <definedName name="adicional" localSheetId="9">#REF!</definedName>
    <definedName name="adicional" localSheetId="3">#REF!</definedName>
    <definedName name="adicional" localSheetId="19">#REF!</definedName>
    <definedName name="adicional" localSheetId="10">#REF!</definedName>
    <definedName name="adicional" localSheetId="20">#REF!</definedName>
    <definedName name="adicional" localSheetId="11">#REF!</definedName>
    <definedName name="adicional" localSheetId="21">#REF!</definedName>
    <definedName name="adicional" localSheetId="12">#REF!</definedName>
    <definedName name="adicional" localSheetId="22">#REF!</definedName>
    <definedName name="adicional" localSheetId="13">#REF!</definedName>
    <definedName name="adicional">#REF!</definedName>
    <definedName name="ALIMENTOS" localSheetId="14">#REF!</definedName>
    <definedName name="ALIMENTOS" localSheetId="0">#REF!</definedName>
    <definedName name="ALIMENTOS" localSheetId="5">#REF!</definedName>
    <definedName name="ALIMENTOS" localSheetId="15">#REF!</definedName>
    <definedName name="ALIMENTOS" localSheetId="6">#REF!</definedName>
    <definedName name="ALIMENTOS" localSheetId="16">#REF!</definedName>
    <definedName name="ALIMENTOS" localSheetId="7">#REF!</definedName>
    <definedName name="ALIMENTOS" localSheetId="1">#REF!</definedName>
    <definedName name="ALIMENTOS" localSheetId="17">#REF!</definedName>
    <definedName name="ALIMENTOS" localSheetId="8">#REF!</definedName>
    <definedName name="ALIMENTOS" localSheetId="2">#REF!</definedName>
    <definedName name="ALIMENTOS" localSheetId="18">#REF!</definedName>
    <definedName name="ALIMENTOS" localSheetId="9">#REF!</definedName>
    <definedName name="ALIMENTOS" localSheetId="3">#REF!</definedName>
    <definedName name="ALIMENTOS" localSheetId="19">#REF!</definedName>
    <definedName name="ALIMENTOS" localSheetId="10">#REF!</definedName>
    <definedName name="ALIMENTOS" localSheetId="20">#REF!</definedName>
    <definedName name="ALIMENTOS" localSheetId="11">#REF!</definedName>
    <definedName name="ALIMENTOS" localSheetId="21">#REF!</definedName>
    <definedName name="ALIMENTOS" localSheetId="12">#REF!</definedName>
    <definedName name="ALIMENTOS" localSheetId="22">#REF!</definedName>
    <definedName name="ALIMENTOS" localSheetId="13">#REF!</definedName>
    <definedName name="ALIMENTOS">#REF!</definedName>
    <definedName name="anexo" localSheetId="22">[22]PAG_35!#REF!</definedName>
    <definedName name="anexo">[22]PAG_35!#REF!</definedName>
    <definedName name="anexo_especial" localSheetId="22">[23]PAG_37!#REF!</definedName>
    <definedName name="anexo_especial">[23]PAG_37!#REF!</definedName>
    <definedName name="anexos" localSheetId="22">[24]PAG_35!#REF!</definedName>
    <definedName name="anexos">[24]PAG_35!#REF!</definedName>
    <definedName name="_xlnm.Print_Area" localSheetId="14">'10f'!$A$1:$D$18</definedName>
    <definedName name="_xlnm.Print_Area" localSheetId="0">'1-2h'!$A$1:$L$72</definedName>
    <definedName name="_xlnm.Print_Area" localSheetId="5">'1f'!$A$1:$K$41</definedName>
    <definedName name="_xlnm.Print_Area" localSheetId="15">'245_1i'!$A$1:$L$37</definedName>
    <definedName name="_xlnm.Print_Area" localSheetId="6">'2f'!$A$1:$I$29</definedName>
    <definedName name="_xlnm.Print_Area" localSheetId="16">'2i'!$A$1:$P$46</definedName>
    <definedName name="_xlnm.Print_Area" localSheetId="7">'3f'!$A$1:$T$32</definedName>
    <definedName name="_xlnm.Print_Area" localSheetId="1">'3h'!$A$1:$J$79</definedName>
    <definedName name="_xlnm.Print_Area" localSheetId="17">'3i'!$A$1:$Q$17</definedName>
    <definedName name="_xlnm.Print_Area" localSheetId="8">'4f'!$A$1:$S$32</definedName>
    <definedName name="_xlnm.Print_Area" localSheetId="2">'4h'!$A$1:$J$78</definedName>
    <definedName name="_xlnm.Print_Area" localSheetId="18">'4i'!$A$1:$R$23</definedName>
    <definedName name="_xlnm.Print_Area" localSheetId="9">'5f'!$A$1:$T$31</definedName>
    <definedName name="_xlnm.Print_Area" localSheetId="3">'5h'!$A$1:$D$22</definedName>
    <definedName name="_xlnm.Print_Area" localSheetId="19">'5i'!$A$1:$R$25</definedName>
    <definedName name="_xlnm.Print_Area" localSheetId="10">'6f'!$A$1:$T$24</definedName>
    <definedName name="_xlnm.Print_Area" localSheetId="4">'6h'!$A$1:$D$25</definedName>
    <definedName name="_xlnm.Print_Area" localSheetId="20">'6i'!$A$1:$E$26</definedName>
    <definedName name="_xlnm.Print_Area" localSheetId="11">'7f'!$A$1:$T$21</definedName>
    <definedName name="_xlnm.Print_Area" localSheetId="21">'7i'!$A$1:$F$16</definedName>
    <definedName name="_xlnm.Print_Area" localSheetId="12">'8f'!$A$1:$G$38</definedName>
    <definedName name="_xlnm.Print_Area" localSheetId="22">'8i'!$A$1:$N$22</definedName>
    <definedName name="_xlnm.Print_Area" localSheetId="13">'9f'!$A$1:$N$25</definedName>
    <definedName name="area1" localSheetId="14">#REF!</definedName>
    <definedName name="area1" localSheetId="0">#REF!</definedName>
    <definedName name="area1" localSheetId="5">#REF!</definedName>
    <definedName name="area1" localSheetId="15">#REF!</definedName>
    <definedName name="area1" localSheetId="6">#REF!</definedName>
    <definedName name="area1" localSheetId="16">#REF!</definedName>
    <definedName name="area1" localSheetId="7">#REF!</definedName>
    <definedName name="area1" localSheetId="1">#REF!</definedName>
    <definedName name="area1" localSheetId="17">#REF!</definedName>
    <definedName name="area1" localSheetId="8">#REF!</definedName>
    <definedName name="area1" localSheetId="2">#REF!</definedName>
    <definedName name="area1" localSheetId="18">#REF!</definedName>
    <definedName name="area1" localSheetId="9">#REF!</definedName>
    <definedName name="area1" localSheetId="3">#REF!</definedName>
    <definedName name="area1" localSheetId="19">#REF!</definedName>
    <definedName name="area1" localSheetId="10">#REF!</definedName>
    <definedName name="area1" localSheetId="20">#REF!</definedName>
    <definedName name="area1" localSheetId="11">#REF!</definedName>
    <definedName name="area1" localSheetId="21">#REF!</definedName>
    <definedName name="area1" localSheetId="12">#REF!</definedName>
    <definedName name="area1" localSheetId="22">#REF!</definedName>
    <definedName name="area1" localSheetId="13">#REF!</definedName>
    <definedName name="area1">#REF!</definedName>
    <definedName name="area2" localSheetId="14">#REF!</definedName>
    <definedName name="area2" localSheetId="0">#REF!</definedName>
    <definedName name="area2" localSheetId="5">#REF!</definedName>
    <definedName name="area2" localSheetId="15">#REF!</definedName>
    <definedName name="area2" localSheetId="6">#REF!</definedName>
    <definedName name="area2" localSheetId="16">#REF!</definedName>
    <definedName name="area2" localSheetId="7">#REF!</definedName>
    <definedName name="area2" localSheetId="1">#REF!</definedName>
    <definedName name="area2" localSheetId="17">#REF!</definedName>
    <definedName name="area2" localSheetId="8">#REF!</definedName>
    <definedName name="area2" localSheetId="2">#REF!</definedName>
    <definedName name="area2" localSheetId="18">#REF!</definedName>
    <definedName name="area2" localSheetId="9">#REF!</definedName>
    <definedName name="area2" localSheetId="3">#REF!</definedName>
    <definedName name="area2" localSheetId="19">#REF!</definedName>
    <definedName name="area2" localSheetId="10">#REF!</definedName>
    <definedName name="area2" localSheetId="20">#REF!</definedName>
    <definedName name="area2" localSheetId="11">#REF!</definedName>
    <definedName name="area2" localSheetId="21">#REF!</definedName>
    <definedName name="area2" localSheetId="12">#REF!</definedName>
    <definedName name="area2" localSheetId="22">#REF!</definedName>
    <definedName name="area2" localSheetId="13">#REF!</definedName>
    <definedName name="area2">#REF!</definedName>
    <definedName name="area3" localSheetId="14">#REF!</definedName>
    <definedName name="area3" localSheetId="0">#REF!</definedName>
    <definedName name="area3" localSheetId="5">#REF!</definedName>
    <definedName name="area3" localSheetId="15">#REF!</definedName>
    <definedName name="area3" localSheetId="6">#REF!</definedName>
    <definedName name="area3" localSheetId="16">#REF!</definedName>
    <definedName name="area3" localSheetId="7">#REF!</definedName>
    <definedName name="area3" localSheetId="1">#REF!</definedName>
    <definedName name="area3" localSheetId="17">#REF!</definedName>
    <definedName name="area3" localSheetId="8">#REF!</definedName>
    <definedName name="area3" localSheetId="2">#REF!</definedName>
    <definedName name="area3" localSheetId="18">#REF!</definedName>
    <definedName name="area3" localSheetId="9">#REF!</definedName>
    <definedName name="area3" localSheetId="3">#REF!</definedName>
    <definedName name="area3" localSheetId="19">#REF!</definedName>
    <definedName name="area3" localSheetId="10">#REF!</definedName>
    <definedName name="area3" localSheetId="20">#REF!</definedName>
    <definedName name="area3" localSheetId="11">#REF!</definedName>
    <definedName name="area3" localSheetId="21">#REF!</definedName>
    <definedName name="area3" localSheetId="12">#REF!</definedName>
    <definedName name="area3" localSheetId="22">#REF!</definedName>
    <definedName name="area3" localSheetId="13">#REF!</definedName>
    <definedName name="area3">#REF!</definedName>
    <definedName name="area4" localSheetId="14">#REF!</definedName>
    <definedName name="area4" localSheetId="0">#REF!</definedName>
    <definedName name="area4" localSheetId="5">#REF!</definedName>
    <definedName name="area4" localSheetId="15">#REF!</definedName>
    <definedName name="area4" localSheetId="6">#REF!</definedName>
    <definedName name="area4" localSheetId="16">#REF!</definedName>
    <definedName name="area4" localSheetId="7">#REF!</definedName>
    <definedName name="area4" localSheetId="1">#REF!</definedName>
    <definedName name="area4" localSheetId="17">#REF!</definedName>
    <definedName name="area4" localSheetId="8">#REF!</definedName>
    <definedName name="area4" localSheetId="2">#REF!</definedName>
    <definedName name="area4" localSheetId="18">#REF!</definedName>
    <definedName name="area4" localSheetId="9">#REF!</definedName>
    <definedName name="area4" localSheetId="3">#REF!</definedName>
    <definedName name="area4" localSheetId="19">#REF!</definedName>
    <definedName name="area4" localSheetId="10">#REF!</definedName>
    <definedName name="area4" localSheetId="20">#REF!</definedName>
    <definedName name="area4" localSheetId="11">#REF!</definedName>
    <definedName name="area4" localSheetId="21">#REF!</definedName>
    <definedName name="area4" localSheetId="12">#REF!</definedName>
    <definedName name="area4" localSheetId="22">#REF!</definedName>
    <definedName name="area4" localSheetId="13">#REF!</definedName>
    <definedName name="area4">#REF!</definedName>
    <definedName name="AreaDeFechasC1">[25]c1!$D$2:$N$2</definedName>
    <definedName name="AreaDeFechasC3">[25]c3!$D$2:$N$2</definedName>
    <definedName name="AreaDeFechasC5">[25]c5!$D$2:$N$2</definedName>
    <definedName name="AreaDeFechasC6">[25]c6!$D$2:$N$2</definedName>
    <definedName name="AreaDeFechasC8" localSheetId="14">#REF!</definedName>
    <definedName name="AreaDeFechasC8" localSheetId="0">#REF!</definedName>
    <definedName name="AreaDeFechasC8" localSheetId="5">#REF!</definedName>
    <definedName name="AreaDeFechasC8" localSheetId="15">#REF!</definedName>
    <definedName name="AreaDeFechasC8" localSheetId="6">#REF!</definedName>
    <definedName name="AreaDeFechasC8" localSheetId="16">#REF!</definedName>
    <definedName name="AreaDeFechasC8" localSheetId="7">#REF!</definedName>
    <definedName name="AreaDeFechasC8" localSheetId="1">#REF!</definedName>
    <definedName name="AreaDeFechasC8" localSheetId="17">#REF!</definedName>
    <definedName name="AreaDeFechasC8" localSheetId="8">#REF!</definedName>
    <definedName name="AreaDeFechasC8" localSheetId="2">#REF!</definedName>
    <definedName name="AreaDeFechasC8" localSheetId="18">#REF!</definedName>
    <definedName name="AreaDeFechasC8" localSheetId="9">#REF!</definedName>
    <definedName name="AreaDeFechasC8" localSheetId="3">#REF!</definedName>
    <definedName name="AreaDeFechasC8" localSheetId="19">#REF!</definedName>
    <definedName name="AreaDeFechasC8" localSheetId="10">#REF!</definedName>
    <definedName name="AreaDeFechasC8" localSheetId="20">#REF!</definedName>
    <definedName name="AreaDeFechasC8" localSheetId="11">#REF!</definedName>
    <definedName name="AreaDeFechasC8" localSheetId="21">#REF!</definedName>
    <definedName name="AreaDeFechasC8" localSheetId="12">#REF!</definedName>
    <definedName name="AreaDeFechasC8" localSheetId="22">#REF!</definedName>
    <definedName name="AreaDeFechasC8" localSheetId="13">#REF!</definedName>
    <definedName name="AreaDeFechasC8">#REF!</definedName>
    <definedName name="AreaDeFechasDeCuadro1">[25]AhoF!$F$4:$P$4</definedName>
    <definedName name="AreaDeFechasDeCuadro3">[25]Bon!$E$6:$O$6</definedName>
    <definedName name="AreaDeFechasDeCuadro5">[25]BVL!$E$5:$N$5</definedName>
    <definedName name="AreaDeFechasDeCuadro6" localSheetId="14">#REF!</definedName>
    <definedName name="AreaDeFechasDeCuadro6" localSheetId="0">#REF!</definedName>
    <definedName name="AreaDeFechasDeCuadro6" localSheetId="5">#REF!</definedName>
    <definedName name="AreaDeFechasDeCuadro6" localSheetId="15">#REF!</definedName>
    <definedName name="AreaDeFechasDeCuadro6" localSheetId="6">#REF!</definedName>
    <definedName name="AreaDeFechasDeCuadro6" localSheetId="16">#REF!</definedName>
    <definedName name="AreaDeFechasDeCuadro6" localSheetId="7">#REF!</definedName>
    <definedName name="AreaDeFechasDeCuadro6" localSheetId="1">#REF!</definedName>
    <definedName name="AreaDeFechasDeCuadro6" localSheetId="17">#REF!</definedName>
    <definedName name="AreaDeFechasDeCuadro6" localSheetId="8">#REF!</definedName>
    <definedName name="AreaDeFechasDeCuadro6" localSheetId="2">#REF!</definedName>
    <definedName name="AreaDeFechasDeCuadro6" localSheetId="18">#REF!</definedName>
    <definedName name="AreaDeFechasDeCuadro6" localSheetId="9">#REF!</definedName>
    <definedName name="AreaDeFechasDeCuadro6" localSheetId="3">#REF!</definedName>
    <definedName name="AreaDeFechasDeCuadro6" localSheetId="19">#REF!</definedName>
    <definedName name="AreaDeFechasDeCuadro6" localSheetId="10">#REF!</definedName>
    <definedName name="AreaDeFechasDeCuadro6" localSheetId="20">#REF!</definedName>
    <definedName name="AreaDeFechasDeCuadro6" localSheetId="11">#REF!</definedName>
    <definedName name="AreaDeFechasDeCuadro6" localSheetId="21">#REF!</definedName>
    <definedName name="AreaDeFechasDeCuadro6" localSheetId="12">#REF!</definedName>
    <definedName name="AreaDeFechasDeCuadro6" localSheetId="22">#REF!</definedName>
    <definedName name="AreaDeFechasDeCuadro6" localSheetId="13">#REF!</definedName>
    <definedName name="AreaDeFechasDeCuadro6">#REF!</definedName>
    <definedName name="AreaDeFechasDeCuadro8">'[25]Anex-SFN'!$J$7:$R$7</definedName>
    <definedName name="as" localSheetId="14">[3]PAG_35!#REF!</definedName>
    <definedName name="as" localSheetId="0">[3]PAG_35!#REF!</definedName>
    <definedName name="as" localSheetId="5">[3]PAG_35!#REF!</definedName>
    <definedName name="as" localSheetId="15">[3]PAG_35!#REF!</definedName>
    <definedName name="as" localSheetId="6">[3]PAG_35!#REF!</definedName>
    <definedName name="as" localSheetId="16">[3]PAG_35!#REF!</definedName>
    <definedName name="as" localSheetId="7">[3]PAG_35!#REF!</definedName>
    <definedName name="as" localSheetId="1">[3]PAG_35!#REF!</definedName>
    <definedName name="as" localSheetId="17">[3]PAG_35!#REF!</definedName>
    <definedName name="as" localSheetId="8">[3]PAG_35!#REF!</definedName>
    <definedName name="as" localSheetId="2">[3]PAG_35!#REF!</definedName>
    <definedName name="as" localSheetId="18">[3]PAG_35!#REF!</definedName>
    <definedName name="as" localSheetId="9">[3]PAG_35!#REF!</definedName>
    <definedName name="as" localSheetId="3">[3]PAG_35!#REF!</definedName>
    <definedName name="as" localSheetId="19">[3]PAG_35!#REF!</definedName>
    <definedName name="as" localSheetId="10">[3]PAG_35!#REF!</definedName>
    <definedName name="as" localSheetId="20">[3]PAG_35!#REF!</definedName>
    <definedName name="as" localSheetId="11">[3]PAG_35!#REF!</definedName>
    <definedName name="as" localSheetId="21">[3]PAG_35!#REF!</definedName>
    <definedName name="as" localSheetId="12">[3]PAG_35!#REF!</definedName>
    <definedName name="as" localSheetId="22">[3]PAG_35!#REF!</definedName>
    <definedName name="as" localSheetId="13">[3]PAG_35!#REF!</definedName>
    <definedName name="as">[3]PAG_35!#REF!</definedName>
    <definedName name="asad">#REF!</definedName>
    <definedName name="asdd" localSheetId="14">#REF!,#REF!</definedName>
    <definedName name="asdd" localSheetId="0">#REF!,#REF!</definedName>
    <definedName name="asdd" localSheetId="5">#REF!,#REF!</definedName>
    <definedName name="asdd" localSheetId="15">#REF!,#REF!</definedName>
    <definedName name="asdd" localSheetId="6">#REF!,#REF!</definedName>
    <definedName name="asdd" localSheetId="16">#REF!,#REF!</definedName>
    <definedName name="asdd" localSheetId="7">#REF!,#REF!</definedName>
    <definedName name="asdd" localSheetId="1">#REF!,#REF!</definedName>
    <definedName name="asdd" localSheetId="17">#REF!,#REF!</definedName>
    <definedName name="asdd" localSheetId="8">#REF!,#REF!</definedName>
    <definedName name="asdd" localSheetId="2">#REF!,#REF!</definedName>
    <definedName name="asdd" localSheetId="18">#REF!,#REF!</definedName>
    <definedName name="asdd" localSheetId="9">#REF!,#REF!</definedName>
    <definedName name="asdd" localSheetId="3">#REF!,#REF!</definedName>
    <definedName name="asdd" localSheetId="19">#REF!,#REF!</definedName>
    <definedName name="asdd" localSheetId="10">#REF!,#REF!</definedName>
    <definedName name="asdd" localSheetId="20">#REF!,#REF!</definedName>
    <definedName name="asdd" localSheetId="11">#REF!,#REF!</definedName>
    <definedName name="asdd" localSheetId="21">#REF!,#REF!</definedName>
    <definedName name="asdd" localSheetId="12">#REF!,#REF!</definedName>
    <definedName name="asdd" localSheetId="22">#REF!,#REF!</definedName>
    <definedName name="asdd" localSheetId="13">#REF!,#REF!</definedName>
    <definedName name="asdd">#REF!,#REF!</definedName>
    <definedName name="asde" localSheetId="14" hidden="1">#REF!</definedName>
    <definedName name="asde" localSheetId="0" hidden="1">#REF!</definedName>
    <definedName name="asde" localSheetId="5" hidden="1">#REF!</definedName>
    <definedName name="asde" localSheetId="15" hidden="1">#REF!</definedName>
    <definedName name="asde" localSheetId="6" hidden="1">#REF!</definedName>
    <definedName name="asde" localSheetId="16" hidden="1">#REF!</definedName>
    <definedName name="asde" localSheetId="7" hidden="1">#REF!</definedName>
    <definedName name="asde" localSheetId="1" hidden="1">#REF!</definedName>
    <definedName name="asde" localSheetId="17" hidden="1">#REF!</definedName>
    <definedName name="asde" localSheetId="8" hidden="1">#REF!</definedName>
    <definedName name="asde" localSheetId="2" hidden="1">#REF!</definedName>
    <definedName name="asde" localSheetId="18" hidden="1">#REF!</definedName>
    <definedName name="asde" localSheetId="9" hidden="1">#REF!</definedName>
    <definedName name="asde" localSheetId="3" hidden="1">#REF!</definedName>
    <definedName name="asde" localSheetId="19" hidden="1">#REF!</definedName>
    <definedName name="asde" localSheetId="10" hidden="1">#REF!</definedName>
    <definedName name="asde" localSheetId="20" hidden="1">#REF!</definedName>
    <definedName name="asde" localSheetId="11" hidden="1">#REF!</definedName>
    <definedName name="asde" localSheetId="21" hidden="1">#REF!</definedName>
    <definedName name="asde" localSheetId="12" hidden="1">#REF!</definedName>
    <definedName name="asde" localSheetId="22" hidden="1">#REF!</definedName>
    <definedName name="asde" localSheetId="13" hidden="1">#REF!</definedName>
    <definedName name="asde" hidden="1">#REF!</definedName>
    <definedName name="axdas" localSheetId="14">#REF!</definedName>
    <definedName name="axdas" localSheetId="0">#REF!</definedName>
    <definedName name="axdas" localSheetId="5">#REF!</definedName>
    <definedName name="axdas" localSheetId="15">#REF!</definedName>
    <definedName name="axdas" localSheetId="6">#REF!</definedName>
    <definedName name="axdas" localSheetId="16">#REF!</definedName>
    <definedName name="axdas" localSheetId="7">#REF!</definedName>
    <definedName name="axdas" localSheetId="1">#REF!</definedName>
    <definedName name="axdas" localSheetId="17">#REF!</definedName>
    <definedName name="axdas" localSheetId="8">#REF!</definedName>
    <definedName name="axdas" localSheetId="2">#REF!</definedName>
    <definedName name="axdas" localSheetId="18">#REF!</definedName>
    <definedName name="axdas" localSheetId="9">#REF!</definedName>
    <definedName name="axdas" localSheetId="3">#REF!</definedName>
    <definedName name="axdas" localSheetId="19">#REF!</definedName>
    <definedName name="axdas" localSheetId="10">#REF!</definedName>
    <definedName name="axdas" localSheetId="20">#REF!</definedName>
    <definedName name="axdas" localSheetId="11">#REF!</definedName>
    <definedName name="axdas" localSheetId="21">#REF!</definedName>
    <definedName name="axdas" localSheetId="12">#REF!</definedName>
    <definedName name="axdas" localSheetId="22">#REF!</definedName>
    <definedName name="axdas" localSheetId="13">#REF!</definedName>
    <definedName name="axdas">#REF!</definedName>
    <definedName name="B">'[26]R. Natural'!#REF!</definedName>
    <definedName name="base0" localSheetId="14">[27]Sem!#REF!</definedName>
    <definedName name="base0" localSheetId="0">[27]Sem!#REF!</definedName>
    <definedName name="base0" localSheetId="5">[27]Sem!#REF!</definedName>
    <definedName name="base0" localSheetId="15">[27]Sem!#REF!</definedName>
    <definedName name="base0" localSheetId="6">[27]Sem!#REF!</definedName>
    <definedName name="base0" localSheetId="16">[27]Sem!#REF!</definedName>
    <definedName name="base0" localSheetId="7">[27]Sem!#REF!</definedName>
    <definedName name="base0" localSheetId="1">[27]Sem!#REF!</definedName>
    <definedName name="base0" localSheetId="17">[27]Sem!#REF!</definedName>
    <definedName name="base0" localSheetId="8">[27]Sem!#REF!</definedName>
    <definedName name="base0" localSheetId="2">[27]Sem!#REF!</definedName>
    <definedName name="base0" localSheetId="18">[27]Sem!#REF!</definedName>
    <definedName name="base0" localSheetId="9">[27]Sem!#REF!</definedName>
    <definedName name="base0" localSheetId="3">[27]Sem!#REF!</definedName>
    <definedName name="base0" localSheetId="19">[27]Sem!#REF!</definedName>
    <definedName name="base0" localSheetId="10">[27]Sem!#REF!</definedName>
    <definedName name="base0" localSheetId="20">[27]Sem!#REF!</definedName>
    <definedName name="base0" localSheetId="11">[27]Sem!#REF!</definedName>
    <definedName name="base0" localSheetId="21">[27]Sem!#REF!</definedName>
    <definedName name="base0" localSheetId="12">[27]Sem!#REF!</definedName>
    <definedName name="base0" localSheetId="22">[27]Sem!#REF!</definedName>
    <definedName name="base0" localSheetId="13">[27]Sem!#REF!</definedName>
    <definedName name="base0">[27]Sem!#REF!</definedName>
    <definedName name="_xlnm.Database" localSheetId="14">[28]OPERACIONES!#REF!</definedName>
    <definedName name="_xlnm.Database" localSheetId="0">[28]OPERACIONES!#REF!</definedName>
    <definedName name="_xlnm.Database" localSheetId="5">[28]OPERACIONES!#REF!</definedName>
    <definedName name="_xlnm.Database" localSheetId="15">[28]OPERACIONES!#REF!</definedName>
    <definedName name="_xlnm.Database" localSheetId="6">[28]OPERACIONES!#REF!</definedName>
    <definedName name="_xlnm.Database" localSheetId="16">[28]OPERACIONES!#REF!</definedName>
    <definedName name="_xlnm.Database" localSheetId="7">[28]OPERACIONES!#REF!</definedName>
    <definedName name="_xlnm.Database" localSheetId="1">[28]OPERACIONES!#REF!</definedName>
    <definedName name="_xlnm.Database" localSheetId="17">[28]OPERACIONES!#REF!</definedName>
    <definedName name="_xlnm.Database" localSheetId="8">[28]OPERACIONES!#REF!</definedName>
    <definedName name="_xlnm.Database" localSheetId="2">[28]OPERACIONES!#REF!</definedName>
    <definedName name="_xlnm.Database" localSheetId="18">[28]OPERACIONES!#REF!</definedName>
    <definedName name="_xlnm.Database" localSheetId="9">[28]OPERACIONES!#REF!</definedName>
    <definedName name="_xlnm.Database" localSheetId="3">[28]OPERACIONES!#REF!</definedName>
    <definedName name="_xlnm.Database" localSheetId="19">[28]OPERACIONES!#REF!</definedName>
    <definedName name="_xlnm.Database" localSheetId="10">[28]OPERACIONES!#REF!</definedName>
    <definedName name="_xlnm.Database" localSheetId="20">[28]OPERACIONES!#REF!</definedName>
    <definedName name="_xlnm.Database" localSheetId="11">[28]OPERACIONES!#REF!</definedName>
    <definedName name="_xlnm.Database" localSheetId="21">[28]OPERACIONES!#REF!</definedName>
    <definedName name="_xlnm.Database" localSheetId="12">[28]OPERACIONES!#REF!</definedName>
    <definedName name="_xlnm.Database" localSheetId="22">[29]OPERACIONES!#REF!</definedName>
    <definedName name="_xlnm.Database" localSheetId="13">[28]OPERACIONES!#REF!</definedName>
    <definedName name="_xlnm.Database">[29]OPERACIONES!#REF!</definedName>
    <definedName name="baseFP" localSheetId="14">[27]BASFinP!$DW$1</definedName>
    <definedName name="baseFP" localSheetId="0">[27]BASFinP!$DW$1</definedName>
    <definedName name="baseFP" localSheetId="5">[27]BASFinP!$DW$1</definedName>
    <definedName name="baseFP" localSheetId="15">[27]BASFinP!$DW$1</definedName>
    <definedName name="baseFP" localSheetId="6">[27]BASFinP!$DW$1</definedName>
    <definedName name="baseFP" localSheetId="16">[27]BASFinP!$DW$1</definedName>
    <definedName name="baseFP" localSheetId="7">[27]BASFinP!$DW$1</definedName>
    <definedName name="baseFP" localSheetId="1">[27]BASFinP!$DW$1</definedName>
    <definedName name="baseFP" localSheetId="17">[27]BASFinP!$DW$1</definedName>
    <definedName name="baseFP" localSheetId="8">[27]BASFinP!$DW$1</definedName>
    <definedName name="baseFP" localSheetId="2">[27]BASFinP!$DW$1</definedName>
    <definedName name="baseFP" localSheetId="18">[27]BASFinP!$DW$1</definedName>
    <definedName name="baseFP" localSheetId="9">[27]BASFinP!$DW$1</definedName>
    <definedName name="baseFP" localSheetId="3">[27]BASFinP!$DW$1</definedName>
    <definedName name="baseFP" localSheetId="19">[27]BASFinP!$DW$1</definedName>
    <definedName name="baseFP" localSheetId="10">[27]BASFinP!$DW$1</definedName>
    <definedName name="baseFP" localSheetId="20">[27]BASFinP!$DW$1</definedName>
    <definedName name="baseFP" localSheetId="11">[27]BASFinP!$DW$1</definedName>
    <definedName name="baseFP" localSheetId="21">[27]BASFinP!$DW$1</definedName>
    <definedName name="baseFP" localSheetId="12">[27]BASFinP!$DW$1</definedName>
    <definedName name="baseFP" localSheetId="22">[27]BASFinP!$DW$1</definedName>
    <definedName name="baseFP" localSheetId="13">[27]BASFinP!$DW$1</definedName>
    <definedName name="baseFP">[27]BASFinP!$DW$1</definedName>
    <definedName name="baseProm" localSheetId="14">[27]BASPromP!#REF!</definedName>
    <definedName name="baseProm" localSheetId="0">[27]BASPromP!#REF!</definedName>
    <definedName name="baseProm" localSheetId="5">[27]BASPromP!#REF!</definedName>
    <definedName name="baseProm" localSheetId="15">[27]BASPromP!#REF!</definedName>
    <definedName name="baseProm" localSheetId="6">[27]BASPromP!#REF!</definedName>
    <definedName name="baseProm" localSheetId="16">[27]BASPromP!#REF!</definedName>
    <definedName name="baseProm" localSheetId="7">[27]BASPromP!#REF!</definedName>
    <definedName name="baseProm" localSheetId="1">[27]BASPromP!#REF!</definedName>
    <definedName name="baseProm" localSheetId="17">[27]BASPromP!#REF!</definedName>
    <definedName name="baseProm" localSheetId="8">[27]BASPromP!#REF!</definedName>
    <definedName name="baseProm" localSheetId="2">[27]BASPromP!#REF!</definedName>
    <definedName name="baseProm" localSheetId="18">[27]BASPromP!#REF!</definedName>
    <definedName name="baseProm" localSheetId="9">[27]BASPromP!#REF!</definedName>
    <definedName name="baseProm" localSheetId="3">[27]BASPromP!#REF!</definedName>
    <definedName name="baseProm" localSheetId="19">[27]BASPromP!#REF!</definedName>
    <definedName name="baseProm" localSheetId="10">[27]BASPromP!#REF!</definedName>
    <definedName name="baseProm" localSheetId="20">[27]BASPromP!#REF!</definedName>
    <definedName name="baseProm" localSheetId="11">[27]BASPromP!#REF!</definedName>
    <definedName name="baseProm" localSheetId="21">[27]BASPromP!#REF!</definedName>
    <definedName name="baseProm" localSheetId="12">[27]BASPromP!#REF!</definedName>
    <definedName name="baseProm" localSheetId="22">[27]BASPromP!#REF!</definedName>
    <definedName name="baseProm" localSheetId="13">[27]BASPromP!#REF!</definedName>
    <definedName name="baseProm">[27]BASPromP!#REF!</definedName>
    <definedName name="BLPH1" localSheetId="14" hidden="1">#REF!</definedName>
    <definedName name="BLPH1" localSheetId="0" hidden="1">#REF!</definedName>
    <definedName name="BLPH1" localSheetId="5" hidden="1">#REF!</definedName>
    <definedName name="BLPH1" localSheetId="15" hidden="1">#REF!</definedName>
    <definedName name="BLPH1" localSheetId="6" hidden="1">#REF!</definedName>
    <definedName name="BLPH1" localSheetId="16" hidden="1">#REF!</definedName>
    <definedName name="BLPH1" localSheetId="7" hidden="1">#REF!</definedName>
    <definedName name="BLPH1" localSheetId="1" hidden="1">#REF!</definedName>
    <definedName name="BLPH1" localSheetId="17" hidden="1">#REF!</definedName>
    <definedName name="BLPH1" localSheetId="8" hidden="1">#REF!</definedName>
    <definedName name="BLPH1" localSheetId="2" hidden="1">#REF!</definedName>
    <definedName name="BLPH1" localSheetId="18" hidden="1">#REF!</definedName>
    <definedName name="BLPH1" localSheetId="9" hidden="1">#REF!</definedName>
    <definedName name="BLPH1" localSheetId="3" hidden="1">#REF!</definedName>
    <definedName name="BLPH1" localSheetId="19" hidden="1">#REF!</definedName>
    <definedName name="BLPH1" localSheetId="10" hidden="1">#REF!</definedName>
    <definedName name="BLPH1" localSheetId="20" hidden="1">#REF!</definedName>
    <definedName name="BLPH1" localSheetId="11" hidden="1">#REF!</definedName>
    <definedName name="BLPH1" localSheetId="21" hidden="1">#REF!</definedName>
    <definedName name="BLPH1" localSheetId="12" hidden="1">#REF!</definedName>
    <definedName name="BLPH1" localSheetId="22" hidden="1">#REF!</definedName>
    <definedName name="BLPH1" localSheetId="13" hidden="1">#REF!</definedName>
    <definedName name="BLPH1" hidden="1">#REF!</definedName>
    <definedName name="bol03_98" localSheetId="0">[3]PAG_35!#REF!</definedName>
    <definedName name="bol03_98" localSheetId="1">[3]PAG_35!#REF!</definedName>
    <definedName name="bol03_98" localSheetId="2">[3]PAG_35!#REF!</definedName>
    <definedName name="bol03_98" localSheetId="3">[3]PAG_35!#REF!</definedName>
    <definedName name="bol03_98" localSheetId="22">[3]PAG_35!#REF!</definedName>
    <definedName name="bol03_98">[3]PAG_35!#REF!</definedName>
    <definedName name="borrar">'[2]R. Natural'!#REF!</definedName>
    <definedName name="bos" localSheetId="14">#REF!</definedName>
    <definedName name="bos" localSheetId="0">#REF!</definedName>
    <definedName name="bos" localSheetId="5">#REF!</definedName>
    <definedName name="bos" localSheetId="15">#REF!</definedName>
    <definedName name="bos" localSheetId="6">#REF!</definedName>
    <definedName name="bos" localSheetId="16">#REF!</definedName>
    <definedName name="bos" localSheetId="7">#REF!</definedName>
    <definedName name="bos" localSheetId="1">#REF!</definedName>
    <definedName name="bos" localSheetId="17">#REF!</definedName>
    <definedName name="bos" localSheetId="8">#REF!</definedName>
    <definedName name="bos" localSheetId="2">#REF!</definedName>
    <definedName name="bos" localSheetId="18">#REF!</definedName>
    <definedName name="bos" localSheetId="9">#REF!</definedName>
    <definedName name="bos" localSheetId="3">#REF!</definedName>
    <definedName name="bos" localSheetId="19">#REF!</definedName>
    <definedName name="bos" localSheetId="10">#REF!</definedName>
    <definedName name="bos" localSheetId="20">#REF!</definedName>
    <definedName name="bos" localSheetId="11">#REF!</definedName>
    <definedName name="bos" localSheetId="21">#REF!</definedName>
    <definedName name="bos" localSheetId="12">#REF!</definedName>
    <definedName name="bos" localSheetId="22">#REF!</definedName>
    <definedName name="bos" localSheetId="13">#REF!</definedName>
    <definedName name="bos">#REF!</definedName>
    <definedName name="CABEZA1">[30]IECM4303!$A$4</definedName>
    <definedName name="capitulo" localSheetId="14" hidden="1">#REF!</definedName>
    <definedName name="capitulo" localSheetId="0" hidden="1">#REF!</definedName>
    <definedName name="capitulo" localSheetId="5" hidden="1">#REF!</definedName>
    <definedName name="capitulo" localSheetId="15" hidden="1">#REF!</definedName>
    <definedName name="capitulo" localSheetId="6" hidden="1">#REF!</definedName>
    <definedName name="capitulo" localSheetId="16" hidden="1">#REF!</definedName>
    <definedName name="capitulo" localSheetId="7" hidden="1">#REF!</definedName>
    <definedName name="capitulo" localSheetId="1" hidden="1">#REF!</definedName>
    <definedName name="capitulo" localSheetId="17" hidden="1">#REF!</definedName>
    <definedName name="capitulo" localSheetId="8" hidden="1">#REF!</definedName>
    <definedName name="capitulo" localSheetId="2" hidden="1">#REF!</definedName>
    <definedName name="capitulo" localSheetId="18" hidden="1">#REF!</definedName>
    <definedName name="capitulo" localSheetId="9" hidden="1">#REF!</definedName>
    <definedName name="capitulo" localSheetId="3" hidden="1">#REF!</definedName>
    <definedName name="capitulo" localSheetId="19" hidden="1">#REF!</definedName>
    <definedName name="capitulo" localSheetId="10" hidden="1">#REF!</definedName>
    <definedName name="capitulo" localSheetId="20" hidden="1">#REF!</definedName>
    <definedName name="capitulo" localSheetId="11" hidden="1">#REF!</definedName>
    <definedName name="capitulo" localSheetId="21" hidden="1">#REF!</definedName>
    <definedName name="capitulo" localSheetId="12" hidden="1">#REF!</definedName>
    <definedName name="capitulo" localSheetId="22" hidden="1">#REF!</definedName>
    <definedName name="capitulo" localSheetId="13" hidden="1">#REF!</definedName>
    <definedName name="capitulo" hidden="1">#REF!</definedName>
    <definedName name="cara" localSheetId="14">[27]Grafico!$A$3</definedName>
    <definedName name="cara" localSheetId="0">[27]Grafico!$A$3</definedName>
    <definedName name="cara" localSheetId="5">[27]Grafico!$A$3</definedName>
    <definedName name="cara" localSheetId="15">[27]Grafico!$A$3</definedName>
    <definedName name="cara" localSheetId="6">[27]Grafico!$A$3</definedName>
    <definedName name="cara" localSheetId="16">[27]Grafico!$A$3</definedName>
    <definedName name="cara" localSheetId="7">[27]Grafico!$A$3</definedName>
    <definedName name="cara" localSheetId="1">[27]Grafico!$A$3</definedName>
    <definedName name="cara" localSheetId="17">[27]Grafico!$A$3</definedName>
    <definedName name="cara" localSheetId="8">[27]Grafico!$A$3</definedName>
    <definedName name="cara" localSheetId="2">[27]Grafico!$A$3</definedName>
    <definedName name="cara" localSheetId="18">[27]Grafico!$A$3</definedName>
    <definedName name="cara" localSheetId="9">[27]Grafico!$A$3</definedName>
    <definedName name="cara" localSheetId="3">[27]Grafico!$A$3</definedName>
    <definedName name="cara" localSheetId="19">[27]Grafico!$A$3</definedName>
    <definedName name="cara" localSheetId="10">[27]Grafico!$A$3</definedName>
    <definedName name="cara" localSheetId="20">[27]Grafico!$A$3</definedName>
    <definedName name="cara" localSheetId="11">[27]Grafico!$A$3</definedName>
    <definedName name="cara" localSheetId="21">[27]Grafico!$A$3</definedName>
    <definedName name="cara" localSheetId="12">[27]Grafico!$A$3</definedName>
    <definedName name="cara" localSheetId="22">[27]Grafico!$A$3</definedName>
    <definedName name="cara" localSheetId="13">[27]Grafico!$A$3</definedName>
    <definedName name="cara">[27]Grafico!$A$3</definedName>
    <definedName name="cartera" hidden="1">255</definedName>
    <definedName name="caudal" localSheetId="22">[31]PAG_33!#REF!</definedName>
    <definedName name="caudal">[31]PAG_33!#REF!</definedName>
    <definedName name="caudal1" localSheetId="14">#REF!</definedName>
    <definedName name="caudal1" localSheetId="0">#REF!</definedName>
    <definedName name="caudal1" localSheetId="5">#REF!</definedName>
    <definedName name="caudal1" localSheetId="15">#REF!</definedName>
    <definedName name="caudal1" localSheetId="6">#REF!</definedName>
    <definedName name="caudal1" localSheetId="16">#REF!</definedName>
    <definedName name="caudal1" localSheetId="7">#REF!</definedName>
    <definedName name="caudal1" localSheetId="1">#REF!</definedName>
    <definedName name="caudal1" localSheetId="17">#REF!</definedName>
    <definedName name="caudal1" localSheetId="8">#REF!</definedName>
    <definedName name="caudal1" localSheetId="2">#REF!</definedName>
    <definedName name="caudal1" localSheetId="18">#REF!</definedName>
    <definedName name="caudal1" localSheetId="9">#REF!</definedName>
    <definedName name="caudal1" localSheetId="3">#REF!</definedName>
    <definedName name="caudal1" localSheetId="19">#REF!</definedName>
    <definedName name="caudal1" localSheetId="10">#REF!</definedName>
    <definedName name="caudal1" localSheetId="20">#REF!</definedName>
    <definedName name="caudal1" localSheetId="11">#REF!</definedName>
    <definedName name="caudal1" localSheetId="21">#REF!</definedName>
    <definedName name="caudal1" localSheetId="12">#REF!</definedName>
    <definedName name="caudal1" localSheetId="22">#REF!</definedName>
    <definedName name="caudal1" localSheetId="13">#REF!</definedName>
    <definedName name="caudal1">#REF!</definedName>
    <definedName name="cdr" localSheetId="14">[32]cd1!$A$1:$Q$68</definedName>
    <definedName name="cdr" localSheetId="0">[32]cd1!$A$1:$Q$68</definedName>
    <definedName name="cdr" localSheetId="5">[32]cd1!$A$1:$Q$68</definedName>
    <definedName name="cdr" localSheetId="15">[32]cd1!$A$1:$Q$68</definedName>
    <definedName name="cdr" localSheetId="6">[32]cd1!$A$1:$Q$68</definedName>
    <definedName name="cdr" localSheetId="16">[32]cd1!$A$1:$Q$68</definedName>
    <definedName name="cdr" localSheetId="7">[32]cd1!$A$1:$Q$68</definedName>
    <definedName name="cdr" localSheetId="1">[32]cd1!$A$1:$Q$68</definedName>
    <definedName name="cdr" localSheetId="17">[32]cd1!$A$1:$Q$68</definedName>
    <definedName name="cdr" localSheetId="8">[32]cd1!$A$1:$Q$68</definedName>
    <definedName name="cdr" localSheetId="2">[32]cd1!$A$1:$Q$68</definedName>
    <definedName name="cdr" localSheetId="18">[32]cd1!$A$1:$Q$68</definedName>
    <definedName name="cdr" localSheetId="9">[32]cd1!$A$1:$Q$68</definedName>
    <definedName name="cdr" localSheetId="3">[32]cd1!$A$1:$Q$68</definedName>
    <definedName name="cdr" localSheetId="19">[32]cd1!$A$1:$Q$68</definedName>
    <definedName name="cdr" localSheetId="10">[32]cd1!$A$1:$Q$68</definedName>
    <definedName name="cdr" localSheetId="20">[32]cd1!$A$1:$Q$68</definedName>
    <definedName name="cdr" localSheetId="11">[32]cd1!$A$1:$Q$68</definedName>
    <definedName name="cdr" localSheetId="21">[32]cd1!$A$1:$Q$68</definedName>
    <definedName name="cdr" localSheetId="12">[32]cd1!$A$1:$Q$68</definedName>
    <definedName name="cdr" localSheetId="22">[32]cd1!$A$1:$Q$68</definedName>
    <definedName name="cdr" localSheetId="13">[32]cd1!$A$1:$Q$68</definedName>
    <definedName name="cdr">[32]cd1!$A$1:$Q$68</definedName>
    <definedName name="CODIGO">#N/A</definedName>
    <definedName name="copia" localSheetId="14" hidden="1">[14]balance!#REF!</definedName>
    <definedName name="copia" localSheetId="0" hidden="1">[14]balance!#REF!</definedName>
    <definedName name="copia" localSheetId="5" hidden="1">[14]balance!#REF!</definedName>
    <definedName name="copia" localSheetId="15" hidden="1">[14]balance!#REF!</definedName>
    <definedName name="copia" localSheetId="6" hidden="1">[14]balance!#REF!</definedName>
    <definedName name="copia" localSheetId="16" hidden="1">[14]balance!#REF!</definedName>
    <definedName name="copia" localSheetId="7" hidden="1">[14]balance!#REF!</definedName>
    <definedName name="copia" localSheetId="1" hidden="1">[14]balance!#REF!</definedName>
    <definedName name="copia" localSheetId="17" hidden="1">[14]balance!#REF!</definedName>
    <definedName name="copia" localSheetId="8" hidden="1">[14]balance!#REF!</definedName>
    <definedName name="copia" localSheetId="2" hidden="1">[14]balance!#REF!</definedName>
    <definedName name="copia" localSheetId="18" hidden="1">[14]balance!#REF!</definedName>
    <definedName name="copia" localSheetId="9" hidden="1">[14]balance!#REF!</definedName>
    <definedName name="copia" localSheetId="3" hidden="1">[14]balance!#REF!</definedName>
    <definedName name="copia" localSheetId="19" hidden="1">[14]balance!#REF!</definedName>
    <definedName name="copia" localSheetId="10" hidden="1">[14]balance!#REF!</definedName>
    <definedName name="copia" localSheetId="20" hidden="1">[14]balance!#REF!</definedName>
    <definedName name="copia" localSheetId="11" hidden="1">[14]balance!#REF!</definedName>
    <definedName name="copia" localSheetId="21" hidden="1">[14]balance!#REF!</definedName>
    <definedName name="copia" localSheetId="12" hidden="1">[14]balance!#REF!</definedName>
    <definedName name="copia" localSheetId="22" hidden="1">[14]balance!#REF!</definedName>
    <definedName name="copia" localSheetId="13" hidden="1">[14]balance!#REF!</definedName>
    <definedName name="copia" hidden="1">[14]balance!#REF!</definedName>
    <definedName name="copia7" localSheetId="14" hidden="1">[14]balance!#REF!</definedName>
    <definedName name="copia7" localSheetId="0" hidden="1">[14]balance!#REF!</definedName>
    <definedName name="copia7" localSheetId="5" hidden="1">[14]balance!#REF!</definedName>
    <definedName name="copia7" localSheetId="15" hidden="1">[14]balance!#REF!</definedName>
    <definedName name="copia7" localSheetId="6" hidden="1">[14]balance!#REF!</definedName>
    <definedName name="copia7" localSheetId="16" hidden="1">[14]balance!#REF!</definedName>
    <definedName name="copia7" localSheetId="7" hidden="1">[14]balance!#REF!</definedName>
    <definedName name="copia7" localSheetId="1" hidden="1">[14]balance!#REF!</definedName>
    <definedName name="copia7" localSheetId="17" hidden="1">[14]balance!#REF!</definedName>
    <definedName name="copia7" localSheetId="8" hidden="1">[14]balance!#REF!</definedName>
    <definedName name="copia7" localSheetId="2" hidden="1">[14]balance!#REF!</definedName>
    <definedName name="copia7" localSheetId="18" hidden="1">[14]balance!#REF!</definedName>
    <definedName name="copia7" localSheetId="9" hidden="1">[14]balance!#REF!</definedName>
    <definedName name="copia7" localSheetId="3" hidden="1">[14]balance!#REF!</definedName>
    <definedName name="copia7" localSheetId="19" hidden="1">[14]balance!#REF!</definedName>
    <definedName name="copia7" localSheetId="10" hidden="1">[14]balance!#REF!</definedName>
    <definedName name="copia7" localSheetId="20" hidden="1">[14]balance!#REF!</definedName>
    <definedName name="copia7" localSheetId="11" hidden="1">[14]balance!#REF!</definedName>
    <definedName name="copia7" localSheetId="21" hidden="1">[14]balance!#REF!</definedName>
    <definedName name="copia7" localSheetId="12" hidden="1">[14]balance!#REF!</definedName>
    <definedName name="copia7" localSheetId="22" hidden="1">[14]balance!#REF!</definedName>
    <definedName name="copia7" localSheetId="13" hidden="1">[14]balance!#REF!</definedName>
    <definedName name="copia7" hidden="1">[14]balance!#REF!</definedName>
    <definedName name="Criteria" localSheetId="14">#REF!</definedName>
    <definedName name="Criteria" localSheetId="0">#REF!</definedName>
    <definedName name="Criteria" localSheetId="5">#REF!</definedName>
    <definedName name="Criteria" localSheetId="15">#REF!</definedName>
    <definedName name="Criteria" localSheetId="6">#REF!</definedName>
    <definedName name="Criteria" localSheetId="16">#REF!</definedName>
    <definedName name="Criteria" localSheetId="7">#REF!</definedName>
    <definedName name="Criteria" localSheetId="1">#REF!</definedName>
    <definedName name="Criteria" localSheetId="17">#REF!</definedName>
    <definedName name="Criteria" localSheetId="8">#REF!</definedName>
    <definedName name="Criteria" localSheetId="2">#REF!</definedName>
    <definedName name="Criteria" localSheetId="18">#REF!</definedName>
    <definedName name="Criteria" localSheetId="9">#REF!</definedName>
    <definedName name="Criteria" localSheetId="3">#REF!</definedName>
    <definedName name="Criteria" localSheetId="19">#REF!</definedName>
    <definedName name="Criteria" localSheetId="10">#REF!</definedName>
    <definedName name="Criteria" localSheetId="20">#REF!</definedName>
    <definedName name="Criteria" localSheetId="11">#REF!</definedName>
    <definedName name="Criteria" localSheetId="21">#REF!</definedName>
    <definedName name="Criteria" localSheetId="12">#REF!</definedName>
    <definedName name="Criteria" localSheetId="22">#REF!</definedName>
    <definedName name="Criteria" localSheetId="13">#REF!</definedName>
    <definedName name="Criteria">#REF!</definedName>
    <definedName name="_xlnm.Criteria" localSheetId="14">#REF!</definedName>
    <definedName name="_xlnm.Criteria" localSheetId="0">#REF!</definedName>
    <definedName name="_xlnm.Criteria" localSheetId="5">#REF!</definedName>
    <definedName name="_xlnm.Criteria" localSheetId="15">#REF!</definedName>
    <definedName name="_xlnm.Criteria" localSheetId="6">#REF!</definedName>
    <definedName name="_xlnm.Criteria" localSheetId="16">#REF!</definedName>
    <definedName name="_xlnm.Criteria" localSheetId="7">#REF!</definedName>
    <definedName name="_xlnm.Criteria" localSheetId="1">#REF!</definedName>
    <definedName name="_xlnm.Criteria" localSheetId="17">#REF!</definedName>
    <definedName name="_xlnm.Criteria" localSheetId="8">#REF!</definedName>
    <definedName name="_xlnm.Criteria" localSheetId="2">#REF!</definedName>
    <definedName name="_xlnm.Criteria" localSheetId="18">#REF!</definedName>
    <definedName name="_xlnm.Criteria" localSheetId="9">#REF!</definedName>
    <definedName name="_xlnm.Criteria" localSheetId="3">#REF!</definedName>
    <definedName name="_xlnm.Criteria" localSheetId="19">#REF!</definedName>
    <definedName name="_xlnm.Criteria" localSheetId="10">#REF!</definedName>
    <definedName name="_xlnm.Criteria" localSheetId="20">#REF!</definedName>
    <definedName name="_xlnm.Criteria" localSheetId="11">#REF!</definedName>
    <definedName name="_xlnm.Criteria" localSheetId="21">#REF!</definedName>
    <definedName name="_xlnm.Criteria" localSheetId="12">#REF!</definedName>
    <definedName name="_xlnm.Criteria" localSheetId="22">#REF!</definedName>
    <definedName name="_xlnm.Criteria" localSheetId="13">#REF!</definedName>
    <definedName name="_xlnm.Criteria">#REF!</definedName>
    <definedName name="CSP" localSheetId="14">#REF!</definedName>
    <definedName name="CSP" localSheetId="0">#REF!</definedName>
    <definedName name="CSP" localSheetId="5">#REF!</definedName>
    <definedName name="CSP" localSheetId="15">#REF!</definedName>
    <definedName name="CSP" localSheetId="6">#REF!</definedName>
    <definedName name="CSP" localSheetId="16">#REF!</definedName>
    <definedName name="CSP" localSheetId="7">#REF!</definedName>
    <definedName name="CSP" localSheetId="1">#REF!</definedName>
    <definedName name="CSP" localSheetId="17">#REF!</definedName>
    <definedName name="CSP" localSheetId="8">#REF!</definedName>
    <definedName name="CSP" localSheetId="2">#REF!</definedName>
    <definedName name="CSP" localSheetId="18">#REF!</definedName>
    <definedName name="CSP" localSheetId="9">#REF!</definedName>
    <definedName name="CSP" localSheetId="3">#REF!</definedName>
    <definedName name="CSP" localSheetId="19">#REF!</definedName>
    <definedName name="CSP" localSheetId="10">#REF!</definedName>
    <definedName name="CSP" localSheetId="20">#REF!</definedName>
    <definedName name="CSP" localSheetId="11">#REF!</definedName>
    <definedName name="CSP" localSheetId="21">#REF!</definedName>
    <definedName name="CSP" localSheetId="12">#REF!</definedName>
    <definedName name="CSP" localSheetId="22">#REF!</definedName>
    <definedName name="CSP" localSheetId="13">#REF!</definedName>
    <definedName name="CSP">#REF!</definedName>
    <definedName name="cua" localSheetId="14">[24]PAG_35!#REF!</definedName>
    <definedName name="cua" localSheetId="0">[24]PAG_35!#REF!</definedName>
    <definedName name="cua" localSheetId="5">[24]PAG_35!#REF!</definedName>
    <definedName name="cua" localSheetId="6">[24]PAG_35!#REF!</definedName>
    <definedName name="cua" localSheetId="7">[24]PAG_35!#REF!</definedName>
    <definedName name="cua" localSheetId="1">[24]PAG_35!#REF!</definedName>
    <definedName name="cua" localSheetId="8">[24]PAG_35!#REF!</definedName>
    <definedName name="cua" localSheetId="2">[24]PAG_35!#REF!</definedName>
    <definedName name="cua" localSheetId="9">[24]PAG_35!#REF!</definedName>
    <definedName name="cua" localSheetId="3">[24]PAG_35!#REF!</definedName>
    <definedName name="cua" localSheetId="10">[24]PAG_35!#REF!</definedName>
    <definedName name="cua" localSheetId="11">[24]PAG_35!#REF!</definedName>
    <definedName name="cua" localSheetId="12">[24]PAG_35!#REF!</definedName>
    <definedName name="cua" localSheetId="22">[24]PAG_35!#REF!</definedName>
    <definedName name="cua" localSheetId="13">[24]PAG_35!#REF!</definedName>
    <definedName name="cua">[24]PAG_35!#REF!</definedName>
    <definedName name="cuadro" localSheetId="14">[33]PAG_37!#REF!</definedName>
    <definedName name="cuadro" localSheetId="0">[33]PAG_37!#REF!</definedName>
    <definedName name="cuadro" localSheetId="5">[33]PAG_37!#REF!</definedName>
    <definedName name="cuadro" localSheetId="6">[33]PAG_37!#REF!</definedName>
    <definedName name="cuadro" localSheetId="7">[33]PAG_37!#REF!</definedName>
    <definedName name="cuadro" localSheetId="1">[33]PAG_37!#REF!</definedName>
    <definedName name="cuadro" localSheetId="8">[33]PAG_37!#REF!</definedName>
    <definedName name="cuadro" localSheetId="2">[33]PAG_37!#REF!</definedName>
    <definedName name="cuadro" localSheetId="9">[33]PAG_37!#REF!</definedName>
    <definedName name="cuadro" localSheetId="3">[33]PAG_37!#REF!</definedName>
    <definedName name="cuadro" localSheetId="10">[33]PAG_37!#REF!</definedName>
    <definedName name="cuadro" localSheetId="11">[33]PAG_37!#REF!</definedName>
    <definedName name="cuadro" localSheetId="12">[33]PAG_37!#REF!</definedName>
    <definedName name="cuadro" localSheetId="22">[33]PAG_37!#REF!</definedName>
    <definedName name="cuadro" localSheetId="13">[33]PAG_37!#REF!</definedName>
    <definedName name="cuadro">[33]PAG_37!#REF!</definedName>
    <definedName name="cuadro_mes" localSheetId="14">#REF!</definedName>
    <definedName name="cuadro_mes" localSheetId="0">#REF!</definedName>
    <definedName name="cuadro_mes" localSheetId="5">#REF!</definedName>
    <definedName name="cuadro_mes" localSheetId="15">#REF!</definedName>
    <definedName name="cuadro_mes" localSheetId="6">#REF!</definedName>
    <definedName name="cuadro_mes" localSheetId="16">#REF!</definedName>
    <definedName name="cuadro_mes" localSheetId="7">#REF!</definedName>
    <definedName name="cuadro_mes" localSheetId="1">#REF!</definedName>
    <definedName name="cuadro_mes" localSheetId="17">#REF!</definedName>
    <definedName name="cuadro_mes" localSheetId="8">#REF!</definedName>
    <definedName name="cuadro_mes" localSheetId="2">#REF!</definedName>
    <definedName name="cuadro_mes" localSheetId="18">#REF!</definedName>
    <definedName name="cuadro_mes" localSheetId="9">#REF!</definedName>
    <definedName name="cuadro_mes" localSheetId="3">#REF!</definedName>
    <definedName name="cuadro_mes" localSheetId="19">#REF!</definedName>
    <definedName name="cuadro_mes" localSheetId="10">#REF!</definedName>
    <definedName name="cuadro_mes" localSheetId="20">#REF!</definedName>
    <definedName name="cuadro_mes" localSheetId="11">#REF!</definedName>
    <definedName name="cuadro_mes" localSheetId="21">#REF!</definedName>
    <definedName name="cuadro_mes" localSheetId="12">#REF!</definedName>
    <definedName name="cuadro_mes" localSheetId="22">#REF!</definedName>
    <definedName name="cuadro_mes" localSheetId="13">#REF!</definedName>
    <definedName name="cuadro_mes">#REF!</definedName>
    <definedName name="Cuadro_N__001" localSheetId="14">#REF!</definedName>
    <definedName name="Cuadro_N__001" localSheetId="0">#REF!</definedName>
    <definedName name="Cuadro_N__001" localSheetId="5">#REF!</definedName>
    <definedName name="Cuadro_N__001" localSheetId="15">#REF!</definedName>
    <definedName name="Cuadro_N__001" localSheetId="6">#REF!</definedName>
    <definedName name="Cuadro_N__001" localSheetId="16">#REF!</definedName>
    <definedName name="Cuadro_N__001" localSheetId="7">#REF!</definedName>
    <definedName name="Cuadro_N__001" localSheetId="1">#REF!</definedName>
    <definedName name="Cuadro_N__001" localSheetId="17">#REF!</definedName>
    <definedName name="Cuadro_N__001" localSheetId="8">#REF!</definedName>
    <definedName name="Cuadro_N__001" localSheetId="2">#REF!</definedName>
    <definedName name="Cuadro_N__001" localSheetId="18">#REF!</definedName>
    <definedName name="Cuadro_N__001" localSheetId="9">#REF!</definedName>
    <definedName name="Cuadro_N__001" localSheetId="3">#REF!</definedName>
    <definedName name="Cuadro_N__001" localSheetId="19">#REF!</definedName>
    <definedName name="Cuadro_N__001" localSheetId="10">#REF!</definedName>
    <definedName name="Cuadro_N__001" localSheetId="20">#REF!</definedName>
    <definedName name="Cuadro_N__001" localSheetId="11">#REF!</definedName>
    <definedName name="Cuadro_N__001" localSheetId="21">#REF!</definedName>
    <definedName name="Cuadro_N__001" localSheetId="12">#REF!</definedName>
    <definedName name="Cuadro_N__001" localSheetId="22">#REF!</definedName>
    <definedName name="Cuadro_N__001" localSheetId="13">#REF!</definedName>
    <definedName name="Cuadro_N__001">#REF!</definedName>
    <definedName name="cuadro_N__002" localSheetId="14">#REF!</definedName>
    <definedName name="cuadro_N__002" localSheetId="0">#REF!</definedName>
    <definedName name="cuadro_N__002" localSheetId="5">#REF!</definedName>
    <definedName name="cuadro_N__002" localSheetId="15">#REF!</definedName>
    <definedName name="cuadro_N__002" localSheetId="6">#REF!</definedName>
    <definedName name="cuadro_N__002" localSheetId="16">#REF!</definedName>
    <definedName name="cuadro_N__002" localSheetId="7">#REF!</definedName>
    <definedName name="cuadro_N__002" localSheetId="1">#REF!</definedName>
    <definedName name="cuadro_N__002" localSheetId="17">#REF!</definedName>
    <definedName name="cuadro_N__002" localSheetId="8">#REF!</definedName>
    <definedName name="cuadro_N__002" localSheetId="2">#REF!</definedName>
    <definedName name="cuadro_N__002" localSheetId="18">#REF!</definedName>
    <definedName name="cuadro_N__002" localSheetId="9">#REF!</definedName>
    <definedName name="cuadro_N__002" localSheetId="3">#REF!</definedName>
    <definedName name="cuadro_N__002" localSheetId="19">#REF!</definedName>
    <definedName name="cuadro_N__002" localSheetId="10">#REF!</definedName>
    <definedName name="cuadro_N__002" localSheetId="20">#REF!</definedName>
    <definedName name="cuadro_N__002" localSheetId="11">#REF!</definedName>
    <definedName name="cuadro_N__002" localSheetId="21">#REF!</definedName>
    <definedName name="cuadro_N__002" localSheetId="12">#REF!</definedName>
    <definedName name="cuadro_N__002" localSheetId="22">#REF!</definedName>
    <definedName name="cuadro_N__002" localSheetId="13">#REF!</definedName>
    <definedName name="cuadro_N__002">#REF!</definedName>
    <definedName name="Cuadro_N__003" localSheetId="14">#REF!</definedName>
    <definedName name="Cuadro_N__003" localSheetId="0">#REF!</definedName>
    <definedName name="Cuadro_N__003" localSheetId="5">#REF!</definedName>
    <definedName name="Cuadro_N__003" localSheetId="15">#REF!</definedName>
    <definedName name="Cuadro_N__003" localSheetId="6">#REF!</definedName>
    <definedName name="Cuadro_N__003" localSheetId="16">#REF!</definedName>
    <definedName name="Cuadro_N__003" localSheetId="7">#REF!</definedName>
    <definedName name="Cuadro_N__003" localSheetId="1">#REF!</definedName>
    <definedName name="Cuadro_N__003" localSheetId="17">#REF!</definedName>
    <definedName name="Cuadro_N__003" localSheetId="8">#REF!</definedName>
    <definedName name="Cuadro_N__003" localSheetId="2">#REF!</definedName>
    <definedName name="Cuadro_N__003" localSheetId="18">#REF!</definedName>
    <definedName name="Cuadro_N__003" localSheetId="9">#REF!</definedName>
    <definedName name="Cuadro_N__003" localSheetId="3">#REF!</definedName>
    <definedName name="Cuadro_N__003" localSheetId="19">#REF!</definedName>
    <definedName name="Cuadro_N__003" localSheetId="10">#REF!</definedName>
    <definedName name="Cuadro_N__003" localSheetId="20">#REF!</definedName>
    <definedName name="Cuadro_N__003" localSheetId="11">#REF!</definedName>
    <definedName name="Cuadro_N__003" localSheetId="21">#REF!</definedName>
    <definedName name="Cuadro_N__003" localSheetId="12">#REF!</definedName>
    <definedName name="Cuadro_N__003" localSheetId="22">#REF!</definedName>
    <definedName name="Cuadro_N__003" localSheetId="13">#REF!</definedName>
    <definedName name="Cuadro_N__003">#REF!</definedName>
    <definedName name="cuadro_n__004" localSheetId="14">#REF!</definedName>
    <definedName name="cuadro_n__004" localSheetId="0">#REF!</definedName>
    <definedName name="cuadro_n__004" localSheetId="5">#REF!</definedName>
    <definedName name="cuadro_n__004" localSheetId="15">#REF!</definedName>
    <definedName name="cuadro_n__004" localSheetId="6">#REF!</definedName>
    <definedName name="cuadro_n__004" localSheetId="16">#REF!</definedName>
    <definedName name="cuadro_n__004" localSheetId="7">#REF!</definedName>
    <definedName name="cuadro_n__004" localSheetId="1">#REF!</definedName>
    <definedName name="cuadro_n__004" localSheetId="17">#REF!</definedName>
    <definedName name="cuadro_n__004" localSheetId="8">#REF!</definedName>
    <definedName name="cuadro_n__004" localSheetId="2">#REF!</definedName>
    <definedName name="cuadro_n__004" localSheetId="18">#REF!</definedName>
    <definedName name="cuadro_n__004" localSheetId="9">#REF!</definedName>
    <definedName name="cuadro_n__004" localSheetId="3">#REF!</definedName>
    <definedName name="cuadro_n__004" localSheetId="19">#REF!</definedName>
    <definedName name="cuadro_n__004" localSheetId="10">#REF!</definedName>
    <definedName name="cuadro_n__004" localSheetId="20">#REF!</definedName>
    <definedName name="cuadro_n__004" localSheetId="11">#REF!</definedName>
    <definedName name="cuadro_n__004" localSheetId="21">#REF!</definedName>
    <definedName name="cuadro_n__004" localSheetId="12">#REF!</definedName>
    <definedName name="cuadro_n__004" localSheetId="22">#REF!</definedName>
    <definedName name="cuadro_n__004" localSheetId="13">#REF!</definedName>
    <definedName name="cuadro_n__004">#REF!</definedName>
    <definedName name="Cuadro_N__01" localSheetId="14">#REF!</definedName>
    <definedName name="Cuadro_N__01" localSheetId="0">#REF!</definedName>
    <definedName name="Cuadro_N__01" localSheetId="5">#REF!</definedName>
    <definedName name="Cuadro_N__01" localSheetId="15">#REF!</definedName>
    <definedName name="Cuadro_N__01" localSheetId="6">#REF!</definedName>
    <definedName name="Cuadro_N__01" localSheetId="16">#REF!</definedName>
    <definedName name="Cuadro_N__01" localSheetId="7">#REF!</definedName>
    <definedName name="Cuadro_N__01" localSheetId="1">#REF!</definedName>
    <definedName name="Cuadro_N__01" localSheetId="17">#REF!</definedName>
    <definedName name="Cuadro_N__01" localSheetId="8">#REF!</definedName>
    <definedName name="Cuadro_N__01" localSheetId="2">#REF!</definedName>
    <definedName name="Cuadro_N__01" localSheetId="18">#REF!</definedName>
    <definedName name="Cuadro_N__01" localSheetId="9">#REF!</definedName>
    <definedName name="Cuadro_N__01" localSheetId="3">#REF!</definedName>
    <definedName name="Cuadro_N__01" localSheetId="19">#REF!</definedName>
    <definedName name="Cuadro_N__01" localSheetId="10">#REF!</definedName>
    <definedName name="Cuadro_N__01" localSheetId="20">#REF!</definedName>
    <definedName name="Cuadro_N__01" localSheetId="11">#REF!</definedName>
    <definedName name="Cuadro_N__01" localSheetId="21">#REF!</definedName>
    <definedName name="Cuadro_N__01" localSheetId="12">#REF!</definedName>
    <definedName name="Cuadro_N__01" localSheetId="22">#REF!</definedName>
    <definedName name="Cuadro_N__01" localSheetId="13">#REF!</definedName>
    <definedName name="Cuadro_N__01">#REF!</definedName>
    <definedName name="Cuadro_N__03" localSheetId="14">#REF!</definedName>
    <definedName name="Cuadro_N__03" localSheetId="0">#REF!</definedName>
    <definedName name="Cuadro_N__03" localSheetId="5">#REF!</definedName>
    <definedName name="Cuadro_N__03" localSheetId="15">#REF!</definedName>
    <definedName name="Cuadro_N__03" localSheetId="6">#REF!</definedName>
    <definedName name="Cuadro_N__03" localSheetId="16">#REF!</definedName>
    <definedName name="Cuadro_N__03" localSheetId="7">#REF!</definedName>
    <definedName name="Cuadro_N__03" localSheetId="1">#REF!</definedName>
    <definedName name="Cuadro_N__03" localSheetId="17">#REF!</definedName>
    <definedName name="Cuadro_N__03" localSheetId="8">#REF!</definedName>
    <definedName name="Cuadro_N__03" localSheetId="2">#REF!</definedName>
    <definedName name="Cuadro_N__03" localSheetId="18">#REF!</definedName>
    <definedName name="Cuadro_N__03" localSheetId="9">#REF!</definedName>
    <definedName name="Cuadro_N__03" localSheetId="3">#REF!</definedName>
    <definedName name="Cuadro_N__03" localSheetId="19">#REF!</definedName>
    <definedName name="Cuadro_N__03" localSheetId="10">#REF!</definedName>
    <definedName name="Cuadro_N__03" localSheetId="20">#REF!</definedName>
    <definedName name="Cuadro_N__03" localSheetId="11">#REF!</definedName>
    <definedName name="Cuadro_N__03" localSheetId="21">#REF!</definedName>
    <definedName name="Cuadro_N__03" localSheetId="12">#REF!</definedName>
    <definedName name="Cuadro_N__03" localSheetId="22">#REF!</definedName>
    <definedName name="Cuadro_N__03" localSheetId="13">#REF!</definedName>
    <definedName name="Cuadro_N__03">#REF!</definedName>
    <definedName name="Cuadro_N__04" localSheetId="14">#REF!</definedName>
    <definedName name="Cuadro_N__04" localSheetId="0">#REF!</definedName>
    <definedName name="Cuadro_N__04" localSheetId="5">#REF!</definedName>
    <definedName name="Cuadro_N__04" localSheetId="15">#REF!</definedName>
    <definedName name="Cuadro_N__04" localSheetId="6">#REF!</definedName>
    <definedName name="Cuadro_N__04" localSheetId="16">#REF!</definedName>
    <definedName name="Cuadro_N__04" localSheetId="7">#REF!</definedName>
    <definedName name="Cuadro_N__04" localSheetId="1">#REF!</definedName>
    <definedName name="Cuadro_N__04" localSheetId="17">#REF!</definedName>
    <definedName name="Cuadro_N__04" localSheetId="8">#REF!</definedName>
    <definedName name="Cuadro_N__04" localSheetId="2">#REF!</definedName>
    <definedName name="Cuadro_N__04" localSheetId="18">#REF!</definedName>
    <definedName name="Cuadro_N__04" localSheetId="9">#REF!</definedName>
    <definedName name="Cuadro_N__04" localSheetId="3">#REF!</definedName>
    <definedName name="Cuadro_N__04" localSheetId="19">#REF!</definedName>
    <definedName name="Cuadro_N__04" localSheetId="10">#REF!</definedName>
    <definedName name="Cuadro_N__04" localSheetId="20">#REF!</definedName>
    <definedName name="Cuadro_N__04" localSheetId="11">#REF!</definedName>
    <definedName name="Cuadro_N__04" localSheetId="21">#REF!</definedName>
    <definedName name="Cuadro_N__04" localSheetId="12">#REF!</definedName>
    <definedName name="Cuadro_N__04" localSheetId="22">#REF!</definedName>
    <definedName name="Cuadro_N__04" localSheetId="13">#REF!</definedName>
    <definedName name="Cuadro_N__04">#REF!</definedName>
    <definedName name="cuadro_N__05" localSheetId="14">#REF!</definedName>
    <definedName name="cuadro_N__05" localSheetId="0">#REF!</definedName>
    <definedName name="cuadro_N__05" localSheetId="5">#REF!</definedName>
    <definedName name="cuadro_N__05" localSheetId="15">#REF!</definedName>
    <definedName name="cuadro_N__05" localSheetId="6">#REF!</definedName>
    <definedName name="cuadro_N__05" localSheetId="16">#REF!</definedName>
    <definedName name="cuadro_N__05" localSheetId="7">#REF!</definedName>
    <definedName name="cuadro_N__05" localSheetId="1">#REF!</definedName>
    <definedName name="cuadro_N__05" localSheetId="17">#REF!</definedName>
    <definedName name="cuadro_N__05" localSheetId="8">#REF!</definedName>
    <definedName name="cuadro_N__05" localSheetId="2">#REF!</definedName>
    <definedName name="cuadro_N__05" localSheetId="18">#REF!</definedName>
    <definedName name="cuadro_N__05" localSheetId="9">#REF!</definedName>
    <definedName name="cuadro_N__05" localSheetId="3">#REF!</definedName>
    <definedName name="cuadro_N__05" localSheetId="19">#REF!</definedName>
    <definedName name="cuadro_N__05" localSheetId="10">#REF!</definedName>
    <definedName name="cuadro_N__05" localSheetId="20">#REF!</definedName>
    <definedName name="cuadro_N__05" localSheetId="11">#REF!</definedName>
    <definedName name="cuadro_N__05" localSheetId="21">#REF!</definedName>
    <definedName name="cuadro_N__05" localSheetId="12">#REF!</definedName>
    <definedName name="cuadro_N__05" localSheetId="22">#REF!</definedName>
    <definedName name="cuadro_N__05" localSheetId="13">#REF!</definedName>
    <definedName name="cuadro_N__05">#REF!</definedName>
    <definedName name="Cuadro_N__06" localSheetId="14">#REF!</definedName>
    <definedName name="Cuadro_N__06" localSheetId="0">#REF!</definedName>
    <definedName name="Cuadro_N__06" localSheetId="5">#REF!</definedName>
    <definedName name="Cuadro_N__06" localSheetId="15">#REF!</definedName>
    <definedName name="Cuadro_N__06" localSheetId="6">#REF!</definedName>
    <definedName name="Cuadro_N__06" localSheetId="16">#REF!</definedName>
    <definedName name="Cuadro_N__06" localSheetId="7">#REF!</definedName>
    <definedName name="Cuadro_N__06" localSheetId="1">#REF!</definedName>
    <definedName name="Cuadro_N__06" localSheetId="17">#REF!</definedName>
    <definedName name="Cuadro_N__06" localSheetId="8">#REF!</definedName>
    <definedName name="Cuadro_N__06" localSheetId="2">#REF!</definedName>
    <definedName name="Cuadro_N__06" localSheetId="18">#REF!</definedName>
    <definedName name="Cuadro_N__06" localSheetId="9">#REF!</definedName>
    <definedName name="Cuadro_N__06" localSheetId="3">#REF!</definedName>
    <definedName name="Cuadro_N__06" localSheetId="19">#REF!</definedName>
    <definedName name="Cuadro_N__06" localSheetId="10">#REF!</definedName>
    <definedName name="Cuadro_N__06" localSheetId="20">#REF!</definedName>
    <definedName name="Cuadro_N__06" localSheetId="11">#REF!</definedName>
    <definedName name="Cuadro_N__06" localSheetId="21">#REF!</definedName>
    <definedName name="Cuadro_N__06" localSheetId="12">#REF!</definedName>
    <definedName name="Cuadro_N__06" localSheetId="22">#REF!</definedName>
    <definedName name="Cuadro_N__06" localSheetId="13">#REF!</definedName>
    <definedName name="Cuadro_N__06">#REF!</definedName>
    <definedName name="Cuadro_N__1" localSheetId="22">[5]Cdr7!#REF!</definedName>
    <definedName name="Cuadro_N__1">[5]Cdr7!#REF!</definedName>
    <definedName name="Cuadro_N__10" localSheetId="22">[5]Cdr7!#REF!</definedName>
    <definedName name="Cuadro_N__10">[5]Cdr7!#REF!</definedName>
    <definedName name="Cuadro_N__11" localSheetId="14">#REF!</definedName>
    <definedName name="Cuadro_N__11" localSheetId="0">#REF!</definedName>
    <definedName name="Cuadro_N__11" localSheetId="5">#REF!</definedName>
    <definedName name="Cuadro_N__11" localSheetId="15">#REF!</definedName>
    <definedName name="Cuadro_N__11" localSheetId="6">#REF!</definedName>
    <definedName name="Cuadro_N__11" localSheetId="16">#REF!</definedName>
    <definedName name="Cuadro_N__11" localSheetId="7">#REF!</definedName>
    <definedName name="Cuadro_N__11" localSheetId="1">#REF!</definedName>
    <definedName name="Cuadro_N__11" localSheetId="17">#REF!</definedName>
    <definedName name="Cuadro_N__11" localSheetId="8">#REF!</definedName>
    <definedName name="Cuadro_N__11" localSheetId="2">#REF!</definedName>
    <definedName name="Cuadro_N__11" localSheetId="18">#REF!</definedName>
    <definedName name="Cuadro_N__11" localSheetId="9">#REF!</definedName>
    <definedName name="Cuadro_N__11" localSheetId="3">#REF!</definedName>
    <definedName name="Cuadro_N__11" localSheetId="19">#REF!</definedName>
    <definedName name="Cuadro_N__11" localSheetId="10">#REF!</definedName>
    <definedName name="Cuadro_N__11" localSheetId="20">#REF!</definedName>
    <definedName name="Cuadro_N__11" localSheetId="11">#REF!</definedName>
    <definedName name="Cuadro_N__11" localSheetId="21">#REF!</definedName>
    <definedName name="Cuadro_N__11" localSheetId="12">#REF!</definedName>
    <definedName name="Cuadro_N__11" localSheetId="22">#REF!</definedName>
    <definedName name="Cuadro_N__11" localSheetId="13">#REF!</definedName>
    <definedName name="Cuadro_N__11">#REF!</definedName>
    <definedName name="Cuadro_N__12" localSheetId="15">[5]Cdr7!#REF!</definedName>
    <definedName name="Cuadro_N__12" localSheetId="16">[5]Cdr7!#REF!</definedName>
    <definedName name="Cuadro_N__12" localSheetId="17">[5]Cdr7!#REF!</definedName>
    <definedName name="Cuadro_N__12" localSheetId="18">[5]Cdr7!#REF!</definedName>
    <definedName name="Cuadro_N__12" localSheetId="19">[5]Cdr7!#REF!</definedName>
    <definedName name="Cuadro_N__12" localSheetId="20">[5]Cdr7!#REF!</definedName>
    <definedName name="Cuadro_N__12" localSheetId="21">[5]Cdr7!#REF!</definedName>
    <definedName name="Cuadro_N__12" localSheetId="22">[5]Cdr7!#REF!</definedName>
    <definedName name="Cuadro_N__12">[5]Cdr7!#REF!</definedName>
    <definedName name="Cuadro_N__13" localSheetId="22">[5]Cdr7!#REF!</definedName>
    <definedName name="Cuadro_N__13">[5]Cdr7!#REF!</definedName>
    <definedName name="Cuadro_N__14" localSheetId="14">#REF!</definedName>
    <definedName name="Cuadro_N__14" localSheetId="0">#REF!</definedName>
    <definedName name="Cuadro_N__14" localSheetId="5">#REF!</definedName>
    <definedName name="Cuadro_N__14" localSheetId="15">#REF!</definedName>
    <definedName name="Cuadro_N__14" localSheetId="6">#REF!</definedName>
    <definedName name="Cuadro_N__14" localSheetId="16">#REF!</definedName>
    <definedName name="Cuadro_N__14" localSheetId="7">#REF!</definedName>
    <definedName name="Cuadro_N__14" localSheetId="1">#REF!</definedName>
    <definedName name="Cuadro_N__14" localSheetId="17">#REF!</definedName>
    <definedName name="Cuadro_N__14" localSheetId="8">#REF!</definedName>
    <definedName name="Cuadro_N__14" localSheetId="2">#REF!</definedName>
    <definedName name="Cuadro_N__14" localSheetId="18">#REF!</definedName>
    <definedName name="Cuadro_N__14" localSheetId="9">#REF!</definedName>
    <definedName name="Cuadro_N__14" localSheetId="3">#REF!</definedName>
    <definedName name="Cuadro_N__14" localSheetId="19">#REF!</definedName>
    <definedName name="Cuadro_N__14" localSheetId="10">#REF!</definedName>
    <definedName name="Cuadro_N__14" localSheetId="20">#REF!</definedName>
    <definedName name="Cuadro_N__14" localSheetId="11">#REF!</definedName>
    <definedName name="Cuadro_N__14" localSheetId="21">#REF!</definedName>
    <definedName name="Cuadro_N__14" localSheetId="12">#REF!</definedName>
    <definedName name="Cuadro_N__14" localSheetId="22">#REF!</definedName>
    <definedName name="Cuadro_N__14" localSheetId="13">#REF!</definedName>
    <definedName name="Cuadro_N__14">#REF!</definedName>
    <definedName name="Cuadro_N__19" localSheetId="14">#REF!</definedName>
    <definedName name="Cuadro_N__19" localSheetId="0">#REF!</definedName>
    <definedName name="Cuadro_N__19" localSheetId="5">#REF!</definedName>
    <definedName name="Cuadro_N__19" localSheetId="15">#REF!</definedName>
    <definedName name="Cuadro_N__19" localSheetId="6">#REF!</definedName>
    <definedName name="Cuadro_N__19" localSheetId="16">#REF!</definedName>
    <definedName name="Cuadro_N__19" localSheetId="7">#REF!</definedName>
    <definedName name="Cuadro_N__19" localSheetId="1">#REF!</definedName>
    <definedName name="Cuadro_N__19" localSheetId="17">#REF!</definedName>
    <definedName name="Cuadro_N__19" localSheetId="8">#REF!</definedName>
    <definedName name="Cuadro_N__19" localSheetId="2">#REF!</definedName>
    <definedName name="Cuadro_N__19" localSheetId="18">#REF!</definedName>
    <definedName name="Cuadro_N__19" localSheetId="9">#REF!</definedName>
    <definedName name="Cuadro_N__19" localSheetId="3">#REF!</definedName>
    <definedName name="Cuadro_N__19" localSheetId="19">#REF!</definedName>
    <definedName name="Cuadro_N__19" localSheetId="10">#REF!</definedName>
    <definedName name="Cuadro_N__19" localSheetId="20">#REF!</definedName>
    <definedName name="Cuadro_N__19" localSheetId="11">#REF!</definedName>
    <definedName name="Cuadro_N__19" localSheetId="21">#REF!</definedName>
    <definedName name="Cuadro_N__19" localSheetId="12">#REF!</definedName>
    <definedName name="Cuadro_N__19" localSheetId="22">#REF!</definedName>
    <definedName name="Cuadro_N__19" localSheetId="13">#REF!</definedName>
    <definedName name="Cuadro_N__19">#REF!</definedName>
    <definedName name="Cuadro_N__2" localSheetId="14">#REF!</definedName>
    <definedName name="Cuadro_N__2" localSheetId="0">#REF!</definedName>
    <definedName name="Cuadro_N__2" localSheetId="5">#REF!</definedName>
    <definedName name="Cuadro_N__2" localSheetId="15">#REF!</definedName>
    <definedName name="Cuadro_N__2" localSheetId="6">#REF!</definedName>
    <definedName name="Cuadro_N__2" localSheetId="16">#REF!</definedName>
    <definedName name="Cuadro_N__2" localSheetId="7">#REF!</definedName>
    <definedName name="Cuadro_N__2" localSheetId="1">#REF!</definedName>
    <definedName name="Cuadro_N__2" localSheetId="17">#REF!</definedName>
    <definedName name="Cuadro_N__2" localSheetId="8">#REF!</definedName>
    <definedName name="Cuadro_N__2" localSheetId="2">#REF!</definedName>
    <definedName name="Cuadro_N__2" localSheetId="18">#REF!</definedName>
    <definedName name="Cuadro_N__2" localSheetId="9">#REF!</definedName>
    <definedName name="Cuadro_N__2" localSheetId="3">#REF!</definedName>
    <definedName name="Cuadro_N__2" localSheetId="19">#REF!</definedName>
    <definedName name="Cuadro_N__2" localSheetId="10">#REF!</definedName>
    <definedName name="Cuadro_N__2" localSheetId="20">#REF!</definedName>
    <definedName name="Cuadro_N__2" localSheetId="11">#REF!</definedName>
    <definedName name="Cuadro_N__2" localSheetId="21">#REF!</definedName>
    <definedName name="Cuadro_N__2" localSheetId="12">#REF!</definedName>
    <definedName name="Cuadro_N__2" localSheetId="22">#REF!</definedName>
    <definedName name="Cuadro_N__2" localSheetId="13">#REF!</definedName>
    <definedName name="Cuadro_N__2">#REF!</definedName>
    <definedName name="Cuadro_N__20" localSheetId="14">[5]Cdr7!#REF!</definedName>
    <definedName name="Cuadro_N__20" localSheetId="0">[5]Cdr7!#REF!</definedName>
    <definedName name="Cuadro_N__20" localSheetId="5">[5]Cdr7!#REF!</definedName>
    <definedName name="Cuadro_N__20" localSheetId="6">[5]Cdr7!#REF!</definedName>
    <definedName name="Cuadro_N__20" localSheetId="7">[5]Cdr7!#REF!</definedName>
    <definedName name="Cuadro_N__20" localSheetId="1">[5]Cdr7!#REF!</definedName>
    <definedName name="Cuadro_N__20" localSheetId="8">[5]Cdr7!#REF!</definedName>
    <definedName name="Cuadro_N__20" localSheetId="2">[5]Cdr7!#REF!</definedName>
    <definedName name="Cuadro_N__20" localSheetId="9">[5]Cdr7!#REF!</definedName>
    <definedName name="Cuadro_N__20" localSheetId="3">[5]Cdr7!#REF!</definedName>
    <definedName name="Cuadro_N__20" localSheetId="10">[5]Cdr7!#REF!</definedName>
    <definedName name="Cuadro_N__20" localSheetId="11">[5]Cdr7!#REF!</definedName>
    <definedName name="Cuadro_N__20" localSheetId="12">[5]Cdr7!#REF!</definedName>
    <definedName name="Cuadro_N__20" localSheetId="22">[5]Cdr7!#REF!</definedName>
    <definedName name="Cuadro_N__20" localSheetId="13">[5]Cdr7!#REF!</definedName>
    <definedName name="Cuadro_N__20">[5]Cdr7!#REF!</definedName>
    <definedName name="Cuadro_N__21" localSheetId="14">[5]Cdr7!#REF!</definedName>
    <definedName name="Cuadro_N__21" localSheetId="0">[5]Cdr7!#REF!</definedName>
    <definedName name="Cuadro_N__21" localSheetId="5">[5]Cdr7!#REF!</definedName>
    <definedName name="Cuadro_N__21" localSheetId="6">[5]Cdr7!#REF!</definedName>
    <definedName name="Cuadro_N__21" localSheetId="7">[5]Cdr7!#REF!</definedName>
    <definedName name="Cuadro_N__21" localSheetId="1">[5]Cdr7!#REF!</definedName>
    <definedName name="Cuadro_N__21" localSheetId="8">[5]Cdr7!#REF!</definedName>
    <definedName name="Cuadro_N__21" localSheetId="2">[5]Cdr7!#REF!</definedName>
    <definedName name="Cuadro_N__21" localSheetId="9">[5]Cdr7!#REF!</definedName>
    <definedName name="Cuadro_N__21" localSheetId="3">[5]Cdr7!#REF!</definedName>
    <definedName name="Cuadro_N__21" localSheetId="10">[5]Cdr7!#REF!</definedName>
    <definedName name="Cuadro_N__21" localSheetId="11">[5]Cdr7!#REF!</definedName>
    <definedName name="Cuadro_N__21" localSheetId="12">[5]Cdr7!#REF!</definedName>
    <definedName name="Cuadro_N__21" localSheetId="22">[5]Cdr7!#REF!</definedName>
    <definedName name="Cuadro_N__21" localSheetId="13">[5]Cdr7!#REF!</definedName>
    <definedName name="Cuadro_N__21">[5]Cdr7!#REF!</definedName>
    <definedName name="Cuadro_N__22" localSheetId="14">[5]Cdr7!#REF!</definedName>
    <definedName name="Cuadro_N__22" localSheetId="0">[5]Cdr7!#REF!</definedName>
    <definedName name="Cuadro_N__22" localSheetId="5">[5]Cdr7!#REF!</definedName>
    <definedName name="Cuadro_N__22" localSheetId="6">[5]Cdr7!#REF!</definedName>
    <definedName name="Cuadro_N__22" localSheetId="7">[5]Cdr7!#REF!</definedName>
    <definedName name="Cuadro_N__22" localSheetId="1">[5]Cdr7!#REF!</definedName>
    <definedName name="Cuadro_N__22" localSheetId="8">[5]Cdr7!#REF!</definedName>
    <definedName name="Cuadro_N__22" localSheetId="2">[5]Cdr7!#REF!</definedName>
    <definedName name="Cuadro_N__22" localSheetId="9">[5]Cdr7!#REF!</definedName>
    <definedName name="Cuadro_N__22" localSheetId="3">[5]Cdr7!#REF!</definedName>
    <definedName name="Cuadro_N__22" localSheetId="10">[5]Cdr7!#REF!</definedName>
    <definedName name="Cuadro_N__22" localSheetId="11">[5]Cdr7!#REF!</definedName>
    <definedName name="Cuadro_N__22" localSheetId="12">[5]Cdr7!#REF!</definedName>
    <definedName name="Cuadro_N__22" localSheetId="22">[5]Cdr7!#REF!</definedName>
    <definedName name="Cuadro_N__22" localSheetId="13">[5]Cdr7!#REF!</definedName>
    <definedName name="Cuadro_N__22">[5]Cdr7!#REF!</definedName>
    <definedName name="Cuadro_N__23" localSheetId="14">[5]Cdr7!#REF!</definedName>
    <definedName name="Cuadro_N__23" localSheetId="0">[5]Cdr7!#REF!</definedName>
    <definedName name="Cuadro_N__23" localSheetId="5">[5]Cdr7!#REF!</definedName>
    <definedName name="Cuadro_N__23" localSheetId="6">[5]Cdr7!#REF!</definedName>
    <definedName name="Cuadro_N__23" localSheetId="7">[5]Cdr7!#REF!</definedName>
    <definedName name="Cuadro_N__23" localSheetId="1">[5]Cdr7!#REF!</definedName>
    <definedName name="Cuadro_N__23" localSheetId="8">[5]Cdr7!#REF!</definedName>
    <definedName name="Cuadro_N__23" localSheetId="2">[5]Cdr7!#REF!</definedName>
    <definedName name="Cuadro_N__23" localSheetId="9">[5]Cdr7!#REF!</definedName>
    <definedName name="Cuadro_N__23" localSheetId="3">[5]Cdr7!#REF!</definedName>
    <definedName name="Cuadro_N__23" localSheetId="10">[5]Cdr7!#REF!</definedName>
    <definedName name="Cuadro_N__23" localSheetId="11">[5]Cdr7!#REF!</definedName>
    <definedName name="Cuadro_N__23" localSheetId="12">[5]Cdr7!#REF!</definedName>
    <definedName name="Cuadro_N__23" localSheetId="22">[5]Cdr7!#REF!</definedName>
    <definedName name="Cuadro_N__23" localSheetId="13">[5]Cdr7!#REF!</definedName>
    <definedName name="Cuadro_N__23">[5]Cdr7!#REF!</definedName>
    <definedName name="Cuadro_N__24" localSheetId="14">#REF!</definedName>
    <definedName name="Cuadro_N__24" localSheetId="0">#REF!</definedName>
    <definedName name="Cuadro_N__24" localSheetId="5">#REF!</definedName>
    <definedName name="Cuadro_N__24" localSheetId="15">#REF!</definedName>
    <definedName name="Cuadro_N__24" localSheetId="6">#REF!</definedName>
    <definedName name="Cuadro_N__24" localSheetId="16">#REF!</definedName>
    <definedName name="Cuadro_N__24" localSheetId="7">#REF!</definedName>
    <definedName name="Cuadro_N__24" localSheetId="1">#REF!</definedName>
    <definedName name="Cuadro_N__24" localSheetId="17">#REF!</definedName>
    <definedName name="Cuadro_N__24" localSheetId="8">#REF!</definedName>
    <definedName name="Cuadro_N__24" localSheetId="2">#REF!</definedName>
    <definedName name="Cuadro_N__24" localSheetId="18">#REF!</definedName>
    <definedName name="Cuadro_N__24" localSheetId="9">#REF!</definedName>
    <definedName name="Cuadro_N__24" localSheetId="3">#REF!</definedName>
    <definedName name="Cuadro_N__24" localSheetId="19">#REF!</definedName>
    <definedName name="Cuadro_N__24" localSheetId="10">#REF!</definedName>
    <definedName name="Cuadro_N__24" localSheetId="20">#REF!</definedName>
    <definedName name="Cuadro_N__24" localSheetId="11">#REF!</definedName>
    <definedName name="Cuadro_N__24" localSheetId="21">#REF!</definedName>
    <definedName name="Cuadro_N__24" localSheetId="12">#REF!</definedName>
    <definedName name="Cuadro_N__24" localSheetId="22">#REF!</definedName>
    <definedName name="Cuadro_N__24" localSheetId="13">#REF!</definedName>
    <definedName name="Cuadro_N__24">#REF!</definedName>
    <definedName name="Cuadro_N__25" localSheetId="14">#REF!</definedName>
    <definedName name="Cuadro_N__25" localSheetId="0">#REF!</definedName>
    <definedName name="Cuadro_N__25" localSheetId="5">#REF!</definedName>
    <definedName name="Cuadro_N__25" localSheetId="15">#REF!</definedName>
    <definedName name="Cuadro_N__25" localSheetId="6">#REF!</definedName>
    <definedName name="Cuadro_N__25" localSheetId="16">#REF!</definedName>
    <definedName name="Cuadro_N__25" localSheetId="7">#REF!</definedName>
    <definedName name="Cuadro_N__25" localSheetId="1">#REF!</definedName>
    <definedName name="Cuadro_N__25" localSheetId="17">#REF!</definedName>
    <definedName name="Cuadro_N__25" localSheetId="8">#REF!</definedName>
    <definedName name="Cuadro_N__25" localSheetId="2">#REF!</definedName>
    <definedName name="Cuadro_N__25" localSheetId="18">#REF!</definedName>
    <definedName name="Cuadro_N__25" localSheetId="9">#REF!</definedName>
    <definedName name="Cuadro_N__25" localSheetId="3">#REF!</definedName>
    <definedName name="Cuadro_N__25" localSheetId="19">#REF!</definedName>
    <definedName name="Cuadro_N__25" localSheetId="10">#REF!</definedName>
    <definedName name="Cuadro_N__25" localSheetId="20">#REF!</definedName>
    <definedName name="Cuadro_N__25" localSheetId="11">#REF!</definedName>
    <definedName name="Cuadro_N__25" localSheetId="21">#REF!</definedName>
    <definedName name="Cuadro_N__25" localSheetId="12">#REF!</definedName>
    <definedName name="Cuadro_N__25" localSheetId="22">#REF!</definedName>
    <definedName name="Cuadro_N__25" localSheetId="13">#REF!</definedName>
    <definedName name="Cuadro_N__25">#REF!</definedName>
    <definedName name="Cuadro_N__26" localSheetId="14">#REF!</definedName>
    <definedName name="Cuadro_N__26" localSheetId="0">#REF!</definedName>
    <definedName name="Cuadro_N__26" localSheetId="5">#REF!</definedName>
    <definedName name="Cuadro_N__26" localSheetId="15">#REF!</definedName>
    <definedName name="Cuadro_N__26" localSheetId="6">#REF!</definedName>
    <definedName name="Cuadro_N__26" localSheetId="16">#REF!</definedName>
    <definedName name="Cuadro_N__26" localSheetId="7">#REF!</definedName>
    <definedName name="Cuadro_N__26" localSheetId="1">#REF!</definedName>
    <definedName name="Cuadro_N__26" localSheetId="17">#REF!</definedName>
    <definedName name="Cuadro_N__26" localSheetId="8">#REF!</definedName>
    <definedName name="Cuadro_N__26" localSheetId="2">#REF!</definedName>
    <definedName name="Cuadro_N__26" localSheetId="18">#REF!</definedName>
    <definedName name="Cuadro_N__26" localSheetId="9">#REF!</definedName>
    <definedName name="Cuadro_N__26" localSheetId="3">#REF!</definedName>
    <definedName name="Cuadro_N__26" localSheetId="19">#REF!</definedName>
    <definedName name="Cuadro_N__26" localSheetId="10">#REF!</definedName>
    <definedName name="Cuadro_N__26" localSheetId="20">#REF!</definedName>
    <definedName name="Cuadro_N__26" localSheetId="11">#REF!</definedName>
    <definedName name="Cuadro_N__26" localSheetId="21">#REF!</definedName>
    <definedName name="Cuadro_N__26" localSheetId="12">#REF!</definedName>
    <definedName name="Cuadro_N__26" localSheetId="22">#REF!</definedName>
    <definedName name="Cuadro_N__26" localSheetId="13">#REF!</definedName>
    <definedName name="Cuadro_N__26">#REF!</definedName>
    <definedName name="Cuadro_N__3" localSheetId="14">#REF!</definedName>
    <definedName name="Cuadro_N__3" localSheetId="0">#REF!</definedName>
    <definedName name="Cuadro_N__3" localSheetId="5">#REF!</definedName>
    <definedName name="Cuadro_N__3" localSheetId="15">#REF!</definedName>
    <definedName name="Cuadro_N__3" localSheetId="6">#REF!</definedName>
    <definedName name="Cuadro_N__3" localSheetId="16">#REF!</definedName>
    <definedName name="Cuadro_N__3" localSheetId="7">#REF!</definedName>
    <definedName name="Cuadro_N__3" localSheetId="1">#REF!</definedName>
    <definedName name="Cuadro_N__3" localSheetId="17">#REF!</definedName>
    <definedName name="Cuadro_N__3" localSheetId="8">#REF!</definedName>
    <definedName name="Cuadro_N__3" localSheetId="2">#REF!</definedName>
    <definedName name="Cuadro_N__3" localSheetId="18">#REF!</definedName>
    <definedName name="Cuadro_N__3" localSheetId="9">#REF!</definedName>
    <definedName name="Cuadro_N__3" localSheetId="3">#REF!</definedName>
    <definedName name="Cuadro_N__3" localSheetId="19">#REF!</definedName>
    <definedName name="Cuadro_N__3" localSheetId="10">#REF!</definedName>
    <definedName name="Cuadro_N__3" localSheetId="20">#REF!</definedName>
    <definedName name="Cuadro_N__3" localSheetId="11">#REF!</definedName>
    <definedName name="Cuadro_N__3" localSheetId="21">#REF!</definedName>
    <definedName name="Cuadro_N__3" localSheetId="12">#REF!</definedName>
    <definedName name="Cuadro_N__3" localSheetId="22">#REF!</definedName>
    <definedName name="Cuadro_N__3" localSheetId="13">#REF!</definedName>
    <definedName name="Cuadro_N__3">#REF!</definedName>
    <definedName name="Cuadro_N__30" localSheetId="14">#REF!</definedName>
    <definedName name="Cuadro_N__30" localSheetId="0">#REF!</definedName>
    <definedName name="Cuadro_N__30" localSheetId="5">#REF!</definedName>
    <definedName name="Cuadro_N__30" localSheetId="15">#REF!</definedName>
    <definedName name="Cuadro_N__30" localSheetId="6">#REF!</definedName>
    <definedName name="Cuadro_N__30" localSheetId="16">#REF!</definedName>
    <definedName name="Cuadro_N__30" localSheetId="7">#REF!</definedName>
    <definedName name="Cuadro_N__30" localSheetId="1">#REF!</definedName>
    <definedName name="Cuadro_N__30" localSheetId="17">#REF!</definedName>
    <definedName name="Cuadro_N__30" localSheetId="8">#REF!</definedName>
    <definedName name="Cuadro_N__30" localSheetId="2">#REF!</definedName>
    <definedName name="Cuadro_N__30" localSheetId="18">#REF!</definedName>
    <definedName name="Cuadro_N__30" localSheetId="9">#REF!</definedName>
    <definedName name="Cuadro_N__30" localSheetId="3">#REF!</definedName>
    <definedName name="Cuadro_N__30" localSheetId="19">#REF!</definedName>
    <definedName name="Cuadro_N__30" localSheetId="10">#REF!</definedName>
    <definedName name="Cuadro_N__30" localSheetId="20">#REF!</definedName>
    <definedName name="Cuadro_N__30" localSheetId="11">#REF!</definedName>
    <definedName name="Cuadro_N__30" localSheetId="21">#REF!</definedName>
    <definedName name="Cuadro_N__30" localSheetId="12">#REF!</definedName>
    <definedName name="Cuadro_N__30" localSheetId="22">#REF!</definedName>
    <definedName name="Cuadro_N__30" localSheetId="13">#REF!</definedName>
    <definedName name="Cuadro_N__30">#REF!</definedName>
    <definedName name="Cuadro_N__31" localSheetId="14">#REF!</definedName>
    <definedName name="Cuadro_N__31" localSheetId="0">#REF!</definedName>
    <definedName name="Cuadro_N__31" localSheetId="5">#REF!</definedName>
    <definedName name="Cuadro_N__31" localSheetId="15">#REF!</definedName>
    <definedName name="Cuadro_N__31" localSheetId="6">#REF!</definedName>
    <definedName name="Cuadro_N__31" localSheetId="16">#REF!</definedName>
    <definedName name="Cuadro_N__31" localSheetId="7">#REF!</definedName>
    <definedName name="Cuadro_N__31" localSheetId="1">#REF!</definedName>
    <definedName name="Cuadro_N__31" localSheetId="17">#REF!</definedName>
    <definedName name="Cuadro_N__31" localSheetId="8">#REF!</definedName>
    <definedName name="Cuadro_N__31" localSheetId="2">#REF!</definedName>
    <definedName name="Cuadro_N__31" localSheetId="18">#REF!</definedName>
    <definedName name="Cuadro_N__31" localSheetId="9">#REF!</definedName>
    <definedName name="Cuadro_N__31" localSheetId="3">#REF!</definedName>
    <definedName name="Cuadro_N__31" localSheetId="19">#REF!</definedName>
    <definedName name="Cuadro_N__31" localSheetId="10">#REF!</definedName>
    <definedName name="Cuadro_N__31" localSheetId="20">#REF!</definedName>
    <definedName name="Cuadro_N__31" localSheetId="11">#REF!</definedName>
    <definedName name="Cuadro_N__31" localSheetId="21">#REF!</definedName>
    <definedName name="Cuadro_N__31" localSheetId="12">#REF!</definedName>
    <definedName name="Cuadro_N__31" localSheetId="22">#REF!</definedName>
    <definedName name="Cuadro_N__31" localSheetId="13">#REF!</definedName>
    <definedName name="Cuadro_N__31">#REF!</definedName>
    <definedName name="Cuadro_N__32" localSheetId="14">#REF!</definedName>
    <definedName name="Cuadro_N__32" localSheetId="0">#REF!</definedName>
    <definedName name="Cuadro_N__32" localSheetId="5">#REF!</definedName>
    <definedName name="Cuadro_N__32" localSheetId="15">#REF!</definedName>
    <definedName name="Cuadro_N__32" localSheetId="6">#REF!</definedName>
    <definedName name="Cuadro_N__32" localSheetId="16">#REF!</definedName>
    <definedName name="Cuadro_N__32" localSheetId="7">#REF!</definedName>
    <definedName name="Cuadro_N__32" localSheetId="1">#REF!</definedName>
    <definedName name="Cuadro_N__32" localSheetId="17">#REF!</definedName>
    <definedName name="Cuadro_N__32" localSheetId="8">#REF!</definedName>
    <definedName name="Cuadro_N__32" localSheetId="2">#REF!</definedName>
    <definedName name="Cuadro_N__32" localSheetId="18">#REF!</definedName>
    <definedName name="Cuadro_N__32" localSheetId="9">#REF!</definedName>
    <definedName name="Cuadro_N__32" localSheetId="3">#REF!</definedName>
    <definedName name="Cuadro_N__32" localSheetId="19">#REF!</definedName>
    <definedName name="Cuadro_N__32" localSheetId="10">#REF!</definedName>
    <definedName name="Cuadro_N__32" localSheetId="20">#REF!</definedName>
    <definedName name="Cuadro_N__32" localSheetId="11">#REF!</definedName>
    <definedName name="Cuadro_N__32" localSheetId="21">#REF!</definedName>
    <definedName name="Cuadro_N__32" localSheetId="12">#REF!</definedName>
    <definedName name="Cuadro_N__32" localSheetId="22">#REF!</definedName>
    <definedName name="Cuadro_N__32" localSheetId="13">#REF!</definedName>
    <definedName name="Cuadro_N__32">#REF!</definedName>
    <definedName name="Cuadro_N__4" localSheetId="14">#REF!</definedName>
    <definedName name="Cuadro_N__4" localSheetId="0">#REF!</definedName>
    <definedName name="Cuadro_N__4" localSheetId="5">#REF!</definedName>
    <definedName name="Cuadro_N__4" localSheetId="15">#REF!</definedName>
    <definedName name="Cuadro_N__4" localSheetId="6">#REF!</definedName>
    <definedName name="Cuadro_N__4" localSheetId="16">#REF!</definedName>
    <definedName name="Cuadro_N__4" localSheetId="7">#REF!</definedName>
    <definedName name="Cuadro_N__4" localSheetId="1">#REF!</definedName>
    <definedName name="Cuadro_N__4" localSheetId="17">#REF!</definedName>
    <definedName name="Cuadro_N__4" localSheetId="8">#REF!</definedName>
    <definedName name="Cuadro_N__4" localSheetId="2">#REF!</definedName>
    <definedName name="Cuadro_N__4" localSheetId="18">#REF!</definedName>
    <definedName name="Cuadro_N__4" localSheetId="9">#REF!</definedName>
    <definedName name="Cuadro_N__4" localSheetId="3">#REF!</definedName>
    <definedName name="Cuadro_N__4" localSheetId="19">#REF!</definedName>
    <definedName name="Cuadro_N__4" localSheetId="10">#REF!</definedName>
    <definedName name="Cuadro_N__4" localSheetId="20">#REF!</definedName>
    <definedName name="Cuadro_N__4" localSheetId="11">#REF!</definedName>
    <definedName name="Cuadro_N__4" localSheetId="21">#REF!</definedName>
    <definedName name="Cuadro_N__4" localSheetId="12">#REF!</definedName>
    <definedName name="Cuadro_N__4" localSheetId="22">#REF!</definedName>
    <definedName name="Cuadro_N__4" localSheetId="13">#REF!</definedName>
    <definedName name="Cuadro_N__4">#REF!</definedName>
    <definedName name="Cuadro_N__5" localSheetId="14">#REF!</definedName>
    <definedName name="Cuadro_N__5" localSheetId="0">#REF!</definedName>
    <definedName name="Cuadro_N__5" localSheetId="5">#REF!</definedName>
    <definedName name="Cuadro_N__5" localSheetId="15">#REF!</definedName>
    <definedName name="Cuadro_N__5" localSheetId="6">#REF!</definedName>
    <definedName name="Cuadro_N__5" localSheetId="16">#REF!</definedName>
    <definedName name="Cuadro_N__5" localSheetId="7">#REF!</definedName>
    <definedName name="Cuadro_N__5" localSheetId="1">#REF!</definedName>
    <definedName name="Cuadro_N__5" localSheetId="17">#REF!</definedName>
    <definedName name="Cuadro_N__5" localSheetId="8">#REF!</definedName>
    <definedName name="Cuadro_N__5" localSheetId="2">#REF!</definedName>
    <definedName name="Cuadro_N__5" localSheetId="18">#REF!</definedName>
    <definedName name="Cuadro_N__5" localSheetId="9">#REF!</definedName>
    <definedName name="Cuadro_N__5" localSheetId="3">#REF!</definedName>
    <definedName name="Cuadro_N__5" localSheetId="19">#REF!</definedName>
    <definedName name="Cuadro_N__5" localSheetId="10">#REF!</definedName>
    <definedName name="Cuadro_N__5" localSheetId="20">#REF!</definedName>
    <definedName name="Cuadro_N__5" localSheetId="11">#REF!</definedName>
    <definedName name="Cuadro_N__5" localSheetId="21">#REF!</definedName>
    <definedName name="Cuadro_N__5" localSheetId="12">#REF!</definedName>
    <definedName name="Cuadro_N__5" localSheetId="22">#REF!</definedName>
    <definedName name="Cuadro_N__5" localSheetId="13">#REF!</definedName>
    <definedName name="Cuadro_N__5">#REF!</definedName>
    <definedName name="cuadro_N__6" localSheetId="14">#REF!</definedName>
    <definedName name="cuadro_N__6" localSheetId="0">#REF!</definedName>
    <definedName name="cuadro_N__6" localSheetId="5">#REF!</definedName>
    <definedName name="cuadro_N__6" localSheetId="15">#REF!</definedName>
    <definedName name="cuadro_N__6" localSheetId="6">#REF!</definedName>
    <definedName name="cuadro_N__6" localSheetId="16">#REF!</definedName>
    <definedName name="cuadro_N__6" localSheetId="7">#REF!</definedName>
    <definedName name="cuadro_N__6" localSheetId="1">#REF!</definedName>
    <definedName name="cuadro_N__6" localSheetId="17">#REF!</definedName>
    <definedName name="cuadro_N__6" localSheetId="8">#REF!</definedName>
    <definedName name="cuadro_N__6" localSheetId="2">#REF!</definedName>
    <definedName name="cuadro_N__6" localSheetId="18">#REF!</definedName>
    <definedName name="cuadro_N__6" localSheetId="9">#REF!</definedName>
    <definedName name="cuadro_N__6" localSheetId="3">#REF!</definedName>
    <definedName name="cuadro_N__6" localSheetId="19">#REF!</definedName>
    <definedName name="cuadro_N__6" localSheetId="10">#REF!</definedName>
    <definedName name="cuadro_N__6" localSheetId="20">#REF!</definedName>
    <definedName name="cuadro_N__6" localSheetId="11">#REF!</definedName>
    <definedName name="cuadro_N__6" localSheetId="21">#REF!</definedName>
    <definedName name="cuadro_N__6" localSheetId="12">#REF!</definedName>
    <definedName name="cuadro_N__6" localSheetId="22">#REF!</definedName>
    <definedName name="cuadro_N__6" localSheetId="13">#REF!</definedName>
    <definedName name="cuadro_N__6">#REF!</definedName>
    <definedName name="Cuadro_N__8" localSheetId="22">[5]Cdr7!#REF!</definedName>
    <definedName name="Cuadro_N__8">[5]Cdr7!#REF!</definedName>
    <definedName name="Cuadro_N__9" localSheetId="22">[5]Cdr7!#REF!</definedName>
    <definedName name="Cuadro_N__9">[5]Cdr7!#REF!</definedName>
    <definedName name="Cuadro_N_1" localSheetId="14">#REF!</definedName>
    <definedName name="Cuadro_N_1" localSheetId="0">#REF!</definedName>
    <definedName name="Cuadro_N_1" localSheetId="5">#REF!</definedName>
    <definedName name="Cuadro_N_1" localSheetId="15">#REF!</definedName>
    <definedName name="Cuadro_N_1" localSheetId="6">#REF!</definedName>
    <definedName name="Cuadro_N_1" localSheetId="16">#REF!</definedName>
    <definedName name="Cuadro_N_1" localSheetId="7">#REF!</definedName>
    <definedName name="Cuadro_N_1" localSheetId="1">#REF!</definedName>
    <definedName name="Cuadro_N_1" localSheetId="17">#REF!</definedName>
    <definedName name="Cuadro_N_1" localSheetId="8">#REF!</definedName>
    <definedName name="Cuadro_N_1" localSheetId="2">#REF!</definedName>
    <definedName name="Cuadro_N_1" localSheetId="18">#REF!</definedName>
    <definedName name="Cuadro_N_1" localSheetId="9">#REF!</definedName>
    <definedName name="Cuadro_N_1" localSheetId="3">#REF!</definedName>
    <definedName name="Cuadro_N_1" localSheetId="19">#REF!</definedName>
    <definedName name="Cuadro_N_1" localSheetId="10">#REF!</definedName>
    <definedName name="Cuadro_N_1" localSheetId="20">#REF!</definedName>
    <definedName name="Cuadro_N_1" localSheetId="11">#REF!</definedName>
    <definedName name="Cuadro_N_1" localSheetId="21">#REF!</definedName>
    <definedName name="Cuadro_N_1" localSheetId="12">#REF!</definedName>
    <definedName name="Cuadro_N_1" localSheetId="22">#REF!</definedName>
    <definedName name="Cuadro_N_1" localSheetId="13">#REF!</definedName>
    <definedName name="Cuadro_N_1">#REF!</definedName>
    <definedName name="cuadro1" localSheetId="14">#REF!</definedName>
    <definedName name="cuadro1" localSheetId="0">#REF!</definedName>
    <definedName name="cuadro1" localSheetId="5">#REF!</definedName>
    <definedName name="cuadro1" localSheetId="15">#REF!</definedName>
    <definedName name="cuadro1" localSheetId="6">#REF!</definedName>
    <definedName name="cuadro1" localSheetId="16">#REF!</definedName>
    <definedName name="cuadro1" localSheetId="7">#REF!</definedName>
    <definedName name="cuadro1" localSheetId="1">#REF!</definedName>
    <definedName name="cuadro1" localSheetId="17">#REF!</definedName>
    <definedName name="cuadro1" localSheetId="8">#REF!</definedName>
    <definedName name="cuadro1" localSheetId="2">#REF!</definedName>
    <definedName name="cuadro1" localSheetId="18">#REF!</definedName>
    <definedName name="cuadro1" localSheetId="9">#REF!</definedName>
    <definedName name="cuadro1" localSheetId="3">#REF!</definedName>
    <definedName name="cuadro1" localSheetId="19">#REF!</definedName>
    <definedName name="cuadro1" localSheetId="10">#REF!</definedName>
    <definedName name="cuadro1" localSheetId="20">#REF!</definedName>
    <definedName name="cuadro1" localSheetId="11">#REF!</definedName>
    <definedName name="cuadro1" localSheetId="21">#REF!</definedName>
    <definedName name="cuadro1" localSheetId="12">#REF!</definedName>
    <definedName name="cuadro1" localSheetId="22">#REF!</definedName>
    <definedName name="cuadro1" localSheetId="13">#REF!</definedName>
    <definedName name="cuadro1">#REF!</definedName>
    <definedName name="cuadro2" localSheetId="14">#REF!</definedName>
    <definedName name="cuadro2" localSheetId="0">#REF!</definedName>
    <definedName name="cuadro2" localSheetId="5">#REF!</definedName>
    <definedName name="cuadro2" localSheetId="15">#REF!</definedName>
    <definedName name="cuadro2" localSheetId="6">#REF!</definedName>
    <definedName name="cuadro2" localSheetId="16">#REF!</definedName>
    <definedName name="cuadro2" localSheetId="7">#REF!</definedName>
    <definedName name="cuadro2" localSheetId="1">#REF!</definedName>
    <definedName name="cuadro2" localSheetId="17">#REF!</definedName>
    <definedName name="cuadro2" localSheetId="8">#REF!</definedName>
    <definedName name="cuadro2" localSheetId="2">#REF!</definedName>
    <definedName name="cuadro2" localSheetId="18">#REF!</definedName>
    <definedName name="cuadro2" localSheetId="9">#REF!</definedName>
    <definedName name="cuadro2" localSheetId="3">#REF!</definedName>
    <definedName name="cuadro2" localSheetId="19">#REF!</definedName>
    <definedName name="cuadro2" localSheetId="10">#REF!</definedName>
    <definedName name="cuadro2" localSheetId="20">#REF!</definedName>
    <definedName name="cuadro2" localSheetId="11">#REF!</definedName>
    <definedName name="cuadro2" localSheetId="21">#REF!</definedName>
    <definedName name="cuadro2" localSheetId="12">#REF!</definedName>
    <definedName name="cuadro2" localSheetId="22">#REF!</definedName>
    <definedName name="cuadro2" localSheetId="13">#REF!</definedName>
    <definedName name="cuadro2">#REF!</definedName>
    <definedName name="cuadros" localSheetId="14">'[6]Cdrs 1-2'!$A$69:$S$114</definedName>
    <definedName name="cuadros" localSheetId="0">'[6]Cdrs 1-2'!$A$69:$S$114</definedName>
    <definedName name="cuadros" localSheetId="5">'[6]Cdrs 1-2'!$A$69:$S$114</definedName>
    <definedName name="cuadros" localSheetId="15">'[6]Cdrs 1-2'!$A$69:$S$114</definedName>
    <definedName name="cuadros" localSheetId="6">'[6]Cdrs 1-2'!$A$69:$S$114</definedName>
    <definedName name="cuadros" localSheetId="16">'[6]Cdrs 1-2'!$A$69:$S$114</definedName>
    <definedName name="cuadros" localSheetId="7">'[6]Cdrs 1-2'!$A$69:$S$114</definedName>
    <definedName name="cuadros" localSheetId="1">'[6]Cdrs 1-2'!$A$69:$S$114</definedName>
    <definedName name="cuadros" localSheetId="17">'[6]Cdrs 1-2'!$A$69:$S$114</definedName>
    <definedName name="cuadros" localSheetId="8">'[6]Cdrs 1-2'!$A$69:$S$114</definedName>
    <definedName name="cuadros" localSheetId="2">'[6]Cdrs 1-2'!$A$69:$S$114</definedName>
    <definedName name="cuadros" localSheetId="18">'[6]Cdrs 1-2'!$A$69:$S$114</definedName>
    <definedName name="cuadros" localSheetId="9">'[6]Cdrs 1-2'!$A$69:$S$114</definedName>
    <definedName name="cuadros" localSheetId="3">'[6]Cdrs 1-2'!$A$69:$S$114</definedName>
    <definedName name="cuadros" localSheetId="19">'[6]Cdrs 1-2'!$A$69:$S$114</definedName>
    <definedName name="cuadros" localSheetId="10">'[6]Cdrs 1-2'!$A$69:$S$114</definedName>
    <definedName name="cuadros" localSheetId="20">'[6]Cdrs 1-2'!$A$69:$S$114</definedName>
    <definedName name="cuadros" localSheetId="11">'[6]Cdrs 1-2'!$A$69:$S$114</definedName>
    <definedName name="cuadros" localSheetId="21">'[6]Cdrs 1-2'!$A$69:$S$114</definedName>
    <definedName name="cuadros" localSheetId="12">'[6]Cdrs 1-2'!$A$69:$S$114</definedName>
    <definedName name="cuadros" localSheetId="22">'[6]Cdrs 1-2'!$A$69:$S$114</definedName>
    <definedName name="cuadros" localSheetId="13">'[6]Cdrs 1-2'!$A$69:$S$114</definedName>
    <definedName name="cuadros">'[6]Cdrs 1-2'!$A$69:$S$114</definedName>
    <definedName name="d">[5]Cdr7!#REF!</definedName>
    <definedName name="daklsñjfkjasñ" localSheetId="14">[24]PAG_35!#REF!</definedName>
    <definedName name="daklsñjfkjasñ" localSheetId="0">[24]PAG_35!#REF!</definedName>
    <definedName name="daklsñjfkjasñ" localSheetId="5">[24]PAG_35!#REF!</definedName>
    <definedName name="daklsñjfkjasñ" localSheetId="15">[24]PAG_35!#REF!</definedName>
    <definedName name="daklsñjfkjasñ" localSheetId="6">[24]PAG_35!#REF!</definedName>
    <definedName name="daklsñjfkjasñ" localSheetId="16">[24]PAG_35!#REF!</definedName>
    <definedName name="daklsñjfkjasñ" localSheetId="7">[24]PAG_35!#REF!</definedName>
    <definedName name="daklsñjfkjasñ" localSheetId="1">[24]PAG_35!#REF!</definedName>
    <definedName name="daklsñjfkjasñ" localSheetId="17">[24]PAG_35!#REF!</definedName>
    <definedName name="daklsñjfkjasñ" localSheetId="8">[24]PAG_35!#REF!</definedName>
    <definedName name="daklsñjfkjasñ" localSheetId="2">[24]PAG_35!#REF!</definedName>
    <definedName name="daklsñjfkjasñ" localSheetId="18">[24]PAG_35!#REF!</definedName>
    <definedName name="daklsñjfkjasñ" localSheetId="9">[24]PAG_35!#REF!</definedName>
    <definedName name="daklsñjfkjasñ" localSheetId="3">[24]PAG_35!#REF!</definedName>
    <definedName name="daklsñjfkjasñ" localSheetId="19">[24]PAG_35!#REF!</definedName>
    <definedName name="daklsñjfkjasñ" localSheetId="10">[24]PAG_35!#REF!</definedName>
    <definedName name="daklsñjfkjasñ" localSheetId="20">[24]PAG_35!#REF!</definedName>
    <definedName name="daklsñjfkjasñ" localSheetId="11">[24]PAG_35!#REF!</definedName>
    <definedName name="daklsñjfkjasñ" localSheetId="21">[24]PAG_35!#REF!</definedName>
    <definedName name="daklsñjfkjasñ" localSheetId="12">[24]PAG_35!#REF!</definedName>
    <definedName name="daklsñjfkjasñ" localSheetId="22">[24]PAG_35!#REF!</definedName>
    <definedName name="daklsñjfkjasñ" localSheetId="13">[24]PAG_35!#REF!</definedName>
    <definedName name="daklsñjfkjasñ">[24]PAG_35!#REF!</definedName>
    <definedName name="DAT">[34]DATOS!$A$1:$B$1393</definedName>
    <definedName name="DATA_V9" localSheetId="14">#REF!</definedName>
    <definedName name="DATA_V9" localSheetId="0">#REF!</definedName>
    <definedName name="DATA_V9" localSheetId="5">#REF!</definedName>
    <definedName name="DATA_V9" localSheetId="15">#REF!</definedName>
    <definedName name="DATA_V9" localSheetId="6">#REF!</definedName>
    <definedName name="DATA_V9" localSheetId="16">#REF!</definedName>
    <definedName name="DATA_V9" localSheetId="7">#REF!</definedName>
    <definedName name="DATA_V9" localSheetId="1">#REF!</definedName>
    <definedName name="DATA_V9" localSheetId="17">#REF!</definedName>
    <definedName name="DATA_V9" localSheetId="8">#REF!</definedName>
    <definedName name="DATA_V9" localSheetId="2">#REF!</definedName>
    <definedName name="DATA_V9" localSheetId="18">#REF!</definedName>
    <definedName name="DATA_V9" localSheetId="9">#REF!</definedName>
    <definedName name="DATA_V9" localSheetId="3">#REF!</definedName>
    <definedName name="DATA_V9" localSheetId="19">#REF!</definedName>
    <definedName name="DATA_V9" localSheetId="10">#REF!</definedName>
    <definedName name="DATA_V9" localSheetId="20">#REF!</definedName>
    <definedName name="DATA_V9" localSheetId="11">#REF!</definedName>
    <definedName name="DATA_V9" localSheetId="21">#REF!</definedName>
    <definedName name="DATA_V9" localSheetId="12">#REF!</definedName>
    <definedName name="DATA_V9" localSheetId="22">#REF!</definedName>
    <definedName name="DATA_V9" localSheetId="13">#REF!</definedName>
    <definedName name="DATA_V9">#REF!</definedName>
    <definedName name="Database" localSheetId="14">[28]OPERACIONES!#REF!</definedName>
    <definedName name="Database" localSheetId="0">[28]OPERACIONES!#REF!</definedName>
    <definedName name="Database" localSheetId="5">[28]OPERACIONES!#REF!</definedName>
    <definedName name="Database" localSheetId="15">[28]OPERACIONES!#REF!</definedName>
    <definedName name="Database" localSheetId="6">[28]OPERACIONES!#REF!</definedName>
    <definedName name="Database" localSheetId="16">[28]OPERACIONES!#REF!</definedName>
    <definedName name="Database" localSheetId="7">[28]OPERACIONES!#REF!</definedName>
    <definedName name="Database" localSheetId="1">[28]OPERACIONES!#REF!</definedName>
    <definedName name="Database" localSheetId="17">[28]OPERACIONES!#REF!</definedName>
    <definedName name="Database" localSheetId="8">[28]OPERACIONES!#REF!</definedName>
    <definedName name="Database" localSheetId="2">[28]OPERACIONES!#REF!</definedName>
    <definedName name="Database" localSheetId="18">[28]OPERACIONES!#REF!</definedName>
    <definedName name="Database" localSheetId="9">[28]OPERACIONES!#REF!</definedName>
    <definedName name="Database" localSheetId="3">[28]OPERACIONES!#REF!</definedName>
    <definedName name="Database" localSheetId="19">[28]OPERACIONES!#REF!</definedName>
    <definedName name="Database" localSheetId="10">[28]OPERACIONES!#REF!</definedName>
    <definedName name="Database" localSheetId="20">[28]OPERACIONES!#REF!</definedName>
    <definedName name="Database" localSheetId="11">[28]OPERACIONES!#REF!</definedName>
    <definedName name="Database" localSheetId="21">[28]OPERACIONES!#REF!</definedName>
    <definedName name="Database" localSheetId="12">[28]OPERACIONES!#REF!</definedName>
    <definedName name="Database" localSheetId="22">[29]OPERACIONES!#REF!</definedName>
    <definedName name="Database" localSheetId="13">[28]OPERACIONES!#REF!</definedName>
    <definedName name="Database">[29]OPERACIONES!#REF!</definedName>
    <definedName name="datos" localSheetId="14">[35]DATOS!$A$1:$B$1393</definedName>
    <definedName name="datos" localSheetId="0">[35]DATOS!$A$1:$B$1393</definedName>
    <definedName name="datos" localSheetId="5">[35]DATOS!$A$1:$B$1393</definedName>
    <definedName name="datos" localSheetId="15">[35]DATOS!$A$1:$B$1393</definedName>
    <definedName name="datos" localSheetId="6">[35]DATOS!$A$1:$B$1393</definedName>
    <definedName name="datos" localSheetId="16">[35]DATOS!$A$1:$B$1393</definedName>
    <definedName name="datos" localSheetId="7">[35]DATOS!$A$1:$B$1393</definedName>
    <definedName name="datos" localSheetId="1">[35]DATOS!$A$1:$B$1393</definedName>
    <definedName name="datos" localSheetId="17">[35]DATOS!$A$1:$B$1393</definedName>
    <definedName name="datos" localSheetId="8">[35]DATOS!$A$1:$B$1393</definedName>
    <definedName name="datos" localSheetId="2">[35]DATOS!$A$1:$B$1393</definedName>
    <definedName name="datos" localSheetId="18">[35]DATOS!$A$1:$B$1393</definedName>
    <definedName name="datos" localSheetId="9">[35]DATOS!$A$1:$B$1393</definedName>
    <definedName name="datos" localSheetId="3">[35]DATOS!$A$1:$B$1393</definedName>
    <definedName name="datos" localSheetId="19">[35]DATOS!$A$1:$B$1393</definedName>
    <definedName name="datos" localSheetId="10">[35]DATOS!$A$1:$B$1393</definedName>
    <definedName name="datos" localSheetId="20">[35]DATOS!$A$1:$B$1393</definedName>
    <definedName name="datos" localSheetId="11">[35]DATOS!$A$1:$B$1393</definedName>
    <definedName name="datos" localSheetId="21">[35]DATOS!$A$1:$B$1393</definedName>
    <definedName name="datos" localSheetId="12">[35]DATOS!$A$1:$B$1393</definedName>
    <definedName name="datos" localSheetId="22">[36]DATOS!$A$1:$B$1393</definedName>
    <definedName name="datos" localSheetId="13">[35]DATOS!$A$1:$B$1393</definedName>
    <definedName name="datos">[37]DATOS!$A$1:$B$1393</definedName>
    <definedName name="Datos_para_ApéndiceC1">[25]c1!$B$1:$N$164</definedName>
    <definedName name="DATOS1">[38]DATOS!$A$1:$B$1393</definedName>
    <definedName name="DatosBase" localSheetId="14">[39]DatosBase!$A$1:$IV$20</definedName>
    <definedName name="DatosBase" localSheetId="0">[39]DatosBase!$A$1:$IV$20</definedName>
    <definedName name="DatosBase" localSheetId="5">[39]DatosBase!$A$1:$IV$20</definedName>
    <definedName name="DatosBase" localSheetId="15">[39]DatosBase!$A$1:$IV$20</definedName>
    <definedName name="DatosBase" localSheetId="6">[39]DatosBase!$A$1:$IV$20</definedName>
    <definedName name="DatosBase" localSheetId="16">[39]DatosBase!$A$1:$IV$20</definedName>
    <definedName name="DatosBase" localSheetId="7">[39]DatosBase!$A$1:$IV$20</definedName>
    <definedName name="DatosBase" localSheetId="1">[39]DatosBase!$A$1:$IV$20</definedName>
    <definedName name="DatosBase" localSheetId="17">[39]DatosBase!$A$1:$IV$20</definedName>
    <definedName name="DatosBase" localSheetId="8">[39]DatosBase!$A$1:$IV$20</definedName>
    <definedName name="DatosBase" localSheetId="2">[39]DatosBase!$A$1:$IV$20</definedName>
    <definedName name="DatosBase" localSheetId="18">[39]DatosBase!$A$1:$IV$20</definedName>
    <definedName name="DatosBase" localSheetId="9">[39]DatosBase!$A$1:$IV$20</definedName>
    <definedName name="DatosBase" localSheetId="3">[39]DatosBase!$A$1:$IV$20</definedName>
    <definedName name="DatosBase" localSheetId="19">[39]DatosBase!$A$1:$IV$20</definedName>
    <definedName name="DatosBase" localSheetId="10">[39]DatosBase!$A$1:$IV$20</definedName>
    <definedName name="DatosBase" localSheetId="20">[39]DatosBase!$A$1:$IV$20</definedName>
    <definedName name="DatosBase" localSheetId="11">[39]DatosBase!$A$1:$IV$20</definedName>
    <definedName name="DatosBase" localSheetId="21">[39]DatosBase!$A$1:$IV$20</definedName>
    <definedName name="DatosBase" localSheetId="12">[39]DatosBase!$A$1:$IV$20</definedName>
    <definedName name="DatosBase" localSheetId="22">[39]DatosBase!$A$1:$IV$20</definedName>
    <definedName name="DatosBase" localSheetId="13">[39]DatosBase!$A$1:$IV$20</definedName>
    <definedName name="DatosBase">[39]DatosBase!$A$1:$IV$20</definedName>
    <definedName name="deer" localSheetId="14">#REF!</definedName>
    <definedName name="deer" localSheetId="0">#REF!</definedName>
    <definedName name="deer" localSheetId="5">#REF!</definedName>
    <definedName name="deer" localSheetId="15">#REF!</definedName>
    <definedName name="deer" localSheetId="6">#REF!</definedName>
    <definedName name="deer" localSheetId="16">#REF!</definedName>
    <definedName name="deer" localSheetId="7">#REF!</definedName>
    <definedName name="deer" localSheetId="1">#REF!</definedName>
    <definedName name="deer" localSheetId="17">#REF!</definedName>
    <definedName name="deer" localSheetId="8">#REF!</definedName>
    <definedName name="deer" localSheetId="2">#REF!</definedName>
    <definedName name="deer" localSheetId="18">#REF!</definedName>
    <definedName name="deer" localSheetId="9">#REF!</definedName>
    <definedName name="deer" localSheetId="3">#REF!</definedName>
    <definedName name="deer" localSheetId="19">#REF!</definedName>
    <definedName name="deer" localSheetId="10">#REF!</definedName>
    <definedName name="deer" localSheetId="20">#REF!</definedName>
    <definedName name="deer" localSheetId="11">#REF!</definedName>
    <definedName name="deer" localSheetId="21">#REF!</definedName>
    <definedName name="deer" localSheetId="12">#REF!</definedName>
    <definedName name="deer" localSheetId="22">#REF!</definedName>
    <definedName name="deer" localSheetId="13">#REF!</definedName>
    <definedName name="deer">#REF!</definedName>
    <definedName name="dfasñljskña" localSheetId="15">[24]PAG_35!#REF!</definedName>
    <definedName name="dfasñljskña" localSheetId="16">[24]PAG_35!#REF!</definedName>
    <definedName name="dfasñljskña" localSheetId="17">[24]PAG_35!#REF!</definedName>
    <definedName name="dfasñljskña" localSheetId="18">[24]PAG_35!#REF!</definedName>
    <definedName name="dfasñljskña" localSheetId="19">[24]PAG_35!#REF!</definedName>
    <definedName name="dfasñljskña" localSheetId="20">[24]PAG_35!#REF!</definedName>
    <definedName name="dfasñljskña" localSheetId="21">[24]PAG_35!#REF!</definedName>
    <definedName name="dfasñljskña" localSheetId="22">[24]PAG_35!#REF!</definedName>
    <definedName name="dfasñljskña">[24]PAG_35!#REF!</definedName>
    <definedName name="dfsfd" localSheetId="14">#REF!</definedName>
    <definedName name="dfsfd" localSheetId="0">#REF!</definedName>
    <definedName name="dfsfd" localSheetId="5">#REF!</definedName>
    <definedName name="dfsfd" localSheetId="15">#REF!</definedName>
    <definedName name="dfsfd" localSheetId="6">#REF!</definedName>
    <definedName name="dfsfd" localSheetId="16">#REF!</definedName>
    <definedName name="dfsfd" localSheetId="7">#REF!</definedName>
    <definedName name="dfsfd" localSheetId="1">#REF!</definedName>
    <definedName name="dfsfd" localSheetId="17">#REF!</definedName>
    <definedName name="dfsfd" localSheetId="8">#REF!</definedName>
    <definedName name="dfsfd" localSheetId="2">#REF!</definedName>
    <definedName name="dfsfd" localSheetId="18">#REF!</definedName>
    <definedName name="dfsfd" localSheetId="9">#REF!</definedName>
    <definedName name="dfsfd" localSheetId="3">#REF!</definedName>
    <definedName name="dfsfd" localSheetId="19">#REF!</definedName>
    <definedName name="dfsfd" localSheetId="10">#REF!</definedName>
    <definedName name="dfsfd" localSheetId="20">#REF!</definedName>
    <definedName name="dfsfd" localSheetId="11">#REF!</definedName>
    <definedName name="dfsfd" localSheetId="21">#REF!</definedName>
    <definedName name="dfsfd" localSheetId="12">#REF!</definedName>
    <definedName name="dfsfd" localSheetId="22">#REF!</definedName>
    <definedName name="dfsfd" localSheetId="13">#REF!</definedName>
    <definedName name="dfsfd">#REF!</definedName>
    <definedName name="DíasHábiles">[4]Util!$A$2:$B$134</definedName>
    <definedName name="dklñfjadskfjañdf" localSheetId="14">[40]PAG_33!#REF!</definedName>
    <definedName name="dklñfjadskfjañdf" localSheetId="0">[40]PAG_33!#REF!</definedName>
    <definedName name="dklñfjadskfjañdf" localSheetId="5">[40]PAG_33!#REF!</definedName>
    <definedName name="dklñfjadskfjañdf" localSheetId="15">[40]PAG_33!#REF!</definedName>
    <definedName name="dklñfjadskfjañdf" localSheetId="6">[40]PAG_33!#REF!</definedName>
    <definedName name="dklñfjadskfjañdf" localSheetId="16">[40]PAG_33!#REF!</definedName>
    <definedName name="dklñfjadskfjañdf" localSheetId="7">[40]PAG_33!#REF!</definedName>
    <definedName name="dklñfjadskfjañdf" localSheetId="1">[40]PAG_33!#REF!</definedName>
    <definedName name="dklñfjadskfjañdf" localSheetId="17">[40]PAG_33!#REF!</definedName>
    <definedName name="dklñfjadskfjañdf" localSheetId="8">[40]PAG_33!#REF!</definedName>
    <definedName name="dklñfjadskfjañdf" localSheetId="2">[40]PAG_33!#REF!</definedName>
    <definedName name="dklñfjadskfjañdf" localSheetId="18">[40]PAG_33!#REF!</definedName>
    <definedName name="dklñfjadskfjañdf" localSheetId="9">[40]PAG_33!#REF!</definedName>
    <definedName name="dklñfjadskfjañdf" localSheetId="3">[40]PAG_33!#REF!</definedName>
    <definedName name="dklñfjadskfjañdf" localSheetId="19">[40]PAG_33!#REF!</definedName>
    <definedName name="dklñfjadskfjañdf" localSheetId="10">[40]PAG_33!#REF!</definedName>
    <definedName name="dklñfjadskfjañdf" localSheetId="20">[40]PAG_33!#REF!</definedName>
    <definedName name="dklñfjadskfjañdf" localSheetId="11">[40]PAG_33!#REF!</definedName>
    <definedName name="dklñfjadskfjañdf" localSheetId="21">[40]PAG_33!#REF!</definedName>
    <definedName name="dklñfjadskfjañdf" localSheetId="12">[40]PAG_33!#REF!</definedName>
    <definedName name="dklñfjadskfjañdf" localSheetId="22">[40]PAG_33!#REF!</definedName>
    <definedName name="dklñfjadskfjañdf" localSheetId="13">[40]PAG_33!#REF!</definedName>
    <definedName name="dklñfjadskfjañdf">[40]PAG_33!#REF!</definedName>
    <definedName name="dos" localSheetId="14">[24]PAG_35!#REF!</definedName>
    <definedName name="dos" localSheetId="0">[24]PAG_35!#REF!</definedName>
    <definedName name="dos" localSheetId="5">[24]PAG_35!#REF!</definedName>
    <definedName name="dos" localSheetId="15">[24]PAG_35!#REF!</definedName>
    <definedName name="dos" localSheetId="6">[24]PAG_35!#REF!</definedName>
    <definedName name="dos" localSheetId="16">[24]PAG_35!#REF!</definedName>
    <definedName name="dos" localSheetId="7">[24]PAG_35!#REF!</definedName>
    <definedName name="dos" localSheetId="1">[24]PAG_35!#REF!</definedName>
    <definedName name="dos" localSheetId="17">[24]PAG_35!#REF!</definedName>
    <definedName name="dos" localSheetId="8">[24]PAG_35!#REF!</definedName>
    <definedName name="dos" localSheetId="2">[24]PAG_35!#REF!</definedName>
    <definedName name="dos" localSheetId="18">[24]PAG_35!#REF!</definedName>
    <definedName name="dos" localSheetId="9">[24]PAG_35!#REF!</definedName>
    <definedName name="dos" localSheetId="3">[24]PAG_35!#REF!</definedName>
    <definedName name="dos" localSheetId="19">[24]PAG_35!#REF!</definedName>
    <definedName name="dos" localSheetId="10">[24]PAG_35!#REF!</definedName>
    <definedName name="dos" localSheetId="20">[24]PAG_35!#REF!</definedName>
    <definedName name="dos" localSheetId="11">[24]PAG_35!#REF!</definedName>
    <definedName name="dos" localSheetId="21">[24]PAG_35!#REF!</definedName>
    <definedName name="dos" localSheetId="12">[24]PAG_35!#REF!</definedName>
    <definedName name="dos" localSheetId="22">[24]PAG_35!#REF!</definedName>
    <definedName name="dos" localSheetId="13">[24]PAG_35!#REF!</definedName>
    <definedName name="dos">[24]PAG_35!#REF!</definedName>
    <definedName name="DurA">[4]Dur!$A$30:$I$55</definedName>
    <definedName name="EMBI" localSheetId="14">[41]CotizInternac!$A$1:$H$134</definedName>
    <definedName name="EMBI" localSheetId="0">[41]CotizInternac!$A$1:$H$134</definedName>
    <definedName name="EMBI" localSheetId="5">[41]CotizInternac!$A$1:$H$134</definedName>
    <definedName name="EMBI" localSheetId="15">[41]CotizInternac!$A$1:$H$134</definedName>
    <definedName name="EMBI" localSheetId="6">[41]CotizInternac!$A$1:$H$134</definedName>
    <definedName name="EMBI" localSheetId="16">[41]CotizInternac!$A$1:$H$134</definedName>
    <definedName name="EMBI" localSheetId="7">[41]CotizInternac!$A$1:$H$134</definedName>
    <definedName name="EMBI" localSheetId="1">[41]CotizInternac!$A$1:$H$134</definedName>
    <definedName name="EMBI" localSheetId="17">[41]CotizInternac!$A$1:$H$134</definedName>
    <definedName name="EMBI" localSheetId="8">[41]CotizInternac!$A$1:$H$134</definedName>
    <definedName name="EMBI" localSheetId="2">[41]CotizInternac!$A$1:$H$134</definedName>
    <definedName name="EMBI" localSheetId="18">[41]CotizInternac!$A$1:$H$134</definedName>
    <definedName name="EMBI" localSheetId="9">[41]CotizInternac!$A$1:$H$134</definedName>
    <definedName name="EMBI" localSheetId="3">[41]CotizInternac!$A$1:$H$134</definedName>
    <definedName name="EMBI" localSheetId="19">[41]CotizInternac!$A$1:$H$134</definedName>
    <definedName name="EMBI" localSheetId="10">[41]CotizInternac!$A$1:$H$134</definedName>
    <definedName name="EMBI" localSheetId="20">[41]CotizInternac!$A$1:$H$134</definedName>
    <definedName name="EMBI" localSheetId="11">[41]CotizInternac!$A$1:$H$134</definedName>
    <definedName name="EMBI" localSheetId="21">[41]CotizInternac!$A$1:$H$134</definedName>
    <definedName name="EMBI" localSheetId="12">[41]CotizInternac!$A$1:$H$134</definedName>
    <definedName name="EMBI" localSheetId="22">[41]CotizInternac!$A$1:$H$134</definedName>
    <definedName name="EMBI" localSheetId="13">[41]CotizInternac!$A$1:$H$134</definedName>
    <definedName name="EMBI">[41]CotizInternac!$A$1:$H$134</definedName>
    <definedName name="Ends" localSheetId="14">[41]CotizInternac!$A$154:$H$169</definedName>
    <definedName name="Ends" localSheetId="0">[41]CotizInternac!$A$154:$H$169</definedName>
    <definedName name="Ends" localSheetId="5">[41]CotizInternac!$A$154:$H$169</definedName>
    <definedName name="Ends" localSheetId="15">[41]CotizInternac!$A$154:$H$169</definedName>
    <definedName name="Ends" localSheetId="6">[41]CotizInternac!$A$154:$H$169</definedName>
    <definedName name="Ends" localSheetId="16">[41]CotizInternac!$A$154:$H$169</definedName>
    <definedName name="Ends" localSheetId="7">[41]CotizInternac!$A$154:$H$169</definedName>
    <definedName name="Ends" localSheetId="1">[41]CotizInternac!$A$154:$H$169</definedName>
    <definedName name="Ends" localSheetId="17">[41]CotizInternac!$A$154:$H$169</definedName>
    <definedName name="Ends" localSheetId="8">[41]CotizInternac!$A$154:$H$169</definedName>
    <definedName name="Ends" localSheetId="2">[41]CotizInternac!$A$154:$H$169</definedName>
    <definedName name="Ends" localSheetId="18">[41]CotizInternac!$A$154:$H$169</definedName>
    <definedName name="Ends" localSheetId="9">[41]CotizInternac!$A$154:$H$169</definedName>
    <definedName name="Ends" localSheetId="3">[41]CotizInternac!$A$154:$H$169</definedName>
    <definedName name="Ends" localSheetId="19">[41]CotizInternac!$A$154:$H$169</definedName>
    <definedName name="Ends" localSheetId="10">[41]CotizInternac!$A$154:$H$169</definedName>
    <definedName name="Ends" localSheetId="20">[41]CotizInternac!$A$154:$H$169</definedName>
    <definedName name="Ends" localSheetId="11">[41]CotizInternac!$A$154:$H$169</definedName>
    <definedName name="Ends" localSheetId="21">[41]CotizInternac!$A$154:$H$169</definedName>
    <definedName name="Ends" localSheetId="12">[41]CotizInternac!$A$154:$H$169</definedName>
    <definedName name="Ends" localSheetId="22">[41]CotizInternac!$A$154:$H$169</definedName>
    <definedName name="Ends" localSheetId="13">[41]CotizInternac!$A$154:$H$169</definedName>
    <definedName name="Ends">[41]CotizInternac!$A$154:$H$169</definedName>
    <definedName name="fadsfkañlj" localSheetId="14">#REF!,#REF!</definedName>
    <definedName name="fadsfkañlj" localSheetId="0">#REF!,#REF!</definedName>
    <definedName name="fadsfkañlj" localSheetId="5">#REF!,#REF!</definedName>
    <definedName name="fadsfkañlj" localSheetId="15">#REF!,#REF!</definedName>
    <definedName name="fadsfkañlj" localSheetId="6">#REF!,#REF!</definedName>
    <definedName name="fadsfkañlj" localSheetId="16">#REF!,#REF!</definedName>
    <definedName name="fadsfkañlj" localSheetId="7">#REF!,#REF!</definedName>
    <definedName name="fadsfkañlj" localSheetId="1">#REF!,#REF!</definedName>
    <definedName name="fadsfkañlj" localSheetId="17">#REF!,#REF!</definedName>
    <definedName name="fadsfkañlj" localSheetId="8">#REF!,#REF!</definedName>
    <definedName name="fadsfkañlj" localSheetId="2">#REF!,#REF!</definedName>
    <definedName name="fadsfkañlj" localSheetId="18">#REF!,#REF!</definedName>
    <definedName name="fadsfkañlj" localSheetId="9">#REF!,#REF!</definedName>
    <definedName name="fadsfkañlj" localSheetId="3">#REF!,#REF!</definedName>
    <definedName name="fadsfkañlj" localSheetId="19">#REF!,#REF!</definedName>
    <definedName name="fadsfkañlj" localSheetId="10">#REF!,#REF!</definedName>
    <definedName name="fadsfkañlj" localSheetId="20">#REF!,#REF!</definedName>
    <definedName name="fadsfkañlj" localSheetId="11">#REF!,#REF!</definedName>
    <definedName name="fadsfkañlj" localSheetId="21">#REF!,#REF!</definedName>
    <definedName name="fadsfkañlj" localSheetId="12">#REF!,#REF!</definedName>
    <definedName name="fadsfkañlj" localSheetId="22">#REF!,#REF!</definedName>
    <definedName name="fadsfkañlj" localSheetId="13">#REF!,#REF!</definedName>
    <definedName name="fadsfkañlj">#REF!,#REF!</definedName>
    <definedName name="fajkdlñfjafklñdfjak" localSheetId="14">[42]PAG_34!#REF!</definedName>
    <definedName name="fajkdlñfjafklñdfjak" localSheetId="0">[42]PAG_34!#REF!</definedName>
    <definedName name="fajkdlñfjafklñdfjak" localSheetId="5">[42]PAG_34!#REF!</definedName>
    <definedName name="fajkdlñfjafklñdfjak" localSheetId="15">[42]PAG_34!#REF!</definedName>
    <definedName name="fajkdlñfjafklñdfjak" localSheetId="6">[42]PAG_34!#REF!</definedName>
    <definedName name="fajkdlñfjafklñdfjak" localSheetId="16">[42]PAG_34!#REF!</definedName>
    <definedName name="fajkdlñfjafklñdfjak" localSheetId="7">[42]PAG_34!#REF!</definedName>
    <definedName name="fajkdlñfjafklñdfjak" localSheetId="1">[42]PAG_34!#REF!</definedName>
    <definedName name="fajkdlñfjafklñdfjak" localSheetId="17">[42]PAG_34!#REF!</definedName>
    <definedName name="fajkdlñfjafklñdfjak" localSheetId="8">[42]PAG_34!#REF!</definedName>
    <definedName name="fajkdlñfjafklñdfjak" localSheetId="2">[42]PAG_34!#REF!</definedName>
    <definedName name="fajkdlñfjafklñdfjak" localSheetId="18">[42]PAG_34!#REF!</definedName>
    <definedName name="fajkdlñfjafklñdfjak" localSheetId="9">[42]PAG_34!#REF!</definedName>
    <definedName name="fajkdlñfjafklñdfjak" localSheetId="3">[42]PAG_34!#REF!</definedName>
    <definedName name="fajkdlñfjafklñdfjak" localSheetId="19">[42]PAG_34!#REF!</definedName>
    <definedName name="fajkdlñfjafklñdfjak" localSheetId="10">[42]PAG_34!#REF!</definedName>
    <definedName name="fajkdlñfjafklñdfjak" localSheetId="20">[42]PAG_34!#REF!</definedName>
    <definedName name="fajkdlñfjafklñdfjak" localSheetId="11">[42]PAG_34!#REF!</definedName>
    <definedName name="fajkdlñfjafklñdfjak" localSheetId="21">[42]PAG_34!#REF!</definedName>
    <definedName name="fajkdlñfjafklñdfjak" localSheetId="12">[42]PAG_34!#REF!</definedName>
    <definedName name="fajkdlñfjafklñdfjak" localSheetId="22">[42]PAG_34!#REF!</definedName>
    <definedName name="fajkdlñfjafklñdfjak" localSheetId="13">[42]PAG_34!#REF!</definedName>
    <definedName name="fajkdlñfjafklñdfjak">[42]PAG_34!#REF!</definedName>
    <definedName name="FechasDeCuadroAnexo">[25]Fechas!$B$75:$B$86</definedName>
    <definedName name="FechasDeCuadroDeAFP">[25]Fechas!$B$51:$B$73</definedName>
    <definedName name="FechasDeCuadroDeAhorro">[25]Fechas!$B$3:$B$25</definedName>
    <definedName name="FechasDeCuadroDeBonos">[25]Fechas!$B$27:$B$49</definedName>
    <definedName name="FechasPanelDeCuadroAnexo">[25]Fechas!$A$74:$F$86</definedName>
    <definedName name="FechasPanelDeCuadroDeAFP">[25]Fechas!$A$50:$F$73</definedName>
    <definedName name="FechasPanelDeCuadroDeAhorro">[25]Fechas!$A$2:$F$25</definedName>
    <definedName name="FechasPanelDeCuadroDeBolsa">[25]Fechas!$A$26:$F$49</definedName>
    <definedName name="FechasPanelDeCuadroDeBonos">[25]Fechas!$A$26:$F$49</definedName>
    <definedName name="FechasPanelDeCuadroExtra">[25]Fechas!$A$87:$F$89</definedName>
    <definedName name="FechasPanelDeTodosLosCuadros">[25]Fechas!$A$50:$F$79</definedName>
    <definedName name="FemaleDa" localSheetId="14">#REF!</definedName>
    <definedName name="FemaleDa" localSheetId="0">#REF!</definedName>
    <definedName name="FemaleDa" localSheetId="5">#REF!</definedName>
    <definedName name="FemaleDa" localSheetId="15">#REF!</definedName>
    <definedName name="FemaleDa" localSheetId="6">#REF!</definedName>
    <definedName name="FemaleDa" localSheetId="16">#REF!</definedName>
    <definedName name="FemaleDa" localSheetId="7">#REF!</definedName>
    <definedName name="FemaleDa" localSheetId="1">#REF!</definedName>
    <definedName name="FemaleDa" localSheetId="17">#REF!</definedName>
    <definedName name="FemaleDa" localSheetId="8">#REF!</definedName>
    <definedName name="FemaleDa" localSheetId="2">#REF!</definedName>
    <definedName name="FemaleDa" localSheetId="18">#REF!</definedName>
    <definedName name="FemaleDa" localSheetId="9">#REF!</definedName>
    <definedName name="FemaleDa" localSheetId="3">#REF!</definedName>
    <definedName name="FemaleDa" localSheetId="19">#REF!</definedName>
    <definedName name="FemaleDa" localSheetId="10">#REF!</definedName>
    <definedName name="FemaleDa" localSheetId="20">#REF!</definedName>
    <definedName name="FemaleDa" localSheetId="11">#REF!</definedName>
    <definedName name="FemaleDa" localSheetId="21">#REF!</definedName>
    <definedName name="FemaleDa" localSheetId="12">#REF!</definedName>
    <definedName name="FemaleDa" localSheetId="22">#REF!</definedName>
    <definedName name="FemaleDa" localSheetId="13">#REF!</definedName>
    <definedName name="FemaleDa">#REF!</definedName>
    <definedName name="fgsg" localSheetId="14">[24]PAG_35!#REF!</definedName>
    <definedName name="fgsg" localSheetId="0">[24]PAG_35!#REF!</definedName>
    <definedName name="fgsg" localSheetId="5">[24]PAG_35!#REF!</definedName>
    <definedName name="fgsg" localSheetId="15">[24]PAG_35!#REF!</definedName>
    <definedName name="fgsg" localSheetId="6">[24]PAG_35!#REF!</definedName>
    <definedName name="fgsg" localSheetId="16">[24]PAG_35!#REF!</definedName>
    <definedName name="fgsg" localSheetId="7">[24]PAG_35!#REF!</definedName>
    <definedName name="fgsg" localSheetId="1">[24]PAG_35!#REF!</definedName>
    <definedName name="fgsg" localSheetId="17">[24]PAG_35!#REF!</definedName>
    <definedName name="fgsg" localSheetId="8">[24]PAG_35!#REF!</definedName>
    <definedName name="fgsg" localSheetId="2">[24]PAG_35!#REF!</definedName>
    <definedName name="fgsg" localSheetId="18">[24]PAG_35!#REF!</definedName>
    <definedName name="fgsg" localSheetId="9">[24]PAG_35!#REF!</definedName>
    <definedName name="fgsg" localSheetId="3">[24]PAG_35!#REF!</definedName>
    <definedName name="fgsg" localSheetId="19">[24]PAG_35!#REF!</definedName>
    <definedName name="fgsg" localSheetId="10">[24]PAG_35!#REF!</definedName>
    <definedName name="fgsg" localSheetId="20">[24]PAG_35!#REF!</definedName>
    <definedName name="fgsg" localSheetId="11">[24]PAG_35!#REF!</definedName>
    <definedName name="fgsg" localSheetId="21">[24]PAG_35!#REF!</definedName>
    <definedName name="fgsg" localSheetId="12">[24]PAG_35!#REF!</definedName>
    <definedName name="fgsg" localSheetId="22">[24]PAG_35!#REF!</definedName>
    <definedName name="fgsg" localSheetId="13">[24]PAG_35!#REF!</definedName>
    <definedName name="fgsg">[24]PAG_35!#REF!</definedName>
    <definedName name="FIN">#N/A</definedName>
    <definedName name="FLUJO" localSheetId="14">'[43]FLUJO-TURISTICO'!#REF!</definedName>
    <definedName name="FLUJO" localSheetId="0">'[43]FLUJO-TURISTICO'!#REF!</definedName>
    <definedName name="FLUJO" localSheetId="5">'[43]FLUJO-TURISTICO'!#REF!</definedName>
    <definedName name="FLUJO" localSheetId="15">'[43]FLUJO-TURISTICO'!#REF!</definedName>
    <definedName name="FLUJO" localSheetId="6">'[43]FLUJO-TURISTICO'!#REF!</definedName>
    <definedName name="FLUJO" localSheetId="16">'[43]FLUJO-TURISTICO'!#REF!</definedName>
    <definedName name="FLUJO" localSheetId="7">'[43]FLUJO-TURISTICO'!#REF!</definedName>
    <definedName name="FLUJO" localSheetId="1">'[43]FLUJO-TURISTICO'!#REF!</definedName>
    <definedName name="FLUJO" localSheetId="17">'[43]FLUJO-TURISTICO'!#REF!</definedName>
    <definedName name="FLUJO" localSheetId="8">'[43]FLUJO-TURISTICO'!#REF!</definedName>
    <definedName name="FLUJO" localSheetId="2">'[43]FLUJO-TURISTICO'!#REF!</definedName>
    <definedName name="FLUJO" localSheetId="18">'[43]FLUJO-TURISTICO'!#REF!</definedName>
    <definedName name="FLUJO" localSheetId="9">'[43]FLUJO-TURISTICO'!#REF!</definedName>
    <definedName name="FLUJO" localSheetId="3">'[43]FLUJO-TURISTICO'!#REF!</definedName>
    <definedName name="FLUJO" localSheetId="19">'[43]FLUJO-TURISTICO'!#REF!</definedName>
    <definedName name="FLUJO" localSheetId="10">'[43]FLUJO-TURISTICO'!#REF!</definedName>
    <definedName name="FLUJO" localSheetId="20">'[43]FLUJO-TURISTICO'!#REF!</definedName>
    <definedName name="FLUJO" localSheetId="11">'[43]FLUJO-TURISTICO'!#REF!</definedName>
    <definedName name="FLUJO" localSheetId="21">'[43]FLUJO-TURISTICO'!#REF!</definedName>
    <definedName name="FLUJO" localSheetId="12">'[43]FLUJO-TURISTICO'!#REF!</definedName>
    <definedName name="FLUJO" localSheetId="22">'[43]FLUJO-TURISTICO'!#REF!</definedName>
    <definedName name="FLUJO" localSheetId="13">'[43]FLUJO-TURISTICO'!#REF!</definedName>
    <definedName name="FLUJO">'[43]FLUJO-TURISTICO'!#REF!</definedName>
    <definedName name="FRE" localSheetId="14">#REF!</definedName>
    <definedName name="FRE" localSheetId="0">#REF!</definedName>
    <definedName name="FRE" localSheetId="5">#REF!</definedName>
    <definedName name="FRE" localSheetId="15">#REF!</definedName>
    <definedName name="FRE" localSheetId="6">#REF!</definedName>
    <definedName name="FRE" localSheetId="16">#REF!</definedName>
    <definedName name="FRE" localSheetId="7">#REF!</definedName>
    <definedName name="FRE" localSheetId="1">#REF!</definedName>
    <definedName name="FRE" localSheetId="17">#REF!</definedName>
    <definedName name="FRE" localSheetId="8">#REF!</definedName>
    <definedName name="FRE" localSheetId="2">#REF!</definedName>
    <definedName name="FRE" localSheetId="18">#REF!</definedName>
    <definedName name="FRE" localSheetId="9">#REF!</definedName>
    <definedName name="FRE" localSheetId="3">#REF!</definedName>
    <definedName name="FRE" localSheetId="19">#REF!</definedName>
    <definedName name="FRE" localSheetId="10">#REF!</definedName>
    <definedName name="FRE" localSheetId="20">#REF!</definedName>
    <definedName name="FRE" localSheetId="11">#REF!</definedName>
    <definedName name="FRE" localSheetId="21">#REF!</definedName>
    <definedName name="FRE" localSheetId="12">#REF!</definedName>
    <definedName name="FRE" localSheetId="22">#REF!</definedName>
    <definedName name="FRE" localSheetId="13">#REF!</definedName>
    <definedName name="FRE">#REF!</definedName>
    <definedName name="fsdafasfsadfasd" hidden="1">#REF!</definedName>
    <definedName name="fsdf" hidden="1">#REF!</definedName>
    <definedName name="FUENTE">#N/A</definedName>
    <definedName name="GAS" localSheetId="14">#REF!</definedName>
    <definedName name="GAS" localSheetId="0">#REF!</definedName>
    <definedName name="GAS" localSheetId="5">#REF!</definedName>
    <definedName name="GAS" localSheetId="15">#REF!</definedName>
    <definedName name="GAS" localSheetId="6">#REF!</definedName>
    <definedName name="GAS" localSheetId="16">#REF!</definedName>
    <definedName name="GAS" localSheetId="7">#REF!</definedName>
    <definedName name="GAS" localSheetId="1">#REF!</definedName>
    <definedName name="GAS" localSheetId="17">#REF!</definedName>
    <definedName name="GAS" localSheetId="8">#REF!</definedName>
    <definedName name="GAS" localSheetId="2">#REF!</definedName>
    <definedName name="GAS" localSheetId="18">#REF!</definedName>
    <definedName name="GAS" localSheetId="9">#REF!</definedName>
    <definedName name="GAS" localSheetId="3">#REF!</definedName>
    <definedName name="GAS" localSheetId="19">#REF!</definedName>
    <definedName name="GAS" localSheetId="10">#REF!</definedName>
    <definedName name="GAS" localSheetId="20">#REF!</definedName>
    <definedName name="GAS" localSheetId="11">#REF!</definedName>
    <definedName name="GAS" localSheetId="21">#REF!</definedName>
    <definedName name="GAS" localSheetId="12">#REF!</definedName>
    <definedName name="GAS" localSheetId="22">#REF!</definedName>
    <definedName name="GAS" localSheetId="13">#REF!</definedName>
    <definedName name="GAS">#REF!</definedName>
    <definedName name="gdgdg" localSheetId="14" hidden="1">#REF!</definedName>
    <definedName name="gdgdg" localSheetId="0" hidden="1">#REF!</definedName>
    <definedName name="gdgdg" localSheetId="5" hidden="1">#REF!</definedName>
    <definedName name="gdgdg" localSheetId="15" hidden="1">#REF!</definedName>
    <definedName name="gdgdg" localSheetId="6" hidden="1">#REF!</definedName>
    <definedName name="gdgdg" localSheetId="16" hidden="1">#REF!</definedName>
    <definedName name="gdgdg" localSheetId="7" hidden="1">#REF!</definedName>
    <definedName name="gdgdg" localSheetId="1" hidden="1">#REF!</definedName>
    <definedName name="gdgdg" localSheetId="17" hidden="1">#REF!</definedName>
    <definedName name="gdgdg" localSheetId="8" hidden="1">#REF!</definedName>
    <definedName name="gdgdg" localSheetId="2" hidden="1">#REF!</definedName>
    <definedName name="gdgdg" localSheetId="18" hidden="1">#REF!</definedName>
    <definedName name="gdgdg" localSheetId="9" hidden="1">#REF!</definedName>
    <definedName name="gdgdg" localSheetId="3" hidden="1">#REF!</definedName>
    <definedName name="gdgdg" localSheetId="19" hidden="1">#REF!</definedName>
    <definedName name="gdgdg" localSheetId="10" hidden="1">#REF!</definedName>
    <definedName name="gdgdg" localSheetId="20" hidden="1">#REF!</definedName>
    <definedName name="gdgdg" localSheetId="11" hidden="1">#REF!</definedName>
    <definedName name="gdgdg" localSheetId="21" hidden="1">#REF!</definedName>
    <definedName name="gdgdg" localSheetId="12" hidden="1">#REF!</definedName>
    <definedName name="gdgdg" localSheetId="22" hidden="1">#REF!</definedName>
    <definedName name="gdgdg" localSheetId="13" hidden="1">#REF!</definedName>
    <definedName name="gdgdg" hidden="1">#REF!</definedName>
    <definedName name="gfsg" localSheetId="0">[31]PAG_33!#REF!</definedName>
    <definedName name="gfsg" localSheetId="1">[31]PAG_33!#REF!</definedName>
    <definedName name="gfsg" localSheetId="2">[31]PAG_33!#REF!</definedName>
    <definedName name="gfsg" localSheetId="3">[31]PAG_33!#REF!</definedName>
    <definedName name="gfsg" localSheetId="22">[31]PAG_33!#REF!</definedName>
    <definedName name="gfsg">[31]PAG_33!#REF!</definedName>
    <definedName name="graf" localSheetId="14" hidden="1">#REF!</definedName>
    <definedName name="graf" localSheetId="0" hidden="1">#REF!</definedName>
    <definedName name="graf" localSheetId="5" hidden="1">#REF!</definedName>
    <definedName name="graf" localSheetId="15" hidden="1">#REF!</definedName>
    <definedName name="graf" localSheetId="6" hidden="1">#REF!</definedName>
    <definedName name="graf" localSheetId="16" hidden="1">#REF!</definedName>
    <definedName name="graf" localSheetId="7" hidden="1">#REF!</definedName>
    <definedName name="graf" localSheetId="1" hidden="1">#REF!</definedName>
    <definedName name="graf" localSheetId="17" hidden="1">#REF!</definedName>
    <definedName name="graf" localSheetId="8" hidden="1">#REF!</definedName>
    <definedName name="graf" localSheetId="2" hidden="1">#REF!</definedName>
    <definedName name="graf" localSheetId="18" hidden="1">#REF!</definedName>
    <definedName name="graf" localSheetId="9" hidden="1">#REF!</definedName>
    <definedName name="graf" localSheetId="3" hidden="1">#REF!</definedName>
    <definedName name="graf" localSheetId="19" hidden="1">#REF!</definedName>
    <definedName name="graf" localSheetId="10" hidden="1">#REF!</definedName>
    <definedName name="graf" localSheetId="20" hidden="1">#REF!</definedName>
    <definedName name="graf" localSheetId="11" hidden="1">#REF!</definedName>
    <definedName name="graf" localSheetId="21" hidden="1">#REF!</definedName>
    <definedName name="graf" localSheetId="12" hidden="1">#REF!</definedName>
    <definedName name="graf" localSheetId="22" hidden="1">#REF!</definedName>
    <definedName name="graf" localSheetId="13" hidden="1">#REF!</definedName>
    <definedName name="graf" hidden="1">#REF!</definedName>
    <definedName name="Graf_Options" localSheetId="0">[4]Curva!#REF!</definedName>
    <definedName name="Graf_Options" localSheetId="1">[4]Curva!#REF!</definedName>
    <definedName name="Graf_Options" localSheetId="2">[4]Curva!#REF!</definedName>
    <definedName name="Graf_Options" localSheetId="3">[4]Curva!#REF!</definedName>
    <definedName name="Graf_Options" localSheetId="22">[4]Curva!#REF!</definedName>
    <definedName name="Graf_Options">[4]Curva!#REF!</definedName>
    <definedName name="Grafico22n" localSheetId="14" hidden="1">#REF!</definedName>
    <definedName name="Grafico22n" localSheetId="0" hidden="1">#REF!</definedName>
    <definedName name="Grafico22n" localSheetId="5" hidden="1">#REF!</definedName>
    <definedName name="Grafico22n" localSheetId="15" hidden="1">#REF!</definedName>
    <definedName name="Grafico22n" localSheetId="6" hidden="1">#REF!</definedName>
    <definedName name="Grafico22n" localSheetId="16" hidden="1">#REF!</definedName>
    <definedName name="Grafico22n" localSheetId="7" hidden="1">#REF!</definedName>
    <definedName name="Grafico22n" localSheetId="1" hidden="1">#REF!</definedName>
    <definedName name="Grafico22n" localSheetId="17" hidden="1">#REF!</definedName>
    <definedName name="Grafico22n" localSheetId="8" hidden="1">#REF!</definedName>
    <definedName name="Grafico22n" localSheetId="2" hidden="1">#REF!</definedName>
    <definedName name="Grafico22n" localSheetId="18" hidden="1">#REF!</definedName>
    <definedName name="Grafico22n" localSheetId="9" hidden="1">#REF!</definedName>
    <definedName name="Grafico22n" localSheetId="3" hidden="1">#REF!</definedName>
    <definedName name="Grafico22n" localSheetId="19" hidden="1">#REF!</definedName>
    <definedName name="Grafico22n" localSheetId="10" hidden="1">#REF!</definedName>
    <definedName name="Grafico22n" localSheetId="20" hidden="1">#REF!</definedName>
    <definedName name="Grafico22n" localSheetId="11" hidden="1">#REF!</definedName>
    <definedName name="Grafico22n" localSheetId="21" hidden="1">#REF!</definedName>
    <definedName name="Grafico22n" localSheetId="12" hidden="1">#REF!</definedName>
    <definedName name="Grafico22n" localSheetId="22" hidden="1">#REF!</definedName>
    <definedName name="Grafico22n" localSheetId="13" hidden="1">#REF!</definedName>
    <definedName name="Grafico22n" hidden="1">#REF!</definedName>
    <definedName name="Graficos" localSheetId="14">'[44]Diario Actual'!$T$246</definedName>
    <definedName name="Graficos" localSheetId="0">'[44]Diario Actual'!$T$246</definedName>
    <definedName name="Graficos" localSheetId="5">'[44]Diario Actual'!$T$246</definedName>
    <definedName name="Graficos" localSheetId="15">'[44]Diario Actual'!$T$246</definedName>
    <definedName name="Graficos" localSheetId="6">'[44]Diario Actual'!$T$246</definedName>
    <definedName name="Graficos" localSheetId="16">'[44]Diario Actual'!$T$246</definedName>
    <definedName name="Graficos" localSheetId="7">'[44]Diario Actual'!$T$246</definedName>
    <definedName name="Graficos" localSheetId="1">'[44]Diario Actual'!$T$246</definedName>
    <definedName name="Graficos" localSheetId="17">'[44]Diario Actual'!$T$246</definedName>
    <definedName name="Graficos" localSheetId="8">'[44]Diario Actual'!$T$246</definedName>
    <definedName name="Graficos" localSheetId="2">'[44]Diario Actual'!$T$246</definedName>
    <definedName name="Graficos" localSheetId="18">'[44]Diario Actual'!$T$246</definedName>
    <definedName name="Graficos" localSheetId="9">'[44]Diario Actual'!$T$246</definedName>
    <definedName name="Graficos" localSheetId="3">'[44]Diario Actual'!$T$246</definedName>
    <definedName name="Graficos" localSheetId="19">'[44]Diario Actual'!$T$246</definedName>
    <definedName name="Graficos" localSheetId="10">'[44]Diario Actual'!$T$246</definedName>
    <definedName name="Graficos" localSheetId="20">'[44]Diario Actual'!$T$246</definedName>
    <definedName name="Graficos" localSheetId="11">'[44]Diario Actual'!$T$246</definedName>
    <definedName name="Graficos" localSheetId="21">'[44]Diario Actual'!$T$246</definedName>
    <definedName name="Graficos" localSheetId="12">'[44]Diario Actual'!$T$246</definedName>
    <definedName name="Graficos" localSheetId="22">'[44]Diario Actual'!$T$246</definedName>
    <definedName name="Graficos" localSheetId="13">'[44]Diario Actual'!$T$246</definedName>
    <definedName name="Graficos">'[44]Diario Actual'!$T$246</definedName>
    <definedName name="GRTES" localSheetId="14">#REF!</definedName>
    <definedName name="GRTES" localSheetId="0">#REF!</definedName>
    <definedName name="GRTES" localSheetId="5">#REF!</definedName>
    <definedName name="GRTES" localSheetId="15">#REF!</definedName>
    <definedName name="GRTES" localSheetId="6">#REF!</definedName>
    <definedName name="GRTES" localSheetId="16">#REF!</definedName>
    <definedName name="GRTES" localSheetId="7">#REF!</definedName>
    <definedName name="GRTES" localSheetId="1">#REF!</definedName>
    <definedName name="GRTES" localSheetId="17">#REF!</definedName>
    <definedName name="GRTES" localSheetId="8">#REF!</definedName>
    <definedName name="GRTES" localSheetId="2">#REF!</definedName>
    <definedName name="GRTES" localSheetId="18">#REF!</definedName>
    <definedName name="GRTES" localSheetId="9">#REF!</definedName>
    <definedName name="GRTES" localSheetId="3">#REF!</definedName>
    <definedName name="GRTES" localSheetId="19">#REF!</definedName>
    <definedName name="GRTES" localSheetId="10">#REF!</definedName>
    <definedName name="GRTES" localSheetId="20">#REF!</definedName>
    <definedName name="GRTES" localSheetId="11">#REF!</definedName>
    <definedName name="GRTES" localSheetId="21">#REF!</definedName>
    <definedName name="GRTES" localSheetId="12">#REF!</definedName>
    <definedName name="GRTES" localSheetId="22">#REF!</definedName>
    <definedName name="GRTES" localSheetId="13">#REF!</definedName>
    <definedName name="GRTES">#REF!</definedName>
    <definedName name="gsfdgs" localSheetId="14">#REF!,#REF!,#REF!,#REF!,#REF!</definedName>
    <definedName name="gsfdgs" localSheetId="0">#REF!,#REF!,#REF!,#REF!,#REF!</definedName>
    <definedName name="gsfdgs" localSheetId="5">#REF!,#REF!,#REF!,#REF!,#REF!</definedName>
    <definedName name="gsfdgs" localSheetId="15">#REF!,#REF!,#REF!,#REF!,#REF!</definedName>
    <definedName name="gsfdgs" localSheetId="6">#REF!,#REF!,#REF!,#REF!,#REF!</definedName>
    <definedName name="gsfdgs" localSheetId="16">#REF!,#REF!,#REF!,#REF!,#REF!</definedName>
    <definedName name="gsfdgs" localSheetId="7">#REF!,#REF!,#REF!,#REF!,#REF!</definedName>
    <definedName name="gsfdgs" localSheetId="1">#REF!,#REF!,#REF!,#REF!,#REF!</definedName>
    <definedName name="gsfdgs" localSheetId="17">#REF!,#REF!,#REF!,#REF!,#REF!</definedName>
    <definedName name="gsfdgs" localSheetId="8">#REF!,#REF!,#REF!,#REF!,#REF!</definedName>
    <definedName name="gsfdgs" localSheetId="2">#REF!,#REF!,#REF!,#REF!,#REF!</definedName>
    <definedName name="gsfdgs" localSheetId="18">#REF!,#REF!,#REF!,#REF!,#REF!</definedName>
    <definedName name="gsfdgs" localSheetId="9">#REF!,#REF!,#REF!,#REF!,#REF!</definedName>
    <definedName name="gsfdgs" localSheetId="3">#REF!,#REF!,#REF!,#REF!,#REF!</definedName>
    <definedName name="gsfdgs" localSheetId="19">#REF!,#REF!,#REF!,#REF!,#REF!</definedName>
    <definedName name="gsfdgs" localSheetId="10">#REF!,#REF!,#REF!,#REF!,#REF!</definedName>
    <definedName name="gsfdgs" localSheetId="20">#REF!,#REF!,#REF!,#REF!,#REF!</definedName>
    <definedName name="gsfdgs" localSheetId="11">#REF!,#REF!,#REF!,#REF!,#REF!</definedName>
    <definedName name="gsfdgs" localSheetId="21">#REF!,#REF!,#REF!,#REF!,#REF!</definedName>
    <definedName name="gsfdgs" localSheetId="12">#REF!,#REF!,#REF!,#REF!,#REF!</definedName>
    <definedName name="gsfdgs" localSheetId="22">#REF!,#REF!,#REF!,#REF!,#REF!</definedName>
    <definedName name="gsfdgs" localSheetId="13">#REF!,#REF!,#REF!,#REF!,#REF!</definedName>
    <definedName name="gsfdgs">#REF!,#REF!,#REF!,#REF!,#REF!</definedName>
    <definedName name="HAR" localSheetId="14">#REF!</definedName>
    <definedName name="HAR" localSheetId="0">#REF!</definedName>
    <definedName name="HAR" localSheetId="5">#REF!</definedName>
    <definedName name="HAR" localSheetId="15">#REF!</definedName>
    <definedName name="HAR" localSheetId="6">#REF!</definedName>
    <definedName name="HAR" localSheetId="16">#REF!</definedName>
    <definedName name="HAR" localSheetId="7">#REF!</definedName>
    <definedName name="HAR" localSheetId="1">#REF!</definedName>
    <definedName name="HAR" localSheetId="17">#REF!</definedName>
    <definedName name="HAR" localSheetId="8">#REF!</definedName>
    <definedName name="HAR" localSheetId="2">#REF!</definedName>
    <definedName name="HAR" localSheetId="18">#REF!</definedName>
    <definedName name="HAR" localSheetId="9">#REF!</definedName>
    <definedName name="HAR" localSheetId="3">#REF!</definedName>
    <definedName name="HAR" localSheetId="19">#REF!</definedName>
    <definedName name="HAR" localSheetId="10">#REF!</definedName>
    <definedName name="HAR" localSheetId="20">#REF!</definedName>
    <definedName name="HAR" localSheetId="11">#REF!</definedName>
    <definedName name="HAR" localSheetId="21">#REF!</definedName>
    <definedName name="HAR" localSheetId="12">#REF!</definedName>
    <definedName name="HAR" localSheetId="22">#REF!</definedName>
    <definedName name="HAR" localSheetId="13">#REF!</definedName>
    <definedName name="HAR">#REF!</definedName>
    <definedName name="hfghfh" localSheetId="14">#REF!</definedName>
    <definedName name="hfghfh" localSheetId="0">#REF!</definedName>
    <definedName name="hfghfh" localSheetId="5">#REF!</definedName>
    <definedName name="hfghfh" localSheetId="15">#REF!</definedName>
    <definedName name="hfghfh" localSheetId="6">#REF!</definedName>
    <definedName name="hfghfh" localSheetId="16">#REF!</definedName>
    <definedName name="hfghfh" localSheetId="7">#REF!</definedName>
    <definedName name="hfghfh" localSheetId="1">#REF!</definedName>
    <definedName name="hfghfh" localSheetId="17">#REF!</definedName>
    <definedName name="hfghfh" localSheetId="8">#REF!</definedName>
    <definedName name="hfghfh" localSheetId="2">#REF!</definedName>
    <definedName name="hfghfh" localSheetId="18">#REF!</definedName>
    <definedName name="hfghfh" localSheetId="9">#REF!</definedName>
    <definedName name="hfghfh" localSheetId="3">#REF!</definedName>
    <definedName name="hfghfh" localSheetId="19">#REF!</definedName>
    <definedName name="hfghfh" localSheetId="10">#REF!</definedName>
    <definedName name="hfghfh" localSheetId="20">#REF!</definedName>
    <definedName name="hfghfh" localSheetId="11">#REF!</definedName>
    <definedName name="hfghfh" localSheetId="21">#REF!</definedName>
    <definedName name="hfghfh" localSheetId="12">#REF!</definedName>
    <definedName name="hfghfh" localSheetId="22">#REF!</definedName>
    <definedName name="hfghfh" localSheetId="13">#REF!</definedName>
    <definedName name="hfghfh">#REF!</definedName>
    <definedName name="hhh" localSheetId="14">[45]PAG_33!#REF!</definedName>
    <definedName name="hhh" localSheetId="0">[45]PAG_33!#REF!</definedName>
    <definedName name="hhh" localSheetId="5">[45]PAG_33!#REF!</definedName>
    <definedName name="hhh" localSheetId="6">[45]PAG_33!#REF!</definedName>
    <definedName name="hhh" localSheetId="7">[45]PAG_33!#REF!</definedName>
    <definedName name="hhh" localSheetId="1">[45]PAG_33!#REF!</definedName>
    <definedName name="hhh" localSheetId="8">[45]PAG_33!#REF!</definedName>
    <definedName name="hhh" localSheetId="2">[45]PAG_33!#REF!</definedName>
    <definedName name="hhh" localSheetId="9">[45]PAG_33!#REF!</definedName>
    <definedName name="hhh" localSheetId="3">[45]PAG_33!#REF!</definedName>
    <definedName name="hhh" localSheetId="10">[45]PAG_33!#REF!</definedName>
    <definedName name="hhh" localSheetId="11">[45]PAG_33!#REF!</definedName>
    <definedName name="hhh" localSheetId="12">[45]PAG_33!#REF!</definedName>
    <definedName name="hhh" localSheetId="22">[45]PAG_33!#REF!</definedName>
    <definedName name="hhh" localSheetId="13">[45]PAG_33!#REF!</definedName>
    <definedName name="hhh">[45]PAG_33!#REF!</definedName>
    <definedName name="HO" localSheetId="14">#REF!</definedName>
    <definedName name="HO" localSheetId="0">#REF!</definedName>
    <definedName name="HO" localSheetId="5">#REF!</definedName>
    <definedName name="HO" localSheetId="15">#REF!</definedName>
    <definedName name="HO" localSheetId="6">#REF!</definedName>
    <definedName name="HO" localSheetId="16">#REF!</definedName>
    <definedName name="HO" localSheetId="7">#REF!</definedName>
    <definedName name="HO" localSheetId="1">#REF!</definedName>
    <definedName name="HO" localSheetId="17">#REF!</definedName>
    <definedName name="HO" localSheetId="8">#REF!</definedName>
    <definedName name="HO" localSheetId="2">#REF!</definedName>
    <definedName name="HO" localSheetId="18">#REF!</definedName>
    <definedName name="HO" localSheetId="9">#REF!</definedName>
    <definedName name="HO" localSheetId="3">#REF!</definedName>
    <definedName name="HO" localSheetId="19">#REF!</definedName>
    <definedName name="HO" localSheetId="10">#REF!</definedName>
    <definedName name="HO" localSheetId="20">#REF!</definedName>
    <definedName name="HO" localSheetId="11">#REF!</definedName>
    <definedName name="HO" localSheetId="21">#REF!</definedName>
    <definedName name="HO" localSheetId="12">#REF!</definedName>
    <definedName name="HO" localSheetId="22">#REF!</definedName>
    <definedName name="HO" localSheetId="13">#REF!</definedName>
    <definedName name="HO">#REF!</definedName>
    <definedName name="HO_2" localSheetId="14">[46]PAG14!#REF!</definedName>
    <definedName name="HO_2" localSheetId="0">[46]PAG14!#REF!</definedName>
    <definedName name="HO_2" localSheetId="5">[46]PAG14!#REF!</definedName>
    <definedName name="HO_2" localSheetId="15">[46]PAG14!#REF!</definedName>
    <definedName name="HO_2" localSheetId="6">[46]PAG14!#REF!</definedName>
    <definedName name="HO_2" localSheetId="16">[46]PAG14!#REF!</definedName>
    <definedName name="HO_2" localSheetId="7">[46]PAG14!#REF!</definedName>
    <definedName name="HO_2" localSheetId="1">[46]PAG14!#REF!</definedName>
    <definedName name="HO_2" localSheetId="17">[46]PAG14!#REF!</definedName>
    <definedName name="HO_2" localSheetId="8">[46]PAG14!#REF!</definedName>
    <definedName name="HO_2" localSheetId="2">[46]PAG14!#REF!</definedName>
    <definedName name="HO_2" localSheetId="18">[46]PAG14!#REF!</definedName>
    <definedName name="HO_2" localSheetId="9">[46]PAG14!#REF!</definedName>
    <definedName name="HO_2" localSheetId="3">[46]PAG14!#REF!</definedName>
    <definedName name="HO_2" localSheetId="19">[46]PAG14!#REF!</definedName>
    <definedName name="HO_2" localSheetId="10">[46]PAG14!#REF!</definedName>
    <definedName name="HO_2" localSheetId="20">[46]PAG14!#REF!</definedName>
    <definedName name="HO_2" localSheetId="11">[46]PAG14!#REF!</definedName>
    <definedName name="HO_2" localSheetId="21">[46]PAG14!#REF!</definedName>
    <definedName name="HO_2" localSheetId="12">[46]PAG14!#REF!</definedName>
    <definedName name="HO_2" localSheetId="22">[46]PAG14!#REF!</definedName>
    <definedName name="HO_2" localSheetId="13">[46]PAG14!#REF!</definedName>
    <definedName name="HO_2">[46]PAG14!#REF!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 localSheetId="14">[3]PAG_35!#REF!</definedName>
    <definedName name="II" localSheetId="0">[3]PAG_35!#REF!</definedName>
    <definedName name="II" localSheetId="5">[3]PAG_35!#REF!</definedName>
    <definedName name="II" localSheetId="15">[3]PAG_35!#REF!</definedName>
    <definedName name="II" localSheetId="6">[3]PAG_35!#REF!</definedName>
    <definedName name="II" localSheetId="16">[3]PAG_35!#REF!</definedName>
    <definedName name="II" localSheetId="7">[3]PAG_35!#REF!</definedName>
    <definedName name="II" localSheetId="1">[3]PAG_35!#REF!</definedName>
    <definedName name="II" localSheetId="17">[3]PAG_35!#REF!</definedName>
    <definedName name="II" localSheetId="8">[3]PAG_35!#REF!</definedName>
    <definedName name="II" localSheetId="2">[3]PAG_35!#REF!</definedName>
    <definedName name="II" localSheetId="18">[3]PAG_35!#REF!</definedName>
    <definedName name="II" localSheetId="9">[3]PAG_35!#REF!</definedName>
    <definedName name="II" localSheetId="3">[3]PAG_35!#REF!</definedName>
    <definedName name="II" localSheetId="19">[3]PAG_35!#REF!</definedName>
    <definedName name="II" localSheetId="10">[3]PAG_35!#REF!</definedName>
    <definedName name="II" localSheetId="20">[3]PAG_35!#REF!</definedName>
    <definedName name="II" localSheetId="11">[3]PAG_35!#REF!</definedName>
    <definedName name="II" localSheetId="21">[3]PAG_35!#REF!</definedName>
    <definedName name="II" localSheetId="12">[3]PAG_35!#REF!</definedName>
    <definedName name="II" localSheetId="22">[3]PAG_35!#REF!</definedName>
    <definedName name="II" localSheetId="13">[3]PAG_35!#REF!</definedName>
    <definedName name="II">[3]PAG_35!#REF!</definedName>
    <definedName name="Imp" localSheetId="14">#REF!</definedName>
    <definedName name="Imp" localSheetId="0">#REF!</definedName>
    <definedName name="Imp" localSheetId="5">#REF!</definedName>
    <definedName name="Imp" localSheetId="15">#REF!</definedName>
    <definedName name="Imp" localSheetId="6">#REF!</definedName>
    <definedName name="Imp" localSheetId="16">#REF!</definedName>
    <definedName name="Imp" localSheetId="7">#REF!</definedName>
    <definedName name="Imp" localSheetId="1">#REF!</definedName>
    <definedName name="Imp" localSheetId="17">#REF!</definedName>
    <definedName name="Imp" localSheetId="8">#REF!</definedName>
    <definedName name="Imp" localSheetId="2">#REF!</definedName>
    <definedName name="Imp" localSheetId="18">#REF!</definedName>
    <definedName name="Imp" localSheetId="9">#REF!</definedName>
    <definedName name="Imp" localSheetId="3">#REF!</definedName>
    <definedName name="Imp" localSheetId="19">#REF!</definedName>
    <definedName name="Imp" localSheetId="10">#REF!</definedName>
    <definedName name="Imp" localSheetId="20">#REF!</definedName>
    <definedName name="Imp" localSheetId="11">#REF!</definedName>
    <definedName name="Imp" localSheetId="21">#REF!</definedName>
    <definedName name="Imp" localSheetId="12">#REF!</definedName>
    <definedName name="Imp" localSheetId="22">#REF!</definedName>
    <definedName name="Imp" localSheetId="13">#REF!</definedName>
    <definedName name="Imp">#REF!</definedName>
    <definedName name="IMPR" localSheetId="14">#REF!,#REF!,#REF!</definedName>
    <definedName name="IMPR" localSheetId="0">#REF!,#REF!,#REF!</definedName>
    <definedName name="IMPR" localSheetId="5">#REF!,#REF!,#REF!</definedName>
    <definedName name="IMPR" localSheetId="15">#REF!,#REF!,#REF!</definedName>
    <definedName name="IMPR" localSheetId="6">#REF!,#REF!,#REF!</definedName>
    <definedName name="IMPR" localSheetId="16">#REF!,#REF!,#REF!</definedName>
    <definedName name="IMPR" localSheetId="7">#REF!,#REF!,#REF!</definedName>
    <definedName name="IMPR" localSheetId="1">#REF!,#REF!,#REF!</definedName>
    <definedName name="IMPR" localSheetId="17">#REF!,#REF!,#REF!</definedName>
    <definedName name="IMPR" localSheetId="8">#REF!,#REF!,#REF!</definedName>
    <definedName name="IMPR" localSheetId="2">#REF!,#REF!,#REF!</definedName>
    <definedName name="IMPR" localSheetId="18">#REF!,#REF!,#REF!</definedName>
    <definedName name="IMPR" localSheetId="9">#REF!,#REF!,#REF!</definedName>
    <definedName name="IMPR" localSheetId="3">#REF!,#REF!,#REF!</definedName>
    <definedName name="IMPR" localSheetId="19">#REF!,#REF!,#REF!</definedName>
    <definedName name="IMPR" localSheetId="10">#REF!,#REF!,#REF!</definedName>
    <definedName name="IMPR" localSheetId="20">#REF!,#REF!,#REF!</definedName>
    <definedName name="IMPR" localSheetId="11">#REF!,#REF!,#REF!</definedName>
    <definedName name="IMPR" localSheetId="21">#REF!,#REF!,#REF!</definedName>
    <definedName name="IMPR" localSheetId="12">#REF!,#REF!,#REF!</definedName>
    <definedName name="IMPR" localSheetId="22">#REF!,#REF!,#REF!</definedName>
    <definedName name="IMPR" localSheetId="13">#REF!,#REF!,#REF!</definedName>
    <definedName name="IMPR">#REF!,#REF!,#REF!</definedName>
    <definedName name="IMPRESION" localSheetId="14">#REF!,#REF!</definedName>
    <definedName name="IMPRESION" localSheetId="0">#REF!,#REF!</definedName>
    <definedName name="IMPRESION" localSheetId="5">#REF!,#REF!</definedName>
    <definedName name="IMPRESION" localSheetId="15">#REF!,#REF!</definedName>
    <definedName name="IMPRESION" localSheetId="6">#REF!,#REF!</definedName>
    <definedName name="IMPRESION" localSheetId="16">#REF!,#REF!</definedName>
    <definedName name="IMPRESION" localSheetId="7">#REF!,#REF!</definedName>
    <definedName name="IMPRESION" localSheetId="1">#REF!,#REF!</definedName>
    <definedName name="IMPRESION" localSheetId="17">#REF!,#REF!</definedName>
    <definedName name="IMPRESION" localSheetId="8">#REF!,#REF!</definedName>
    <definedName name="IMPRESION" localSheetId="2">#REF!,#REF!</definedName>
    <definedName name="IMPRESION" localSheetId="18">#REF!,#REF!</definedName>
    <definedName name="IMPRESION" localSheetId="9">#REF!,#REF!</definedName>
    <definedName name="IMPRESION" localSheetId="3">#REF!,#REF!</definedName>
    <definedName name="IMPRESION" localSheetId="19">#REF!,#REF!</definedName>
    <definedName name="IMPRESION" localSheetId="10">#REF!,#REF!</definedName>
    <definedName name="IMPRESION" localSheetId="20">#REF!,#REF!</definedName>
    <definedName name="IMPRESION" localSheetId="11">#REF!,#REF!</definedName>
    <definedName name="IMPRESION" localSheetId="21">#REF!,#REF!</definedName>
    <definedName name="IMPRESION" localSheetId="12">#REF!,#REF!</definedName>
    <definedName name="IMPRESION" localSheetId="22">#REF!,#REF!</definedName>
    <definedName name="IMPRESION" localSheetId="13">#REF!,#REF!</definedName>
    <definedName name="IMPRESION">#REF!,#REF!</definedName>
    <definedName name="Imprimir_área_IM" localSheetId="14">#REF!</definedName>
    <definedName name="Imprimir_área_IM" localSheetId="0">#REF!</definedName>
    <definedName name="Imprimir_área_IM" localSheetId="5">#REF!</definedName>
    <definedName name="Imprimir_área_IM" localSheetId="15">#REF!</definedName>
    <definedName name="Imprimir_área_IM" localSheetId="6">#REF!</definedName>
    <definedName name="Imprimir_área_IM" localSheetId="16">#REF!</definedName>
    <definedName name="Imprimir_área_IM" localSheetId="7">#REF!</definedName>
    <definedName name="Imprimir_área_IM" localSheetId="1">#REF!</definedName>
    <definedName name="Imprimir_área_IM" localSheetId="17">#REF!</definedName>
    <definedName name="Imprimir_área_IM" localSheetId="8">#REF!</definedName>
    <definedName name="Imprimir_área_IM" localSheetId="2">#REF!</definedName>
    <definedName name="Imprimir_área_IM" localSheetId="18">#REF!</definedName>
    <definedName name="Imprimir_área_IM" localSheetId="9">#REF!</definedName>
    <definedName name="Imprimir_área_IM" localSheetId="3">#REF!</definedName>
    <definedName name="Imprimir_área_IM" localSheetId="19">#REF!</definedName>
    <definedName name="Imprimir_área_IM" localSheetId="10">#REF!</definedName>
    <definedName name="Imprimir_área_IM" localSheetId="20">#REF!</definedName>
    <definedName name="Imprimir_área_IM" localSheetId="11">#REF!</definedName>
    <definedName name="Imprimir_área_IM" localSheetId="21">#REF!</definedName>
    <definedName name="Imprimir_área_IM" localSheetId="12">#REF!</definedName>
    <definedName name="Imprimir_área_IM" localSheetId="22">#REF!</definedName>
    <definedName name="Imprimir_área_IM" localSheetId="13">#REF!</definedName>
    <definedName name="Imprimir_área_IM">#REF!</definedName>
    <definedName name="IN" localSheetId="14">#REF!</definedName>
    <definedName name="IN" localSheetId="0">#REF!</definedName>
    <definedName name="IN" localSheetId="5">#REF!</definedName>
    <definedName name="IN" localSheetId="15">#REF!</definedName>
    <definedName name="IN" localSheetId="6">#REF!</definedName>
    <definedName name="IN" localSheetId="16">#REF!</definedName>
    <definedName name="IN" localSheetId="7">#REF!</definedName>
    <definedName name="IN" localSheetId="1">#REF!</definedName>
    <definedName name="IN" localSheetId="17">#REF!</definedName>
    <definedName name="IN" localSheetId="8">#REF!</definedName>
    <definedName name="IN" localSheetId="2">#REF!</definedName>
    <definedName name="IN" localSheetId="18">#REF!</definedName>
    <definedName name="IN" localSheetId="9">#REF!</definedName>
    <definedName name="IN" localSheetId="3">#REF!</definedName>
    <definedName name="IN" localSheetId="19">#REF!</definedName>
    <definedName name="IN" localSheetId="10">#REF!</definedName>
    <definedName name="IN" localSheetId="20">#REF!</definedName>
    <definedName name="IN" localSheetId="11">#REF!</definedName>
    <definedName name="IN" localSheetId="21">#REF!</definedName>
    <definedName name="IN" localSheetId="12">#REF!</definedName>
    <definedName name="IN" localSheetId="22">#REF!</definedName>
    <definedName name="IN" localSheetId="13">#REF!</definedName>
    <definedName name="IN">#REF!</definedName>
    <definedName name="IN_2" localSheetId="14">[46]PAG14!#REF!</definedName>
    <definedName name="IN_2" localSheetId="0">[46]PAG14!#REF!</definedName>
    <definedName name="IN_2" localSheetId="5">[46]PAG14!#REF!</definedName>
    <definedName name="IN_2" localSheetId="6">[46]PAG14!#REF!</definedName>
    <definedName name="IN_2" localSheetId="7">[46]PAG14!#REF!</definedName>
    <definedName name="IN_2" localSheetId="1">[46]PAG14!#REF!</definedName>
    <definedName name="IN_2" localSheetId="8">[46]PAG14!#REF!</definedName>
    <definedName name="IN_2" localSheetId="2">[46]PAG14!#REF!</definedName>
    <definedName name="IN_2" localSheetId="9">[46]PAG14!#REF!</definedName>
    <definedName name="IN_2" localSheetId="3">[46]PAG14!#REF!</definedName>
    <definedName name="IN_2" localSheetId="10">[46]PAG14!#REF!</definedName>
    <definedName name="IN_2" localSheetId="11">[46]PAG14!#REF!</definedName>
    <definedName name="IN_2" localSheetId="12">[46]PAG14!#REF!</definedName>
    <definedName name="IN_2" localSheetId="22">[46]PAG14!#REF!</definedName>
    <definedName name="IN_2" localSheetId="13">[46]PAG14!#REF!</definedName>
    <definedName name="IN_2">[46]PAG14!#REF!</definedName>
    <definedName name="INDICE">#N/A</definedName>
    <definedName name="INDICEALFABETICO" localSheetId="14">#REF!</definedName>
    <definedName name="INDICEALFABETICO" localSheetId="0">#REF!</definedName>
    <definedName name="INDICEALFABETICO" localSheetId="5">#REF!</definedName>
    <definedName name="INDICEALFABETICO" localSheetId="15">#REF!</definedName>
    <definedName name="INDICEALFABETICO" localSheetId="6">#REF!</definedName>
    <definedName name="INDICEALFABETICO" localSheetId="16">#REF!</definedName>
    <definedName name="INDICEALFABETICO" localSheetId="7">#REF!</definedName>
    <definedName name="INDICEALFABETICO" localSheetId="1">#REF!</definedName>
    <definedName name="INDICEALFABETICO" localSheetId="17">#REF!</definedName>
    <definedName name="INDICEALFABETICO" localSheetId="8">#REF!</definedName>
    <definedName name="INDICEALFABETICO" localSheetId="2">#REF!</definedName>
    <definedName name="INDICEALFABETICO" localSheetId="18">#REF!</definedName>
    <definedName name="INDICEALFABETICO" localSheetId="9">#REF!</definedName>
    <definedName name="INDICEALFABETICO" localSheetId="3">#REF!</definedName>
    <definedName name="INDICEALFABETICO" localSheetId="19">#REF!</definedName>
    <definedName name="INDICEALFABETICO" localSheetId="10">#REF!</definedName>
    <definedName name="INDICEALFABETICO" localSheetId="20">#REF!</definedName>
    <definedName name="INDICEALFABETICO" localSheetId="11">#REF!</definedName>
    <definedName name="INDICEALFABETICO" localSheetId="21">#REF!</definedName>
    <definedName name="INDICEALFABETICO" localSheetId="12">#REF!</definedName>
    <definedName name="INDICEALFABETICO" localSheetId="22">#REF!</definedName>
    <definedName name="INDICEALFABETICO" localSheetId="13">#REF!</definedName>
    <definedName name="INDICEALFABETICO">#REF!</definedName>
    <definedName name="inicio" localSheetId="14">[27]Grafico!$A$3</definedName>
    <definedName name="inicio" localSheetId="0">[27]Grafico!$A$3</definedName>
    <definedName name="inicio" localSheetId="5">[27]Grafico!$A$3</definedName>
    <definedName name="inicio" localSheetId="15">[27]Grafico!$A$3</definedName>
    <definedName name="inicio" localSheetId="6">[27]Grafico!$A$3</definedName>
    <definedName name="inicio" localSheetId="16">[27]Grafico!$A$3</definedName>
    <definedName name="inicio" localSheetId="7">[27]Grafico!$A$3</definedName>
    <definedName name="inicio" localSheetId="1">[27]Grafico!$A$3</definedName>
    <definedName name="inicio" localSheetId="17">[27]Grafico!$A$3</definedName>
    <definedName name="inicio" localSheetId="8">[27]Grafico!$A$3</definedName>
    <definedName name="inicio" localSheetId="2">[27]Grafico!$A$3</definedName>
    <definedName name="inicio" localSheetId="18">[27]Grafico!$A$3</definedName>
    <definedName name="inicio" localSheetId="9">[27]Grafico!$A$3</definedName>
    <definedName name="inicio" localSheetId="3">[27]Grafico!$A$3</definedName>
    <definedName name="inicio" localSheetId="19">[27]Grafico!$A$3</definedName>
    <definedName name="inicio" localSheetId="10">[27]Grafico!$A$3</definedName>
    <definedName name="inicio" localSheetId="20">[27]Grafico!$A$3</definedName>
    <definedName name="inicio" localSheetId="11">[27]Grafico!$A$3</definedName>
    <definedName name="inicio" localSheetId="21">[27]Grafico!$A$3</definedName>
    <definedName name="inicio" localSheetId="12">[27]Grafico!$A$3</definedName>
    <definedName name="inicio" localSheetId="22">[27]Grafico!$A$3</definedName>
    <definedName name="inicio" localSheetId="13">[27]Grafico!$A$3</definedName>
    <definedName name="inicio">[27]Grafico!$A$3</definedName>
    <definedName name="inicio1" localSheetId="14">[27]Grafico!$A$60</definedName>
    <definedName name="inicio1" localSheetId="0">[27]Grafico!$A$60</definedName>
    <definedName name="inicio1" localSheetId="5">[27]Grafico!$A$60</definedName>
    <definedName name="inicio1" localSheetId="15">[27]Grafico!$A$60</definedName>
    <definedName name="inicio1" localSheetId="6">[27]Grafico!$A$60</definedName>
    <definedName name="inicio1" localSheetId="16">[27]Grafico!$A$60</definedName>
    <definedName name="inicio1" localSheetId="7">[27]Grafico!$A$60</definedName>
    <definedName name="inicio1" localSheetId="1">[27]Grafico!$A$60</definedName>
    <definedName name="inicio1" localSheetId="17">[27]Grafico!$A$60</definedName>
    <definedName name="inicio1" localSheetId="8">[27]Grafico!$A$60</definedName>
    <definedName name="inicio1" localSheetId="2">[27]Grafico!$A$60</definedName>
    <definedName name="inicio1" localSheetId="18">[27]Grafico!$A$60</definedName>
    <definedName name="inicio1" localSheetId="9">[27]Grafico!$A$60</definedName>
    <definedName name="inicio1" localSheetId="3">[27]Grafico!$A$60</definedName>
    <definedName name="inicio1" localSheetId="19">[27]Grafico!$A$60</definedName>
    <definedName name="inicio1" localSheetId="10">[27]Grafico!$A$60</definedName>
    <definedName name="inicio1" localSheetId="20">[27]Grafico!$A$60</definedName>
    <definedName name="inicio1" localSheetId="11">[27]Grafico!$A$60</definedName>
    <definedName name="inicio1" localSheetId="21">[27]Grafico!$A$60</definedName>
    <definedName name="inicio1" localSheetId="12">[27]Grafico!$A$60</definedName>
    <definedName name="inicio1" localSheetId="22">[27]Grafico!$A$60</definedName>
    <definedName name="inicio1" localSheetId="13">[27]Grafico!$A$60</definedName>
    <definedName name="inicio1">[27]Grafico!$A$60</definedName>
    <definedName name="Input_File" localSheetId="14">#REF!</definedName>
    <definedName name="Input_File" localSheetId="0">#REF!</definedName>
    <definedName name="Input_File" localSheetId="5">#REF!</definedName>
    <definedName name="Input_File" localSheetId="15">#REF!</definedName>
    <definedName name="Input_File" localSheetId="6">#REF!</definedName>
    <definedName name="Input_File" localSheetId="16">#REF!</definedName>
    <definedName name="Input_File" localSheetId="7">#REF!</definedName>
    <definedName name="Input_File" localSheetId="1">#REF!</definedName>
    <definedName name="Input_File" localSheetId="17">#REF!</definedName>
    <definedName name="Input_File" localSheetId="8">#REF!</definedName>
    <definedName name="Input_File" localSheetId="2">#REF!</definedName>
    <definedName name="Input_File" localSheetId="18">#REF!</definedName>
    <definedName name="Input_File" localSheetId="9">#REF!</definedName>
    <definedName name="Input_File" localSheetId="3">#REF!</definedName>
    <definedName name="Input_File" localSheetId="19">#REF!</definedName>
    <definedName name="Input_File" localSheetId="10">#REF!</definedName>
    <definedName name="Input_File" localSheetId="20">#REF!</definedName>
    <definedName name="Input_File" localSheetId="11">#REF!</definedName>
    <definedName name="Input_File" localSheetId="21">#REF!</definedName>
    <definedName name="Input_File" localSheetId="12">#REF!</definedName>
    <definedName name="Input_File" localSheetId="22">#REF!</definedName>
    <definedName name="Input_File" localSheetId="13">#REF!</definedName>
    <definedName name="Input_File">#REF!</definedName>
    <definedName name="Inputs_C1">[25]c1!$A$1:$O$164</definedName>
    <definedName name="Inputs_C1F">[25]c1!$A$4:$O$164</definedName>
    <definedName name="Inputs_C3">[25]c3!$B$1:$O$55</definedName>
    <definedName name="Inputs_C3F">[25]c3!$B$4:$O$55</definedName>
    <definedName name="Inputs_C5">[25]c5!$A$1:$N$31</definedName>
    <definedName name="Inputs_C5F">[25]c5!$A$3:$N$31</definedName>
    <definedName name="Inputs_C6">[25]c6!$B$1:$O$33</definedName>
    <definedName name="Inputs_C6F">[25]c6!$B$4:$O$33</definedName>
    <definedName name="Inputs_C8" localSheetId="14">#REF!</definedName>
    <definedName name="Inputs_C8" localSheetId="0">#REF!</definedName>
    <definedName name="Inputs_C8" localSheetId="5">#REF!</definedName>
    <definedName name="Inputs_C8" localSheetId="15">#REF!</definedName>
    <definedName name="Inputs_C8" localSheetId="6">#REF!</definedName>
    <definedName name="Inputs_C8" localSheetId="16">#REF!</definedName>
    <definedName name="Inputs_C8" localSheetId="7">#REF!</definedName>
    <definedName name="Inputs_C8" localSheetId="1">#REF!</definedName>
    <definedName name="Inputs_C8" localSheetId="17">#REF!</definedName>
    <definedName name="Inputs_C8" localSheetId="8">#REF!</definedName>
    <definedName name="Inputs_C8" localSheetId="2">#REF!</definedName>
    <definedName name="Inputs_C8" localSheetId="18">#REF!</definedName>
    <definedName name="Inputs_C8" localSheetId="9">#REF!</definedName>
    <definedName name="Inputs_C8" localSheetId="3">#REF!</definedName>
    <definedName name="Inputs_C8" localSheetId="19">#REF!</definedName>
    <definedName name="Inputs_C8" localSheetId="10">#REF!</definedName>
    <definedName name="Inputs_C8" localSheetId="20">#REF!</definedName>
    <definedName name="Inputs_C8" localSheetId="11">#REF!</definedName>
    <definedName name="Inputs_C8" localSheetId="21">#REF!</definedName>
    <definedName name="Inputs_C8" localSheetId="12">#REF!</definedName>
    <definedName name="Inputs_C8" localSheetId="22">#REF!</definedName>
    <definedName name="Inputs_C8" localSheetId="13">#REF!</definedName>
    <definedName name="Inputs_C8">#REF!</definedName>
    <definedName name="Inputs_C8F" localSheetId="14">#REF!</definedName>
    <definedName name="Inputs_C8F" localSheetId="0">#REF!</definedName>
    <definedName name="Inputs_C8F" localSheetId="5">#REF!</definedName>
    <definedName name="Inputs_C8F" localSheetId="15">#REF!</definedName>
    <definedName name="Inputs_C8F" localSheetId="6">#REF!</definedName>
    <definedName name="Inputs_C8F" localSheetId="16">#REF!</definedName>
    <definedName name="Inputs_C8F" localSheetId="7">#REF!</definedName>
    <definedName name="Inputs_C8F" localSheetId="1">#REF!</definedName>
    <definedName name="Inputs_C8F" localSheetId="17">#REF!</definedName>
    <definedName name="Inputs_C8F" localSheetId="8">#REF!</definedName>
    <definedName name="Inputs_C8F" localSheetId="2">#REF!</definedName>
    <definedName name="Inputs_C8F" localSheetId="18">#REF!</definedName>
    <definedName name="Inputs_C8F" localSheetId="9">#REF!</definedName>
    <definedName name="Inputs_C8F" localSheetId="3">#REF!</definedName>
    <definedName name="Inputs_C8F" localSheetId="19">#REF!</definedName>
    <definedName name="Inputs_C8F" localSheetId="10">#REF!</definedName>
    <definedName name="Inputs_C8F" localSheetId="20">#REF!</definedName>
    <definedName name="Inputs_C8F" localSheetId="11">#REF!</definedName>
    <definedName name="Inputs_C8F" localSheetId="21">#REF!</definedName>
    <definedName name="Inputs_C8F" localSheetId="12">#REF!</definedName>
    <definedName name="Inputs_C8F" localSheetId="22">#REF!</definedName>
    <definedName name="Inputs_C8F" localSheetId="13">#REF!</definedName>
    <definedName name="Inputs_C8F">#REF!</definedName>
    <definedName name="INTERVALS">[4]Pre!$Q$3:$S$30</definedName>
    <definedName name="INTERVALS_OLD">[4]Pre!$Q$35:$S$62</definedName>
    <definedName name="INVALIDEZ" localSheetId="14">#REF!</definedName>
    <definedName name="INVALIDEZ" localSheetId="0">#REF!</definedName>
    <definedName name="INVALIDEZ" localSheetId="5">#REF!</definedName>
    <definedName name="INVALIDEZ" localSheetId="15">#REF!</definedName>
    <definedName name="INVALIDEZ" localSheetId="6">#REF!</definedName>
    <definedName name="INVALIDEZ" localSheetId="16">#REF!</definedName>
    <definedName name="INVALIDEZ" localSheetId="7">#REF!</definedName>
    <definedName name="INVALIDEZ" localSheetId="1">#REF!</definedName>
    <definedName name="INVALIDEZ" localSheetId="17">#REF!</definedName>
    <definedName name="INVALIDEZ" localSheetId="8">#REF!</definedName>
    <definedName name="INVALIDEZ" localSheetId="2">#REF!</definedName>
    <definedName name="INVALIDEZ" localSheetId="18">#REF!</definedName>
    <definedName name="INVALIDEZ" localSheetId="9">#REF!</definedName>
    <definedName name="INVALIDEZ" localSheetId="3">#REF!</definedName>
    <definedName name="INVALIDEZ" localSheetId="19">#REF!</definedName>
    <definedName name="INVALIDEZ" localSheetId="10">#REF!</definedName>
    <definedName name="INVALIDEZ" localSheetId="20">#REF!</definedName>
    <definedName name="INVALIDEZ" localSheetId="11">#REF!</definedName>
    <definedName name="INVALIDEZ" localSheetId="21">#REF!</definedName>
    <definedName name="INVALIDEZ" localSheetId="12">#REF!</definedName>
    <definedName name="INVALIDEZ" localSheetId="22">#REF!</definedName>
    <definedName name="INVALIDEZ" localSheetId="13">#REF!</definedName>
    <definedName name="INVALIDEZ">#REF!</definedName>
    <definedName name="INVERSION" localSheetId="14">#REF!</definedName>
    <definedName name="INVERSION" localSheetId="0">#REF!</definedName>
    <definedName name="INVERSION" localSheetId="5">#REF!</definedName>
    <definedName name="INVERSION" localSheetId="15">#REF!</definedName>
    <definedName name="INVERSION" localSheetId="6">#REF!</definedName>
    <definedName name="INVERSION" localSheetId="16">#REF!</definedName>
    <definedName name="INVERSION" localSheetId="7">#REF!</definedName>
    <definedName name="INVERSION" localSheetId="1">#REF!</definedName>
    <definedName name="INVERSION" localSheetId="17">#REF!</definedName>
    <definedName name="INVERSION" localSheetId="8">#REF!</definedName>
    <definedName name="INVERSION" localSheetId="2">#REF!</definedName>
    <definedName name="INVERSION" localSheetId="18">#REF!</definedName>
    <definedName name="INVERSION" localSheetId="9">#REF!</definedName>
    <definedName name="INVERSION" localSheetId="3">#REF!</definedName>
    <definedName name="INVERSION" localSheetId="19">#REF!</definedName>
    <definedName name="INVERSION" localSheetId="10">#REF!</definedName>
    <definedName name="INVERSION" localSheetId="20">#REF!</definedName>
    <definedName name="INVERSION" localSheetId="11">#REF!</definedName>
    <definedName name="INVERSION" localSheetId="21">#REF!</definedName>
    <definedName name="INVERSION" localSheetId="12">#REF!</definedName>
    <definedName name="INVERSION" localSheetId="22">#REF!</definedName>
    <definedName name="INVERSION" localSheetId="13">#REF!</definedName>
    <definedName name="INVERSION">#REF!</definedName>
    <definedName name="inversion001" localSheetId="14">#REF!</definedName>
    <definedName name="inversion001" localSheetId="0">#REF!</definedName>
    <definedName name="inversion001" localSheetId="5">#REF!</definedName>
    <definedName name="inversion001" localSheetId="15">#REF!</definedName>
    <definedName name="inversion001" localSheetId="6">#REF!</definedName>
    <definedName name="inversion001" localSheetId="16">#REF!</definedName>
    <definedName name="inversion001" localSheetId="7">#REF!</definedName>
    <definedName name="inversion001" localSheetId="1">#REF!</definedName>
    <definedName name="inversion001" localSheetId="17">#REF!</definedName>
    <definedName name="inversion001" localSheetId="8">#REF!</definedName>
    <definedName name="inversion001" localSheetId="2">#REF!</definedName>
    <definedName name="inversion001" localSheetId="18">#REF!</definedName>
    <definedName name="inversion001" localSheetId="9">#REF!</definedName>
    <definedName name="inversion001" localSheetId="3">#REF!</definedName>
    <definedName name="inversion001" localSheetId="19">#REF!</definedName>
    <definedName name="inversion001" localSheetId="10">#REF!</definedName>
    <definedName name="inversion001" localSheetId="20">#REF!</definedName>
    <definedName name="inversion001" localSheetId="11">#REF!</definedName>
    <definedName name="inversion001" localSheetId="21">#REF!</definedName>
    <definedName name="inversion001" localSheetId="12">#REF!</definedName>
    <definedName name="inversion001" localSheetId="22">#REF!</definedName>
    <definedName name="inversion001" localSheetId="13">#REF!</definedName>
    <definedName name="inversion001">#REF!</definedName>
    <definedName name="inversion01" localSheetId="14">#REF!</definedName>
    <definedName name="inversion01" localSheetId="0">#REF!</definedName>
    <definedName name="inversion01" localSheetId="5">#REF!</definedName>
    <definedName name="inversion01" localSheetId="15">#REF!</definedName>
    <definedName name="inversion01" localSheetId="6">#REF!</definedName>
    <definedName name="inversion01" localSheetId="16">#REF!</definedName>
    <definedName name="inversion01" localSheetId="7">#REF!</definedName>
    <definedName name="inversion01" localSheetId="1">#REF!</definedName>
    <definedName name="inversion01" localSheetId="17">#REF!</definedName>
    <definedName name="inversion01" localSheetId="8">#REF!</definedName>
    <definedName name="inversion01" localSheetId="2">#REF!</definedName>
    <definedName name="inversion01" localSheetId="18">#REF!</definedName>
    <definedName name="inversion01" localSheetId="9">#REF!</definedName>
    <definedName name="inversion01" localSheetId="3">#REF!</definedName>
    <definedName name="inversion01" localSheetId="19">#REF!</definedName>
    <definedName name="inversion01" localSheetId="10">#REF!</definedName>
    <definedName name="inversion01" localSheetId="20">#REF!</definedName>
    <definedName name="inversion01" localSheetId="11">#REF!</definedName>
    <definedName name="inversion01" localSheetId="21">#REF!</definedName>
    <definedName name="inversion01" localSheetId="12">#REF!</definedName>
    <definedName name="inversion01" localSheetId="22">#REF!</definedName>
    <definedName name="inversion01" localSheetId="13">#REF!</definedName>
    <definedName name="inversion01">#REF!</definedName>
    <definedName name="inversiones" localSheetId="14">#REF!</definedName>
    <definedName name="inversiones" localSheetId="0">#REF!</definedName>
    <definedName name="inversiones" localSheetId="5">#REF!</definedName>
    <definedName name="inversiones" localSheetId="15">#REF!</definedName>
    <definedName name="inversiones" localSheetId="6">#REF!</definedName>
    <definedName name="inversiones" localSheetId="16">#REF!</definedName>
    <definedName name="inversiones" localSheetId="7">#REF!</definedName>
    <definedName name="inversiones" localSheetId="1">#REF!</definedName>
    <definedName name="inversiones" localSheetId="17">#REF!</definedName>
    <definedName name="inversiones" localSheetId="8">#REF!</definedName>
    <definedName name="inversiones" localSheetId="2">#REF!</definedName>
    <definedName name="inversiones" localSheetId="18">#REF!</definedName>
    <definedName name="inversiones" localSheetId="9">#REF!</definedName>
    <definedName name="inversiones" localSheetId="3">#REF!</definedName>
    <definedName name="inversiones" localSheetId="19">#REF!</definedName>
    <definedName name="inversiones" localSheetId="10">#REF!</definedName>
    <definedName name="inversiones" localSheetId="20">#REF!</definedName>
    <definedName name="inversiones" localSheetId="11">#REF!</definedName>
    <definedName name="inversiones" localSheetId="21">#REF!</definedName>
    <definedName name="inversiones" localSheetId="12">#REF!</definedName>
    <definedName name="inversiones" localSheetId="22">#REF!</definedName>
    <definedName name="inversiones" localSheetId="13">#REF!</definedName>
    <definedName name="inversiones">#REF!</definedName>
    <definedName name="IPCs_2002_3" localSheetId="14">[47]Precios!$A$337:$U$339</definedName>
    <definedName name="IPCs_2002_3" localSheetId="0">[47]Precios!$A$337:$U$339</definedName>
    <definedName name="IPCs_2002_3" localSheetId="5">[47]Precios!$A$337:$U$339</definedName>
    <definedName name="IPCs_2002_3" localSheetId="15">[47]Precios!$A$337:$U$339</definedName>
    <definedName name="IPCs_2002_3" localSheetId="6">[47]Precios!$A$337:$U$339</definedName>
    <definedName name="IPCs_2002_3" localSheetId="16">[47]Precios!$A$337:$U$339</definedName>
    <definedName name="IPCs_2002_3" localSheetId="7">[47]Precios!$A$337:$U$339</definedName>
    <definedName name="IPCs_2002_3" localSheetId="1">[47]Precios!$A$337:$U$339</definedName>
    <definedName name="IPCs_2002_3" localSheetId="17">[47]Precios!$A$337:$U$339</definedName>
    <definedName name="IPCs_2002_3" localSheetId="8">[47]Precios!$A$337:$U$339</definedName>
    <definedName name="IPCs_2002_3" localSheetId="2">[47]Precios!$A$337:$U$339</definedName>
    <definedName name="IPCs_2002_3" localSheetId="18">[47]Precios!$A$337:$U$339</definedName>
    <definedName name="IPCs_2002_3" localSheetId="9">[47]Precios!$A$337:$U$339</definedName>
    <definedName name="IPCs_2002_3" localSheetId="3">[47]Precios!$A$337:$U$339</definedName>
    <definedName name="IPCs_2002_3" localSheetId="19">[47]Precios!$A$337:$U$339</definedName>
    <definedName name="IPCs_2002_3" localSheetId="10">[47]Precios!$A$337:$U$339</definedName>
    <definedName name="IPCs_2002_3" localSheetId="20">[47]Precios!$A$337:$U$339</definedName>
    <definedName name="IPCs_2002_3" localSheetId="11">[47]Precios!$A$337:$U$339</definedName>
    <definedName name="IPCs_2002_3" localSheetId="21">[47]Precios!$A$337:$U$339</definedName>
    <definedName name="IPCs_2002_3" localSheetId="12">[47]Precios!$A$337:$U$339</definedName>
    <definedName name="IPCs_2002_3" localSheetId="22">[47]Precios!$A$337:$U$339</definedName>
    <definedName name="IPCs_2002_3" localSheetId="13">[47]Precios!$A$337:$U$339</definedName>
    <definedName name="IPCs_2002_3">[47]Precios!$A$337:$U$339</definedName>
    <definedName name="IPCs_2002_3a" localSheetId="14">[47]Precios!$A$373:$U$383</definedName>
    <definedName name="IPCs_2002_3a" localSheetId="0">[47]Precios!$A$373:$U$383</definedName>
    <definedName name="IPCs_2002_3a" localSheetId="5">[47]Precios!$A$373:$U$383</definedName>
    <definedName name="IPCs_2002_3a" localSheetId="15">[47]Precios!$A$373:$U$383</definedName>
    <definedName name="IPCs_2002_3a" localSheetId="6">[47]Precios!$A$373:$U$383</definedName>
    <definedName name="IPCs_2002_3a" localSheetId="16">[47]Precios!$A$373:$U$383</definedName>
    <definedName name="IPCs_2002_3a" localSheetId="7">[47]Precios!$A$373:$U$383</definedName>
    <definedName name="IPCs_2002_3a" localSheetId="1">[47]Precios!$A$373:$U$383</definedName>
    <definedName name="IPCs_2002_3a" localSheetId="17">[47]Precios!$A$373:$U$383</definedName>
    <definedName name="IPCs_2002_3a" localSheetId="8">[47]Precios!$A$373:$U$383</definedName>
    <definedName name="IPCs_2002_3a" localSheetId="2">[47]Precios!$A$373:$U$383</definedName>
    <definedName name="IPCs_2002_3a" localSheetId="18">[47]Precios!$A$373:$U$383</definedName>
    <definedName name="IPCs_2002_3a" localSheetId="9">[47]Precios!$A$373:$U$383</definedName>
    <definedName name="IPCs_2002_3a" localSheetId="3">[47]Precios!$A$373:$U$383</definedName>
    <definedName name="IPCs_2002_3a" localSheetId="19">[47]Precios!$A$373:$U$383</definedName>
    <definedName name="IPCs_2002_3a" localSheetId="10">[47]Precios!$A$373:$U$383</definedName>
    <definedName name="IPCs_2002_3a" localSheetId="20">[47]Precios!$A$373:$U$383</definedName>
    <definedName name="IPCs_2002_3a" localSheetId="11">[47]Precios!$A$373:$U$383</definedName>
    <definedName name="IPCs_2002_3a" localSheetId="21">[47]Precios!$A$373:$U$383</definedName>
    <definedName name="IPCs_2002_3a" localSheetId="12">[47]Precios!$A$373:$U$383</definedName>
    <definedName name="IPCs_2002_3a" localSheetId="22">[47]Precios!$A$373:$U$383</definedName>
    <definedName name="IPCs_2002_3a" localSheetId="13">[47]Precios!$A$373:$U$383</definedName>
    <definedName name="IPCs_2002_3a">[47]Precios!$A$373:$U$383</definedName>
    <definedName name="IPE_03_04" localSheetId="14">[47]IPE!$A$280:$M$353</definedName>
    <definedName name="IPE_03_04" localSheetId="0">[47]IPE!$A$280:$M$353</definedName>
    <definedName name="IPE_03_04" localSheetId="5">[47]IPE!$A$280:$M$353</definedName>
    <definedName name="IPE_03_04" localSheetId="15">[47]IPE!$A$280:$M$353</definedName>
    <definedName name="IPE_03_04" localSheetId="6">[47]IPE!$A$280:$M$353</definedName>
    <definedName name="IPE_03_04" localSheetId="16">[47]IPE!$A$280:$M$353</definedName>
    <definedName name="IPE_03_04" localSheetId="7">[47]IPE!$A$280:$M$353</definedName>
    <definedName name="IPE_03_04" localSheetId="1">[47]IPE!$A$280:$M$353</definedName>
    <definedName name="IPE_03_04" localSheetId="17">[47]IPE!$A$280:$M$353</definedName>
    <definedName name="IPE_03_04" localSheetId="8">[47]IPE!$A$280:$M$353</definedName>
    <definedName name="IPE_03_04" localSheetId="2">[47]IPE!$A$280:$M$353</definedName>
    <definedName name="IPE_03_04" localSheetId="18">[47]IPE!$A$280:$M$353</definedName>
    <definedName name="IPE_03_04" localSheetId="9">[47]IPE!$A$280:$M$353</definedName>
    <definedName name="IPE_03_04" localSheetId="3">[47]IPE!$A$280:$M$353</definedName>
    <definedName name="IPE_03_04" localSheetId="19">[47]IPE!$A$280:$M$353</definedName>
    <definedName name="IPE_03_04" localSheetId="10">[47]IPE!$A$280:$M$353</definedName>
    <definedName name="IPE_03_04" localSheetId="20">[47]IPE!$A$280:$M$353</definedName>
    <definedName name="IPE_03_04" localSheetId="11">[47]IPE!$A$280:$M$353</definedName>
    <definedName name="IPE_03_04" localSheetId="21">[47]IPE!$A$280:$M$353</definedName>
    <definedName name="IPE_03_04" localSheetId="12">[47]IPE!$A$280:$M$353</definedName>
    <definedName name="IPE_03_04" localSheetId="22">[47]IPE!$A$280:$M$353</definedName>
    <definedName name="IPE_03_04" localSheetId="13">[47]IPE!$A$280:$M$353</definedName>
    <definedName name="IPE_03_04">[47]IPE!$A$280:$M$353</definedName>
    <definedName name="j" hidden="1">#REF!</definedName>
    <definedName name="jenny" localSheetId="14">'[6]Cdrs 1-2'!$A$69:$S$114</definedName>
    <definedName name="jenny" localSheetId="0">'[6]Cdrs 1-2'!$A$69:$S$114</definedName>
    <definedName name="jenny" localSheetId="5">'[6]Cdrs 1-2'!$A$69:$S$114</definedName>
    <definedName name="jenny" localSheetId="15">'[6]Cdrs 1-2'!$A$69:$S$114</definedName>
    <definedName name="jenny" localSheetId="6">'[6]Cdrs 1-2'!$A$69:$S$114</definedName>
    <definedName name="jenny" localSheetId="16">'[6]Cdrs 1-2'!$A$69:$S$114</definedName>
    <definedName name="jenny" localSheetId="7">'[6]Cdrs 1-2'!$A$69:$S$114</definedName>
    <definedName name="jenny" localSheetId="1">'[6]Cdrs 1-2'!$A$69:$S$114</definedName>
    <definedName name="jenny" localSheetId="17">'[6]Cdrs 1-2'!$A$69:$S$114</definedName>
    <definedName name="jenny" localSheetId="8">'[6]Cdrs 1-2'!$A$69:$S$114</definedName>
    <definedName name="jenny" localSheetId="2">'[6]Cdrs 1-2'!$A$69:$S$114</definedName>
    <definedName name="jenny" localSheetId="18">'[6]Cdrs 1-2'!$A$69:$S$114</definedName>
    <definedName name="jenny" localSheetId="9">'[6]Cdrs 1-2'!$A$69:$S$114</definedName>
    <definedName name="jenny" localSheetId="3">'[6]Cdrs 1-2'!$A$69:$S$114</definedName>
    <definedName name="jenny" localSheetId="19">'[6]Cdrs 1-2'!$A$69:$S$114</definedName>
    <definedName name="jenny" localSheetId="10">'[6]Cdrs 1-2'!$A$69:$S$114</definedName>
    <definedName name="jenny" localSheetId="20">'[6]Cdrs 1-2'!$A$69:$S$114</definedName>
    <definedName name="jenny" localSheetId="11">'[6]Cdrs 1-2'!$A$69:$S$114</definedName>
    <definedName name="jenny" localSheetId="21">'[6]Cdrs 1-2'!$A$69:$S$114</definedName>
    <definedName name="jenny" localSheetId="12">'[6]Cdrs 1-2'!$A$69:$S$114</definedName>
    <definedName name="jenny" localSheetId="22">'[6]Cdrs 1-2'!$A$69:$S$114</definedName>
    <definedName name="jenny" localSheetId="13">'[6]Cdrs 1-2'!$A$69:$S$114</definedName>
    <definedName name="jenny">'[6]Cdrs 1-2'!$A$69:$S$114</definedName>
    <definedName name="JET">#N/A</definedName>
    <definedName name="jhgfjh" localSheetId="14">#REF!,#REF!,#REF!</definedName>
    <definedName name="jhgfjh" localSheetId="0">#REF!,#REF!,#REF!</definedName>
    <definedName name="jhgfjh" localSheetId="5">#REF!,#REF!,#REF!</definedName>
    <definedName name="jhgfjh" localSheetId="15">#REF!,#REF!,#REF!</definedName>
    <definedName name="jhgfjh" localSheetId="6">#REF!,#REF!,#REF!</definedName>
    <definedName name="jhgfjh" localSheetId="16">#REF!,#REF!,#REF!</definedName>
    <definedName name="jhgfjh" localSheetId="7">#REF!,#REF!,#REF!</definedName>
    <definedName name="jhgfjh" localSheetId="1">#REF!,#REF!,#REF!</definedName>
    <definedName name="jhgfjh" localSheetId="17">#REF!,#REF!,#REF!</definedName>
    <definedName name="jhgfjh" localSheetId="8">#REF!,#REF!,#REF!</definedName>
    <definedName name="jhgfjh" localSheetId="2">#REF!,#REF!,#REF!</definedName>
    <definedName name="jhgfjh" localSheetId="18">#REF!,#REF!,#REF!</definedName>
    <definedName name="jhgfjh" localSheetId="9">#REF!,#REF!,#REF!</definedName>
    <definedName name="jhgfjh" localSheetId="3">#REF!,#REF!,#REF!</definedName>
    <definedName name="jhgfjh" localSheetId="19">#REF!,#REF!,#REF!</definedName>
    <definedName name="jhgfjh" localSheetId="10">#REF!,#REF!,#REF!</definedName>
    <definedName name="jhgfjh" localSheetId="20">#REF!,#REF!,#REF!</definedName>
    <definedName name="jhgfjh" localSheetId="11">#REF!,#REF!,#REF!</definedName>
    <definedName name="jhgfjh" localSheetId="21">#REF!,#REF!,#REF!</definedName>
    <definedName name="jhgfjh" localSheetId="12">#REF!,#REF!,#REF!</definedName>
    <definedName name="jhgfjh" localSheetId="22">#REF!,#REF!,#REF!</definedName>
    <definedName name="jhgfjh" localSheetId="13">#REF!,#REF!,#REF!</definedName>
    <definedName name="jhgfjh">#REF!,#REF!,#REF!</definedName>
    <definedName name="jhjbj" localSheetId="14">#REF!</definedName>
    <definedName name="jhjbj" localSheetId="0">#REF!</definedName>
    <definedName name="jhjbj" localSheetId="5">#REF!</definedName>
    <definedName name="jhjbj" localSheetId="15">#REF!</definedName>
    <definedName name="jhjbj" localSheetId="6">#REF!</definedName>
    <definedName name="jhjbj" localSheetId="16">#REF!</definedName>
    <definedName name="jhjbj" localSheetId="7">#REF!</definedName>
    <definedName name="jhjbj" localSheetId="1">#REF!</definedName>
    <definedName name="jhjbj" localSheetId="17">#REF!</definedName>
    <definedName name="jhjbj" localSheetId="8">#REF!</definedName>
    <definedName name="jhjbj" localSheetId="2">#REF!</definedName>
    <definedName name="jhjbj" localSheetId="18">#REF!</definedName>
    <definedName name="jhjbj" localSheetId="9">#REF!</definedName>
    <definedName name="jhjbj" localSheetId="3">#REF!</definedName>
    <definedName name="jhjbj" localSheetId="19">#REF!</definedName>
    <definedName name="jhjbj" localSheetId="10">#REF!</definedName>
    <definedName name="jhjbj" localSheetId="20">#REF!</definedName>
    <definedName name="jhjbj" localSheetId="11">#REF!</definedName>
    <definedName name="jhjbj" localSheetId="21">#REF!</definedName>
    <definedName name="jhjbj" localSheetId="12">#REF!</definedName>
    <definedName name="jhjbj" localSheetId="22">#REF!</definedName>
    <definedName name="jhjbj" localSheetId="13">#REF!</definedName>
    <definedName name="jhjbj">#REF!</definedName>
    <definedName name="jojolete" hidden="1">[14]balance!#REF!</definedName>
    <definedName name="kghiog" localSheetId="14">#REF!,#REF!</definedName>
    <definedName name="kghiog" localSheetId="0">#REF!,#REF!</definedName>
    <definedName name="kghiog" localSheetId="5">#REF!,#REF!</definedName>
    <definedName name="kghiog" localSheetId="15">#REF!,#REF!</definedName>
    <definedName name="kghiog" localSheetId="6">#REF!,#REF!</definedName>
    <definedName name="kghiog" localSheetId="16">#REF!,#REF!</definedName>
    <definedName name="kghiog" localSheetId="7">#REF!,#REF!</definedName>
    <definedName name="kghiog" localSheetId="1">#REF!,#REF!</definedName>
    <definedName name="kghiog" localSheetId="17">#REF!,#REF!</definedName>
    <definedName name="kghiog" localSheetId="8">#REF!,#REF!</definedName>
    <definedName name="kghiog" localSheetId="2">#REF!,#REF!</definedName>
    <definedName name="kghiog" localSheetId="18">#REF!,#REF!</definedName>
    <definedName name="kghiog" localSheetId="9">#REF!,#REF!</definedName>
    <definedName name="kghiog" localSheetId="3">#REF!,#REF!</definedName>
    <definedName name="kghiog" localSheetId="19">#REF!,#REF!</definedName>
    <definedName name="kghiog" localSheetId="10">#REF!,#REF!</definedName>
    <definedName name="kghiog" localSheetId="20">#REF!,#REF!</definedName>
    <definedName name="kghiog" localSheetId="11">#REF!,#REF!</definedName>
    <definedName name="kghiog" localSheetId="21">#REF!,#REF!</definedName>
    <definedName name="kghiog" localSheetId="12">#REF!,#REF!</definedName>
    <definedName name="kghiog" localSheetId="22">#REF!,#REF!</definedName>
    <definedName name="kghiog" localSheetId="13">#REF!,#REF!</definedName>
    <definedName name="kghiog">#REF!,#REF!</definedName>
    <definedName name="leña" localSheetId="14">#REF!</definedName>
    <definedName name="leña" localSheetId="0">#REF!</definedName>
    <definedName name="leña" localSheetId="5">#REF!</definedName>
    <definedName name="leña" localSheetId="15">#REF!</definedName>
    <definedName name="leña" localSheetId="6">#REF!</definedName>
    <definedName name="leña" localSheetId="16">#REF!</definedName>
    <definedName name="leña" localSheetId="7">#REF!</definedName>
    <definedName name="leña" localSheetId="1">#REF!</definedName>
    <definedName name="leña" localSheetId="17">#REF!</definedName>
    <definedName name="leña" localSheetId="8">#REF!</definedName>
    <definedName name="leña" localSheetId="2">#REF!</definedName>
    <definedName name="leña" localSheetId="18">#REF!</definedName>
    <definedName name="leña" localSheetId="9">#REF!</definedName>
    <definedName name="leña" localSheetId="3">#REF!</definedName>
    <definedName name="leña" localSheetId="19">#REF!</definedName>
    <definedName name="leña" localSheetId="10">#REF!</definedName>
    <definedName name="leña" localSheetId="20">#REF!</definedName>
    <definedName name="leña" localSheetId="11">#REF!</definedName>
    <definedName name="leña" localSheetId="21">#REF!</definedName>
    <definedName name="leña" localSheetId="12">#REF!</definedName>
    <definedName name="leña" localSheetId="22">#REF!</definedName>
    <definedName name="leña" localSheetId="13">#REF!</definedName>
    <definedName name="leña">#REF!</definedName>
    <definedName name="Libor" localSheetId="14">[48]Resumen!$K$3:$R$26</definedName>
    <definedName name="Libor" localSheetId="0">[48]Resumen!$K$3:$R$26</definedName>
    <definedName name="Libor" localSheetId="5">[48]Resumen!$K$3:$R$26</definedName>
    <definedName name="Libor" localSheetId="15">[48]Resumen!$K$3:$R$26</definedName>
    <definedName name="Libor" localSheetId="6">[48]Resumen!$K$3:$R$26</definedName>
    <definedName name="Libor" localSheetId="16">[48]Resumen!$K$3:$R$26</definedName>
    <definedName name="Libor" localSheetId="7">[48]Resumen!$K$3:$R$26</definedName>
    <definedName name="Libor" localSheetId="1">[48]Resumen!$K$3:$R$26</definedName>
    <definedName name="Libor" localSheetId="17">[48]Resumen!$K$3:$R$26</definedName>
    <definedName name="Libor" localSheetId="8">[48]Resumen!$K$3:$R$26</definedName>
    <definedName name="Libor" localSheetId="2">[48]Resumen!$K$3:$R$26</definedName>
    <definedName name="Libor" localSheetId="18">[48]Resumen!$K$3:$R$26</definedName>
    <definedName name="Libor" localSheetId="9">[48]Resumen!$K$3:$R$26</definedName>
    <definedName name="Libor" localSheetId="3">[48]Resumen!$K$3:$R$26</definedName>
    <definedName name="Libor" localSheetId="19">[48]Resumen!$K$3:$R$26</definedName>
    <definedName name="Libor" localSheetId="10">[48]Resumen!$K$3:$R$26</definedName>
    <definedName name="Libor" localSheetId="20">[48]Resumen!$K$3:$R$26</definedName>
    <definedName name="Libor" localSheetId="11">[48]Resumen!$K$3:$R$26</definedName>
    <definedName name="Libor" localSheetId="21">[48]Resumen!$K$3:$R$26</definedName>
    <definedName name="Libor" localSheetId="12">[48]Resumen!$K$3:$R$26</definedName>
    <definedName name="Libor" localSheetId="22">[48]Resumen!$K$3:$R$26</definedName>
    <definedName name="Libor" localSheetId="13">[48]Resumen!$K$3:$R$26</definedName>
    <definedName name="Libor">[48]Resumen!$K$3:$R$26</definedName>
    <definedName name="LTP">[4]LTP!$A$2:$L$1000</definedName>
    <definedName name="MACRO">#N/A</definedName>
    <definedName name="MaleData" localSheetId="14">#REF!</definedName>
    <definedName name="MaleData" localSheetId="0">#REF!</definedName>
    <definedName name="MaleData" localSheetId="5">#REF!</definedName>
    <definedName name="MaleData" localSheetId="15">#REF!</definedName>
    <definedName name="MaleData" localSheetId="6">#REF!</definedName>
    <definedName name="MaleData" localSheetId="16">#REF!</definedName>
    <definedName name="MaleData" localSheetId="7">#REF!</definedName>
    <definedName name="MaleData" localSheetId="1">#REF!</definedName>
    <definedName name="MaleData" localSheetId="17">#REF!</definedName>
    <definedName name="MaleData" localSheetId="8">#REF!</definedName>
    <definedName name="MaleData" localSheetId="2">#REF!</definedName>
    <definedName name="MaleData" localSheetId="18">#REF!</definedName>
    <definedName name="MaleData" localSheetId="9">#REF!</definedName>
    <definedName name="MaleData" localSheetId="3">#REF!</definedName>
    <definedName name="MaleData" localSheetId="19">#REF!</definedName>
    <definedName name="MaleData" localSheetId="10">#REF!</definedName>
    <definedName name="MaleData" localSheetId="20">#REF!</definedName>
    <definedName name="MaleData" localSheetId="11">#REF!</definedName>
    <definedName name="MaleData" localSheetId="21">#REF!</definedName>
    <definedName name="MaleData" localSheetId="12">#REF!</definedName>
    <definedName name="MaleData" localSheetId="22">#REF!</definedName>
    <definedName name="MaleData" localSheetId="13">#REF!</definedName>
    <definedName name="MaleData">#REF!</definedName>
    <definedName name="Maximum" localSheetId="14">#REF!</definedName>
    <definedName name="Maximum" localSheetId="0">#REF!</definedName>
    <definedName name="Maximum" localSheetId="5">#REF!</definedName>
    <definedName name="Maximum" localSheetId="15">#REF!</definedName>
    <definedName name="Maximum" localSheetId="6">#REF!</definedName>
    <definedName name="Maximum" localSheetId="16">#REF!</definedName>
    <definedName name="Maximum" localSheetId="7">#REF!</definedName>
    <definedName name="Maximum" localSheetId="1">#REF!</definedName>
    <definedName name="Maximum" localSheetId="17">#REF!</definedName>
    <definedName name="Maximum" localSheetId="8">#REF!</definedName>
    <definedName name="Maximum" localSheetId="2">#REF!</definedName>
    <definedName name="Maximum" localSheetId="18">#REF!</definedName>
    <definedName name="Maximum" localSheetId="9">#REF!</definedName>
    <definedName name="Maximum" localSheetId="3">#REF!</definedName>
    <definedName name="Maximum" localSheetId="19">#REF!</definedName>
    <definedName name="Maximum" localSheetId="10">#REF!</definedName>
    <definedName name="Maximum" localSheetId="20">#REF!</definedName>
    <definedName name="Maximum" localSheetId="11">#REF!</definedName>
    <definedName name="Maximum" localSheetId="21">#REF!</definedName>
    <definedName name="Maximum" localSheetId="12">#REF!</definedName>
    <definedName name="Maximum" localSheetId="22">#REF!</definedName>
    <definedName name="Maximum" localSheetId="13">#REF!</definedName>
    <definedName name="Maximum">#REF!</definedName>
    <definedName name="Maximum_used" localSheetId="14">#REF!</definedName>
    <definedName name="Maximum_used" localSheetId="0">#REF!</definedName>
    <definedName name="Maximum_used" localSheetId="5">#REF!</definedName>
    <definedName name="Maximum_used" localSheetId="15">#REF!</definedName>
    <definedName name="Maximum_used" localSheetId="6">#REF!</definedName>
    <definedName name="Maximum_used" localSheetId="16">#REF!</definedName>
    <definedName name="Maximum_used" localSheetId="7">#REF!</definedName>
    <definedName name="Maximum_used" localSheetId="1">#REF!</definedName>
    <definedName name="Maximum_used" localSheetId="17">#REF!</definedName>
    <definedName name="Maximum_used" localSheetId="8">#REF!</definedName>
    <definedName name="Maximum_used" localSheetId="2">#REF!</definedName>
    <definedName name="Maximum_used" localSheetId="18">#REF!</definedName>
    <definedName name="Maximum_used" localSheetId="9">#REF!</definedName>
    <definedName name="Maximum_used" localSheetId="3">#REF!</definedName>
    <definedName name="Maximum_used" localSheetId="19">#REF!</definedName>
    <definedName name="Maximum_used" localSheetId="10">#REF!</definedName>
    <definedName name="Maximum_used" localSheetId="20">#REF!</definedName>
    <definedName name="Maximum_used" localSheetId="11">#REF!</definedName>
    <definedName name="Maximum_used" localSheetId="21">#REF!</definedName>
    <definedName name="Maximum_used" localSheetId="12">#REF!</definedName>
    <definedName name="Maximum_used" localSheetId="22">#REF!</definedName>
    <definedName name="Maximum_used" localSheetId="13">#REF!</definedName>
    <definedName name="Maximum_used">#REF!</definedName>
    <definedName name="MENU">[49]Menu!$A$3:$K$12</definedName>
    <definedName name="Meses">[4]Pre!$A$68:$C$79</definedName>
    <definedName name="Meses1">'[49]Curva (2)'!$A$45:$B$56</definedName>
    <definedName name="mio" localSheetId="14">[50]OPERACIONES!#REF!</definedName>
    <definedName name="mio" localSheetId="0">[50]OPERACIONES!#REF!</definedName>
    <definedName name="mio" localSheetId="5">[50]OPERACIONES!#REF!</definedName>
    <definedName name="mio" localSheetId="15">[50]OPERACIONES!#REF!</definedName>
    <definedName name="mio" localSheetId="6">[50]OPERACIONES!#REF!</definedName>
    <definedName name="mio" localSheetId="16">[50]OPERACIONES!#REF!</definedName>
    <definedName name="mio" localSheetId="7">[50]OPERACIONES!#REF!</definedName>
    <definedName name="mio" localSheetId="1">[50]OPERACIONES!#REF!</definedName>
    <definedName name="mio" localSheetId="17">[50]OPERACIONES!#REF!</definedName>
    <definedName name="mio" localSheetId="8">[50]OPERACIONES!#REF!</definedName>
    <definedName name="mio" localSheetId="2">[50]OPERACIONES!#REF!</definedName>
    <definedName name="mio" localSheetId="18">[50]OPERACIONES!#REF!</definedName>
    <definedName name="mio" localSheetId="9">[50]OPERACIONES!#REF!</definedName>
    <definedName name="mio" localSheetId="3">[50]OPERACIONES!#REF!</definedName>
    <definedName name="mio" localSheetId="19">[50]OPERACIONES!#REF!</definedName>
    <definedName name="mio" localSheetId="10">[50]OPERACIONES!#REF!</definedName>
    <definedName name="mio" localSheetId="20">[50]OPERACIONES!#REF!</definedName>
    <definedName name="mio" localSheetId="11">[50]OPERACIONES!#REF!</definedName>
    <definedName name="mio" localSheetId="21">[50]OPERACIONES!#REF!</definedName>
    <definedName name="mio" localSheetId="12">[50]OPERACIONES!#REF!</definedName>
    <definedName name="mio" localSheetId="22">[50]OPERACIONES!#REF!</definedName>
    <definedName name="mio" localSheetId="13">[50]OPERACIONES!#REF!</definedName>
    <definedName name="mio">[50]OPERACIONES!#REF!</definedName>
    <definedName name="miuo" localSheetId="14">#REF!</definedName>
    <definedName name="miuo" localSheetId="0">#REF!</definedName>
    <definedName name="miuo" localSheetId="5">#REF!</definedName>
    <definedName name="miuo" localSheetId="15">#REF!</definedName>
    <definedName name="miuo" localSheetId="6">#REF!</definedName>
    <definedName name="miuo" localSheetId="16">#REF!</definedName>
    <definedName name="miuo" localSheetId="7">#REF!</definedName>
    <definedName name="miuo" localSheetId="1">#REF!</definedName>
    <definedName name="miuo" localSheetId="17">#REF!</definedName>
    <definedName name="miuo" localSheetId="8">#REF!</definedName>
    <definedName name="miuo" localSheetId="2">#REF!</definedName>
    <definedName name="miuo" localSheetId="18">#REF!</definedName>
    <definedName name="miuo" localSheetId="9">#REF!</definedName>
    <definedName name="miuo" localSheetId="3">#REF!</definedName>
    <definedName name="miuo" localSheetId="19">#REF!</definedName>
    <definedName name="miuo" localSheetId="10">#REF!</definedName>
    <definedName name="miuo" localSheetId="20">#REF!</definedName>
    <definedName name="miuo" localSheetId="11">#REF!</definedName>
    <definedName name="miuo" localSheetId="21">#REF!</definedName>
    <definedName name="miuo" localSheetId="12">#REF!</definedName>
    <definedName name="miuo" localSheetId="22">#REF!</definedName>
    <definedName name="miuo" localSheetId="13">#REF!</definedName>
    <definedName name="miuo">#REF!</definedName>
    <definedName name="NOM" localSheetId="14">#REF!</definedName>
    <definedName name="NOM" localSheetId="0">#REF!</definedName>
    <definedName name="NOM" localSheetId="5">#REF!</definedName>
    <definedName name="NOM" localSheetId="15">#REF!</definedName>
    <definedName name="NOM" localSheetId="6">#REF!</definedName>
    <definedName name="NOM" localSheetId="16">#REF!</definedName>
    <definedName name="NOM" localSheetId="7">#REF!</definedName>
    <definedName name="NOM" localSheetId="1">#REF!</definedName>
    <definedName name="NOM" localSheetId="17">#REF!</definedName>
    <definedName name="NOM" localSheetId="8">#REF!</definedName>
    <definedName name="NOM" localSheetId="2">#REF!</definedName>
    <definedName name="NOM" localSheetId="18">#REF!</definedName>
    <definedName name="NOM" localSheetId="9">#REF!</definedName>
    <definedName name="NOM" localSheetId="3">#REF!</definedName>
    <definedName name="NOM" localSheetId="19">#REF!</definedName>
    <definedName name="NOM" localSheetId="10">#REF!</definedName>
    <definedName name="NOM" localSheetId="20">#REF!</definedName>
    <definedName name="NOM" localSheetId="11">#REF!</definedName>
    <definedName name="NOM" localSheetId="21">#REF!</definedName>
    <definedName name="NOM" localSheetId="12">#REF!</definedName>
    <definedName name="NOM" localSheetId="22">#REF!</definedName>
    <definedName name="NOM" localSheetId="13">#REF!</definedName>
    <definedName name="NOM">#REF!</definedName>
    <definedName name="NombresDeSeriesC1">[25]c1!$O$9:$O$164</definedName>
    <definedName name="NombresDeSeriesC3">[25]c3!$O$10:$O$41</definedName>
    <definedName name="NombresDeSeriesC5" localSheetId="14">[25]c5!J1048562:J22</definedName>
    <definedName name="NombresDeSeriesC5" localSheetId="0">[25]c5!J1048562:J22</definedName>
    <definedName name="NombresDeSeriesC5" localSheetId="5">[25]c5!J1048562:J22</definedName>
    <definedName name="NombresDeSeriesC5" localSheetId="15">[25]c5!J1048562:J22</definedName>
    <definedName name="NombresDeSeriesC5" localSheetId="6">[25]c5!J1048562:J22</definedName>
    <definedName name="NombresDeSeriesC5" localSheetId="16">[25]c5!J1048562:J22</definedName>
    <definedName name="NombresDeSeriesC5" localSheetId="7">[25]c5!J1048562:J22</definedName>
    <definedName name="NombresDeSeriesC5" localSheetId="1">[25]c5!J1048562:J22</definedName>
    <definedName name="NombresDeSeriesC5" localSheetId="17">[25]c5!J1048562:J22</definedName>
    <definedName name="NombresDeSeriesC5" localSheetId="8">[25]c5!J1048562:J22</definedName>
    <definedName name="NombresDeSeriesC5" localSheetId="2">[25]c5!J1048562:J22</definedName>
    <definedName name="NombresDeSeriesC5" localSheetId="18">[25]c5!J1048562:J22</definedName>
    <definedName name="NombresDeSeriesC5" localSheetId="9">[25]c5!J1048562:J22</definedName>
    <definedName name="NombresDeSeriesC5" localSheetId="3">[25]c5!J1048562:J22</definedName>
    <definedName name="NombresDeSeriesC5" localSheetId="19">[25]c5!J1048562:J22</definedName>
    <definedName name="NombresDeSeriesC5" localSheetId="10">[25]c5!J1048562:J22</definedName>
    <definedName name="NombresDeSeriesC5" localSheetId="20">[25]c5!J1048562:J22</definedName>
    <definedName name="NombresDeSeriesC5" localSheetId="11">[25]c5!J1048562:J22</definedName>
    <definedName name="NombresDeSeriesC5" localSheetId="21">[25]c5!J1048562:J22</definedName>
    <definedName name="NombresDeSeriesC5" localSheetId="12">[25]c5!J1048562:J22</definedName>
    <definedName name="NombresDeSeriesC5" localSheetId="22">[25]c5!J1048562:J22</definedName>
    <definedName name="NombresDeSeriesC5" localSheetId="13">[25]c5!J1048562:J22</definedName>
    <definedName name="NombresDeSeriesC5">[25]c5!J1048562:J22</definedName>
    <definedName name="NombresDeSeriesC6">[25]c6!$O$10:$O$31</definedName>
    <definedName name="NOTA">#N/A</definedName>
    <definedName name="NUEVA">[49]CD!$M$11</definedName>
    <definedName name="NUMERO">#N/A</definedName>
    <definedName name="NumeroDeFechasDeCuadroDeAFP">[25]Fechas!$A$51:$A$73</definedName>
    <definedName name="NumeroDeFechasDeCuadroDeAhorro">[25]Fechas!$A$3:$A$25</definedName>
    <definedName name="NumeroDeFechasDeCuadroDeAnexo">[25]Fechas!$A$75:$A$86</definedName>
    <definedName name="NumeroDeFechasDeCuadroDeBonos">[25]Fechas!$A$27:$A$49</definedName>
    <definedName name="NV" localSheetId="14">#REF!</definedName>
    <definedName name="NV" localSheetId="0">#REF!</definedName>
    <definedName name="NV" localSheetId="5">#REF!</definedName>
    <definedName name="NV" localSheetId="15">#REF!</definedName>
    <definedName name="NV" localSheetId="6">#REF!</definedName>
    <definedName name="NV" localSheetId="16">#REF!</definedName>
    <definedName name="NV" localSheetId="7">#REF!</definedName>
    <definedName name="NV" localSheetId="1">#REF!</definedName>
    <definedName name="NV" localSheetId="17">#REF!</definedName>
    <definedName name="NV" localSheetId="8">#REF!</definedName>
    <definedName name="NV" localSheetId="2">#REF!</definedName>
    <definedName name="NV" localSheetId="18">#REF!</definedName>
    <definedName name="NV" localSheetId="9">#REF!</definedName>
    <definedName name="NV" localSheetId="3">#REF!</definedName>
    <definedName name="NV" localSheetId="19">#REF!</definedName>
    <definedName name="NV" localSheetId="10">#REF!</definedName>
    <definedName name="NV" localSheetId="20">#REF!</definedName>
    <definedName name="NV" localSheetId="11">#REF!</definedName>
    <definedName name="NV" localSheetId="21">#REF!</definedName>
    <definedName name="NV" localSheetId="12">#REF!</definedName>
    <definedName name="NV" localSheetId="22">#REF!</definedName>
    <definedName name="NV" localSheetId="13">#REF!</definedName>
    <definedName name="NV">#REF!</definedName>
    <definedName name="NV_2" localSheetId="14">[46]PAG14!#REF!</definedName>
    <definedName name="NV_2" localSheetId="0">[46]PAG14!#REF!</definedName>
    <definedName name="NV_2" localSheetId="5">[46]PAG14!#REF!</definedName>
    <definedName name="NV_2" localSheetId="15">[46]PAG14!#REF!</definedName>
    <definedName name="NV_2" localSheetId="6">[46]PAG14!#REF!</definedName>
    <definedName name="NV_2" localSheetId="16">[46]PAG14!#REF!</definedName>
    <definedName name="NV_2" localSheetId="7">[46]PAG14!#REF!</definedName>
    <definedName name="NV_2" localSheetId="1">[46]PAG14!#REF!</definedName>
    <definedName name="NV_2" localSheetId="17">[46]PAG14!#REF!</definedName>
    <definedName name="NV_2" localSheetId="8">[46]PAG14!#REF!</definedName>
    <definedName name="NV_2" localSheetId="2">[46]PAG14!#REF!</definedName>
    <definedName name="NV_2" localSheetId="18">[46]PAG14!#REF!</definedName>
    <definedName name="NV_2" localSheetId="9">[46]PAG14!#REF!</definedName>
    <definedName name="NV_2" localSheetId="3">[46]PAG14!#REF!</definedName>
    <definedName name="NV_2" localSheetId="19">[46]PAG14!#REF!</definedName>
    <definedName name="NV_2" localSheetId="10">[46]PAG14!#REF!</definedName>
    <definedName name="NV_2" localSheetId="20">[46]PAG14!#REF!</definedName>
    <definedName name="NV_2" localSheetId="11">[46]PAG14!#REF!</definedName>
    <definedName name="NV_2" localSheetId="21">[46]PAG14!#REF!</definedName>
    <definedName name="NV_2" localSheetId="12">[46]PAG14!#REF!</definedName>
    <definedName name="NV_2" localSheetId="22">[46]PAG14!#REF!</definedName>
    <definedName name="NV_2" localSheetId="13">[46]PAG14!#REF!</definedName>
    <definedName name="NV_2">[46]PAG14!#REF!</definedName>
    <definedName name="ñññ" localSheetId="14">#REF!</definedName>
    <definedName name="ñññ" localSheetId="0">#REF!</definedName>
    <definedName name="ñññ" localSheetId="5">#REF!</definedName>
    <definedName name="ñññ" localSheetId="15">#REF!</definedName>
    <definedName name="ñññ" localSheetId="6">#REF!</definedName>
    <definedName name="ñññ" localSheetId="16">#REF!</definedName>
    <definedName name="ñññ" localSheetId="7">#REF!</definedName>
    <definedName name="ñññ" localSheetId="1">#REF!</definedName>
    <definedName name="ñññ" localSheetId="17">#REF!</definedName>
    <definedName name="ñññ" localSheetId="8">#REF!</definedName>
    <definedName name="ñññ" localSheetId="2">#REF!</definedName>
    <definedName name="ñññ" localSheetId="18">#REF!</definedName>
    <definedName name="ñññ" localSheetId="9">#REF!</definedName>
    <definedName name="ñññ" localSheetId="3">#REF!</definedName>
    <definedName name="ñññ" localSheetId="19">#REF!</definedName>
    <definedName name="ñññ" localSheetId="10">#REF!</definedName>
    <definedName name="ñññ" localSheetId="20">#REF!</definedName>
    <definedName name="ñññ" localSheetId="11">#REF!</definedName>
    <definedName name="ñññ" localSheetId="21">#REF!</definedName>
    <definedName name="ñññ" localSheetId="12">#REF!</definedName>
    <definedName name="ñññ" localSheetId="22">#REF!</definedName>
    <definedName name="ñññ" localSheetId="13">#REF!</definedName>
    <definedName name="ñññ">#REF!</definedName>
    <definedName name="OCT" localSheetId="14">#REF!</definedName>
    <definedName name="OCT" localSheetId="0">#REF!</definedName>
    <definedName name="OCT" localSheetId="5">#REF!</definedName>
    <definedName name="OCT" localSheetId="15">#REF!</definedName>
    <definedName name="OCT" localSheetId="6">#REF!</definedName>
    <definedName name="OCT" localSheetId="16">#REF!</definedName>
    <definedName name="OCT" localSheetId="7">#REF!</definedName>
    <definedName name="OCT" localSheetId="1">#REF!</definedName>
    <definedName name="OCT" localSheetId="17">#REF!</definedName>
    <definedName name="OCT" localSheetId="8">#REF!</definedName>
    <definedName name="OCT" localSheetId="2">#REF!</definedName>
    <definedName name="OCT" localSheetId="18">#REF!</definedName>
    <definedName name="OCT" localSheetId="9">#REF!</definedName>
    <definedName name="OCT" localSheetId="3">#REF!</definedName>
    <definedName name="OCT" localSheetId="19">#REF!</definedName>
    <definedName name="OCT" localSheetId="10">#REF!</definedName>
    <definedName name="OCT" localSheetId="20">#REF!</definedName>
    <definedName name="OCT" localSheetId="11">#REF!</definedName>
    <definedName name="OCT" localSheetId="21">#REF!</definedName>
    <definedName name="OCT" localSheetId="12">#REF!</definedName>
    <definedName name="OCT" localSheetId="22">#REF!</definedName>
    <definedName name="OCT" localSheetId="13">#REF!</definedName>
    <definedName name="OCT">#REF!</definedName>
    <definedName name="Ordenrent" localSheetId="14">'[51]Sol traspaso'!#REF!</definedName>
    <definedName name="Ordenrent" localSheetId="0">'[51]Sol traspaso'!#REF!</definedName>
    <definedName name="Ordenrent" localSheetId="5">'[51]Sol traspaso'!#REF!</definedName>
    <definedName name="Ordenrent" localSheetId="15">'[51]Sol traspaso'!#REF!</definedName>
    <definedName name="Ordenrent" localSheetId="6">'[51]Sol traspaso'!#REF!</definedName>
    <definedName name="Ordenrent" localSheetId="16">'[51]Sol traspaso'!#REF!</definedName>
    <definedName name="Ordenrent" localSheetId="7">'[51]Sol traspaso'!#REF!</definedName>
    <definedName name="Ordenrent" localSheetId="1">'[51]Sol traspaso'!#REF!</definedName>
    <definedName name="Ordenrent" localSheetId="17">'[51]Sol traspaso'!#REF!</definedName>
    <definedName name="Ordenrent" localSheetId="8">'[51]Sol traspaso'!#REF!</definedName>
    <definedName name="Ordenrent" localSheetId="2">'[51]Sol traspaso'!#REF!</definedName>
    <definedName name="Ordenrent" localSheetId="18">'[51]Sol traspaso'!#REF!</definedName>
    <definedName name="Ordenrent" localSheetId="9">'[51]Sol traspaso'!#REF!</definedName>
    <definedName name="Ordenrent" localSheetId="3">'[51]Sol traspaso'!#REF!</definedName>
    <definedName name="Ordenrent" localSheetId="19">'[51]Sol traspaso'!#REF!</definedName>
    <definedName name="Ordenrent" localSheetId="10">'[51]Sol traspaso'!#REF!</definedName>
    <definedName name="Ordenrent" localSheetId="20">'[51]Sol traspaso'!#REF!</definedName>
    <definedName name="Ordenrent" localSheetId="11">'[51]Sol traspaso'!#REF!</definedName>
    <definedName name="Ordenrent" localSheetId="21">'[51]Sol traspaso'!#REF!</definedName>
    <definedName name="Ordenrent" localSheetId="12">'[51]Sol traspaso'!#REF!</definedName>
    <definedName name="Ordenrent" localSheetId="22">'[51]Sol traspaso'!#REF!</definedName>
    <definedName name="Ordenrent" localSheetId="13">'[51]Sol traspaso'!#REF!</definedName>
    <definedName name="Ordenrent">'[51]Sol traspaso'!#REF!</definedName>
    <definedName name="p" localSheetId="14">#REF!</definedName>
    <definedName name="p" localSheetId="0">#REF!</definedName>
    <definedName name="p" localSheetId="5">#REF!</definedName>
    <definedName name="p" localSheetId="15">#REF!</definedName>
    <definedName name="p" localSheetId="6">#REF!</definedName>
    <definedName name="p" localSheetId="16">#REF!</definedName>
    <definedName name="p" localSheetId="7">#REF!</definedName>
    <definedName name="p" localSheetId="1">#REF!</definedName>
    <definedName name="p" localSheetId="17">#REF!</definedName>
    <definedName name="p" localSheetId="8">#REF!</definedName>
    <definedName name="p" localSheetId="2">#REF!</definedName>
    <definedName name="p" localSheetId="18">#REF!</definedName>
    <definedName name="p" localSheetId="9">#REF!</definedName>
    <definedName name="p" localSheetId="3">#REF!</definedName>
    <definedName name="p" localSheetId="19">#REF!</definedName>
    <definedName name="p" localSheetId="10">#REF!</definedName>
    <definedName name="p" localSheetId="20">#REF!</definedName>
    <definedName name="p" localSheetId="11">#REF!</definedName>
    <definedName name="p" localSheetId="21">#REF!</definedName>
    <definedName name="p" localSheetId="12">#REF!</definedName>
    <definedName name="p" localSheetId="22">#REF!</definedName>
    <definedName name="p" localSheetId="13">#REF!</definedName>
    <definedName name="p">#REF!</definedName>
    <definedName name="pa" localSheetId="14">#REF!</definedName>
    <definedName name="pa" localSheetId="0">#REF!</definedName>
    <definedName name="pa" localSheetId="5">#REF!</definedName>
    <definedName name="pa" localSheetId="15">#REF!</definedName>
    <definedName name="pa" localSheetId="6">#REF!</definedName>
    <definedName name="pa" localSheetId="16">#REF!</definedName>
    <definedName name="pa" localSheetId="7">#REF!</definedName>
    <definedName name="pa" localSheetId="1">#REF!</definedName>
    <definedName name="pa" localSheetId="17">#REF!</definedName>
    <definedName name="pa" localSheetId="8">#REF!</definedName>
    <definedName name="pa" localSheetId="2">#REF!</definedName>
    <definedName name="pa" localSheetId="18">#REF!</definedName>
    <definedName name="pa" localSheetId="9">#REF!</definedName>
    <definedName name="pa" localSheetId="3">#REF!</definedName>
    <definedName name="pa" localSheetId="19">#REF!</definedName>
    <definedName name="pa" localSheetId="10">#REF!</definedName>
    <definedName name="pa" localSheetId="20">#REF!</definedName>
    <definedName name="pa" localSheetId="11">#REF!</definedName>
    <definedName name="pa" localSheetId="21">#REF!</definedName>
    <definedName name="pa" localSheetId="12">#REF!</definedName>
    <definedName name="pa" localSheetId="22">#REF!</definedName>
    <definedName name="pa" localSheetId="13">#REF!</definedName>
    <definedName name="pa">#REF!</definedName>
    <definedName name="PanelDeOpciones">[25]Menu!$B$6:$J$15</definedName>
    <definedName name="PanelDeOpcionesParaMenú">[25]Menu!$B$22:$J$26</definedName>
    <definedName name="PanelDeOpcionesSinTítulos">[25]Menu!$B$7:$J$15</definedName>
    <definedName name="PBI" localSheetId="14">[48]Resumen!$A$3:$I$27</definedName>
    <definedName name="PBI" localSheetId="0">[48]Resumen!$A$3:$I$27</definedName>
    <definedName name="PBI" localSheetId="5">[48]Resumen!$A$3:$I$27</definedName>
    <definedName name="PBI" localSheetId="15">[48]Resumen!$A$3:$I$27</definedName>
    <definedName name="PBI" localSheetId="6">[48]Resumen!$A$3:$I$27</definedName>
    <definedName name="PBI" localSheetId="16">[48]Resumen!$A$3:$I$27</definedName>
    <definedName name="PBI" localSheetId="7">[48]Resumen!$A$3:$I$27</definedName>
    <definedName name="PBI" localSheetId="1">[48]Resumen!$A$3:$I$27</definedName>
    <definedName name="PBI" localSheetId="17">[48]Resumen!$A$3:$I$27</definedName>
    <definedName name="PBI" localSheetId="8">[48]Resumen!$A$3:$I$27</definedName>
    <definedName name="PBI" localSheetId="2">[48]Resumen!$A$3:$I$27</definedName>
    <definedName name="PBI" localSheetId="18">[48]Resumen!$A$3:$I$27</definedName>
    <definedName name="PBI" localSheetId="9">[48]Resumen!$A$3:$I$27</definedName>
    <definedName name="PBI" localSheetId="3">[48]Resumen!$A$3:$I$27</definedName>
    <definedName name="PBI" localSheetId="19">[48]Resumen!$A$3:$I$27</definedName>
    <definedName name="PBI" localSheetId="10">[48]Resumen!$A$3:$I$27</definedName>
    <definedName name="PBI" localSheetId="20">[48]Resumen!$A$3:$I$27</definedName>
    <definedName name="PBI" localSheetId="11">[48]Resumen!$A$3:$I$27</definedName>
    <definedName name="PBI" localSheetId="21">[48]Resumen!$A$3:$I$27</definedName>
    <definedName name="PBI" localSheetId="12">[48]Resumen!$A$3:$I$27</definedName>
    <definedName name="PBI" localSheetId="22">[48]Resumen!$A$3:$I$27</definedName>
    <definedName name="PBI" localSheetId="13">[48]Resumen!$A$3:$I$27</definedName>
    <definedName name="PBI">[48]Resumen!$A$3:$I$27</definedName>
    <definedName name="pegado" localSheetId="14" hidden="1">#REF!</definedName>
    <definedName name="pegado" localSheetId="0" hidden="1">#REF!</definedName>
    <definedName name="pegado" localSheetId="5" hidden="1">#REF!</definedName>
    <definedName name="pegado" localSheetId="15" hidden="1">#REF!</definedName>
    <definedName name="pegado" localSheetId="6" hidden="1">#REF!</definedName>
    <definedName name="pegado" localSheetId="16" hidden="1">#REF!</definedName>
    <definedName name="pegado" localSheetId="7" hidden="1">#REF!</definedName>
    <definedName name="pegado" localSheetId="1" hidden="1">#REF!</definedName>
    <definedName name="pegado" localSheetId="17" hidden="1">#REF!</definedName>
    <definedName name="pegado" localSheetId="8" hidden="1">#REF!</definedName>
    <definedName name="pegado" localSheetId="2" hidden="1">#REF!</definedName>
    <definedName name="pegado" localSheetId="18" hidden="1">#REF!</definedName>
    <definedName name="pegado" localSheetId="9" hidden="1">#REF!</definedName>
    <definedName name="pegado" localSheetId="3" hidden="1">#REF!</definedName>
    <definedName name="pegado" localSheetId="19" hidden="1">#REF!</definedName>
    <definedName name="pegado" localSheetId="10" hidden="1">#REF!</definedName>
    <definedName name="pegado" localSheetId="20" hidden="1">#REF!</definedName>
    <definedName name="pegado" localSheetId="11" hidden="1">#REF!</definedName>
    <definedName name="pegado" localSheetId="21" hidden="1">#REF!</definedName>
    <definedName name="pegado" localSheetId="12" hidden="1">#REF!</definedName>
    <definedName name="pegado" localSheetId="22" hidden="1">#REF!</definedName>
    <definedName name="pegado" localSheetId="13" hidden="1">#REF!</definedName>
    <definedName name="pegado" hidden="1">#REF!</definedName>
    <definedName name="pgraficos" localSheetId="14" hidden="1">[13]Hoja3!$A$368:$A$408</definedName>
    <definedName name="pgraficos" localSheetId="0" hidden="1">[13]Hoja3!$A$368:$A$408</definedName>
    <definedName name="pgraficos" localSheetId="5" hidden="1">[13]Hoja3!$A$368:$A$408</definedName>
    <definedName name="pgraficos" localSheetId="15" hidden="1">[17]Hoja3!$A$368:$A$408</definedName>
    <definedName name="pgraficos" localSheetId="6" hidden="1">[17]Hoja3!$A$368:$A$408</definedName>
    <definedName name="pgraficos" localSheetId="16" hidden="1">[17]Hoja3!$A$368:$A$408</definedName>
    <definedName name="pgraficos" localSheetId="7" hidden="1">[13]Hoja3!$A$368:$A$408</definedName>
    <definedName name="pgraficos" localSheetId="1" hidden="1">[13]Hoja3!$A$368:$A$408</definedName>
    <definedName name="pgraficos" localSheetId="17" hidden="1">[17]Hoja3!$A$368:$A$408</definedName>
    <definedName name="pgraficos" localSheetId="8" hidden="1">[17]Hoja3!$A$368:$A$408</definedName>
    <definedName name="pgraficos" localSheetId="2" hidden="1">[13]Hoja3!$A$368:$A$408</definedName>
    <definedName name="pgraficos" localSheetId="18" hidden="1">[17]Hoja3!$A$368:$A$408</definedName>
    <definedName name="pgraficos" localSheetId="9" hidden="1">[17]Hoja3!$A$368:$A$408</definedName>
    <definedName name="pgraficos" localSheetId="3" hidden="1">[13]Hoja3!$A$368:$A$408</definedName>
    <definedName name="pgraficos" localSheetId="19" hidden="1">[13]Hoja3!$A$368:$A$408</definedName>
    <definedName name="pgraficos" localSheetId="10" hidden="1">[13]Hoja3!$A$368:$A$408</definedName>
    <definedName name="pgraficos" localSheetId="20" hidden="1">[13]Hoja3!$A$368:$A$408</definedName>
    <definedName name="pgraficos" localSheetId="11" hidden="1">[13]Hoja3!$A$368:$A$408</definedName>
    <definedName name="pgraficos" localSheetId="21" hidden="1">[13]Hoja3!$A$368:$A$408</definedName>
    <definedName name="pgraficos" localSheetId="12" hidden="1">[13]Hoja3!$A$368:$A$408</definedName>
    <definedName name="pgraficos" localSheetId="22" hidden="1">[13]Hoja3!$A$368:$A$408</definedName>
    <definedName name="pgraficos" localSheetId="13" hidden="1">[13]Hoja3!$A$368:$A$408</definedName>
    <definedName name="pgraficos" hidden="1">[13]Hoja3!$A$368:$A$408</definedName>
    <definedName name="PLANTILLA" localSheetId="14">#REF!</definedName>
    <definedName name="PLANTILLA" localSheetId="0">#REF!</definedName>
    <definedName name="PLANTILLA" localSheetId="5">#REF!</definedName>
    <definedName name="PLANTILLA" localSheetId="15">#REF!</definedName>
    <definedName name="PLANTILLA" localSheetId="6">#REF!</definedName>
    <definedName name="PLANTILLA" localSheetId="16">#REF!</definedName>
    <definedName name="PLANTILLA" localSheetId="7">#REF!</definedName>
    <definedName name="PLANTILLA" localSheetId="1">#REF!</definedName>
    <definedName name="PLANTILLA" localSheetId="17">#REF!</definedName>
    <definedName name="PLANTILLA" localSheetId="8">#REF!</definedName>
    <definedName name="PLANTILLA" localSheetId="2">#REF!</definedName>
    <definedName name="PLANTILLA" localSheetId="18">#REF!</definedName>
    <definedName name="PLANTILLA" localSheetId="9">#REF!</definedName>
    <definedName name="PLANTILLA" localSheetId="3">#REF!</definedName>
    <definedName name="PLANTILLA" localSheetId="19">#REF!</definedName>
    <definedName name="PLANTILLA" localSheetId="10">#REF!</definedName>
    <definedName name="PLANTILLA" localSheetId="20">#REF!</definedName>
    <definedName name="PLANTILLA" localSheetId="11">#REF!</definedName>
    <definedName name="PLANTILLA" localSheetId="21">#REF!</definedName>
    <definedName name="PLANTILLA" localSheetId="12">#REF!</definedName>
    <definedName name="PLANTILLA" localSheetId="22">#REF!</definedName>
    <definedName name="PLANTILLA" localSheetId="13">#REF!</definedName>
    <definedName name="PLANTILLA">#REF!</definedName>
    <definedName name="POBLA">[52]IECE4001!$G$3:$G$30</definedName>
    <definedName name="pobr1" localSheetId="14">#REF!</definedName>
    <definedName name="pobr1" localSheetId="0">#REF!</definedName>
    <definedName name="pobr1" localSheetId="5">#REF!</definedName>
    <definedName name="pobr1" localSheetId="15">#REF!</definedName>
    <definedName name="pobr1" localSheetId="6">#REF!</definedName>
    <definedName name="pobr1" localSheetId="16">#REF!</definedName>
    <definedName name="pobr1" localSheetId="7">#REF!</definedName>
    <definedName name="pobr1" localSheetId="1">#REF!</definedName>
    <definedName name="pobr1" localSheetId="17">#REF!</definedName>
    <definedName name="pobr1" localSheetId="8">#REF!</definedName>
    <definedName name="pobr1" localSheetId="2">#REF!</definedName>
    <definedName name="pobr1" localSheetId="18">#REF!</definedName>
    <definedName name="pobr1" localSheetId="9">#REF!</definedName>
    <definedName name="pobr1" localSheetId="3">#REF!</definedName>
    <definedName name="pobr1" localSheetId="19">#REF!</definedName>
    <definedName name="pobr1" localSheetId="10">#REF!</definedName>
    <definedName name="pobr1" localSheetId="20">#REF!</definedName>
    <definedName name="pobr1" localSheetId="11">#REF!</definedName>
    <definedName name="pobr1" localSheetId="21">#REF!</definedName>
    <definedName name="pobr1" localSheetId="12">#REF!</definedName>
    <definedName name="pobr1" localSheetId="22">#REF!</definedName>
    <definedName name="pobr1" localSheetId="13">#REF!</definedName>
    <definedName name="pobr1">#REF!</definedName>
    <definedName name="porcentajes" localSheetId="14">#REF!</definedName>
    <definedName name="porcentajes" localSheetId="0">#REF!</definedName>
    <definedName name="porcentajes" localSheetId="5">#REF!</definedName>
    <definedName name="porcentajes" localSheetId="15">#REF!</definedName>
    <definedName name="porcentajes" localSheetId="6">#REF!</definedName>
    <definedName name="porcentajes" localSheetId="16">#REF!</definedName>
    <definedName name="porcentajes" localSheetId="7">#REF!</definedName>
    <definedName name="porcentajes" localSheetId="1">#REF!</definedName>
    <definedName name="porcentajes" localSheetId="17">#REF!</definedName>
    <definedName name="porcentajes" localSheetId="8">#REF!</definedName>
    <definedName name="porcentajes" localSheetId="2">#REF!</definedName>
    <definedName name="porcentajes" localSheetId="18">#REF!</definedName>
    <definedName name="porcentajes" localSheetId="9">#REF!</definedName>
    <definedName name="porcentajes" localSheetId="3">#REF!</definedName>
    <definedName name="porcentajes" localSheetId="19">#REF!</definedName>
    <definedName name="porcentajes" localSheetId="10">#REF!</definedName>
    <definedName name="porcentajes" localSheetId="20">#REF!</definedName>
    <definedName name="porcentajes" localSheetId="11">#REF!</definedName>
    <definedName name="porcentajes" localSheetId="21">#REF!</definedName>
    <definedName name="porcentajes" localSheetId="12">#REF!</definedName>
    <definedName name="porcentajes" localSheetId="22">#REF!</definedName>
    <definedName name="porcentajes" localSheetId="13">#REF!</definedName>
    <definedName name="porcentajes">#REF!</definedName>
    <definedName name="PR" localSheetId="14">#REF!</definedName>
    <definedName name="PR" localSheetId="0">#REF!</definedName>
    <definedName name="PR" localSheetId="5">#REF!</definedName>
    <definedName name="PR" localSheetId="15">#REF!</definedName>
    <definedName name="PR" localSheetId="6">#REF!</definedName>
    <definedName name="PR" localSheetId="16">#REF!</definedName>
    <definedName name="PR" localSheetId="7">#REF!</definedName>
    <definedName name="PR" localSheetId="1">#REF!</definedName>
    <definedName name="PR" localSheetId="17">#REF!</definedName>
    <definedName name="PR" localSheetId="8">#REF!</definedName>
    <definedName name="PR" localSheetId="2">#REF!</definedName>
    <definedName name="PR" localSheetId="18">#REF!</definedName>
    <definedName name="PR" localSheetId="9">#REF!</definedName>
    <definedName name="PR" localSheetId="3">#REF!</definedName>
    <definedName name="PR" localSheetId="19">#REF!</definedName>
    <definedName name="PR" localSheetId="10">#REF!</definedName>
    <definedName name="PR" localSheetId="20">#REF!</definedName>
    <definedName name="PR" localSheetId="11">#REF!</definedName>
    <definedName name="PR" localSheetId="21">#REF!</definedName>
    <definedName name="PR" localSheetId="12">#REF!</definedName>
    <definedName name="PR" localSheetId="22">#REF!</definedName>
    <definedName name="PR" localSheetId="13">#REF!</definedName>
    <definedName name="PR">#REF!</definedName>
    <definedName name="PR_2" localSheetId="14">[46]PAG14!#REF!</definedName>
    <definedName name="PR_2" localSheetId="0">[46]PAG14!#REF!</definedName>
    <definedName name="PR_2" localSheetId="5">[46]PAG14!#REF!</definedName>
    <definedName name="PR_2" localSheetId="6">[46]PAG14!#REF!</definedName>
    <definedName name="PR_2" localSheetId="7">[46]PAG14!#REF!</definedName>
    <definedName name="PR_2" localSheetId="1">[46]PAG14!#REF!</definedName>
    <definedName name="PR_2" localSheetId="8">[46]PAG14!#REF!</definedName>
    <definedName name="PR_2" localSheetId="2">[46]PAG14!#REF!</definedName>
    <definedName name="PR_2" localSheetId="9">[46]PAG14!#REF!</definedName>
    <definedName name="PR_2" localSheetId="3">[46]PAG14!#REF!</definedName>
    <definedName name="PR_2" localSheetId="10">[46]PAG14!#REF!</definedName>
    <definedName name="PR_2" localSheetId="11">[46]PAG14!#REF!</definedName>
    <definedName name="PR_2" localSheetId="12">[46]PAG14!#REF!</definedName>
    <definedName name="PR_2" localSheetId="22">[46]PAG14!#REF!</definedName>
    <definedName name="PR_2" localSheetId="13">[46]PAG14!#REF!</definedName>
    <definedName name="PR_2">[46]PAG14!#REF!</definedName>
    <definedName name="preci" localSheetId="14">[53]PAG_33!#REF!</definedName>
    <definedName name="preci" localSheetId="0">[53]PAG_33!#REF!</definedName>
    <definedName name="preci" localSheetId="5">[53]PAG_33!#REF!</definedName>
    <definedName name="preci" localSheetId="6">[53]PAG_33!#REF!</definedName>
    <definedName name="preci" localSheetId="7">[53]PAG_33!#REF!</definedName>
    <definedName name="preci" localSheetId="1">[53]PAG_33!#REF!</definedName>
    <definedName name="preci" localSheetId="8">[53]PAG_33!#REF!</definedName>
    <definedName name="preci" localSheetId="2">[53]PAG_33!#REF!</definedName>
    <definedName name="preci" localSheetId="9">[53]PAG_33!#REF!</definedName>
    <definedName name="preci" localSheetId="3">[53]PAG_33!#REF!</definedName>
    <definedName name="preci" localSheetId="10">[53]PAG_33!#REF!</definedName>
    <definedName name="preci" localSheetId="11">[53]PAG_33!#REF!</definedName>
    <definedName name="preci" localSheetId="12">[53]PAG_33!#REF!</definedName>
    <definedName name="preci" localSheetId="22">[53]PAG_33!#REF!</definedName>
    <definedName name="preci" localSheetId="13">[53]PAG_33!#REF!</definedName>
    <definedName name="preci">[53]PAG_33!#REF!</definedName>
    <definedName name="precipitacion" localSheetId="14">[33]PAG_37!#REF!</definedName>
    <definedName name="precipitacion" localSheetId="0">[33]PAG_37!#REF!</definedName>
    <definedName name="precipitacion" localSheetId="5">[33]PAG_37!#REF!</definedName>
    <definedName name="precipitacion" localSheetId="6">[33]PAG_37!#REF!</definedName>
    <definedName name="precipitacion" localSheetId="7">[33]PAG_37!#REF!</definedName>
    <definedName name="precipitacion" localSheetId="1">[33]PAG_37!#REF!</definedName>
    <definedName name="precipitacion" localSheetId="8">[33]PAG_37!#REF!</definedName>
    <definedName name="precipitacion" localSheetId="2">[33]PAG_37!#REF!</definedName>
    <definedName name="precipitacion" localSheetId="9">[33]PAG_37!#REF!</definedName>
    <definedName name="precipitacion" localSheetId="3">[33]PAG_37!#REF!</definedName>
    <definedName name="precipitacion" localSheetId="10">[33]PAG_37!#REF!</definedName>
    <definedName name="precipitacion" localSheetId="11">[33]PAG_37!#REF!</definedName>
    <definedName name="precipitacion" localSheetId="12">[33]PAG_37!#REF!</definedName>
    <definedName name="precipitacion" localSheetId="22">[33]PAG_37!#REF!</definedName>
    <definedName name="precipitacion" localSheetId="13">[33]PAG_37!#REF!</definedName>
    <definedName name="precipitacion">[33]PAG_37!#REF!</definedName>
    <definedName name="PreCuadro">[4]Pre!$A$2:$J$32</definedName>
    <definedName name="PreCuadroA">[4]Pre!$A$34:$J$64</definedName>
    <definedName name="PREPARA">#N/A</definedName>
    <definedName name="presenta" localSheetId="14">[1]Data!#REF!</definedName>
    <definedName name="presenta" localSheetId="0">[1]Data!#REF!</definedName>
    <definedName name="presenta" localSheetId="5">[1]Data!#REF!</definedName>
    <definedName name="presenta" localSheetId="15">[1]Data!#REF!</definedName>
    <definedName name="presenta" localSheetId="6">[1]Data!#REF!</definedName>
    <definedName name="presenta" localSheetId="16">[1]Data!#REF!</definedName>
    <definedName name="presenta" localSheetId="7">[1]Data!#REF!</definedName>
    <definedName name="presenta" localSheetId="1">[1]Data!#REF!</definedName>
    <definedName name="presenta" localSheetId="17">[1]Data!#REF!</definedName>
    <definedName name="presenta" localSheetId="8">[1]Data!#REF!</definedName>
    <definedName name="presenta" localSheetId="2">[1]Data!#REF!</definedName>
    <definedName name="presenta" localSheetId="18">[1]Data!#REF!</definedName>
    <definedName name="presenta" localSheetId="9">[1]Data!#REF!</definedName>
    <definedName name="presenta" localSheetId="3">[1]Data!#REF!</definedName>
    <definedName name="presenta" localSheetId="19">[1]Data!#REF!</definedName>
    <definedName name="presenta" localSheetId="10">[1]Data!#REF!</definedName>
    <definedName name="presenta" localSheetId="20">[1]Data!#REF!</definedName>
    <definedName name="presenta" localSheetId="11">[1]Data!#REF!</definedName>
    <definedName name="presenta" localSheetId="21">[1]Data!#REF!</definedName>
    <definedName name="presenta" localSheetId="12">[1]Data!#REF!</definedName>
    <definedName name="presenta" localSheetId="22">[1]Data!#REF!</definedName>
    <definedName name="presenta" localSheetId="13">[1]Data!#REF!</definedName>
    <definedName name="presenta">[1]Data!#REF!</definedName>
    <definedName name="Print_Area_MI" localSheetId="14">'[54]Uso mayor2'!#REF!</definedName>
    <definedName name="Print_Area_MI" localSheetId="0">'[54]Uso mayor2'!#REF!</definedName>
    <definedName name="Print_Area_MI" localSheetId="5">'[54]Uso mayor2'!#REF!</definedName>
    <definedName name="Print_Area_MI" localSheetId="15">'[54]Uso mayor2'!#REF!</definedName>
    <definedName name="Print_Area_MI" localSheetId="6">'[54]Uso mayor2'!#REF!</definedName>
    <definedName name="Print_Area_MI" localSheetId="16">'[54]Uso mayor2'!#REF!</definedName>
    <definedName name="Print_Area_MI" localSheetId="7">'[54]Uso mayor2'!#REF!</definedName>
    <definedName name="Print_Area_MI" localSheetId="1">'[54]Uso mayor2'!#REF!</definedName>
    <definedName name="Print_Area_MI" localSheetId="17">'[54]Uso mayor2'!#REF!</definedName>
    <definedName name="Print_Area_MI" localSheetId="8">'[54]Uso mayor2'!#REF!</definedName>
    <definedName name="Print_Area_MI" localSheetId="2">'[54]Uso mayor2'!#REF!</definedName>
    <definedName name="Print_Area_MI" localSheetId="18">'[54]Uso mayor2'!#REF!</definedName>
    <definedName name="Print_Area_MI" localSheetId="9">'[54]Uso mayor2'!#REF!</definedName>
    <definedName name="Print_Area_MI" localSheetId="3">'[54]Uso mayor2'!#REF!</definedName>
    <definedName name="Print_Area_MI" localSheetId="19">'[54]Uso mayor2'!#REF!</definedName>
    <definedName name="Print_Area_MI" localSheetId="10">'[54]Uso mayor2'!#REF!</definedName>
    <definedName name="Print_Area_MI" localSheetId="20">'[54]Uso mayor2'!#REF!</definedName>
    <definedName name="Print_Area_MI" localSheetId="11">'[54]Uso mayor2'!#REF!</definedName>
    <definedName name="Print_Area_MI" localSheetId="21">'[54]Uso mayor2'!#REF!</definedName>
    <definedName name="Print_Area_MI" localSheetId="12">'[54]Uso mayor2'!#REF!</definedName>
    <definedName name="Print_Area_MI" localSheetId="22">'[54]Uso mayor2'!#REF!</definedName>
    <definedName name="Print_Area_MI" localSheetId="13">'[54]Uso mayor2'!#REF!</definedName>
    <definedName name="Print_Area_MI">'[54]Uso mayor2'!#REF!</definedName>
    <definedName name="Proms" localSheetId="14">[41]CotizInternac!$A$137:$H$152</definedName>
    <definedName name="Proms" localSheetId="0">[41]CotizInternac!$A$137:$H$152</definedName>
    <definedName name="Proms" localSheetId="5">[41]CotizInternac!$A$137:$H$152</definedName>
    <definedName name="Proms" localSheetId="15">[41]CotizInternac!$A$137:$H$152</definedName>
    <definedName name="Proms" localSheetId="6">[41]CotizInternac!$A$137:$H$152</definedName>
    <definedName name="Proms" localSheetId="16">[41]CotizInternac!$A$137:$H$152</definedName>
    <definedName name="Proms" localSheetId="7">[41]CotizInternac!$A$137:$H$152</definedName>
    <definedName name="Proms" localSheetId="1">[41]CotizInternac!$A$137:$H$152</definedName>
    <definedName name="Proms" localSheetId="17">[41]CotizInternac!$A$137:$H$152</definedName>
    <definedName name="Proms" localSheetId="8">[41]CotizInternac!$A$137:$H$152</definedName>
    <definedName name="Proms" localSheetId="2">[41]CotizInternac!$A$137:$H$152</definedName>
    <definedName name="Proms" localSheetId="18">[41]CotizInternac!$A$137:$H$152</definedName>
    <definedName name="Proms" localSheetId="9">[41]CotizInternac!$A$137:$H$152</definedName>
    <definedName name="Proms" localSheetId="3">[41]CotizInternac!$A$137:$H$152</definedName>
    <definedName name="Proms" localSheetId="19">[41]CotizInternac!$A$137:$H$152</definedName>
    <definedName name="Proms" localSheetId="10">[41]CotizInternac!$A$137:$H$152</definedName>
    <definedName name="Proms" localSheetId="20">[41]CotizInternac!$A$137:$H$152</definedName>
    <definedName name="Proms" localSheetId="11">[41]CotizInternac!$A$137:$H$152</definedName>
    <definedName name="Proms" localSheetId="21">[41]CotizInternac!$A$137:$H$152</definedName>
    <definedName name="Proms" localSheetId="12">[41]CotizInternac!$A$137:$H$152</definedName>
    <definedName name="Proms" localSheetId="22">[41]CotizInternac!$A$137:$H$152</definedName>
    <definedName name="Proms" localSheetId="13">[41]CotizInternac!$A$137:$H$152</definedName>
    <definedName name="Proms">[41]CotizInternac!$A$137:$H$152</definedName>
    <definedName name="Pyramid_Filename" localSheetId="14">#REF!</definedName>
    <definedName name="Pyramid_Filename" localSheetId="0">#REF!</definedName>
    <definedName name="Pyramid_Filename" localSheetId="5">#REF!</definedName>
    <definedName name="Pyramid_Filename" localSheetId="15">#REF!</definedName>
    <definedName name="Pyramid_Filename" localSheetId="6">#REF!</definedName>
    <definedName name="Pyramid_Filename" localSheetId="16">#REF!</definedName>
    <definedName name="Pyramid_Filename" localSheetId="7">#REF!</definedName>
    <definedName name="Pyramid_Filename" localSheetId="1">#REF!</definedName>
    <definedName name="Pyramid_Filename" localSheetId="17">#REF!</definedName>
    <definedName name="Pyramid_Filename" localSheetId="8">#REF!</definedName>
    <definedName name="Pyramid_Filename" localSheetId="2">#REF!</definedName>
    <definedName name="Pyramid_Filename" localSheetId="18">#REF!</definedName>
    <definedName name="Pyramid_Filename" localSheetId="9">#REF!</definedName>
    <definedName name="Pyramid_Filename" localSheetId="3">#REF!</definedName>
    <definedName name="Pyramid_Filename" localSheetId="19">#REF!</definedName>
    <definedName name="Pyramid_Filename" localSheetId="10">#REF!</definedName>
    <definedName name="Pyramid_Filename" localSheetId="20">#REF!</definedName>
    <definedName name="Pyramid_Filename" localSheetId="11">#REF!</definedName>
    <definedName name="Pyramid_Filename" localSheetId="21">#REF!</definedName>
    <definedName name="Pyramid_Filename" localSheetId="12">#REF!</definedName>
    <definedName name="Pyramid_Filename" localSheetId="22">#REF!</definedName>
    <definedName name="Pyramid_Filename" localSheetId="13">#REF!</definedName>
    <definedName name="Pyramid_Filename">#REF!</definedName>
    <definedName name="Pyramid_Title" localSheetId="14">#REF!</definedName>
    <definedName name="Pyramid_Title" localSheetId="0">#REF!</definedName>
    <definedName name="Pyramid_Title" localSheetId="5">#REF!</definedName>
    <definedName name="Pyramid_Title" localSheetId="15">#REF!</definedName>
    <definedName name="Pyramid_Title" localSheetId="6">#REF!</definedName>
    <definedName name="Pyramid_Title" localSheetId="16">#REF!</definedName>
    <definedName name="Pyramid_Title" localSheetId="7">#REF!</definedName>
    <definedName name="Pyramid_Title" localSheetId="1">#REF!</definedName>
    <definedName name="Pyramid_Title" localSheetId="17">#REF!</definedName>
    <definedName name="Pyramid_Title" localSheetId="8">#REF!</definedName>
    <definedName name="Pyramid_Title" localSheetId="2">#REF!</definedName>
    <definedName name="Pyramid_Title" localSheetId="18">#REF!</definedName>
    <definedName name="Pyramid_Title" localSheetId="9">#REF!</definedName>
    <definedName name="Pyramid_Title" localSheetId="3">#REF!</definedName>
    <definedName name="Pyramid_Title" localSheetId="19">#REF!</definedName>
    <definedName name="Pyramid_Title" localSheetId="10">#REF!</definedName>
    <definedName name="Pyramid_Title" localSheetId="20">#REF!</definedName>
    <definedName name="Pyramid_Title" localSheetId="11">#REF!</definedName>
    <definedName name="Pyramid_Title" localSheetId="21">#REF!</definedName>
    <definedName name="Pyramid_Title" localSheetId="12">#REF!</definedName>
    <definedName name="Pyramid_Title" localSheetId="22">#REF!</definedName>
    <definedName name="Pyramid_Title" localSheetId="13">#REF!</definedName>
    <definedName name="Pyramid_Title">#REF!</definedName>
    <definedName name="PZs" localSheetId="14">#REF!</definedName>
    <definedName name="PZs" localSheetId="0">#REF!</definedName>
    <definedName name="PZs" localSheetId="5">#REF!</definedName>
    <definedName name="PZs" localSheetId="15">#REF!</definedName>
    <definedName name="PZs" localSheetId="6">#REF!</definedName>
    <definedName name="PZs" localSheetId="16">#REF!</definedName>
    <definedName name="PZs" localSheetId="7">#REF!</definedName>
    <definedName name="PZs" localSheetId="1">#REF!</definedName>
    <definedName name="PZs" localSheetId="17">#REF!</definedName>
    <definedName name="PZs" localSheetId="8">#REF!</definedName>
    <definedName name="PZs" localSheetId="2">#REF!</definedName>
    <definedName name="PZs" localSheetId="18">#REF!</definedName>
    <definedName name="PZs" localSheetId="9">#REF!</definedName>
    <definedName name="PZs" localSheetId="3">#REF!</definedName>
    <definedName name="PZs" localSheetId="19">#REF!</definedName>
    <definedName name="PZs" localSheetId="10">#REF!</definedName>
    <definedName name="PZs" localSheetId="20">#REF!</definedName>
    <definedName name="PZs" localSheetId="11">#REF!</definedName>
    <definedName name="PZs" localSheetId="21">#REF!</definedName>
    <definedName name="PZs" localSheetId="12">#REF!</definedName>
    <definedName name="PZs" localSheetId="22">#REF!</definedName>
    <definedName name="PZs" localSheetId="13">#REF!</definedName>
    <definedName name="PZs">#REF!</definedName>
    <definedName name="Rango_Maestro">[25]Inputs!$C$2:$M$48</definedName>
    <definedName name="rango0" localSheetId="14">[27]Banda!$B$626:$Q$648</definedName>
    <definedName name="rango0" localSheetId="0">[27]Banda!$B$626:$Q$648</definedName>
    <definedName name="rango0" localSheetId="5">[27]Banda!$B$626:$Q$648</definedName>
    <definedName name="rango0" localSheetId="15">[27]Banda!$B$626:$Q$648</definedName>
    <definedName name="rango0" localSheetId="6">[27]Banda!$B$626:$Q$648</definedName>
    <definedName name="rango0" localSheetId="16">[27]Banda!$B$626:$Q$648</definedName>
    <definedName name="rango0" localSheetId="7">[27]Banda!$B$626:$Q$648</definedName>
    <definedName name="rango0" localSheetId="1">[27]Banda!$B$626:$Q$648</definedName>
    <definedName name="rango0" localSheetId="17">[27]Banda!$B$626:$Q$648</definedName>
    <definedName name="rango0" localSheetId="8">[27]Banda!$B$626:$Q$648</definedName>
    <definedName name="rango0" localSheetId="2">[27]Banda!$B$626:$Q$648</definedName>
    <definedName name="rango0" localSheetId="18">[27]Banda!$B$626:$Q$648</definedName>
    <definedName name="rango0" localSheetId="9">[27]Banda!$B$626:$Q$648</definedName>
    <definedName name="rango0" localSheetId="3">[27]Banda!$B$626:$Q$648</definedName>
    <definedName name="rango0" localSheetId="19">[27]Banda!$B$626:$Q$648</definedName>
    <definedName name="rango0" localSheetId="10">[27]Banda!$B$626:$Q$648</definedName>
    <definedName name="rango0" localSheetId="20">[27]Banda!$B$626:$Q$648</definedName>
    <definedName name="rango0" localSheetId="11">[27]Banda!$B$626:$Q$648</definedName>
    <definedName name="rango0" localSheetId="21">[27]Banda!$B$626:$Q$648</definedName>
    <definedName name="rango0" localSheetId="12">[27]Banda!$B$626:$Q$648</definedName>
    <definedName name="rango0" localSheetId="22">[27]Banda!$B$626:$Q$648</definedName>
    <definedName name="rango0" localSheetId="13">[27]Banda!$B$626:$Q$648</definedName>
    <definedName name="rango0">[27]Banda!$B$626:$Q$648</definedName>
    <definedName name="rango1" localSheetId="14">[27]Banda!$D$631:$F$639</definedName>
    <definedName name="rango1" localSheetId="0">[27]Banda!$D$631:$F$639</definedName>
    <definedName name="rango1" localSheetId="5">[27]Banda!$D$631:$F$639</definedName>
    <definedName name="rango1" localSheetId="15">[27]Banda!$D$631:$F$639</definedName>
    <definedName name="rango1" localSheetId="6">[27]Banda!$D$631:$F$639</definedName>
    <definedName name="rango1" localSheetId="16">[27]Banda!$D$631:$F$639</definedName>
    <definedName name="rango1" localSheetId="7">[27]Banda!$D$631:$F$639</definedName>
    <definedName name="rango1" localSheetId="1">[27]Banda!$D$631:$F$639</definedName>
    <definedName name="rango1" localSheetId="17">[27]Banda!$D$631:$F$639</definedName>
    <definedName name="rango1" localSheetId="8">[27]Banda!$D$631:$F$639</definedName>
    <definedName name="rango1" localSheetId="2">[27]Banda!$D$631:$F$639</definedName>
    <definedName name="rango1" localSheetId="18">[27]Banda!$D$631:$F$639</definedName>
    <definedName name="rango1" localSheetId="9">[27]Banda!$D$631:$F$639</definedName>
    <definedName name="rango1" localSheetId="3">[27]Banda!$D$631:$F$639</definedName>
    <definedName name="rango1" localSheetId="19">[27]Banda!$D$631:$F$639</definedName>
    <definedName name="rango1" localSheetId="10">[27]Banda!$D$631:$F$639</definedName>
    <definedName name="rango1" localSheetId="20">[27]Banda!$D$631:$F$639</definedName>
    <definedName name="rango1" localSheetId="11">[27]Banda!$D$631:$F$639</definedName>
    <definedName name="rango1" localSheetId="21">[27]Banda!$D$631:$F$639</definedName>
    <definedName name="rango1" localSheetId="12">[27]Banda!$D$631:$F$639</definedName>
    <definedName name="rango1" localSheetId="22">[27]Banda!$D$631:$F$639</definedName>
    <definedName name="rango1" localSheetId="13">[27]Banda!$D$631:$F$639</definedName>
    <definedName name="rango1">[27]Banda!$D$631:$F$639</definedName>
    <definedName name="REAL" localSheetId="14">#REF!</definedName>
    <definedName name="REAL" localSheetId="0">#REF!</definedName>
    <definedName name="REAL" localSheetId="5">#REF!</definedName>
    <definedName name="REAL" localSheetId="15">#REF!</definedName>
    <definedName name="REAL" localSheetId="6">#REF!</definedName>
    <definedName name="REAL" localSheetId="16">#REF!</definedName>
    <definedName name="REAL" localSheetId="7">#REF!</definedName>
    <definedName name="REAL" localSheetId="1">#REF!</definedName>
    <definedName name="REAL" localSheetId="17">#REF!</definedName>
    <definedName name="REAL" localSheetId="8">#REF!</definedName>
    <definedName name="REAL" localSheetId="2">#REF!</definedName>
    <definedName name="REAL" localSheetId="18">#REF!</definedName>
    <definedName name="REAL" localSheetId="9">#REF!</definedName>
    <definedName name="REAL" localSheetId="3">#REF!</definedName>
    <definedName name="REAL" localSheetId="19">#REF!</definedName>
    <definedName name="REAL" localSheetId="10">#REF!</definedName>
    <definedName name="REAL" localSheetId="20">#REF!</definedName>
    <definedName name="REAL" localSheetId="11">#REF!</definedName>
    <definedName name="REAL" localSheetId="21">#REF!</definedName>
    <definedName name="REAL" localSheetId="12">#REF!</definedName>
    <definedName name="REAL" localSheetId="22">#REF!</definedName>
    <definedName name="REAL" localSheetId="13">#REF!</definedName>
    <definedName name="REAL">#REF!</definedName>
    <definedName name="RedsBTPLTP">[4]SOB!$B$8:$B$33</definedName>
    <definedName name="RedsCDBCRP">[4]CDMP!$H$3:$H$1801</definedName>
    <definedName name="rentames" localSheetId="14">'[51]Sol traspaso'!#REF!</definedName>
    <definedName name="rentames" localSheetId="0">'[51]Sol traspaso'!#REF!</definedName>
    <definedName name="rentames" localSheetId="5">'[51]Sol traspaso'!#REF!</definedName>
    <definedName name="rentames" localSheetId="15">'[51]Sol traspaso'!#REF!</definedName>
    <definedName name="rentames" localSheetId="6">'[51]Sol traspaso'!#REF!</definedName>
    <definedName name="rentames" localSheetId="16">'[51]Sol traspaso'!#REF!</definedName>
    <definedName name="rentames" localSheetId="7">'[51]Sol traspaso'!#REF!</definedName>
    <definedName name="rentames" localSheetId="1">'[51]Sol traspaso'!#REF!</definedName>
    <definedName name="rentames" localSheetId="17">'[51]Sol traspaso'!#REF!</definedName>
    <definedName name="rentames" localSheetId="8">'[51]Sol traspaso'!#REF!</definedName>
    <definedName name="rentames" localSheetId="2">'[51]Sol traspaso'!#REF!</definedName>
    <definedName name="rentames" localSheetId="18">'[51]Sol traspaso'!#REF!</definedName>
    <definedName name="rentames" localSheetId="9">'[51]Sol traspaso'!#REF!</definedName>
    <definedName name="rentames" localSheetId="3">'[51]Sol traspaso'!#REF!</definedName>
    <definedName name="rentames" localSheetId="19">'[51]Sol traspaso'!#REF!</definedName>
    <definedName name="rentames" localSheetId="10">'[51]Sol traspaso'!#REF!</definedName>
    <definedName name="rentames" localSheetId="20">'[51]Sol traspaso'!#REF!</definedName>
    <definedName name="rentames" localSheetId="11">'[51]Sol traspaso'!#REF!</definedName>
    <definedName name="rentames" localSheetId="21">'[51]Sol traspaso'!#REF!</definedName>
    <definedName name="rentames" localSheetId="12">'[51]Sol traspaso'!#REF!</definedName>
    <definedName name="rentames" localSheetId="22">'[51]Sol traspaso'!#REF!</definedName>
    <definedName name="rentames" localSheetId="13">'[51]Sol traspaso'!#REF!</definedName>
    <definedName name="rentames">'[51]Sol traspaso'!#REF!</definedName>
    <definedName name="ResEMBIe">[4]EXT!$S$312:$AA$327</definedName>
    <definedName name="ResEMBIf">[4]EXT!$S$330:$AA$345</definedName>
    <definedName name="ResEMBIp">[4]EXT!$S$293:$AA$309</definedName>
    <definedName name="rfd" localSheetId="14">[24]PAG_35!#REF!</definedName>
    <definedName name="rfd" localSheetId="0">[24]PAG_35!#REF!</definedName>
    <definedName name="rfd" localSheetId="5">[24]PAG_35!#REF!</definedName>
    <definedName name="rfd" localSheetId="15">[24]PAG_35!#REF!</definedName>
    <definedName name="rfd" localSheetId="6">[24]PAG_35!#REF!</definedName>
    <definedName name="rfd" localSheetId="16">[24]PAG_35!#REF!</definedName>
    <definedName name="rfd" localSheetId="7">[24]PAG_35!#REF!</definedName>
    <definedName name="rfd" localSheetId="1">[24]PAG_35!#REF!</definedName>
    <definedName name="rfd" localSheetId="17">[24]PAG_35!#REF!</definedName>
    <definedName name="rfd" localSheetId="8">[24]PAG_35!#REF!</definedName>
    <definedName name="rfd" localSheetId="2">[24]PAG_35!#REF!</definedName>
    <definedName name="rfd" localSheetId="18">[24]PAG_35!#REF!</definedName>
    <definedName name="rfd" localSheetId="9">[24]PAG_35!#REF!</definedName>
    <definedName name="rfd" localSheetId="3">[24]PAG_35!#REF!</definedName>
    <definedName name="rfd" localSheetId="19">[24]PAG_35!#REF!</definedName>
    <definedName name="rfd" localSheetId="10">[24]PAG_35!#REF!</definedName>
    <definedName name="rfd" localSheetId="20">[24]PAG_35!#REF!</definedName>
    <definedName name="rfd" localSheetId="11">[24]PAG_35!#REF!</definedName>
    <definedName name="rfd" localSheetId="21">[24]PAG_35!#REF!</definedName>
    <definedName name="rfd" localSheetId="12">[24]PAG_35!#REF!</definedName>
    <definedName name="rfd" localSheetId="22">[24]PAG_35!#REF!</definedName>
    <definedName name="rfd" localSheetId="13">[24]PAG_35!#REF!</definedName>
    <definedName name="rfd">[24]PAG_35!#REF!</definedName>
    <definedName name="RO" localSheetId="14">#REF!</definedName>
    <definedName name="RO" localSheetId="0">#REF!</definedName>
    <definedName name="RO" localSheetId="5">#REF!</definedName>
    <definedName name="RO" localSheetId="15">#REF!</definedName>
    <definedName name="RO" localSheetId="6">#REF!</definedName>
    <definedName name="RO" localSheetId="16">#REF!</definedName>
    <definedName name="RO" localSheetId="7">#REF!</definedName>
    <definedName name="RO" localSheetId="1">#REF!</definedName>
    <definedName name="RO" localSheetId="17">#REF!</definedName>
    <definedName name="RO" localSheetId="8">#REF!</definedName>
    <definedName name="RO" localSheetId="2">#REF!</definedName>
    <definedName name="RO" localSheetId="18">#REF!</definedName>
    <definedName name="RO" localSheetId="9">#REF!</definedName>
    <definedName name="RO" localSheetId="3">#REF!</definedName>
    <definedName name="RO" localSheetId="19">#REF!</definedName>
    <definedName name="RO" localSheetId="10">#REF!</definedName>
    <definedName name="RO" localSheetId="20">#REF!</definedName>
    <definedName name="RO" localSheetId="11">#REF!</definedName>
    <definedName name="RO" localSheetId="21">#REF!</definedName>
    <definedName name="RO" localSheetId="12">#REF!</definedName>
    <definedName name="RO" localSheetId="22">#REF!</definedName>
    <definedName name="RO" localSheetId="13">#REF!</definedName>
    <definedName name="RO">#REF!</definedName>
    <definedName name="RO_2" localSheetId="14">[46]PAG14!#REF!</definedName>
    <definedName name="RO_2" localSheetId="0">[46]PAG14!#REF!</definedName>
    <definedName name="RO_2" localSheetId="5">[46]PAG14!#REF!</definedName>
    <definedName name="RO_2" localSheetId="15">[46]PAG14!#REF!</definedName>
    <definedName name="RO_2" localSheetId="6">[46]PAG14!#REF!</definedName>
    <definedName name="RO_2" localSheetId="16">[46]PAG14!#REF!</definedName>
    <definedName name="RO_2" localSheetId="7">[46]PAG14!#REF!</definedName>
    <definedName name="RO_2" localSheetId="1">[46]PAG14!#REF!</definedName>
    <definedName name="RO_2" localSheetId="17">[46]PAG14!#REF!</definedName>
    <definedName name="RO_2" localSheetId="8">[46]PAG14!#REF!</definedName>
    <definedName name="RO_2" localSheetId="2">[46]PAG14!#REF!</definedName>
    <definedName name="RO_2" localSheetId="18">[46]PAG14!#REF!</definedName>
    <definedName name="RO_2" localSheetId="9">[46]PAG14!#REF!</definedName>
    <definedName name="RO_2" localSheetId="3">[46]PAG14!#REF!</definedName>
    <definedName name="RO_2" localSheetId="19">[46]PAG14!#REF!</definedName>
    <definedName name="RO_2" localSheetId="10">[46]PAG14!#REF!</definedName>
    <definedName name="RO_2" localSheetId="20">[46]PAG14!#REF!</definedName>
    <definedName name="RO_2" localSheetId="11">[46]PAG14!#REF!</definedName>
    <definedName name="RO_2" localSheetId="21">[46]PAG14!#REF!</definedName>
    <definedName name="RO_2" localSheetId="12">[46]PAG14!#REF!</definedName>
    <definedName name="RO_2" localSheetId="22">[46]PAG14!#REF!</definedName>
    <definedName name="RO_2" localSheetId="13">[46]PAG14!#REF!</definedName>
    <definedName name="RO_2">[46]PAG14!#REF!</definedName>
    <definedName name="rr">#REF!</definedName>
    <definedName name="S" localSheetId="14">#REF!</definedName>
    <definedName name="S" localSheetId="0">#REF!</definedName>
    <definedName name="S" localSheetId="5">#REF!</definedName>
    <definedName name="S" localSheetId="15">#REF!</definedName>
    <definedName name="S" localSheetId="6">#REF!</definedName>
    <definedName name="S" localSheetId="16">#REF!</definedName>
    <definedName name="S" localSheetId="7">#REF!</definedName>
    <definedName name="S" localSheetId="1">#REF!</definedName>
    <definedName name="S" localSheetId="17">#REF!</definedName>
    <definedName name="S" localSheetId="8">#REF!</definedName>
    <definedName name="S" localSheetId="2">#REF!</definedName>
    <definedName name="S" localSheetId="18">#REF!</definedName>
    <definedName name="S" localSheetId="9">#REF!</definedName>
    <definedName name="S" localSheetId="3">#REF!</definedName>
    <definedName name="S" localSheetId="19">#REF!</definedName>
    <definedName name="S" localSheetId="10">#REF!</definedName>
    <definedName name="S" localSheetId="20">#REF!</definedName>
    <definedName name="S" localSheetId="11">#REF!</definedName>
    <definedName name="S" localSheetId="21">#REF!</definedName>
    <definedName name="S" localSheetId="12">#REF!</definedName>
    <definedName name="S" localSheetId="22">#REF!</definedName>
    <definedName name="S" localSheetId="13">#REF!</definedName>
    <definedName name="S">#REF!</definedName>
    <definedName name="S17b" localSheetId="14">[1]Data!#REF!</definedName>
    <definedName name="S17b" localSheetId="0">[1]Data!#REF!</definedName>
    <definedName name="S17b" localSheetId="5">[1]Data!#REF!</definedName>
    <definedName name="S17b" localSheetId="15">[1]Data!#REF!</definedName>
    <definedName name="S17b" localSheetId="6">[1]Data!#REF!</definedName>
    <definedName name="S17b" localSheetId="16">[1]Data!#REF!</definedName>
    <definedName name="S17b" localSheetId="7">[1]Data!#REF!</definedName>
    <definedName name="S17b" localSheetId="1">[1]Data!#REF!</definedName>
    <definedName name="S17b" localSheetId="17">[1]Data!#REF!</definedName>
    <definedName name="S17b" localSheetId="8">[1]Data!#REF!</definedName>
    <definedName name="S17b" localSheetId="2">[1]Data!#REF!</definedName>
    <definedName name="S17b" localSheetId="18">[1]Data!#REF!</definedName>
    <definedName name="S17b" localSheetId="9">[1]Data!#REF!</definedName>
    <definedName name="S17b" localSheetId="3">[1]Data!#REF!</definedName>
    <definedName name="S17b" localSheetId="19">[1]Data!#REF!</definedName>
    <definedName name="S17b" localSheetId="10">[1]Data!#REF!</definedName>
    <definedName name="S17b" localSheetId="20">[1]Data!#REF!</definedName>
    <definedName name="S17b" localSheetId="11">[1]Data!#REF!</definedName>
    <definedName name="S17b" localSheetId="21">[1]Data!#REF!</definedName>
    <definedName name="S17b" localSheetId="12">[1]Data!#REF!</definedName>
    <definedName name="S17b" localSheetId="22">[1]Data!#REF!</definedName>
    <definedName name="S17b" localSheetId="13">[1]Data!#REF!</definedName>
    <definedName name="S17b">[1]Data!#REF!</definedName>
    <definedName name="sad" localSheetId="14">[24]PAG_35!#REF!</definedName>
    <definedName name="sad" localSheetId="0">[24]PAG_35!#REF!</definedName>
    <definedName name="sad" localSheetId="5">[24]PAG_35!#REF!</definedName>
    <definedName name="sad" localSheetId="15">[24]PAG_35!#REF!</definedName>
    <definedName name="sad" localSheetId="6">[24]PAG_35!#REF!</definedName>
    <definedName name="sad" localSheetId="16">[24]PAG_35!#REF!</definedName>
    <definedName name="sad" localSheetId="7">[24]PAG_35!#REF!</definedName>
    <definedName name="sad" localSheetId="1">[24]PAG_35!#REF!</definedName>
    <definedName name="sad" localSheetId="17">[24]PAG_35!#REF!</definedName>
    <definedName name="sad" localSheetId="8">[24]PAG_35!#REF!</definedName>
    <definedName name="sad" localSheetId="2">[24]PAG_35!#REF!</definedName>
    <definedName name="sad" localSheetId="18">[24]PAG_35!#REF!</definedName>
    <definedName name="sad" localSheetId="9">[24]PAG_35!#REF!</definedName>
    <definedName name="sad" localSheetId="3">[24]PAG_35!#REF!</definedName>
    <definedName name="sad" localSheetId="19">[24]PAG_35!#REF!</definedName>
    <definedName name="sad" localSheetId="10">[24]PAG_35!#REF!</definedName>
    <definedName name="sad" localSheetId="20">[24]PAG_35!#REF!</definedName>
    <definedName name="sad" localSheetId="11">[24]PAG_35!#REF!</definedName>
    <definedName name="sad" localSheetId="21">[24]PAG_35!#REF!</definedName>
    <definedName name="sad" localSheetId="12">[24]PAG_35!#REF!</definedName>
    <definedName name="sad" localSheetId="22">[24]PAG_35!#REF!</definedName>
    <definedName name="sad" localSheetId="13">[24]PAG_35!#REF!</definedName>
    <definedName name="sad">[24]PAG_35!#REF!</definedName>
    <definedName name="sadadad" hidden="1">[14]balance!#REF!</definedName>
    <definedName name="sadgfdfs" localSheetId="14">#REF!,#REF!</definedName>
    <definedName name="sadgfdfs" localSheetId="0">#REF!,#REF!</definedName>
    <definedName name="sadgfdfs" localSheetId="5">#REF!,#REF!</definedName>
    <definedName name="sadgfdfs" localSheetId="15">#REF!,#REF!</definedName>
    <definedName name="sadgfdfs" localSheetId="6">#REF!,#REF!</definedName>
    <definedName name="sadgfdfs" localSheetId="16">#REF!,#REF!</definedName>
    <definedName name="sadgfdfs" localSheetId="7">#REF!,#REF!</definedName>
    <definedName name="sadgfdfs" localSheetId="1">#REF!,#REF!</definedName>
    <definedName name="sadgfdfs" localSheetId="17">#REF!,#REF!</definedName>
    <definedName name="sadgfdfs" localSheetId="8">#REF!,#REF!</definedName>
    <definedName name="sadgfdfs" localSheetId="2">#REF!,#REF!</definedName>
    <definedName name="sadgfdfs" localSheetId="18">#REF!,#REF!</definedName>
    <definedName name="sadgfdfs" localSheetId="9">#REF!,#REF!</definedName>
    <definedName name="sadgfdfs" localSheetId="3">#REF!,#REF!</definedName>
    <definedName name="sadgfdfs" localSheetId="19">#REF!,#REF!</definedName>
    <definedName name="sadgfdfs" localSheetId="10">#REF!,#REF!</definedName>
    <definedName name="sadgfdfs" localSheetId="20">#REF!,#REF!</definedName>
    <definedName name="sadgfdfs" localSheetId="11">#REF!,#REF!</definedName>
    <definedName name="sadgfdfs" localSheetId="21">#REF!,#REF!</definedName>
    <definedName name="sadgfdfs" localSheetId="12">#REF!,#REF!</definedName>
    <definedName name="sadgfdfs" localSheetId="22">#REF!,#REF!</definedName>
    <definedName name="sadgfdfs" localSheetId="13">#REF!,#REF!</definedName>
    <definedName name="sadgfdfs">#REF!,#REF!</definedName>
    <definedName name="sdd" localSheetId="14">#REF!,#REF!,#REF!,#REF!,#REF!</definedName>
    <definedName name="sdd" localSheetId="0">#REF!,#REF!,#REF!,#REF!,#REF!</definedName>
    <definedName name="sdd" localSheetId="5">#REF!,#REF!,#REF!,#REF!,#REF!</definedName>
    <definedName name="sdd" localSheetId="15">#REF!,#REF!,#REF!,#REF!,#REF!</definedName>
    <definedName name="sdd" localSheetId="6">#REF!,#REF!,#REF!,#REF!,#REF!</definedName>
    <definedName name="sdd" localSheetId="16">#REF!,#REF!,#REF!,#REF!,#REF!</definedName>
    <definedName name="sdd" localSheetId="7">#REF!,#REF!,#REF!,#REF!,#REF!</definedName>
    <definedName name="sdd" localSheetId="1">#REF!,#REF!,#REF!,#REF!,#REF!</definedName>
    <definedName name="sdd" localSheetId="17">#REF!,#REF!,#REF!,#REF!,#REF!</definedName>
    <definedName name="sdd" localSheetId="8">#REF!,#REF!,#REF!,#REF!,#REF!</definedName>
    <definedName name="sdd" localSheetId="2">#REF!,#REF!,#REF!,#REF!,#REF!</definedName>
    <definedName name="sdd" localSheetId="18">#REF!,#REF!,#REF!,#REF!,#REF!</definedName>
    <definedName name="sdd" localSheetId="9">#REF!,#REF!,#REF!,#REF!,#REF!</definedName>
    <definedName name="sdd" localSheetId="3">#REF!,#REF!,#REF!,#REF!,#REF!</definedName>
    <definedName name="sdd" localSheetId="19">#REF!,#REF!,#REF!,#REF!,#REF!</definedName>
    <definedName name="sdd" localSheetId="10">#REF!,#REF!,#REF!,#REF!,#REF!</definedName>
    <definedName name="sdd" localSheetId="20">#REF!,#REF!,#REF!,#REF!,#REF!</definedName>
    <definedName name="sdd" localSheetId="11">#REF!,#REF!,#REF!,#REF!,#REF!</definedName>
    <definedName name="sdd" localSheetId="21">#REF!,#REF!,#REF!,#REF!,#REF!</definedName>
    <definedName name="sdd" localSheetId="12">#REF!,#REF!,#REF!,#REF!,#REF!</definedName>
    <definedName name="sdd" localSheetId="22">#REF!,#REF!,#REF!,#REF!,#REF!</definedName>
    <definedName name="sdd" localSheetId="13">#REF!,#REF!,#REF!,#REF!,#REF!</definedName>
    <definedName name="sdd">#REF!,#REF!,#REF!,#REF!,#REF!</definedName>
    <definedName name="sdsadfd" localSheetId="14">#REF!,#REF!,#REF!</definedName>
    <definedName name="sdsadfd" localSheetId="0">#REF!,#REF!,#REF!</definedName>
    <definedName name="sdsadfd" localSheetId="5">#REF!,#REF!,#REF!</definedName>
    <definedName name="sdsadfd" localSheetId="15">#REF!,#REF!,#REF!</definedName>
    <definedName name="sdsadfd" localSheetId="6">#REF!,#REF!,#REF!</definedName>
    <definedName name="sdsadfd" localSheetId="16">#REF!,#REF!,#REF!</definedName>
    <definedName name="sdsadfd" localSheetId="7">#REF!,#REF!,#REF!</definedName>
    <definedName name="sdsadfd" localSheetId="1">#REF!,#REF!,#REF!</definedName>
    <definedName name="sdsadfd" localSheetId="17">#REF!,#REF!,#REF!</definedName>
    <definedName name="sdsadfd" localSheetId="8">#REF!,#REF!,#REF!</definedName>
    <definedName name="sdsadfd" localSheetId="2">#REF!,#REF!,#REF!</definedName>
    <definedName name="sdsadfd" localSheetId="18">#REF!,#REF!,#REF!</definedName>
    <definedName name="sdsadfd" localSheetId="9">#REF!,#REF!,#REF!</definedName>
    <definedName name="sdsadfd" localSheetId="3">#REF!,#REF!,#REF!</definedName>
    <definedName name="sdsadfd" localSheetId="19">#REF!,#REF!,#REF!</definedName>
    <definedName name="sdsadfd" localSheetId="10">#REF!,#REF!,#REF!</definedName>
    <definedName name="sdsadfd" localSheetId="20">#REF!,#REF!,#REF!</definedName>
    <definedName name="sdsadfd" localSheetId="11">#REF!,#REF!,#REF!</definedName>
    <definedName name="sdsadfd" localSheetId="21">#REF!,#REF!,#REF!</definedName>
    <definedName name="sdsadfd" localSheetId="12">#REF!,#REF!,#REF!</definedName>
    <definedName name="sdsadfd" localSheetId="22">#REF!,#REF!,#REF!</definedName>
    <definedName name="sdsadfd" localSheetId="13">#REF!,#REF!,#REF!</definedName>
    <definedName name="sdsadfd">#REF!,#REF!,#REF!</definedName>
    <definedName name="sgfsg" localSheetId="14">#REF!</definedName>
    <definedName name="sgfsg" localSheetId="0">#REF!</definedName>
    <definedName name="sgfsg" localSheetId="5">#REF!</definedName>
    <definedName name="sgfsg" localSheetId="15">#REF!</definedName>
    <definedName name="sgfsg" localSheetId="6">#REF!</definedName>
    <definedName name="sgfsg" localSheetId="16">#REF!</definedName>
    <definedName name="sgfsg" localSheetId="7">#REF!</definedName>
    <definedName name="sgfsg" localSheetId="1">#REF!</definedName>
    <definedName name="sgfsg" localSheetId="17">#REF!</definedName>
    <definedName name="sgfsg" localSheetId="8">#REF!</definedName>
    <definedName name="sgfsg" localSheetId="2">#REF!</definedName>
    <definedName name="sgfsg" localSheetId="18">#REF!</definedName>
    <definedName name="sgfsg" localSheetId="9">#REF!</definedName>
    <definedName name="sgfsg" localSheetId="3">#REF!</definedName>
    <definedName name="sgfsg" localSheetId="19">#REF!</definedName>
    <definedName name="sgfsg" localSheetId="10">#REF!</definedName>
    <definedName name="sgfsg" localSheetId="20">#REF!</definedName>
    <definedName name="sgfsg" localSheetId="11">#REF!</definedName>
    <definedName name="sgfsg" localSheetId="21">#REF!</definedName>
    <definedName name="sgfsg" localSheetId="12">#REF!</definedName>
    <definedName name="sgfsg" localSheetId="22">#REF!</definedName>
    <definedName name="sgfsg" localSheetId="13">#REF!</definedName>
    <definedName name="sgfsg">#REF!</definedName>
    <definedName name="SOBREVIVENCIA" localSheetId="14">#REF!</definedName>
    <definedName name="SOBREVIVENCIA" localSheetId="0">#REF!</definedName>
    <definedName name="SOBREVIVENCIA" localSheetId="5">#REF!</definedName>
    <definedName name="SOBREVIVENCIA" localSheetId="15">#REF!</definedName>
    <definedName name="SOBREVIVENCIA" localSheetId="6">#REF!</definedName>
    <definedName name="SOBREVIVENCIA" localSheetId="16">#REF!</definedName>
    <definedName name="SOBREVIVENCIA" localSheetId="7">#REF!</definedName>
    <definedName name="SOBREVIVENCIA" localSheetId="1">#REF!</definedName>
    <definedName name="SOBREVIVENCIA" localSheetId="17">#REF!</definedName>
    <definedName name="SOBREVIVENCIA" localSheetId="8">#REF!</definedName>
    <definedName name="SOBREVIVENCIA" localSheetId="2">#REF!</definedName>
    <definedName name="SOBREVIVENCIA" localSheetId="18">#REF!</definedName>
    <definedName name="SOBREVIVENCIA" localSheetId="9">#REF!</definedName>
    <definedName name="SOBREVIVENCIA" localSheetId="3">#REF!</definedName>
    <definedName name="SOBREVIVENCIA" localSheetId="19">#REF!</definedName>
    <definedName name="SOBREVIVENCIA" localSheetId="10">#REF!</definedName>
    <definedName name="SOBREVIVENCIA" localSheetId="20">#REF!</definedName>
    <definedName name="SOBREVIVENCIA" localSheetId="11">#REF!</definedName>
    <definedName name="SOBREVIVENCIA" localSheetId="21">#REF!</definedName>
    <definedName name="SOBREVIVENCIA" localSheetId="12">#REF!</definedName>
    <definedName name="SOBREVIVENCIA" localSheetId="22">#REF!</definedName>
    <definedName name="SOBREVIVENCIA" localSheetId="13">#REF!</definedName>
    <definedName name="SOBREVIVENCIA">#REF!</definedName>
    <definedName name="sss" localSheetId="14">#REF!,#REF!</definedName>
    <definedName name="sss" localSheetId="0">#REF!,#REF!</definedName>
    <definedName name="sss" localSheetId="5">#REF!,#REF!</definedName>
    <definedName name="sss" localSheetId="15">#REF!,#REF!</definedName>
    <definedName name="sss" localSheetId="6">#REF!,#REF!</definedName>
    <definedName name="sss" localSheetId="16">#REF!,#REF!</definedName>
    <definedName name="sss" localSheetId="7">#REF!,#REF!</definedName>
    <definedName name="sss" localSheetId="1">#REF!,#REF!</definedName>
    <definedName name="sss" localSheetId="17">#REF!,#REF!</definedName>
    <definedName name="sss" localSheetId="8">#REF!,#REF!</definedName>
    <definedName name="sss" localSheetId="2">#REF!,#REF!</definedName>
    <definedName name="sss" localSheetId="18">#REF!,#REF!</definedName>
    <definedName name="sss" localSheetId="9">#REF!,#REF!</definedName>
    <definedName name="sss" localSheetId="3">#REF!,#REF!</definedName>
    <definedName name="sss" localSheetId="19">#REF!,#REF!</definedName>
    <definedName name="sss" localSheetId="10">#REF!,#REF!</definedName>
    <definedName name="sss" localSheetId="20">#REF!,#REF!</definedName>
    <definedName name="sss" localSheetId="11">#REF!,#REF!</definedName>
    <definedName name="sss" localSheetId="21">#REF!,#REF!</definedName>
    <definedName name="sss" localSheetId="12">#REF!,#REF!</definedName>
    <definedName name="sss" localSheetId="22">#REF!,#REF!</definedName>
    <definedName name="sss" localSheetId="13">#REF!,#REF!</definedName>
    <definedName name="sss">#REF!,#REF!</definedName>
    <definedName name="Stop_at_age" localSheetId="14">#REF!</definedName>
    <definedName name="Stop_at_age" localSheetId="0">#REF!</definedName>
    <definedName name="Stop_at_age" localSheetId="5">#REF!</definedName>
    <definedName name="Stop_at_age" localSheetId="15">#REF!</definedName>
    <definedName name="Stop_at_age" localSheetId="6">#REF!</definedName>
    <definedName name="Stop_at_age" localSheetId="16">#REF!</definedName>
    <definedName name="Stop_at_age" localSheetId="7">#REF!</definedName>
    <definedName name="Stop_at_age" localSheetId="1">#REF!</definedName>
    <definedName name="Stop_at_age" localSheetId="17">#REF!</definedName>
    <definedName name="Stop_at_age" localSheetId="8">#REF!</definedName>
    <definedName name="Stop_at_age" localSheetId="2">#REF!</definedName>
    <definedName name="Stop_at_age" localSheetId="18">#REF!</definedName>
    <definedName name="Stop_at_age" localSheetId="9">#REF!</definedName>
    <definedName name="Stop_at_age" localSheetId="3">#REF!</definedName>
    <definedName name="Stop_at_age" localSheetId="19">#REF!</definedName>
    <definedName name="Stop_at_age" localSheetId="10">#REF!</definedName>
    <definedName name="Stop_at_age" localSheetId="20">#REF!</definedName>
    <definedName name="Stop_at_age" localSheetId="11">#REF!</definedName>
    <definedName name="Stop_at_age" localSheetId="21">#REF!</definedName>
    <definedName name="Stop_at_age" localSheetId="12">#REF!</definedName>
    <definedName name="Stop_at_age" localSheetId="22">#REF!</definedName>
    <definedName name="Stop_at_age" localSheetId="13">#REF!</definedName>
    <definedName name="Stop_at_age">#REF!</definedName>
    <definedName name="svs" localSheetId="14">[55]PAG42!#REF!</definedName>
    <definedName name="svs" localSheetId="0">[55]PAG42!#REF!</definedName>
    <definedName name="svs" localSheetId="5">[55]PAG42!#REF!</definedName>
    <definedName name="svs" localSheetId="15">[55]PAG42!#REF!</definedName>
    <definedName name="svs" localSheetId="6">[55]PAG42!#REF!</definedName>
    <definedName name="svs" localSheetId="16">[55]PAG42!#REF!</definedName>
    <definedName name="svs" localSheetId="7">[55]PAG42!#REF!</definedName>
    <definedName name="svs" localSheetId="1">[55]PAG42!#REF!</definedName>
    <definedName name="svs" localSheetId="17">[55]PAG42!#REF!</definedName>
    <definedName name="svs" localSheetId="8">[55]PAG42!#REF!</definedName>
    <definedName name="svs" localSheetId="2">[55]PAG42!#REF!</definedName>
    <definedName name="svs" localSheetId="18">[55]PAG42!#REF!</definedName>
    <definedName name="svs" localSheetId="9">[55]PAG42!#REF!</definedName>
    <definedName name="svs" localSheetId="3">[55]PAG42!#REF!</definedName>
    <definedName name="svs" localSheetId="19">[55]PAG42!#REF!</definedName>
    <definedName name="svs" localSheetId="10">[55]PAG42!#REF!</definedName>
    <definedName name="svs" localSheetId="20">[55]PAG42!#REF!</definedName>
    <definedName name="svs" localSheetId="11">[55]PAG42!#REF!</definedName>
    <definedName name="svs" localSheetId="21">[55]PAG42!#REF!</definedName>
    <definedName name="svs" localSheetId="12">[55]PAG42!#REF!</definedName>
    <definedName name="svs" localSheetId="22">[55]PAG42!#REF!</definedName>
    <definedName name="svs" localSheetId="13">[55]PAG42!#REF!</definedName>
    <definedName name="svs">[55]PAG42!#REF!</definedName>
    <definedName name="Tab_Títulos">[25]Titles!$A$5:$E$19</definedName>
    <definedName name="tabla" localSheetId="14">#REF!</definedName>
    <definedName name="tabla" localSheetId="0">#REF!</definedName>
    <definedName name="tabla" localSheetId="5">#REF!</definedName>
    <definedName name="tabla" localSheetId="15">#REF!</definedName>
    <definedName name="tabla" localSheetId="6">#REF!</definedName>
    <definedName name="tabla" localSheetId="16">#REF!</definedName>
    <definedName name="tabla" localSheetId="7">#REF!</definedName>
    <definedName name="tabla" localSheetId="1">#REF!</definedName>
    <definedName name="tabla" localSheetId="17">#REF!</definedName>
    <definedName name="tabla" localSheetId="8">#REF!</definedName>
    <definedName name="tabla" localSheetId="2">#REF!</definedName>
    <definedName name="tabla" localSheetId="18">#REF!</definedName>
    <definedName name="tabla" localSheetId="9">#REF!</definedName>
    <definedName name="tabla" localSheetId="3">#REF!</definedName>
    <definedName name="tabla" localSheetId="19">#REF!</definedName>
    <definedName name="tabla" localSheetId="10">#REF!</definedName>
    <definedName name="tabla" localSheetId="20">#REF!</definedName>
    <definedName name="tabla" localSheetId="11">#REF!</definedName>
    <definedName name="tabla" localSheetId="21">#REF!</definedName>
    <definedName name="tabla" localSheetId="12">#REF!</definedName>
    <definedName name="tabla" localSheetId="22">#REF!</definedName>
    <definedName name="tabla" localSheetId="13">#REF!</definedName>
    <definedName name="tabla">#REF!</definedName>
    <definedName name="Tabla_de_Meses">[25]Inputs!$E$52:$H$63</definedName>
    <definedName name="TablaMeses">[56]Meses!$A$1:$C$14</definedName>
    <definedName name="TC" localSheetId="14">[48]Resumen!$AH$3:$AN$18</definedName>
    <definedName name="TC" localSheetId="0">[48]Resumen!$AH$3:$AN$18</definedName>
    <definedName name="TC" localSheetId="5">[48]Resumen!$AH$3:$AN$18</definedName>
    <definedName name="TC" localSheetId="15">[48]Resumen!$AH$3:$AN$18</definedName>
    <definedName name="TC" localSheetId="6">[48]Resumen!$AH$3:$AN$18</definedName>
    <definedName name="TC" localSheetId="16">[48]Resumen!$AH$3:$AN$18</definedName>
    <definedName name="TC" localSheetId="7">[48]Resumen!$AH$3:$AN$18</definedName>
    <definedName name="TC" localSheetId="1">[48]Resumen!$AH$3:$AN$18</definedName>
    <definedName name="TC" localSheetId="17">[48]Resumen!$AH$3:$AN$18</definedName>
    <definedName name="TC" localSheetId="8">[48]Resumen!$AH$3:$AN$18</definedName>
    <definedName name="TC" localSheetId="2">[48]Resumen!$AH$3:$AN$18</definedName>
    <definedName name="TC" localSheetId="18">[48]Resumen!$AH$3:$AN$18</definedName>
    <definedName name="TC" localSheetId="9">[48]Resumen!$AH$3:$AN$18</definedName>
    <definedName name="TC" localSheetId="3">[48]Resumen!$AH$3:$AN$18</definedName>
    <definedName name="TC" localSheetId="19">[48]Resumen!$AH$3:$AN$18</definedName>
    <definedName name="TC" localSheetId="10">[48]Resumen!$AH$3:$AN$18</definedName>
    <definedName name="TC" localSheetId="20">[48]Resumen!$AH$3:$AN$18</definedName>
    <definedName name="TC" localSheetId="11">[48]Resumen!$AH$3:$AN$18</definedName>
    <definedName name="TC" localSheetId="21">[48]Resumen!$AH$3:$AN$18</definedName>
    <definedName name="TC" localSheetId="12">[48]Resumen!$AH$3:$AN$18</definedName>
    <definedName name="TC" localSheetId="22">[48]Resumen!$AH$3:$AN$18</definedName>
    <definedName name="TC" localSheetId="13">[48]Resumen!$AH$3:$AN$18</definedName>
    <definedName name="TC">[48]Resumen!$AH$3:$AN$18</definedName>
    <definedName name="TC_2002_3" localSheetId="14">[47]Monedas!$A$268:$U$291</definedName>
    <definedName name="TC_2002_3" localSheetId="0">[47]Monedas!$A$268:$U$291</definedName>
    <definedName name="TC_2002_3" localSheetId="5">[47]Monedas!$A$268:$U$291</definedName>
    <definedName name="TC_2002_3" localSheetId="15">[47]Monedas!$A$268:$U$291</definedName>
    <definedName name="TC_2002_3" localSheetId="6">[47]Monedas!$A$268:$U$291</definedName>
    <definedName name="TC_2002_3" localSheetId="16">[47]Monedas!$A$268:$U$291</definedName>
    <definedName name="TC_2002_3" localSheetId="7">[47]Monedas!$A$268:$U$291</definedName>
    <definedName name="TC_2002_3" localSheetId="1">[47]Monedas!$A$268:$U$291</definedName>
    <definedName name="TC_2002_3" localSheetId="17">[47]Monedas!$A$268:$U$291</definedName>
    <definedName name="TC_2002_3" localSheetId="8">[47]Monedas!$A$268:$U$291</definedName>
    <definedName name="TC_2002_3" localSheetId="2">[47]Monedas!$A$268:$U$291</definedName>
    <definedName name="TC_2002_3" localSheetId="18">[47]Monedas!$A$268:$U$291</definedName>
    <definedName name="TC_2002_3" localSheetId="9">[47]Monedas!$A$268:$U$291</definedName>
    <definedName name="TC_2002_3" localSheetId="3">[47]Monedas!$A$268:$U$291</definedName>
    <definedName name="TC_2002_3" localSheetId="19">[47]Monedas!$A$268:$U$291</definedName>
    <definedName name="TC_2002_3" localSheetId="10">[47]Monedas!$A$268:$U$291</definedName>
    <definedName name="TC_2002_3" localSheetId="20">[47]Monedas!$A$268:$U$291</definedName>
    <definedName name="TC_2002_3" localSheetId="11">[47]Monedas!$A$268:$U$291</definedName>
    <definedName name="TC_2002_3" localSheetId="21">[47]Monedas!$A$268:$U$291</definedName>
    <definedName name="TC_2002_3" localSheetId="12">[47]Monedas!$A$268:$U$291</definedName>
    <definedName name="TC_2002_3" localSheetId="22">[47]Monedas!$A$268:$U$291</definedName>
    <definedName name="TC_2002_3" localSheetId="13">[47]Monedas!$A$268:$U$291</definedName>
    <definedName name="TC_2002_3">[47]Monedas!$A$268:$U$291</definedName>
    <definedName name="TC_2002_3a" localSheetId="14">[47]Monedas!$A$356:$U$379</definedName>
    <definedName name="TC_2002_3a" localSheetId="0">[47]Monedas!$A$356:$U$379</definedName>
    <definedName name="TC_2002_3a" localSheetId="5">[47]Monedas!$A$356:$U$379</definedName>
    <definedName name="TC_2002_3a" localSheetId="15">[47]Monedas!$A$356:$U$379</definedName>
    <definedName name="TC_2002_3a" localSheetId="6">[47]Monedas!$A$356:$U$379</definedName>
    <definedName name="TC_2002_3a" localSheetId="16">[47]Monedas!$A$356:$U$379</definedName>
    <definedName name="TC_2002_3a" localSheetId="7">[47]Monedas!$A$356:$U$379</definedName>
    <definedName name="TC_2002_3a" localSheetId="1">[47]Monedas!$A$356:$U$379</definedName>
    <definedName name="TC_2002_3a" localSheetId="17">[47]Monedas!$A$356:$U$379</definedName>
    <definedName name="TC_2002_3a" localSheetId="8">[47]Monedas!$A$356:$U$379</definedName>
    <definedName name="TC_2002_3a" localSheetId="2">[47]Monedas!$A$356:$U$379</definedName>
    <definedName name="TC_2002_3a" localSheetId="18">[47]Monedas!$A$356:$U$379</definedName>
    <definedName name="TC_2002_3a" localSheetId="9">[47]Monedas!$A$356:$U$379</definedName>
    <definedName name="TC_2002_3a" localSheetId="3">[47]Monedas!$A$356:$U$379</definedName>
    <definedName name="TC_2002_3a" localSheetId="19">[47]Monedas!$A$356:$U$379</definedName>
    <definedName name="TC_2002_3a" localSheetId="10">[47]Monedas!$A$356:$U$379</definedName>
    <definedName name="TC_2002_3a" localSheetId="20">[47]Monedas!$A$356:$U$379</definedName>
    <definedName name="TC_2002_3a" localSheetId="11">[47]Monedas!$A$356:$U$379</definedName>
    <definedName name="TC_2002_3a" localSheetId="21">[47]Monedas!$A$356:$U$379</definedName>
    <definedName name="TC_2002_3a" localSheetId="12">[47]Monedas!$A$356:$U$379</definedName>
    <definedName name="TC_2002_3a" localSheetId="22">[47]Monedas!$A$356:$U$379</definedName>
    <definedName name="TC_2002_3a" localSheetId="13">[47]Monedas!$A$356:$U$379</definedName>
    <definedName name="TC_2002_3a">[47]Monedas!$A$356:$U$379</definedName>
    <definedName name="TCR" localSheetId="14">[48]Resumen!$U$3:$AF$18</definedName>
    <definedName name="TCR" localSheetId="0">[48]Resumen!$U$3:$AF$18</definedName>
    <definedName name="TCR" localSheetId="5">[48]Resumen!$U$3:$AF$18</definedName>
    <definedName name="TCR" localSheetId="15">[48]Resumen!$U$3:$AF$18</definedName>
    <definedName name="TCR" localSheetId="6">[48]Resumen!$U$3:$AF$18</definedName>
    <definedName name="TCR" localSheetId="16">[48]Resumen!$U$3:$AF$18</definedName>
    <definedName name="TCR" localSheetId="7">[48]Resumen!$U$3:$AF$18</definedName>
    <definedName name="TCR" localSheetId="1">[48]Resumen!$U$3:$AF$18</definedName>
    <definedName name="TCR" localSheetId="17">[48]Resumen!$U$3:$AF$18</definedName>
    <definedName name="TCR" localSheetId="8">[48]Resumen!$U$3:$AF$18</definedName>
    <definedName name="TCR" localSheetId="2">[48]Resumen!$U$3:$AF$18</definedName>
    <definedName name="TCR" localSheetId="18">[48]Resumen!$U$3:$AF$18</definedName>
    <definedName name="TCR" localSheetId="9">[48]Resumen!$U$3:$AF$18</definedName>
    <definedName name="TCR" localSheetId="3">[48]Resumen!$U$3:$AF$18</definedName>
    <definedName name="TCR" localSheetId="19">[48]Resumen!$U$3:$AF$18</definedName>
    <definedName name="TCR" localSheetId="10">[48]Resumen!$U$3:$AF$18</definedName>
    <definedName name="TCR" localSheetId="20">[48]Resumen!$U$3:$AF$18</definedName>
    <definedName name="TCR" localSheetId="11">[48]Resumen!$U$3:$AF$18</definedName>
    <definedName name="TCR" localSheetId="21">[48]Resumen!$U$3:$AF$18</definedName>
    <definedName name="TCR" localSheetId="12">[48]Resumen!$U$3:$AF$18</definedName>
    <definedName name="TCR" localSheetId="22">[48]Resumen!$U$3:$AF$18</definedName>
    <definedName name="TCR" localSheetId="13">[48]Resumen!$U$3:$AF$18</definedName>
    <definedName name="TCR">[48]Resumen!$U$3:$AF$18</definedName>
    <definedName name="Test" localSheetId="14">#REF!</definedName>
    <definedName name="Test" localSheetId="0">#REF!</definedName>
    <definedName name="Test" localSheetId="5">#REF!</definedName>
    <definedName name="Test" localSheetId="15">#REF!</definedName>
    <definedName name="Test" localSheetId="6">#REF!</definedName>
    <definedName name="Test" localSheetId="16">#REF!</definedName>
    <definedName name="Test" localSheetId="7">#REF!</definedName>
    <definedName name="Test" localSheetId="1">#REF!</definedName>
    <definedName name="Test" localSheetId="17">#REF!</definedName>
    <definedName name="Test" localSheetId="8">#REF!</definedName>
    <definedName name="Test" localSheetId="2">#REF!</definedName>
    <definedName name="Test" localSheetId="18">#REF!</definedName>
    <definedName name="Test" localSheetId="9">#REF!</definedName>
    <definedName name="Test" localSheetId="3">#REF!</definedName>
    <definedName name="Test" localSheetId="19">#REF!</definedName>
    <definedName name="Test" localSheetId="10">#REF!</definedName>
    <definedName name="Test" localSheetId="20">#REF!</definedName>
    <definedName name="Test" localSheetId="11">#REF!</definedName>
    <definedName name="Test" localSheetId="21">#REF!</definedName>
    <definedName name="Test" localSheetId="12">#REF!</definedName>
    <definedName name="Test" localSheetId="22">#REF!</definedName>
    <definedName name="Test" localSheetId="13">#REF!</definedName>
    <definedName name="Test">#REF!</definedName>
    <definedName name="TITL" localSheetId="14">#REF!</definedName>
    <definedName name="TITL" localSheetId="0">#REF!</definedName>
    <definedName name="TITL" localSheetId="5">#REF!</definedName>
    <definedName name="TITL" localSheetId="15">#REF!</definedName>
    <definedName name="TITL" localSheetId="6">#REF!</definedName>
    <definedName name="TITL" localSheetId="16">#REF!</definedName>
    <definedName name="TITL" localSheetId="7">#REF!</definedName>
    <definedName name="TITL" localSheetId="1">#REF!</definedName>
    <definedName name="TITL" localSheetId="17">#REF!</definedName>
    <definedName name="TITL" localSheetId="8">#REF!</definedName>
    <definedName name="TITL" localSheetId="2">#REF!</definedName>
    <definedName name="TITL" localSheetId="18">#REF!</definedName>
    <definedName name="TITL" localSheetId="9">#REF!</definedName>
    <definedName name="TITL" localSheetId="3">#REF!</definedName>
    <definedName name="TITL" localSheetId="19">#REF!</definedName>
    <definedName name="TITL" localSheetId="10">#REF!</definedName>
    <definedName name="TITL" localSheetId="20">#REF!</definedName>
    <definedName name="TITL" localSheetId="11">#REF!</definedName>
    <definedName name="TITL" localSheetId="21">#REF!</definedName>
    <definedName name="TITL" localSheetId="12">#REF!</definedName>
    <definedName name="TITL" localSheetId="22">#REF!</definedName>
    <definedName name="TITL" localSheetId="13">#REF!</definedName>
    <definedName name="TITL">#REF!</definedName>
    <definedName name="treint" localSheetId="14">[50]OPERACIONES!#REF!</definedName>
    <definedName name="treint" localSheetId="0">[50]OPERACIONES!#REF!</definedName>
    <definedName name="treint" localSheetId="5">[50]OPERACIONES!#REF!</definedName>
    <definedName name="treint" localSheetId="15">[50]OPERACIONES!#REF!</definedName>
    <definedName name="treint" localSheetId="6">[50]OPERACIONES!#REF!</definedName>
    <definedName name="treint" localSheetId="16">[50]OPERACIONES!#REF!</definedName>
    <definedName name="treint" localSheetId="7">[50]OPERACIONES!#REF!</definedName>
    <definedName name="treint" localSheetId="1">[50]OPERACIONES!#REF!</definedName>
    <definedName name="treint" localSheetId="17">[50]OPERACIONES!#REF!</definedName>
    <definedName name="treint" localSheetId="8">[50]OPERACIONES!#REF!</definedName>
    <definedName name="treint" localSheetId="2">[50]OPERACIONES!#REF!</definedName>
    <definedName name="treint" localSheetId="18">[50]OPERACIONES!#REF!</definedName>
    <definedName name="treint" localSheetId="9">[50]OPERACIONES!#REF!</definedName>
    <definedName name="treint" localSheetId="3">[50]OPERACIONES!#REF!</definedName>
    <definedName name="treint" localSheetId="19">[50]OPERACIONES!#REF!</definedName>
    <definedName name="treint" localSheetId="10">[50]OPERACIONES!#REF!</definedName>
    <definedName name="treint" localSheetId="20">[50]OPERACIONES!#REF!</definedName>
    <definedName name="treint" localSheetId="11">[50]OPERACIONES!#REF!</definedName>
    <definedName name="treint" localSheetId="21">[50]OPERACIONES!#REF!</definedName>
    <definedName name="treint" localSheetId="12">[50]OPERACIONES!#REF!</definedName>
    <definedName name="treint" localSheetId="22">[50]OPERACIONES!#REF!</definedName>
    <definedName name="treint" localSheetId="13">[50]OPERACIONES!#REF!</definedName>
    <definedName name="treint">[50]OPERACIONES!#REF!</definedName>
    <definedName name="TUTOR" localSheetId="14">#REF!</definedName>
    <definedName name="TUTOR" localSheetId="0">#REF!</definedName>
    <definedName name="TUTOR" localSheetId="5">#REF!</definedName>
    <definedName name="TUTOR" localSheetId="15">#REF!</definedName>
    <definedName name="TUTOR" localSheetId="6">#REF!</definedName>
    <definedName name="TUTOR" localSheetId="16">#REF!</definedName>
    <definedName name="TUTOR" localSheetId="7">#REF!</definedName>
    <definedName name="TUTOR" localSheetId="1">#REF!</definedName>
    <definedName name="TUTOR" localSheetId="17">#REF!</definedName>
    <definedName name="TUTOR" localSheetId="8">#REF!</definedName>
    <definedName name="TUTOR" localSheetId="2">#REF!</definedName>
    <definedName name="TUTOR" localSheetId="18">#REF!</definedName>
    <definedName name="TUTOR" localSheetId="9">#REF!</definedName>
    <definedName name="TUTOR" localSheetId="3">#REF!</definedName>
    <definedName name="TUTOR" localSheetId="19">#REF!</definedName>
    <definedName name="TUTOR" localSheetId="10">#REF!</definedName>
    <definedName name="TUTOR" localSheetId="20">#REF!</definedName>
    <definedName name="TUTOR" localSheetId="11">#REF!</definedName>
    <definedName name="TUTOR" localSheetId="21">#REF!</definedName>
    <definedName name="TUTOR" localSheetId="12">#REF!</definedName>
    <definedName name="TUTOR" localSheetId="22">#REF!</definedName>
    <definedName name="TUTOR" localSheetId="13">#REF!</definedName>
    <definedName name="TUTOR">#REF!</definedName>
    <definedName name="UN" localSheetId="14">#REF!</definedName>
    <definedName name="UN" localSheetId="0">#REF!</definedName>
    <definedName name="UN" localSheetId="5">#REF!</definedName>
    <definedName name="UN" localSheetId="15">#REF!</definedName>
    <definedName name="UN" localSheetId="6">#REF!</definedName>
    <definedName name="UN" localSheetId="16">#REF!</definedName>
    <definedName name="UN" localSheetId="7">#REF!</definedName>
    <definedName name="UN" localSheetId="1">#REF!</definedName>
    <definedName name="UN" localSheetId="17">#REF!</definedName>
    <definedName name="UN" localSheetId="8">#REF!</definedName>
    <definedName name="UN" localSheetId="2">#REF!</definedName>
    <definedName name="UN" localSheetId="18">#REF!</definedName>
    <definedName name="UN" localSheetId="9">#REF!</definedName>
    <definedName name="UN" localSheetId="3">#REF!</definedName>
    <definedName name="UN" localSheetId="19">#REF!</definedName>
    <definedName name="UN" localSheetId="10">#REF!</definedName>
    <definedName name="UN" localSheetId="20">#REF!</definedName>
    <definedName name="UN" localSheetId="11">#REF!</definedName>
    <definedName name="UN" localSheetId="21">#REF!</definedName>
    <definedName name="UN" localSheetId="12">#REF!</definedName>
    <definedName name="UN" localSheetId="22">#REF!</definedName>
    <definedName name="UN" localSheetId="13">#REF!</definedName>
    <definedName name="UN">#REF!</definedName>
    <definedName name="UN_2" localSheetId="14">[46]PAG14!#REF!</definedName>
    <definedName name="UN_2" localSheetId="0">[46]PAG14!#REF!</definedName>
    <definedName name="UN_2" localSheetId="5">[46]PAG14!#REF!</definedName>
    <definedName name="UN_2" localSheetId="6">[46]PAG14!#REF!</definedName>
    <definedName name="UN_2" localSheetId="7">[46]PAG14!#REF!</definedName>
    <definedName name="UN_2" localSheetId="1">[46]PAG14!#REF!</definedName>
    <definedName name="UN_2" localSheetId="8">[46]PAG14!#REF!</definedName>
    <definedName name="UN_2" localSheetId="2">[46]PAG14!#REF!</definedName>
    <definedName name="UN_2" localSheetId="9">[46]PAG14!#REF!</definedName>
    <definedName name="UN_2" localSheetId="3">[46]PAG14!#REF!</definedName>
    <definedName name="UN_2" localSheetId="10">[46]PAG14!#REF!</definedName>
    <definedName name="UN_2" localSheetId="11">[46]PAG14!#REF!</definedName>
    <definedName name="UN_2" localSheetId="12">[46]PAG14!#REF!</definedName>
    <definedName name="UN_2" localSheetId="22">[46]PAG14!#REF!</definedName>
    <definedName name="UN_2" localSheetId="13">[46]PAG14!#REF!</definedName>
    <definedName name="UN_2">[46]PAG14!#REF!</definedName>
    <definedName name="uno" localSheetId="14">#REF!</definedName>
    <definedName name="uno" localSheetId="0">#REF!</definedName>
    <definedName name="uno" localSheetId="5">#REF!</definedName>
    <definedName name="uno" localSheetId="15">#REF!</definedName>
    <definedName name="uno" localSheetId="6">#REF!</definedName>
    <definedName name="uno" localSheetId="16">#REF!</definedName>
    <definedName name="uno" localSheetId="7">#REF!</definedName>
    <definedName name="uno" localSheetId="1">#REF!</definedName>
    <definedName name="uno" localSheetId="17">#REF!</definedName>
    <definedName name="uno" localSheetId="8">#REF!</definedName>
    <definedName name="uno" localSheetId="2">#REF!</definedName>
    <definedName name="uno" localSheetId="18">#REF!</definedName>
    <definedName name="uno" localSheetId="9">#REF!</definedName>
    <definedName name="uno" localSheetId="3">#REF!</definedName>
    <definedName name="uno" localSheetId="19">#REF!</definedName>
    <definedName name="uno" localSheetId="10">#REF!</definedName>
    <definedName name="uno" localSheetId="20">#REF!</definedName>
    <definedName name="uno" localSheetId="11">#REF!</definedName>
    <definedName name="uno" localSheetId="21">#REF!</definedName>
    <definedName name="uno" localSheetId="12">#REF!</definedName>
    <definedName name="uno" localSheetId="22">#REF!</definedName>
    <definedName name="uno" localSheetId="13">#REF!</definedName>
    <definedName name="uno">#REF!</definedName>
    <definedName name="VALOR">#N/A</definedName>
    <definedName name="VARACU">#N/A</definedName>
    <definedName name="VARMEN">#N/A</definedName>
    <definedName name="VOLUMEN">#N/A</definedName>
    <definedName name="VVALOR">#N/A</definedName>
    <definedName name="wwwww" localSheetId="14">#REF!</definedName>
    <definedName name="wwwww" localSheetId="0">#REF!</definedName>
    <definedName name="wwwww" localSheetId="5">#REF!</definedName>
    <definedName name="wwwww" localSheetId="15">#REF!</definedName>
    <definedName name="wwwww" localSheetId="6">#REF!</definedName>
    <definedName name="wwwww" localSheetId="16">#REF!</definedName>
    <definedName name="wwwww" localSheetId="7">#REF!</definedName>
    <definedName name="wwwww" localSheetId="1">#REF!</definedName>
    <definedName name="wwwww" localSheetId="17">#REF!</definedName>
    <definedName name="wwwww" localSheetId="8">#REF!</definedName>
    <definedName name="wwwww" localSheetId="2">#REF!</definedName>
    <definedName name="wwwww" localSheetId="18">#REF!</definedName>
    <definedName name="wwwww" localSheetId="9">#REF!</definedName>
    <definedName name="wwwww" localSheetId="3">#REF!</definedName>
    <definedName name="wwwww" localSheetId="19">#REF!</definedName>
    <definedName name="wwwww" localSheetId="10">#REF!</definedName>
    <definedName name="wwwww" localSheetId="20">#REF!</definedName>
    <definedName name="wwwww" localSheetId="11">#REF!</definedName>
    <definedName name="wwwww" localSheetId="21">#REF!</definedName>
    <definedName name="wwwww" localSheetId="12">#REF!</definedName>
    <definedName name="wwwww" localSheetId="22">#REF!</definedName>
    <definedName name="wwwww" localSheetId="13">#REF!</definedName>
    <definedName name="wwwww">#REF!</definedName>
    <definedName name="x" localSheetId="14">#REF!</definedName>
    <definedName name="x" localSheetId="0">#REF!</definedName>
    <definedName name="x" localSheetId="5">#REF!</definedName>
    <definedName name="x" localSheetId="15">#REF!</definedName>
    <definedName name="x" localSheetId="6">#REF!</definedName>
    <definedName name="x" localSheetId="16">#REF!</definedName>
    <definedName name="x" localSheetId="7">#REF!</definedName>
    <definedName name="x" localSheetId="1">#REF!</definedName>
    <definedName name="x" localSheetId="17">#REF!</definedName>
    <definedName name="x" localSheetId="8">#REF!</definedName>
    <definedName name="x" localSheetId="2">#REF!</definedName>
    <definedName name="x" localSheetId="18">#REF!</definedName>
    <definedName name="x" localSheetId="9">#REF!</definedName>
    <definedName name="x" localSheetId="3">#REF!</definedName>
    <definedName name="x" localSheetId="19">#REF!</definedName>
    <definedName name="x" localSheetId="10">#REF!</definedName>
    <definedName name="x" localSheetId="20">#REF!</definedName>
    <definedName name="x" localSheetId="11">#REF!</definedName>
    <definedName name="x" localSheetId="21">#REF!</definedName>
    <definedName name="x" localSheetId="12">#REF!</definedName>
    <definedName name="x" localSheetId="22">#REF!</definedName>
    <definedName name="x" localSheetId="13">#REF!</definedName>
    <definedName name="x">#REF!</definedName>
    <definedName name="xCol" localSheetId="14">[57]Dat!$E$1</definedName>
    <definedName name="xCol" localSheetId="0">[57]Dat!$E$1</definedName>
    <definedName name="xCol" localSheetId="5">[57]Dat!$E$1</definedName>
    <definedName name="xCol" localSheetId="15">[57]Dat!$E$1</definedName>
    <definedName name="xCol" localSheetId="6">[57]Dat!$E$1</definedName>
    <definedName name="xCol" localSheetId="16">[57]Dat!$E$1</definedName>
    <definedName name="xCol" localSheetId="7">[57]Dat!$E$1</definedName>
    <definedName name="xCol" localSheetId="1">[57]Dat!$E$1</definedName>
    <definedName name="xCol" localSheetId="17">[57]Dat!$E$1</definedName>
    <definedName name="xCol" localSheetId="8">[57]Dat!$E$1</definedName>
    <definedName name="xCol" localSheetId="2">[57]Dat!$E$1</definedName>
    <definedName name="xCol" localSheetId="18">[57]Dat!$E$1</definedName>
    <definedName name="xCol" localSheetId="9">[57]Dat!$E$1</definedName>
    <definedName name="xCol" localSheetId="3">[57]Dat!$E$1</definedName>
    <definedName name="xCol" localSheetId="19">[57]Dat!$E$1</definedName>
    <definedName name="xCol" localSheetId="10">[57]Dat!$E$1</definedName>
    <definedName name="xCol" localSheetId="20">[57]Dat!$E$1</definedName>
    <definedName name="xCol" localSheetId="11">[57]Dat!$E$1</definedName>
    <definedName name="xCol" localSheetId="21">[57]Dat!$E$1</definedName>
    <definedName name="xCol" localSheetId="12">[57]Dat!$E$1</definedName>
    <definedName name="xCol" localSheetId="22">[57]Dat!$E$1</definedName>
    <definedName name="xCol" localSheetId="13">[57]Dat!$E$1</definedName>
    <definedName name="xCol">[57]Dat!$E$1</definedName>
    <definedName name="xCurrent" localSheetId="14">[57]Dat!$C$1</definedName>
    <definedName name="xCurrent" localSheetId="0">[57]Dat!$C$1</definedName>
    <definedName name="xCurrent" localSheetId="5">[57]Dat!$C$1</definedName>
    <definedName name="xCurrent" localSheetId="15">[57]Dat!$C$1</definedName>
    <definedName name="xCurrent" localSheetId="6">[57]Dat!$C$1</definedName>
    <definedName name="xCurrent" localSheetId="16">[57]Dat!$C$1</definedName>
    <definedName name="xCurrent" localSheetId="7">[57]Dat!$C$1</definedName>
    <definedName name="xCurrent" localSheetId="1">[57]Dat!$C$1</definedName>
    <definedName name="xCurrent" localSheetId="17">[57]Dat!$C$1</definedName>
    <definedName name="xCurrent" localSheetId="8">[57]Dat!$C$1</definedName>
    <definedName name="xCurrent" localSheetId="2">[57]Dat!$C$1</definedName>
    <definedName name="xCurrent" localSheetId="18">[57]Dat!$C$1</definedName>
    <definedName name="xCurrent" localSheetId="9">[57]Dat!$C$1</definedName>
    <definedName name="xCurrent" localSheetId="3">[57]Dat!$C$1</definedName>
    <definedName name="xCurrent" localSheetId="19">[57]Dat!$C$1</definedName>
    <definedName name="xCurrent" localSheetId="10">[57]Dat!$C$1</definedName>
    <definedName name="xCurrent" localSheetId="20">[57]Dat!$C$1</definedName>
    <definedName name="xCurrent" localSheetId="11">[57]Dat!$C$1</definedName>
    <definedName name="xCurrent" localSheetId="21">[57]Dat!$C$1</definedName>
    <definedName name="xCurrent" localSheetId="12">[57]Dat!$C$1</definedName>
    <definedName name="xCurrent" localSheetId="22">[57]Dat!$C$1</definedName>
    <definedName name="xCurrent" localSheetId="13">[57]Dat!$C$1</definedName>
    <definedName name="xCurrent">[57]Dat!$C$1</definedName>
    <definedName name="xRuta">[25]Menu!$C$17:$C$17</definedName>
    <definedName name="xRuta2">[25]Menu!$C$19</definedName>
    <definedName name="xx" localSheetId="14">[41]CotizInternac!$A$1:$H$134</definedName>
    <definedName name="xx" localSheetId="0">[41]CotizInternac!$A$1:$H$134</definedName>
    <definedName name="xx" localSheetId="5">[41]CotizInternac!$A$1:$H$134</definedName>
    <definedName name="xx" localSheetId="15">[41]CotizInternac!$A$1:$H$134</definedName>
    <definedName name="xx" localSheetId="6">[41]CotizInternac!$A$1:$H$134</definedName>
    <definedName name="xx" localSheetId="16">[41]CotizInternac!$A$1:$H$134</definedName>
    <definedName name="xx" localSheetId="7">[41]CotizInternac!$A$1:$H$134</definedName>
    <definedName name="xx" localSheetId="1">[41]CotizInternac!$A$1:$H$134</definedName>
    <definedName name="xx" localSheetId="17">[41]CotizInternac!$A$1:$H$134</definedName>
    <definedName name="xx" localSheetId="8">[41]CotizInternac!$A$1:$H$134</definedName>
    <definedName name="xx" localSheetId="2">[41]CotizInternac!$A$1:$H$134</definedName>
    <definedName name="xx" localSheetId="18">[41]CotizInternac!$A$1:$H$134</definedName>
    <definedName name="xx" localSheetId="9">[41]CotizInternac!$A$1:$H$134</definedName>
    <definedName name="xx" localSheetId="3">[41]CotizInternac!$A$1:$H$134</definedName>
    <definedName name="xx" localSheetId="19">[41]CotizInternac!$A$1:$H$134</definedName>
    <definedName name="xx" localSheetId="10">[41]CotizInternac!$A$1:$H$134</definedName>
    <definedName name="xx" localSheetId="20">[41]CotizInternac!$A$1:$H$134</definedName>
    <definedName name="xx" localSheetId="11">[41]CotizInternac!$A$1:$H$134</definedName>
    <definedName name="xx" localSheetId="21">[41]CotizInternac!$A$1:$H$134</definedName>
    <definedName name="xx" localSheetId="12">[41]CotizInternac!$A$1:$H$134</definedName>
    <definedName name="xx" localSheetId="22">[41]CotizInternac!$A$1:$H$134</definedName>
    <definedName name="xx" localSheetId="13">[41]CotizInternac!$A$1:$H$134</definedName>
    <definedName name="xx">[41]CotizInternac!$A$1:$H$134</definedName>
    <definedName name="xxAMano">[25]c1!$N$164</definedName>
    <definedName name="xxDate" localSheetId="14">#REF!</definedName>
    <definedName name="xxDate" localSheetId="0">#REF!</definedName>
    <definedName name="xxDate" localSheetId="5">#REF!</definedName>
    <definedName name="xxDate" localSheetId="15">#REF!</definedName>
    <definedName name="xxDate" localSheetId="6">#REF!</definedName>
    <definedName name="xxDate" localSheetId="16">#REF!</definedName>
    <definedName name="xxDate" localSheetId="7">#REF!</definedName>
    <definedName name="xxDate" localSheetId="1">#REF!</definedName>
    <definedName name="xxDate" localSheetId="17">#REF!</definedName>
    <definedName name="xxDate" localSheetId="8">#REF!</definedName>
    <definedName name="xxDate" localSheetId="2">#REF!</definedName>
    <definedName name="xxDate" localSheetId="18">#REF!</definedName>
    <definedName name="xxDate" localSheetId="9">#REF!</definedName>
    <definedName name="xxDate" localSheetId="3">#REF!</definedName>
    <definedName name="xxDate" localSheetId="19">#REF!</definedName>
    <definedName name="xxDate" localSheetId="10">#REF!</definedName>
    <definedName name="xxDate" localSheetId="20">#REF!</definedName>
    <definedName name="xxDate" localSheetId="11">#REF!</definedName>
    <definedName name="xxDate" localSheetId="21">#REF!</definedName>
    <definedName name="xxDate" localSheetId="12">#REF!</definedName>
    <definedName name="xxDate" localSheetId="22">#REF!</definedName>
    <definedName name="xxDate" localSheetId="13">#REF!</definedName>
    <definedName name="xxDate">#REF!</definedName>
    <definedName name="xxDEF">[25]Titles!$A$27</definedName>
    <definedName name="xxDesF" localSheetId="14">#REF!</definedName>
    <definedName name="xxDesF" localSheetId="0">#REF!</definedName>
    <definedName name="xxDesF" localSheetId="5">#REF!</definedName>
    <definedName name="xxDesF" localSheetId="15">#REF!</definedName>
    <definedName name="xxDesF" localSheetId="6">#REF!</definedName>
    <definedName name="xxDesF" localSheetId="16">#REF!</definedName>
    <definedName name="xxDesF" localSheetId="7">#REF!</definedName>
    <definedName name="xxDesF" localSheetId="1">#REF!</definedName>
    <definedName name="xxDesF" localSheetId="17">#REF!</definedName>
    <definedName name="xxDesF" localSheetId="8">#REF!</definedName>
    <definedName name="xxDesF" localSheetId="2">#REF!</definedName>
    <definedName name="xxDesF" localSheetId="18">#REF!</definedName>
    <definedName name="xxDesF" localSheetId="9">#REF!</definedName>
    <definedName name="xxDesF" localSheetId="3">#REF!</definedName>
    <definedName name="xxDesF" localSheetId="19">#REF!</definedName>
    <definedName name="xxDesF" localSheetId="10">#REF!</definedName>
    <definedName name="xxDesF" localSheetId="20">#REF!</definedName>
    <definedName name="xxDesF" localSheetId="11">#REF!</definedName>
    <definedName name="xxDesF" localSheetId="21">#REF!</definedName>
    <definedName name="xxDesF" localSheetId="12">#REF!</definedName>
    <definedName name="xxDesF" localSheetId="22">#REF!</definedName>
    <definedName name="xxDesF" localSheetId="13">#REF!</definedName>
    <definedName name="xxDesF">#REF!</definedName>
    <definedName name="xxEditarCifrasEnCuadros">[25]Inputs!$D$45</definedName>
    <definedName name="xxEscalaMínima">[58]SERIES!$V$1</definedName>
    <definedName name="xxFechaFin">[59]Tabla!$AP$3</definedName>
    <definedName name="xxFechaInicio">[59]Tabla!$AP$2</definedName>
    <definedName name="xxFinalFechasC1">[25]c1!$N$3</definedName>
    <definedName name="xxFinalFechasC3">[25]c3!$N$3</definedName>
    <definedName name="xxFinalFechasC5">[25]c5!$N$3</definedName>
    <definedName name="xxFinalFechasC6">[25]c6!$N$3</definedName>
    <definedName name="xxFinalFechasC8" localSheetId="14">#REF!</definedName>
    <definedName name="xxFinalFechasC8" localSheetId="0">#REF!</definedName>
    <definedName name="xxFinalFechasC8" localSheetId="5">#REF!</definedName>
    <definedName name="xxFinalFechasC8" localSheetId="15">#REF!</definedName>
    <definedName name="xxFinalFechasC8" localSheetId="6">#REF!</definedName>
    <definedName name="xxFinalFechasC8" localSheetId="16">#REF!</definedName>
    <definedName name="xxFinalFechasC8" localSheetId="7">#REF!</definedName>
    <definedName name="xxFinalFechasC8" localSheetId="1">#REF!</definedName>
    <definedName name="xxFinalFechasC8" localSheetId="17">#REF!</definedName>
    <definedName name="xxFinalFechasC8" localSheetId="8">#REF!</definedName>
    <definedName name="xxFinalFechasC8" localSheetId="2">#REF!</definedName>
    <definedName name="xxFinalFechasC8" localSheetId="18">#REF!</definedName>
    <definedName name="xxFinalFechasC8" localSheetId="9">#REF!</definedName>
    <definedName name="xxFinalFechasC8" localSheetId="3">#REF!</definedName>
    <definedName name="xxFinalFechasC8" localSheetId="19">#REF!</definedName>
    <definedName name="xxFinalFechasC8" localSheetId="10">#REF!</definedName>
    <definedName name="xxFinalFechasC8" localSheetId="20">#REF!</definedName>
    <definedName name="xxFinalFechasC8" localSheetId="11">#REF!</definedName>
    <definedName name="xxFinalFechasC8" localSheetId="21">#REF!</definedName>
    <definedName name="xxFinalFechasC8" localSheetId="12">#REF!</definedName>
    <definedName name="xxFinalFechasC8" localSheetId="22">#REF!</definedName>
    <definedName name="xxFinalFechasC8" localSheetId="13">#REF!</definedName>
    <definedName name="xxFinalFechasC8">#REF!</definedName>
    <definedName name="xxFinalSeriesC1">[25]c1!$B$164</definedName>
    <definedName name="xxFinalSeriesC3">[25]c3!$B$54</definedName>
    <definedName name="xxFinalSeriesC5">[25]c5!$B$31</definedName>
    <definedName name="xxFinalSeriesC6">[25]c6!$B$32</definedName>
    <definedName name="xxFinalSeriesC8" localSheetId="14">#REF!</definedName>
    <definedName name="xxFinalSeriesC8" localSheetId="0">#REF!</definedName>
    <definedName name="xxFinalSeriesC8" localSheetId="5">#REF!</definedName>
    <definedName name="xxFinalSeriesC8" localSheetId="15">#REF!</definedName>
    <definedName name="xxFinalSeriesC8" localSheetId="6">#REF!</definedName>
    <definedName name="xxFinalSeriesC8" localSheetId="16">#REF!</definedName>
    <definedName name="xxFinalSeriesC8" localSheetId="7">#REF!</definedName>
    <definedName name="xxFinalSeriesC8" localSheetId="1">#REF!</definedName>
    <definedName name="xxFinalSeriesC8" localSheetId="17">#REF!</definedName>
    <definedName name="xxFinalSeriesC8" localSheetId="8">#REF!</definedName>
    <definedName name="xxFinalSeriesC8" localSheetId="2">#REF!</definedName>
    <definedName name="xxFinalSeriesC8" localSheetId="18">#REF!</definedName>
    <definedName name="xxFinalSeriesC8" localSheetId="9">#REF!</definedName>
    <definedName name="xxFinalSeriesC8" localSheetId="3">#REF!</definedName>
    <definedName name="xxFinalSeriesC8" localSheetId="19">#REF!</definedName>
    <definedName name="xxFinalSeriesC8" localSheetId="10">#REF!</definedName>
    <definedName name="xxFinalSeriesC8" localSheetId="20">#REF!</definedName>
    <definedName name="xxFinalSeriesC8" localSheetId="11">#REF!</definedName>
    <definedName name="xxFinalSeriesC8" localSheetId="21">#REF!</definedName>
    <definedName name="xxFinalSeriesC8" localSheetId="12">#REF!</definedName>
    <definedName name="xxFinalSeriesC8" localSheetId="22">#REF!</definedName>
    <definedName name="xxFinalSeriesC8" localSheetId="13">#REF!</definedName>
    <definedName name="xxFinalSeriesC8">#REF!</definedName>
    <definedName name="xxIdiomaEspañol">[25]Titles!$A$22</definedName>
    <definedName name="xxIdiomaInglés">[25]Titles!$A$23</definedName>
    <definedName name="xxInicioFechasC1">[25]c1!$D$3</definedName>
    <definedName name="xxInicioFechasC3">[25]c3!$D$3</definedName>
    <definedName name="xxInicioFechasC5">[25]c5!$D$3</definedName>
    <definedName name="xxInicioFechasC6">[25]c6!$D$3</definedName>
    <definedName name="xxInicioFechasC8" localSheetId="14">#REF!</definedName>
    <definedName name="xxInicioFechasC8" localSheetId="0">#REF!</definedName>
    <definedName name="xxInicioFechasC8" localSheetId="5">#REF!</definedName>
    <definedName name="xxInicioFechasC8" localSheetId="15">#REF!</definedName>
    <definedName name="xxInicioFechasC8" localSheetId="6">#REF!</definedName>
    <definedName name="xxInicioFechasC8" localSheetId="16">#REF!</definedName>
    <definedName name="xxInicioFechasC8" localSheetId="7">#REF!</definedName>
    <definedName name="xxInicioFechasC8" localSheetId="1">#REF!</definedName>
    <definedName name="xxInicioFechasC8" localSheetId="17">#REF!</definedName>
    <definedName name="xxInicioFechasC8" localSheetId="8">#REF!</definedName>
    <definedName name="xxInicioFechasC8" localSheetId="2">#REF!</definedName>
    <definedName name="xxInicioFechasC8" localSheetId="18">#REF!</definedName>
    <definedName name="xxInicioFechasC8" localSheetId="9">#REF!</definedName>
    <definedName name="xxInicioFechasC8" localSheetId="3">#REF!</definedName>
    <definedName name="xxInicioFechasC8" localSheetId="19">#REF!</definedName>
    <definedName name="xxInicioFechasC8" localSheetId="10">#REF!</definedName>
    <definedName name="xxInicioFechasC8" localSheetId="20">#REF!</definedName>
    <definedName name="xxInicioFechasC8" localSheetId="11">#REF!</definedName>
    <definedName name="xxInicioFechasC8" localSheetId="21">#REF!</definedName>
    <definedName name="xxInicioFechasC8" localSheetId="12">#REF!</definedName>
    <definedName name="xxInicioFechasC8" localSheetId="22">#REF!</definedName>
    <definedName name="xxInicioFechasC8" localSheetId="13">#REF!</definedName>
    <definedName name="xxInicioFechasC8">#REF!</definedName>
    <definedName name="xxInicioSeriesC1">[25]c1!$B$10</definedName>
    <definedName name="xxInicioSeriesC3">[25]c3!$B$10</definedName>
    <definedName name="xxInicioSeriesC5">[25]c5!$B$10</definedName>
    <definedName name="xxInicioSeriesC6">[25]c6!$B$10</definedName>
    <definedName name="xxInicioSeriesC8" localSheetId="14">#REF!</definedName>
    <definedName name="xxInicioSeriesC8" localSheetId="0">#REF!</definedName>
    <definedName name="xxInicioSeriesC8" localSheetId="5">#REF!</definedName>
    <definedName name="xxInicioSeriesC8" localSheetId="15">#REF!</definedName>
    <definedName name="xxInicioSeriesC8" localSheetId="6">#REF!</definedName>
    <definedName name="xxInicioSeriesC8" localSheetId="16">#REF!</definedName>
    <definedName name="xxInicioSeriesC8" localSheetId="7">#REF!</definedName>
    <definedName name="xxInicioSeriesC8" localSheetId="1">#REF!</definedName>
    <definedName name="xxInicioSeriesC8" localSheetId="17">#REF!</definedName>
    <definedName name="xxInicioSeriesC8" localSheetId="8">#REF!</definedName>
    <definedName name="xxInicioSeriesC8" localSheetId="2">#REF!</definedName>
    <definedName name="xxInicioSeriesC8" localSheetId="18">#REF!</definedName>
    <definedName name="xxInicioSeriesC8" localSheetId="9">#REF!</definedName>
    <definedName name="xxInicioSeriesC8" localSheetId="3">#REF!</definedName>
    <definedName name="xxInicioSeriesC8" localSheetId="19">#REF!</definedName>
    <definedName name="xxInicioSeriesC8" localSheetId="10">#REF!</definedName>
    <definedName name="xxInicioSeriesC8" localSheetId="20">#REF!</definedName>
    <definedName name="xxInicioSeriesC8" localSheetId="11">#REF!</definedName>
    <definedName name="xxInicioSeriesC8" localSheetId="21">#REF!</definedName>
    <definedName name="xxInicioSeriesC8" localSheetId="12">#REF!</definedName>
    <definedName name="xxInicioSeriesC8" localSheetId="22">#REF!</definedName>
    <definedName name="xxInicioSeriesC8" localSheetId="13">#REF!</definedName>
    <definedName name="xxInicioSeriesC8">#REF!</definedName>
    <definedName name="xxInterpol" localSheetId="14">#REF!</definedName>
    <definedName name="xxInterpol" localSheetId="0">#REF!</definedName>
    <definedName name="xxInterpol" localSheetId="5">#REF!</definedName>
    <definedName name="xxInterpol" localSheetId="15">#REF!</definedName>
    <definedName name="xxInterpol" localSheetId="6">#REF!</definedName>
    <definedName name="xxInterpol" localSheetId="16">#REF!</definedName>
    <definedName name="xxInterpol" localSheetId="7">#REF!</definedName>
    <definedName name="xxInterpol" localSheetId="1">#REF!</definedName>
    <definedName name="xxInterpol" localSheetId="17">#REF!</definedName>
    <definedName name="xxInterpol" localSheetId="8">#REF!</definedName>
    <definedName name="xxInterpol" localSheetId="2">#REF!</definedName>
    <definedName name="xxInterpol" localSheetId="18">#REF!</definedName>
    <definedName name="xxInterpol" localSheetId="9">#REF!</definedName>
    <definedName name="xxInterpol" localSheetId="3">#REF!</definedName>
    <definedName name="xxInterpol" localSheetId="19">#REF!</definedName>
    <definedName name="xxInterpol" localSheetId="10">#REF!</definedName>
    <definedName name="xxInterpol" localSheetId="20">#REF!</definedName>
    <definedName name="xxInterpol" localSheetId="11">#REF!</definedName>
    <definedName name="xxInterpol" localSheetId="21">#REF!</definedName>
    <definedName name="xxInterpol" localSheetId="12">#REF!</definedName>
    <definedName name="xxInterpol" localSheetId="22">#REF!</definedName>
    <definedName name="xxInterpol" localSheetId="13">#REF!</definedName>
    <definedName name="xxInterpol">#REF!</definedName>
    <definedName name="xxLanguage">[25]Titles!$A$3</definedName>
    <definedName name="xxLapso" localSheetId="14">#REF!</definedName>
    <definedName name="xxLapso" localSheetId="0">#REF!</definedName>
    <definedName name="xxLapso" localSheetId="5">#REF!</definedName>
    <definedName name="xxLapso" localSheetId="15">#REF!</definedName>
    <definedName name="xxLapso" localSheetId="6">#REF!</definedName>
    <definedName name="xxLapso" localSheetId="16">#REF!</definedName>
    <definedName name="xxLapso" localSheetId="7">#REF!</definedName>
    <definedName name="xxLapso" localSheetId="1">#REF!</definedName>
    <definedName name="xxLapso" localSheetId="17">#REF!</definedName>
    <definedName name="xxLapso" localSheetId="8">#REF!</definedName>
    <definedName name="xxLapso" localSheetId="2">#REF!</definedName>
    <definedName name="xxLapso" localSheetId="18">#REF!</definedName>
    <definedName name="xxLapso" localSheetId="9">#REF!</definedName>
    <definedName name="xxLapso" localSheetId="3">#REF!</definedName>
    <definedName name="xxLapso" localSheetId="19">#REF!</definedName>
    <definedName name="xxLapso" localSheetId="10">#REF!</definedName>
    <definedName name="xxLapso" localSheetId="20">#REF!</definedName>
    <definedName name="xxLapso" localSheetId="11">#REF!</definedName>
    <definedName name="xxLapso" localSheetId="21">#REF!</definedName>
    <definedName name="xxLapso" localSheetId="12">#REF!</definedName>
    <definedName name="xxLapso" localSheetId="22">#REF!</definedName>
    <definedName name="xxLapso" localSheetId="13">#REF!</definedName>
    <definedName name="xxLapso">#REF!</definedName>
    <definedName name="xxLastDate" localSheetId="14">#REF!</definedName>
    <definedName name="xxLastDate" localSheetId="0">#REF!</definedName>
    <definedName name="xxLastDate" localSheetId="5">#REF!</definedName>
    <definedName name="xxLastDate" localSheetId="15">#REF!</definedName>
    <definedName name="xxLastDate" localSheetId="6">#REF!</definedName>
    <definedName name="xxLastDate" localSheetId="16">#REF!</definedName>
    <definedName name="xxLastDate" localSheetId="7">#REF!</definedName>
    <definedName name="xxLastDate" localSheetId="1">#REF!</definedName>
    <definedName name="xxLastDate" localSheetId="17">#REF!</definedName>
    <definedName name="xxLastDate" localSheetId="8">#REF!</definedName>
    <definedName name="xxLastDate" localSheetId="2">#REF!</definedName>
    <definedName name="xxLastDate" localSheetId="18">#REF!</definedName>
    <definedName name="xxLastDate" localSheetId="9">#REF!</definedName>
    <definedName name="xxLastDate" localSheetId="3">#REF!</definedName>
    <definedName name="xxLastDate" localSheetId="19">#REF!</definedName>
    <definedName name="xxLastDate" localSheetId="10">#REF!</definedName>
    <definedName name="xxLastDate" localSheetId="20">#REF!</definedName>
    <definedName name="xxLastDate" localSheetId="11">#REF!</definedName>
    <definedName name="xxLastDate" localSheetId="21">#REF!</definedName>
    <definedName name="xxLastDate" localSheetId="12">#REF!</definedName>
    <definedName name="xxLastDate" localSheetId="22">#REF!</definedName>
    <definedName name="xxLastDate" localSheetId="13">#REF!</definedName>
    <definedName name="xxLastDate">#REF!</definedName>
    <definedName name="xxMercado" localSheetId="14">#REF!</definedName>
    <definedName name="xxMercado" localSheetId="0">#REF!</definedName>
    <definedName name="xxMercado" localSheetId="5">#REF!</definedName>
    <definedName name="xxMercado" localSheetId="15">#REF!</definedName>
    <definedName name="xxMercado" localSheetId="6">#REF!</definedName>
    <definedName name="xxMercado" localSheetId="16">#REF!</definedName>
    <definedName name="xxMercado" localSheetId="7">#REF!</definedName>
    <definedName name="xxMercado" localSheetId="1">#REF!</definedName>
    <definedName name="xxMercado" localSheetId="17">#REF!</definedName>
    <definedName name="xxMercado" localSheetId="8">#REF!</definedName>
    <definedName name="xxMercado" localSheetId="2">#REF!</definedName>
    <definedName name="xxMercado" localSheetId="18">#REF!</definedName>
    <definedName name="xxMercado" localSheetId="9">#REF!</definedName>
    <definedName name="xxMercado" localSheetId="3">#REF!</definedName>
    <definedName name="xxMercado" localSheetId="19">#REF!</definedName>
    <definedName name="xxMercado" localSheetId="10">#REF!</definedName>
    <definedName name="xxMercado" localSheetId="20">#REF!</definedName>
    <definedName name="xxMercado" localSheetId="11">#REF!</definedName>
    <definedName name="xxMercado" localSheetId="21">#REF!</definedName>
    <definedName name="xxMercado" localSheetId="12">#REF!</definedName>
    <definedName name="xxMercado" localSheetId="22">#REF!</definedName>
    <definedName name="xxMercado" localSheetId="13">#REF!</definedName>
    <definedName name="xxMercado">#REF!</definedName>
    <definedName name="xxNumeroDeFechasC1">[25]c1!$N$1</definedName>
    <definedName name="xxNumeroDeFechasC3">[25]c3!$N$1</definedName>
    <definedName name="xxNumeroDeFechasC5">[25]c5!$N$1</definedName>
    <definedName name="xxNumeroDeFechasC6">[25]c6!$N$1</definedName>
    <definedName name="xxNumeroDeFechasC8" localSheetId="14">#REF!</definedName>
    <definedName name="xxNumeroDeFechasC8" localSheetId="0">#REF!</definedName>
    <definedName name="xxNumeroDeFechasC8" localSheetId="5">#REF!</definedName>
    <definedName name="xxNumeroDeFechasC8" localSheetId="15">#REF!</definedName>
    <definedName name="xxNumeroDeFechasC8" localSheetId="6">#REF!</definedName>
    <definedName name="xxNumeroDeFechasC8" localSheetId="16">#REF!</definedName>
    <definedName name="xxNumeroDeFechasC8" localSheetId="7">#REF!</definedName>
    <definedName name="xxNumeroDeFechasC8" localSheetId="1">#REF!</definedName>
    <definedName name="xxNumeroDeFechasC8" localSheetId="17">#REF!</definedName>
    <definedName name="xxNumeroDeFechasC8" localSheetId="8">#REF!</definedName>
    <definedName name="xxNumeroDeFechasC8" localSheetId="2">#REF!</definedName>
    <definedName name="xxNumeroDeFechasC8" localSheetId="18">#REF!</definedName>
    <definedName name="xxNumeroDeFechasC8" localSheetId="9">#REF!</definedName>
    <definedName name="xxNumeroDeFechasC8" localSheetId="3">#REF!</definedName>
    <definedName name="xxNumeroDeFechasC8" localSheetId="19">#REF!</definedName>
    <definedName name="xxNumeroDeFechasC8" localSheetId="10">#REF!</definedName>
    <definedName name="xxNumeroDeFechasC8" localSheetId="20">#REF!</definedName>
    <definedName name="xxNumeroDeFechasC8" localSheetId="11">#REF!</definedName>
    <definedName name="xxNumeroDeFechasC8" localSheetId="21">#REF!</definedName>
    <definedName name="xxNumeroDeFechasC8" localSheetId="12">#REF!</definedName>
    <definedName name="xxNumeroDeFechasC8" localSheetId="22">#REF!</definedName>
    <definedName name="xxNumeroDeFechasC8" localSheetId="13">#REF!</definedName>
    <definedName name="xxNumeroDeFechasC8">#REF!</definedName>
    <definedName name="xxOpcionesFAME">[25]Inputs!$A$2</definedName>
    <definedName name="xxPorcentaje">[58]SERIES!$U$1</definedName>
    <definedName name="xxPromD">[4]SerM!$V$1</definedName>
    <definedName name="xxReal">[25]Titles!$A$32</definedName>
    <definedName name="xxSecundary" localSheetId="14">#REF!</definedName>
    <definedName name="xxSecundary" localSheetId="0">#REF!</definedName>
    <definedName name="xxSecundary" localSheetId="5">#REF!</definedName>
    <definedName name="xxSecundary" localSheetId="15">#REF!</definedName>
    <definedName name="xxSecundary" localSheetId="6">#REF!</definedName>
    <definedName name="xxSecundary" localSheetId="16">#REF!</definedName>
    <definedName name="xxSecundary" localSheetId="7">#REF!</definedName>
    <definedName name="xxSecundary" localSheetId="1">#REF!</definedName>
    <definedName name="xxSecundary" localSheetId="17">#REF!</definedName>
    <definedName name="xxSecundary" localSheetId="8">#REF!</definedName>
    <definedName name="xxSecundary" localSheetId="2">#REF!</definedName>
    <definedName name="xxSecundary" localSheetId="18">#REF!</definedName>
    <definedName name="xxSecundary" localSheetId="9">#REF!</definedName>
    <definedName name="xxSecundary" localSheetId="3">#REF!</definedName>
    <definedName name="xxSecundary" localSheetId="19">#REF!</definedName>
    <definedName name="xxSecundary" localSheetId="10">#REF!</definedName>
    <definedName name="xxSecundary" localSheetId="20">#REF!</definedName>
    <definedName name="xxSecundary" localSheetId="11">#REF!</definedName>
    <definedName name="xxSecundary" localSheetId="21">#REF!</definedName>
    <definedName name="xxSecundary" localSheetId="12">#REF!</definedName>
    <definedName name="xxSecundary" localSheetId="22">#REF!</definedName>
    <definedName name="xxSecundary" localSheetId="13">#REF!</definedName>
    <definedName name="xxSecundary">#REF!</definedName>
    <definedName name="xxSelectBTP1">[4]BTPMS!$O$1</definedName>
    <definedName name="xxSelectCDB1">[4]CDMS!$N$1</definedName>
    <definedName name="xxSufijoEspañol">[25]Titles!$C$22</definedName>
    <definedName name="xxSufijoInglés">[25]Titles!$C$23</definedName>
    <definedName name="xxTC" localSheetId="14">[41]Empresas!$H$1</definedName>
    <definedName name="xxTC" localSheetId="0">[41]Empresas!$H$1</definedName>
    <definedName name="xxTC" localSheetId="5">[41]Empresas!$H$1</definedName>
    <definedName name="xxTC" localSheetId="15">[41]Empresas!$H$1</definedName>
    <definedName name="xxTC" localSheetId="6">[41]Empresas!$H$1</definedName>
    <definedName name="xxTC" localSheetId="16">[41]Empresas!$H$1</definedName>
    <definedName name="xxTC" localSheetId="7">[41]Empresas!$H$1</definedName>
    <definedName name="xxTC" localSheetId="1">[41]Empresas!$H$1</definedName>
    <definedName name="xxTC" localSheetId="17">[41]Empresas!$H$1</definedName>
    <definedName name="xxTC" localSheetId="8">[41]Empresas!$H$1</definedName>
    <definedName name="xxTC" localSheetId="2">[41]Empresas!$H$1</definedName>
    <definedName name="xxTC" localSheetId="18">[41]Empresas!$H$1</definedName>
    <definedName name="xxTC" localSheetId="9">[41]Empresas!$H$1</definedName>
    <definedName name="xxTC" localSheetId="3">[41]Empresas!$H$1</definedName>
    <definedName name="xxTC" localSheetId="19">[41]Empresas!$H$1</definedName>
    <definedName name="xxTC" localSheetId="10">[41]Empresas!$H$1</definedName>
    <definedName name="xxTC" localSheetId="20">[41]Empresas!$H$1</definedName>
    <definedName name="xxTC" localSheetId="11">[41]Empresas!$H$1</definedName>
    <definedName name="xxTC" localSheetId="21">[41]Empresas!$H$1</definedName>
    <definedName name="xxTC" localSheetId="12">[41]Empresas!$H$1</definedName>
    <definedName name="xxTC" localSheetId="22">[41]Empresas!$H$1</definedName>
    <definedName name="xxTC" localSheetId="13">[41]Empresas!$H$1</definedName>
    <definedName name="xxTC">[41]Empresas!$H$1</definedName>
    <definedName name="xxTolerance" localSheetId="14">#REF!</definedName>
    <definedName name="xxTolerance" localSheetId="0">#REF!</definedName>
    <definedName name="xxTolerance" localSheetId="5">#REF!</definedName>
    <definedName name="xxTolerance" localSheetId="15">#REF!</definedName>
    <definedName name="xxTolerance" localSheetId="6">#REF!</definedName>
    <definedName name="xxTolerance" localSheetId="16">#REF!</definedName>
    <definedName name="xxTolerance" localSheetId="7">#REF!</definedName>
    <definedName name="xxTolerance" localSheetId="1">#REF!</definedName>
    <definedName name="xxTolerance" localSheetId="17">#REF!</definedName>
    <definedName name="xxTolerance" localSheetId="8">#REF!</definedName>
    <definedName name="xxTolerance" localSheetId="2">#REF!</definedName>
    <definedName name="xxTolerance" localSheetId="18">#REF!</definedName>
    <definedName name="xxTolerance" localSheetId="9">#REF!</definedName>
    <definedName name="xxTolerance" localSheetId="3">#REF!</definedName>
    <definedName name="xxTolerance" localSheetId="19">#REF!</definedName>
    <definedName name="xxTolerance" localSheetId="10">#REF!</definedName>
    <definedName name="xxTolerance" localSheetId="20">#REF!</definedName>
    <definedName name="xxTolerance" localSheetId="11">#REF!</definedName>
    <definedName name="xxTolerance" localSheetId="21">#REF!</definedName>
    <definedName name="xxTolerance" localSheetId="12">#REF!</definedName>
    <definedName name="xxTolerance" localSheetId="22">#REF!</definedName>
    <definedName name="xxTolerance" localSheetId="13">#REF!</definedName>
    <definedName name="xxTolerance">#REF!</definedName>
    <definedName name="xxUltimaFechaCuadroDeAFP">[25]Menu!$K$12</definedName>
    <definedName name="xxUltimaFechaCuadroDeAhorro">[25]Menu!$K$7</definedName>
    <definedName name="xxUltimaFechaCuadroDeBolsa">[25]Menu!$K$9</definedName>
    <definedName name="xxUltimaFechaCuadroDeBonos">[25]Menu!$K$9</definedName>
    <definedName name="xxUltimaFechaCuadroDeTasas">[25]Menu!$K$11</definedName>
    <definedName name="xxUltimaFechaDeCuadroAnexo">[25]Menu!$K$14</definedName>
    <definedName name="xxx" localSheetId="14" hidden="1">#REF!</definedName>
    <definedName name="xxx" localSheetId="0" hidden="1">#REF!</definedName>
    <definedName name="xxx" localSheetId="5" hidden="1">#REF!</definedName>
    <definedName name="xxx" localSheetId="15" hidden="1">#REF!</definedName>
    <definedName name="xxx" localSheetId="6" hidden="1">#REF!</definedName>
    <definedName name="xxx" localSheetId="16" hidden="1">#REF!</definedName>
    <definedName name="xxx" localSheetId="7" hidden="1">#REF!</definedName>
    <definedName name="xxx" localSheetId="1" hidden="1">#REF!</definedName>
    <definedName name="xxx" localSheetId="17" hidden="1">#REF!</definedName>
    <definedName name="xxx" localSheetId="8" hidden="1">#REF!</definedName>
    <definedName name="xxx" localSheetId="2" hidden="1">#REF!</definedName>
    <definedName name="xxx" localSheetId="18" hidden="1">#REF!</definedName>
    <definedName name="xxx" localSheetId="9" hidden="1">#REF!</definedName>
    <definedName name="xxx" localSheetId="3" hidden="1">#REF!</definedName>
    <definedName name="xxx" localSheetId="19" hidden="1">#REF!</definedName>
    <definedName name="xxx" localSheetId="10" hidden="1">#REF!</definedName>
    <definedName name="xxx" localSheetId="20" hidden="1">#REF!</definedName>
    <definedName name="xxx" localSheetId="11" hidden="1">#REF!</definedName>
    <definedName name="xxx" localSheetId="21" hidden="1">#REF!</definedName>
    <definedName name="xxx" localSheetId="12" hidden="1">#REF!</definedName>
    <definedName name="xxx" localSheetId="22" hidden="1">#REF!</definedName>
    <definedName name="xxx" localSheetId="13" hidden="1">#REF!</definedName>
    <definedName name="xxx" hidden="1">#REF!</definedName>
    <definedName name="xxxx" localSheetId="14" hidden="1">#REF!</definedName>
    <definedName name="xxxx" localSheetId="0" hidden="1">#REF!</definedName>
    <definedName name="xxxx" localSheetId="5" hidden="1">#REF!</definedName>
    <definedName name="xxxx" localSheetId="15" hidden="1">#REF!</definedName>
    <definedName name="xxxx" localSheetId="6" hidden="1">#REF!</definedName>
    <definedName name="xxxx" localSheetId="16" hidden="1">#REF!</definedName>
    <definedName name="xxxx" localSheetId="7" hidden="1">#REF!</definedName>
    <definedName name="xxxx" localSheetId="1" hidden="1">#REF!</definedName>
    <definedName name="xxxx" localSheetId="17" hidden="1">#REF!</definedName>
    <definedName name="xxxx" localSheetId="8" hidden="1">#REF!</definedName>
    <definedName name="xxxx" localSheetId="2" hidden="1">#REF!</definedName>
    <definedName name="xxxx" localSheetId="18" hidden="1">#REF!</definedName>
    <definedName name="xxxx" localSheetId="9" hidden="1">#REF!</definedName>
    <definedName name="xxxx" localSheetId="3" hidden="1">#REF!</definedName>
    <definedName name="xxxx" localSheetId="19" hidden="1">#REF!</definedName>
    <definedName name="xxxx" localSheetId="10" hidden="1">#REF!</definedName>
    <definedName name="xxxx" localSheetId="20" hidden="1">#REF!</definedName>
    <definedName name="xxxx" localSheetId="11" hidden="1">#REF!</definedName>
    <definedName name="xxxx" localSheetId="21" hidden="1">#REF!</definedName>
    <definedName name="xxxx" localSheetId="12" hidden="1">#REF!</definedName>
    <definedName name="xxxx" localSheetId="22" hidden="1">#REF!</definedName>
    <definedName name="xxxx" localSheetId="13" hidden="1">#REF!</definedName>
    <definedName name="xxxx" hidden="1">#REF!</definedName>
    <definedName name="xxxxxxx" localSheetId="14">#REF!</definedName>
    <definedName name="xxxxxxx" localSheetId="0">#REF!</definedName>
    <definedName name="xxxxxxx" localSheetId="5">#REF!</definedName>
    <definedName name="xxxxxxx" localSheetId="15">#REF!</definedName>
    <definedName name="xxxxxxx" localSheetId="6">#REF!</definedName>
    <definedName name="xxxxxxx" localSheetId="16">#REF!</definedName>
    <definedName name="xxxxxxx" localSheetId="7">#REF!</definedName>
    <definedName name="xxxxxxx" localSheetId="1">#REF!</definedName>
    <definedName name="xxxxxxx" localSheetId="17">#REF!</definedName>
    <definedName name="xxxxxxx" localSheetId="8">#REF!</definedName>
    <definedName name="xxxxxxx" localSheetId="2">#REF!</definedName>
    <definedName name="xxxxxxx" localSheetId="18">#REF!</definedName>
    <definedName name="xxxxxxx" localSheetId="9">#REF!</definedName>
    <definedName name="xxxxxxx" localSheetId="3">#REF!</definedName>
    <definedName name="xxxxxxx" localSheetId="19">#REF!</definedName>
    <definedName name="xxxxxxx" localSheetId="10">#REF!</definedName>
    <definedName name="xxxxxxx" localSheetId="20">#REF!</definedName>
    <definedName name="xxxxxxx" localSheetId="11">#REF!</definedName>
    <definedName name="xxxxxxx" localSheetId="21">#REF!</definedName>
    <definedName name="xxxxxxx" localSheetId="12">#REF!</definedName>
    <definedName name="xxxxxxx" localSheetId="22">#REF!</definedName>
    <definedName name="xxxxxxx" localSheetId="13">#REF!</definedName>
    <definedName name="xxxxxxx">#REF!</definedName>
    <definedName name="xxxxxxxxxxx" localSheetId="14">#REF!</definedName>
    <definedName name="xxxxxxxxxxx" localSheetId="0">#REF!</definedName>
    <definedName name="xxxxxxxxxxx" localSheetId="5">#REF!</definedName>
    <definedName name="xxxxxxxxxxx" localSheetId="15">#REF!</definedName>
    <definedName name="xxxxxxxxxxx" localSheetId="6">#REF!</definedName>
    <definedName name="xxxxxxxxxxx" localSheetId="16">#REF!</definedName>
    <definedName name="xxxxxxxxxxx" localSheetId="7">#REF!</definedName>
    <definedName name="xxxxxxxxxxx" localSheetId="1">#REF!</definedName>
    <definedName name="xxxxxxxxxxx" localSheetId="17">#REF!</definedName>
    <definedName name="xxxxxxxxxxx" localSheetId="8">#REF!</definedName>
    <definedName name="xxxxxxxxxxx" localSheetId="2">#REF!</definedName>
    <definedName name="xxxxxxxxxxx" localSheetId="18">#REF!</definedName>
    <definedName name="xxxxxxxxxxx" localSheetId="9">#REF!</definedName>
    <definedName name="xxxxxxxxxxx" localSheetId="3">#REF!</definedName>
    <definedName name="xxxxxxxxxxx" localSheetId="19">#REF!</definedName>
    <definedName name="xxxxxxxxxxx" localSheetId="10">#REF!</definedName>
    <definedName name="xxxxxxxxxxx" localSheetId="20">#REF!</definedName>
    <definedName name="xxxxxxxxxxx" localSheetId="11">#REF!</definedName>
    <definedName name="xxxxxxxxxxx" localSheetId="21">#REF!</definedName>
    <definedName name="xxxxxxxxxxx" localSheetId="12">#REF!</definedName>
    <definedName name="xxxxxxxxxxx" localSheetId="22">#REF!</definedName>
    <definedName name="xxxxxxxxxxx" localSheetId="13">#REF!</definedName>
    <definedName name="xxxxxxxxxxx">#REF!</definedName>
    <definedName name="xxxxxxxxxxxxxx" localSheetId="14">#REF!</definedName>
    <definedName name="xxxxxxxxxxxxxx" localSheetId="0">#REF!</definedName>
    <definedName name="xxxxxxxxxxxxxx" localSheetId="5">#REF!</definedName>
    <definedName name="xxxxxxxxxxxxxx" localSheetId="15">#REF!</definedName>
    <definedName name="xxxxxxxxxxxxxx" localSheetId="6">#REF!</definedName>
    <definedName name="xxxxxxxxxxxxxx" localSheetId="16">#REF!</definedName>
    <definedName name="xxxxxxxxxxxxxx" localSheetId="7">#REF!</definedName>
    <definedName name="xxxxxxxxxxxxxx" localSheetId="1">#REF!</definedName>
    <definedName name="xxxxxxxxxxxxxx" localSheetId="17">#REF!</definedName>
    <definedName name="xxxxxxxxxxxxxx" localSheetId="8">#REF!</definedName>
    <definedName name="xxxxxxxxxxxxxx" localSheetId="2">#REF!</definedName>
    <definedName name="xxxxxxxxxxxxxx" localSheetId="18">#REF!</definedName>
    <definedName name="xxxxxxxxxxxxxx" localSheetId="9">#REF!</definedName>
    <definedName name="xxxxxxxxxxxxxx" localSheetId="3">#REF!</definedName>
    <definedName name="xxxxxxxxxxxxxx" localSheetId="19">#REF!</definedName>
    <definedName name="xxxxxxxxxxxxxx" localSheetId="10">#REF!</definedName>
    <definedName name="xxxxxxxxxxxxxx" localSheetId="20">#REF!</definedName>
    <definedName name="xxxxxxxxxxxxxx" localSheetId="11">#REF!</definedName>
    <definedName name="xxxxxxxxxxxxxx" localSheetId="21">#REF!</definedName>
    <definedName name="xxxxxxxxxxxxxx" localSheetId="12">#REF!</definedName>
    <definedName name="xxxxxxxxxxxxxx" localSheetId="22">#REF!</definedName>
    <definedName name="xxxxxxxxxxxxxx" localSheetId="13">#REF!</definedName>
    <definedName name="xxxxxxxxxxxxxx">#REF!</definedName>
    <definedName name="xxxxxxxxxxxxxxxx" localSheetId="14">#REF!</definedName>
    <definedName name="xxxxxxxxxxxxxxxx" localSheetId="0">#REF!</definedName>
    <definedName name="xxxxxxxxxxxxxxxx" localSheetId="5">#REF!</definedName>
    <definedName name="xxxxxxxxxxxxxxxx" localSheetId="15">#REF!</definedName>
    <definedName name="xxxxxxxxxxxxxxxx" localSheetId="6">#REF!</definedName>
    <definedName name="xxxxxxxxxxxxxxxx" localSheetId="16">#REF!</definedName>
    <definedName name="xxxxxxxxxxxxxxxx" localSheetId="7">#REF!</definedName>
    <definedName name="xxxxxxxxxxxxxxxx" localSheetId="1">#REF!</definedName>
    <definedName name="xxxxxxxxxxxxxxxx" localSheetId="17">#REF!</definedName>
    <definedName name="xxxxxxxxxxxxxxxx" localSheetId="8">#REF!</definedName>
    <definedName name="xxxxxxxxxxxxxxxx" localSheetId="2">#REF!</definedName>
    <definedName name="xxxxxxxxxxxxxxxx" localSheetId="18">#REF!</definedName>
    <definedName name="xxxxxxxxxxxxxxxx" localSheetId="9">#REF!</definedName>
    <definedName name="xxxxxxxxxxxxxxxx" localSheetId="3">#REF!</definedName>
    <definedName name="xxxxxxxxxxxxxxxx" localSheetId="19">#REF!</definedName>
    <definedName name="xxxxxxxxxxxxxxxx" localSheetId="10">#REF!</definedName>
    <definedName name="xxxxxxxxxxxxxxxx" localSheetId="20">#REF!</definedName>
    <definedName name="xxxxxxxxxxxxxxxx" localSheetId="11">#REF!</definedName>
    <definedName name="xxxxxxxxxxxxxxxx" localSheetId="21">#REF!</definedName>
    <definedName name="xxxxxxxxxxxxxxxx" localSheetId="12">#REF!</definedName>
    <definedName name="xxxxxxxxxxxxxxxx" localSheetId="22">#REF!</definedName>
    <definedName name="xxxxxxxxxxxxxxxx" localSheetId="13">#REF!</definedName>
    <definedName name="xxxxxxxxxxxxxxxx">#REF!</definedName>
    <definedName name="YieldsDAY">[4]EXT!$A$1:$P$290</definedName>
    <definedName name="YieldsFIN">[4]SerX!$A$18:$Q$31</definedName>
    <definedName name="YieldsPRM">[4]SerX!$A$2:$Q$15</definedName>
    <definedName name="zssdd" localSheetId="14">#REF!</definedName>
    <definedName name="zssdd" localSheetId="0">#REF!</definedName>
    <definedName name="zssdd" localSheetId="5">#REF!</definedName>
    <definedName name="zssdd" localSheetId="15">#REF!</definedName>
    <definedName name="zssdd" localSheetId="6">#REF!</definedName>
    <definedName name="zssdd" localSheetId="16">#REF!</definedName>
    <definedName name="zssdd" localSheetId="7">#REF!</definedName>
    <definedName name="zssdd" localSheetId="1">#REF!</definedName>
    <definedName name="zssdd" localSheetId="17">#REF!</definedName>
    <definedName name="zssdd" localSheetId="8">#REF!</definedName>
    <definedName name="zssdd" localSheetId="2">#REF!</definedName>
    <definedName name="zssdd" localSheetId="18">#REF!</definedName>
    <definedName name="zssdd" localSheetId="9">#REF!</definedName>
    <definedName name="zssdd" localSheetId="3">#REF!</definedName>
    <definedName name="zssdd" localSheetId="19">#REF!</definedName>
    <definedName name="zssdd" localSheetId="10">#REF!</definedName>
    <definedName name="zssdd" localSheetId="20">#REF!</definedName>
    <definedName name="zssdd" localSheetId="11">#REF!</definedName>
    <definedName name="zssdd" localSheetId="21">#REF!</definedName>
    <definedName name="zssdd" localSheetId="12">#REF!</definedName>
    <definedName name="zssdd" localSheetId="22">#REF!</definedName>
    <definedName name="zssdd" localSheetId="13">#REF!</definedName>
    <definedName name="zssdd">#REF!</definedName>
    <definedName name="zzzz" localSheetId="14">[60]PAG_33!#REF!</definedName>
    <definedName name="zzzz" localSheetId="0">[60]PAG_33!#REF!</definedName>
    <definedName name="zzzz" localSheetId="5">[60]PAG_33!#REF!</definedName>
    <definedName name="zzzz" localSheetId="15">[60]PAG_33!#REF!</definedName>
    <definedName name="zzzz" localSheetId="6">[60]PAG_33!#REF!</definedName>
    <definedName name="zzzz" localSheetId="16">[60]PAG_33!#REF!</definedName>
    <definedName name="zzzz" localSheetId="7">[60]PAG_33!#REF!</definedName>
    <definedName name="zzzz" localSheetId="1">[60]PAG_33!#REF!</definedName>
    <definedName name="zzzz" localSheetId="17">[60]PAG_33!#REF!</definedName>
    <definedName name="zzzz" localSheetId="8">[60]PAG_33!#REF!</definedName>
    <definedName name="zzzz" localSheetId="2">[60]PAG_33!#REF!</definedName>
    <definedName name="zzzz" localSheetId="18">[60]PAG_33!#REF!</definedName>
    <definedName name="zzzz" localSheetId="9">[60]PAG_33!#REF!</definedName>
    <definedName name="zzzz" localSheetId="3">[60]PAG_33!#REF!</definedName>
    <definedName name="zzzz" localSheetId="19">[60]PAG_33!#REF!</definedName>
    <definedName name="zzzz" localSheetId="10">[60]PAG_33!#REF!</definedName>
    <definedName name="zzzz" localSheetId="20">[60]PAG_33!#REF!</definedName>
    <definedName name="zzzz" localSheetId="11">[60]PAG_33!#REF!</definedName>
    <definedName name="zzzz" localSheetId="21">[60]PAG_33!#REF!</definedName>
    <definedName name="zzzz" localSheetId="12">[60]PAG_33!#REF!</definedName>
    <definedName name="zzzz" localSheetId="22">[60]PAG_33!#REF!</definedName>
    <definedName name="zzzz" localSheetId="13">[60]PAG_33!#REF!</definedName>
    <definedName name="zzzz">[60]PAG_33!#REF!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1" i="23" l="1"/>
  <c r="H21" i="23"/>
  <c r="E21" i="23"/>
  <c r="D21" i="23"/>
  <c r="B21" i="23"/>
  <c r="R6" i="20" l="1"/>
  <c r="R6" i="19"/>
  <c r="Q6" i="19"/>
  <c r="P6" i="19"/>
  <c r="O6" i="19"/>
  <c r="N6" i="19"/>
  <c r="M6" i="19"/>
  <c r="L6" i="19"/>
  <c r="Q6" i="17"/>
  <c r="P6" i="18" l="1"/>
  <c r="D36" i="16"/>
  <c r="B36" i="16"/>
  <c r="S6" i="9" l="1"/>
  <c r="R6" i="9"/>
  <c r="Q6" i="9"/>
  <c r="P6" i="9"/>
  <c r="T6" i="11" l="1"/>
  <c r="S6" i="11"/>
  <c r="R6" i="11"/>
</calcChain>
</file>

<file path=xl/sharedStrings.xml><?xml version="1.0" encoding="utf-8"?>
<sst xmlns="http://schemas.openxmlformats.org/spreadsheetml/2006/main" count="1666" uniqueCount="426">
  <si>
    <t>Fuente: Servicio Nacional Forestal y de Fauna Silvestre (SERFOR).</t>
  </si>
  <si>
    <t>-</t>
  </si>
  <si>
    <t>2019</t>
  </si>
  <si>
    <t>2018</t>
  </si>
  <si>
    <t>2017</t>
  </si>
  <si>
    <t xml:space="preserve"> -</t>
  </si>
  <si>
    <t>2016</t>
  </si>
  <si>
    <t>2015</t>
  </si>
  <si>
    <t>2014</t>
  </si>
  <si>
    <t>2013</t>
  </si>
  <si>
    <t>2012</t>
  </si>
  <si>
    <t xml:space="preserve"> - </t>
  </si>
  <si>
    <t xml:space="preserve">       -</t>
  </si>
  <si>
    <t>(Miles de kg.)</t>
  </si>
  <si>
    <t>(Miles de 
kg.)</t>
  </si>
  <si>
    <t>(Miles de unidades)</t>
  </si>
  <si>
    <t>Ratania</t>
  </si>
  <si>
    <t>Piasava</t>
  </si>
  <si>
    <t>Palmito de chonta/huasai</t>
  </si>
  <si>
    <t>Jebe o
shiringa</t>
  </si>
  <si>
    <t>Cube o 
barbasco</t>
  </si>
  <si>
    <t>Castaña</t>
  </si>
  <si>
    <t>Carrizo</t>
  </si>
  <si>
    <t>Caña 
guayaquil</t>
  </si>
  <si>
    <t>Caña 
brava</t>
  </si>
  <si>
    <t>Algarroba</t>
  </si>
  <si>
    <t>Aguaje</t>
  </si>
  <si>
    <t>Año</t>
  </si>
  <si>
    <t>2.4.3 CULTIVOS</t>
  </si>
  <si>
    <t>(tonelada)</t>
  </si>
  <si>
    <t>(kg.)</t>
  </si>
  <si>
    <t>(litro)</t>
  </si>
  <si>
    <t>Uña de 
gato</t>
  </si>
  <si>
    <t>Tara en 
vaina</t>
  </si>
  <si>
    <t>Sangre de
grado 
(corteza)</t>
  </si>
  <si>
    <t>Sangre de grado</t>
  </si>
  <si>
    <t>Palo santo (sahumerio)</t>
  </si>
  <si>
    <t>Huampo (corteza)</t>
  </si>
  <si>
    <t>Chuchuhuasi</t>
  </si>
  <si>
    <t>Chancapiedra</t>
  </si>
  <si>
    <t>Fuente: Ministerio de Desarrollo Agrario y Riego (MIDAGRI).</t>
  </si>
  <si>
    <t>Orégano</t>
  </si>
  <si>
    <t>Marigold</t>
  </si>
  <si>
    <t>Algodón sin desmotar</t>
  </si>
  <si>
    <t>Alfalfa</t>
  </si>
  <si>
    <t>Productos de forraje y otros</t>
  </si>
  <si>
    <t>Caña para azúcar</t>
  </si>
  <si>
    <t>Cultivos de azúcar</t>
  </si>
  <si>
    <t>Zarandaja</t>
  </si>
  <si>
    <t>Tarhui</t>
  </si>
  <si>
    <t>Pallar seco</t>
  </si>
  <si>
    <t>Loctao</t>
  </si>
  <si>
    <t>Lenteja</t>
  </si>
  <si>
    <t>Haba seca</t>
  </si>
  <si>
    <t>Garbanzo</t>
  </si>
  <si>
    <t>Frijol de palo</t>
  </si>
  <si>
    <t>Frijol</t>
  </si>
  <si>
    <t>Caupí</t>
  </si>
  <si>
    <t>Arveja seca</t>
  </si>
  <si>
    <t>Legumbres</t>
  </si>
  <si>
    <t>Té</t>
  </si>
  <si>
    <t>Paprika</t>
  </si>
  <si>
    <t>Café pergamino</t>
  </si>
  <si>
    <t>Cacao</t>
  </si>
  <si>
    <t>Albahaca</t>
  </si>
  <si>
    <t>Cultivos estimulantes, de especias y aromáticos</t>
  </si>
  <si>
    <t>Yuca</t>
  </si>
  <si>
    <t>Pituca</t>
  </si>
  <si>
    <t>Papa</t>
  </si>
  <si>
    <t>Olluco</t>
  </si>
  <si>
    <t>Oca</t>
  </si>
  <si>
    <t>Mashua</t>
  </si>
  <si>
    <t>Camote</t>
  </si>
  <si>
    <t>Raíces y tubérculos comestibles</t>
  </si>
  <si>
    <t>Soya</t>
  </si>
  <si>
    <t>Palma aceitera</t>
  </si>
  <si>
    <t>Olivo</t>
  </si>
  <si>
    <t>Coco con cáscara</t>
  </si>
  <si>
    <t>Semillas aceiteras y frutos oleaginosos</t>
  </si>
  <si>
    <t>Uva</t>
  </si>
  <si>
    <t>Piña</t>
  </si>
  <si>
    <t>Pecana</t>
  </si>
  <si>
    <t>Papaya</t>
  </si>
  <si>
    <t>Palta</t>
  </si>
  <si>
    <t>Naranja</t>
  </si>
  <si>
    <t>Manzana</t>
  </si>
  <si>
    <t>Mango</t>
  </si>
  <si>
    <t>Mandarina</t>
  </si>
  <si>
    <t>Limón sutil</t>
  </si>
  <si>
    <t>Banano y plátano</t>
  </si>
  <si>
    <t>Arándano</t>
  </si>
  <si>
    <t>Frutas y nueces</t>
  </si>
  <si>
    <t>Tomate</t>
  </si>
  <si>
    <t>Maíz choclo</t>
  </si>
  <si>
    <t>Haba verde</t>
  </si>
  <si>
    <t>Espárrago</t>
  </si>
  <si>
    <t>Cebolla cabeza</t>
  </si>
  <si>
    <t>Arveja verde</t>
  </si>
  <si>
    <t>Ajo</t>
  </si>
  <si>
    <t>Hortalizas</t>
  </si>
  <si>
    <t>Cañihua</t>
  </si>
  <si>
    <t>Kiwicha</t>
  </si>
  <si>
    <t>Cebada grano</t>
  </si>
  <si>
    <t>Quinua</t>
  </si>
  <si>
    <t>Arroz con cascarilla</t>
  </si>
  <si>
    <t>Maíz amiláceo</t>
  </si>
  <si>
    <t>Maíz amarillo duro</t>
  </si>
  <si>
    <t>Trigo</t>
  </si>
  <si>
    <t>Cereales</t>
  </si>
  <si>
    <t>Producto</t>
  </si>
  <si>
    <t>(Miles de toneladas)</t>
  </si>
  <si>
    <t>Semillas aceiteras y 
frutos oleaginosos</t>
  </si>
  <si>
    <t xml:space="preserve">       (Tonelada por hectárea)</t>
  </si>
  <si>
    <t>Fuente: Servicio Nacional de Sanidad Agraria (SENASA).</t>
  </si>
  <si>
    <t>Superficie agropecuaria
Censo agropecuario
(Hectáreas)</t>
  </si>
  <si>
    <t>Porcentaje respecto a la superficie agropecuaria (%)</t>
  </si>
  <si>
    <t>Superficie destinada 
a la producción orgánica
(Hectáreas)</t>
  </si>
  <si>
    <t xml:space="preserve"> (Hectáreas)</t>
  </si>
  <si>
    <t>Ucayali</t>
  </si>
  <si>
    <t>Tumbes</t>
  </si>
  <si>
    <t>…</t>
  </si>
  <si>
    <t>Tacna</t>
  </si>
  <si>
    <t>San Martín</t>
  </si>
  <si>
    <t xml:space="preserve">Puno </t>
  </si>
  <si>
    <t>Piura</t>
  </si>
  <si>
    <t>Pasco</t>
  </si>
  <si>
    <t>Moquegua</t>
  </si>
  <si>
    <t>Madre de Dios</t>
  </si>
  <si>
    <t>Loreto</t>
  </si>
  <si>
    <t>Lima</t>
  </si>
  <si>
    <t>Lambayeque</t>
  </si>
  <si>
    <t>La Libertad</t>
  </si>
  <si>
    <t xml:space="preserve">Junín </t>
  </si>
  <si>
    <t>Ica</t>
  </si>
  <si>
    <t>Huánuco</t>
  </si>
  <si>
    <t>Huancavelica</t>
  </si>
  <si>
    <t>Cusco</t>
  </si>
  <si>
    <t>Cajamarca</t>
  </si>
  <si>
    <t>Ayacucho</t>
  </si>
  <si>
    <t>Arequipa</t>
  </si>
  <si>
    <t>Apurímac</t>
  </si>
  <si>
    <t>Áncash</t>
  </si>
  <si>
    <t>Amazonas</t>
  </si>
  <si>
    <t>Departamento</t>
  </si>
  <si>
    <t>Selva</t>
  </si>
  <si>
    <t>Sierra</t>
  </si>
  <si>
    <t>Costa</t>
  </si>
  <si>
    <t>Región natural</t>
  </si>
  <si>
    <t>Total</t>
  </si>
  <si>
    <t>Bueyes</t>
  </si>
  <si>
    <t>Toros</t>
  </si>
  <si>
    <t>Toretes</t>
  </si>
  <si>
    <t>Terneros</t>
  </si>
  <si>
    <t>Vacas</t>
  </si>
  <si>
    <t>Vaquillones</t>
  </si>
  <si>
    <t>Vaquillas</t>
  </si>
  <si>
    <t>Terneras</t>
  </si>
  <si>
    <t xml:space="preserve">Total </t>
  </si>
  <si>
    <t>Ámbito 
geográfico</t>
  </si>
  <si>
    <t>(Unidades)</t>
  </si>
  <si>
    <t>2.4.4 GANADO</t>
  </si>
  <si>
    <t>...</t>
  </si>
  <si>
    <t>Vicuña</t>
  </si>
  <si>
    <t>Vacuno</t>
  </si>
  <si>
    <t>Porcino</t>
  </si>
  <si>
    <t>Ovino</t>
  </si>
  <si>
    <t>Llama</t>
  </si>
  <si>
    <t>Caprino</t>
  </si>
  <si>
    <t>Ave</t>
  </si>
  <si>
    <t>Alpaca</t>
  </si>
  <si>
    <t xml:space="preserve"> (Miles de unidades)</t>
  </si>
  <si>
    <t xml:space="preserve">XXIV </t>
  </si>
  <si>
    <t xml:space="preserve">XXIII  </t>
  </si>
  <si>
    <t xml:space="preserve">XXII    </t>
  </si>
  <si>
    <t>Puno</t>
  </si>
  <si>
    <t xml:space="preserve">XXI   </t>
  </si>
  <si>
    <t xml:space="preserve">XX     </t>
  </si>
  <si>
    <t xml:space="preserve">XIX    </t>
  </si>
  <si>
    <t xml:space="preserve">XVIII  </t>
  </si>
  <si>
    <t xml:space="preserve">Huancavelica </t>
  </si>
  <si>
    <t xml:space="preserve">XVII    </t>
  </si>
  <si>
    <t>Junín</t>
  </si>
  <si>
    <t xml:space="preserve">XVI    </t>
  </si>
  <si>
    <t xml:space="preserve">XV    </t>
  </si>
  <si>
    <t xml:space="preserve">XIV   </t>
  </si>
  <si>
    <t xml:space="preserve">XIII    </t>
  </si>
  <si>
    <t xml:space="preserve">XII     </t>
  </si>
  <si>
    <t xml:space="preserve">XI      </t>
  </si>
  <si>
    <t xml:space="preserve">X        </t>
  </si>
  <si>
    <t xml:space="preserve">IX      </t>
  </si>
  <si>
    <t xml:space="preserve">VIII     </t>
  </si>
  <si>
    <t xml:space="preserve">VII     </t>
  </si>
  <si>
    <t xml:space="preserve">VI      </t>
  </si>
  <si>
    <t xml:space="preserve">V       </t>
  </si>
  <si>
    <t xml:space="preserve">IV       </t>
  </si>
  <si>
    <t xml:space="preserve">III         </t>
  </si>
  <si>
    <t xml:space="preserve">II         </t>
  </si>
  <si>
    <t xml:space="preserve">I         </t>
  </si>
  <si>
    <t>2009</t>
  </si>
  <si>
    <t>2008</t>
  </si>
  <si>
    <t>2007</t>
  </si>
  <si>
    <t>2006</t>
  </si>
  <si>
    <t>2005</t>
  </si>
  <si>
    <t>Unidad Agraria
Departamental</t>
  </si>
  <si>
    <t>2004 P/</t>
  </si>
  <si>
    <t>Unidad Agraria Departamental</t>
  </si>
  <si>
    <t xml:space="preserve">  (Miles de unidades)</t>
  </si>
  <si>
    <t>2003 P/</t>
  </si>
  <si>
    <t xml:space="preserve">   (Miles de unidades)</t>
  </si>
  <si>
    <t xml:space="preserve">II       </t>
  </si>
  <si>
    <t>Censo nacional</t>
  </si>
  <si>
    <t>Estimado</t>
  </si>
  <si>
    <t>Censo parcial</t>
  </si>
  <si>
    <t>Fuente del dato</t>
  </si>
  <si>
    <t>Superficie (Has)</t>
  </si>
  <si>
    <t>Población de Vicuñas</t>
  </si>
  <si>
    <t>b/ Censo Nacional 2012.</t>
  </si>
  <si>
    <t>a/ Estimación estadística de crecimiento anual.</t>
  </si>
  <si>
    <t>2012 b/</t>
  </si>
  <si>
    <t>2011 a/</t>
  </si>
  <si>
    <t>2010 a/</t>
  </si>
  <si>
    <t>2009 a/</t>
  </si>
  <si>
    <t>2008 a/</t>
  </si>
  <si>
    <t>2007 a/</t>
  </si>
  <si>
    <t>2006 a/</t>
  </si>
  <si>
    <t>2005 a/</t>
  </si>
  <si>
    <t>2004 a/</t>
  </si>
  <si>
    <t>2003 a/</t>
  </si>
  <si>
    <t>2002 a/</t>
  </si>
  <si>
    <t>2001 a/</t>
  </si>
  <si>
    <t>2000 a/</t>
  </si>
  <si>
    <t xml:space="preserve">    (Unidades)</t>
  </si>
  <si>
    <t>9. POBLACIÓN DE VICUÑAS, SEGÚN DEPARTAMENTO, 2007-2012</t>
  </si>
  <si>
    <t>Superficie                                              (Has)</t>
  </si>
  <si>
    <t>Población                                            de guanacos</t>
  </si>
  <si>
    <t>10.  POBLACIÓN DE GUANACOS Y SUPERFICIE DE SU HÁBITAT, SEGÚN DEPARTAMENTO, 1996</t>
  </si>
  <si>
    <t xml:space="preserve">             </t>
  </si>
  <si>
    <t>Valor FOB
(US dólares)</t>
  </si>
  <si>
    <t>Peso neto
(Kg)</t>
  </si>
  <si>
    <t>Carmín de cochinilla</t>
  </si>
  <si>
    <t>Cochinilla</t>
  </si>
  <si>
    <t>2.4.5 OTROS RECURSOS BIOLÓGICOS NO CULTIVADOS</t>
  </si>
  <si>
    <t>Bolivia</t>
  </si>
  <si>
    <t>China</t>
  </si>
  <si>
    <t>Corea</t>
  </si>
  <si>
    <t>Alemania</t>
  </si>
  <si>
    <t>Reino Unido - Inglaterra</t>
  </si>
  <si>
    <t>India</t>
  </si>
  <si>
    <t>Japón</t>
  </si>
  <si>
    <t>Suiza</t>
  </si>
  <si>
    <t>Argentina</t>
  </si>
  <si>
    <t>Italia</t>
  </si>
  <si>
    <t>País</t>
  </si>
  <si>
    <t xml:space="preserve"> (Kilogramos)</t>
  </si>
  <si>
    <t>Rusia</t>
  </si>
  <si>
    <t>Tailandia</t>
  </si>
  <si>
    <t>Dinamarca</t>
  </si>
  <si>
    <t>Bahrain</t>
  </si>
  <si>
    <t>Hong Kong</t>
  </si>
  <si>
    <t>Brasil</t>
  </si>
  <si>
    <t>Kazajstan</t>
  </si>
  <si>
    <t>México</t>
  </si>
  <si>
    <t>Emiratos Árabes Unidos</t>
  </si>
  <si>
    <t>Australia</t>
  </si>
  <si>
    <t>Singapur</t>
  </si>
  <si>
    <t>Polonia</t>
  </si>
  <si>
    <t>Luxemburgo</t>
  </si>
  <si>
    <t>Ecuador</t>
  </si>
  <si>
    <t>Suecia</t>
  </si>
  <si>
    <t>Colombia</t>
  </si>
  <si>
    <t>Uruguay</t>
  </si>
  <si>
    <t>Canadá</t>
  </si>
  <si>
    <t>Egipto</t>
  </si>
  <si>
    <t>Irlanda</t>
  </si>
  <si>
    <t>Noruega</t>
  </si>
  <si>
    <t>España</t>
  </si>
  <si>
    <t>Chile</t>
  </si>
  <si>
    <t>Estados Unidos</t>
  </si>
  <si>
    <t>Países Bajos</t>
  </si>
  <si>
    <t>Bélgica</t>
  </si>
  <si>
    <t>Francia</t>
  </si>
  <si>
    <t xml:space="preserve"> (Piezas)</t>
  </si>
  <si>
    <t xml:space="preserve">       </t>
  </si>
  <si>
    <t>(Kilogramos)</t>
  </si>
  <si>
    <t>Alto Chicama</t>
  </si>
  <si>
    <t>San Gabán</t>
  </si>
  <si>
    <t>Aguaytía</t>
  </si>
  <si>
    <t>Valle</t>
  </si>
  <si>
    <t xml:space="preserve">   (Hectáreas)</t>
  </si>
  <si>
    <t>Kcosñipata</t>
  </si>
  <si>
    <t xml:space="preserve">Marañón </t>
  </si>
  <si>
    <t>Putumayo</t>
  </si>
  <si>
    <t>(Toneladas métricas)</t>
  </si>
  <si>
    <t>Producción
(Toneladas métricas)</t>
  </si>
  <si>
    <t>Superficie
(Hectáreas)</t>
  </si>
  <si>
    <t>Nº de Productores
legales</t>
  </si>
  <si>
    <t xml:space="preserve">  (Toneladas)</t>
  </si>
  <si>
    <t>La Convención-Lares</t>
  </si>
  <si>
    <t>Pichis Palcazu-Pachitea</t>
  </si>
  <si>
    <t>Inambari-Tambopata</t>
  </si>
  <si>
    <t>Bajo Amazonas</t>
  </si>
  <si>
    <t>Marañon</t>
  </si>
  <si>
    <t>Kosñipata</t>
  </si>
  <si>
    <t>Calleria</t>
  </si>
  <si>
    <t>Contamana</t>
  </si>
  <si>
    <t>Fuente: Instituto Nacional de Estadística e Informática (INEI) - Encuesta Nacional Agraria (ENA), 2019.</t>
  </si>
  <si>
    <t>Fuente: Servicio Nacional Forestal y de Fauna Silvestre - (SERFOR) - Dirección General de Información y Ordenamiento Forestal y de Fauna Silvestre (DGIOFFS).</t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</si>
  <si>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A partir del año 1996 no se ha vuelto a realizar otro Censo.</t>
    </r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</si>
  <si>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No se reportaron datos para el año 2017.</t>
    </r>
  </si>
  <si>
    <r>
      <t>Nota:</t>
    </r>
    <r>
      <rPr>
        <sz val="8"/>
        <rFont val="Arial Narrow"/>
        <family val="2"/>
      </rPr>
      <t xml:space="preserve"> La fibra de vicuña reportada corresponde a aquella cuyo aprovechamiento es supervisado por la autoridad.</t>
    </r>
  </si>
  <si>
    <t>2021 P/</t>
  </si>
  <si>
    <t>4.    RENDIMIENTO AGRÍCOLA POR PRODUCTO, 2016-2021</t>
  </si>
  <si>
    <t>3.    PRODUCCIÓN AGRÍCOLA POR PRODUCTO, 2016-2021</t>
  </si>
  <si>
    <t>5.   SUPERFICIE DESTINADA A LA PRODUCCIÓN ORGÁNICA, 2007-2021</t>
  </si>
  <si>
    <t>2.  PRINCIPALES ESPECIES PECUARIAS, 2007-2021</t>
  </si>
  <si>
    <t>1.  EXPORTACIÓN DE COCHINILLA Y CARMÍN DE COCHINILLA, 2006-2021</t>
  </si>
  <si>
    <t>2021 /P</t>
  </si>
  <si>
    <t>4.  VOLUMEN DE FIBRA DE VICUÑA OBTENIDA DE ANIMAL ESQUILADO VIVO, SEGÚN DEPARTAMENTO, 
2011-2021</t>
  </si>
  <si>
    <t>1. PRODUCCIÓN DE GANADO, SEGÚN ÁMBITO GEOGRÁFICO, 2019</t>
  </si>
  <si>
    <t>7.  PRODUCTORES LEGALES, SUPERFICIE Y  PRODUCCIÓN PROMEDIO, DE HOJA DE COCA, SEGÚN DEPARTAMENTO, 2020-2021</t>
  </si>
  <si>
    <t>8. EVOLUCIÓN DE LA POBLACIÓN DE VICUÑAS Y SUPERFICIE DE SU HÁBITAT, 2005-2012</t>
  </si>
  <si>
    <t>2020</t>
  </si>
  <si>
    <t>Fuente: Ministerio de Agricultura y Riego (MINAGRI) - Oficina de Estudios Económicos y Estadísticos - Unidad de Estadística.</t>
  </si>
  <si>
    <t xml:space="preserve">               Dirección Regional Agraria Lima Metropolitana y PROABONOS.</t>
  </si>
  <si>
    <t xml:space="preserve">Área </t>
  </si>
  <si>
    <t>Orgánica</t>
  </si>
  <si>
    <t>Transición 1/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</si>
  <si>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Los totales pueden diferir por efecto de redondeo.</t>
    </r>
  </si>
  <si>
    <t>1/ Transición: Está en proceso de certificación, puede ser un periodo de 3 años.</t>
  </si>
  <si>
    <t xml:space="preserve">   Organismos de Certificación registrados ante SENASA, febrero 2021.</t>
  </si>
  <si>
    <t>3. POBLACIÓN DE GANADO VACUNO, SEGÚN UNIDAD AGRARIA DEPARTAMENTAL, 2013-2021</t>
  </si>
  <si>
    <r>
      <rPr>
        <b/>
        <sz val="8"/>
        <color theme="1"/>
        <rFont val="Arial Narrow"/>
        <family val="2"/>
      </rPr>
      <t>Nota:</t>
    </r>
    <r>
      <rPr>
        <sz val="8"/>
        <color theme="1"/>
        <rFont val="Arial Narrow"/>
        <family val="2"/>
      </rPr>
      <t xml:space="preserve"> Los totales y subtotales pueden diferir por efecto de redondeo.</t>
    </r>
  </si>
  <si>
    <t>7. POBLACIÓN DE LLAMAS, SEGÚN UNIDAD AGRARIA DEPARTAMENTAL, 2013-2021</t>
  </si>
  <si>
    <t>Fuente: Ministerio de Desarrollo Agrario y Riego - Dirección General de Evaluación y Seguimiento de Políticas - SIEA.</t>
  </si>
  <si>
    <t>4.  POBLACIÓN DE GANADO PORCINO, SEGÚN UNIDAD AGRARIA DEPARTAMENTAL, 2013-2021</t>
  </si>
  <si>
    <t>Fuente:  Ministerio de Desarrollo Agrario y Riego (MIDAGRI) - Dirección General de Estadística, Seguimiento y Evaluación de Políticas.(DGESEP)-Dirección de Estadística e Información Agraria (DEIA)</t>
  </si>
  <si>
    <t>Continúa…</t>
  </si>
  <si>
    <t>Conclusión.</t>
  </si>
  <si>
    <t>1,5</t>
  </si>
  <si>
    <t>4,6</t>
  </si>
  <si>
    <t>1,4</t>
  </si>
  <si>
    <t>7,5</t>
  </si>
  <si>
    <t>1,2</t>
  </si>
  <si>
    <t>1,7</t>
  </si>
  <si>
    <t>0,7</t>
  </si>
  <si>
    <t>10,2</t>
  </si>
  <si>
    <t>3,5</t>
  </si>
  <si>
    <t>39,0</t>
  </si>
  <si>
    <t>11,8</t>
  </si>
  <si>
    <t>4,7</t>
  </si>
  <si>
    <t>9,0</t>
  </si>
  <si>
    <t>38,4</t>
  </si>
  <si>
    <t>12,9</t>
  </si>
  <si>
    <t>11,0</t>
  </si>
  <si>
    <t>27,2</t>
  </si>
  <si>
    <t>16,9</t>
  </si>
  <si>
    <t>16,2</t>
  </si>
  <si>
    <t>15,9</t>
  </si>
  <si>
    <t>12,0</t>
  </si>
  <si>
    <t>13,7</t>
  </si>
  <si>
    <t>2,8</t>
  </si>
  <si>
    <t>31,0</t>
  </si>
  <si>
    <t>24,7</t>
  </si>
  <si>
    <t>3,3</t>
  </si>
  <si>
    <t>13,8</t>
  </si>
  <si>
    <t>14,4</t>
  </si>
  <si>
    <t>17,8</t>
  </si>
  <si>
    <t>6,7</t>
  </si>
  <si>
    <t>6,8</t>
  </si>
  <si>
    <t>14,5</t>
  </si>
  <si>
    <t>11,9</t>
  </si>
  <si>
    <t>13,2</t>
  </si>
  <si>
    <t>0,9</t>
  </si>
  <si>
    <t>5,7</t>
  </si>
  <si>
    <t>1,6</t>
  </si>
  <si>
    <t>1,0</t>
  </si>
  <si>
    <t>1,1</t>
  </si>
  <si>
    <t>1,3</t>
  </si>
  <si>
    <t>1,8</t>
  </si>
  <si>
    <t>112,1</t>
  </si>
  <si>
    <t>39,1</t>
  </si>
  <si>
    <t>2,5</t>
  </si>
  <si>
    <t>14,9</t>
  </si>
  <si>
    <t>11,2</t>
  </si>
  <si>
    <t>4,9</t>
  </si>
  <si>
    <t>Arabia Saudita</t>
  </si>
  <si>
    <t>Rumania</t>
  </si>
  <si>
    <t>Pichis-Palcazú-Pachitea</t>
  </si>
  <si>
    <t>5.  SUPERFICIE DE CULTIVO ILÍCITO DE HOJA DE COCA, SEGÚN VALLE, 2011-2020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</si>
  <si>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Los datos del año 2017 han sido elaborados por la UNODC y DEVIDA. Los datos del año 2018 en adelante son generados por DEVIDA en el marco del Sistema de Información de Lucha Contra las Drogas (SISCOD). Información disponible al 12-05-2022.</t>
    </r>
  </si>
  <si>
    <t>1/  Las zonas cocaleras del VRAEM, incluye Mazamari.</t>
  </si>
  <si>
    <t>2/  La zona cocalera de Huallaga, incluye Huallaga Central.</t>
  </si>
  <si>
    <t>Fuente: Sistema de Información de Lucha Contra las Drogas (SISCOD) - DEVIDA 2021.</t>
  </si>
  <si>
    <t xml:space="preserve">             Elaboración: Comisión Nacional para el Desarrollo y Vida Sin Drogas.</t>
  </si>
  <si>
    <t>Callería</t>
  </si>
  <si>
    <t>Zona cocalera</t>
  </si>
  <si>
    <t>6. PRODUCCIÓN POTENCIAL DE HOJA DE COCA SECADA AL SOL, SEGÚN ZONA COCALERA, 2017-2020</t>
  </si>
  <si>
    <t xml:space="preserve">             Elaboración: Comisión Nacional para el Desarrollo y Vida sin Drogas.</t>
  </si>
  <si>
    <t>2020-2021</t>
  </si>
  <si>
    <t>Fuente: Empresa Nacional de la Coca</t>
  </si>
  <si>
    <t>2.  EXPORTACIÓN DE PRENDAS DE FIBRA DE VICUÑA, SEGÚN PAÍS DE DESTINO, 2011-2021</t>
  </si>
  <si>
    <t>3.  EXPORTACIÓN DE FIBRA DE VICUÑA, SEGÚN PAÍS DE DESTINO, 2011-2021</t>
  </si>
  <si>
    <t>2.    PRODUCCIÓN DE PLANTAS MEDICINALES, 2007-2021</t>
  </si>
  <si>
    <t>1.   PRODUCCIÓN FORESTAL DIFERENTE A LA MADERA, POR ESPECIE, 2007-2021</t>
  </si>
  <si>
    <t>6.  PRODUCCIÓN ORGÁNICA CERTIFICADA, 2007-2021</t>
  </si>
  <si>
    <t>6. POBLACIÓN DE ALPACA, SEGÚN UNIDAD AGRARIA DEPARTAMENTAL, 2013-2021</t>
  </si>
  <si>
    <t xml:space="preserve">      Instituto Nacional de Estadística e Informática (INEI) - III Censo Nacional Agropecuario (CENAGRO) 1994.</t>
  </si>
  <si>
    <t xml:space="preserve">      Instituto Nacional de Estadística e Informática (INEI) - IV Censo Nacional Agropecuario (CENAGRO) 2012.</t>
  </si>
  <si>
    <r>
      <t xml:space="preserve">VRAEM </t>
    </r>
    <r>
      <rPr>
        <vertAlign val="superscript"/>
        <sz val="11"/>
        <rFont val="Arial Narrow"/>
        <family val="2"/>
      </rPr>
      <t>1/</t>
    </r>
  </si>
  <si>
    <r>
      <t xml:space="preserve">Huallaga </t>
    </r>
    <r>
      <rPr>
        <vertAlign val="superscript"/>
        <sz val="11"/>
        <rFont val="Arial Narrow"/>
        <family val="2"/>
      </rPr>
      <t>2/</t>
    </r>
  </si>
  <si>
    <r>
      <t xml:space="preserve">Nota: </t>
    </r>
    <r>
      <rPr>
        <sz val="8"/>
        <rFont val="Arial Narrow"/>
        <family val="2"/>
      </rPr>
      <t>Corresponde a datos oficiales extraídos del reporte de producción estimada de hoja de coca, DEVIDA (2020). Información disponible al 12-05-2022.</t>
    </r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</si>
  <si>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Al año 2021 se mantiene vigente el padrón de productores legales de hoja de coca de acuerdo al D.L. 22095 del año 1978.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</si>
  <si>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</si>
  <si>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</si>
  <si>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</si>
  <si>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</si>
  <si>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</si>
  <si>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</si>
  <si>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</si>
  <si>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</si>
  <si>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</si>
  <si>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</si>
  <si>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</si>
  <si>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</si>
  <si>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5.  POBLACIÓN DE AVES DE CORRAL, SEGÚN UNIDAD AGRARIA DEPARTAMENTAL, 2013-2021</t>
  </si>
  <si>
    <t>8. PRODUCCIÓN MENSUAL DE GUANO DE ISLA, 2006-2021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</si>
</sst>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\ #\ ###\ ###"/>
    <numFmt numFmtId="165" formatCode="#,##0.0"/>
    <numFmt numFmtId="166" formatCode="_ * #,##0.00_ ;_ * \-#,##0.00_ ;_ * &quot;-&quot;??_ ;_ @_ "/>
    <numFmt numFmtId="167" formatCode="#,##0.0_ ;\-#,##0.0\ "/>
    <numFmt numFmtId="168" formatCode="0.0"/>
    <numFmt numFmtId="169" formatCode="_-* #,##0_-;\-* #,##0_-;_-* &quot;-&quot;??_-;_-@_-"/>
    <numFmt numFmtId="170" formatCode="#\ ###\ ##0"/>
    <numFmt numFmtId="171" formatCode="0.000"/>
    <numFmt numFmtId="172" formatCode="#.0000\ ###\ ##0"/>
    <numFmt numFmtId="173" formatCode="#,##0.000"/>
    <numFmt numFmtId="174" formatCode="#.00\ ###\ ##0"/>
    <numFmt numFmtId="175" formatCode="#\ ###\ ###"/>
    <numFmt numFmtId="176" formatCode="###\ ###\ ###"/>
    <numFmt numFmtId="177" formatCode="#.00\ ###\ ###"/>
    <numFmt numFmtId="178" formatCode="###0"/>
    <numFmt numFmtId="179" formatCode="#,##0.0000"/>
    <numFmt numFmtId="180" formatCode="#,##0.00000"/>
    <numFmt numFmtId="181" formatCode="#\ ###.0"/>
    <numFmt numFmtId="182" formatCode="##\ ###\ ###\ ###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sz val="11"/>
      <color rgb="FF3B4A1E"/>
      <name val="Arial Narrow"/>
      <family val="2"/>
    </font>
    <font>
      <b/>
      <sz val="8"/>
      <color rgb="FF000000"/>
      <name val="Arial Narrow"/>
      <family val="2"/>
    </font>
    <font>
      <sz val="11"/>
      <name val="Arial Narrow"/>
      <family val="2"/>
    </font>
    <font>
      <sz val="8"/>
      <color indexed="8"/>
      <name val="Arial Narrow"/>
      <family val="2"/>
    </font>
    <font>
      <sz val="7"/>
      <name val="Times New Roman"/>
      <family val="1"/>
    </font>
    <font>
      <b/>
      <sz val="8"/>
      <color theme="1"/>
      <name val="Arial Narrow"/>
      <family val="2"/>
    </font>
    <font>
      <b/>
      <sz val="11"/>
      <color rgb="FFFF0000"/>
      <name val="Arial Narrow"/>
      <family val="2"/>
    </font>
    <font>
      <sz val="8"/>
      <color rgb="FFFF0000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sz val="11"/>
      <color rgb="FF3B4A1E"/>
      <name val="Arial Narrow"/>
      <family val="2"/>
    </font>
    <font>
      <sz val="11"/>
      <color theme="6" tint="-0.499984740745262"/>
      <name val="Arial Narrow"/>
      <family val="2"/>
    </font>
    <font>
      <b/>
      <sz val="11"/>
      <color rgb="FF000000"/>
      <name val="Arial Narrow"/>
      <family val="2"/>
    </font>
    <font>
      <b/>
      <sz val="11"/>
      <color theme="9" tint="-0.499984740745262"/>
      <name val="Arial Narrow"/>
      <family val="2"/>
    </font>
    <font>
      <sz val="11"/>
      <color theme="9" tint="-0.499984740745262"/>
      <name val="Arial Narrow"/>
      <family val="2"/>
    </font>
    <font>
      <sz val="11"/>
      <color rgb="FF000000"/>
      <name val="Arial Narrow"/>
      <family val="2"/>
    </font>
    <font>
      <b/>
      <sz val="8"/>
      <color indexed="8"/>
      <name val="Arial Narrow"/>
      <family val="2"/>
    </font>
    <font>
      <b/>
      <sz val="9"/>
      <color rgb="FF3B4A1E"/>
      <name val="Arial Narrow"/>
      <family val="2"/>
    </font>
    <font>
      <sz val="8"/>
      <color rgb="FF000000"/>
      <name val="Arial Narrow"/>
      <family val="2"/>
    </font>
    <font>
      <b/>
      <sz val="8"/>
      <color rgb="FF3B4A1E"/>
      <name val="Arial Narrow"/>
      <family val="2"/>
    </font>
    <font>
      <sz val="8"/>
      <color rgb="FF3B4A1E"/>
      <name val="Arial Narrow"/>
      <family val="2"/>
    </font>
    <font>
      <sz val="8"/>
      <color theme="9" tint="-0.499984740745262"/>
      <name val="Arial Narrow"/>
      <family val="2"/>
    </font>
    <font>
      <b/>
      <sz val="9"/>
      <color theme="9" tint="-0.499984740745262"/>
      <name val="Arial Narrow"/>
      <family val="2"/>
    </font>
    <font>
      <sz val="8"/>
      <name val="Times New Roman"/>
      <family val="1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9"/>
      <name val="Arial Narrow"/>
      <family val="2"/>
    </font>
    <font>
      <b/>
      <sz val="7"/>
      <name val="Arial Narrow"/>
      <family val="2"/>
    </font>
    <font>
      <sz val="9"/>
      <color theme="9" tint="-0.499984740745262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 Narrow"/>
      <family val="2"/>
    </font>
    <font>
      <vertAlign val="superscript"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FCD4"/>
        <bgColor indexed="64"/>
      </patternFill>
    </fill>
  </fills>
  <borders count="19">
    <border>
      <left/>
      <right/>
      <top/>
      <bottom/>
      <diagonal/>
    </border>
    <border>
      <left style="thick">
        <color rgb="FF3B4A1E"/>
      </left>
      <right/>
      <top/>
      <bottom/>
      <diagonal/>
    </border>
    <border>
      <left/>
      <right/>
      <top/>
      <bottom style="thin">
        <color theme="6" tint="-0.499984740745262"/>
      </bottom>
      <diagonal/>
    </border>
    <border>
      <left/>
      <right/>
      <top style="thin">
        <color rgb="FF3B4A1E"/>
      </top>
      <bottom style="thin">
        <color auto="1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ck">
        <color rgb="FF3B4A1E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/>
      <right style="thick">
        <color theme="9" tint="-0.499984740745262"/>
      </right>
      <top/>
      <bottom/>
      <diagonal/>
    </border>
    <border>
      <left/>
      <right style="thick">
        <color theme="9" tint="-0.499984740745262"/>
      </right>
      <top/>
      <bottom style="thin">
        <color theme="9" tint="-0.499984740745262"/>
      </bottom>
      <diagonal/>
    </border>
    <border>
      <left style="thick">
        <color rgb="FF3B4A1E"/>
      </left>
      <right/>
      <top style="thin">
        <color theme="9" tint="-0.499984740745262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ck">
        <color theme="9" tint="-0.499984740745262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theme="9" tint="-0.499984740745262"/>
      </left>
      <right/>
      <top/>
      <bottom style="thin">
        <color theme="9" tint="-0.499984740745262"/>
      </bottom>
      <diagonal/>
    </border>
    <border>
      <left/>
      <right style="thick">
        <color indexed="64"/>
      </right>
      <top/>
      <bottom style="thin">
        <color theme="9" tint="-0.499984740745262"/>
      </bottom>
      <diagonal/>
    </border>
  </borders>
  <cellStyleXfs count="29">
    <xf numFmtId="0" fontId="0" fillId="0" borderId="0"/>
    <xf numFmtId="0" fontId="2" fillId="0" borderId="0"/>
    <xf numFmtId="0" fontId="2" fillId="0" borderId="0" applyProtection="0"/>
    <xf numFmtId="0" fontId="2" fillId="0" borderId="0" applyProtection="0"/>
    <xf numFmtId="0" fontId="2" fillId="0" borderId="0" applyProtection="0"/>
    <xf numFmtId="0" fontId="2" fillId="0" borderId="0"/>
    <xf numFmtId="0" fontId="2" fillId="0" borderId="0"/>
    <xf numFmtId="0" fontId="2" fillId="0" borderId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 applyProtection="0"/>
    <xf numFmtId="0" fontId="2" fillId="0" borderId="0"/>
    <xf numFmtId="0" fontId="2" fillId="0" borderId="0"/>
    <xf numFmtId="0" fontId="33" fillId="0" borderId="0"/>
    <xf numFmtId="0" fontId="2" fillId="0" borderId="0"/>
    <xf numFmtId="0" fontId="1" fillId="0" borderId="0"/>
    <xf numFmtId="0" fontId="2" fillId="0" borderId="0"/>
  </cellStyleXfs>
  <cellXfs count="564">
    <xf numFmtId="0" fontId="0" fillId="0" borderId="0" xfId="0"/>
    <xf numFmtId="0" fontId="7" fillId="0" borderId="0" xfId="6" applyFont="1" applyAlignment="1">
      <alignment horizontal="left" vertical="center"/>
    </xf>
    <xf numFmtId="164" fontId="4" fillId="0" borderId="0" xfId="7" applyNumberFormat="1" applyFont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7" fillId="0" borderId="0" xfId="6" applyFont="1" applyAlignment="1">
      <alignment vertical="center"/>
    </xf>
    <xf numFmtId="0" fontId="4" fillId="0" borderId="0" xfId="14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171" fontId="4" fillId="0" borderId="0" xfId="21" applyNumberFormat="1" applyFont="1" applyAlignment="1">
      <alignment horizontal="center" vertical="center"/>
    </xf>
    <xf numFmtId="0" fontId="4" fillId="0" borderId="0" xfId="21" applyFont="1">
      <alignment vertical="center"/>
    </xf>
    <xf numFmtId="3" fontId="4" fillId="0" borderId="0" xfId="22" applyNumberFormat="1" applyFont="1" applyAlignment="1">
      <alignment horizontal="right" vertical="center"/>
    </xf>
    <xf numFmtId="3" fontId="4" fillId="0" borderId="0" xfId="22" applyNumberFormat="1" applyFont="1" applyAlignment="1">
      <alignment vertical="center"/>
    </xf>
    <xf numFmtId="164" fontId="4" fillId="0" borderId="0" xfId="22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23" applyFont="1"/>
    <xf numFmtId="0" fontId="10" fillId="0" borderId="0" xfId="23" applyFont="1" applyAlignment="1">
      <alignment horizontal="right" vertical="center"/>
    </xf>
    <xf numFmtId="0" fontId="13" fillId="0" borderId="0" xfId="6" applyFont="1" applyAlignment="1">
      <alignment horizontal="left" vertical="center"/>
    </xf>
    <xf numFmtId="0" fontId="16" fillId="0" borderId="0" xfId="0" applyFont="1"/>
    <xf numFmtId="173" fontId="16" fillId="0" borderId="0" xfId="0" applyNumberFormat="1" applyFont="1"/>
    <xf numFmtId="0" fontId="16" fillId="2" borderId="0" xfId="0" applyFont="1" applyFill="1"/>
    <xf numFmtId="0" fontId="9" fillId="0" borderId="0" xfId="1" applyFont="1"/>
    <xf numFmtId="3" fontId="9" fillId="0" borderId="0" xfId="2" applyNumberFormat="1" applyFont="1" applyAlignment="1">
      <alignment vertical="center"/>
    </xf>
    <xf numFmtId="3" fontId="15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3" fontId="9" fillId="0" borderId="0" xfId="2" applyNumberFormat="1" applyFont="1" applyAlignment="1">
      <alignment horizontal="left" vertical="top" indent="2"/>
    </xf>
    <xf numFmtId="3" fontId="9" fillId="0" borderId="0" xfId="2" applyNumberFormat="1" applyFont="1" applyAlignment="1">
      <alignment horizontal="right" vertical="center"/>
    </xf>
    <xf numFmtId="0" fontId="9" fillId="0" borderId="0" xfId="1" applyFont="1" applyAlignment="1">
      <alignment horizontal="right" vertical="center"/>
    </xf>
    <xf numFmtId="0" fontId="9" fillId="0" borderId="0" xfId="7" applyFont="1" applyAlignment="1">
      <alignment vertical="center"/>
    </xf>
    <xf numFmtId="0" fontId="9" fillId="0" borderId="0" xfId="7" applyFont="1" applyAlignment="1">
      <alignment vertical="top"/>
    </xf>
    <xf numFmtId="0" fontId="15" fillId="0" borderId="0" xfId="7" applyFont="1" applyAlignment="1">
      <alignment vertical="center"/>
    </xf>
    <xf numFmtId="0" fontId="9" fillId="0" borderId="0" xfId="23" applyFont="1"/>
    <xf numFmtId="4" fontId="17" fillId="0" borderId="0" xfId="23" applyNumberFormat="1" applyFont="1" applyAlignment="1">
      <alignment horizontal="center" vertical="center"/>
    </xf>
    <xf numFmtId="0" fontId="17" fillId="0" borderId="0" xfId="23" applyFont="1"/>
    <xf numFmtId="179" fontId="17" fillId="0" borderId="0" xfId="23" applyNumberFormat="1" applyFont="1"/>
    <xf numFmtId="1" fontId="9" fillId="0" borderId="0" xfId="23" applyNumberFormat="1" applyFont="1"/>
    <xf numFmtId="171" fontId="9" fillId="0" borderId="0" xfId="23" applyNumberFormat="1" applyFont="1"/>
    <xf numFmtId="0" fontId="9" fillId="0" borderId="0" xfId="23" applyFont="1" applyAlignment="1">
      <alignment horizontal="left"/>
    </xf>
    <xf numFmtId="0" fontId="9" fillId="0" borderId="0" xfId="23" applyFont="1" applyAlignment="1">
      <alignment horizontal="right"/>
    </xf>
    <xf numFmtId="3" fontId="9" fillId="0" borderId="0" xfId="22" applyNumberFormat="1" applyFont="1" applyAlignment="1">
      <alignment vertical="center"/>
    </xf>
    <xf numFmtId="0" fontId="17" fillId="0" borderId="0" xfId="0" applyFont="1" applyAlignment="1">
      <alignment vertical="center"/>
    </xf>
    <xf numFmtId="3" fontId="9" fillId="0" borderId="0" xfId="22" applyNumberFormat="1" applyFont="1" applyAlignment="1">
      <alignment horizontal="right" vertical="center"/>
    </xf>
    <xf numFmtId="0" fontId="17" fillId="0" borderId="0" xfId="4" applyFont="1" applyAlignment="1">
      <alignment vertical="center"/>
    </xf>
    <xf numFmtId="3" fontId="9" fillId="0" borderId="0" xfId="5" applyNumberFormat="1" applyFont="1" applyAlignment="1">
      <alignment horizontal="right" vertical="center"/>
    </xf>
    <xf numFmtId="0" fontId="9" fillId="0" borderId="0" xfId="5" applyFont="1" applyAlignment="1">
      <alignment horizontal="right" vertical="center"/>
    </xf>
    <xf numFmtId="179" fontId="9" fillId="0" borderId="0" xfId="5" applyNumberFormat="1" applyFont="1" applyAlignment="1">
      <alignment horizontal="right" vertical="center"/>
    </xf>
    <xf numFmtId="4" fontId="9" fillId="0" borderId="0" xfId="22" applyNumberFormat="1" applyFont="1" applyAlignment="1">
      <alignment horizontal="right" vertical="center"/>
    </xf>
    <xf numFmtId="3" fontId="9" fillId="0" borderId="0" xfId="22" applyNumberFormat="1" applyFont="1"/>
    <xf numFmtId="3" fontId="9" fillId="4" borderId="0" xfId="22" applyNumberFormat="1" applyFont="1" applyFill="1" applyAlignment="1">
      <alignment vertical="center"/>
    </xf>
    <xf numFmtId="3" fontId="15" fillId="0" borderId="0" xfId="22" applyNumberFormat="1" applyFont="1" applyAlignment="1">
      <alignment vertical="center"/>
    </xf>
    <xf numFmtId="173" fontId="9" fillId="0" borderId="0" xfId="22" applyNumberFormat="1" applyFont="1" applyAlignment="1">
      <alignment vertical="center"/>
    </xf>
    <xf numFmtId="0" fontId="9" fillId="0" borderId="0" xfId="19" applyFont="1" applyAlignment="1">
      <alignment vertical="center"/>
    </xf>
    <xf numFmtId="1" fontId="9" fillId="0" borderId="0" xfId="19" applyNumberFormat="1" applyFont="1" applyAlignment="1">
      <alignment vertical="center"/>
    </xf>
    <xf numFmtId="0" fontId="17" fillId="0" borderId="0" xfId="21" applyFont="1">
      <alignment vertical="center"/>
    </xf>
    <xf numFmtId="0" fontId="9" fillId="0" borderId="0" xfId="21" applyFont="1">
      <alignment vertical="center"/>
    </xf>
    <xf numFmtId="175" fontId="9" fillId="0" borderId="0" xfId="20" applyNumberFormat="1" applyFont="1" applyAlignment="1">
      <alignment horizontal="right"/>
    </xf>
    <xf numFmtId="175" fontId="9" fillId="0" borderId="0" xfId="21" applyNumberFormat="1" applyFont="1">
      <alignment vertical="center"/>
    </xf>
    <xf numFmtId="171" fontId="9" fillId="0" borderId="0" xfId="21" applyNumberFormat="1" applyFont="1" applyAlignment="1">
      <alignment horizontal="center" vertical="center"/>
    </xf>
    <xf numFmtId="177" fontId="9" fillId="0" borderId="0" xfId="21" applyNumberFormat="1" applyFont="1">
      <alignment vertical="center"/>
    </xf>
    <xf numFmtId="2" fontId="9" fillId="0" borderId="0" xfId="21" applyNumberFormat="1" applyFont="1">
      <alignment vertical="center"/>
    </xf>
    <xf numFmtId="0" fontId="17" fillId="0" borderId="0" xfId="19" applyFont="1" applyAlignment="1">
      <alignment vertical="center"/>
    </xf>
    <xf numFmtId="168" fontId="9" fillId="0" borderId="0" xfId="21" applyNumberFormat="1" applyFont="1">
      <alignment vertical="center"/>
    </xf>
    <xf numFmtId="175" fontId="9" fillId="0" borderId="0" xfId="19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7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9" fillId="0" borderId="0" xfId="14" applyFont="1" applyAlignment="1">
      <alignment vertical="center"/>
    </xf>
    <xf numFmtId="0" fontId="15" fillId="0" borderId="0" xfId="14" applyFont="1" applyAlignment="1">
      <alignment vertical="center"/>
    </xf>
    <xf numFmtId="172" fontId="9" fillId="0" borderId="0" xfId="14" applyNumberFormat="1" applyFont="1" applyAlignment="1">
      <alignment vertical="center"/>
    </xf>
    <xf numFmtId="0" fontId="9" fillId="2" borderId="0" xfId="14" applyFont="1" applyFill="1" applyAlignment="1">
      <alignment vertical="center"/>
    </xf>
    <xf numFmtId="174" fontId="9" fillId="0" borderId="0" xfId="14" applyNumberFormat="1" applyFont="1" applyAlignment="1">
      <alignment vertical="center"/>
    </xf>
    <xf numFmtId="4" fontId="9" fillId="0" borderId="0" xfId="14" applyNumberFormat="1" applyFont="1" applyAlignment="1">
      <alignment vertical="center"/>
    </xf>
    <xf numFmtId="0" fontId="9" fillId="0" borderId="0" xfId="12" applyFont="1" applyAlignment="1">
      <alignment vertical="center"/>
    </xf>
    <xf numFmtId="0" fontId="9" fillId="0" borderId="0" xfId="12" applyFont="1"/>
    <xf numFmtId="0" fontId="9" fillId="2" borderId="0" xfId="12" applyFont="1" applyFill="1"/>
    <xf numFmtId="0" fontId="9" fillId="0" borderId="0" xfId="12" applyFont="1" applyAlignment="1">
      <alignment horizontal="right" vertical="center" wrapText="1"/>
    </xf>
    <xf numFmtId="0" fontId="9" fillId="0" borderId="0" xfId="16" applyFont="1" applyAlignment="1">
      <alignment vertical="center"/>
    </xf>
    <xf numFmtId="0" fontId="9" fillId="2" borderId="0" xfId="16" applyFont="1" applyFill="1" applyAlignment="1">
      <alignment vertical="center"/>
    </xf>
    <xf numFmtId="0" fontId="9" fillId="0" borderId="0" xfId="16" applyFont="1" applyAlignment="1">
      <alignment vertical="center" wrapText="1"/>
    </xf>
    <xf numFmtId="171" fontId="9" fillId="0" borderId="0" xfId="14" applyNumberFormat="1" applyFont="1" applyAlignment="1">
      <alignment vertical="center"/>
    </xf>
    <xf numFmtId="0" fontId="16" fillId="0" borderId="0" xfId="0" applyFont="1" applyAlignment="1">
      <alignment horizontal="right"/>
    </xf>
    <xf numFmtId="0" fontId="19" fillId="0" borderId="0" xfId="10" applyFont="1"/>
    <xf numFmtId="0" fontId="9" fillId="0" borderId="0" xfId="10" applyFont="1"/>
    <xf numFmtId="0" fontId="9" fillId="2" borderId="0" xfId="10" applyFont="1" applyFill="1"/>
    <xf numFmtId="3" fontId="9" fillId="0" borderId="0" xfId="10" applyNumberFormat="1" applyFont="1" applyAlignment="1">
      <alignment horizontal="right"/>
    </xf>
    <xf numFmtId="0" fontId="18" fillId="0" borderId="0" xfId="6" applyFont="1" applyAlignment="1">
      <alignment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20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165" fontId="23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right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5" fillId="0" borderId="0" xfId="10" applyFont="1" applyAlignment="1">
      <alignment horizontal="left" vertical="center"/>
    </xf>
    <xf numFmtId="3" fontId="4" fillId="0" borderId="0" xfId="10" applyNumberFormat="1" applyFont="1" applyAlignment="1">
      <alignment horizontal="left" vertical="center"/>
    </xf>
    <xf numFmtId="0" fontId="4" fillId="0" borderId="0" xfId="10" applyFont="1" applyAlignment="1">
      <alignment horizontal="left" vertical="center"/>
    </xf>
    <xf numFmtId="0" fontId="4" fillId="0" borderId="0" xfId="12" applyFont="1" applyAlignment="1">
      <alignment vertical="center"/>
    </xf>
    <xf numFmtId="0" fontId="5" fillId="0" borderId="0" xfId="13" applyFont="1" applyAlignment="1">
      <alignment horizontal="left" vertical="center"/>
    </xf>
    <xf numFmtId="0" fontId="5" fillId="0" borderId="0" xfId="14" applyFont="1" applyAlignment="1">
      <alignment horizontal="right" vertical="center"/>
    </xf>
    <xf numFmtId="0" fontId="4" fillId="0" borderId="0" xfId="16" applyFont="1" applyAlignment="1">
      <alignment vertical="center"/>
    </xf>
    <xf numFmtId="0" fontId="4" fillId="0" borderId="0" xfId="17" applyFont="1" applyAlignment="1">
      <alignment vertical="center"/>
    </xf>
    <xf numFmtId="3" fontId="5" fillId="0" borderId="0" xfId="22" applyNumberFormat="1" applyFont="1" applyAlignment="1">
      <alignment horizontal="left" vertical="center"/>
    </xf>
    <xf numFmtId="3" fontId="4" fillId="0" borderId="0" xfId="22" applyNumberFormat="1" applyFont="1" applyAlignment="1">
      <alignment horizontal="left" vertical="center"/>
    </xf>
    <xf numFmtId="0" fontId="24" fillId="0" borderId="0" xfId="23" applyFont="1" applyAlignment="1">
      <alignment horizontal="left" vertical="center"/>
    </xf>
    <xf numFmtId="0" fontId="17" fillId="0" borderId="0" xfId="0" applyFont="1" applyAlignment="1">
      <alignment horizontal="right" vertical="center" wrapText="1"/>
    </xf>
    <xf numFmtId="3" fontId="17" fillId="0" borderId="0" xfId="10" applyNumberFormat="1" applyFont="1" applyAlignment="1">
      <alignment horizontal="right"/>
    </xf>
    <xf numFmtId="0" fontId="17" fillId="0" borderId="0" xfId="11" applyFont="1" applyAlignment="1">
      <alignment horizontal="center" vertical="center" wrapText="1"/>
    </xf>
    <xf numFmtId="3" fontId="17" fillId="0" borderId="0" xfId="10" applyNumberFormat="1" applyFont="1" applyAlignment="1">
      <alignment horizontal="right" vertical="center" wrapText="1"/>
    </xf>
    <xf numFmtId="0" fontId="17" fillId="0" borderId="0" xfId="1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67" fontId="4" fillId="0" borderId="0" xfId="0" applyNumberFormat="1" applyFont="1" applyAlignment="1">
      <alignment horizontal="right"/>
    </xf>
    <xf numFmtId="167" fontId="4" fillId="0" borderId="0" xfId="8" applyNumberFormat="1" applyFont="1" applyFill="1" applyBorder="1" applyAlignment="1">
      <alignment horizontal="right" vertical="top"/>
    </xf>
    <xf numFmtId="165" fontId="4" fillId="0" borderId="0" xfId="0" applyNumberFormat="1" applyFont="1" applyAlignment="1">
      <alignment horizontal="center" wrapText="1"/>
    </xf>
    <xf numFmtId="0" fontId="4" fillId="0" borderId="0" xfId="10" applyFont="1"/>
    <xf numFmtId="3" fontId="4" fillId="0" borderId="0" xfId="10" applyNumberFormat="1" applyFont="1" applyAlignment="1">
      <alignment horizontal="right"/>
    </xf>
    <xf numFmtId="3" fontId="5" fillId="0" borderId="0" xfId="1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49" fontId="12" fillId="3" borderId="3" xfId="0" applyNumberFormat="1" applyFont="1" applyFill="1" applyBorder="1" applyAlignment="1">
      <alignment horizontal="right" vertical="center" wrapText="1"/>
    </xf>
    <xf numFmtId="0" fontId="5" fillId="0" borderId="0" xfId="12" applyFont="1" applyAlignment="1">
      <alignment horizontal="right" vertical="center" wrapText="1"/>
    </xf>
    <xf numFmtId="170" fontId="4" fillId="0" borderId="0" xfId="12" applyNumberFormat="1" applyFont="1" applyAlignment="1">
      <alignment horizontal="right" vertical="center"/>
    </xf>
    <xf numFmtId="0" fontId="5" fillId="0" borderId="0" xfId="14" applyFont="1" applyAlignment="1">
      <alignment horizontal="left" vertical="center" indent="3"/>
    </xf>
    <xf numFmtId="170" fontId="5" fillId="0" borderId="0" xfId="14" applyNumberFormat="1" applyFont="1" applyAlignment="1">
      <alignment vertical="center"/>
    </xf>
    <xf numFmtId="0" fontId="4" fillId="0" borderId="0" xfId="12" quotePrefix="1" applyFont="1" applyAlignment="1">
      <alignment horizontal="left" vertical="center" indent="3"/>
    </xf>
    <xf numFmtId="171" fontId="5" fillId="0" borderId="0" xfId="12" applyNumberFormat="1" applyFont="1" applyAlignment="1">
      <alignment vertical="center"/>
    </xf>
    <xf numFmtId="0" fontId="4" fillId="0" borderId="0" xfId="1" applyFont="1"/>
    <xf numFmtId="0" fontId="4" fillId="0" borderId="0" xfId="1" applyFont="1" applyAlignment="1">
      <alignment horizontal="center"/>
    </xf>
    <xf numFmtId="3" fontId="4" fillId="0" borderId="0" xfId="0" applyNumberFormat="1" applyFont="1" applyAlignment="1">
      <alignment horizontal="left" vertical="top" indent="2"/>
    </xf>
    <xf numFmtId="4" fontId="5" fillId="0" borderId="0" xfId="0" applyNumberFormat="1" applyFont="1" applyAlignment="1">
      <alignment horizontal="right" vertical="center"/>
    </xf>
    <xf numFmtId="0" fontId="4" fillId="0" borderId="11" xfId="18" applyFont="1" applyBorder="1" applyAlignment="1">
      <alignment vertical="center"/>
    </xf>
    <xf numFmtId="164" fontId="4" fillId="0" borderId="7" xfId="18" applyNumberFormat="1" applyFont="1" applyBorder="1" applyAlignment="1">
      <alignment horizontal="right" vertical="center"/>
    </xf>
    <xf numFmtId="0" fontId="3" fillId="0" borderId="7" xfId="0" applyFont="1" applyBorder="1"/>
    <xf numFmtId="0" fontId="27" fillId="0" borderId="0" xfId="6" applyFont="1" applyAlignment="1">
      <alignment horizontal="left" vertical="center"/>
    </xf>
    <xf numFmtId="0" fontId="4" fillId="0" borderId="0" xfId="19" applyFont="1" applyAlignment="1">
      <alignment vertical="center"/>
    </xf>
    <xf numFmtId="1" fontId="4" fillId="0" borderId="0" xfId="19" applyNumberFormat="1" applyFont="1" applyAlignment="1">
      <alignment vertical="center"/>
    </xf>
    <xf numFmtId="1" fontId="4" fillId="0" borderId="0" xfId="21" applyNumberFormat="1" applyFont="1">
      <alignment vertical="center"/>
    </xf>
    <xf numFmtId="179" fontId="4" fillId="0" borderId="0" xfId="22" applyNumberFormat="1" applyFont="1" applyAlignment="1">
      <alignment vertical="center"/>
    </xf>
    <xf numFmtId="179" fontId="14" fillId="0" borderId="0" xfId="22" applyNumberFormat="1" applyFont="1" applyAlignment="1">
      <alignment vertical="center"/>
    </xf>
    <xf numFmtId="180" fontId="4" fillId="0" borderId="0" xfId="22" applyNumberFormat="1" applyFont="1" applyAlignment="1">
      <alignment horizontal="right" vertical="center"/>
    </xf>
    <xf numFmtId="0" fontId="4" fillId="0" borderId="0" xfId="0" applyFont="1" applyAlignment="1">
      <alignment horizontal="left" vertical="center" indent="3"/>
    </xf>
    <xf numFmtId="0" fontId="5" fillId="0" borderId="0" xfId="0" applyFont="1" applyAlignment="1">
      <alignment horizontal="centerContinuous" vertical="center"/>
    </xf>
    <xf numFmtId="0" fontId="4" fillId="0" borderId="0" xfId="23" applyFont="1" applyAlignment="1">
      <alignment horizontal="left" vertical="center"/>
    </xf>
    <xf numFmtId="0" fontId="4" fillId="0" borderId="0" xfId="23" applyFont="1" applyAlignment="1">
      <alignment horizontal="right" vertical="center"/>
    </xf>
    <xf numFmtId="0" fontId="5" fillId="0" borderId="0" xfId="0" applyFont="1" applyAlignment="1">
      <alignment horizontal="justify" vertical="center"/>
    </xf>
    <xf numFmtId="0" fontId="5" fillId="0" borderId="0" xfId="23" applyFont="1" applyAlignment="1">
      <alignment horizontal="left"/>
    </xf>
    <xf numFmtId="0" fontId="17" fillId="0" borderId="0" xfId="23" applyFont="1" applyAlignment="1">
      <alignment horizontal="right"/>
    </xf>
    <xf numFmtId="4" fontId="31" fillId="0" borderId="0" xfId="0" applyNumberFormat="1" applyFont="1" applyAlignment="1">
      <alignment horizontal="center" vertical="center"/>
    </xf>
    <xf numFmtId="0" fontId="4" fillId="0" borderId="0" xfId="24" applyFont="1" applyAlignment="1">
      <alignment vertical="center"/>
    </xf>
    <xf numFmtId="0" fontId="5" fillId="0" borderId="0" xfId="0" applyFont="1" applyAlignment="1">
      <alignment horizontal="left" indent="3"/>
    </xf>
    <xf numFmtId="170" fontId="32" fillId="0" borderId="0" xfId="12" applyNumberFormat="1" applyFont="1" applyAlignment="1">
      <alignment horizontal="right" vertical="center"/>
    </xf>
    <xf numFmtId="170" fontId="32" fillId="0" borderId="13" xfId="12" applyNumberFormat="1" applyFont="1" applyBorder="1" applyAlignment="1">
      <alignment horizontal="right" vertical="center"/>
    </xf>
    <xf numFmtId="0" fontId="3" fillId="2" borderId="0" xfId="25" applyFont="1" applyFill="1" applyAlignment="1">
      <alignment vertical="center"/>
    </xf>
    <xf numFmtId="3" fontId="4" fillId="2" borderId="0" xfId="26" applyNumberFormat="1" applyFont="1" applyFill="1" applyAlignment="1">
      <alignment horizontal="right"/>
    </xf>
    <xf numFmtId="0" fontId="4" fillId="2" borderId="0" xfId="27" applyFont="1" applyFill="1" applyAlignment="1">
      <alignment horizontal="right"/>
    </xf>
    <xf numFmtId="0" fontId="4" fillId="2" borderId="0" xfId="28" applyFont="1" applyFill="1" applyAlignment="1">
      <alignment horizontal="right"/>
    </xf>
    <xf numFmtId="0" fontId="34" fillId="2" borderId="0" xfId="13" applyFont="1" applyFill="1" applyAlignment="1">
      <alignment horizontal="left" vertical="center"/>
    </xf>
    <xf numFmtId="165" fontId="26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left" vertical="top" indent="1"/>
    </xf>
    <xf numFmtId="165" fontId="8" fillId="2" borderId="0" xfId="0" applyNumberFormat="1" applyFont="1" applyFill="1" applyAlignment="1">
      <alignment horizontal="right"/>
    </xf>
    <xf numFmtId="0" fontId="12" fillId="0" borderId="0" xfId="0" applyFont="1" applyAlignment="1">
      <alignment horizontal="right"/>
    </xf>
    <xf numFmtId="0" fontId="3" fillId="2" borderId="0" xfId="0" applyFont="1" applyFill="1"/>
    <xf numFmtId="3" fontId="5" fillId="0" borderId="0" xfId="22" applyNumberFormat="1" applyFont="1" applyAlignment="1">
      <alignment horizontal="right" vertical="center"/>
    </xf>
    <xf numFmtId="0" fontId="4" fillId="0" borderId="0" xfId="3" applyFont="1" applyAlignment="1">
      <alignment vertical="center"/>
    </xf>
    <xf numFmtId="0" fontId="3" fillId="0" borderId="0" xfId="0" applyFont="1" applyAlignment="1">
      <alignment vertical="center"/>
    </xf>
    <xf numFmtId="0" fontId="35" fillId="0" borderId="0" xfId="26" applyFont="1" applyAlignment="1">
      <alignment vertical="center"/>
    </xf>
    <xf numFmtId="0" fontId="5" fillId="0" borderId="0" xfId="26" applyFont="1" applyAlignment="1">
      <alignment vertical="center"/>
    </xf>
    <xf numFmtId="3" fontId="15" fillId="3" borderId="7" xfId="2" applyNumberFormat="1" applyFont="1" applyFill="1" applyBorder="1" applyAlignment="1">
      <alignment horizontal="right" vertical="center" wrapText="1"/>
    </xf>
    <xf numFmtId="3" fontId="9" fillId="3" borderId="7" xfId="2" applyNumberFormat="1" applyFont="1" applyFill="1" applyBorder="1" applyAlignment="1">
      <alignment horizontal="right" vertical="center" wrapText="1"/>
    </xf>
    <xf numFmtId="3" fontId="17" fillId="0" borderId="10" xfId="2" applyNumberFormat="1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center" vertical="center"/>
    </xf>
    <xf numFmtId="3" fontId="15" fillId="0" borderId="0" xfId="2" applyNumberFormat="1" applyFont="1" applyAlignment="1">
      <alignment horizontal="right" wrapText="1"/>
    </xf>
    <xf numFmtId="3" fontId="9" fillId="0" borderId="0" xfId="2" applyNumberFormat="1" applyFont="1" applyAlignment="1">
      <alignment horizontal="right" wrapText="1"/>
    </xf>
    <xf numFmtId="3" fontId="9" fillId="0" borderId="0" xfId="2" applyNumberFormat="1" applyFont="1" applyAlignment="1">
      <alignment wrapText="1"/>
    </xf>
    <xf numFmtId="164" fontId="15" fillId="0" borderId="0" xfId="2" applyNumberFormat="1" applyFont="1" applyAlignment="1">
      <alignment horizontal="right" vertical="center"/>
    </xf>
    <xf numFmtId="164" fontId="9" fillId="0" borderId="0" xfId="5" applyNumberFormat="1" applyFont="1" applyAlignment="1">
      <alignment horizontal="right" vertical="center"/>
    </xf>
    <xf numFmtId="164" fontId="15" fillId="0" borderId="0" xfId="5" applyNumberFormat="1" applyFont="1" applyAlignment="1">
      <alignment horizontal="right" vertical="center"/>
    </xf>
    <xf numFmtId="49" fontId="15" fillId="0" borderId="0" xfId="5" applyNumberFormat="1" applyFont="1" applyAlignment="1">
      <alignment horizontal="right" vertical="center"/>
    </xf>
    <xf numFmtId="3" fontId="15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3" fontId="16" fillId="2" borderId="0" xfId="0" applyNumberFormat="1" applyFont="1" applyFill="1" applyAlignment="1">
      <alignment horizontal="right"/>
    </xf>
    <xf numFmtId="3" fontId="15" fillId="2" borderId="0" xfId="0" applyNumberFormat="1" applyFont="1" applyFill="1" applyAlignment="1">
      <alignment horizontal="right"/>
    </xf>
    <xf numFmtId="49" fontId="9" fillId="0" borderId="11" xfId="2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right"/>
    </xf>
    <xf numFmtId="3" fontId="16" fillId="0" borderId="7" xfId="0" applyNumberFormat="1" applyFont="1" applyBorder="1" applyAlignment="1">
      <alignment horizontal="right"/>
    </xf>
    <xf numFmtId="0" fontId="13" fillId="3" borderId="4" xfId="7" applyFont="1" applyFill="1" applyBorder="1" applyAlignment="1">
      <alignment horizontal="right" vertical="center" wrapText="1"/>
    </xf>
    <xf numFmtId="0" fontId="17" fillId="3" borderId="12" xfId="7" applyFont="1" applyFill="1" applyBorder="1" applyAlignment="1">
      <alignment horizontal="right" vertical="center" wrapText="1"/>
    </xf>
    <xf numFmtId="0" fontId="17" fillId="3" borderId="4" xfId="7" applyFont="1" applyFill="1" applyBorder="1" applyAlignment="1">
      <alignment horizontal="right" vertical="center" wrapText="1"/>
    </xf>
    <xf numFmtId="0" fontId="15" fillId="3" borderId="7" xfId="7" applyFont="1" applyFill="1" applyBorder="1" applyAlignment="1">
      <alignment horizontal="right" vertical="center" wrapText="1"/>
    </xf>
    <xf numFmtId="0" fontId="9" fillId="3" borderId="6" xfId="7" applyFont="1" applyFill="1" applyBorder="1" applyAlignment="1">
      <alignment horizontal="right" vertical="center" wrapText="1"/>
    </xf>
    <xf numFmtId="0" fontId="9" fillId="3" borderId="7" xfId="7" applyFont="1" applyFill="1" applyBorder="1" applyAlignment="1">
      <alignment horizontal="right" vertical="center" wrapText="1"/>
    </xf>
    <xf numFmtId="0" fontId="9" fillId="0" borderId="10" xfId="5" applyFont="1" applyBorder="1" applyAlignment="1">
      <alignment horizontal="center" vertical="center" wrapText="1"/>
    </xf>
    <xf numFmtId="0" fontId="9" fillId="0" borderId="10" xfId="7" applyFont="1" applyBorder="1" applyAlignment="1">
      <alignment horizontal="right" vertical="center" wrapText="1" indent="2"/>
    </xf>
    <xf numFmtId="0" fontId="9" fillId="0" borderId="10" xfId="7" applyFont="1" applyBorder="1" applyAlignment="1">
      <alignment horizontal="center" vertical="center" wrapText="1"/>
    </xf>
    <xf numFmtId="1" fontId="9" fillId="0" borderId="10" xfId="2" applyNumberFormat="1" applyFont="1" applyBorder="1" applyAlignment="1">
      <alignment horizontal="center" vertical="center"/>
    </xf>
    <xf numFmtId="164" fontId="9" fillId="0" borderId="1" xfId="7" applyNumberFormat="1" applyFont="1" applyBorder="1" applyAlignment="1">
      <alignment horizontal="right" vertical="center" wrapText="1"/>
    </xf>
    <xf numFmtId="0" fontId="15" fillId="0" borderId="0" xfId="7" applyFont="1" applyAlignment="1">
      <alignment horizontal="right" vertical="center" wrapText="1"/>
    </xf>
    <xf numFmtId="0" fontId="9" fillId="0" borderId="0" xfId="7" applyFont="1" applyAlignment="1">
      <alignment horizontal="right" vertical="center" wrapText="1"/>
    </xf>
    <xf numFmtId="164" fontId="15" fillId="0" borderId="0" xfId="7" applyNumberFormat="1" applyFont="1" applyAlignment="1">
      <alignment horizontal="right" vertical="center" wrapText="1"/>
    </xf>
    <xf numFmtId="164" fontId="9" fillId="0" borderId="0" xfId="7" applyNumberFormat="1" applyFont="1" applyAlignment="1">
      <alignment horizontal="right" vertical="center" wrapText="1"/>
    </xf>
    <xf numFmtId="164" fontId="9" fillId="0" borderId="0" xfId="7" applyNumberFormat="1" applyFont="1" applyAlignment="1">
      <alignment vertical="center" wrapText="1"/>
    </xf>
    <xf numFmtId="164" fontId="15" fillId="0" borderId="7" xfId="7" applyNumberFormat="1" applyFont="1" applyBorder="1" applyAlignment="1">
      <alignment horizontal="right" vertical="center" wrapText="1"/>
    </xf>
    <xf numFmtId="164" fontId="9" fillId="0" borderId="7" xfId="7" applyNumberFormat="1" applyFont="1" applyBorder="1" applyAlignment="1">
      <alignment horizontal="right" vertical="center" wrapText="1"/>
    </xf>
    <xf numFmtId="170" fontId="9" fillId="0" borderId="7" xfId="0" applyNumberFormat="1" applyFont="1" applyBorder="1" applyAlignment="1">
      <alignment horizontal="right" vertical="center"/>
    </xf>
    <xf numFmtId="49" fontId="17" fillId="3" borderId="8" xfId="0" applyNumberFormat="1" applyFont="1" applyFill="1" applyBorder="1" applyAlignment="1">
      <alignment horizontal="center" vertical="center" wrapText="1"/>
    </xf>
    <xf numFmtId="49" fontId="17" fillId="3" borderId="5" xfId="0" applyNumberFormat="1" applyFont="1" applyFill="1" applyBorder="1" applyAlignment="1">
      <alignment horizontal="right" vertical="center" wrapText="1"/>
    </xf>
    <xf numFmtId="0" fontId="17" fillId="3" borderId="5" xfId="0" applyFont="1" applyFill="1" applyBorder="1" applyAlignment="1">
      <alignment horizontal="right" vertical="center" wrapText="1"/>
    </xf>
    <xf numFmtId="0" fontId="17" fillId="0" borderId="10" xfId="0" applyFont="1" applyBorder="1" applyAlignment="1">
      <alignment vertical="top"/>
    </xf>
    <xf numFmtId="169" fontId="9" fillId="0" borderId="0" xfId="8" applyNumberFormat="1" applyFont="1" applyFill="1" applyBorder="1" applyAlignment="1">
      <alignment horizontal="right" vertical="top"/>
    </xf>
    <xf numFmtId="169" fontId="9" fillId="0" borderId="15" xfId="8" applyNumberFormat="1" applyFont="1" applyFill="1" applyBorder="1" applyAlignment="1">
      <alignment horizontal="right" vertical="top"/>
    </xf>
    <xf numFmtId="169" fontId="9" fillId="2" borderId="0" xfId="8" applyNumberFormat="1" applyFont="1" applyFill="1" applyBorder="1" applyAlignment="1">
      <alignment horizontal="right" vertical="top"/>
    </xf>
    <xf numFmtId="0" fontId="9" fillId="0" borderId="10" xfId="0" applyFont="1" applyBorder="1" applyAlignment="1">
      <alignment horizontal="left" vertical="top" indent="1"/>
    </xf>
    <xf numFmtId="167" fontId="9" fillId="0" borderId="0" xfId="8" applyNumberFormat="1" applyFont="1" applyFill="1" applyBorder="1" applyAlignment="1">
      <alignment horizontal="right" vertical="top"/>
    </xf>
    <xf numFmtId="165" fontId="23" fillId="2" borderId="15" xfId="0" applyNumberFormat="1" applyFont="1" applyFill="1" applyBorder="1" applyAlignment="1">
      <alignment horizontal="right"/>
    </xf>
    <xf numFmtId="0" fontId="9" fillId="0" borderId="10" xfId="0" applyFont="1" applyBorder="1" applyAlignment="1">
      <alignment horizontal="left" vertical="top" wrapText="1" indent="1"/>
    </xf>
    <xf numFmtId="0" fontId="17" fillId="0" borderId="10" xfId="0" applyFont="1" applyBorder="1" applyAlignment="1">
      <alignment vertical="top" wrapText="1"/>
    </xf>
    <xf numFmtId="0" fontId="17" fillId="0" borderId="10" xfId="0" applyFont="1" applyBorder="1" applyAlignment="1">
      <alignment wrapText="1"/>
    </xf>
    <xf numFmtId="167" fontId="9" fillId="0" borderId="2" xfId="8" applyNumberFormat="1" applyFont="1" applyFill="1" applyBorder="1" applyAlignment="1">
      <alignment horizontal="right" vertical="top"/>
    </xf>
    <xf numFmtId="0" fontId="9" fillId="0" borderId="10" xfId="0" applyFont="1" applyBorder="1" applyAlignment="1">
      <alignment horizontal="left" vertical="center" indent="1"/>
    </xf>
    <xf numFmtId="167" fontId="9" fillId="0" borderId="0" xfId="8" applyNumberFormat="1" applyFont="1" applyFill="1" applyBorder="1" applyAlignment="1">
      <alignment horizontal="right" vertical="center"/>
    </xf>
    <xf numFmtId="0" fontId="9" fillId="0" borderId="11" xfId="0" applyFont="1" applyBorder="1" applyAlignment="1">
      <alignment horizontal="left" vertical="center" indent="1"/>
    </xf>
    <xf numFmtId="167" fontId="9" fillId="0" borderId="7" xfId="8" applyNumberFormat="1" applyFont="1" applyFill="1" applyBorder="1" applyAlignment="1">
      <alignment horizontal="right" vertical="center"/>
    </xf>
    <xf numFmtId="165" fontId="23" fillId="2" borderId="0" xfId="0" applyNumberFormat="1" applyFont="1" applyFill="1" applyAlignment="1">
      <alignment horizontal="right"/>
    </xf>
    <xf numFmtId="167" fontId="9" fillId="0" borderId="0" xfId="0" applyNumberFormat="1" applyFont="1" applyAlignment="1">
      <alignment horizontal="right" vertical="top"/>
    </xf>
    <xf numFmtId="0" fontId="9" fillId="0" borderId="11" xfId="0" applyFont="1" applyBorder="1" applyAlignment="1">
      <alignment horizontal="left" vertical="top" indent="1"/>
    </xf>
    <xf numFmtId="167" fontId="9" fillId="0" borderId="7" xfId="8" applyNumberFormat="1" applyFont="1" applyFill="1" applyBorder="1" applyAlignment="1">
      <alignment horizontal="right" vertical="top"/>
    </xf>
    <xf numFmtId="165" fontId="23" fillId="2" borderId="17" xfId="0" applyNumberFormat="1" applyFont="1" applyFill="1" applyBorder="1" applyAlignment="1">
      <alignment horizontal="right"/>
    </xf>
    <xf numFmtId="165" fontId="23" fillId="2" borderId="7" xfId="0" applyNumberFormat="1" applyFont="1" applyFill="1" applyBorder="1" applyAlignment="1">
      <alignment horizontal="right"/>
    </xf>
    <xf numFmtId="1" fontId="17" fillId="3" borderId="14" xfId="0" applyNumberFormat="1" applyFont="1" applyFill="1" applyBorder="1" applyAlignment="1">
      <alignment horizontal="right" vertical="center" wrapText="1"/>
    </xf>
    <xf numFmtId="0" fontId="22" fillId="0" borderId="0" xfId="0" applyFont="1"/>
    <xf numFmtId="0" fontId="17" fillId="0" borderId="10" xfId="0" applyFont="1" applyBorder="1"/>
    <xf numFmtId="169" fontId="9" fillId="0" borderId="0" xfId="9" applyNumberFormat="1" applyFont="1" applyFill="1" applyBorder="1" applyAlignment="1">
      <alignment horizontal="right" vertical="center"/>
    </xf>
    <xf numFmtId="169" fontId="9" fillId="0" borderId="4" xfId="9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horizontal="left" indent="1"/>
    </xf>
    <xf numFmtId="167" fontId="9" fillId="0" borderId="0" xfId="9" applyNumberFormat="1" applyFont="1" applyFill="1" applyBorder="1" applyAlignment="1">
      <alignment horizontal="right" vertical="center"/>
    </xf>
    <xf numFmtId="0" fontId="37" fillId="0" borderId="10" xfId="0" applyFont="1" applyBorder="1" applyAlignment="1">
      <alignment horizontal="left" wrapText="1" indent="1"/>
    </xf>
    <xf numFmtId="0" fontId="23" fillId="0" borderId="10" xfId="0" applyFont="1" applyBorder="1" applyAlignment="1">
      <alignment horizontal="left" vertical="center" indent="1"/>
    </xf>
    <xf numFmtId="0" fontId="37" fillId="0" borderId="10" xfId="0" applyFont="1" applyBorder="1" applyAlignment="1">
      <alignment horizontal="left" indent="1"/>
    </xf>
    <xf numFmtId="0" fontId="17" fillId="2" borderId="10" xfId="0" applyFont="1" applyFill="1" applyBorder="1" applyAlignment="1">
      <alignment wrapText="1"/>
    </xf>
    <xf numFmtId="167" fontId="9" fillId="2" borderId="0" xfId="9" applyNumberFormat="1" applyFont="1" applyFill="1" applyBorder="1" applyAlignment="1">
      <alignment horizontal="right" vertical="center"/>
    </xf>
    <xf numFmtId="0" fontId="17" fillId="0" borderId="16" xfId="0" applyFont="1" applyBorder="1" applyAlignment="1">
      <alignment wrapText="1"/>
    </xf>
    <xf numFmtId="0" fontId="9" fillId="0" borderId="16" xfId="0" applyFont="1" applyBorder="1" applyAlignment="1">
      <alignment horizontal="left" indent="1"/>
    </xf>
    <xf numFmtId="168" fontId="23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/>
    </xf>
    <xf numFmtId="168" fontId="16" fillId="2" borderId="0" xfId="0" applyNumberFormat="1" applyFont="1" applyFill="1"/>
    <xf numFmtId="0" fontId="38" fillId="0" borderId="0" xfId="0" applyFont="1" applyAlignment="1">
      <alignment horizontal="right" vertical="center"/>
    </xf>
    <xf numFmtId="168" fontId="38" fillId="0" borderId="0" xfId="0" applyNumberFormat="1" applyFont="1" applyAlignment="1">
      <alignment horizontal="right" vertical="center"/>
    </xf>
    <xf numFmtId="168" fontId="38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0" xfId="0" applyNumberFormat="1"/>
    <xf numFmtId="168" fontId="39" fillId="2" borderId="0" xfId="0" applyNumberFormat="1" applyFont="1" applyFill="1"/>
    <xf numFmtId="0" fontId="9" fillId="0" borderId="18" xfId="0" applyFont="1" applyBorder="1" applyAlignment="1">
      <alignment horizontal="left" indent="1"/>
    </xf>
    <xf numFmtId="167" fontId="9" fillId="0" borderId="7" xfId="9" applyNumberFormat="1" applyFont="1" applyFill="1" applyBorder="1" applyAlignment="1">
      <alignment horizontal="right" vertical="center"/>
    </xf>
    <xf numFmtId="0" fontId="38" fillId="0" borderId="7" xfId="0" applyFont="1" applyBorder="1" applyAlignment="1">
      <alignment horizontal="right" vertical="center"/>
    </xf>
    <xf numFmtId="168" fontId="38" fillId="0" borderId="7" xfId="0" applyNumberFormat="1" applyFont="1" applyBorder="1" applyAlignment="1">
      <alignment horizontal="right" vertical="center"/>
    </xf>
    <xf numFmtId="168" fontId="38" fillId="0" borderId="7" xfId="0" applyNumberFormat="1" applyFont="1" applyBorder="1" applyAlignment="1">
      <alignment vertical="center"/>
    </xf>
    <xf numFmtId="168" fontId="38" fillId="0" borderId="4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horizontal="left" indent="1"/>
    </xf>
    <xf numFmtId="49" fontId="17" fillId="3" borderId="5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3" fontId="9" fillId="0" borderId="0" xfId="0" applyNumberFormat="1" applyFont="1" applyAlignment="1">
      <alignment horizontal="center" wrapText="1"/>
    </xf>
    <xf numFmtId="165" fontId="9" fillId="0" borderId="0" xfId="0" applyNumberFormat="1" applyFont="1" applyAlignment="1">
      <alignment horizontal="center" wrapText="1"/>
    </xf>
    <xf numFmtId="0" fontId="9" fillId="0" borderId="11" xfId="0" applyFont="1" applyBorder="1" applyAlignment="1">
      <alignment horizontal="center"/>
    </xf>
    <xf numFmtId="3" fontId="9" fillId="0" borderId="7" xfId="0" applyNumberFormat="1" applyFont="1" applyBorder="1" applyAlignment="1">
      <alignment horizontal="center" wrapText="1"/>
    </xf>
    <xf numFmtId="165" fontId="9" fillId="0" borderId="7" xfId="0" applyNumberFormat="1" applyFont="1" applyBorder="1" applyAlignment="1">
      <alignment horizont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3" fontId="9" fillId="0" borderId="15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9" fontId="17" fillId="3" borderId="14" xfId="0" applyNumberFormat="1" applyFont="1" applyFill="1" applyBorder="1" applyAlignment="1">
      <alignment horizontal="center" vertical="center" wrapText="1"/>
    </xf>
    <xf numFmtId="3" fontId="9" fillId="0" borderId="17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17" fillId="3" borderId="8" xfId="11" applyFont="1" applyFill="1" applyBorder="1" applyAlignment="1">
      <alignment horizontal="center" vertical="center" wrapText="1"/>
    </xf>
    <xf numFmtId="3" fontId="17" fillId="3" borderId="5" xfId="10" applyNumberFormat="1" applyFont="1" applyFill="1" applyBorder="1" applyAlignment="1">
      <alignment horizontal="right" vertical="center" wrapText="1"/>
    </xf>
    <xf numFmtId="0" fontId="17" fillId="2" borderId="10" xfId="11" applyFont="1" applyFill="1" applyBorder="1" applyAlignment="1">
      <alignment horizontal="center" vertical="center" wrapText="1"/>
    </xf>
    <xf numFmtId="3" fontId="17" fillId="2" borderId="0" xfId="10" applyNumberFormat="1" applyFont="1" applyFill="1" applyAlignment="1">
      <alignment horizontal="right" vertical="center" wrapText="1"/>
    </xf>
    <xf numFmtId="0" fontId="17" fillId="3" borderId="10" xfId="11" applyFont="1" applyFill="1" applyBorder="1" applyAlignment="1">
      <alignment horizontal="left" vertical="center" wrapText="1"/>
    </xf>
    <xf numFmtId="3" fontId="17" fillId="3" borderId="0" xfId="10" applyNumberFormat="1" applyFont="1" applyFill="1" applyAlignment="1">
      <alignment horizontal="right" vertical="center" wrapText="1"/>
    </xf>
    <xf numFmtId="0" fontId="17" fillId="0" borderId="10" xfId="10" applyFont="1" applyBorder="1" applyAlignment="1">
      <alignment vertical="center"/>
    </xf>
    <xf numFmtId="3" fontId="17" fillId="0" borderId="0" xfId="10" applyNumberFormat="1" applyFont="1" applyAlignment="1">
      <alignment horizontal="right" vertical="center"/>
    </xf>
    <xf numFmtId="0" fontId="9" fillId="0" borderId="10" xfId="10" applyFont="1" applyBorder="1" applyAlignment="1">
      <alignment vertical="center"/>
    </xf>
    <xf numFmtId="3" fontId="16" fillId="0" borderId="0" xfId="10" applyNumberFormat="1" applyFont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9" fillId="0" borderId="11" xfId="10" applyFont="1" applyBorder="1" applyAlignment="1">
      <alignment vertical="center"/>
    </xf>
    <xf numFmtId="3" fontId="16" fillId="0" borderId="7" xfId="10" applyNumberFormat="1" applyFont="1" applyBorder="1" applyAlignment="1">
      <alignment horizontal="right" vertical="center"/>
    </xf>
    <xf numFmtId="49" fontId="40" fillId="3" borderId="8" xfId="0" applyNumberFormat="1" applyFont="1" applyFill="1" applyBorder="1" applyAlignment="1">
      <alignment horizontal="center" vertical="center" wrapText="1"/>
    </xf>
    <xf numFmtId="165" fontId="40" fillId="3" borderId="5" xfId="0" applyNumberFormat="1" applyFont="1" applyFill="1" applyBorder="1" applyAlignment="1">
      <alignment horizontal="right" vertical="center" wrapText="1"/>
    </xf>
    <xf numFmtId="49" fontId="40" fillId="3" borderId="5" xfId="0" applyNumberFormat="1" applyFont="1" applyFill="1" applyBorder="1" applyAlignment="1">
      <alignment horizontal="right" vertical="center" wrapText="1"/>
    </xf>
    <xf numFmtId="0" fontId="17" fillId="0" borderId="10" xfId="12" applyFont="1" applyBorder="1" applyAlignment="1">
      <alignment horizontal="left" vertical="center"/>
    </xf>
    <xf numFmtId="0" fontId="9" fillId="0" borderId="10" xfId="12" applyFont="1" applyBorder="1" applyAlignment="1">
      <alignment horizontal="left" vertical="center"/>
    </xf>
    <xf numFmtId="0" fontId="9" fillId="0" borderId="10" xfId="12" applyFont="1" applyBorder="1" applyAlignment="1">
      <alignment horizontal="center" vertical="center"/>
    </xf>
    <xf numFmtId="170" fontId="9" fillId="0" borderId="15" xfId="12" applyNumberFormat="1" applyFont="1" applyBorder="1" applyAlignment="1">
      <alignment horizontal="right" vertical="center"/>
    </xf>
    <xf numFmtId="0" fontId="17" fillId="0" borderId="0" xfId="12" applyFont="1" applyAlignment="1">
      <alignment horizontal="right" vertical="center"/>
    </xf>
    <xf numFmtId="0" fontId="17" fillId="0" borderId="0" xfId="12" applyFont="1" applyAlignment="1">
      <alignment horizontal="right" vertical="center" wrapText="1"/>
    </xf>
    <xf numFmtId="170" fontId="9" fillId="0" borderId="0" xfId="12" applyNumberFormat="1" applyFont="1" applyAlignment="1">
      <alignment horizontal="right" vertical="center"/>
    </xf>
    <xf numFmtId="170" fontId="9" fillId="2" borderId="0" xfId="12" applyNumberFormat="1" applyFont="1" applyFill="1" applyAlignment="1">
      <alignment horizontal="right" vertical="center"/>
    </xf>
    <xf numFmtId="0" fontId="9" fillId="0" borderId="11" xfId="12" applyFont="1" applyBorder="1" applyAlignment="1">
      <alignment horizontal="center" vertical="center"/>
    </xf>
    <xf numFmtId="170" fontId="9" fillId="0" borderId="17" xfId="12" applyNumberFormat="1" applyFont="1" applyBorder="1" applyAlignment="1">
      <alignment horizontal="right" vertical="center"/>
    </xf>
    <xf numFmtId="170" fontId="9" fillId="0" borderId="7" xfId="12" applyNumberFormat="1" applyFont="1" applyBorder="1" applyAlignment="1">
      <alignment horizontal="right" vertical="center"/>
    </xf>
    <xf numFmtId="3" fontId="17" fillId="3" borderId="5" xfId="0" applyNumberFormat="1" applyFont="1" applyFill="1" applyBorder="1" applyAlignment="1">
      <alignment horizontal="right" vertical="center" wrapText="1"/>
    </xf>
    <xf numFmtId="0" fontId="17" fillId="0" borderId="10" xfId="15" applyFont="1" applyBorder="1" applyAlignment="1">
      <alignment horizontal="center" vertical="center"/>
    </xf>
    <xf numFmtId="0" fontId="9" fillId="0" borderId="10" xfId="15" applyFont="1" applyBorder="1" applyAlignment="1">
      <alignment horizontal="left" vertical="center"/>
    </xf>
    <xf numFmtId="0" fontId="9" fillId="0" borderId="10" xfId="15" quotePrefix="1" applyFont="1" applyBorder="1" applyAlignment="1">
      <alignment horizontal="left" vertical="center"/>
    </xf>
    <xf numFmtId="0" fontId="9" fillId="0" borderId="7" xfId="15" quotePrefix="1" applyFont="1" applyBorder="1" applyAlignment="1">
      <alignment horizontal="left" vertical="center"/>
    </xf>
    <xf numFmtId="0" fontId="9" fillId="0" borderId="11" xfId="15" quotePrefix="1" applyFont="1" applyBorder="1" applyAlignment="1">
      <alignment horizontal="left" vertical="center"/>
    </xf>
    <xf numFmtId="170" fontId="9" fillId="0" borderId="7" xfId="14" applyNumberFormat="1" applyFont="1" applyBorder="1" applyAlignment="1">
      <alignment vertical="center"/>
    </xf>
    <xf numFmtId="1" fontId="17" fillId="3" borderId="5" xfId="0" applyNumberFormat="1" applyFont="1" applyFill="1" applyBorder="1" applyAlignment="1">
      <alignment horizontal="right" vertical="center" wrapText="1"/>
    </xf>
    <xf numFmtId="0" fontId="17" fillId="0" borderId="0" xfId="15" applyFont="1" applyAlignment="1">
      <alignment horizontal="center" vertical="center"/>
    </xf>
    <xf numFmtId="0" fontId="17" fillId="0" borderId="0" xfId="14" quotePrefix="1" applyFont="1" applyAlignment="1">
      <alignment horizontal="right" vertical="center"/>
    </xf>
    <xf numFmtId="3" fontId="17" fillId="3" borderId="0" xfId="0" applyNumberFormat="1" applyFont="1" applyFill="1"/>
    <xf numFmtId="0" fontId="9" fillId="0" borderId="0" xfId="15" applyFont="1" applyAlignment="1">
      <alignment horizontal="left" vertical="center"/>
    </xf>
    <xf numFmtId="170" fontId="9" fillId="0" borderId="0" xfId="14" applyNumberFormat="1" applyFont="1" applyAlignment="1">
      <alignment vertical="center"/>
    </xf>
    <xf numFmtId="0" fontId="9" fillId="0" borderId="0" xfId="15" quotePrefix="1" applyFont="1" applyAlignment="1">
      <alignment horizontal="left" vertical="center"/>
    </xf>
    <xf numFmtId="49" fontId="40" fillId="2" borderId="10" xfId="0" applyNumberFormat="1" applyFont="1" applyFill="1" applyBorder="1" applyAlignment="1">
      <alignment horizontal="center" vertical="center" wrapText="1"/>
    </xf>
    <xf numFmtId="170" fontId="9" fillId="0" borderId="7" xfId="16" applyNumberFormat="1" applyFont="1" applyBorder="1" applyAlignment="1">
      <alignment horizontal="right" vertical="center"/>
    </xf>
    <xf numFmtId="49" fontId="40" fillId="2" borderId="0" xfId="0" applyNumberFormat="1" applyFont="1" applyFill="1" applyAlignment="1">
      <alignment horizontal="center" vertical="center" wrapText="1"/>
    </xf>
    <xf numFmtId="49" fontId="40" fillId="2" borderId="0" xfId="0" applyNumberFormat="1" applyFont="1" applyFill="1" applyAlignment="1">
      <alignment horizontal="right" vertical="center" wrapText="1"/>
    </xf>
    <xf numFmtId="170" fontId="9" fillId="0" borderId="0" xfId="16" applyNumberFormat="1" applyFont="1" applyAlignment="1">
      <alignment horizontal="right" vertical="center"/>
    </xf>
    <xf numFmtId="49" fontId="17" fillId="2" borderId="0" xfId="0" applyNumberFormat="1" applyFont="1" applyFill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49" fontId="17" fillId="2" borderId="0" xfId="0" applyNumberFormat="1" applyFont="1" applyFill="1" applyAlignment="1">
      <alignment horizontal="right" vertical="center" wrapText="1"/>
    </xf>
    <xf numFmtId="0" fontId="17" fillId="3" borderId="0" xfId="0" applyFont="1" applyFill="1" applyAlignment="1">
      <alignment vertical="center" wrapText="1"/>
    </xf>
    <xf numFmtId="165" fontId="17" fillId="3" borderId="10" xfId="0" applyNumberFormat="1" applyFont="1" applyFill="1" applyBorder="1" applyAlignment="1">
      <alignment vertical="center" wrapText="1"/>
    </xf>
    <xf numFmtId="3" fontId="17" fillId="3" borderId="0" xfId="0" applyNumberFormat="1" applyFont="1" applyFill="1" applyAlignment="1">
      <alignment vertical="center" wrapText="1"/>
    </xf>
    <xf numFmtId="0" fontId="40" fillId="3" borderId="5" xfId="0" applyFont="1" applyFill="1" applyBorder="1" applyAlignment="1">
      <alignment horizontal="right" vertical="center" wrapText="1"/>
    </xf>
    <xf numFmtId="170" fontId="9" fillId="0" borderId="7" xfId="12" applyNumberFormat="1" applyFont="1" applyBorder="1" applyAlignment="1">
      <alignment vertical="center"/>
    </xf>
    <xf numFmtId="170" fontId="9" fillId="2" borderId="7" xfId="12" applyNumberFormat="1" applyFont="1" applyFill="1" applyBorder="1" applyAlignment="1">
      <alignment vertical="center"/>
    </xf>
    <xf numFmtId="1" fontId="40" fillId="3" borderId="5" xfId="0" applyNumberFormat="1" applyFont="1" applyFill="1" applyBorder="1" applyAlignment="1">
      <alignment horizontal="right" vertical="center" wrapText="1"/>
    </xf>
    <xf numFmtId="165" fontId="40" fillId="2" borderId="0" xfId="0" applyNumberFormat="1" applyFont="1" applyFill="1" applyAlignment="1">
      <alignment horizontal="right" vertical="center" wrapText="1"/>
    </xf>
    <xf numFmtId="0" fontId="40" fillId="2" borderId="0" xfId="0" applyFont="1" applyFill="1" applyAlignment="1">
      <alignment horizontal="right" vertical="center" wrapText="1"/>
    </xf>
    <xf numFmtId="3" fontId="40" fillId="3" borderId="0" xfId="0" applyNumberFormat="1" applyFont="1" applyFill="1" applyAlignment="1">
      <alignment horizontal="right" vertical="center" wrapText="1"/>
    </xf>
    <xf numFmtId="170" fontId="9" fillId="0" borderId="0" xfId="12" applyNumberFormat="1" applyFont="1" applyAlignment="1">
      <alignment vertical="center"/>
    </xf>
    <xf numFmtId="170" fontId="9" fillId="2" borderId="0" xfId="12" applyNumberFormat="1" applyFont="1" applyFill="1" applyAlignment="1">
      <alignment vertical="center"/>
    </xf>
    <xf numFmtId="0" fontId="9" fillId="0" borderId="5" xfId="14" applyFont="1" applyBorder="1" applyAlignment="1">
      <alignment vertical="center"/>
    </xf>
    <xf numFmtId="170" fontId="17" fillId="2" borderId="0" xfId="14" quotePrefix="1" applyNumberFormat="1" applyFont="1" applyFill="1" applyAlignment="1">
      <alignment horizontal="right" vertical="center"/>
    </xf>
    <xf numFmtId="170" fontId="17" fillId="2" borderId="0" xfId="14" applyNumberFormat="1" applyFont="1" applyFill="1" applyAlignment="1">
      <alignment horizontal="right" vertical="center"/>
    </xf>
    <xf numFmtId="1" fontId="17" fillId="2" borderId="0" xfId="14" applyNumberFormat="1" applyFont="1" applyFill="1" applyAlignment="1">
      <alignment horizontal="right" vertical="center"/>
    </xf>
    <xf numFmtId="170" fontId="17" fillId="0" borderId="0" xfId="14" applyNumberFormat="1" applyFont="1" applyAlignment="1">
      <alignment vertical="center"/>
    </xf>
    <xf numFmtId="170" fontId="9" fillId="0" borderId="0" xfId="14" applyNumberFormat="1" applyFont="1" applyAlignment="1">
      <alignment horizontal="right" vertical="center"/>
    </xf>
    <xf numFmtId="170" fontId="9" fillId="0" borderId="0" xfId="0" applyNumberFormat="1" applyFont="1" applyAlignment="1">
      <alignment horizontal="right" vertical="center"/>
    </xf>
    <xf numFmtId="170" fontId="17" fillId="0" borderId="0" xfId="14" quotePrefix="1" applyNumberFormat="1" applyFont="1" applyAlignment="1">
      <alignment horizontal="right" vertical="center"/>
    </xf>
    <xf numFmtId="3" fontId="40" fillId="3" borderId="0" xfId="0" applyNumberFormat="1" applyFont="1" applyFill="1"/>
    <xf numFmtId="170" fontId="15" fillId="0" borderId="0" xfId="14" applyNumberFormat="1" applyFont="1" applyAlignment="1">
      <alignment horizontal="right" vertical="center"/>
    </xf>
    <xf numFmtId="0" fontId="17" fillId="3" borderId="8" xfId="1" applyFont="1" applyFill="1" applyBorder="1" applyAlignment="1">
      <alignment horizontal="center" vertical="center"/>
    </xf>
    <xf numFmtId="0" fontId="17" fillId="3" borderId="5" xfId="1" applyFont="1" applyFill="1" applyBorder="1" applyAlignment="1">
      <alignment horizontal="center" vertical="center"/>
    </xf>
    <xf numFmtId="0" fontId="17" fillId="3" borderId="5" xfId="1" applyFont="1" applyFill="1" applyBorder="1" applyAlignment="1">
      <alignment horizontal="right" vertical="center" wrapText="1"/>
    </xf>
    <xf numFmtId="0" fontId="17" fillId="3" borderId="5" xfId="1" applyFont="1" applyFill="1" applyBorder="1" applyAlignment="1">
      <alignment horizontal="right" vertical="center"/>
    </xf>
    <xf numFmtId="0" fontId="17" fillId="0" borderId="10" xfId="1" applyFont="1" applyBorder="1" applyAlignment="1">
      <alignment horizontal="center" vertical="center"/>
    </xf>
    <xf numFmtId="0" fontId="9" fillId="0" borderId="10" xfId="1" applyFont="1" applyBorder="1" applyAlignment="1">
      <alignment horizontal="right" vertical="center" indent="4"/>
    </xf>
    <xf numFmtId="0" fontId="9" fillId="0" borderId="11" xfId="1" applyFont="1" applyBorder="1" applyAlignment="1">
      <alignment horizontal="right" vertical="center" indent="4"/>
    </xf>
    <xf numFmtId="0" fontId="9" fillId="0" borderId="7" xfId="1" applyFont="1" applyBorder="1" applyAlignment="1">
      <alignment horizontal="left" vertical="center"/>
    </xf>
    <xf numFmtId="175" fontId="9" fillId="0" borderId="7" xfId="1" applyNumberFormat="1" applyFont="1" applyBorder="1" applyAlignment="1">
      <alignment horizontal="right" vertical="center"/>
    </xf>
    <xf numFmtId="175" fontId="9" fillId="0" borderId="7" xfId="1" applyNumberFormat="1" applyFont="1" applyBorder="1" applyAlignment="1">
      <alignment vertical="center" wrapText="1"/>
    </xf>
    <xf numFmtId="175" fontId="9" fillId="2" borderId="7" xfId="1" applyNumberFormat="1" applyFont="1" applyFill="1" applyBorder="1" applyAlignment="1">
      <alignment horizontal="right"/>
    </xf>
    <xf numFmtId="175" fontId="9" fillId="0" borderId="7" xfId="1" applyNumberFormat="1" applyFont="1" applyBorder="1" applyAlignment="1">
      <alignment horizontal="center" vertical="center"/>
    </xf>
    <xf numFmtId="0" fontId="9" fillId="0" borderId="7" xfId="1" applyFont="1" applyBorder="1" applyAlignment="1">
      <alignment horizontal="right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horizontal="right" vertical="center"/>
    </xf>
    <xf numFmtId="0" fontId="17" fillId="0" borderId="0" xfId="1" applyFont="1" applyAlignment="1">
      <alignment horizontal="right" vertical="center" wrapText="1"/>
    </xf>
    <xf numFmtId="0" fontId="9" fillId="0" borderId="0" xfId="1" applyFont="1" applyAlignment="1">
      <alignment horizontal="left" vertical="center"/>
    </xf>
    <xf numFmtId="175" fontId="9" fillId="0" borderId="0" xfId="1" applyNumberFormat="1" applyFont="1" applyAlignment="1">
      <alignment horizontal="right" vertical="center"/>
    </xf>
    <xf numFmtId="175" fontId="9" fillId="0" borderId="0" xfId="1" applyNumberFormat="1" applyFont="1" applyAlignment="1">
      <alignment vertical="center" wrapText="1"/>
    </xf>
    <xf numFmtId="175" fontId="9" fillId="0" borderId="0" xfId="1" applyNumberFormat="1" applyFont="1" applyAlignment="1">
      <alignment horizontal="center" vertical="center"/>
    </xf>
    <xf numFmtId="175" fontId="9" fillId="2" borderId="0" xfId="1" applyNumberFormat="1" applyFont="1" applyFill="1" applyAlignment="1">
      <alignment horizontal="right" vertical="center"/>
    </xf>
    <xf numFmtId="3" fontId="17" fillId="3" borderId="8" xfId="0" applyNumberFormat="1" applyFont="1" applyFill="1" applyBorder="1" applyAlignment="1">
      <alignment horizontal="center" vertical="center"/>
    </xf>
    <xf numFmtId="3" fontId="17" fillId="3" borderId="5" xfId="5" applyNumberFormat="1" applyFont="1" applyFill="1" applyBorder="1" applyAlignment="1">
      <alignment horizontal="right" vertical="center" wrapText="1"/>
    </xf>
    <xf numFmtId="49" fontId="17" fillId="3" borderId="5" xfId="5" applyNumberFormat="1" applyFont="1" applyFill="1" applyBorder="1" applyAlignment="1">
      <alignment horizontal="right" vertical="center" wrapText="1"/>
    </xf>
    <xf numFmtId="3" fontId="17" fillId="0" borderId="10" xfId="0" applyNumberFormat="1" applyFont="1" applyBorder="1" applyAlignment="1">
      <alignment horizontal="center" vertical="center"/>
    </xf>
    <xf numFmtId="3" fontId="17" fillId="3" borderId="10" xfId="0" applyNumberFormat="1" applyFont="1" applyFill="1" applyBorder="1" applyAlignment="1">
      <alignment vertical="center"/>
    </xf>
    <xf numFmtId="3" fontId="9" fillId="0" borderId="10" xfId="0" applyNumberFormat="1" applyFont="1" applyBorder="1" applyAlignment="1">
      <alignment horizontal="left" vertical="center" indent="1"/>
    </xf>
    <xf numFmtId="3" fontId="9" fillId="0" borderId="11" xfId="0" applyNumberFormat="1" applyFont="1" applyBorder="1" applyAlignment="1">
      <alignment horizontal="left" vertical="center" indent="1"/>
    </xf>
    <xf numFmtId="176" fontId="9" fillId="0" borderId="7" xfId="0" applyNumberFormat="1" applyFont="1" applyBorder="1" applyAlignment="1">
      <alignment horizontal="right" vertical="center"/>
    </xf>
    <xf numFmtId="3" fontId="9" fillId="0" borderId="7" xfId="0" applyNumberFormat="1" applyFont="1" applyBorder="1" applyAlignment="1">
      <alignment horizontal="right" vertical="center"/>
    </xf>
    <xf numFmtId="3" fontId="17" fillId="0" borderId="0" xfId="0" applyNumberFormat="1" applyFont="1" applyAlignment="1">
      <alignment horizontal="right" vertical="center" wrapText="1"/>
    </xf>
    <xf numFmtId="3" fontId="17" fillId="0" borderId="0" xfId="5" applyNumberFormat="1" applyFont="1" applyAlignment="1">
      <alignment horizontal="right" vertical="center" wrapText="1"/>
    </xf>
    <xf numFmtId="176" fontId="17" fillId="3" borderId="0" xfId="0" applyNumberFormat="1" applyFont="1" applyFill="1" applyAlignment="1">
      <alignment horizontal="right" vertical="center"/>
    </xf>
    <xf numFmtId="3" fontId="17" fillId="3" borderId="0" xfId="0" applyNumberFormat="1" applyFont="1" applyFill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7" fillId="3" borderId="8" xfId="18" applyFont="1" applyFill="1" applyBorder="1" applyAlignment="1">
      <alignment horizontal="center" vertical="center" wrapText="1"/>
    </xf>
    <xf numFmtId="0" fontId="17" fillId="3" borderId="5" xfId="18" applyFont="1" applyFill="1" applyBorder="1" applyAlignment="1">
      <alignment horizontal="right" vertical="center" wrapText="1"/>
    </xf>
    <xf numFmtId="0" fontId="16" fillId="3" borderId="5" xfId="0" applyFont="1" applyFill="1" applyBorder="1"/>
    <xf numFmtId="0" fontId="17" fillId="0" borderId="10" xfId="18" applyFont="1" applyBorder="1" applyAlignment="1">
      <alignment horizontal="left" vertical="center" wrapText="1"/>
    </xf>
    <xf numFmtId="0" fontId="17" fillId="3" borderId="10" xfId="18" applyFont="1" applyFill="1" applyBorder="1" applyAlignment="1">
      <alignment horizontal="left" vertical="center" wrapText="1"/>
    </xf>
    <xf numFmtId="0" fontId="9" fillId="0" borderId="10" xfId="18" applyFont="1" applyBorder="1" applyAlignment="1">
      <alignment horizontal="left" vertical="center" wrapText="1" indent="1"/>
    </xf>
    <xf numFmtId="0" fontId="9" fillId="0" borderId="10" xfId="18" applyFont="1" applyBorder="1" applyAlignment="1">
      <alignment horizontal="left" vertical="center" indent="1"/>
    </xf>
    <xf numFmtId="164" fontId="9" fillId="0" borderId="0" xfId="18" applyNumberFormat="1" applyFont="1" applyAlignment="1">
      <alignment horizontal="right" vertical="center"/>
    </xf>
    <xf numFmtId="0" fontId="17" fillId="0" borderId="0" xfId="18" applyFont="1" applyAlignment="1">
      <alignment horizontal="right" vertical="center" wrapText="1"/>
    </xf>
    <xf numFmtId="164" fontId="17" fillId="3" borderId="0" xfId="18" applyNumberFormat="1" applyFont="1" applyFill="1" applyAlignment="1">
      <alignment horizontal="right" vertical="center"/>
    </xf>
    <xf numFmtId="0" fontId="9" fillId="3" borderId="4" xfId="21" applyFont="1" applyFill="1" applyBorder="1">
      <alignment vertical="center"/>
    </xf>
    <xf numFmtId="0" fontId="17" fillId="3" borderId="7" xfId="21" applyFont="1" applyFill="1" applyBorder="1" applyAlignment="1">
      <alignment horizontal="right" vertical="center" wrapText="1"/>
    </xf>
    <xf numFmtId="0" fontId="9" fillId="3" borderId="7" xfId="21" applyFont="1" applyFill="1" applyBorder="1">
      <alignment vertical="center"/>
    </xf>
    <xf numFmtId="0" fontId="9" fillId="0" borderId="10" xfId="20" applyFont="1" applyBorder="1" applyAlignment="1">
      <alignment horizontal="left" vertical="center" wrapText="1"/>
    </xf>
    <xf numFmtId="0" fontId="9" fillId="0" borderId="10" xfId="20" applyFont="1" applyBorder="1" applyAlignment="1">
      <alignment horizontal="right" vertical="center" wrapText="1" indent="4"/>
    </xf>
    <xf numFmtId="0" fontId="9" fillId="0" borderId="10" xfId="20" applyFont="1" applyBorder="1" applyAlignment="1">
      <alignment horizontal="center" vertical="center" wrapText="1"/>
    </xf>
    <xf numFmtId="4" fontId="17" fillId="0" borderId="0" xfId="21" applyNumberFormat="1" applyFont="1">
      <alignment vertical="center"/>
    </xf>
    <xf numFmtId="175" fontId="9" fillId="0" borderId="0" xfId="20" applyNumberFormat="1" applyFont="1" applyAlignment="1">
      <alignment horizontal="right" vertical="center"/>
    </xf>
    <xf numFmtId="0" fontId="9" fillId="0" borderId="11" xfId="20" applyFont="1" applyBorder="1" applyAlignment="1">
      <alignment horizontal="center" vertical="center" wrapText="1"/>
    </xf>
    <xf numFmtId="182" fontId="9" fillId="0" borderId="17" xfId="0" applyNumberFormat="1" applyFont="1" applyBorder="1" applyAlignment="1">
      <alignment horizontal="right" vertical="center"/>
    </xf>
    <xf numFmtId="175" fontId="9" fillId="0" borderId="7" xfId="20" applyNumberFormat="1" applyFont="1" applyBorder="1" applyAlignment="1">
      <alignment horizontal="right" vertical="center"/>
    </xf>
    <xf numFmtId="182" fontId="9" fillId="0" borderId="7" xfId="0" applyNumberFormat="1" applyFont="1" applyBorder="1" applyAlignment="1">
      <alignment horizontal="right" vertical="center"/>
    </xf>
    <xf numFmtId="3" fontId="17" fillId="3" borderId="8" xfId="22" applyNumberFormat="1" applyFont="1" applyFill="1" applyBorder="1" applyAlignment="1">
      <alignment horizontal="center" vertical="center"/>
    </xf>
    <xf numFmtId="178" fontId="17" fillId="3" borderId="5" xfId="22" applyNumberFormat="1" applyFont="1" applyFill="1" applyBorder="1" applyAlignment="1">
      <alignment horizontal="right" vertical="center"/>
    </xf>
    <xf numFmtId="1" fontId="17" fillId="3" borderId="5" xfId="22" applyNumberFormat="1" applyFont="1" applyFill="1" applyBorder="1" applyAlignment="1">
      <alignment vertical="center"/>
    </xf>
    <xf numFmtId="3" fontId="17" fillId="0" borderId="10" xfId="22" applyNumberFormat="1" applyFont="1" applyBorder="1" applyAlignment="1">
      <alignment horizontal="center" vertical="center"/>
    </xf>
    <xf numFmtId="3" fontId="17" fillId="3" borderId="10" xfId="22" applyNumberFormat="1" applyFont="1" applyFill="1" applyBorder="1" applyAlignment="1">
      <alignment vertical="center"/>
    </xf>
    <xf numFmtId="3" fontId="9" fillId="0" borderId="10" xfId="22" applyNumberFormat="1" applyFont="1" applyBorder="1" applyAlignment="1">
      <alignment horizontal="left" vertical="center" indent="1"/>
    </xf>
    <xf numFmtId="3" fontId="9" fillId="4" borderId="10" xfId="22" applyNumberFormat="1" applyFont="1" applyFill="1" applyBorder="1" applyAlignment="1">
      <alignment horizontal="left" vertical="center" indent="1"/>
    </xf>
    <xf numFmtId="3" fontId="15" fillId="0" borderId="10" xfId="22" applyNumberFormat="1" applyFont="1" applyBorder="1" applyAlignment="1">
      <alignment horizontal="left" vertical="center" indent="1"/>
    </xf>
    <xf numFmtId="164" fontId="9" fillId="0" borderId="7" xfId="22" applyNumberFormat="1" applyFont="1" applyBorder="1" applyAlignment="1">
      <alignment horizontal="right" vertical="center"/>
    </xf>
    <xf numFmtId="178" fontId="17" fillId="0" borderId="0" xfId="22" applyNumberFormat="1" applyFont="1" applyAlignment="1">
      <alignment horizontal="right" vertical="center"/>
    </xf>
    <xf numFmtId="1" fontId="17" fillId="0" borderId="0" xfId="22" applyNumberFormat="1" applyFont="1" applyAlignment="1">
      <alignment vertical="center"/>
    </xf>
    <xf numFmtId="3" fontId="17" fillId="3" borderId="0" xfId="22" applyNumberFormat="1" applyFont="1" applyFill="1" applyAlignment="1">
      <alignment vertical="center"/>
    </xf>
    <xf numFmtId="164" fontId="17" fillId="3" borderId="0" xfId="22" applyNumberFormat="1" applyFont="1" applyFill="1" applyAlignment="1">
      <alignment horizontal="right" vertical="center"/>
    </xf>
    <xf numFmtId="164" fontId="9" fillId="0" borderId="0" xfId="22" applyNumberFormat="1" applyFont="1" applyAlignment="1">
      <alignment vertical="center"/>
    </xf>
    <xf numFmtId="164" fontId="9" fillId="0" borderId="0" xfId="22" applyNumberFormat="1" applyFont="1" applyAlignment="1">
      <alignment horizontal="right" vertical="center"/>
    </xf>
    <xf numFmtId="164" fontId="9" fillId="4" borderId="0" xfId="7" applyNumberFormat="1" applyFont="1" applyFill="1" applyAlignment="1">
      <alignment horizontal="right" vertical="center" wrapText="1"/>
    </xf>
    <xf numFmtId="164" fontId="9" fillId="4" borderId="0" xfId="22" applyNumberFormat="1" applyFont="1" applyFill="1" applyAlignment="1">
      <alignment horizontal="right" vertical="center"/>
    </xf>
    <xf numFmtId="3" fontId="15" fillId="0" borderId="0" xfId="22" applyNumberFormat="1" applyFont="1" applyAlignment="1">
      <alignment horizontal="right" vertical="center"/>
    </xf>
    <xf numFmtId="164" fontId="15" fillId="0" borderId="0" xfId="22" applyNumberFormat="1" applyFont="1" applyAlignment="1">
      <alignment horizontal="right" vertical="center"/>
    </xf>
    <xf numFmtId="3" fontId="9" fillId="4" borderId="0" xfId="22" applyNumberFormat="1" applyFont="1" applyFill="1" applyAlignment="1">
      <alignment horizontal="right" vertical="center"/>
    </xf>
    <xf numFmtId="3" fontId="9" fillId="0" borderId="11" xfId="22" applyNumberFormat="1" applyFont="1" applyBorder="1" applyAlignment="1">
      <alignment horizontal="left" vertical="center" indent="1"/>
    </xf>
    <xf numFmtId="3" fontId="9" fillId="0" borderId="7" xfId="22" applyNumberFormat="1" applyFont="1" applyBorder="1" applyAlignment="1">
      <alignment horizontal="right" vertical="center"/>
    </xf>
    <xf numFmtId="0" fontId="17" fillId="3" borderId="8" xfId="21" applyFont="1" applyFill="1" applyBorder="1" applyAlignment="1">
      <alignment horizontal="center" vertical="center" wrapText="1"/>
    </xf>
    <xf numFmtId="1" fontId="17" fillId="3" borderId="5" xfId="20" applyNumberFormat="1" applyFont="1" applyFill="1" applyBorder="1" applyAlignment="1">
      <alignment horizontal="right" vertical="center"/>
    </xf>
    <xf numFmtId="1" fontId="13" fillId="3" borderId="5" xfId="20" applyNumberFormat="1" applyFont="1" applyFill="1" applyBorder="1" applyAlignment="1">
      <alignment horizontal="right" vertical="center"/>
    </xf>
    <xf numFmtId="0" fontId="17" fillId="0" borderId="10" xfId="21" applyFont="1" applyBorder="1" applyAlignment="1">
      <alignment horizontal="center" vertical="center" wrapText="1"/>
    </xf>
    <xf numFmtId="165" fontId="17" fillId="3" borderId="10" xfId="21" applyNumberFormat="1" applyFont="1" applyFill="1" applyBorder="1">
      <alignment vertical="center"/>
    </xf>
    <xf numFmtId="165" fontId="9" fillId="0" borderId="10" xfId="21" applyNumberFormat="1" applyFont="1" applyBorder="1" applyAlignment="1">
      <alignment horizontal="left" vertical="center" indent="1"/>
    </xf>
    <xf numFmtId="165" fontId="15" fillId="0" borderId="10" xfId="21" applyNumberFormat="1" applyFont="1" applyBorder="1" applyAlignment="1">
      <alignment horizontal="left" vertical="center" indent="1"/>
    </xf>
    <xf numFmtId="165" fontId="9" fillId="0" borderId="11" xfId="21" applyNumberFormat="1" applyFont="1" applyBorder="1" applyAlignment="1">
      <alignment horizontal="left" vertical="center" indent="1"/>
    </xf>
    <xf numFmtId="3" fontId="15" fillId="0" borderId="7" xfId="7" applyNumberFormat="1" applyFont="1" applyBorder="1" applyAlignment="1">
      <alignment horizontal="right" vertical="center" wrapText="1"/>
    </xf>
    <xf numFmtId="3" fontId="9" fillId="0" borderId="7" xfId="7" applyNumberFormat="1" applyFont="1" applyBorder="1" applyAlignment="1">
      <alignment horizontal="right" vertical="center" wrapText="1"/>
    </xf>
    <xf numFmtId="1" fontId="17" fillId="0" borderId="0" xfId="20" applyNumberFormat="1" applyFont="1" applyAlignment="1">
      <alignment horizontal="right" vertical="center"/>
    </xf>
    <xf numFmtId="1" fontId="13" fillId="0" borderId="0" xfId="20" applyNumberFormat="1" applyFont="1" applyAlignment="1">
      <alignment horizontal="right" vertical="center"/>
    </xf>
    <xf numFmtId="164" fontId="17" fillId="3" borderId="0" xfId="20" applyNumberFormat="1" applyFont="1" applyFill="1" applyAlignment="1">
      <alignment horizontal="right" vertical="center"/>
    </xf>
    <xf numFmtId="164" fontId="13" fillId="3" borderId="0" xfId="20" applyNumberFormat="1" applyFont="1" applyFill="1" applyAlignment="1">
      <alignment horizontal="right" vertical="center"/>
    </xf>
    <xf numFmtId="3" fontId="17" fillId="3" borderId="0" xfId="22" applyNumberFormat="1" applyFont="1" applyFill="1" applyAlignment="1">
      <alignment horizontal="right" vertical="center"/>
    </xf>
    <xf numFmtId="3" fontId="15" fillId="0" borderId="0" xfId="7" applyNumberFormat="1" applyFont="1" applyAlignment="1">
      <alignment horizontal="right" vertical="center" wrapText="1"/>
    </xf>
    <xf numFmtId="3" fontId="9" fillId="0" borderId="0" xfId="7" applyNumberFormat="1" applyFont="1" applyAlignment="1">
      <alignment horizontal="right" vertical="center" wrapText="1"/>
    </xf>
    <xf numFmtId="164" fontId="9" fillId="0" borderId="0" xfId="20" applyNumberFormat="1" applyFont="1" applyAlignment="1">
      <alignment horizontal="right" vertical="center"/>
    </xf>
    <xf numFmtId="164" fontId="15" fillId="0" borderId="0" xfId="20" applyNumberFormat="1" applyFont="1" applyAlignment="1">
      <alignment horizontal="right" vertical="center"/>
    </xf>
    <xf numFmtId="1" fontId="17" fillId="3" borderId="5" xfId="21" applyNumberFormat="1" applyFont="1" applyFill="1" applyBorder="1" applyAlignment="1">
      <alignment horizontal="right" vertical="center"/>
    </xf>
    <xf numFmtId="1" fontId="17" fillId="0" borderId="0" xfId="21" applyNumberFormat="1" applyFont="1" applyAlignment="1">
      <alignment horizontal="right" vertical="center"/>
    </xf>
    <xf numFmtId="1" fontId="17" fillId="0" borderId="0" xfId="22" applyNumberFormat="1" applyFont="1" applyAlignment="1">
      <alignment horizontal="right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right" vertical="center"/>
    </xf>
    <xf numFmtId="0" fontId="17" fillId="0" borderId="10" xfId="0" applyFont="1" applyBorder="1" applyAlignment="1">
      <alignment horizontal="center" vertical="center"/>
    </xf>
    <xf numFmtId="0" fontId="17" fillId="5" borderId="10" xfId="0" applyFont="1" applyFill="1" applyBorder="1" applyAlignment="1">
      <alignment vertical="center"/>
    </xf>
    <xf numFmtId="170" fontId="17" fillId="5" borderId="0" xfId="0" applyNumberFormat="1" applyFont="1" applyFill="1" applyAlignment="1">
      <alignment horizontal="right" vertical="center"/>
    </xf>
    <xf numFmtId="170" fontId="9" fillId="0" borderId="7" xfId="0" applyNumberFormat="1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170" fontId="9" fillId="0" borderId="0" xfId="0" applyNumberFormat="1" applyFont="1" applyAlignment="1">
      <alignment vertical="center"/>
    </xf>
    <xf numFmtId="0" fontId="4" fillId="0" borderId="0" xfId="26" applyFont="1" applyAlignment="1">
      <alignment horizontal="left" vertical="center"/>
    </xf>
    <xf numFmtId="0" fontId="5" fillId="0" borderId="0" xfId="26" applyFont="1" applyAlignment="1">
      <alignment horizontal="left" vertical="center" wrapText="1"/>
    </xf>
    <xf numFmtId="0" fontId="17" fillId="0" borderId="10" xfId="26" applyFont="1" applyBorder="1" applyAlignment="1">
      <alignment horizontal="center" vertical="center"/>
    </xf>
    <xf numFmtId="0" fontId="17" fillId="0" borderId="0" xfId="26" applyFont="1" applyAlignment="1">
      <alignment vertical="center"/>
    </xf>
    <xf numFmtId="0" fontId="9" fillId="0" borderId="10" xfId="26" applyFont="1" applyBorder="1" applyAlignment="1">
      <alignment vertical="center"/>
    </xf>
    <xf numFmtId="170" fontId="9" fillId="0" borderId="0" xfId="26" applyNumberFormat="1" applyFont="1" applyAlignment="1">
      <alignment vertical="center"/>
    </xf>
    <xf numFmtId="170" fontId="9" fillId="0" borderId="0" xfId="26" applyNumberFormat="1" applyFont="1" applyAlignment="1">
      <alignment horizontal="right" vertical="center"/>
    </xf>
    <xf numFmtId="0" fontId="9" fillId="0" borderId="10" xfId="26" applyFont="1" applyBorder="1" applyAlignment="1">
      <alignment vertical="center" wrapText="1"/>
    </xf>
    <xf numFmtId="0" fontId="9" fillId="0" borderId="10" xfId="26" applyFont="1" applyBorder="1" applyAlignment="1">
      <alignment horizontal="left" vertical="center"/>
    </xf>
    <xf numFmtId="0" fontId="4" fillId="0" borderId="0" xfId="26" applyFont="1" applyAlignment="1">
      <alignment horizontal="left" vertical="center" wrapText="1"/>
    </xf>
    <xf numFmtId="0" fontId="4" fillId="0" borderId="11" xfId="26" applyFont="1" applyBorder="1" applyAlignment="1">
      <alignment vertical="center" wrapText="1"/>
    </xf>
    <xf numFmtId="170" fontId="4" fillId="0" borderId="7" xfId="26" applyNumberFormat="1" applyFont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0" fontId="17" fillId="3" borderId="10" xfId="0" applyFont="1" applyFill="1" applyBorder="1" applyAlignment="1">
      <alignment horizontal="left" vertical="center"/>
    </xf>
    <xf numFmtId="181" fontId="9" fillId="0" borderId="7" xfId="0" applyNumberFormat="1" applyFont="1" applyBorder="1" applyAlignment="1">
      <alignment vertical="center"/>
    </xf>
    <xf numFmtId="165" fontId="9" fillId="2" borderId="7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7" fillId="3" borderId="0" xfId="0" applyNumberFormat="1" applyFont="1" applyFill="1" applyAlignment="1">
      <alignment horizontal="right" vertical="center"/>
    </xf>
    <xf numFmtId="181" fontId="9" fillId="0" borderId="0" xfId="0" applyNumberFormat="1" applyFont="1" applyAlignment="1">
      <alignment vertical="center"/>
    </xf>
    <xf numFmtId="165" fontId="9" fillId="2" borderId="0" xfId="0" applyNumberFormat="1" applyFont="1" applyFill="1" applyAlignment="1">
      <alignment horizontal="right" vertical="center"/>
    </xf>
    <xf numFmtId="181" fontId="9" fillId="0" borderId="0" xfId="0" applyNumberFormat="1" applyFont="1" applyAlignment="1">
      <alignment horizontal="right" vertical="center"/>
    </xf>
    <xf numFmtId="0" fontId="17" fillId="3" borderId="8" xfId="23" applyFont="1" applyFill="1" applyBorder="1" applyAlignment="1">
      <alignment horizontal="center" vertical="center"/>
    </xf>
    <xf numFmtId="0" fontId="17" fillId="3" borderId="5" xfId="23" applyFont="1" applyFill="1" applyBorder="1" applyAlignment="1">
      <alignment horizontal="right" vertical="center"/>
    </xf>
    <xf numFmtId="0" fontId="17" fillId="0" borderId="10" xfId="23" applyFont="1" applyBorder="1" applyAlignment="1">
      <alignment horizontal="center" vertical="center"/>
    </xf>
    <xf numFmtId="0" fontId="9" fillId="0" borderId="10" xfId="23" applyFont="1" applyBorder="1" applyAlignment="1">
      <alignment horizontal="center" vertical="center"/>
    </xf>
    <xf numFmtId="0" fontId="17" fillId="0" borderId="0" xfId="23" applyFont="1" applyAlignment="1">
      <alignment horizontal="right" vertical="center"/>
    </xf>
    <xf numFmtId="176" fontId="17" fillId="0" borderId="0" xfId="23" applyNumberFormat="1" applyFont="1" applyAlignment="1">
      <alignment horizontal="right" vertical="center"/>
    </xf>
    <xf numFmtId="176" fontId="9" fillId="0" borderId="0" xfId="23" applyNumberFormat="1" applyFont="1" applyAlignment="1">
      <alignment horizontal="right" vertical="center"/>
    </xf>
    <xf numFmtId="176" fontId="9" fillId="0" borderId="0" xfId="23" applyNumberFormat="1" applyFont="1" applyAlignment="1">
      <alignment horizontal="right"/>
    </xf>
    <xf numFmtId="170" fontId="9" fillId="0" borderId="13" xfId="12" applyNumberFormat="1" applyFont="1" applyBorder="1" applyAlignment="1">
      <alignment vertical="center"/>
    </xf>
    <xf numFmtId="0" fontId="9" fillId="0" borderId="11" xfId="23" applyFont="1" applyBorder="1" applyAlignment="1">
      <alignment horizontal="center" vertical="center"/>
    </xf>
    <xf numFmtId="176" fontId="17" fillId="0" borderId="7" xfId="23" applyNumberFormat="1" applyFont="1" applyBorder="1" applyAlignment="1">
      <alignment horizontal="right" vertical="center"/>
    </xf>
    <xf numFmtId="176" fontId="9" fillId="0" borderId="7" xfId="23" applyNumberFormat="1" applyFont="1" applyBorder="1" applyAlignment="1">
      <alignment horizontal="right"/>
    </xf>
    <xf numFmtId="0" fontId="38" fillId="0" borderId="0" xfId="0" applyFont="1" applyAlignment="1">
      <alignment vertical="center"/>
    </xf>
    <xf numFmtId="0" fontId="25" fillId="0" borderId="0" xfId="6" applyFont="1" applyAlignment="1">
      <alignment horizontal="center" vertical="center"/>
    </xf>
    <xf numFmtId="0" fontId="17" fillId="3" borderId="9" xfId="7" applyFont="1" applyFill="1" applyBorder="1" applyAlignment="1">
      <alignment horizontal="center" vertical="center" wrapText="1"/>
    </xf>
    <xf numFmtId="0" fontId="17" fillId="3" borderId="11" xfId="7" applyFont="1" applyFill="1" applyBorder="1" applyAlignment="1">
      <alignment horizontal="center" vertical="center" wrapText="1"/>
    </xf>
    <xf numFmtId="3" fontId="17" fillId="3" borderId="9" xfId="2" applyNumberFormat="1" applyFont="1" applyFill="1" applyBorder="1" applyAlignment="1">
      <alignment horizontal="center" vertical="center"/>
    </xf>
    <xf numFmtId="3" fontId="17" fillId="3" borderId="10" xfId="2" applyNumberFormat="1" applyFont="1" applyFill="1" applyBorder="1" applyAlignment="1">
      <alignment horizontal="center" vertical="center"/>
    </xf>
    <xf numFmtId="3" fontId="17" fillId="3" borderId="11" xfId="2" applyNumberFormat="1" applyFont="1" applyFill="1" applyBorder="1" applyAlignment="1">
      <alignment horizontal="center" vertical="center"/>
    </xf>
    <xf numFmtId="3" fontId="13" fillId="3" borderId="4" xfId="2" applyNumberFormat="1" applyFont="1" applyFill="1" applyBorder="1" applyAlignment="1">
      <alignment horizontal="right" vertical="center"/>
    </xf>
    <xf numFmtId="3" fontId="13" fillId="3" borderId="0" xfId="2" applyNumberFormat="1" applyFont="1" applyFill="1" applyAlignment="1">
      <alignment horizontal="right" vertical="center"/>
    </xf>
    <xf numFmtId="3" fontId="17" fillId="3" borderId="4" xfId="2" applyNumberFormat="1" applyFont="1" applyFill="1" applyBorder="1" applyAlignment="1">
      <alignment horizontal="right" vertical="center"/>
    </xf>
    <xf numFmtId="3" fontId="17" fillId="3" borderId="0" xfId="2" applyNumberFormat="1" applyFont="1" applyFill="1" applyAlignment="1">
      <alignment horizontal="right" vertical="center"/>
    </xf>
    <xf numFmtId="3" fontId="17" fillId="3" borderId="4" xfId="2" applyNumberFormat="1" applyFont="1" applyFill="1" applyBorder="1" applyAlignment="1">
      <alignment horizontal="right" vertical="center" wrapText="1"/>
    </xf>
    <xf numFmtId="3" fontId="13" fillId="3" borderId="4" xfId="2" applyNumberFormat="1" applyFont="1" applyFill="1" applyBorder="1" applyAlignment="1">
      <alignment horizontal="right" vertical="center" wrapText="1"/>
    </xf>
    <xf numFmtId="0" fontId="15" fillId="3" borderId="0" xfId="5" applyFont="1" applyFill="1" applyAlignment="1">
      <alignment horizontal="right" vertical="center" wrapText="1"/>
    </xf>
    <xf numFmtId="0" fontId="3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30" fillId="0" borderId="0" xfId="6" applyFont="1" applyAlignment="1">
      <alignment horizontal="center" vertical="center"/>
    </xf>
    <xf numFmtId="0" fontId="29" fillId="0" borderId="0" xfId="6" applyFont="1" applyAlignment="1">
      <alignment horizontal="center" vertical="center"/>
    </xf>
    <xf numFmtId="0" fontId="28" fillId="0" borderId="0" xfId="6" applyFont="1" applyAlignment="1">
      <alignment horizontal="center" vertical="center"/>
    </xf>
    <xf numFmtId="49" fontId="17" fillId="3" borderId="8" xfId="0" applyNumberFormat="1" applyFont="1" applyFill="1" applyBorder="1" applyAlignment="1">
      <alignment horizontal="center" vertical="center" wrapText="1"/>
    </xf>
    <xf numFmtId="49" fontId="17" fillId="3" borderId="14" xfId="0" applyNumberFormat="1" applyFont="1" applyFill="1" applyBorder="1" applyAlignment="1">
      <alignment horizontal="center" vertical="center" wrapText="1"/>
    </xf>
    <xf numFmtId="49" fontId="17" fillId="3" borderId="5" xfId="0" applyNumberFormat="1" applyFont="1" applyFill="1" applyBorder="1" applyAlignment="1">
      <alignment horizontal="center" vertical="center" wrapText="1"/>
    </xf>
    <xf numFmtId="0" fontId="30" fillId="0" borderId="0" xfId="10" applyFont="1" applyAlignment="1">
      <alignment horizontal="center"/>
    </xf>
    <xf numFmtId="0" fontId="29" fillId="0" borderId="0" xfId="10" applyFont="1" applyAlignment="1">
      <alignment horizontal="center"/>
    </xf>
    <xf numFmtId="0" fontId="21" fillId="0" borderId="0" xfId="10" applyFont="1" applyAlignment="1">
      <alignment horizontal="center"/>
    </xf>
    <xf numFmtId="0" fontId="22" fillId="0" borderId="0" xfId="10" applyFont="1" applyAlignment="1">
      <alignment horizontal="center"/>
    </xf>
    <xf numFmtId="0" fontId="30" fillId="0" borderId="0" xfId="6" applyFont="1" applyAlignment="1">
      <alignment horizontal="center" vertical="center" wrapText="1"/>
    </xf>
    <xf numFmtId="49" fontId="5" fillId="2" borderId="0" xfId="13" applyNumberFormat="1" applyFont="1" applyFill="1" applyAlignment="1">
      <alignment horizontal="justify" vertical="center" wrapText="1"/>
    </xf>
    <xf numFmtId="49" fontId="3" fillId="0" borderId="0" xfId="0" applyNumberFormat="1" applyFont="1" applyAlignment="1">
      <alignment horizontal="justify" vertical="center" wrapText="1"/>
    </xf>
    <xf numFmtId="0" fontId="17" fillId="3" borderId="0" xfId="0" applyFont="1" applyFill="1" applyAlignment="1">
      <alignment horizontal="left"/>
    </xf>
    <xf numFmtId="0" fontId="17" fillId="3" borderId="10" xfId="0" applyFont="1" applyFill="1" applyBorder="1" applyAlignment="1">
      <alignment horizontal="left"/>
    </xf>
    <xf numFmtId="0" fontId="30" fillId="0" borderId="0" xfId="14" quotePrefix="1" applyFont="1" applyAlignment="1">
      <alignment horizontal="center" vertical="center"/>
    </xf>
    <xf numFmtId="0" fontId="29" fillId="0" borderId="0" xfId="14" quotePrefix="1" applyFont="1" applyAlignment="1">
      <alignment horizontal="center" vertical="center"/>
    </xf>
    <xf numFmtId="49" fontId="40" fillId="3" borderId="5" xfId="0" applyNumberFormat="1" applyFont="1" applyFill="1" applyBorder="1" applyAlignment="1">
      <alignment horizontal="center" vertical="center" wrapText="1"/>
    </xf>
    <xf numFmtId="49" fontId="40" fillId="3" borderId="8" xfId="0" applyNumberFormat="1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left" vertical="center" wrapText="1"/>
    </xf>
    <xf numFmtId="0" fontId="40" fillId="3" borderId="10" xfId="0" applyFont="1" applyFill="1" applyBorder="1" applyAlignment="1">
      <alignment horizontal="left" vertical="center" wrapText="1"/>
    </xf>
    <xf numFmtId="0" fontId="29" fillId="0" borderId="0" xfId="12" quotePrefix="1" applyFont="1" applyAlignment="1">
      <alignment horizontal="center" vertical="center"/>
    </xf>
    <xf numFmtId="0" fontId="40" fillId="3" borderId="0" xfId="0" applyFont="1" applyFill="1" applyAlignment="1">
      <alignment horizontal="left"/>
    </xf>
    <xf numFmtId="0" fontId="40" fillId="3" borderId="10" xfId="0" applyFont="1" applyFill="1" applyBorder="1" applyAlignment="1">
      <alignment horizontal="left"/>
    </xf>
    <xf numFmtId="0" fontId="25" fillId="0" borderId="0" xfId="6" applyFont="1" applyAlignment="1">
      <alignment horizontal="center" vertical="center" wrapText="1"/>
    </xf>
    <xf numFmtId="0" fontId="5" fillId="0" borderId="0" xfId="0" applyFont="1" applyAlignment="1">
      <alignment horizontal="justify" wrapText="1"/>
    </xf>
    <xf numFmtId="0" fontId="3" fillId="0" borderId="0" xfId="0" applyFont="1" applyAlignment="1">
      <alignment horizontal="justify" wrapText="1"/>
    </xf>
    <xf numFmtId="0" fontId="4" fillId="0" borderId="0" xfId="0" applyFont="1" applyAlignment="1">
      <alignment horizontal="justify" wrapText="1"/>
    </xf>
    <xf numFmtId="0" fontId="28" fillId="0" borderId="0" xfId="6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7" fillId="3" borderId="9" xfId="21" applyFont="1" applyFill="1" applyBorder="1" applyAlignment="1">
      <alignment horizontal="center" vertical="center"/>
    </xf>
    <xf numFmtId="0" fontId="17" fillId="3" borderId="11" xfId="21" applyFont="1" applyFill="1" applyBorder="1" applyAlignment="1">
      <alignment horizontal="center" vertical="center"/>
    </xf>
    <xf numFmtId="0" fontId="17" fillId="3" borderId="5" xfId="21" applyFont="1" applyFill="1" applyBorder="1" applyAlignment="1">
      <alignment horizontal="center" vertical="center"/>
    </xf>
    <xf numFmtId="1" fontId="17" fillId="3" borderId="5" xfId="2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9" fontId="30" fillId="0" borderId="0" xfId="6" applyNumberFormat="1" applyFont="1" applyAlignment="1">
      <alignment horizontal="center" vertical="center" wrapText="1"/>
    </xf>
    <xf numFmtId="0" fontId="5" fillId="0" borderId="0" xfId="26" applyFont="1" applyAlignment="1">
      <alignment horizontal="left" vertical="center"/>
    </xf>
    <xf numFmtId="49" fontId="4" fillId="0" borderId="4" xfId="0" applyNumberFormat="1" applyFont="1" applyBorder="1" applyAlignment="1">
      <alignment horizontal="justify" vertical="center" wrapText="1"/>
    </xf>
    <xf numFmtId="0" fontId="5" fillId="0" borderId="0" xfId="26" applyFont="1" applyAlignment="1">
      <alignment horizontal="justify" wrapText="1"/>
    </xf>
    <xf numFmtId="0" fontId="17" fillId="3" borderId="9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</cellXfs>
  <cellStyles count="29">
    <cellStyle name="Cancel 2" xfId="6"/>
    <cellStyle name="Estilo 1" xfId="17"/>
    <cellStyle name="Millares 2 8" xfId="9"/>
    <cellStyle name="Millares 3 2 2" xfId="8"/>
    <cellStyle name="Normal" xfId="0" builtinId="0"/>
    <cellStyle name="Normal 2 2" xfId="26"/>
    <cellStyle name="Normal 2 40" xfId="25"/>
    <cellStyle name="Normal 27 3" xfId="10"/>
    <cellStyle name="Normal 3" xfId="1"/>
    <cellStyle name="Normal 4" xfId="18"/>
    <cellStyle name="Normal 49 2" xfId="27"/>
    <cellStyle name="Normal_02 Uso consuntivo de agua por cuenca" xfId="21"/>
    <cellStyle name="Normal_2" xfId="5"/>
    <cellStyle name="Normal_2.11 Prod. prod. forestales mad trans." xfId="4"/>
    <cellStyle name="Normal_2.15 producción forestal" xfId="2"/>
    <cellStyle name="Normal_2.17 prod. plantas" xfId="7"/>
    <cellStyle name="Normal_2.18 prod. cochinilla" xfId="22"/>
    <cellStyle name="Normal_2.24 importac. produc. forestales  maderables" xfId="3"/>
    <cellStyle name="Normal_CAP-MEDIOAMB-ANT" xfId="19"/>
    <cellStyle name="Normal_ELIMINAR-COM 2" xfId="11"/>
    <cellStyle name="Normal_elimn 3" xfId="24"/>
    <cellStyle name="Normal_exportaciones-inrena" xfId="20"/>
    <cellStyle name="Normal_EXTRACCION DE GUANO DE ISLAS - MINAG" xfId="23"/>
    <cellStyle name="Normal_IEC10001" xfId="13"/>
    <cellStyle name="Normal_IEC10023" xfId="12"/>
    <cellStyle name="Normal_IEC10024" xfId="15"/>
    <cellStyle name="Normal_IEC10025" xfId="16"/>
    <cellStyle name="Normal_IEC10027" xfId="14"/>
    <cellStyle name="Normal_RECURSOS HIDRICOS" xfId="28"/>
  </cellStyles>
  <dxfs count="0"/>
  <tableStyles count="0" defaultTableStyle="TableStyleMedium2" defaultPivotStyle="PivotStyleLight16"/>
  <colors>
    <mruColors>
      <color rgb="FF16F671"/>
      <color rgb="FFDDFC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40.xml"/><Relationship Id="rId68" Type="http://schemas.openxmlformats.org/officeDocument/2006/relationships/externalLink" Target="externalLinks/externalLink45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74" Type="http://schemas.openxmlformats.org/officeDocument/2006/relationships/externalLink" Target="externalLinks/externalLink51.xml"/><Relationship Id="rId79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1.xml"/><Relationship Id="rId69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5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72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57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4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39.xml"/><Relationship Id="rId70" Type="http://schemas.openxmlformats.org/officeDocument/2006/relationships/externalLink" Target="externalLinks/externalLink47.xml"/><Relationship Id="rId75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6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50.xml"/><Relationship Id="rId78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58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Relationship Id="rId76" Type="http://schemas.openxmlformats.org/officeDocument/2006/relationships/externalLink" Target="externalLinks/externalLink5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43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38.xml"/><Relationship Id="rId82" Type="http://schemas.openxmlformats.org/officeDocument/2006/relationships/externalLink" Target="externalLinks/externalLink5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247650" cy="209550"/>
    <xdr:pic>
      <xdr:nvPicPr>
        <xdr:cNvPr id="2" name="Imagen 1" descr="http://iinei.inei.gob.pe/microdatos/images/ftv2blank.gif">
          <a:extLst>
            <a:ext uri="{FF2B5EF4-FFF2-40B4-BE49-F238E27FC236}">
              <a16:creationId xmlns:a16="http://schemas.microsoft.com/office/drawing/2014/main" id="{69524FFF-A08A-4B17-AB98-205798037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114300" cy="209550"/>
    <xdr:pic>
      <xdr:nvPicPr>
        <xdr:cNvPr id="3" name="Imagen 2" descr="http://iinei.inei.gob.pe/microdatos/images/ftv2blank.gif">
          <a:extLst>
            <a:ext uri="{FF2B5EF4-FFF2-40B4-BE49-F238E27FC236}">
              <a16:creationId xmlns:a16="http://schemas.microsoft.com/office/drawing/2014/main" id="{3CC46747-12AE-49E5-883E-EF43827CE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247650" cy="209550"/>
    <xdr:pic>
      <xdr:nvPicPr>
        <xdr:cNvPr id="4" name="Imagen 3" descr="http://iinei.inei.gob.pe/microdatos/images/ftv2blank.gif">
          <a:extLst>
            <a:ext uri="{FF2B5EF4-FFF2-40B4-BE49-F238E27FC236}">
              <a16:creationId xmlns:a16="http://schemas.microsoft.com/office/drawing/2014/main" id="{A0996616-CC69-4BF6-BBBE-E8F3BEE09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114300" cy="209550"/>
    <xdr:pic>
      <xdr:nvPicPr>
        <xdr:cNvPr id="5" name="Imagen 4" descr="http://iinei.inei.gob.pe/microdatos/images/ftv2blank.gif">
          <a:extLst>
            <a:ext uri="{FF2B5EF4-FFF2-40B4-BE49-F238E27FC236}">
              <a16:creationId xmlns:a16="http://schemas.microsoft.com/office/drawing/2014/main" id="{3BF52E81-ACEB-4DE7-B76A-87A7D0797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247650" cy="209550"/>
    <xdr:pic>
      <xdr:nvPicPr>
        <xdr:cNvPr id="6" name="Imagen 5" descr="http://iinei.inei.gob.pe/microdatos/images/ftv2blank.gif">
          <a:extLst>
            <a:ext uri="{FF2B5EF4-FFF2-40B4-BE49-F238E27FC236}">
              <a16:creationId xmlns:a16="http://schemas.microsoft.com/office/drawing/2014/main" id="{D771D0D1-CC5F-4B3B-8FA6-D046EF698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114300" cy="209550"/>
    <xdr:pic>
      <xdr:nvPicPr>
        <xdr:cNvPr id="7" name="Imagen 6" descr="http://iinei.inei.gob.pe/microdatos/images/ftv2blank.gif">
          <a:extLst>
            <a:ext uri="{FF2B5EF4-FFF2-40B4-BE49-F238E27FC236}">
              <a16:creationId xmlns:a16="http://schemas.microsoft.com/office/drawing/2014/main" id="{C85E9C6F-E3A0-4014-A359-33D9771B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247650" cy="209550"/>
    <xdr:pic>
      <xdr:nvPicPr>
        <xdr:cNvPr id="8" name="Imagen 7" descr="http://iinei.inei.gob.pe/microdatos/images/ftv2blank.gif">
          <a:extLst>
            <a:ext uri="{FF2B5EF4-FFF2-40B4-BE49-F238E27FC236}">
              <a16:creationId xmlns:a16="http://schemas.microsoft.com/office/drawing/2014/main" id="{781EF3CC-66EF-4816-94FB-4BE43B60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14300" cy="209550"/>
    <xdr:pic>
      <xdr:nvPicPr>
        <xdr:cNvPr id="9" name="Imagen 8" descr="http://iinei.inei.gob.pe/microdatos/images/ftv2blank.gif">
          <a:extLst>
            <a:ext uri="{FF2B5EF4-FFF2-40B4-BE49-F238E27FC236}">
              <a16:creationId xmlns:a16="http://schemas.microsoft.com/office/drawing/2014/main" id="{BA775B69-73AC-4641-86C7-4DE50AAC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247650" cy="209550"/>
    <xdr:pic>
      <xdr:nvPicPr>
        <xdr:cNvPr id="10" name="Imagen 9" descr="http://iinei.inei.gob.pe/microdatos/images/ftv2blank.gif">
          <a:extLst>
            <a:ext uri="{FF2B5EF4-FFF2-40B4-BE49-F238E27FC236}">
              <a16:creationId xmlns:a16="http://schemas.microsoft.com/office/drawing/2014/main" id="{CB66E6D1-F2FB-4C65-A2CB-DBC028C11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14300" cy="209550"/>
    <xdr:pic>
      <xdr:nvPicPr>
        <xdr:cNvPr id="11" name="Imagen 10" descr="http://iinei.inei.gob.pe/microdatos/images/ftv2blank.gif">
          <a:extLst>
            <a:ext uri="{FF2B5EF4-FFF2-40B4-BE49-F238E27FC236}">
              <a16:creationId xmlns:a16="http://schemas.microsoft.com/office/drawing/2014/main" id="{95EE0311-354D-480B-8E39-660FDE1B3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247650" cy="209550"/>
    <xdr:pic>
      <xdr:nvPicPr>
        <xdr:cNvPr id="12" name="Imagen 11" descr="http://iinei.inei.gob.pe/microdatos/images/ftv2blank.gif">
          <a:extLst>
            <a:ext uri="{FF2B5EF4-FFF2-40B4-BE49-F238E27FC236}">
              <a16:creationId xmlns:a16="http://schemas.microsoft.com/office/drawing/2014/main" id="{267AFFB4-F668-4E20-98FE-6EE39F2DE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114300" cy="209550"/>
    <xdr:pic>
      <xdr:nvPicPr>
        <xdr:cNvPr id="13" name="Imagen 12" descr="http://iinei.inei.gob.pe/microdatos/images/ftv2blank.gif">
          <a:extLst>
            <a:ext uri="{FF2B5EF4-FFF2-40B4-BE49-F238E27FC236}">
              <a16:creationId xmlns:a16="http://schemas.microsoft.com/office/drawing/2014/main" id="{1D85A8E6-38D9-4992-9330-A5D095B69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247650" cy="209550"/>
    <xdr:pic>
      <xdr:nvPicPr>
        <xdr:cNvPr id="14" name="Imagen 13" descr="http://iinei.inei.gob.pe/microdatos/images/ftv2blank.gif">
          <a:extLst>
            <a:ext uri="{FF2B5EF4-FFF2-40B4-BE49-F238E27FC236}">
              <a16:creationId xmlns:a16="http://schemas.microsoft.com/office/drawing/2014/main" id="{82D58ECF-49D8-4264-8FE7-490D6D6F1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114300" cy="209550"/>
    <xdr:pic>
      <xdr:nvPicPr>
        <xdr:cNvPr id="15" name="Imagen 14" descr="http://iinei.inei.gob.pe/microdatos/images/ftv2blank.gif">
          <a:extLst>
            <a:ext uri="{FF2B5EF4-FFF2-40B4-BE49-F238E27FC236}">
              <a16:creationId xmlns:a16="http://schemas.microsoft.com/office/drawing/2014/main" id="{94269A23-9D97-4BAF-9179-A3919ACEC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247650" cy="209550"/>
    <xdr:pic>
      <xdr:nvPicPr>
        <xdr:cNvPr id="16" name="Imagen 15" descr="http://iinei.inei.gob.pe/microdatos/images/ftv2blank.gif">
          <a:extLst>
            <a:ext uri="{FF2B5EF4-FFF2-40B4-BE49-F238E27FC236}">
              <a16:creationId xmlns:a16="http://schemas.microsoft.com/office/drawing/2014/main" id="{1E3095AB-9067-4687-92A6-70B555289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114300" cy="209550"/>
    <xdr:pic>
      <xdr:nvPicPr>
        <xdr:cNvPr id="17" name="Imagen 16" descr="http://iinei.inei.gob.pe/microdatos/images/ftv2blank.gif">
          <a:extLst>
            <a:ext uri="{FF2B5EF4-FFF2-40B4-BE49-F238E27FC236}">
              <a16:creationId xmlns:a16="http://schemas.microsoft.com/office/drawing/2014/main" id="{8983DBC4-0400-4147-B17F-99120CAAC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247650" cy="209550"/>
    <xdr:pic>
      <xdr:nvPicPr>
        <xdr:cNvPr id="18" name="Imagen 17" descr="http://iinei.inei.gob.pe/microdatos/images/ftv2blank.gif">
          <a:extLst>
            <a:ext uri="{FF2B5EF4-FFF2-40B4-BE49-F238E27FC236}">
              <a16:creationId xmlns:a16="http://schemas.microsoft.com/office/drawing/2014/main" id="{9914C62B-97E3-4E00-BB46-6B2AC5F1E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114300" cy="209550"/>
    <xdr:pic>
      <xdr:nvPicPr>
        <xdr:cNvPr id="19" name="Imagen 18" descr="http://iinei.inei.gob.pe/microdatos/images/ftv2blank.gif">
          <a:extLst>
            <a:ext uri="{FF2B5EF4-FFF2-40B4-BE49-F238E27FC236}">
              <a16:creationId xmlns:a16="http://schemas.microsoft.com/office/drawing/2014/main" id="{CCF3E7BD-3742-4A6C-BD3F-4E1E988C8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247650" cy="209550"/>
    <xdr:pic>
      <xdr:nvPicPr>
        <xdr:cNvPr id="20" name="Imagen 19" descr="http://iinei.inei.gob.pe/microdatos/images/ftv2blank.gif">
          <a:extLst>
            <a:ext uri="{FF2B5EF4-FFF2-40B4-BE49-F238E27FC236}">
              <a16:creationId xmlns:a16="http://schemas.microsoft.com/office/drawing/2014/main" id="{06D3C6E2-52F4-4C42-9460-7BACFC58E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14300" cy="209550"/>
    <xdr:pic>
      <xdr:nvPicPr>
        <xdr:cNvPr id="21" name="Imagen 20" descr="http://iinei.inei.gob.pe/microdatos/images/ftv2blank.gif">
          <a:extLst>
            <a:ext uri="{FF2B5EF4-FFF2-40B4-BE49-F238E27FC236}">
              <a16:creationId xmlns:a16="http://schemas.microsoft.com/office/drawing/2014/main" id="{D268E034-8C14-4F04-8B49-81BCC736C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247650" cy="209550"/>
    <xdr:pic>
      <xdr:nvPicPr>
        <xdr:cNvPr id="22" name="Imagen 21" descr="http://iinei.inei.gob.pe/microdatos/images/ftv2blank.gif">
          <a:extLst>
            <a:ext uri="{FF2B5EF4-FFF2-40B4-BE49-F238E27FC236}">
              <a16:creationId xmlns:a16="http://schemas.microsoft.com/office/drawing/2014/main" id="{E31FBD7C-D555-479F-8744-D8FEEF703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14300" cy="209550"/>
    <xdr:pic>
      <xdr:nvPicPr>
        <xdr:cNvPr id="23" name="Imagen 22" descr="http://iinei.inei.gob.pe/microdatos/images/ftv2blank.gif">
          <a:extLst>
            <a:ext uri="{FF2B5EF4-FFF2-40B4-BE49-F238E27FC236}">
              <a16:creationId xmlns:a16="http://schemas.microsoft.com/office/drawing/2014/main" id="{EBF3B2A8-B3D5-48F7-8FD5-EE08E12A1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247650" cy="209550"/>
    <xdr:pic>
      <xdr:nvPicPr>
        <xdr:cNvPr id="24" name="Imagen 23" descr="http://iinei.inei.gob.pe/microdatos/images/ftv2blank.gif">
          <a:extLst>
            <a:ext uri="{FF2B5EF4-FFF2-40B4-BE49-F238E27FC236}">
              <a16:creationId xmlns:a16="http://schemas.microsoft.com/office/drawing/2014/main" id="{CAEA8FAD-86DF-45D8-9C8E-9D85BF6E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114300" cy="209550"/>
    <xdr:pic>
      <xdr:nvPicPr>
        <xdr:cNvPr id="25" name="Imagen 24" descr="http://iinei.inei.gob.pe/microdatos/images/ftv2blank.gif">
          <a:extLst>
            <a:ext uri="{FF2B5EF4-FFF2-40B4-BE49-F238E27FC236}">
              <a16:creationId xmlns:a16="http://schemas.microsoft.com/office/drawing/2014/main" id="{7EFAE5EC-30E5-4392-9ECD-743BF237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247650" cy="209550"/>
    <xdr:pic>
      <xdr:nvPicPr>
        <xdr:cNvPr id="26" name="Imagen 25" descr="http://iinei.inei.gob.pe/microdatos/images/ftv2blank.gif">
          <a:extLst>
            <a:ext uri="{FF2B5EF4-FFF2-40B4-BE49-F238E27FC236}">
              <a16:creationId xmlns:a16="http://schemas.microsoft.com/office/drawing/2014/main" id="{C10F2EDB-8A64-4663-92FE-A70358F23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257175</xdr:colOff>
      <xdr:row>14</xdr:row>
      <xdr:rowOff>0</xdr:rowOff>
    </xdr:from>
    <xdr:ext cx="114300" cy="209550"/>
    <xdr:pic>
      <xdr:nvPicPr>
        <xdr:cNvPr id="27" name="Imagen 26" descr="http://iinei.inei.gob.pe/microdatos/images/ftv2blank.gif">
          <a:extLst>
            <a:ext uri="{FF2B5EF4-FFF2-40B4-BE49-F238E27FC236}">
              <a16:creationId xmlns:a16="http://schemas.microsoft.com/office/drawing/2014/main" id="{486C9EB5-1CB3-4B8E-9299-1A908EA7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247650" cy="209550"/>
    <xdr:pic>
      <xdr:nvPicPr>
        <xdr:cNvPr id="28" name="Imagen 27" descr="http://iinei.inei.gob.pe/microdatos/images/ftv2blank.gif">
          <a:extLst>
            <a:ext uri="{FF2B5EF4-FFF2-40B4-BE49-F238E27FC236}">
              <a16:creationId xmlns:a16="http://schemas.microsoft.com/office/drawing/2014/main" id="{B29DD77A-461F-4963-BE93-5091EC9B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257175</xdr:colOff>
      <xdr:row>15</xdr:row>
      <xdr:rowOff>0</xdr:rowOff>
    </xdr:from>
    <xdr:ext cx="114300" cy="209550"/>
    <xdr:pic>
      <xdr:nvPicPr>
        <xdr:cNvPr id="29" name="Imagen 28" descr="http://iinei.inei.gob.pe/microdatos/images/ftv2blank.gif">
          <a:extLst>
            <a:ext uri="{FF2B5EF4-FFF2-40B4-BE49-F238E27FC236}">
              <a16:creationId xmlns:a16="http://schemas.microsoft.com/office/drawing/2014/main" id="{7B270110-6EB1-41A7-AEB3-73AC96BB2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247650" cy="209550"/>
    <xdr:pic>
      <xdr:nvPicPr>
        <xdr:cNvPr id="30" name="Imagen 29" descr="http://iinei.inei.gob.pe/microdatos/images/ftv2blank.gif">
          <a:extLst>
            <a:ext uri="{FF2B5EF4-FFF2-40B4-BE49-F238E27FC236}">
              <a16:creationId xmlns:a16="http://schemas.microsoft.com/office/drawing/2014/main" id="{4DB0031E-B038-4287-88E2-56C39450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257175</xdr:colOff>
      <xdr:row>16</xdr:row>
      <xdr:rowOff>0</xdr:rowOff>
    </xdr:from>
    <xdr:ext cx="114300" cy="209550"/>
    <xdr:pic>
      <xdr:nvPicPr>
        <xdr:cNvPr id="31" name="Imagen 30" descr="http://iinei.inei.gob.pe/microdatos/images/ftv2blank.gif">
          <a:extLst>
            <a:ext uri="{FF2B5EF4-FFF2-40B4-BE49-F238E27FC236}">
              <a16:creationId xmlns:a16="http://schemas.microsoft.com/office/drawing/2014/main" id="{3E0E6B51-CFBF-4AF2-B5DB-60F3F63C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247650" cy="209550"/>
    <xdr:pic>
      <xdr:nvPicPr>
        <xdr:cNvPr id="32" name="Imagen 31" descr="http://iinei.inei.gob.pe/microdatos/images/ftv2blank.gif">
          <a:extLst>
            <a:ext uri="{FF2B5EF4-FFF2-40B4-BE49-F238E27FC236}">
              <a16:creationId xmlns:a16="http://schemas.microsoft.com/office/drawing/2014/main" id="{FB419627-B8C6-4DAC-975F-32DF05F0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257175</xdr:colOff>
      <xdr:row>17</xdr:row>
      <xdr:rowOff>0</xdr:rowOff>
    </xdr:from>
    <xdr:ext cx="114300" cy="209550"/>
    <xdr:pic>
      <xdr:nvPicPr>
        <xdr:cNvPr id="33" name="Imagen 32" descr="http://iinei.inei.gob.pe/microdatos/images/ftv2blank.gif">
          <a:extLst>
            <a:ext uri="{FF2B5EF4-FFF2-40B4-BE49-F238E27FC236}">
              <a16:creationId xmlns:a16="http://schemas.microsoft.com/office/drawing/2014/main" id="{EB3F8BB4-A813-4B7C-AE90-5C8E2DE0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247650" cy="209550"/>
    <xdr:pic>
      <xdr:nvPicPr>
        <xdr:cNvPr id="34" name="Imagen 33" descr="http://iinei.inei.gob.pe/microdatos/images/ftv2blank.gif">
          <a:extLst>
            <a:ext uri="{FF2B5EF4-FFF2-40B4-BE49-F238E27FC236}">
              <a16:creationId xmlns:a16="http://schemas.microsoft.com/office/drawing/2014/main" id="{F3565C3F-5C98-4B1A-8D49-4E961EB7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257175</xdr:colOff>
      <xdr:row>18</xdr:row>
      <xdr:rowOff>0</xdr:rowOff>
    </xdr:from>
    <xdr:ext cx="114300" cy="209550"/>
    <xdr:pic>
      <xdr:nvPicPr>
        <xdr:cNvPr id="35" name="Imagen 34" descr="http://iinei.inei.gob.pe/microdatos/images/ftv2blank.gif">
          <a:extLst>
            <a:ext uri="{FF2B5EF4-FFF2-40B4-BE49-F238E27FC236}">
              <a16:creationId xmlns:a16="http://schemas.microsoft.com/office/drawing/2014/main" id="{3EA3498D-9C91-46FE-A89E-4966A9BC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247650" cy="209550"/>
    <xdr:pic>
      <xdr:nvPicPr>
        <xdr:cNvPr id="36" name="Imagen 35" descr="http://iinei.inei.gob.pe/microdatos/images/ftv2blank.gif">
          <a:extLst>
            <a:ext uri="{FF2B5EF4-FFF2-40B4-BE49-F238E27FC236}">
              <a16:creationId xmlns:a16="http://schemas.microsoft.com/office/drawing/2014/main" id="{F80C4E81-276D-4B04-AE6E-B25331B7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257175</xdr:colOff>
      <xdr:row>19</xdr:row>
      <xdr:rowOff>0</xdr:rowOff>
    </xdr:from>
    <xdr:ext cx="114300" cy="209550"/>
    <xdr:pic>
      <xdr:nvPicPr>
        <xdr:cNvPr id="37" name="Imagen 36" descr="http://iinei.inei.gob.pe/microdatos/images/ftv2blank.gif">
          <a:extLst>
            <a:ext uri="{FF2B5EF4-FFF2-40B4-BE49-F238E27FC236}">
              <a16:creationId xmlns:a16="http://schemas.microsoft.com/office/drawing/2014/main" id="{B9B60BE5-81D8-4F9E-8F39-FDDE11D42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247650" cy="209550"/>
    <xdr:pic>
      <xdr:nvPicPr>
        <xdr:cNvPr id="38" name="Imagen 37" descr="http://iinei.inei.gob.pe/microdatos/images/ftv2blank.gif">
          <a:extLst>
            <a:ext uri="{FF2B5EF4-FFF2-40B4-BE49-F238E27FC236}">
              <a16:creationId xmlns:a16="http://schemas.microsoft.com/office/drawing/2014/main" id="{8E36D87C-BA84-4B44-BD83-C0A6DA23D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114300" cy="209550"/>
    <xdr:pic>
      <xdr:nvPicPr>
        <xdr:cNvPr id="39" name="Imagen 38" descr="http://iinei.inei.gob.pe/microdatos/images/ftv2blank.gif">
          <a:extLst>
            <a:ext uri="{FF2B5EF4-FFF2-40B4-BE49-F238E27FC236}">
              <a16:creationId xmlns:a16="http://schemas.microsoft.com/office/drawing/2014/main" id="{DE9A2189-8D0C-4F51-95F2-F08270AC4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114300" cy="209550"/>
    <xdr:pic>
      <xdr:nvPicPr>
        <xdr:cNvPr id="40" name="Imagen 39" descr="http://iinei.inei.gob.pe/microdatos/images/ftv2blank.gif">
          <a:extLst>
            <a:ext uri="{FF2B5EF4-FFF2-40B4-BE49-F238E27FC236}">
              <a16:creationId xmlns:a16="http://schemas.microsoft.com/office/drawing/2014/main" id="{F3DDE148-6391-4795-854D-454835B99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247650" cy="209550"/>
    <xdr:pic>
      <xdr:nvPicPr>
        <xdr:cNvPr id="41" name="Imagen 40" descr="http://iinei.inei.gob.pe/microdatos/images/ftv2blank.gif">
          <a:extLst>
            <a:ext uri="{FF2B5EF4-FFF2-40B4-BE49-F238E27FC236}">
              <a16:creationId xmlns:a16="http://schemas.microsoft.com/office/drawing/2014/main" id="{020D1547-B0B6-4F20-A11E-2A6E0C14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114300" cy="209550"/>
    <xdr:pic>
      <xdr:nvPicPr>
        <xdr:cNvPr id="42" name="Imagen 41" descr="http://iinei.inei.gob.pe/microdatos/images/ftv2blank.gif">
          <a:extLst>
            <a:ext uri="{FF2B5EF4-FFF2-40B4-BE49-F238E27FC236}">
              <a16:creationId xmlns:a16="http://schemas.microsoft.com/office/drawing/2014/main" id="{96B3DCA8-CE9F-49B4-B53C-0511A9655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247650" cy="209550"/>
    <xdr:pic>
      <xdr:nvPicPr>
        <xdr:cNvPr id="43" name="Imagen 42" descr="http://iinei.inei.gob.pe/microdatos/images/ftv2blank.gif">
          <a:extLst>
            <a:ext uri="{FF2B5EF4-FFF2-40B4-BE49-F238E27FC236}">
              <a16:creationId xmlns:a16="http://schemas.microsoft.com/office/drawing/2014/main" id="{A10440AB-21CD-47E3-8BE2-3A186D2C6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14300" cy="209550"/>
    <xdr:pic>
      <xdr:nvPicPr>
        <xdr:cNvPr id="44" name="Imagen 43" descr="http://iinei.inei.gob.pe/microdatos/images/ftv2blank.gif">
          <a:extLst>
            <a:ext uri="{FF2B5EF4-FFF2-40B4-BE49-F238E27FC236}">
              <a16:creationId xmlns:a16="http://schemas.microsoft.com/office/drawing/2014/main" id="{F1ED4987-8C02-4E02-BB21-FA8A901C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247650" cy="209550"/>
    <xdr:pic>
      <xdr:nvPicPr>
        <xdr:cNvPr id="45" name="Imagen 44" descr="http://iinei.inei.gob.pe/microdatos/images/ftv2blank.gif">
          <a:extLst>
            <a:ext uri="{FF2B5EF4-FFF2-40B4-BE49-F238E27FC236}">
              <a16:creationId xmlns:a16="http://schemas.microsoft.com/office/drawing/2014/main" id="{D35FDFA0-8624-40F2-8155-F530F795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14300" cy="209550"/>
    <xdr:pic>
      <xdr:nvPicPr>
        <xdr:cNvPr id="46" name="Imagen 45" descr="http://iinei.inei.gob.pe/microdatos/images/ftv2blank.gif">
          <a:extLst>
            <a:ext uri="{FF2B5EF4-FFF2-40B4-BE49-F238E27FC236}">
              <a16:creationId xmlns:a16="http://schemas.microsoft.com/office/drawing/2014/main" id="{3ACC3413-1107-4DBB-A88A-A09B7B4F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247650" cy="209550"/>
    <xdr:pic>
      <xdr:nvPicPr>
        <xdr:cNvPr id="47" name="Imagen 46" descr="http://iinei.inei.gob.pe/microdatos/images/ftv2blank.gif">
          <a:extLst>
            <a:ext uri="{FF2B5EF4-FFF2-40B4-BE49-F238E27FC236}">
              <a16:creationId xmlns:a16="http://schemas.microsoft.com/office/drawing/2014/main" id="{7637EA20-E3E5-4140-B1EC-62EEF48D4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114300" cy="209550"/>
    <xdr:pic>
      <xdr:nvPicPr>
        <xdr:cNvPr id="48" name="Imagen 47" descr="http://iinei.inei.gob.pe/microdatos/images/ftv2blank.gif">
          <a:extLst>
            <a:ext uri="{FF2B5EF4-FFF2-40B4-BE49-F238E27FC236}">
              <a16:creationId xmlns:a16="http://schemas.microsoft.com/office/drawing/2014/main" id="{6A308DF1-DC4F-40BF-A075-389FFBF4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247650" cy="209550"/>
    <xdr:pic>
      <xdr:nvPicPr>
        <xdr:cNvPr id="49" name="Imagen 48" descr="http://iinei.inei.gob.pe/microdatos/images/ftv2blank.gif">
          <a:extLst>
            <a:ext uri="{FF2B5EF4-FFF2-40B4-BE49-F238E27FC236}">
              <a16:creationId xmlns:a16="http://schemas.microsoft.com/office/drawing/2014/main" id="{3D59660B-8368-436D-B26F-66E30344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114300" cy="209550"/>
    <xdr:pic>
      <xdr:nvPicPr>
        <xdr:cNvPr id="50" name="Imagen 49" descr="http://iinei.inei.gob.pe/microdatos/images/ftv2blank.gif">
          <a:extLst>
            <a:ext uri="{FF2B5EF4-FFF2-40B4-BE49-F238E27FC236}">
              <a16:creationId xmlns:a16="http://schemas.microsoft.com/office/drawing/2014/main" id="{4224EFB7-C037-491A-ACB7-B656A4B76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247650" cy="209550"/>
    <xdr:pic>
      <xdr:nvPicPr>
        <xdr:cNvPr id="51" name="Imagen 50" descr="http://iinei.inei.gob.pe/microdatos/images/ftv2blank.gif">
          <a:extLst>
            <a:ext uri="{FF2B5EF4-FFF2-40B4-BE49-F238E27FC236}">
              <a16:creationId xmlns:a16="http://schemas.microsoft.com/office/drawing/2014/main" id="{88D5581D-626A-4FB9-8526-82612406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74320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114300" cy="209550"/>
    <xdr:pic>
      <xdr:nvPicPr>
        <xdr:cNvPr id="52" name="Imagen 51" descr="http://iinei.inei.gob.pe/microdatos/images/ftv2blank.gif">
          <a:extLst>
            <a:ext uri="{FF2B5EF4-FFF2-40B4-BE49-F238E27FC236}">
              <a16:creationId xmlns:a16="http://schemas.microsoft.com/office/drawing/2014/main" id="{85AFDCE4-4FC2-4EFF-B217-BF68FB54A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247650" cy="209550"/>
    <xdr:pic>
      <xdr:nvPicPr>
        <xdr:cNvPr id="53" name="Imagen 52" descr="http://iinei.inei.gob.pe/microdatos/images/ftv2blank.gif">
          <a:extLst>
            <a:ext uri="{FF2B5EF4-FFF2-40B4-BE49-F238E27FC236}">
              <a16:creationId xmlns:a16="http://schemas.microsoft.com/office/drawing/2014/main" id="{C13A815C-6D40-4193-89CF-09B455B99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114300" cy="209550"/>
    <xdr:pic>
      <xdr:nvPicPr>
        <xdr:cNvPr id="54" name="Imagen 53" descr="http://iinei.inei.gob.pe/microdatos/images/ftv2blank.gif">
          <a:extLst>
            <a:ext uri="{FF2B5EF4-FFF2-40B4-BE49-F238E27FC236}">
              <a16:creationId xmlns:a16="http://schemas.microsoft.com/office/drawing/2014/main" id="{D55B76B5-9BB4-4E27-BF9C-D06B635A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247650" cy="209550"/>
    <xdr:pic>
      <xdr:nvPicPr>
        <xdr:cNvPr id="55" name="Imagen 54" descr="http://iinei.inei.gob.pe/microdatos/images/ftv2blank.gif">
          <a:extLst>
            <a:ext uri="{FF2B5EF4-FFF2-40B4-BE49-F238E27FC236}">
              <a16:creationId xmlns:a16="http://schemas.microsoft.com/office/drawing/2014/main" id="{6831776B-EE7A-48BD-B835-A84A6AE3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114300" cy="209550"/>
    <xdr:pic>
      <xdr:nvPicPr>
        <xdr:cNvPr id="56" name="Imagen 55" descr="http://iinei.inei.gob.pe/microdatos/images/ftv2blank.gif">
          <a:extLst>
            <a:ext uri="{FF2B5EF4-FFF2-40B4-BE49-F238E27FC236}">
              <a16:creationId xmlns:a16="http://schemas.microsoft.com/office/drawing/2014/main" id="{2D157AE8-5583-4F06-84D1-7A0E5676F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247650" cy="209550"/>
    <xdr:pic>
      <xdr:nvPicPr>
        <xdr:cNvPr id="57" name="Imagen 56" descr="http://iinei.inei.gob.pe/microdatos/images/ftv2blank.gif">
          <a:extLst>
            <a:ext uri="{FF2B5EF4-FFF2-40B4-BE49-F238E27FC236}">
              <a16:creationId xmlns:a16="http://schemas.microsoft.com/office/drawing/2014/main" id="{87CEED8D-87F3-4EC8-8625-38CC5EFE5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114300" cy="209550"/>
    <xdr:pic>
      <xdr:nvPicPr>
        <xdr:cNvPr id="58" name="Imagen 57" descr="http://iinei.inei.gob.pe/microdatos/images/ftv2blank.gif">
          <a:extLst>
            <a:ext uri="{FF2B5EF4-FFF2-40B4-BE49-F238E27FC236}">
              <a16:creationId xmlns:a16="http://schemas.microsoft.com/office/drawing/2014/main" id="{198F1028-06C1-4606-995F-7277E18DC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247650" cy="209550"/>
    <xdr:pic>
      <xdr:nvPicPr>
        <xdr:cNvPr id="59" name="Imagen 58" descr="http://iinei.inei.gob.pe/microdatos/images/ftv2blank.gif">
          <a:extLst>
            <a:ext uri="{FF2B5EF4-FFF2-40B4-BE49-F238E27FC236}">
              <a16:creationId xmlns:a16="http://schemas.microsoft.com/office/drawing/2014/main" id="{2B9BD868-CD2E-46B4-B387-0D9BA34D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114300" cy="209550"/>
    <xdr:pic>
      <xdr:nvPicPr>
        <xdr:cNvPr id="60" name="Imagen 59" descr="http://iinei.inei.gob.pe/microdatos/images/ftv2blank.gif">
          <a:extLst>
            <a:ext uri="{FF2B5EF4-FFF2-40B4-BE49-F238E27FC236}">
              <a16:creationId xmlns:a16="http://schemas.microsoft.com/office/drawing/2014/main" id="{307AE501-1864-44A3-8466-7A37CB40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247650" cy="209550"/>
    <xdr:pic>
      <xdr:nvPicPr>
        <xdr:cNvPr id="61" name="Imagen 60" descr="http://iinei.inei.gob.pe/microdatos/images/ftv2blank.gif">
          <a:extLst>
            <a:ext uri="{FF2B5EF4-FFF2-40B4-BE49-F238E27FC236}">
              <a16:creationId xmlns:a16="http://schemas.microsoft.com/office/drawing/2014/main" id="{7F5E5F58-1A55-4DAF-B028-75041A9B4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114300" cy="209550"/>
    <xdr:pic>
      <xdr:nvPicPr>
        <xdr:cNvPr id="62" name="Imagen 61" descr="http://iinei.inei.gob.pe/microdatos/images/ftv2blank.gif">
          <a:extLst>
            <a:ext uri="{FF2B5EF4-FFF2-40B4-BE49-F238E27FC236}">
              <a16:creationId xmlns:a16="http://schemas.microsoft.com/office/drawing/2014/main" id="{1B2E82C4-B30C-4E83-8D2C-4F776505A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247650" cy="209550"/>
    <xdr:pic>
      <xdr:nvPicPr>
        <xdr:cNvPr id="63" name="Imagen 62" descr="http://iinei.inei.gob.pe/microdatos/images/ftv2blank.gif">
          <a:extLst>
            <a:ext uri="{FF2B5EF4-FFF2-40B4-BE49-F238E27FC236}">
              <a16:creationId xmlns:a16="http://schemas.microsoft.com/office/drawing/2014/main" id="{6430D44F-01E9-4D8B-91F3-93C8C2770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74320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114300" cy="209550"/>
    <xdr:pic>
      <xdr:nvPicPr>
        <xdr:cNvPr id="64" name="Imagen 63" descr="http://iinei.inei.gob.pe/microdatos/images/ftv2blank.gif">
          <a:extLst>
            <a:ext uri="{FF2B5EF4-FFF2-40B4-BE49-F238E27FC236}">
              <a16:creationId xmlns:a16="http://schemas.microsoft.com/office/drawing/2014/main" id="{4CDCA00B-D4B3-4246-BE69-01974685A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247650" cy="209550"/>
    <xdr:pic>
      <xdr:nvPicPr>
        <xdr:cNvPr id="65" name="Imagen 64" descr="http://iinei.inei.gob.pe/microdatos/images/ftv2blank.gif">
          <a:extLst>
            <a:ext uri="{FF2B5EF4-FFF2-40B4-BE49-F238E27FC236}">
              <a16:creationId xmlns:a16="http://schemas.microsoft.com/office/drawing/2014/main" id="{9662CA37-4F5C-49DA-B698-31E15918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114300" cy="209550"/>
    <xdr:pic>
      <xdr:nvPicPr>
        <xdr:cNvPr id="66" name="Imagen 65" descr="http://iinei.inei.gob.pe/microdatos/images/ftv2blank.gif">
          <a:extLst>
            <a:ext uri="{FF2B5EF4-FFF2-40B4-BE49-F238E27FC236}">
              <a16:creationId xmlns:a16="http://schemas.microsoft.com/office/drawing/2014/main" id="{C3C7896B-9A4C-4D2C-B8E9-09CDCE22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247650" cy="209550"/>
    <xdr:pic>
      <xdr:nvPicPr>
        <xdr:cNvPr id="67" name="Imagen 66" descr="http://iinei.inei.gob.pe/microdatos/images/ftv2blank.gif">
          <a:extLst>
            <a:ext uri="{FF2B5EF4-FFF2-40B4-BE49-F238E27FC236}">
              <a16:creationId xmlns:a16="http://schemas.microsoft.com/office/drawing/2014/main" id="{A4A9EE58-9126-40E5-947D-B09153A7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114300" cy="209550"/>
    <xdr:pic>
      <xdr:nvPicPr>
        <xdr:cNvPr id="68" name="Imagen 67" descr="http://iinei.inei.gob.pe/microdatos/images/ftv2blank.gif">
          <a:extLst>
            <a:ext uri="{FF2B5EF4-FFF2-40B4-BE49-F238E27FC236}">
              <a16:creationId xmlns:a16="http://schemas.microsoft.com/office/drawing/2014/main" id="{8494DDA3-F662-4C8A-8706-5392EB59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247650" cy="209550"/>
    <xdr:pic>
      <xdr:nvPicPr>
        <xdr:cNvPr id="69" name="Imagen 68" descr="http://iinei.inei.gob.pe/microdatos/images/ftv2blank.gif">
          <a:extLst>
            <a:ext uri="{FF2B5EF4-FFF2-40B4-BE49-F238E27FC236}">
              <a16:creationId xmlns:a16="http://schemas.microsoft.com/office/drawing/2014/main" id="{61A1C024-9BB5-4260-97F9-DCA59C9F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114300" cy="209550"/>
    <xdr:pic>
      <xdr:nvPicPr>
        <xdr:cNvPr id="70" name="Imagen 69" descr="http://iinei.inei.gob.pe/microdatos/images/ftv2blank.gif">
          <a:extLst>
            <a:ext uri="{FF2B5EF4-FFF2-40B4-BE49-F238E27FC236}">
              <a16:creationId xmlns:a16="http://schemas.microsoft.com/office/drawing/2014/main" id="{2BF9E696-921F-4094-BD81-76855E486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247650" cy="209550"/>
    <xdr:pic>
      <xdr:nvPicPr>
        <xdr:cNvPr id="71" name="Imagen 70" descr="http://iinei.inei.gob.pe/microdatos/images/ftv2blank.gif">
          <a:extLst>
            <a:ext uri="{FF2B5EF4-FFF2-40B4-BE49-F238E27FC236}">
              <a16:creationId xmlns:a16="http://schemas.microsoft.com/office/drawing/2014/main" id="{F6F6EDC6-61B2-4FA4-9F78-2A94616A5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114300" cy="209550"/>
    <xdr:pic>
      <xdr:nvPicPr>
        <xdr:cNvPr id="72" name="Imagen 71" descr="http://iinei.inei.gob.pe/microdatos/images/ftv2blank.gif">
          <a:extLst>
            <a:ext uri="{FF2B5EF4-FFF2-40B4-BE49-F238E27FC236}">
              <a16:creationId xmlns:a16="http://schemas.microsoft.com/office/drawing/2014/main" id="{6EE6D8A0-4B51-466F-B8F7-161DDAE28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247650" cy="209550"/>
    <xdr:pic>
      <xdr:nvPicPr>
        <xdr:cNvPr id="73" name="Imagen 72" descr="http://iinei.inei.gob.pe/microdatos/images/ftv2blank.gif">
          <a:extLst>
            <a:ext uri="{FF2B5EF4-FFF2-40B4-BE49-F238E27FC236}">
              <a16:creationId xmlns:a16="http://schemas.microsoft.com/office/drawing/2014/main" id="{3CF67E8D-29D0-4523-86F5-2980B8A02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114300" cy="209550"/>
    <xdr:pic>
      <xdr:nvPicPr>
        <xdr:cNvPr id="74" name="Imagen 73" descr="http://iinei.inei.gob.pe/microdatos/images/ftv2blank.gif">
          <a:extLst>
            <a:ext uri="{FF2B5EF4-FFF2-40B4-BE49-F238E27FC236}">
              <a16:creationId xmlns:a16="http://schemas.microsoft.com/office/drawing/2014/main" id="{379971BB-3EF2-4757-BB01-CCD6213EC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247650" cy="209550"/>
    <xdr:pic>
      <xdr:nvPicPr>
        <xdr:cNvPr id="75" name="Imagen 74" descr="http://iinei.inei.gob.pe/microdatos/images/ftv2blank.gif">
          <a:extLst>
            <a:ext uri="{FF2B5EF4-FFF2-40B4-BE49-F238E27FC236}">
              <a16:creationId xmlns:a16="http://schemas.microsoft.com/office/drawing/2014/main" id="{A74C7498-D286-403A-9630-9C9EA4666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74320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114300" cy="209550"/>
    <xdr:pic>
      <xdr:nvPicPr>
        <xdr:cNvPr id="76" name="Imagen 75" descr="http://iinei.inei.gob.pe/microdatos/images/ftv2blank.gif">
          <a:extLst>
            <a:ext uri="{FF2B5EF4-FFF2-40B4-BE49-F238E27FC236}">
              <a16:creationId xmlns:a16="http://schemas.microsoft.com/office/drawing/2014/main" id="{362F3A01-E0FA-4C23-9A48-F30CD3EB7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247650" cy="209550"/>
    <xdr:pic>
      <xdr:nvPicPr>
        <xdr:cNvPr id="77" name="Imagen 76" descr="http://iinei.inei.gob.pe/microdatos/images/ftv2blank.gif">
          <a:extLst>
            <a:ext uri="{FF2B5EF4-FFF2-40B4-BE49-F238E27FC236}">
              <a16:creationId xmlns:a16="http://schemas.microsoft.com/office/drawing/2014/main" id="{C5C63128-1562-4EA5-AE0C-FA1410D6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114300" cy="209550"/>
    <xdr:pic>
      <xdr:nvPicPr>
        <xdr:cNvPr id="78" name="Imagen 77" descr="http://iinei.inei.gob.pe/microdatos/images/ftv2blank.gif">
          <a:extLst>
            <a:ext uri="{FF2B5EF4-FFF2-40B4-BE49-F238E27FC236}">
              <a16:creationId xmlns:a16="http://schemas.microsoft.com/office/drawing/2014/main" id="{BC149AAD-6AFC-4DDC-8A99-D1952CD3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247650" cy="209550"/>
    <xdr:pic>
      <xdr:nvPicPr>
        <xdr:cNvPr id="79" name="Imagen 78" descr="http://iinei.inei.gob.pe/microdatos/images/ftv2blank.gif">
          <a:extLst>
            <a:ext uri="{FF2B5EF4-FFF2-40B4-BE49-F238E27FC236}">
              <a16:creationId xmlns:a16="http://schemas.microsoft.com/office/drawing/2014/main" id="{78A6FBCF-8E3F-466F-A64D-22BDFD54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114300" cy="209550"/>
    <xdr:pic>
      <xdr:nvPicPr>
        <xdr:cNvPr id="80" name="Imagen 79" descr="http://iinei.inei.gob.pe/microdatos/images/ftv2blank.gif">
          <a:extLst>
            <a:ext uri="{FF2B5EF4-FFF2-40B4-BE49-F238E27FC236}">
              <a16:creationId xmlns:a16="http://schemas.microsoft.com/office/drawing/2014/main" id="{B78F16F4-ADAD-4B67-A4CC-49E5D0AFD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247650" cy="209550"/>
    <xdr:pic>
      <xdr:nvPicPr>
        <xdr:cNvPr id="81" name="Imagen 80" descr="http://iinei.inei.gob.pe/microdatos/images/ftv2blank.gif">
          <a:extLst>
            <a:ext uri="{FF2B5EF4-FFF2-40B4-BE49-F238E27FC236}">
              <a16:creationId xmlns:a16="http://schemas.microsoft.com/office/drawing/2014/main" id="{DD7D5FA1-443D-42A8-9543-B86D2E98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114300" cy="209550"/>
    <xdr:pic>
      <xdr:nvPicPr>
        <xdr:cNvPr id="82" name="Imagen 81" descr="http://iinei.inei.gob.pe/microdatos/images/ftv2blank.gif">
          <a:extLst>
            <a:ext uri="{FF2B5EF4-FFF2-40B4-BE49-F238E27FC236}">
              <a16:creationId xmlns:a16="http://schemas.microsoft.com/office/drawing/2014/main" id="{DA4E569D-263F-430C-9CC0-832154CA0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247650" cy="209550"/>
    <xdr:pic>
      <xdr:nvPicPr>
        <xdr:cNvPr id="83" name="Imagen 82" descr="http://iinei.inei.gob.pe/microdatos/images/ftv2blank.gif">
          <a:extLst>
            <a:ext uri="{FF2B5EF4-FFF2-40B4-BE49-F238E27FC236}">
              <a16:creationId xmlns:a16="http://schemas.microsoft.com/office/drawing/2014/main" id="{262F7465-F364-4667-B23E-DB59F8E4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114300" cy="209550"/>
    <xdr:pic>
      <xdr:nvPicPr>
        <xdr:cNvPr id="84" name="Imagen 83" descr="http://iinei.inei.gob.pe/microdatos/images/ftv2blank.gif">
          <a:extLst>
            <a:ext uri="{FF2B5EF4-FFF2-40B4-BE49-F238E27FC236}">
              <a16:creationId xmlns:a16="http://schemas.microsoft.com/office/drawing/2014/main" id="{80217472-A5B4-4911-8037-25C909F1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247650" cy="209550"/>
    <xdr:pic>
      <xdr:nvPicPr>
        <xdr:cNvPr id="85" name="Imagen 84" descr="http://iinei.inei.gob.pe/microdatos/images/ftv2blank.gif">
          <a:extLst>
            <a:ext uri="{FF2B5EF4-FFF2-40B4-BE49-F238E27FC236}">
              <a16:creationId xmlns:a16="http://schemas.microsoft.com/office/drawing/2014/main" id="{5D8D8CA5-74F8-4F0A-8E04-EF48825C4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14</xdr:row>
      <xdr:rowOff>0</xdr:rowOff>
    </xdr:from>
    <xdr:ext cx="114300" cy="209550"/>
    <xdr:pic>
      <xdr:nvPicPr>
        <xdr:cNvPr id="86" name="Imagen 85" descr="http://iinei.inei.gob.pe/microdatos/images/ftv2blank.gif">
          <a:extLst>
            <a:ext uri="{FF2B5EF4-FFF2-40B4-BE49-F238E27FC236}">
              <a16:creationId xmlns:a16="http://schemas.microsoft.com/office/drawing/2014/main" id="{F00E3DCC-034E-44F8-B75D-2A6638CB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5603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15</xdr:row>
      <xdr:rowOff>0</xdr:rowOff>
    </xdr:from>
    <xdr:ext cx="114300" cy="209550"/>
    <xdr:pic>
      <xdr:nvPicPr>
        <xdr:cNvPr id="87" name="Imagen 86" descr="http://iinei.inei.gob.pe/microdatos/images/ftv2blank.gif">
          <a:extLst>
            <a:ext uri="{FF2B5EF4-FFF2-40B4-BE49-F238E27FC236}">
              <a16:creationId xmlns:a16="http://schemas.microsoft.com/office/drawing/2014/main" id="{04B8B653-628F-4190-A5E7-F3EC42DD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74320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247650" cy="209550"/>
    <xdr:pic>
      <xdr:nvPicPr>
        <xdr:cNvPr id="88" name="Imagen 87" descr="http://iinei.inei.gob.pe/microdatos/images/ftv2blank.gif">
          <a:extLst>
            <a:ext uri="{FF2B5EF4-FFF2-40B4-BE49-F238E27FC236}">
              <a16:creationId xmlns:a16="http://schemas.microsoft.com/office/drawing/2014/main" id="{C4B6AD97-534B-4A6E-8703-81E3DB838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16</xdr:row>
      <xdr:rowOff>0</xdr:rowOff>
    </xdr:from>
    <xdr:ext cx="114300" cy="209550"/>
    <xdr:pic>
      <xdr:nvPicPr>
        <xdr:cNvPr id="89" name="Imagen 88" descr="http://iinei.inei.gob.pe/microdatos/images/ftv2blank.gif">
          <a:extLst>
            <a:ext uri="{FF2B5EF4-FFF2-40B4-BE49-F238E27FC236}">
              <a16:creationId xmlns:a16="http://schemas.microsoft.com/office/drawing/2014/main" id="{F4842605-AEC3-41D2-8699-18A04B9D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92608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247650" cy="209550"/>
    <xdr:pic>
      <xdr:nvPicPr>
        <xdr:cNvPr id="90" name="Imagen 89" descr="http://iinei.inei.gob.pe/microdatos/images/ftv2blank.gif">
          <a:extLst>
            <a:ext uri="{FF2B5EF4-FFF2-40B4-BE49-F238E27FC236}">
              <a16:creationId xmlns:a16="http://schemas.microsoft.com/office/drawing/2014/main" id="{2FBA4FC2-0EFC-4735-A10C-954BE488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17</xdr:row>
      <xdr:rowOff>0</xdr:rowOff>
    </xdr:from>
    <xdr:ext cx="114300" cy="209550"/>
    <xdr:pic>
      <xdr:nvPicPr>
        <xdr:cNvPr id="91" name="Imagen 90" descr="http://iinei.inei.gob.pe/microdatos/images/ftv2blank.gif">
          <a:extLst>
            <a:ext uri="{FF2B5EF4-FFF2-40B4-BE49-F238E27FC236}">
              <a16:creationId xmlns:a16="http://schemas.microsoft.com/office/drawing/2014/main" id="{23874F73-5C41-45F4-9A12-AB19D315E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10896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247650" cy="209550"/>
    <xdr:pic>
      <xdr:nvPicPr>
        <xdr:cNvPr id="92" name="Imagen 91" descr="http://iinei.inei.gob.pe/microdatos/images/ftv2blank.gif">
          <a:extLst>
            <a:ext uri="{FF2B5EF4-FFF2-40B4-BE49-F238E27FC236}">
              <a16:creationId xmlns:a16="http://schemas.microsoft.com/office/drawing/2014/main" id="{FDFE9C00-65DE-49D5-8ED6-5D3803732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18</xdr:row>
      <xdr:rowOff>0</xdr:rowOff>
    </xdr:from>
    <xdr:ext cx="114300" cy="209550"/>
    <xdr:pic>
      <xdr:nvPicPr>
        <xdr:cNvPr id="93" name="Imagen 92" descr="http://iinei.inei.gob.pe/microdatos/images/ftv2blank.gif">
          <a:extLst>
            <a:ext uri="{FF2B5EF4-FFF2-40B4-BE49-F238E27FC236}">
              <a16:creationId xmlns:a16="http://schemas.microsoft.com/office/drawing/2014/main" id="{8C6F55EB-19F9-4AF2-BE84-878A8971A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29184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247650" cy="209550"/>
    <xdr:pic>
      <xdr:nvPicPr>
        <xdr:cNvPr id="94" name="Imagen 93" descr="http://iinei.inei.gob.pe/microdatos/images/ftv2blank.gif">
          <a:extLst>
            <a:ext uri="{FF2B5EF4-FFF2-40B4-BE49-F238E27FC236}">
              <a16:creationId xmlns:a16="http://schemas.microsoft.com/office/drawing/2014/main" id="{21C8E338-0A92-44D1-90E9-901163C64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247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19</xdr:row>
      <xdr:rowOff>0</xdr:rowOff>
    </xdr:from>
    <xdr:ext cx="114300" cy="209550"/>
    <xdr:pic>
      <xdr:nvPicPr>
        <xdr:cNvPr id="95" name="Imagen 94" descr="http://iinei.inei.gob.pe/microdatos/images/ftv2blank.gif">
          <a:extLst>
            <a:ext uri="{FF2B5EF4-FFF2-40B4-BE49-F238E27FC236}">
              <a16:creationId xmlns:a16="http://schemas.microsoft.com/office/drawing/2014/main" id="{5AAB11FF-9FE1-4C1D-B108-93B20BC3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3474720"/>
          <a:ext cx="114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yectos.inei.gob.pe/MIRI/CENSOS/Preliminar_Censo%202007/Libro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tema%202\WINDOWS\TEMP\cuadrosJun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2%20AAAAAA%20AASUYANA-7.9.2017\2-7.9.17\1-aaPara%20Trasladar\3\MIRI\CENSOS\Preliminar_Censo%202007\Libro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ANUARIO_ESTAD_AMB2010\MIRI\CENSOS\Preliminar_Censo%202007\Libro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NotaTribactual\NotaTrib\Notaexcel\Vinculada\2002\0902\VIN_NV_INGCORR02propinici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NotaTribactual\NotaTrib\Notaexcel\Vinculada\2002\0902\VIN_NV_INGCORR02propinici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NotaTribactual\NotaTrib\Notaexcel\Vinculada\2002\0902\VIN_NV_INGCORR02propinici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atrices\Llegados\Hidrandina\BALANCE-SERVICIOS-ELECTRICOS-1999-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MIRI\CENSOS\Preliminar_Censo%202007\Libro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MIRI\CENSOS\Preliminar_Censo%202007\Libro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Pedidos%20abruptos\caval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Documents%20and%20Settings/APOLO/Configuraci&#243;n%20local/Archivos%20temporales%20de%20Internet/OLKC/PRODUCC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ANUARIO%202002\ANUARIO_TRADUCCION\ANUARIO_2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datos\MINERIA\Mineria%201990-20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Estudios%20econ&#243;micos/SAE/SEP/construcci&#243;n/1999/asfalto-barr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lly\Boletin\Mensual\Cuadros\Bol_089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ramos\AppData\Local\Temp\1-aaPara%20Trasladar\3\MIRI\CENSOS\Preliminar_Censo%202007\Libro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DOCUME~1\edavila\CONFIG~1\Temp\Piramide%20Pob%20%20Censal%20(2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DOCUME~1\edavila\CONFIG~1\Temp\Piramide%20Pob%20%20Censal%2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8\Bol_1298%20Complet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9\Bol_01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ss\data\FLORIAN\EPS2000\LORET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Mis%20documentos\MISDOC\BASE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Mis%20documentos\MISDOC\BASE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Mis%20documentos\MISDOC\BASE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fa\share_e\EPS1999\SEDALIB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998.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reccion\D\ESTADISTICAS%20REGIONALES\ESTADISTICAS%20REGIONALES\OTED-%20MODELO%20Prod-Ayacucho%202001-20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1198%20Completo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fp.gob.pe/estadistica/financiera/2002/Febrero/wBol_02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edavila\CONFIG~1\Temp\Piramide%20Pob%20%20Censal%20(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julio\AVANCE%202004\AVANCE%20FEB%202004\Cap.-II\Lima-Callao\WINDOWS\TEMP\Bol_0998.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grabar%20Cd\CUADROS\RECIBIDODE\INEI-2003-FORMATOS%20INREN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letin%20Semanal\sem32_00\Boletin%20Mensual\Bol_052000%20prelimina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4"/>
      <sheetName val="Cdr5"/>
      <sheetName val="Cdr6"/>
      <sheetName val="Cdr7"/>
      <sheetName val="Cdr8"/>
      <sheetName val="Cdr9"/>
      <sheetName val="Cdr10"/>
      <sheetName val="Cdr 11"/>
      <sheetName val="Cdr 12"/>
      <sheetName val="Cdr 13"/>
      <sheetName val="Cdr 14"/>
      <sheetName val="Cdr 15"/>
      <sheetName val="Cdr 16"/>
      <sheetName val="Cdr 17"/>
      <sheetName val="Cdr 18"/>
      <sheetName val="Cdr 19"/>
      <sheetName val="Cdr 20"/>
      <sheetName val="Cdr 21"/>
      <sheetName val="Cdr 22"/>
      <sheetName val="Cdr_11"/>
      <sheetName val="Cdr_12"/>
      <sheetName val="Cdr_13"/>
      <sheetName val="Cdr_14"/>
      <sheetName val="Cdr_15"/>
      <sheetName val="Cdr_16"/>
      <sheetName val="Cdr_17"/>
      <sheetName val="Cdr_18"/>
      <sheetName val="Cdr_19"/>
      <sheetName val="Cdr_20"/>
      <sheetName val="Cdr_21"/>
      <sheetName val="Cdr_22"/>
      <sheetName val="guia_de_uso"/>
      <sheetName val="TabCii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  <sheetName val="Cdrs_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>
        <row r="1">
          <cell r="A1" t="str">
            <v>Cuadro N° 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_1-2"/>
      <sheetName val="Cdrs 1-2"/>
    </sheetNames>
    <sheetDataSet>
      <sheetData sheetId="0">
        <row r="1">
          <cell r="A1" t="str">
            <v>Cuadro N° 3</v>
          </cell>
        </row>
      </sheetData>
      <sheetData sheetId="1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LANCE AJUST"/>
      <sheetName val="ANTERIOR AJUSTADO"/>
      <sheetName val="ASP. RELEV"/>
      <sheetName val="TEMBLADERA"/>
      <sheetName val="CHILETE"/>
      <sheetName val="SAN PABLO"/>
      <sheetName val="SAN MIGUEL"/>
      <sheetName val="CONTUMAZA"/>
      <sheetName val="CASCAS"/>
      <sheetName val="CAJAMARCA"/>
      <sheetName val="CAJABAMBA"/>
      <sheetName val="SAN MARCOS"/>
      <sheetName val="CELENDIN"/>
      <sheetName val="CONSOLIDADO"/>
      <sheetName val="SISTEMA ELECTRICO Nº 2"/>
      <sheetName val="SISTEMA ELECTRICO Nº11"/>
      <sheetName val="SISTEMA ELECTRICO Nº12"/>
      <sheetName val="CONSOLIDA SISTEMAS ELECTRICOS"/>
      <sheetName val="GPER"/>
      <sheetName val="D10 - Sist. Cajamarca Sect. 2"/>
      <sheetName val="U1"/>
      <sheetName val="PREVIOS"/>
      <sheetName val="informacomercial"/>
      <sheetName val="indicesgestión"/>
      <sheetName val="NOTAS"/>
      <sheetName val="PREVIOS REALES"/>
      <sheetName val="LEEME"/>
      <sheetName val="BALANCE_AJUST"/>
      <sheetName val="ANTERIOR_AJUSTADO"/>
      <sheetName val="ASP__RELEV"/>
      <sheetName val="SAN_PABLO"/>
      <sheetName val="SAN_MIGUEL"/>
      <sheetName val="SAN_MARCOS"/>
      <sheetName val="SISTEMA_ELECTRICO_Nº_2"/>
      <sheetName val="SISTEMA_ELECTRICO_Nº11"/>
      <sheetName val="SISTEMA_ELECTRICO_Nº12"/>
      <sheetName val="CONSOLIDA_SISTEMAS_ELECTRICOS"/>
      <sheetName val="D10_-_Sist__Cajamarca_Sect__2"/>
      <sheetName val="PREVIOS_REA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O_METALICA"/>
      <sheetName val="FINO_METALURG"/>
      <sheetName val="GRAF_PRODUCTOS"/>
      <sheetName val="PROD_AU"/>
      <sheetName val="PROD_CU"/>
      <sheetName val="PROD_ZN"/>
      <sheetName val="PROD_PB"/>
      <sheetName val="PROD_AG"/>
      <sheetName val="HIERRO"/>
      <sheetName val="ESTAÑO"/>
      <sheetName val="NO_METALICA"/>
      <sheetName val="COTIZ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_ECON"/>
      <sheetName val="PANOROMA_ECONO."/>
      <sheetName val="PBI_%"/>
      <sheetName val="COSTOS"/>
      <sheetName val="FINO_METALICA"/>
      <sheetName val="FINO_METALURG"/>
      <sheetName val="PROD_METALUR"/>
      <sheetName val="UBICACION"/>
      <sheetName val="NO_METALICA"/>
      <sheetName val="RESERVAS"/>
      <sheetName val="CONSUMO"/>
      <sheetName val="VALOR_MAT"/>
      <sheetName val=" EXPLOSIVOS"/>
      <sheetName val="EXPORT."/>
      <sheetName val="EXPORTAC_FOB"/>
      <sheetName val="COTIZAC"/>
      <sheetName val="PROYECTOS"/>
      <sheetName val="PROD_AU"/>
      <sheetName val="EST_AU"/>
      <sheetName val="DPTO_AU"/>
      <sheetName val="MUND_AU"/>
      <sheetName val="PROD_CU"/>
      <sheetName val="EST_CU"/>
      <sheetName val="DPTO_CU"/>
      <sheetName val="MUND_CU"/>
      <sheetName val="PROD_ZN"/>
      <sheetName val="EST_ZN"/>
      <sheetName val="DPTO_ZN"/>
      <sheetName val="MUND_ZN"/>
      <sheetName val="PROD_PB"/>
      <sheetName val="EST_PB"/>
      <sheetName val="DPTO_PB"/>
      <sheetName val="MUND_PB"/>
      <sheetName val="PROD_AG"/>
      <sheetName val="EST_AG"/>
      <sheetName val="DPTO_AG"/>
      <sheetName val="MUND_AG"/>
      <sheetName val="HIERRO"/>
      <sheetName val="ESTAÑO"/>
      <sheetName val="DERECHOS MINEROS"/>
      <sheetName val="INDIC_LAB"/>
      <sheetName val="GRAF_ACCID"/>
      <sheetName val="DIRECTORIO_CONTRATISTAS_2001"/>
      <sheetName val="DIRECTORIO_CONTRATISTAS_2002"/>
      <sheetName val="DIRECTORIO_PERITOS_MINEROS"/>
      <sheetName val="DIRECTORIO_COM_2002"/>
      <sheetName val="DIRECTORIO_AUDITORIA_E_INSPECT"/>
      <sheetName val="PROYECTO"/>
      <sheetName val="OPERATIVA"/>
      <sheetName val="PARALIZ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CONSUMO LOCAL DE PRODUCTOS MINEROS 1992 - 2001 /  LOCAL CONSUPTION OF  MINING PRODUCTS 1992 - 2001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PRODUCCION MINERA DE COBRE A NIVEL CONCENTRADOS, SEGUN ESTRATOS 1992 - 2001 / COPPER MINING PRODUCTION BY CONCENTRATED ACCORDING TO LAYERS 1992 - 2001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PRODUCCION MINERA DE PLOMO A NIVEL CONCENTRADOS, SEGUN ESTRATOS  1992  -  2001 / LEAD MINING PRODUCTION BY CONCENTRATED ACCORDING TO LAYERS 1992 - 2001</v>
          </cell>
        </row>
        <row r="18">
          <cell r="B18">
            <v>118103</v>
          </cell>
          <cell r="C18">
            <v>118131</v>
          </cell>
          <cell r="D18">
            <v>133258</v>
          </cell>
        </row>
        <row r="19">
          <cell r="B19">
            <v>16743</v>
          </cell>
          <cell r="C19">
            <v>18324</v>
          </cell>
          <cell r="D19">
            <v>12203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re"/>
      <sheetName val="zinc"/>
      <sheetName val="plomo"/>
      <sheetName val="oro"/>
      <sheetName val="plata"/>
      <sheetName val="hierro"/>
    </sheetNames>
    <sheetDataSet>
      <sheetData sheetId="0"/>
      <sheetData sheetId="1">
        <row r="7">
          <cell r="J7">
            <v>634</v>
          </cell>
        </row>
      </sheetData>
      <sheetData sheetId="2">
        <row r="7">
          <cell r="J7">
            <v>634</v>
          </cell>
        </row>
        <row r="8">
          <cell r="J8">
            <v>2857</v>
          </cell>
        </row>
        <row r="9">
          <cell r="J9">
            <v>3577</v>
          </cell>
        </row>
        <row r="10">
          <cell r="J10">
            <v>3688</v>
          </cell>
        </row>
        <row r="11">
          <cell r="J11" t="str">
            <v xml:space="preserve">- </v>
          </cell>
        </row>
        <row r="12">
          <cell r="J12">
            <v>7674</v>
          </cell>
        </row>
        <row r="13">
          <cell r="J13">
            <v>21785</v>
          </cell>
        </row>
        <row r="14">
          <cell r="J14" t="str">
            <v xml:space="preserve">- </v>
          </cell>
        </row>
        <row r="15">
          <cell r="J15">
            <v>29994</v>
          </cell>
        </row>
        <row r="16">
          <cell r="J16">
            <v>7502</v>
          </cell>
        </row>
        <row r="17">
          <cell r="J17">
            <v>27715</v>
          </cell>
        </row>
      </sheetData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</sheetNames>
    <sheetDataSet>
      <sheetData sheetId="0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EST. FINANC -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  <sheetName val="g1"/>
      <sheetName val="C2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2002</v>
          </cell>
          <cell r="N4">
            <v>2003</v>
          </cell>
          <cell r="O4" t="str">
            <v>2004</v>
          </cell>
          <cell r="P4">
            <v>0</v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>
            <v>0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>
            <v>0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>
            <v>0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M4303"/>
      <sheetName val="Sem"/>
      <sheetName val="BASFinP"/>
      <sheetName val="BASPromP"/>
      <sheetName val="Grafico"/>
      <sheetName val="B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 refreshError="1"/>
      <sheetData sheetId="1" refreshError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</v>
          </cell>
        </row>
        <row r="3">
          <cell r="A3" t="str">
            <v>0001T41997</v>
          </cell>
          <cell r="B3">
            <v>1</v>
          </cell>
        </row>
        <row r="4">
          <cell r="A4" t="str">
            <v>0001A31998</v>
          </cell>
          <cell r="B4">
            <v>3</v>
          </cell>
        </row>
        <row r="5">
          <cell r="A5" t="str">
            <v>0001T11998</v>
          </cell>
          <cell r="B5">
            <v>3</v>
          </cell>
        </row>
        <row r="6">
          <cell r="A6" t="str">
            <v>0001T21998</v>
          </cell>
          <cell r="B6">
            <v>3</v>
          </cell>
        </row>
        <row r="7">
          <cell r="A7" t="str">
            <v>0001T31998</v>
          </cell>
          <cell r="B7">
            <v>3</v>
          </cell>
        </row>
        <row r="8">
          <cell r="A8" t="str">
            <v>0001T41998</v>
          </cell>
          <cell r="B8">
            <v>3</v>
          </cell>
        </row>
        <row r="9">
          <cell r="A9" t="str">
            <v>0001A41999</v>
          </cell>
          <cell r="B9">
            <v>3</v>
          </cell>
        </row>
        <row r="10">
          <cell r="A10" t="str">
            <v>0001T11999</v>
          </cell>
          <cell r="B10">
            <v>3</v>
          </cell>
        </row>
        <row r="11">
          <cell r="A11" t="str">
            <v>0001T21999</v>
          </cell>
          <cell r="B11">
            <v>0</v>
          </cell>
        </row>
        <row r="12">
          <cell r="A12" t="str">
            <v>0001T31999</v>
          </cell>
          <cell r="B12">
            <v>3</v>
          </cell>
        </row>
        <row r="13">
          <cell r="A13" t="str">
            <v>0001T41999</v>
          </cell>
          <cell r="B13">
            <v>3</v>
          </cell>
        </row>
        <row r="14">
          <cell r="A14" t="str">
            <v>0002A21997</v>
          </cell>
          <cell r="B14">
            <v>124</v>
          </cell>
        </row>
        <row r="15">
          <cell r="A15" t="str">
            <v>0002T41997</v>
          </cell>
          <cell r="B15">
            <v>124</v>
          </cell>
        </row>
        <row r="16">
          <cell r="A16" t="str">
            <v>0002A31998</v>
          </cell>
          <cell r="B16">
            <v>120</v>
          </cell>
        </row>
        <row r="17">
          <cell r="A17" t="str">
            <v>0002T11998</v>
          </cell>
          <cell r="B17">
            <v>124</v>
          </cell>
        </row>
        <row r="18">
          <cell r="A18" t="str">
            <v>0002T21998</v>
          </cell>
          <cell r="B18">
            <v>121</v>
          </cell>
        </row>
        <row r="19">
          <cell r="A19" t="str">
            <v>0002T31998</v>
          </cell>
          <cell r="B19">
            <v>121</v>
          </cell>
        </row>
        <row r="20">
          <cell r="A20" t="str">
            <v>0002T41998</v>
          </cell>
          <cell r="B20">
            <v>120</v>
          </cell>
        </row>
        <row r="21">
          <cell r="A21" t="str">
            <v>0002A41999</v>
          </cell>
          <cell r="B21">
            <v>115</v>
          </cell>
        </row>
        <row r="22">
          <cell r="A22" t="str">
            <v>0002T11999</v>
          </cell>
          <cell r="B22">
            <v>121</v>
          </cell>
        </row>
        <row r="23">
          <cell r="A23" t="str">
            <v>0002T21999</v>
          </cell>
          <cell r="B23">
            <v>0</v>
          </cell>
        </row>
        <row r="24">
          <cell r="A24" t="str">
            <v>0002T31999</v>
          </cell>
          <cell r="B24">
            <v>115</v>
          </cell>
        </row>
        <row r="25">
          <cell r="A25" t="str">
            <v>0002T41999</v>
          </cell>
          <cell r="B25">
            <v>115</v>
          </cell>
        </row>
        <row r="26">
          <cell r="A26" t="str">
            <v>0003A21997</v>
          </cell>
          <cell r="B26">
            <v>45</v>
          </cell>
        </row>
        <row r="27">
          <cell r="A27" t="str">
            <v>0003T41997</v>
          </cell>
          <cell r="B27">
            <v>45</v>
          </cell>
        </row>
        <row r="28">
          <cell r="A28" t="str">
            <v>0003A31998</v>
          </cell>
          <cell r="B28">
            <v>46</v>
          </cell>
        </row>
        <row r="29">
          <cell r="A29" t="str">
            <v>0003T11998</v>
          </cell>
          <cell r="B29">
            <v>65</v>
          </cell>
        </row>
        <row r="30">
          <cell r="A30" t="str">
            <v>0003T21998</v>
          </cell>
          <cell r="B30">
            <v>57</v>
          </cell>
        </row>
        <row r="31">
          <cell r="A31" t="str">
            <v>0003T31998</v>
          </cell>
          <cell r="B31">
            <v>54</v>
          </cell>
        </row>
        <row r="32">
          <cell r="A32" t="str">
            <v>0003T41998</v>
          </cell>
          <cell r="B32">
            <v>46</v>
          </cell>
        </row>
        <row r="33">
          <cell r="A33" t="str">
            <v>0003A41999</v>
          </cell>
          <cell r="B33">
            <v>41</v>
          </cell>
        </row>
        <row r="34">
          <cell r="A34" t="str">
            <v>0003T11999</v>
          </cell>
          <cell r="B34">
            <v>63</v>
          </cell>
        </row>
        <row r="35">
          <cell r="A35" t="str">
            <v>0003T21999</v>
          </cell>
          <cell r="B35">
            <v>0</v>
          </cell>
        </row>
        <row r="36">
          <cell r="A36" t="str">
            <v>0003T31999</v>
          </cell>
          <cell r="B36">
            <v>50</v>
          </cell>
        </row>
        <row r="37">
          <cell r="A37" t="str">
            <v>0003T41999</v>
          </cell>
          <cell r="B37">
            <v>41</v>
          </cell>
        </row>
        <row r="38">
          <cell r="A38" t="str">
            <v>0004A21997</v>
          </cell>
          <cell r="B38">
            <v>24357455</v>
          </cell>
        </row>
        <row r="39">
          <cell r="A39" t="str">
            <v>0004T11997</v>
          </cell>
          <cell r="B39">
            <v>6822368</v>
          </cell>
        </row>
        <row r="40">
          <cell r="A40" t="str">
            <v>0004T21997</v>
          </cell>
          <cell r="B40">
            <v>6302575</v>
          </cell>
        </row>
        <row r="41">
          <cell r="A41" t="str">
            <v>0004T31997</v>
          </cell>
          <cell r="B41">
            <v>5598656</v>
          </cell>
        </row>
        <row r="42">
          <cell r="A42" t="str">
            <v>0004T41997</v>
          </cell>
          <cell r="B42">
            <v>5633856</v>
          </cell>
        </row>
        <row r="43">
          <cell r="A43" t="str">
            <v>0004A31998</v>
          </cell>
          <cell r="B43">
            <v>20493148</v>
          </cell>
        </row>
        <row r="44">
          <cell r="A44" t="str">
            <v>0004T11998</v>
          </cell>
          <cell r="B44">
            <v>5477562</v>
          </cell>
        </row>
        <row r="45">
          <cell r="A45" t="str">
            <v>0004T21998</v>
          </cell>
          <cell r="B45">
            <v>5490564</v>
          </cell>
        </row>
        <row r="46">
          <cell r="A46" t="str">
            <v>0004T31998</v>
          </cell>
          <cell r="B46">
            <v>4722612</v>
          </cell>
        </row>
        <row r="47">
          <cell r="A47" t="str">
            <v>0004T41998</v>
          </cell>
          <cell r="B47">
            <v>4802410</v>
          </cell>
        </row>
        <row r="48">
          <cell r="A48" t="str">
            <v>0004A41999</v>
          </cell>
          <cell r="B48">
            <v>23424272</v>
          </cell>
        </row>
        <row r="49">
          <cell r="A49" t="str">
            <v>0004T11999</v>
          </cell>
          <cell r="B49">
            <v>5405829</v>
          </cell>
        </row>
        <row r="50">
          <cell r="A50" t="str">
            <v>0004T21999</v>
          </cell>
          <cell r="B50">
            <v>5926221</v>
          </cell>
        </row>
        <row r="51">
          <cell r="A51" t="str">
            <v>0004T31999</v>
          </cell>
          <cell r="B51">
            <v>5795843</v>
          </cell>
        </row>
        <row r="52">
          <cell r="A52" t="str">
            <v>0004T41999</v>
          </cell>
          <cell r="B52">
            <v>6296379</v>
          </cell>
        </row>
        <row r="53">
          <cell r="A53" t="str">
            <v>0005A21997</v>
          </cell>
        </row>
        <row r="54">
          <cell r="A54" t="str">
            <v>0005A31998</v>
          </cell>
          <cell r="B54">
            <v>0</v>
          </cell>
        </row>
        <row r="55">
          <cell r="A55" t="str">
            <v>0005T11998</v>
          </cell>
          <cell r="B55">
            <v>0</v>
          </cell>
        </row>
        <row r="56">
          <cell r="A56" t="str">
            <v>0005T21998</v>
          </cell>
          <cell r="B56">
            <v>0</v>
          </cell>
        </row>
        <row r="57">
          <cell r="A57" t="str">
            <v>0005T31998</v>
          </cell>
          <cell r="B57">
            <v>0</v>
          </cell>
        </row>
        <row r="58">
          <cell r="A58" t="str">
            <v>0005T41998</v>
          </cell>
          <cell r="B58">
            <v>0</v>
          </cell>
        </row>
        <row r="59">
          <cell r="A59" t="str">
            <v>0005A41999</v>
          </cell>
          <cell r="B59">
            <v>0</v>
          </cell>
        </row>
        <row r="60">
          <cell r="A60" t="str">
            <v>0005T11999</v>
          </cell>
          <cell r="B60">
            <v>0</v>
          </cell>
        </row>
        <row r="61">
          <cell r="A61" t="str">
            <v>0005T21999</v>
          </cell>
          <cell r="B61">
            <v>0</v>
          </cell>
        </row>
        <row r="62">
          <cell r="A62" t="str">
            <v>0005T31999</v>
          </cell>
          <cell r="B62">
            <v>0</v>
          </cell>
        </row>
        <row r="63">
          <cell r="A63" t="str">
            <v>0005T41999</v>
          </cell>
          <cell r="B63">
            <v>0</v>
          </cell>
        </row>
        <row r="64">
          <cell r="A64" t="str">
            <v>0006A21997</v>
          </cell>
          <cell r="B64">
            <v>1152</v>
          </cell>
        </row>
        <row r="65">
          <cell r="A65" t="str">
            <v>0006A31998</v>
          </cell>
          <cell r="B65">
            <v>2374</v>
          </cell>
        </row>
        <row r="66">
          <cell r="A66" t="str">
            <v>0006T11998</v>
          </cell>
          <cell r="B66">
            <v>700</v>
          </cell>
        </row>
        <row r="67">
          <cell r="A67" t="str">
            <v>0006T21998</v>
          </cell>
          <cell r="B67">
            <v>755</v>
          </cell>
        </row>
        <row r="68">
          <cell r="A68" t="str">
            <v>0006T31998</v>
          </cell>
          <cell r="B68">
            <v>642</v>
          </cell>
        </row>
        <row r="69">
          <cell r="A69" t="str">
            <v>0006T41998</v>
          </cell>
          <cell r="B69">
            <v>277</v>
          </cell>
        </row>
        <row r="70">
          <cell r="A70" t="str">
            <v>0006A41999</v>
          </cell>
          <cell r="B70">
            <v>8088</v>
          </cell>
        </row>
        <row r="71">
          <cell r="A71" t="str">
            <v>0006T11999</v>
          </cell>
          <cell r="B71">
            <v>467</v>
          </cell>
        </row>
        <row r="72">
          <cell r="A72" t="str">
            <v>0006T21999</v>
          </cell>
          <cell r="B72">
            <v>916</v>
          </cell>
        </row>
        <row r="73">
          <cell r="A73" t="str">
            <v>0006T31999</v>
          </cell>
          <cell r="B73">
            <v>2585</v>
          </cell>
        </row>
        <row r="74">
          <cell r="A74" t="str">
            <v>0006T41999</v>
          </cell>
          <cell r="B74">
            <v>4120</v>
          </cell>
        </row>
        <row r="75">
          <cell r="A75" t="str">
            <v>0007A21997</v>
          </cell>
        </row>
        <row r="76">
          <cell r="A76" t="str">
            <v>0007A31998</v>
          </cell>
          <cell r="B76">
            <v>1147</v>
          </cell>
        </row>
        <row r="77">
          <cell r="A77" t="str">
            <v>0007T11998</v>
          </cell>
          <cell r="B77">
            <v>0</v>
          </cell>
        </row>
        <row r="78">
          <cell r="A78" t="str">
            <v>0007T21998</v>
          </cell>
          <cell r="B78">
            <v>583</v>
          </cell>
        </row>
        <row r="79">
          <cell r="A79" t="str">
            <v>0007T31998</v>
          </cell>
          <cell r="B79">
            <v>422</v>
          </cell>
        </row>
        <row r="80">
          <cell r="A80" t="str">
            <v>0007T41998</v>
          </cell>
          <cell r="B80">
            <v>141</v>
          </cell>
        </row>
        <row r="81">
          <cell r="A81" t="str">
            <v>0007A41999</v>
          </cell>
          <cell r="B81">
            <v>7103</v>
          </cell>
        </row>
        <row r="82">
          <cell r="A82" t="str">
            <v>0007T11999</v>
          </cell>
          <cell r="B82">
            <v>285</v>
          </cell>
        </row>
        <row r="83">
          <cell r="A83" t="str">
            <v>0007T21999</v>
          </cell>
          <cell r="B83">
            <v>779</v>
          </cell>
        </row>
        <row r="84">
          <cell r="A84" t="str">
            <v>0007T31999</v>
          </cell>
          <cell r="B84">
            <v>2091</v>
          </cell>
        </row>
        <row r="85">
          <cell r="A85" t="str">
            <v>0007T41999</v>
          </cell>
          <cell r="B85">
            <v>3948</v>
          </cell>
        </row>
        <row r="86">
          <cell r="A86" t="str">
            <v>0008A21997</v>
          </cell>
          <cell r="B86">
            <v>2940</v>
          </cell>
        </row>
        <row r="87">
          <cell r="A87" t="str">
            <v>0008A31998</v>
          </cell>
          <cell r="B87">
            <v>21083</v>
          </cell>
        </row>
        <row r="88">
          <cell r="A88" t="str">
            <v>0008T11998</v>
          </cell>
          <cell r="B88">
            <v>6183</v>
          </cell>
        </row>
        <row r="89">
          <cell r="A89" t="str">
            <v>0008T21998</v>
          </cell>
          <cell r="B89">
            <v>5908</v>
          </cell>
        </row>
        <row r="90">
          <cell r="A90" t="str">
            <v>0008T31998</v>
          </cell>
          <cell r="B90">
            <v>6075</v>
          </cell>
        </row>
        <row r="91">
          <cell r="A91" t="str">
            <v>0008T41998</v>
          </cell>
          <cell r="B91">
            <v>2917</v>
          </cell>
        </row>
        <row r="92">
          <cell r="A92" t="str">
            <v>0008A41999</v>
          </cell>
          <cell r="B92">
            <v>19414</v>
          </cell>
        </row>
        <row r="93">
          <cell r="A93" t="str">
            <v>0008T11999</v>
          </cell>
          <cell r="B93">
            <v>3821</v>
          </cell>
        </row>
        <row r="94">
          <cell r="A94" t="str">
            <v>0008T21999</v>
          </cell>
          <cell r="B94">
            <v>3586</v>
          </cell>
        </row>
        <row r="95">
          <cell r="A95" t="str">
            <v>0008T31999</v>
          </cell>
          <cell r="B95">
            <v>5384</v>
          </cell>
        </row>
        <row r="96">
          <cell r="A96" t="str">
            <v>0008T41999</v>
          </cell>
          <cell r="B96">
            <v>6623</v>
          </cell>
        </row>
        <row r="97">
          <cell r="A97" t="str">
            <v>0009A31998</v>
          </cell>
          <cell r="B97">
            <v>20618</v>
          </cell>
        </row>
        <row r="98">
          <cell r="A98" t="str">
            <v>0009T11998</v>
          </cell>
          <cell r="B98">
            <v>6015</v>
          </cell>
        </row>
        <row r="99">
          <cell r="A99" t="str">
            <v>0009T21998</v>
          </cell>
          <cell r="B99">
            <v>5790</v>
          </cell>
        </row>
        <row r="100">
          <cell r="A100" t="str">
            <v>0009T31998</v>
          </cell>
          <cell r="B100">
            <v>5954</v>
          </cell>
        </row>
        <row r="101">
          <cell r="A101" t="str">
            <v>0009T41998</v>
          </cell>
          <cell r="B101">
            <v>2859</v>
          </cell>
        </row>
        <row r="102">
          <cell r="A102" t="str">
            <v>0009A41999</v>
          </cell>
          <cell r="B102">
            <v>18956</v>
          </cell>
        </row>
        <row r="103">
          <cell r="A103" t="str">
            <v>0009T11999</v>
          </cell>
          <cell r="B103">
            <v>3695</v>
          </cell>
        </row>
        <row r="104">
          <cell r="A104" t="str">
            <v>0009T21999</v>
          </cell>
          <cell r="B104">
            <v>3406</v>
          </cell>
        </row>
        <row r="105">
          <cell r="A105" t="str">
            <v>0009T31999</v>
          </cell>
          <cell r="B105">
            <v>5316</v>
          </cell>
        </row>
        <row r="106">
          <cell r="A106" t="str">
            <v>0009T41999</v>
          </cell>
          <cell r="B106">
            <v>6539</v>
          </cell>
        </row>
        <row r="107">
          <cell r="A107" t="str">
            <v>0010A21997</v>
          </cell>
          <cell r="B107">
            <v>506</v>
          </cell>
        </row>
        <row r="108">
          <cell r="A108" t="str">
            <v>0010A31998</v>
          </cell>
          <cell r="B108">
            <v>629</v>
          </cell>
        </row>
        <row r="109">
          <cell r="A109" t="str">
            <v>0010T11998</v>
          </cell>
          <cell r="B109">
            <v>186</v>
          </cell>
        </row>
        <row r="110">
          <cell r="A110" t="str">
            <v>0010T21998</v>
          </cell>
          <cell r="B110">
            <v>161</v>
          </cell>
        </row>
        <row r="111">
          <cell r="A111" t="str">
            <v>0010T31998</v>
          </cell>
          <cell r="B111">
            <v>143</v>
          </cell>
        </row>
        <row r="112">
          <cell r="A112" t="str">
            <v>0010T41998</v>
          </cell>
          <cell r="B112">
            <v>139</v>
          </cell>
        </row>
        <row r="113">
          <cell r="A113" t="str">
            <v>0010A41999</v>
          </cell>
          <cell r="B113">
            <v>624</v>
          </cell>
        </row>
        <row r="114">
          <cell r="A114" t="str">
            <v>0010T11999</v>
          </cell>
          <cell r="B114">
            <v>140</v>
          </cell>
        </row>
        <row r="115">
          <cell r="A115" t="str">
            <v>0010T21999</v>
          </cell>
          <cell r="B115">
            <v>176</v>
          </cell>
        </row>
        <row r="116">
          <cell r="A116" t="str">
            <v>0010T31999</v>
          </cell>
          <cell r="B116">
            <v>126</v>
          </cell>
        </row>
        <row r="117">
          <cell r="A117" t="str">
            <v>0010T41999</v>
          </cell>
          <cell r="B117">
            <v>182</v>
          </cell>
        </row>
        <row r="118">
          <cell r="A118" t="str">
            <v>0011A21997</v>
          </cell>
          <cell r="B118">
            <v>49</v>
          </cell>
        </row>
        <row r="119">
          <cell r="A119" t="str">
            <v>0011A31998</v>
          </cell>
          <cell r="B119">
            <v>136</v>
          </cell>
        </row>
        <row r="120">
          <cell r="A120" t="str">
            <v>0011T11998</v>
          </cell>
          <cell r="B120">
            <v>36</v>
          </cell>
        </row>
        <row r="121">
          <cell r="A121" t="str">
            <v>0011T21998</v>
          </cell>
          <cell r="B121">
            <v>24</v>
          </cell>
        </row>
        <row r="122">
          <cell r="A122" t="str">
            <v>0011T31998</v>
          </cell>
          <cell r="B122">
            <v>44</v>
          </cell>
        </row>
        <row r="123">
          <cell r="A123" t="str">
            <v>0011T41998</v>
          </cell>
          <cell r="B123">
            <v>32</v>
          </cell>
        </row>
        <row r="124">
          <cell r="A124" t="str">
            <v>0011A41999</v>
          </cell>
          <cell r="B124">
            <v>174</v>
          </cell>
        </row>
        <row r="125">
          <cell r="A125" t="str">
            <v>0011T11999</v>
          </cell>
          <cell r="B125">
            <v>41</v>
          </cell>
        </row>
        <row r="126">
          <cell r="A126" t="str">
            <v>0011T21999</v>
          </cell>
          <cell r="B126">
            <v>37</v>
          </cell>
        </row>
        <row r="127">
          <cell r="A127" t="str">
            <v>0011T31999</v>
          </cell>
          <cell r="B127">
            <v>69</v>
          </cell>
        </row>
        <row r="128">
          <cell r="A128" t="str">
            <v>0011T41999</v>
          </cell>
          <cell r="B128">
            <v>27</v>
          </cell>
        </row>
        <row r="129">
          <cell r="A129" t="str">
            <v>0012A21997</v>
          </cell>
          <cell r="B129">
            <v>186</v>
          </cell>
        </row>
        <row r="130">
          <cell r="A130" t="str">
            <v>0012T41997</v>
          </cell>
          <cell r="B130">
            <v>186</v>
          </cell>
        </row>
        <row r="131">
          <cell r="A131" t="str">
            <v>0012A31998</v>
          </cell>
          <cell r="B131">
            <v>195</v>
          </cell>
        </row>
        <row r="132">
          <cell r="A132" t="str">
            <v>0012T11998</v>
          </cell>
          <cell r="B132">
            <v>188</v>
          </cell>
        </row>
        <row r="133">
          <cell r="A133" t="str">
            <v>0012T21998</v>
          </cell>
          <cell r="B133">
            <v>191</v>
          </cell>
        </row>
        <row r="134">
          <cell r="A134" t="str">
            <v>0012T31998</v>
          </cell>
          <cell r="B134">
            <v>193</v>
          </cell>
        </row>
        <row r="135">
          <cell r="A135" t="str">
            <v>0012T41998</v>
          </cell>
          <cell r="B135">
            <v>195</v>
          </cell>
        </row>
        <row r="136">
          <cell r="A136" t="str">
            <v>0012A41999</v>
          </cell>
          <cell r="B136">
            <v>204</v>
          </cell>
        </row>
        <row r="137">
          <cell r="A137" t="str">
            <v>0012T11999</v>
          </cell>
          <cell r="B137">
            <v>199</v>
          </cell>
        </row>
        <row r="138">
          <cell r="A138" t="str">
            <v>0012T21999</v>
          </cell>
          <cell r="B138">
            <v>201</v>
          </cell>
        </row>
        <row r="139">
          <cell r="A139" t="str">
            <v>0012T31999</v>
          </cell>
          <cell r="B139">
            <v>201</v>
          </cell>
        </row>
        <row r="140">
          <cell r="A140" t="str">
            <v>0012T41999</v>
          </cell>
          <cell r="B140">
            <v>204</v>
          </cell>
        </row>
        <row r="141">
          <cell r="A141" t="str">
            <v>0013A21997</v>
          </cell>
          <cell r="B141">
            <v>128</v>
          </cell>
        </row>
        <row r="142">
          <cell r="A142" t="str">
            <v>0013T41997</v>
          </cell>
          <cell r="B142">
            <v>128</v>
          </cell>
        </row>
        <row r="143">
          <cell r="A143" t="str">
            <v>0013A31998</v>
          </cell>
          <cell r="B143">
            <v>157</v>
          </cell>
        </row>
        <row r="144">
          <cell r="A144" t="str">
            <v>0013T11998</v>
          </cell>
          <cell r="B144">
            <v>155</v>
          </cell>
        </row>
        <row r="145">
          <cell r="A145" t="str">
            <v>0013T21998</v>
          </cell>
          <cell r="B145">
            <v>156</v>
          </cell>
        </row>
        <row r="146">
          <cell r="A146" t="str">
            <v>0013T31998</v>
          </cell>
          <cell r="B146">
            <v>156</v>
          </cell>
        </row>
        <row r="147">
          <cell r="A147" t="str">
            <v>0013T41998</v>
          </cell>
          <cell r="B147">
            <v>157</v>
          </cell>
        </row>
        <row r="148">
          <cell r="A148" t="str">
            <v>0013A41999</v>
          </cell>
          <cell r="B148">
            <v>196</v>
          </cell>
        </row>
        <row r="149">
          <cell r="A149" t="str">
            <v>0013T11999</v>
          </cell>
          <cell r="B149">
            <v>194</v>
          </cell>
        </row>
        <row r="150">
          <cell r="A150" t="str">
            <v>0013T21999</v>
          </cell>
          <cell r="B150">
            <v>196</v>
          </cell>
        </row>
        <row r="151">
          <cell r="A151" t="str">
            <v>0013T31999</v>
          </cell>
          <cell r="B151">
            <v>196</v>
          </cell>
        </row>
        <row r="152">
          <cell r="A152" t="str">
            <v>0013T41999</v>
          </cell>
          <cell r="B152">
            <v>196</v>
          </cell>
        </row>
        <row r="153">
          <cell r="A153" t="str">
            <v>0014A21997</v>
          </cell>
          <cell r="B153">
            <v>6870</v>
          </cell>
        </row>
        <row r="154">
          <cell r="A154" t="str">
            <v>0014T41997</v>
          </cell>
          <cell r="B154">
            <v>6870</v>
          </cell>
        </row>
        <row r="155">
          <cell r="A155" t="str">
            <v>0014A31998</v>
          </cell>
          <cell r="B155">
            <v>5819</v>
          </cell>
        </row>
        <row r="156">
          <cell r="A156" t="str">
            <v>0014T11998</v>
          </cell>
          <cell r="B156">
            <v>6223</v>
          </cell>
        </row>
        <row r="157">
          <cell r="A157" t="str">
            <v>0014T21998</v>
          </cell>
          <cell r="B157">
            <v>5753</v>
          </cell>
        </row>
        <row r="158">
          <cell r="A158" t="str">
            <v>0014T31998</v>
          </cell>
          <cell r="B158">
            <v>5752</v>
          </cell>
        </row>
        <row r="159">
          <cell r="A159" t="str">
            <v>0014T41998</v>
          </cell>
          <cell r="B159">
            <v>5819</v>
          </cell>
        </row>
        <row r="160">
          <cell r="A160" t="str">
            <v>0014A41999</v>
          </cell>
          <cell r="B160">
            <v>6976</v>
          </cell>
        </row>
        <row r="161">
          <cell r="A161" t="str">
            <v>0014T11999</v>
          </cell>
          <cell r="B161">
            <v>5507</v>
          </cell>
        </row>
        <row r="162">
          <cell r="A162" t="str">
            <v>0014T21999</v>
          </cell>
          <cell r="B162">
            <v>5312</v>
          </cell>
        </row>
        <row r="163">
          <cell r="A163" t="str">
            <v>0014T31999</v>
          </cell>
          <cell r="B163">
            <v>5049</v>
          </cell>
        </row>
        <row r="164">
          <cell r="A164" t="str">
            <v>0014T41999</v>
          </cell>
          <cell r="B164">
            <v>6976</v>
          </cell>
        </row>
        <row r="165">
          <cell r="A165" t="str">
            <v>0015A21997</v>
          </cell>
          <cell r="B165">
            <v>15</v>
          </cell>
        </row>
        <row r="166">
          <cell r="A166" t="str">
            <v>0015T11997</v>
          </cell>
          <cell r="B166">
            <v>15</v>
          </cell>
        </row>
        <row r="167">
          <cell r="A167" t="str">
            <v>0015T21997</v>
          </cell>
          <cell r="B167">
            <v>15</v>
          </cell>
        </row>
        <row r="168">
          <cell r="A168" t="str">
            <v>0015T31997</v>
          </cell>
          <cell r="B168">
            <v>15</v>
          </cell>
        </row>
        <row r="169">
          <cell r="A169" t="str">
            <v>0015T41997</v>
          </cell>
          <cell r="B169">
            <v>15</v>
          </cell>
        </row>
        <row r="170">
          <cell r="A170" t="str">
            <v>0015A31998</v>
          </cell>
          <cell r="B170">
            <v>12.5</v>
          </cell>
        </row>
        <row r="171">
          <cell r="A171" t="str">
            <v>0015T11998</v>
          </cell>
          <cell r="B171">
            <v>13</v>
          </cell>
        </row>
        <row r="172">
          <cell r="A172" t="str">
            <v>0015T21998</v>
          </cell>
          <cell r="B172">
            <v>12</v>
          </cell>
        </row>
        <row r="173">
          <cell r="A173" t="str">
            <v>0015T31998</v>
          </cell>
          <cell r="B173">
            <v>12</v>
          </cell>
        </row>
        <row r="174">
          <cell r="A174" t="str">
            <v>0015T41998</v>
          </cell>
          <cell r="B174">
            <v>13</v>
          </cell>
        </row>
        <row r="175">
          <cell r="A175" t="str">
            <v>0015A41999</v>
          </cell>
          <cell r="B175">
            <v>16</v>
          </cell>
        </row>
        <row r="176">
          <cell r="A176" t="str">
            <v>0015T11999</v>
          </cell>
          <cell r="B176">
            <v>16</v>
          </cell>
        </row>
        <row r="177">
          <cell r="A177" t="str">
            <v>0015T21999</v>
          </cell>
          <cell r="B177">
            <v>16</v>
          </cell>
        </row>
        <row r="178">
          <cell r="A178" t="str">
            <v>0015T31999</v>
          </cell>
          <cell r="B178">
            <v>16</v>
          </cell>
        </row>
        <row r="179">
          <cell r="A179" t="str">
            <v>0015T41999</v>
          </cell>
          <cell r="B179">
            <v>16</v>
          </cell>
        </row>
        <row r="180">
          <cell r="A180" t="str">
            <v>0016A21997</v>
          </cell>
          <cell r="B180">
            <v>379236</v>
          </cell>
        </row>
        <row r="181">
          <cell r="A181" t="str">
            <v>0016T11997</v>
          </cell>
          <cell r="B181">
            <v>371279</v>
          </cell>
        </row>
        <row r="182">
          <cell r="A182" t="str">
            <v>0016T21997</v>
          </cell>
          <cell r="B182">
            <v>373931</v>
          </cell>
        </row>
        <row r="183">
          <cell r="A183" t="str">
            <v>0016T31997</v>
          </cell>
          <cell r="B183">
            <v>376584</v>
          </cell>
        </row>
        <row r="184">
          <cell r="A184" t="str">
            <v>0016T41997</v>
          </cell>
          <cell r="B184">
            <v>379236</v>
          </cell>
        </row>
        <row r="185">
          <cell r="A185" t="str">
            <v>0016A31998</v>
          </cell>
          <cell r="B185">
            <v>390073</v>
          </cell>
        </row>
        <row r="186">
          <cell r="A186" t="str">
            <v>0016T11998</v>
          </cell>
          <cell r="B186">
            <v>381945</v>
          </cell>
        </row>
        <row r="187">
          <cell r="A187" t="str">
            <v>0016T21998</v>
          </cell>
          <cell r="B187">
            <v>384655</v>
          </cell>
        </row>
        <row r="188">
          <cell r="A188" t="str">
            <v>0016T31998</v>
          </cell>
          <cell r="B188">
            <v>387364</v>
          </cell>
        </row>
        <row r="189">
          <cell r="A189" t="str">
            <v>0016T41998</v>
          </cell>
          <cell r="B189">
            <v>390073</v>
          </cell>
        </row>
        <row r="190">
          <cell r="A190" t="str">
            <v>0016T21999</v>
          </cell>
          <cell r="B190">
            <v>400486</v>
          </cell>
        </row>
        <row r="191">
          <cell r="A191" t="str">
            <v>0017A21997</v>
          </cell>
          <cell r="B191">
            <v>6</v>
          </cell>
        </row>
        <row r="192">
          <cell r="A192" t="str">
            <v>0017T11997</v>
          </cell>
          <cell r="B192">
            <v>6</v>
          </cell>
        </row>
        <row r="193">
          <cell r="A193" t="str">
            <v>0017T21997</v>
          </cell>
          <cell r="B193">
            <v>6</v>
          </cell>
        </row>
        <row r="194">
          <cell r="A194" t="str">
            <v>0017T31997</v>
          </cell>
          <cell r="B194">
            <v>6</v>
          </cell>
        </row>
        <row r="195">
          <cell r="A195" t="str">
            <v>0017T41997</v>
          </cell>
          <cell r="B195">
            <v>6</v>
          </cell>
        </row>
        <row r="196">
          <cell r="A196" t="str">
            <v>0017A31998</v>
          </cell>
          <cell r="B196">
            <v>6</v>
          </cell>
        </row>
        <row r="197">
          <cell r="A197" t="str">
            <v>0017T11998</v>
          </cell>
          <cell r="B197">
            <v>6</v>
          </cell>
        </row>
        <row r="198">
          <cell r="A198" t="str">
            <v>0017T21998</v>
          </cell>
          <cell r="B198">
            <v>6</v>
          </cell>
        </row>
        <row r="199">
          <cell r="A199" t="str">
            <v>0017T31998</v>
          </cell>
          <cell r="B199">
            <v>6</v>
          </cell>
        </row>
        <row r="200">
          <cell r="A200" t="str">
            <v>0017T41998</v>
          </cell>
          <cell r="B200">
            <v>6</v>
          </cell>
        </row>
        <row r="201">
          <cell r="A201" t="str">
            <v>0017A41999</v>
          </cell>
          <cell r="B201">
            <v>6.5</v>
          </cell>
        </row>
        <row r="202">
          <cell r="A202" t="str">
            <v>0017T11999</v>
          </cell>
          <cell r="B202">
            <v>6</v>
          </cell>
        </row>
        <row r="203">
          <cell r="A203" t="str">
            <v>0017T21999</v>
          </cell>
          <cell r="B203">
            <v>6</v>
          </cell>
        </row>
        <row r="204">
          <cell r="A204" t="str">
            <v>0017T31999</v>
          </cell>
          <cell r="B204">
            <v>6.5</v>
          </cell>
        </row>
        <row r="205">
          <cell r="A205" t="str">
            <v>0017T41999</v>
          </cell>
          <cell r="B205">
            <v>6.5</v>
          </cell>
        </row>
        <row r="206">
          <cell r="A206" t="str">
            <v>0018A21997</v>
          </cell>
          <cell r="B206">
            <v>6</v>
          </cell>
        </row>
        <row r="207">
          <cell r="A207" t="str">
            <v>0018T11997</v>
          </cell>
          <cell r="B207">
            <v>6</v>
          </cell>
        </row>
        <row r="208">
          <cell r="A208" t="str">
            <v>0018T21997</v>
          </cell>
          <cell r="B208">
            <v>6</v>
          </cell>
        </row>
        <row r="209">
          <cell r="A209" t="str">
            <v>0018T31997</v>
          </cell>
          <cell r="B209">
            <v>6</v>
          </cell>
        </row>
        <row r="210">
          <cell r="A210" t="str">
            <v>0018T41997</v>
          </cell>
          <cell r="B210">
            <v>6</v>
          </cell>
        </row>
        <row r="211">
          <cell r="A211" t="str">
            <v>0018T11998</v>
          </cell>
          <cell r="B211">
            <v>6</v>
          </cell>
        </row>
        <row r="212">
          <cell r="A212" t="str">
            <v>0018T21998</v>
          </cell>
          <cell r="B212">
            <v>6</v>
          </cell>
        </row>
        <row r="213">
          <cell r="A213" t="str">
            <v>0018T31998</v>
          </cell>
          <cell r="B213">
            <v>6</v>
          </cell>
        </row>
        <row r="214">
          <cell r="A214" t="str">
            <v>0018T41998</v>
          </cell>
          <cell r="B214">
            <v>6</v>
          </cell>
        </row>
        <row r="215">
          <cell r="A215" t="str">
            <v>0018A41999</v>
          </cell>
          <cell r="B215">
            <v>6</v>
          </cell>
        </row>
        <row r="216">
          <cell r="A216" t="str">
            <v>0018T11999</v>
          </cell>
          <cell r="B216">
            <v>6</v>
          </cell>
        </row>
        <row r="217">
          <cell r="A217" t="str">
            <v>0018T21999</v>
          </cell>
          <cell r="B217">
            <v>6</v>
          </cell>
        </row>
        <row r="218">
          <cell r="A218" t="str">
            <v>0018T31999</v>
          </cell>
          <cell r="B218">
            <v>-1</v>
          </cell>
        </row>
        <row r="219">
          <cell r="A219" t="str">
            <v>0018T41999</v>
          </cell>
          <cell r="B219">
            <v>6</v>
          </cell>
        </row>
        <row r="220">
          <cell r="A220" t="str">
            <v>0019A21997</v>
          </cell>
          <cell r="B220">
            <v>6</v>
          </cell>
        </row>
        <row r="221">
          <cell r="A221" t="str">
            <v>0019T11997</v>
          </cell>
          <cell r="B221">
            <v>6</v>
          </cell>
        </row>
        <row r="222">
          <cell r="A222" t="str">
            <v>0019T21997</v>
          </cell>
          <cell r="B222">
            <v>6</v>
          </cell>
        </row>
        <row r="223">
          <cell r="A223" t="str">
            <v>0019T31997</v>
          </cell>
          <cell r="B223">
            <v>6</v>
          </cell>
        </row>
        <row r="224">
          <cell r="A224" t="str">
            <v>0019T41997</v>
          </cell>
          <cell r="B224">
            <v>6</v>
          </cell>
        </row>
        <row r="225">
          <cell r="A225" t="str">
            <v>0019A31998</v>
          </cell>
          <cell r="B225">
            <v>6</v>
          </cell>
        </row>
        <row r="226">
          <cell r="A226" t="str">
            <v>0019T11998</v>
          </cell>
          <cell r="B226">
            <v>6</v>
          </cell>
        </row>
        <row r="227">
          <cell r="A227" t="str">
            <v>0019T21998</v>
          </cell>
          <cell r="B227">
            <v>6</v>
          </cell>
        </row>
        <row r="228">
          <cell r="A228" t="str">
            <v>0019T31998</v>
          </cell>
          <cell r="B228">
            <v>6</v>
          </cell>
        </row>
        <row r="229">
          <cell r="A229" t="str">
            <v>0019T41998</v>
          </cell>
          <cell r="B229">
            <v>6</v>
          </cell>
        </row>
        <row r="230">
          <cell r="A230" t="str">
            <v>0019A41999</v>
          </cell>
          <cell r="B230">
            <v>6.5</v>
          </cell>
        </row>
        <row r="231">
          <cell r="A231" t="str">
            <v>0019T11999</v>
          </cell>
          <cell r="B231">
            <v>6</v>
          </cell>
        </row>
        <row r="232">
          <cell r="A232" t="str">
            <v>0019T21999</v>
          </cell>
          <cell r="B232">
            <v>6</v>
          </cell>
        </row>
        <row r="233">
          <cell r="A233" t="str">
            <v>0019T31999</v>
          </cell>
          <cell r="B233">
            <v>6.5</v>
          </cell>
        </row>
        <row r="234">
          <cell r="A234" t="str">
            <v>0019T41999</v>
          </cell>
          <cell r="B234">
            <v>6.5</v>
          </cell>
        </row>
        <row r="235">
          <cell r="A235" t="str">
            <v>0020A21997</v>
          </cell>
          <cell r="B235">
            <v>6</v>
          </cell>
        </row>
        <row r="236">
          <cell r="A236" t="str">
            <v>0020T11997</v>
          </cell>
          <cell r="B236">
            <v>6</v>
          </cell>
        </row>
        <row r="237">
          <cell r="A237" t="str">
            <v>0020T21997</v>
          </cell>
          <cell r="B237">
            <v>6</v>
          </cell>
        </row>
        <row r="238">
          <cell r="A238" t="str">
            <v>0020T31997</v>
          </cell>
          <cell r="B238">
            <v>6</v>
          </cell>
        </row>
        <row r="239">
          <cell r="A239" t="str">
            <v>0020T41997</v>
          </cell>
          <cell r="B239">
            <v>6</v>
          </cell>
        </row>
        <row r="240">
          <cell r="A240" t="str">
            <v>0020T11998</v>
          </cell>
          <cell r="B240">
            <v>6</v>
          </cell>
        </row>
        <row r="241">
          <cell r="A241" t="str">
            <v>0020T21998</v>
          </cell>
          <cell r="B241">
            <v>6</v>
          </cell>
        </row>
        <row r="242">
          <cell r="A242" t="str">
            <v>0020T31998</v>
          </cell>
          <cell r="B242">
            <v>6</v>
          </cell>
        </row>
        <row r="243">
          <cell r="A243" t="str">
            <v>0020T41998</v>
          </cell>
          <cell r="B243">
            <v>6</v>
          </cell>
        </row>
        <row r="244">
          <cell r="A244" t="str">
            <v>0020A41999</v>
          </cell>
          <cell r="B244">
            <v>6</v>
          </cell>
        </row>
        <row r="245">
          <cell r="A245" t="str">
            <v>0020T11999</v>
          </cell>
          <cell r="B245">
            <v>6</v>
          </cell>
        </row>
        <row r="246">
          <cell r="A246" t="str">
            <v>0020T21999</v>
          </cell>
          <cell r="B246">
            <v>6</v>
          </cell>
        </row>
        <row r="247">
          <cell r="A247" t="str">
            <v>0020T31999</v>
          </cell>
          <cell r="B247">
            <v>7</v>
          </cell>
        </row>
        <row r="248">
          <cell r="A248" t="str">
            <v>0020T41999</v>
          </cell>
          <cell r="B248">
            <v>6</v>
          </cell>
        </row>
        <row r="249">
          <cell r="A249" t="str">
            <v>0021A21997</v>
          </cell>
          <cell r="B249">
            <v>350</v>
          </cell>
        </row>
        <row r="250">
          <cell r="A250" t="str">
            <v>0021T41997</v>
          </cell>
          <cell r="B250">
            <v>350</v>
          </cell>
        </row>
        <row r="251">
          <cell r="A251" t="str">
            <v>0021A31998</v>
          </cell>
          <cell r="B251">
            <v>350</v>
          </cell>
        </row>
        <row r="252">
          <cell r="A252" t="str">
            <v>0021T11998</v>
          </cell>
          <cell r="B252">
            <v>350</v>
          </cell>
        </row>
        <row r="253">
          <cell r="A253" t="str">
            <v>0021T21998</v>
          </cell>
          <cell r="B253">
            <v>350</v>
          </cell>
        </row>
        <row r="254">
          <cell r="A254" t="str">
            <v>0021T31998</v>
          </cell>
          <cell r="B254">
            <v>350</v>
          </cell>
        </row>
        <row r="255">
          <cell r="A255" t="str">
            <v>0021T41998</v>
          </cell>
          <cell r="B255">
            <v>350</v>
          </cell>
        </row>
        <row r="256">
          <cell r="A256" t="str">
            <v>0021A41999</v>
          </cell>
          <cell r="B256">
            <v>325</v>
          </cell>
        </row>
        <row r="257">
          <cell r="A257" t="str">
            <v>0021T11999</v>
          </cell>
          <cell r="B257">
            <v>390</v>
          </cell>
        </row>
        <row r="258">
          <cell r="A258" t="str">
            <v>0021T21999</v>
          </cell>
          <cell r="B258">
            <v>390</v>
          </cell>
        </row>
        <row r="259">
          <cell r="A259" t="str">
            <v>0021T31999</v>
          </cell>
          <cell r="B259">
            <v>390</v>
          </cell>
        </row>
        <row r="260">
          <cell r="A260" t="str">
            <v>0021T41999</v>
          </cell>
          <cell r="B260">
            <v>325</v>
          </cell>
        </row>
        <row r="261">
          <cell r="A261" t="str">
            <v>0022A21997</v>
          </cell>
          <cell r="B261">
            <v>42206</v>
          </cell>
        </row>
        <row r="262">
          <cell r="A262" t="str">
            <v>0022T11997</v>
          </cell>
          <cell r="B262">
            <v>41076</v>
          </cell>
        </row>
        <row r="263">
          <cell r="A263" t="str">
            <v>0022T21997</v>
          </cell>
          <cell r="B263">
            <v>40234</v>
          </cell>
        </row>
        <row r="264">
          <cell r="A264" t="str">
            <v>0022T31997</v>
          </cell>
          <cell r="B264">
            <v>41933</v>
          </cell>
        </row>
        <row r="265">
          <cell r="A265" t="str">
            <v>0022T41997</v>
          </cell>
          <cell r="B265">
            <v>42206</v>
          </cell>
        </row>
        <row r="266">
          <cell r="A266" t="str">
            <v>0022A31998</v>
          </cell>
          <cell r="B266">
            <v>44351</v>
          </cell>
        </row>
        <row r="267">
          <cell r="A267" t="str">
            <v>0022T11998</v>
          </cell>
          <cell r="B267">
            <v>42583</v>
          </cell>
        </row>
        <row r="268">
          <cell r="A268" t="str">
            <v>0022T21998</v>
          </cell>
          <cell r="B268">
            <v>42989</v>
          </cell>
        </row>
        <row r="269">
          <cell r="A269" t="str">
            <v>0022T31998</v>
          </cell>
          <cell r="B269">
            <v>43093</v>
          </cell>
        </row>
        <row r="270">
          <cell r="A270" t="str">
            <v>0022T41998</v>
          </cell>
          <cell r="B270">
            <v>44351</v>
          </cell>
        </row>
        <row r="271">
          <cell r="A271" t="str">
            <v>0022A41999</v>
          </cell>
          <cell r="B271">
            <v>41311</v>
          </cell>
        </row>
        <row r="272">
          <cell r="A272" t="str">
            <v>0022T11999</v>
          </cell>
          <cell r="B272">
            <v>43088</v>
          </cell>
        </row>
        <row r="273">
          <cell r="A273" t="str">
            <v>0022T21999</v>
          </cell>
          <cell r="B273">
            <v>43461</v>
          </cell>
        </row>
        <row r="274">
          <cell r="A274" t="str">
            <v>0022T31999</v>
          </cell>
          <cell r="B274">
            <v>43527</v>
          </cell>
        </row>
        <row r="275">
          <cell r="A275" t="str">
            <v>0022T41999</v>
          </cell>
          <cell r="B275">
            <v>41311</v>
          </cell>
        </row>
        <row r="276">
          <cell r="A276" t="str">
            <v>0023A21997</v>
          </cell>
          <cell r="B276">
            <v>30873</v>
          </cell>
        </row>
        <row r="277">
          <cell r="A277" t="str">
            <v>0023T11997</v>
          </cell>
          <cell r="B277">
            <v>31692</v>
          </cell>
        </row>
        <row r="278">
          <cell r="A278" t="str">
            <v>0023T21997</v>
          </cell>
          <cell r="B278">
            <v>32263</v>
          </cell>
        </row>
        <row r="279">
          <cell r="A279" t="str">
            <v>0023T31997</v>
          </cell>
          <cell r="B279">
            <v>30533</v>
          </cell>
        </row>
        <row r="280">
          <cell r="A280" t="str">
            <v>0023T41997</v>
          </cell>
          <cell r="B280">
            <v>30873</v>
          </cell>
        </row>
        <row r="281">
          <cell r="A281" t="str">
            <v>0023A31998</v>
          </cell>
          <cell r="B281">
            <v>30627</v>
          </cell>
        </row>
        <row r="282">
          <cell r="A282" t="str">
            <v>0023T11998</v>
          </cell>
          <cell r="B282">
            <v>31912</v>
          </cell>
        </row>
        <row r="283">
          <cell r="A283" t="str">
            <v>0023T21998</v>
          </cell>
          <cell r="B283">
            <v>29502</v>
          </cell>
        </row>
        <row r="284">
          <cell r="A284" t="str">
            <v>0023T31998</v>
          </cell>
          <cell r="B284">
            <v>30275</v>
          </cell>
        </row>
        <row r="285">
          <cell r="A285" t="str">
            <v>0023T41998</v>
          </cell>
          <cell r="B285">
            <v>30627</v>
          </cell>
        </row>
        <row r="286">
          <cell r="A286" t="str">
            <v>0023A41999</v>
          </cell>
          <cell r="B286">
            <v>30378</v>
          </cell>
        </row>
        <row r="287">
          <cell r="A287" t="str">
            <v>0023T11999</v>
          </cell>
          <cell r="B287">
            <v>24959</v>
          </cell>
        </row>
        <row r="288">
          <cell r="A288" t="str">
            <v>0023T21999</v>
          </cell>
          <cell r="B288">
            <v>26730</v>
          </cell>
        </row>
        <row r="289">
          <cell r="A289" t="str">
            <v>0023T31999</v>
          </cell>
          <cell r="B289">
            <v>28450</v>
          </cell>
        </row>
        <row r="290">
          <cell r="A290" t="str">
            <v>0023T41999</v>
          </cell>
          <cell r="B290">
            <v>30378</v>
          </cell>
        </row>
        <row r="291">
          <cell r="A291" t="str">
            <v>0024A31998</v>
          </cell>
          <cell r="B291">
            <v>4014</v>
          </cell>
        </row>
        <row r="292">
          <cell r="A292" t="str">
            <v>0024T11998</v>
          </cell>
          <cell r="B292">
            <v>3520</v>
          </cell>
        </row>
        <row r="293">
          <cell r="A293" t="str">
            <v>0024T21998</v>
          </cell>
          <cell r="B293">
            <v>3556</v>
          </cell>
        </row>
        <row r="294">
          <cell r="A294" t="str">
            <v>0024T31998</v>
          </cell>
          <cell r="B294">
            <v>3950</v>
          </cell>
        </row>
        <row r="295">
          <cell r="A295" t="str">
            <v>0024T41998</v>
          </cell>
          <cell r="B295">
            <v>4014</v>
          </cell>
        </row>
        <row r="296">
          <cell r="A296" t="str">
            <v>0024A41999</v>
          </cell>
          <cell r="B296">
            <v>6174</v>
          </cell>
        </row>
        <row r="297">
          <cell r="A297" t="str">
            <v>0024T11999</v>
          </cell>
          <cell r="B297">
            <v>4201</v>
          </cell>
        </row>
        <row r="298">
          <cell r="A298" t="str">
            <v>0024T21999</v>
          </cell>
          <cell r="B298">
            <v>4331</v>
          </cell>
        </row>
        <row r="299">
          <cell r="A299" t="str">
            <v>0024T31999</v>
          </cell>
          <cell r="B299">
            <v>4971</v>
          </cell>
        </row>
        <row r="300">
          <cell r="A300" t="str">
            <v>0024T41999</v>
          </cell>
          <cell r="B300">
            <v>6174</v>
          </cell>
        </row>
        <row r="301">
          <cell r="A301" t="str">
            <v>0025A21997</v>
          </cell>
          <cell r="B301">
            <v>4456</v>
          </cell>
        </row>
        <row r="302">
          <cell r="A302" t="str">
            <v>0025T11997</v>
          </cell>
          <cell r="B302">
            <v>3189</v>
          </cell>
        </row>
        <row r="303">
          <cell r="A303" t="str">
            <v>0025T31997</v>
          </cell>
          <cell r="B303">
            <v>4537</v>
          </cell>
        </row>
        <row r="304">
          <cell r="A304" t="str">
            <v>0025T41997</v>
          </cell>
          <cell r="B304">
            <v>4456</v>
          </cell>
        </row>
        <row r="305">
          <cell r="A305" t="str">
            <v>0025A31998</v>
          </cell>
          <cell r="B305">
            <v>5012</v>
          </cell>
        </row>
        <row r="306">
          <cell r="A306" t="str">
            <v>0025T11998</v>
          </cell>
          <cell r="B306">
            <v>4355</v>
          </cell>
        </row>
        <row r="307">
          <cell r="A307" t="str">
            <v>0025T21998</v>
          </cell>
          <cell r="B307">
            <v>4519</v>
          </cell>
        </row>
        <row r="308">
          <cell r="A308" t="str">
            <v>0025T31998</v>
          </cell>
          <cell r="B308">
            <v>4873</v>
          </cell>
        </row>
        <row r="309">
          <cell r="A309" t="str">
            <v>0025T41998</v>
          </cell>
          <cell r="B309">
            <v>5012</v>
          </cell>
        </row>
        <row r="310">
          <cell r="A310" t="str">
            <v>0025A41999</v>
          </cell>
          <cell r="B310">
            <v>6965</v>
          </cell>
        </row>
        <row r="311">
          <cell r="A311" t="str">
            <v>0025T11999</v>
          </cell>
          <cell r="B311">
            <v>5417</v>
          </cell>
        </row>
        <row r="312">
          <cell r="A312" t="str">
            <v>0025T21999</v>
          </cell>
          <cell r="B312">
            <v>5751</v>
          </cell>
        </row>
        <row r="313">
          <cell r="A313" t="str">
            <v>0025T31999</v>
          </cell>
          <cell r="B313">
            <v>6239</v>
          </cell>
        </row>
        <row r="314">
          <cell r="A314" t="str">
            <v>0025T41999</v>
          </cell>
          <cell r="B314">
            <v>6965</v>
          </cell>
        </row>
        <row r="315">
          <cell r="A315" t="str">
            <v>0026A21997</v>
          </cell>
          <cell r="B315">
            <v>3932</v>
          </cell>
        </row>
        <row r="316">
          <cell r="A316" t="str">
            <v>0026T11997</v>
          </cell>
          <cell r="B316">
            <v>2869</v>
          </cell>
        </row>
        <row r="317">
          <cell r="A317" t="str">
            <v>0026T21997</v>
          </cell>
          <cell r="B317">
            <v>3749</v>
          </cell>
        </row>
        <row r="318">
          <cell r="A318" t="str">
            <v>0026T31997</v>
          </cell>
          <cell r="B318">
            <v>4246</v>
          </cell>
        </row>
        <row r="319">
          <cell r="A319" t="str">
            <v>0026T41997</v>
          </cell>
          <cell r="B319">
            <v>3932</v>
          </cell>
        </row>
        <row r="320">
          <cell r="A320" t="str">
            <v>0026A31998</v>
          </cell>
          <cell r="B320">
            <v>4014</v>
          </cell>
        </row>
        <row r="321">
          <cell r="A321" t="str">
            <v>0026T11998</v>
          </cell>
          <cell r="B321">
            <v>3520</v>
          </cell>
        </row>
        <row r="322">
          <cell r="A322" t="str">
            <v>0026T21998</v>
          </cell>
          <cell r="B322">
            <v>3556</v>
          </cell>
        </row>
        <row r="323">
          <cell r="A323" t="str">
            <v>0026T31998</v>
          </cell>
          <cell r="B323">
            <v>3950</v>
          </cell>
        </row>
        <row r="324">
          <cell r="A324" t="str">
            <v>0026T41998</v>
          </cell>
          <cell r="B324">
            <v>4014</v>
          </cell>
        </row>
        <row r="325">
          <cell r="A325" t="str">
            <v>0026A41999</v>
          </cell>
          <cell r="B325">
            <v>6562</v>
          </cell>
        </row>
        <row r="326">
          <cell r="A326" t="str">
            <v>0026T11999</v>
          </cell>
          <cell r="B326">
            <v>4201</v>
          </cell>
        </row>
        <row r="327">
          <cell r="A327" t="str">
            <v>0026T21999</v>
          </cell>
          <cell r="B327">
            <v>4331</v>
          </cell>
        </row>
        <row r="328">
          <cell r="A328" t="str">
            <v>0026T31999</v>
          </cell>
          <cell r="B328">
            <v>4971</v>
          </cell>
        </row>
        <row r="329">
          <cell r="A329" t="str">
            <v>0026T41999</v>
          </cell>
          <cell r="B329">
            <v>6562</v>
          </cell>
        </row>
        <row r="330">
          <cell r="A330" t="str">
            <v>0027A21997</v>
          </cell>
          <cell r="B330">
            <v>33707</v>
          </cell>
        </row>
        <row r="331">
          <cell r="A331" t="str">
            <v>0027T11997</v>
          </cell>
          <cell r="B331">
            <v>31688</v>
          </cell>
        </row>
        <row r="332">
          <cell r="A332" t="str">
            <v>0027T21997</v>
          </cell>
          <cell r="B332">
            <v>31714</v>
          </cell>
        </row>
        <row r="333">
          <cell r="A333" t="str">
            <v>0027T31997</v>
          </cell>
          <cell r="B333">
            <v>31895</v>
          </cell>
        </row>
        <row r="334">
          <cell r="A334" t="str">
            <v>0027T41997</v>
          </cell>
          <cell r="B334">
            <v>33707</v>
          </cell>
        </row>
        <row r="335">
          <cell r="A335" t="str">
            <v>0027A31998</v>
          </cell>
          <cell r="B335">
            <v>35203</v>
          </cell>
        </row>
        <row r="336">
          <cell r="A336" t="str">
            <v>0027T11998</v>
          </cell>
          <cell r="B336">
            <v>33916</v>
          </cell>
        </row>
        <row r="337">
          <cell r="A337" t="str">
            <v>0027T21998</v>
          </cell>
          <cell r="B337">
            <v>34073</v>
          </cell>
        </row>
        <row r="338">
          <cell r="A338" t="str">
            <v>0027T31998</v>
          </cell>
          <cell r="B338">
            <v>34412</v>
          </cell>
        </row>
        <row r="339">
          <cell r="A339" t="str">
            <v>0027T41998</v>
          </cell>
          <cell r="B339">
            <v>35203</v>
          </cell>
        </row>
        <row r="340">
          <cell r="A340" t="str">
            <v>0027A41999</v>
          </cell>
          <cell r="B340">
            <v>36091</v>
          </cell>
        </row>
        <row r="341">
          <cell r="A341" t="str">
            <v>0027T11999</v>
          </cell>
          <cell r="B341">
            <v>35145</v>
          </cell>
        </row>
        <row r="342">
          <cell r="A342" t="str">
            <v>0027T21999</v>
          </cell>
          <cell r="B342">
            <v>35773</v>
          </cell>
        </row>
        <row r="343">
          <cell r="A343" t="str">
            <v>0027T31999</v>
          </cell>
          <cell r="B343">
            <v>35815</v>
          </cell>
        </row>
        <row r="344">
          <cell r="A344" t="str">
            <v>0027T41999</v>
          </cell>
          <cell r="B344">
            <v>36091</v>
          </cell>
        </row>
        <row r="345">
          <cell r="A345" t="str">
            <v>0028A31998</v>
          </cell>
        </row>
        <row r="346">
          <cell r="A346" t="str">
            <v>0028T11998</v>
          </cell>
        </row>
        <row r="347">
          <cell r="A347" t="str">
            <v>0028T21998</v>
          </cell>
        </row>
        <row r="348">
          <cell r="A348" t="str">
            <v>0028T31998</v>
          </cell>
        </row>
        <row r="349">
          <cell r="A349" t="str">
            <v>0028T41998</v>
          </cell>
        </row>
        <row r="350">
          <cell r="A350" t="str">
            <v>0028A41999</v>
          </cell>
          <cell r="B350">
            <v>42193</v>
          </cell>
        </row>
        <row r="351">
          <cell r="A351" t="str">
            <v>0028T21999</v>
          </cell>
          <cell r="B351">
            <v>43461</v>
          </cell>
        </row>
        <row r="352">
          <cell r="A352" t="str">
            <v>0028T31999</v>
          </cell>
          <cell r="B352">
            <v>43527</v>
          </cell>
        </row>
        <row r="353">
          <cell r="A353" t="str">
            <v>0028T41999</v>
          </cell>
          <cell r="B353">
            <v>42193</v>
          </cell>
        </row>
        <row r="354">
          <cell r="A354" t="str">
            <v>0029A31998</v>
          </cell>
        </row>
        <row r="355">
          <cell r="A355" t="str">
            <v>0029T11998</v>
          </cell>
        </row>
        <row r="356">
          <cell r="A356" t="str">
            <v>0029T21998</v>
          </cell>
        </row>
        <row r="357">
          <cell r="A357" t="str">
            <v>0029T31998</v>
          </cell>
        </row>
        <row r="358">
          <cell r="A358" t="str">
            <v>0029T41998</v>
          </cell>
        </row>
        <row r="359">
          <cell r="A359" t="str">
            <v>0029A41999</v>
          </cell>
          <cell r="B359">
            <v>36438</v>
          </cell>
        </row>
        <row r="360">
          <cell r="A360" t="str">
            <v>0029T21999</v>
          </cell>
          <cell r="B360">
            <v>35808</v>
          </cell>
        </row>
        <row r="361">
          <cell r="A361" t="str">
            <v>0029T31999</v>
          </cell>
          <cell r="B361">
            <v>35815</v>
          </cell>
        </row>
        <row r="362">
          <cell r="A362" t="str">
            <v>0029T41999</v>
          </cell>
          <cell r="B362">
            <v>36438</v>
          </cell>
        </row>
        <row r="363">
          <cell r="A363" t="str">
            <v>0030A21997</v>
          </cell>
          <cell r="B363">
            <v>29</v>
          </cell>
        </row>
        <row r="364">
          <cell r="A364" t="str">
            <v>0030T41997</v>
          </cell>
          <cell r="B364">
            <v>29</v>
          </cell>
        </row>
        <row r="365">
          <cell r="A365" t="str">
            <v>0030A31998</v>
          </cell>
          <cell r="B365">
            <v>24</v>
          </cell>
        </row>
        <row r="366">
          <cell r="A366" t="str">
            <v>0030T11998</v>
          </cell>
          <cell r="B366">
            <v>31</v>
          </cell>
        </row>
        <row r="367">
          <cell r="A367" t="str">
            <v>0030T21998</v>
          </cell>
          <cell r="B367">
            <v>22</v>
          </cell>
        </row>
        <row r="368">
          <cell r="A368" t="str">
            <v>0030T31998</v>
          </cell>
          <cell r="B368">
            <v>24</v>
          </cell>
        </row>
        <row r="369">
          <cell r="A369" t="str">
            <v>0030T41998</v>
          </cell>
          <cell r="B369">
            <v>24</v>
          </cell>
        </row>
        <row r="370">
          <cell r="A370" t="str">
            <v>0030A41999</v>
          </cell>
          <cell r="B370">
            <v>24</v>
          </cell>
        </row>
        <row r="371">
          <cell r="A371" t="str">
            <v>0030T11999</v>
          </cell>
          <cell r="B371">
            <v>15</v>
          </cell>
        </row>
        <row r="372">
          <cell r="A372" t="str">
            <v>0030T21999</v>
          </cell>
          <cell r="B372">
            <v>15</v>
          </cell>
        </row>
        <row r="373">
          <cell r="A373" t="str">
            <v>0030T31999</v>
          </cell>
          <cell r="B373">
            <v>19</v>
          </cell>
        </row>
        <row r="374">
          <cell r="A374" t="str">
            <v>0030T41999</v>
          </cell>
          <cell r="B374">
            <v>24</v>
          </cell>
        </row>
        <row r="375">
          <cell r="A375" t="str">
            <v>0031A21997</v>
          </cell>
          <cell r="B375">
            <v>9493908</v>
          </cell>
        </row>
        <row r="376">
          <cell r="A376" t="str">
            <v>0031T11997</v>
          </cell>
          <cell r="B376">
            <v>2466842</v>
          </cell>
        </row>
        <row r="377">
          <cell r="A377" t="str">
            <v>0031T21997</v>
          </cell>
          <cell r="B377">
            <v>2427601</v>
          </cell>
        </row>
        <row r="378">
          <cell r="A378" t="str">
            <v>0031T31997</v>
          </cell>
          <cell r="B378">
            <v>2312670</v>
          </cell>
        </row>
        <row r="379">
          <cell r="A379" t="str">
            <v>0031T41997</v>
          </cell>
          <cell r="B379">
            <v>2286795</v>
          </cell>
        </row>
        <row r="380">
          <cell r="A380" t="str">
            <v>0031A31998</v>
          </cell>
          <cell r="B380">
            <v>9435087</v>
          </cell>
        </row>
        <row r="381">
          <cell r="A381" t="str">
            <v>0031T11998</v>
          </cell>
          <cell r="B381">
            <v>2478144</v>
          </cell>
        </row>
        <row r="382">
          <cell r="A382" t="str">
            <v>0031T21998</v>
          </cell>
          <cell r="B382">
            <v>2425148</v>
          </cell>
        </row>
        <row r="383">
          <cell r="A383" t="str">
            <v>0031T31998</v>
          </cell>
          <cell r="B383">
            <v>2267341</v>
          </cell>
        </row>
        <row r="384">
          <cell r="A384" t="str">
            <v>0031T41998</v>
          </cell>
          <cell r="B384">
            <v>2264454</v>
          </cell>
        </row>
        <row r="385">
          <cell r="A385" t="str">
            <v>0031A41999</v>
          </cell>
          <cell r="B385">
            <v>7927287</v>
          </cell>
        </row>
        <row r="386">
          <cell r="A386" t="str">
            <v>0031T11999</v>
          </cell>
          <cell r="B386">
            <v>2155341</v>
          </cell>
        </row>
        <row r="387">
          <cell r="A387" t="str">
            <v>0031T21999</v>
          </cell>
          <cell r="B387">
            <v>1908662</v>
          </cell>
        </row>
        <row r="388">
          <cell r="A388" t="str">
            <v>0031T31999</v>
          </cell>
          <cell r="B388">
            <v>1757552</v>
          </cell>
        </row>
        <row r="389">
          <cell r="A389" t="str">
            <v>0031T41999</v>
          </cell>
          <cell r="B389">
            <v>2105732</v>
          </cell>
        </row>
        <row r="390">
          <cell r="A390" t="str">
            <v>0032A21997</v>
          </cell>
          <cell r="B390">
            <v>1423042</v>
          </cell>
        </row>
        <row r="391">
          <cell r="A391" t="str">
            <v>0032T11997</v>
          </cell>
          <cell r="B391">
            <v>251521</v>
          </cell>
        </row>
        <row r="392">
          <cell r="A392" t="str">
            <v>0032T21997</v>
          </cell>
          <cell r="B392">
            <v>232616</v>
          </cell>
        </row>
        <row r="393">
          <cell r="A393" t="str">
            <v>0032T31997</v>
          </cell>
          <cell r="B393">
            <v>326471</v>
          </cell>
        </row>
        <row r="394">
          <cell r="A394" t="str">
            <v>0032T41997</v>
          </cell>
          <cell r="B394">
            <v>612434</v>
          </cell>
        </row>
        <row r="395">
          <cell r="A395" t="str">
            <v>0032A31998</v>
          </cell>
          <cell r="B395">
            <v>1210726</v>
          </cell>
        </row>
        <row r="396">
          <cell r="A396" t="str">
            <v>0032T11998</v>
          </cell>
          <cell r="B396">
            <v>300613</v>
          </cell>
        </row>
        <row r="397">
          <cell r="A397" t="str">
            <v>0032T21998</v>
          </cell>
          <cell r="B397">
            <v>288389</v>
          </cell>
        </row>
        <row r="398">
          <cell r="A398" t="str">
            <v>0032T31998</v>
          </cell>
          <cell r="B398">
            <v>306843</v>
          </cell>
        </row>
        <row r="399">
          <cell r="A399" t="str">
            <v>0032T41998</v>
          </cell>
          <cell r="B399">
            <v>314881</v>
          </cell>
        </row>
        <row r="400">
          <cell r="A400" t="str">
            <v>0032A41999</v>
          </cell>
          <cell r="B400">
            <v>1766811</v>
          </cell>
        </row>
        <row r="401">
          <cell r="A401" t="str">
            <v>0032T11999</v>
          </cell>
          <cell r="B401">
            <v>304194</v>
          </cell>
        </row>
        <row r="402">
          <cell r="A402" t="str">
            <v>0032T21999</v>
          </cell>
          <cell r="B402">
            <v>371472</v>
          </cell>
        </row>
        <row r="403">
          <cell r="A403" t="str">
            <v>0032T31999</v>
          </cell>
          <cell r="B403">
            <v>455928</v>
          </cell>
        </row>
        <row r="404">
          <cell r="A404" t="str">
            <v>0032T41999</v>
          </cell>
          <cell r="B404">
            <v>635217</v>
          </cell>
        </row>
        <row r="405">
          <cell r="A405" t="str">
            <v>0033A21997</v>
          </cell>
          <cell r="B405">
            <v>10224233</v>
          </cell>
        </row>
        <row r="406">
          <cell r="A406" t="str">
            <v>0033T11997</v>
          </cell>
          <cell r="B406">
            <v>2634715</v>
          </cell>
        </row>
        <row r="407">
          <cell r="A407" t="str">
            <v>0033T21997</v>
          </cell>
          <cell r="B407">
            <v>2630397</v>
          </cell>
        </row>
        <row r="408">
          <cell r="A408" t="str">
            <v>0033T31997</v>
          </cell>
          <cell r="B408">
            <v>2533764</v>
          </cell>
        </row>
        <row r="409">
          <cell r="A409" t="str">
            <v>0033T41997</v>
          </cell>
          <cell r="B409">
            <v>2425357</v>
          </cell>
        </row>
        <row r="410">
          <cell r="A410" t="str">
            <v>0033A31998</v>
          </cell>
          <cell r="B410">
            <v>9978170</v>
          </cell>
        </row>
        <row r="411">
          <cell r="A411" t="str">
            <v>0033T11998</v>
          </cell>
          <cell r="B411">
            <v>2487327</v>
          </cell>
        </row>
        <row r="412">
          <cell r="A412" t="str">
            <v>0033T21998</v>
          </cell>
          <cell r="B412">
            <v>2499707</v>
          </cell>
        </row>
        <row r="413">
          <cell r="A413" t="str">
            <v>0033T31998</v>
          </cell>
          <cell r="B413">
            <v>2498555</v>
          </cell>
        </row>
        <row r="414">
          <cell r="A414" t="str">
            <v>0033T41998</v>
          </cell>
          <cell r="B414">
            <v>2492581</v>
          </cell>
        </row>
        <row r="415">
          <cell r="A415" t="str">
            <v>0033A41999</v>
          </cell>
          <cell r="B415">
            <v>9582178</v>
          </cell>
        </row>
        <row r="416">
          <cell r="A416" t="str">
            <v>0033T11999</v>
          </cell>
          <cell r="B416">
            <v>2367328</v>
          </cell>
        </row>
        <row r="417">
          <cell r="A417" t="str">
            <v>0033T21999</v>
          </cell>
          <cell r="B417">
            <v>2215975</v>
          </cell>
        </row>
        <row r="418">
          <cell r="A418" t="str">
            <v>0033T31999</v>
          </cell>
          <cell r="B418">
            <v>2269155</v>
          </cell>
        </row>
        <row r="419">
          <cell r="A419" t="str">
            <v>0033T41999</v>
          </cell>
          <cell r="B419">
            <v>2729720</v>
          </cell>
        </row>
        <row r="420">
          <cell r="A420" t="str">
            <v>0034A21997</v>
          </cell>
          <cell r="B420">
            <v>5371101</v>
          </cell>
        </row>
        <row r="421">
          <cell r="A421" t="str">
            <v>0034T11997</v>
          </cell>
          <cell r="B421">
            <v>1272217</v>
          </cell>
        </row>
        <row r="422">
          <cell r="A422" t="str">
            <v>0034T21997</v>
          </cell>
          <cell r="B422">
            <v>1286322</v>
          </cell>
        </row>
        <row r="423">
          <cell r="A423" t="str">
            <v>0034T31997</v>
          </cell>
          <cell r="B423">
            <v>1387685</v>
          </cell>
        </row>
        <row r="424">
          <cell r="A424" t="str">
            <v>0034T41997</v>
          </cell>
          <cell r="B424">
            <v>1424877</v>
          </cell>
        </row>
        <row r="425">
          <cell r="A425" t="str">
            <v>0034A31998</v>
          </cell>
          <cell r="B425">
            <v>5686755</v>
          </cell>
        </row>
        <row r="426">
          <cell r="A426" t="str">
            <v>0034T11998</v>
          </cell>
          <cell r="B426">
            <v>1461244</v>
          </cell>
        </row>
        <row r="427">
          <cell r="A427" t="str">
            <v>0034T21998</v>
          </cell>
          <cell r="B427">
            <v>1388979</v>
          </cell>
        </row>
        <row r="428">
          <cell r="A428" t="str">
            <v>0034T31998</v>
          </cell>
          <cell r="B428">
            <v>1498618</v>
          </cell>
        </row>
        <row r="429">
          <cell r="A429" t="str">
            <v>0034T41998</v>
          </cell>
          <cell r="B429">
            <v>1337914</v>
          </cell>
        </row>
        <row r="430">
          <cell r="A430" t="str">
            <v>0034A41999</v>
          </cell>
          <cell r="B430">
            <v>4751654</v>
          </cell>
        </row>
        <row r="431">
          <cell r="A431" t="str">
            <v>0034T11999</v>
          </cell>
          <cell r="B431">
            <v>1137202</v>
          </cell>
        </row>
        <row r="432">
          <cell r="A432" t="str">
            <v>0034T21999</v>
          </cell>
          <cell r="B432">
            <v>1137869</v>
          </cell>
        </row>
        <row r="433">
          <cell r="A433" t="str">
            <v>0034T31999</v>
          </cell>
          <cell r="B433">
            <v>1087080</v>
          </cell>
        </row>
        <row r="434">
          <cell r="A434" t="str">
            <v>0034T41999</v>
          </cell>
          <cell r="B434">
            <v>1389503</v>
          </cell>
        </row>
        <row r="435">
          <cell r="A435" t="str">
            <v>0035A21997</v>
          </cell>
          <cell r="B435">
            <v>14625</v>
          </cell>
        </row>
        <row r="436">
          <cell r="A436" t="str">
            <v>0035T41997</v>
          </cell>
          <cell r="B436">
            <v>14625</v>
          </cell>
        </row>
        <row r="437">
          <cell r="A437" t="str">
            <v>0035A31998</v>
          </cell>
          <cell r="B437">
            <v>17129</v>
          </cell>
        </row>
        <row r="438">
          <cell r="A438" t="str">
            <v>0035T11998</v>
          </cell>
          <cell r="B438">
            <v>3974</v>
          </cell>
        </row>
        <row r="439">
          <cell r="A439" t="str">
            <v>0035T21998</v>
          </cell>
          <cell r="B439">
            <v>5054</v>
          </cell>
        </row>
        <row r="440">
          <cell r="A440" t="str">
            <v>0035T31998</v>
          </cell>
          <cell r="B440">
            <v>4642</v>
          </cell>
        </row>
        <row r="441">
          <cell r="A441" t="str">
            <v>0035T41998</v>
          </cell>
          <cell r="B441">
            <v>3459</v>
          </cell>
        </row>
        <row r="442">
          <cell r="A442" t="str">
            <v>0035A41999</v>
          </cell>
          <cell r="B442">
            <v>7799</v>
          </cell>
        </row>
        <row r="443">
          <cell r="A443" t="str">
            <v>0035T11999</v>
          </cell>
          <cell r="B443">
            <v>2863</v>
          </cell>
        </row>
        <row r="444">
          <cell r="A444" t="str">
            <v>0035T21999</v>
          </cell>
          <cell r="B444">
            <v>2423</v>
          </cell>
        </row>
        <row r="445">
          <cell r="A445" t="str">
            <v>0035T31999</v>
          </cell>
          <cell r="B445">
            <v>888</v>
          </cell>
        </row>
        <row r="446">
          <cell r="A446" t="str">
            <v>0035T41999</v>
          </cell>
          <cell r="B446">
            <v>1625</v>
          </cell>
        </row>
        <row r="447">
          <cell r="A447" t="str">
            <v>0036A21997</v>
          </cell>
          <cell r="B447">
            <v>9560</v>
          </cell>
        </row>
        <row r="448">
          <cell r="A448" t="str">
            <v>0036T41997</v>
          </cell>
          <cell r="B448">
            <v>9560</v>
          </cell>
        </row>
        <row r="449">
          <cell r="A449" t="str">
            <v>0036A31998</v>
          </cell>
          <cell r="B449">
            <v>16350</v>
          </cell>
        </row>
        <row r="450">
          <cell r="A450" t="str">
            <v>0036T11998</v>
          </cell>
          <cell r="B450">
            <v>3833</v>
          </cell>
        </row>
        <row r="451">
          <cell r="A451" t="str">
            <v>0036T21998</v>
          </cell>
          <cell r="B451">
            <v>4846</v>
          </cell>
        </row>
        <row r="452">
          <cell r="A452" t="str">
            <v>0036T31998</v>
          </cell>
          <cell r="B452">
            <v>4587</v>
          </cell>
        </row>
        <row r="453">
          <cell r="A453" t="str">
            <v>0036T41998</v>
          </cell>
          <cell r="B453">
            <v>3084</v>
          </cell>
        </row>
        <row r="454">
          <cell r="A454" t="str">
            <v>0036A41999</v>
          </cell>
          <cell r="B454">
            <v>6962</v>
          </cell>
        </row>
        <row r="455">
          <cell r="A455" t="str">
            <v>0036T11999</v>
          </cell>
          <cell r="B455">
            <v>2476</v>
          </cell>
        </row>
        <row r="456">
          <cell r="A456" t="str">
            <v>0036T21999</v>
          </cell>
          <cell r="B456">
            <v>2251</v>
          </cell>
        </row>
        <row r="457">
          <cell r="A457" t="str">
            <v>0036T31999</v>
          </cell>
          <cell r="B457">
            <v>716</v>
          </cell>
        </row>
        <row r="458">
          <cell r="A458" t="str">
            <v>0036T41999</v>
          </cell>
          <cell r="B458">
            <v>1519</v>
          </cell>
        </row>
        <row r="459">
          <cell r="A459" t="str">
            <v>0037A21997</v>
          </cell>
          <cell r="B459">
            <v>9753816</v>
          </cell>
        </row>
        <row r="460">
          <cell r="A460" t="str">
            <v>0037T11997</v>
          </cell>
          <cell r="B460">
            <v>5400394</v>
          </cell>
        </row>
        <row r="461">
          <cell r="A461" t="str">
            <v>0037T21997</v>
          </cell>
          <cell r="B461">
            <v>5693388</v>
          </cell>
        </row>
        <row r="462">
          <cell r="A462" t="str">
            <v>0037T31997</v>
          </cell>
          <cell r="B462">
            <v>5441911</v>
          </cell>
        </row>
        <row r="463">
          <cell r="A463" t="str">
            <v>0037T41997</v>
          </cell>
          <cell r="B463">
            <v>9753816</v>
          </cell>
        </row>
        <row r="464">
          <cell r="A464" t="str">
            <v>0037A31998</v>
          </cell>
          <cell r="B464">
            <v>7113152</v>
          </cell>
        </row>
        <row r="465">
          <cell r="A465" t="str">
            <v>0037T11998</v>
          </cell>
          <cell r="B465">
            <v>10699668</v>
          </cell>
        </row>
        <row r="466">
          <cell r="A466" t="str">
            <v>0037T21998</v>
          </cell>
          <cell r="B466">
            <v>10950290</v>
          </cell>
        </row>
        <row r="467">
          <cell r="A467" t="str">
            <v>0037T31998</v>
          </cell>
          <cell r="B467">
            <v>10240705</v>
          </cell>
        </row>
        <row r="468">
          <cell r="A468" t="str">
            <v>0037T41998</v>
          </cell>
          <cell r="B468">
            <v>7113152</v>
          </cell>
        </row>
        <row r="469">
          <cell r="A469" t="str">
            <v>0037A41999</v>
          </cell>
          <cell r="B469">
            <v>3551454</v>
          </cell>
        </row>
        <row r="470">
          <cell r="A470" t="str">
            <v>0037T11999</v>
          </cell>
          <cell r="B470">
            <v>7639359</v>
          </cell>
        </row>
        <row r="471">
          <cell r="A471" t="str">
            <v>0037T21999</v>
          </cell>
          <cell r="B471">
            <v>7417280</v>
          </cell>
        </row>
        <row r="472">
          <cell r="A472" t="str">
            <v>0037T31999</v>
          </cell>
          <cell r="B472">
            <v>3605469</v>
          </cell>
        </row>
        <row r="473">
          <cell r="A473" t="str">
            <v>0037T41999</v>
          </cell>
          <cell r="B473">
            <v>3551454</v>
          </cell>
        </row>
        <row r="474">
          <cell r="A474" t="str">
            <v>0038A21997</v>
          </cell>
          <cell r="B474">
            <v>207948</v>
          </cell>
        </row>
        <row r="475">
          <cell r="A475" t="str">
            <v>0038T11997</v>
          </cell>
          <cell r="B475">
            <v>201923</v>
          </cell>
        </row>
        <row r="476">
          <cell r="A476" t="str">
            <v>0038T21997</v>
          </cell>
          <cell r="B476">
            <v>463379</v>
          </cell>
        </row>
        <row r="477">
          <cell r="A477" t="str">
            <v>0038T31997</v>
          </cell>
          <cell r="B477">
            <v>193511</v>
          </cell>
        </row>
        <row r="478">
          <cell r="A478" t="str">
            <v>0038T41997</v>
          </cell>
          <cell r="B478">
            <v>207948</v>
          </cell>
        </row>
        <row r="479">
          <cell r="A479" t="str">
            <v>0038A31998</v>
          </cell>
          <cell r="B479">
            <v>72914</v>
          </cell>
        </row>
        <row r="480">
          <cell r="A480" t="str">
            <v>0038T11998</v>
          </cell>
          <cell r="B480">
            <v>297774</v>
          </cell>
        </row>
        <row r="481">
          <cell r="A481" t="str">
            <v>0038T21998</v>
          </cell>
          <cell r="B481">
            <v>408056</v>
          </cell>
        </row>
        <row r="482">
          <cell r="A482" t="str">
            <v>0038T31998</v>
          </cell>
          <cell r="B482">
            <v>249901</v>
          </cell>
        </row>
        <row r="483">
          <cell r="A483" t="str">
            <v>0038T41998</v>
          </cell>
          <cell r="B483">
            <v>72914</v>
          </cell>
        </row>
        <row r="484">
          <cell r="A484" t="str">
            <v>0038A41999</v>
          </cell>
          <cell r="B484">
            <v>408869</v>
          </cell>
        </row>
        <row r="485">
          <cell r="A485" t="str">
            <v>0038T11999</v>
          </cell>
          <cell r="B485">
            <v>296687</v>
          </cell>
        </row>
        <row r="486">
          <cell r="A486" t="str">
            <v>0038T21999</v>
          </cell>
          <cell r="B486">
            <v>354153</v>
          </cell>
        </row>
        <row r="487">
          <cell r="A487" t="str">
            <v>0038T31999</v>
          </cell>
          <cell r="B487">
            <v>466076</v>
          </cell>
        </row>
        <row r="488">
          <cell r="A488" t="str">
            <v>0038T41999</v>
          </cell>
          <cell r="B488">
            <v>408869</v>
          </cell>
        </row>
        <row r="489">
          <cell r="A489" t="str">
            <v>0039A41999</v>
          </cell>
          <cell r="B489">
            <v>0</v>
          </cell>
        </row>
        <row r="490">
          <cell r="A490" t="str">
            <v>0039T11999</v>
          </cell>
          <cell r="B490">
            <v>0</v>
          </cell>
        </row>
        <row r="491">
          <cell r="A491" t="str">
            <v>0039T21999</v>
          </cell>
          <cell r="B491">
            <v>0</v>
          </cell>
        </row>
        <row r="492">
          <cell r="A492" t="str">
            <v>0039T31999</v>
          </cell>
          <cell r="B492">
            <v>0</v>
          </cell>
        </row>
        <row r="493">
          <cell r="A493" t="str">
            <v>0039T41999</v>
          </cell>
          <cell r="B493">
            <v>0</v>
          </cell>
        </row>
        <row r="494">
          <cell r="A494" t="str">
            <v>0040A21997</v>
          </cell>
          <cell r="B494">
            <v>13648316</v>
          </cell>
        </row>
        <row r="495">
          <cell r="A495" t="str">
            <v>0040T11997</v>
          </cell>
          <cell r="B495">
            <v>6443914</v>
          </cell>
        </row>
        <row r="496">
          <cell r="A496" t="str">
            <v>0040T21997</v>
          </cell>
          <cell r="B496">
            <v>6458388</v>
          </cell>
        </row>
        <row r="497">
          <cell r="A497" t="str">
            <v>0040T31997</v>
          </cell>
          <cell r="B497">
            <v>6423002</v>
          </cell>
        </row>
        <row r="498">
          <cell r="A498" t="str">
            <v>0040T41997</v>
          </cell>
          <cell r="B498">
            <v>13648316</v>
          </cell>
        </row>
        <row r="499">
          <cell r="A499" t="str">
            <v>0040A31998</v>
          </cell>
          <cell r="B499">
            <v>9247561</v>
          </cell>
        </row>
        <row r="500">
          <cell r="A500" t="str">
            <v>0040T11998</v>
          </cell>
          <cell r="B500">
            <v>14037158</v>
          </cell>
        </row>
        <row r="501">
          <cell r="A501" t="str">
            <v>0040T21998</v>
          </cell>
          <cell r="B501">
            <v>13867483</v>
          </cell>
        </row>
        <row r="502">
          <cell r="A502" t="str">
            <v>0040T31998</v>
          </cell>
          <cell r="B502">
            <v>13623557</v>
          </cell>
        </row>
        <row r="503">
          <cell r="A503" t="str">
            <v>0040T41998</v>
          </cell>
          <cell r="B503">
            <v>9247561</v>
          </cell>
        </row>
        <row r="504">
          <cell r="A504" t="str">
            <v>0040A41999</v>
          </cell>
          <cell r="B504">
            <v>9064277</v>
          </cell>
        </row>
        <row r="505">
          <cell r="A505" t="str">
            <v>0040T11999</v>
          </cell>
          <cell r="B505">
            <v>9297040</v>
          </cell>
        </row>
        <row r="506">
          <cell r="A506" t="str">
            <v>0040T21999</v>
          </cell>
          <cell r="B506">
            <v>9243279</v>
          </cell>
        </row>
        <row r="507">
          <cell r="A507" t="str">
            <v>0040T31999</v>
          </cell>
          <cell r="B507">
            <v>9069205</v>
          </cell>
        </row>
        <row r="508">
          <cell r="A508" t="str">
            <v>0040T41999</v>
          </cell>
          <cell r="B508">
            <v>9064277</v>
          </cell>
        </row>
        <row r="509">
          <cell r="A509" t="str">
            <v>0041A21997</v>
          </cell>
          <cell r="B509">
            <v>-5247114</v>
          </cell>
        </row>
        <row r="510">
          <cell r="A510" t="str">
            <v>0041T11997</v>
          </cell>
          <cell r="B510">
            <v>-2355541</v>
          </cell>
        </row>
        <row r="511">
          <cell r="A511" t="str">
            <v>0041T21997</v>
          </cell>
          <cell r="B511">
            <v>-2355541</v>
          </cell>
        </row>
        <row r="512">
          <cell r="A512" t="str">
            <v>0041T31997</v>
          </cell>
          <cell r="B512">
            <v>-2355541</v>
          </cell>
        </row>
        <row r="513">
          <cell r="A513" t="str">
            <v>0041T41997</v>
          </cell>
          <cell r="B513">
            <v>-5247114</v>
          </cell>
        </row>
        <row r="514">
          <cell r="A514" t="str">
            <v>0041A31998</v>
          </cell>
          <cell r="B514">
            <v>-7541761</v>
          </cell>
        </row>
        <row r="515">
          <cell r="A515" t="str">
            <v>0041T11998</v>
          </cell>
          <cell r="B515">
            <v>-5247114</v>
          </cell>
        </row>
        <row r="516">
          <cell r="A516" t="str">
            <v>0041T21998</v>
          </cell>
          <cell r="B516">
            <v>-5247114</v>
          </cell>
        </row>
        <row r="517">
          <cell r="A517" t="str">
            <v>0041T31998</v>
          </cell>
          <cell r="B517">
            <v>-5003931</v>
          </cell>
        </row>
        <row r="518">
          <cell r="A518" t="str">
            <v>0041T41998</v>
          </cell>
          <cell r="B518">
            <v>-7541761</v>
          </cell>
        </row>
        <row r="519">
          <cell r="A519" t="str">
            <v>0041A41999</v>
          </cell>
          <cell r="B519">
            <v>7501541</v>
          </cell>
        </row>
        <row r="520">
          <cell r="A520" t="str">
            <v>0041T11999</v>
          </cell>
          <cell r="B520">
            <v>7541762</v>
          </cell>
        </row>
        <row r="521">
          <cell r="A521" t="str">
            <v>0041T21999</v>
          </cell>
          <cell r="B521">
            <v>7541762</v>
          </cell>
        </row>
        <row r="522">
          <cell r="A522" t="str">
            <v>0041T31999</v>
          </cell>
          <cell r="B522">
            <v>7541762</v>
          </cell>
        </row>
        <row r="523">
          <cell r="A523" t="str">
            <v>0041T41999</v>
          </cell>
          <cell r="B523">
            <v>7501541</v>
          </cell>
        </row>
        <row r="524">
          <cell r="A524" t="str">
            <v>0042A21997</v>
          </cell>
          <cell r="B524">
            <v>501781</v>
          </cell>
        </row>
        <row r="525">
          <cell r="A525" t="str">
            <v>0042T11997</v>
          </cell>
          <cell r="B525">
            <v>418634</v>
          </cell>
        </row>
        <row r="526">
          <cell r="A526" t="str">
            <v>0042T21997</v>
          </cell>
          <cell r="B526">
            <v>439619</v>
          </cell>
        </row>
        <row r="527">
          <cell r="A527" t="str">
            <v>0042T31997</v>
          </cell>
          <cell r="B527">
            <v>448934</v>
          </cell>
        </row>
        <row r="528">
          <cell r="A528" t="str">
            <v>0042T41997</v>
          </cell>
          <cell r="B528">
            <v>501781</v>
          </cell>
        </row>
        <row r="529">
          <cell r="A529" t="str">
            <v>0042A31998</v>
          </cell>
          <cell r="B529">
            <v>526470</v>
          </cell>
        </row>
        <row r="530">
          <cell r="A530" t="str">
            <v>0042T11998</v>
          </cell>
          <cell r="B530">
            <v>681332</v>
          </cell>
        </row>
        <row r="531">
          <cell r="A531" t="str">
            <v>0042T21998</v>
          </cell>
          <cell r="B531">
            <v>733301</v>
          </cell>
        </row>
        <row r="532">
          <cell r="A532" t="str">
            <v>0042T31998</v>
          </cell>
          <cell r="B532">
            <v>701547</v>
          </cell>
        </row>
        <row r="533">
          <cell r="A533" t="str">
            <v>0042T41998</v>
          </cell>
          <cell r="B533">
            <v>526470</v>
          </cell>
        </row>
        <row r="534">
          <cell r="A534" t="str">
            <v>0042A41999</v>
          </cell>
          <cell r="B534">
            <v>546001</v>
          </cell>
        </row>
        <row r="535">
          <cell r="A535" t="str">
            <v>0042T11999</v>
          </cell>
          <cell r="B535">
            <v>558278</v>
          </cell>
        </row>
        <row r="536">
          <cell r="A536" t="str">
            <v>0042T21999</v>
          </cell>
          <cell r="B536">
            <v>512888</v>
          </cell>
        </row>
        <row r="537">
          <cell r="A537" t="str">
            <v>0042T31999</v>
          </cell>
          <cell r="B537">
            <v>519204</v>
          </cell>
        </row>
        <row r="538">
          <cell r="A538" t="str">
            <v>0042T41999</v>
          </cell>
          <cell r="B538">
            <v>546001</v>
          </cell>
        </row>
        <row r="539">
          <cell r="A539" t="str">
            <v>0043A41999</v>
          </cell>
          <cell r="B539">
            <v>0</v>
          </cell>
        </row>
        <row r="540">
          <cell r="A540" t="str">
            <v>0043T11999</v>
          </cell>
          <cell r="B540">
            <v>0</v>
          </cell>
        </row>
        <row r="541">
          <cell r="A541" t="str">
            <v>0043T21999</v>
          </cell>
          <cell r="B541">
            <v>0</v>
          </cell>
        </row>
        <row r="542">
          <cell r="A542" t="str">
            <v>0043T31999</v>
          </cell>
          <cell r="B542">
            <v>0</v>
          </cell>
        </row>
        <row r="543">
          <cell r="A543" t="str">
            <v>0043T41999</v>
          </cell>
          <cell r="B543">
            <v>0</v>
          </cell>
        </row>
        <row r="544">
          <cell r="A544" t="str">
            <v>0044A41999</v>
          </cell>
          <cell r="B544">
            <v>0</v>
          </cell>
        </row>
        <row r="545">
          <cell r="A545" t="str">
            <v>0044T11999</v>
          </cell>
          <cell r="B545">
            <v>0</v>
          </cell>
        </row>
        <row r="546">
          <cell r="A546" t="str">
            <v>0044T21999</v>
          </cell>
          <cell r="B546">
            <v>0</v>
          </cell>
        </row>
        <row r="547">
          <cell r="A547" t="str">
            <v>0044T31999</v>
          </cell>
          <cell r="B547">
            <v>0</v>
          </cell>
        </row>
        <row r="548">
          <cell r="A548" t="str">
            <v>0044T41999</v>
          </cell>
          <cell r="B548">
            <v>0</v>
          </cell>
        </row>
        <row r="549">
          <cell r="A549" t="str">
            <v>0045A21997</v>
          </cell>
          <cell r="B549">
            <v>554131</v>
          </cell>
        </row>
        <row r="550">
          <cell r="A550" t="str">
            <v>0045T11997</v>
          </cell>
          <cell r="B550">
            <v>571560</v>
          </cell>
        </row>
        <row r="551">
          <cell r="A551" t="str">
            <v>0045T21997</v>
          </cell>
          <cell r="B551">
            <v>567425</v>
          </cell>
        </row>
        <row r="552">
          <cell r="A552" t="str">
            <v>0045T31997</v>
          </cell>
          <cell r="B552">
            <v>584312</v>
          </cell>
        </row>
        <row r="553">
          <cell r="A553" t="str">
            <v>0045T41997</v>
          </cell>
          <cell r="B553">
            <v>554131</v>
          </cell>
        </row>
        <row r="554">
          <cell r="A554" t="str">
            <v>0045A31998</v>
          </cell>
          <cell r="B554">
            <v>705060</v>
          </cell>
        </row>
        <row r="555">
          <cell r="A555" t="str">
            <v>0045T11998</v>
          </cell>
          <cell r="B555">
            <v>809518</v>
          </cell>
        </row>
        <row r="556">
          <cell r="A556" t="str">
            <v>0045T21998</v>
          </cell>
          <cell r="B556">
            <v>1029111</v>
          </cell>
        </row>
        <row r="557">
          <cell r="A557" t="str">
            <v>0045T31998</v>
          </cell>
          <cell r="B557">
            <v>657904</v>
          </cell>
        </row>
        <row r="558">
          <cell r="A558" t="str">
            <v>0045T41998</v>
          </cell>
          <cell r="B558">
            <v>705060</v>
          </cell>
        </row>
        <row r="559">
          <cell r="A559" t="str">
            <v>0045A41999</v>
          </cell>
          <cell r="B559">
            <v>569977</v>
          </cell>
        </row>
        <row r="560">
          <cell r="A560" t="str">
            <v>0045T11999</v>
          </cell>
          <cell r="B560">
            <v>819165</v>
          </cell>
        </row>
        <row r="561">
          <cell r="A561" t="str">
            <v>0045T21999</v>
          </cell>
          <cell r="B561">
            <v>616126</v>
          </cell>
        </row>
        <row r="562">
          <cell r="A562" t="str">
            <v>0045T31999</v>
          </cell>
          <cell r="B562">
            <v>640587</v>
          </cell>
        </row>
        <row r="563">
          <cell r="A563" t="str">
            <v>0045T41999</v>
          </cell>
          <cell r="B563">
            <v>569977</v>
          </cell>
        </row>
        <row r="564">
          <cell r="A564" t="str">
            <v>0046A41999</v>
          </cell>
          <cell r="B564">
            <v>0</v>
          </cell>
        </row>
        <row r="565">
          <cell r="A565" t="str">
            <v>0046T11999</v>
          </cell>
          <cell r="B565">
            <v>0</v>
          </cell>
        </row>
        <row r="566">
          <cell r="A566" t="str">
            <v>0046T21999</v>
          </cell>
          <cell r="B566">
            <v>0</v>
          </cell>
        </row>
        <row r="567">
          <cell r="A567" t="str">
            <v>0046T31999</v>
          </cell>
          <cell r="B567">
            <v>0</v>
          </cell>
        </row>
        <row r="568">
          <cell r="A568" t="str">
            <v>0046T41999</v>
          </cell>
          <cell r="B568">
            <v>0</v>
          </cell>
        </row>
        <row r="569">
          <cell r="A569" t="str">
            <v>0047A21997</v>
          </cell>
          <cell r="B569">
            <v>88754</v>
          </cell>
        </row>
        <row r="570">
          <cell r="A570" t="str">
            <v>0047T11997</v>
          </cell>
          <cell r="B570">
            <v>119904</v>
          </cell>
        </row>
        <row r="571">
          <cell r="A571" t="str">
            <v>0047T21997</v>
          </cell>
          <cell r="B571">
            <v>120118</v>
          </cell>
        </row>
        <row r="572">
          <cell r="A572" t="str">
            <v>0047T31997</v>
          </cell>
          <cell r="B572">
            <v>147693</v>
          </cell>
        </row>
        <row r="573">
          <cell r="A573" t="str">
            <v>0047T41997</v>
          </cell>
          <cell r="B573">
            <v>88754</v>
          </cell>
        </row>
        <row r="574">
          <cell r="A574" t="str">
            <v>0047A31998</v>
          </cell>
          <cell r="B574">
            <v>4102908</v>
          </cell>
        </row>
        <row r="575">
          <cell r="A575" t="str">
            <v>0047T11998</v>
          </cell>
          <cell r="B575">
            <v>121000</v>
          </cell>
        </row>
        <row r="576">
          <cell r="A576" t="str">
            <v>0047T21998</v>
          </cell>
          <cell r="B576">
            <v>159453</v>
          </cell>
        </row>
        <row r="577">
          <cell r="A577" t="str">
            <v>0047T31998</v>
          </cell>
          <cell r="B577">
            <v>11727</v>
          </cell>
        </row>
        <row r="578">
          <cell r="A578" t="str">
            <v>0047T41998</v>
          </cell>
          <cell r="B578">
            <v>4102908</v>
          </cell>
        </row>
        <row r="579">
          <cell r="A579" t="str">
            <v>0047A41999</v>
          </cell>
          <cell r="B579">
            <v>463871</v>
          </cell>
        </row>
        <row r="580">
          <cell r="A580" t="str">
            <v>0047T11999</v>
          </cell>
          <cell r="B580">
            <v>4209951</v>
          </cell>
        </row>
        <row r="581">
          <cell r="A581" t="str">
            <v>0047T21999</v>
          </cell>
          <cell r="B581">
            <v>4473689</v>
          </cell>
        </row>
        <row r="582">
          <cell r="A582" t="str">
            <v>0047T31999</v>
          </cell>
          <cell r="B582">
            <v>452159</v>
          </cell>
        </row>
        <row r="583">
          <cell r="A583" t="str">
            <v>0047T41999</v>
          </cell>
          <cell r="B583">
            <v>463871</v>
          </cell>
        </row>
        <row r="584">
          <cell r="A584" t="str">
            <v>0048A41999</v>
          </cell>
          <cell r="B584">
            <v>40495020</v>
          </cell>
        </row>
        <row r="585">
          <cell r="A585" t="str">
            <v>0048T11999</v>
          </cell>
          <cell r="B585">
            <v>35780495</v>
          </cell>
        </row>
        <row r="586">
          <cell r="A586" t="str">
            <v>0048T21999</v>
          </cell>
          <cell r="B586">
            <v>35586449</v>
          </cell>
        </row>
        <row r="587">
          <cell r="A587" t="str">
            <v>0048T31999</v>
          </cell>
          <cell r="B587">
            <v>39862759</v>
          </cell>
        </row>
        <row r="588">
          <cell r="A588" t="str">
            <v>0048T41999</v>
          </cell>
          <cell r="B588">
            <v>40495020</v>
          </cell>
        </row>
        <row r="589">
          <cell r="A589" t="str">
            <v>0049A41999</v>
          </cell>
          <cell r="B589">
            <v>0</v>
          </cell>
        </row>
        <row r="590">
          <cell r="A590" t="str">
            <v>0049T11999</v>
          </cell>
          <cell r="B590">
            <v>0</v>
          </cell>
        </row>
        <row r="591">
          <cell r="A591" t="str">
            <v>0049T21999</v>
          </cell>
          <cell r="B591">
            <v>0</v>
          </cell>
        </row>
        <row r="592">
          <cell r="A592" t="str">
            <v>0049T31999</v>
          </cell>
          <cell r="B592">
            <v>0</v>
          </cell>
        </row>
        <row r="593">
          <cell r="A593" t="str">
            <v>0049T41999</v>
          </cell>
          <cell r="B593">
            <v>0</v>
          </cell>
        </row>
        <row r="594">
          <cell r="A594" t="str">
            <v>0050A41999</v>
          </cell>
          <cell r="B594">
            <v>0</v>
          </cell>
        </row>
        <row r="595">
          <cell r="A595" t="str">
            <v>0050T11999</v>
          </cell>
          <cell r="B595">
            <v>0</v>
          </cell>
        </row>
        <row r="596">
          <cell r="A596" t="str">
            <v>0050T21999</v>
          </cell>
          <cell r="B596">
            <v>0</v>
          </cell>
        </row>
        <row r="597">
          <cell r="A597" t="str">
            <v>0050T31999</v>
          </cell>
          <cell r="B597">
            <v>0</v>
          </cell>
        </row>
        <row r="598">
          <cell r="A598" t="str">
            <v>0050T41999</v>
          </cell>
          <cell r="B598">
            <v>0</v>
          </cell>
        </row>
        <row r="599">
          <cell r="A599" t="str">
            <v>0051A41999</v>
          </cell>
          <cell r="B599">
            <v>0</v>
          </cell>
        </row>
        <row r="600">
          <cell r="A600" t="str">
            <v>0051T11999</v>
          </cell>
          <cell r="B600">
            <v>0</v>
          </cell>
        </row>
        <row r="601">
          <cell r="A601" t="str">
            <v>0051T21999</v>
          </cell>
          <cell r="B601">
            <v>0</v>
          </cell>
        </row>
        <row r="602">
          <cell r="A602" t="str">
            <v>0051T31999</v>
          </cell>
          <cell r="B602">
            <v>0</v>
          </cell>
        </row>
        <row r="603">
          <cell r="A603" t="str">
            <v>0051T41999</v>
          </cell>
          <cell r="B603">
            <v>0</v>
          </cell>
        </row>
        <row r="604">
          <cell r="A604" t="str">
            <v>0052A41999</v>
          </cell>
          <cell r="B604">
            <v>0</v>
          </cell>
        </row>
        <row r="605">
          <cell r="A605" t="str">
            <v>0052T11999</v>
          </cell>
          <cell r="B605">
            <v>87</v>
          </cell>
        </row>
        <row r="606">
          <cell r="A606" t="str">
            <v>0052T21999</v>
          </cell>
          <cell r="B606">
            <v>81</v>
          </cell>
        </row>
        <row r="607">
          <cell r="A607" t="str">
            <v>0052T31999</v>
          </cell>
          <cell r="B607">
            <v>81</v>
          </cell>
        </row>
        <row r="608">
          <cell r="A608" t="str">
            <v>0052T41999</v>
          </cell>
          <cell r="B608">
            <v>0</v>
          </cell>
        </row>
        <row r="609">
          <cell r="A609" t="str">
            <v>0053A41999</v>
          </cell>
          <cell r="B609">
            <v>81</v>
          </cell>
        </row>
        <row r="610">
          <cell r="A610" t="str">
            <v>0053T11999</v>
          </cell>
          <cell r="B610">
            <v>0</v>
          </cell>
        </row>
        <row r="611">
          <cell r="A611" t="str">
            <v>0053T21999</v>
          </cell>
          <cell r="B611">
            <v>0</v>
          </cell>
        </row>
        <row r="612">
          <cell r="A612" t="str">
            <v>0053T31999</v>
          </cell>
          <cell r="B612">
            <v>0</v>
          </cell>
        </row>
        <row r="613">
          <cell r="A613" t="str">
            <v>0053T41999</v>
          </cell>
          <cell r="B613">
            <v>81</v>
          </cell>
        </row>
        <row r="614">
          <cell r="A614" t="str">
            <v>0054A41999</v>
          </cell>
          <cell r="B614">
            <v>43989509</v>
          </cell>
        </row>
        <row r="615">
          <cell r="A615" t="str">
            <v>0054T11999</v>
          </cell>
          <cell r="B615">
            <v>41611966</v>
          </cell>
        </row>
        <row r="616">
          <cell r="A616" t="str">
            <v>0054T21999</v>
          </cell>
          <cell r="B616">
            <v>42056082</v>
          </cell>
        </row>
        <row r="617">
          <cell r="A617" t="str">
            <v>0054T31999</v>
          </cell>
          <cell r="B617">
            <v>42945185</v>
          </cell>
        </row>
        <row r="618">
          <cell r="A618" t="str">
            <v>0054T41999</v>
          </cell>
          <cell r="B618">
            <v>43989509</v>
          </cell>
        </row>
        <row r="619">
          <cell r="A619" t="str">
            <v>0055A41999</v>
          </cell>
          <cell r="B619">
            <v>9941597</v>
          </cell>
        </row>
        <row r="620">
          <cell r="A620" t="str">
            <v>0055T11999</v>
          </cell>
          <cell r="B620">
            <v>5801583</v>
          </cell>
        </row>
        <row r="621">
          <cell r="A621" t="str">
            <v>0055T21999</v>
          </cell>
          <cell r="B621">
            <v>5852239</v>
          </cell>
        </row>
        <row r="622">
          <cell r="A622" t="str">
            <v>0055T31999</v>
          </cell>
          <cell r="B622">
            <v>9881833</v>
          </cell>
        </row>
        <row r="623">
          <cell r="A623" t="str">
            <v>0055T41999</v>
          </cell>
          <cell r="B623">
            <v>9941597</v>
          </cell>
        </row>
        <row r="624">
          <cell r="A624" t="str">
            <v>0056A41999</v>
          </cell>
          <cell r="B624">
            <v>1774727</v>
          </cell>
        </row>
        <row r="625">
          <cell r="A625" t="str">
            <v>0056T11999</v>
          </cell>
          <cell r="B625">
            <v>-1176461</v>
          </cell>
        </row>
        <row r="626">
          <cell r="A626" t="str">
            <v>0056T21999</v>
          </cell>
          <cell r="B626">
            <v>149006</v>
          </cell>
        </row>
        <row r="627">
          <cell r="A627" t="str">
            <v>0056T31999</v>
          </cell>
          <cell r="B627">
            <v>-1657727</v>
          </cell>
        </row>
        <row r="628">
          <cell r="A628" t="str">
            <v>0056T41999</v>
          </cell>
          <cell r="B628">
            <v>1774727</v>
          </cell>
        </row>
        <row r="629">
          <cell r="A629" t="str">
            <v>0057A41999</v>
          </cell>
          <cell r="B629">
            <v>11661440</v>
          </cell>
        </row>
        <row r="630">
          <cell r="A630" t="str">
            <v>0057T11999</v>
          </cell>
          <cell r="B630">
            <v>10456680</v>
          </cell>
        </row>
        <row r="631">
          <cell r="A631" t="str">
            <v>0057T21999</v>
          </cell>
          <cell r="B631">
            <v>10831887</v>
          </cell>
        </row>
        <row r="632">
          <cell r="A632" t="str">
            <v>0057T31999</v>
          </cell>
          <cell r="B632">
            <v>11306613</v>
          </cell>
        </row>
        <row r="633">
          <cell r="A633" t="str">
            <v>0057T41999</v>
          </cell>
          <cell r="B633">
            <v>11661440</v>
          </cell>
        </row>
        <row r="634">
          <cell r="A634" t="str">
            <v>0058A41999</v>
          </cell>
          <cell r="B634">
            <v>44046474</v>
          </cell>
        </row>
        <row r="635">
          <cell r="A635" t="str">
            <v>0058T11999</v>
          </cell>
          <cell r="B635">
            <v>43419854</v>
          </cell>
        </row>
        <row r="636">
          <cell r="A636" t="str">
            <v>0058T21999</v>
          </cell>
          <cell r="B636">
            <v>43003729</v>
          </cell>
        </row>
        <row r="637">
          <cell r="A637" t="str">
            <v>0058T31999</v>
          </cell>
          <cell r="B637">
            <v>43468228</v>
          </cell>
        </row>
        <row r="638">
          <cell r="A638" t="str">
            <v>0058T41999</v>
          </cell>
          <cell r="B638">
            <v>44046474</v>
          </cell>
        </row>
        <row r="639">
          <cell r="A639" t="str">
            <v>0059A21997</v>
          </cell>
          <cell r="B639">
            <v>3019378</v>
          </cell>
        </row>
        <row r="640">
          <cell r="A640" t="str">
            <v>0059T11997</v>
          </cell>
          <cell r="B640">
            <v>4039332</v>
          </cell>
        </row>
        <row r="641">
          <cell r="A641" t="str">
            <v>0059T21997</v>
          </cell>
          <cell r="B641">
            <v>4361241</v>
          </cell>
        </row>
        <row r="642">
          <cell r="A642" t="str">
            <v>0059T31997</v>
          </cell>
          <cell r="B642">
            <v>3802102</v>
          </cell>
        </row>
        <row r="643">
          <cell r="A643" t="str">
            <v>0059T41997</v>
          </cell>
          <cell r="B643">
            <v>3019378</v>
          </cell>
        </row>
        <row r="644">
          <cell r="A644" t="str">
            <v>0059A31998</v>
          </cell>
          <cell r="B644">
            <v>3704271</v>
          </cell>
        </row>
        <row r="645">
          <cell r="A645" t="str">
            <v>0059T11998</v>
          </cell>
          <cell r="B645">
            <v>3586190</v>
          </cell>
        </row>
        <row r="646">
          <cell r="A646" t="str">
            <v>0059T21998</v>
          </cell>
          <cell r="B646">
            <v>4101636</v>
          </cell>
        </row>
        <row r="647">
          <cell r="A647" t="str">
            <v>0059T31998</v>
          </cell>
          <cell r="B647">
            <v>3128727</v>
          </cell>
        </row>
        <row r="648">
          <cell r="A648" t="str">
            <v>0059T41998</v>
          </cell>
          <cell r="B648">
            <v>3704271</v>
          </cell>
        </row>
        <row r="649">
          <cell r="A649" t="str">
            <v>0059A41999</v>
          </cell>
          <cell r="B649">
            <v>4359320</v>
          </cell>
        </row>
        <row r="650">
          <cell r="A650" t="str">
            <v>0059T11999</v>
          </cell>
          <cell r="B650">
            <v>3313381</v>
          </cell>
        </row>
        <row r="651">
          <cell r="A651" t="str">
            <v>0059T21999</v>
          </cell>
          <cell r="B651">
            <v>2854709</v>
          </cell>
        </row>
        <row r="652">
          <cell r="A652" t="str">
            <v>0059T31999</v>
          </cell>
          <cell r="B652">
            <v>3218643</v>
          </cell>
        </row>
        <row r="653">
          <cell r="A653" t="str">
            <v>0059T41999</v>
          </cell>
          <cell r="B653">
            <v>4359320</v>
          </cell>
        </row>
        <row r="654">
          <cell r="A654" t="str">
            <v>0060A41999</v>
          </cell>
          <cell r="B654">
            <v>869</v>
          </cell>
        </row>
        <row r="655">
          <cell r="A655" t="str">
            <v>0060T11999</v>
          </cell>
          <cell r="B655">
            <v>52341</v>
          </cell>
        </row>
        <row r="656">
          <cell r="A656" t="str">
            <v>0060T21999</v>
          </cell>
          <cell r="B656">
            <v>3200</v>
          </cell>
        </row>
        <row r="657">
          <cell r="A657" t="str">
            <v>0060T31999</v>
          </cell>
          <cell r="B657">
            <v>11079</v>
          </cell>
        </row>
        <row r="658">
          <cell r="A658" t="str">
            <v>0060T41999</v>
          </cell>
          <cell r="B658">
            <v>869</v>
          </cell>
        </row>
        <row r="659">
          <cell r="A659" t="str">
            <v>0061A41999</v>
          </cell>
          <cell r="B659">
            <v>1507940</v>
          </cell>
        </row>
        <row r="660">
          <cell r="A660" t="str">
            <v>0061T11999</v>
          </cell>
          <cell r="B660">
            <v>1337172</v>
          </cell>
        </row>
        <row r="661">
          <cell r="A661" t="str">
            <v>0061T21999</v>
          </cell>
          <cell r="B661">
            <v>1216933</v>
          </cell>
        </row>
        <row r="662">
          <cell r="A662" t="str">
            <v>0061T31999</v>
          </cell>
          <cell r="B662">
            <v>842952</v>
          </cell>
        </row>
        <row r="663">
          <cell r="A663" t="str">
            <v>0061T41999</v>
          </cell>
          <cell r="B663">
            <v>1507940</v>
          </cell>
        </row>
        <row r="664">
          <cell r="A664" t="str">
            <v>0062A41999</v>
          </cell>
          <cell r="B664">
            <v>2203198</v>
          </cell>
        </row>
        <row r="665">
          <cell r="A665" t="str">
            <v>0062T11999</v>
          </cell>
          <cell r="B665">
            <v>1692697</v>
          </cell>
        </row>
        <row r="666">
          <cell r="A666" t="str">
            <v>0062T21999</v>
          </cell>
          <cell r="B666">
            <v>1316835</v>
          </cell>
        </row>
        <row r="667">
          <cell r="A667" t="str">
            <v>0062T31999</v>
          </cell>
          <cell r="B667">
            <v>1980501</v>
          </cell>
        </row>
        <row r="668">
          <cell r="A668" t="str">
            <v>0062T41999</v>
          </cell>
          <cell r="B668">
            <v>2203198</v>
          </cell>
        </row>
        <row r="669">
          <cell r="A669" t="str">
            <v>0063A41999</v>
          </cell>
          <cell r="B669">
            <v>0</v>
          </cell>
        </row>
        <row r="670">
          <cell r="A670" t="str">
            <v>0063T11999</v>
          </cell>
          <cell r="B670">
            <v>0</v>
          </cell>
        </row>
        <row r="671">
          <cell r="A671" t="str">
            <v>0063T21999</v>
          </cell>
          <cell r="B671">
            <v>0</v>
          </cell>
        </row>
        <row r="672">
          <cell r="A672" t="str">
            <v>0063T31999</v>
          </cell>
          <cell r="B672">
            <v>0</v>
          </cell>
        </row>
        <row r="673">
          <cell r="A673" t="str">
            <v>0063T41999</v>
          </cell>
          <cell r="B673">
            <v>0</v>
          </cell>
        </row>
        <row r="674">
          <cell r="A674" t="str">
            <v>0064A41999</v>
          </cell>
          <cell r="B674">
            <v>647313</v>
          </cell>
        </row>
        <row r="675">
          <cell r="A675" t="str">
            <v>0064T11999</v>
          </cell>
          <cell r="B675">
            <v>231171</v>
          </cell>
        </row>
        <row r="676">
          <cell r="A676" t="str">
            <v>0064T21999</v>
          </cell>
          <cell r="B676">
            <v>307641</v>
          </cell>
        </row>
        <row r="677">
          <cell r="A677" t="str">
            <v>0064T31999</v>
          </cell>
          <cell r="B677">
            <v>384111</v>
          </cell>
        </row>
        <row r="678">
          <cell r="A678" t="str">
            <v>0064T41999</v>
          </cell>
          <cell r="B678">
            <v>647313</v>
          </cell>
        </row>
        <row r="679">
          <cell r="A679" t="str">
            <v>0065A21997</v>
          </cell>
          <cell r="B679">
            <v>8332485</v>
          </cell>
        </row>
        <row r="680">
          <cell r="A680" t="str">
            <v>0065T11997</v>
          </cell>
          <cell r="B680">
            <v>5354009</v>
          </cell>
        </row>
        <row r="681">
          <cell r="A681" t="str">
            <v>0065T21997</v>
          </cell>
          <cell r="B681">
            <v>4956281</v>
          </cell>
        </row>
        <row r="682">
          <cell r="A682" t="str">
            <v>0065T31997</v>
          </cell>
          <cell r="B682">
            <v>4660755</v>
          </cell>
        </row>
        <row r="683">
          <cell r="A683" t="str">
            <v>0065T41997</v>
          </cell>
          <cell r="B683">
            <v>8332485</v>
          </cell>
        </row>
        <row r="684">
          <cell r="A684" t="str">
            <v>0065A31998</v>
          </cell>
          <cell r="B684">
            <v>8442077</v>
          </cell>
        </row>
        <row r="685">
          <cell r="A685" t="str">
            <v>0065T11998</v>
          </cell>
          <cell r="B685">
            <v>8195665</v>
          </cell>
        </row>
        <row r="686">
          <cell r="A686" t="str">
            <v>0065T21998</v>
          </cell>
          <cell r="B686">
            <v>12073111</v>
          </cell>
        </row>
        <row r="687">
          <cell r="A687" t="str">
            <v>0065T31998</v>
          </cell>
          <cell r="B687">
            <v>10827692</v>
          </cell>
        </row>
        <row r="688">
          <cell r="A688" t="str">
            <v>0065T41998</v>
          </cell>
          <cell r="B688">
            <v>8544361</v>
          </cell>
        </row>
        <row r="689">
          <cell r="A689" t="str">
            <v>0065A41999</v>
          </cell>
          <cell r="B689">
            <v>8281802</v>
          </cell>
        </row>
        <row r="690">
          <cell r="A690" t="str">
            <v>0065T11999</v>
          </cell>
          <cell r="B690">
            <v>8825830</v>
          </cell>
        </row>
        <row r="691">
          <cell r="A691" t="str">
            <v>0065T21999</v>
          </cell>
          <cell r="B691">
            <v>8828636</v>
          </cell>
        </row>
        <row r="692">
          <cell r="A692" t="str">
            <v>0065T31999</v>
          </cell>
          <cell r="B692">
            <v>8319403</v>
          </cell>
        </row>
        <row r="693">
          <cell r="A693" t="str">
            <v>0065T41999</v>
          </cell>
          <cell r="B693">
            <v>8281802</v>
          </cell>
        </row>
        <row r="694">
          <cell r="A694" t="str">
            <v>0066A41999</v>
          </cell>
          <cell r="B694">
            <v>7360371</v>
          </cell>
        </row>
        <row r="695">
          <cell r="A695" t="str">
            <v>0066T11999</v>
          </cell>
          <cell r="B695">
            <v>7987528</v>
          </cell>
        </row>
        <row r="696">
          <cell r="A696" t="str">
            <v>0066T21999</v>
          </cell>
          <cell r="B696">
            <v>7961703</v>
          </cell>
        </row>
        <row r="697">
          <cell r="A697" t="str">
            <v>0066T31999</v>
          </cell>
          <cell r="B697">
            <v>7463069</v>
          </cell>
        </row>
        <row r="698">
          <cell r="A698" t="str">
            <v>0066T41999</v>
          </cell>
          <cell r="B698">
            <v>7360371</v>
          </cell>
        </row>
        <row r="699">
          <cell r="A699" t="str">
            <v>0067A41999</v>
          </cell>
          <cell r="B699">
            <v>913045</v>
          </cell>
        </row>
        <row r="700">
          <cell r="A700" t="str">
            <v>0067T11999</v>
          </cell>
          <cell r="B700">
            <v>838302</v>
          </cell>
        </row>
        <row r="701">
          <cell r="A701" t="str">
            <v>0067T21999</v>
          </cell>
          <cell r="B701">
            <v>866923</v>
          </cell>
        </row>
        <row r="702">
          <cell r="A702" t="str">
            <v>0067T31999</v>
          </cell>
          <cell r="B702">
            <v>856334</v>
          </cell>
        </row>
        <row r="703">
          <cell r="A703" t="str">
            <v>0067T41999</v>
          </cell>
          <cell r="B703">
            <v>913045</v>
          </cell>
        </row>
        <row r="704">
          <cell r="A704" t="str">
            <v>0068A41999</v>
          </cell>
          <cell r="B704">
            <v>12641122</v>
          </cell>
        </row>
        <row r="705">
          <cell r="A705" t="str">
            <v>0068T11999</v>
          </cell>
          <cell r="B705">
            <v>12139211</v>
          </cell>
        </row>
        <row r="706">
          <cell r="A706" t="str">
            <v>0068T21999</v>
          </cell>
          <cell r="B706">
            <v>11673235</v>
          </cell>
        </row>
        <row r="707">
          <cell r="A707" t="str">
            <v>0068T31999</v>
          </cell>
          <cell r="B707">
            <v>11538046</v>
          </cell>
        </row>
        <row r="708">
          <cell r="A708" t="str">
            <v>0068T41999</v>
          </cell>
          <cell r="B708">
            <v>12641122</v>
          </cell>
        </row>
        <row r="709">
          <cell r="A709" t="str">
            <v>0069A41999</v>
          </cell>
          <cell r="B709">
            <v>8386</v>
          </cell>
        </row>
        <row r="710">
          <cell r="A710" t="str">
            <v>0069T11999</v>
          </cell>
          <cell r="B710">
            <v>8386</v>
          </cell>
        </row>
        <row r="711">
          <cell r="A711" t="str">
            <v>0069T21999</v>
          </cell>
          <cell r="B711">
            <v>8385</v>
          </cell>
        </row>
        <row r="712">
          <cell r="A712" t="str">
            <v>0069T31999</v>
          </cell>
          <cell r="B712">
            <v>8385</v>
          </cell>
        </row>
        <row r="713">
          <cell r="A713" t="str">
            <v>0069T41999</v>
          </cell>
          <cell r="B713">
            <v>8386</v>
          </cell>
        </row>
        <row r="714">
          <cell r="A714" t="str">
            <v>0070A41999</v>
          </cell>
          <cell r="B714">
            <v>0</v>
          </cell>
        </row>
        <row r="715">
          <cell r="A715" t="str">
            <v>0070T11999</v>
          </cell>
          <cell r="B715">
            <v>93899</v>
          </cell>
        </row>
        <row r="716">
          <cell r="A716" t="str">
            <v>0070T21999</v>
          </cell>
          <cell r="B716">
            <v>90399</v>
          </cell>
        </row>
        <row r="717">
          <cell r="A717" t="str">
            <v>0070T31999</v>
          </cell>
          <cell r="B717">
            <v>0</v>
          </cell>
        </row>
        <row r="718">
          <cell r="A718" t="str">
            <v>0070T41999</v>
          </cell>
          <cell r="B718">
            <v>0</v>
          </cell>
        </row>
        <row r="719">
          <cell r="A719" t="str">
            <v>0071A21997</v>
          </cell>
          <cell r="B719">
            <v>24723357</v>
          </cell>
        </row>
        <row r="720">
          <cell r="A720" t="str">
            <v>0071T11997</v>
          </cell>
          <cell r="B720">
            <v>13267578</v>
          </cell>
        </row>
        <row r="721">
          <cell r="A721" t="str">
            <v>0071T21997</v>
          </cell>
          <cell r="B721">
            <v>13749426</v>
          </cell>
        </row>
        <row r="722">
          <cell r="A722" t="str">
            <v>0071T31997</v>
          </cell>
          <cell r="B722">
            <v>14174418</v>
          </cell>
        </row>
        <row r="723">
          <cell r="A723" t="str">
            <v>0071T41997</v>
          </cell>
          <cell r="B723">
            <v>24723357</v>
          </cell>
        </row>
        <row r="724">
          <cell r="A724" t="str">
            <v>0071A31998</v>
          </cell>
          <cell r="B724">
            <v>30343315</v>
          </cell>
        </row>
        <row r="725">
          <cell r="A725" t="str">
            <v>0071T11998</v>
          </cell>
          <cell r="B725">
            <v>31906532</v>
          </cell>
        </row>
        <row r="726">
          <cell r="A726" t="str">
            <v>0071T21998</v>
          </cell>
          <cell r="B726">
            <v>31611625</v>
          </cell>
        </row>
        <row r="727">
          <cell r="A727" t="str">
            <v>0071T31998</v>
          </cell>
          <cell r="B727">
            <v>29170420</v>
          </cell>
        </row>
        <row r="728">
          <cell r="A728" t="str">
            <v>0071T41998</v>
          </cell>
          <cell r="B728">
            <v>30343315</v>
          </cell>
        </row>
        <row r="729">
          <cell r="A729" t="str">
            <v>0071A41999</v>
          </cell>
          <cell r="B729">
            <v>31405352</v>
          </cell>
        </row>
        <row r="730">
          <cell r="A730" t="str">
            <v>0071T11999</v>
          </cell>
          <cell r="B730">
            <v>31178358</v>
          </cell>
        </row>
        <row r="731">
          <cell r="A731" t="str">
            <v>0071T21999</v>
          </cell>
          <cell r="B731">
            <v>31231710</v>
          </cell>
        </row>
        <row r="732">
          <cell r="A732" t="str">
            <v>0071T31999</v>
          </cell>
          <cell r="B732">
            <v>31921797</v>
          </cell>
        </row>
        <row r="733">
          <cell r="A733" t="str">
            <v>0071T41999</v>
          </cell>
          <cell r="B733">
            <v>31405352</v>
          </cell>
        </row>
        <row r="734">
          <cell r="A734" t="str">
            <v>0072A41999</v>
          </cell>
          <cell r="B734">
            <v>12623636</v>
          </cell>
        </row>
        <row r="735">
          <cell r="A735" t="str">
            <v>0072T11999</v>
          </cell>
          <cell r="B735">
            <v>12236086</v>
          </cell>
        </row>
        <row r="736">
          <cell r="A736" t="str">
            <v>0072T21999</v>
          </cell>
          <cell r="B736">
            <v>12355661</v>
          </cell>
        </row>
        <row r="737">
          <cell r="A737" t="str">
            <v>0072T31999</v>
          </cell>
          <cell r="B737">
            <v>12497459</v>
          </cell>
        </row>
        <row r="738">
          <cell r="A738" t="str">
            <v>0072T41999</v>
          </cell>
          <cell r="B738">
            <v>12623636</v>
          </cell>
        </row>
        <row r="739">
          <cell r="A739" t="str">
            <v>0073A41999</v>
          </cell>
          <cell r="B739">
            <v>20267422</v>
          </cell>
        </row>
        <row r="740">
          <cell r="A740" t="str">
            <v>0073T11999</v>
          </cell>
          <cell r="B740">
            <v>19003588</v>
          </cell>
        </row>
        <row r="741">
          <cell r="A741" t="str">
            <v>0073T21999</v>
          </cell>
          <cell r="B741">
            <v>19172460</v>
          </cell>
        </row>
        <row r="742">
          <cell r="A742" t="str">
            <v>0073T31999</v>
          </cell>
          <cell r="B742">
            <v>19942682</v>
          </cell>
        </row>
        <row r="743">
          <cell r="A743" t="str">
            <v>0073T41999</v>
          </cell>
          <cell r="B743">
            <v>20267422</v>
          </cell>
        </row>
        <row r="744">
          <cell r="A744" t="str">
            <v>0074A41999</v>
          </cell>
          <cell r="B744">
            <v>0</v>
          </cell>
        </row>
        <row r="745">
          <cell r="A745" t="str">
            <v>0074T11999</v>
          </cell>
          <cell r="B745">
            <v>0</v>
          </cell>
        </row>
        <row r="746">
          <cell r="A746" t="str">
            <v>0074T21999</v>
          </cell>
          <cell r="B746">
            <v>0</v>
          </cell>
        </row>
        <row r="747">
          <cell r="A747" t="str">
            <v>0074T31999</v>
          </cell>
          <cell r="B747">
            <v>0</v>
          </cell>
        </row>
        <row r="748">
          <cell r="A748" t="str">
            <v>0074T41999</v>
          </cell>
          <cell r="B748">
            <v>0</v>
          </cell>
        </row>
        <row r="749">
          <cell r="A749" t="str">
            <v>0075A41999</v>
          </cell>
          <cell r="B749">
            <v>0</v>
          </cell>
        </row>
        <row r="750">
          <cell r="A750" t="str">
            <v>0075T11999</v>
          </cell>
          <cell r="B750">
            <v>0</v>
          </cell>
        </row>
        <row r="751">
          <cell r="A751" t="str">
            <v>0075T21999</v>
          </cell>
          <cell r="B751">
            <v>0</v>
          </cell>
        </row>
        <row r="752">
          <cell r="A752" t="str">
            <v>0075T31999</v>
          </cell>
          <cell r="B752">
            <v>0</v>
          </cell>
        </row>
        <row r="753">
          <cell r="A753" t="str">
            <v>0075T41999</v>
          </cell>
          <cell r="B753">
            <v>0</v>
          </cell>
        </row>
        <row r="754">
          <cell r="A754" t="str">
            <v>0076A41999</v>
          </cell>
          <cell r="B754">
            <v>0</v>
          </cell>
        </row>
        <row r="755">
          <cell r="A755" t="str">
            <v>0076T11999</v>
          </cell>
          <cell r="B755">
            <v>0</v>
          </cell>
        </row>
        <row r="756">
          <cell r="A756" t="str">
            <v>0076T21999</v>
          </cell>
          <cell r="B756">
            <v>0</v>
          </cell>
        </row>
        <row r="757">
          <cell r="A757" t="str">
            <v>0076T31999</v>
          </cell>
          <cell r="B757">
            <v>0</v>
          </cell>
        </row>
        <row r="758">
          <cell r="A758" t="str">
            <v>0076T41999</v>
          </cell>
          <cell r="B758">
            <v>0</v>
          </cell>
        </row>
        <row r="759">
          <cell r="A759" t="str">
            <v>0077A41999</v>
          </cell>
          <cell r="B759">
            <v>28780</v>
          </cell>
        </row>
        <row r="760">
          <cell r="A760" t="str">
            <v>0077T11999</v>
          </cell>
          <cell r="B760">
            <v>28895</v>
          </cell>
        </row>
        <row r="761">
          <cell r="A761" t="str">
            <v>0077T21999</v>
          </cell>
          <cell r="B761">
            <v>29147</v>
          </cell>
        </row>
        <row r="762">
          <cell r="A762" t="str">
            <v>0077T31999</v>
          </cell>
          <cell r="B762">
            <v>29482</v>
          </cell>
        </row>
        <row r="763">
          <cell r="A763" t="str">
            <v>0077T41999</v>
          </cell>
          <cell r="B763">
            <v>28780</v>
          </cell>
        </row>
        <row r="764">
          <cell r="A764" t="str">
            <v>0078A41999</v>
          </cell>
          <cell r="B764">
            <v>-443607</v>
          </cell>
        </row>
        <row r="765">
          <cell r="A765" t="str">
            <v>0078T11999</v>
          </cell>
          <cell r="B765">
            <v>-90211</v>
          </cell>
        </row>
        <row r="766">
          <cell r="A766" t="str">
            <v>0078T21999</v>
          </cell>
          <cell r="B766">
            <v>-325558</v>
          </cell>
        </row>
        <row r="767">
          <cell r="A767" t="str">
            <v>0078T31999</v>
          </cell>
          <cell r="B767">
            <v>-439169</v>
          </cell>
        </row>
        <row r="768">
          <cell r="A768" t="str">
            <v>0078T41999</v>
          </cell>
          <cell r="B768">
            <v>-443607</v>
          </cell>
        </row>
        <row r="769">
          <cell r="A769" t="str">
            <v>0079A41999</v>
          </cell>
          <cell r="B769">
            <v>-1070879</v>
          </cell>
        </row>
        <row r="770">
          <cell r="A770" t="str">
            <v>0079T11999</v>
          </cell>
          <cell r="B770">
            <v>247467</v>
          </cell>
        </row>
        <row r="771">
          <cell r="A771" t="str">
            <v>0079T21999</v>
          </cell>
          <cell r="B771">
            <v>108662</v>
          </cell>
        </row>
        <row r="772">
          <cell r="A772" t="str">
            <v>0079T31999</v>
          </cell>
          <cell r="B772">
            <v>-108657</v>
          </cell>
        </row>
        <row r="773">
          <cell r="A773" t="str">
            <v>0079T41999</v>
          </cell>
          <cell r="B773">
            <v>-1070879</v>
          </cell>
        </row>
        <row r="774">
          <cell r="A774" t="str">
            <v>0080A21997</v>
          </cell>
          <cell r="B774">
            <v>10498465</v>
          </cell>
        </row>
        <row r="775">
          <cell r="A775" t="str">
            <v>0080T11997</v>
          </cell>
          <cell r="B775">
            <v>2547556</v>
          </cell>
        </row>
        <row r="776">
          <cell r="A776" t="str">
            <v>0080T21997</v>
          </cell>
          <cell r="B776">
            <v>2765101</v>
          </cell>
        </row>
        <row r="777">
          <cell r="A777" t="str">
            <v>0080T31997</v>
          </cell>
          <cell r="B777">
            <v>2692893</v>
          </cell>
        </row>
        <row r="778">
          <cell r="A778" t="str">
            <v>0080T41997</v>
          </cell>
          <cell r="B778">
            <v>2492915</v>
          </cell>
        </row>
        <row r="779">
          <cell r="A779" t="str">
            <v>0080A31998</v>
          </cell>
          <cell r="B779">
            <v>10628660</v>
          </cell>
        </row>
        <row r="780">
          <cell r="A780" t="str">
            <v>0080T11998</v>
          </cell>
          <cell r="B780">
            <v>2635842</v>
          </cell>
        </row>
        <row r="781">
          <cell r="A781" t="str">
            <v>0080T21998</v>
          </cell>
          <cell r="B781">
            <v>2603900</v>
          </cell>
        </row>
        <row r="782">
          <cell r="A782" t="str">
            <v>0080T31998</v>
          </cell>
          <cell r="B782">
            <v>2824962</v>
          </cell>
        </row>
        <row r="783">
          <cell r="A783" t="str">
            <v>0080T41998</v>
          </cell>
          <cell r="B783">
            <v>2581981</v>
          </cell>
        </row>
        <row r="784">
          <cell r="A784" t="str">
            <v>0080A41999</v>
          </cell>
          <cell r="B784">
            <v>24340052</v>
          </cell>
        </row>
        <row r="785">
          <cell r="A785" t="str">
            <v>0080T11999</v>
          </cell>
          <cell r="B785">
            <v>2430275</v>
          </cell>
        </row>
        <row r="786">
          <cell r="A786" t="str">
            <v>0080T21999</v>
          </cell>
          <cell r="B786">
            <v>4760296</v>
          </cell>
        </row>
        <row r="787">
          <cell r="A787" t="str">
            <v>0080T31999</v>
          </cell>
          <cell r="B787">
            <v>7218417</v>
          </cell>
        </row>
        <row r="788">
          <cell r="A788" t="str">
            <v>0080T41999</v>
          </cell>
          <cell r="B788">
            <v>9931064</v>
          </cell>
        </row>
        <row r="789">
          <cell r="A789" t="str">
            <v>0081A41999</v>
          </cell>
          <cell r="B789">
            <v>0</v>
          </cell>
        </row>
        <row r="790">
          <cell r="A790" t="str">
            <v>0081T11999</v>
          </cell>
          <cell r="B790">
            <v>0</v>
          </cell>
        </row>
        <row r="791">
          <cell r="A791" t="str">
            <v>0081T21999</v>
          </cell>
          <cell r="B791">
            <v>0</v>
          </cell>
        </row>
        <row r="792">
          <cell r="A792" t="str">
            <v>0081T31999</v>
          </cell>
          <cell r="B792">
            <v>0</v>
          </cell>
        </row>
        <row r="793">
          <cell r="A793" t="str">
            <v>0081T41999</v>
          </cell>
          <cell r="B793">
            <v>0</v>
          </cell>
        </row>
        <row r="794">
          <cell r="A794" t="str">
            <v>0082A41999</v>
          </cell>
          <cell r="B794">
            <v>24340052</v>
          </cell>
        </row>
        <row r="795">
          <cell r="A795" t="str">
            <v>0082T11999</v>
          </cell>
          <cell r="B795">
            <v>2430275</v>
          </cell>
        </row>
        <row r="796">
          <cell r="A796" t="str">
            <v>0082T21999</v>
          </cell>
          <cell r="B796">
            <v>4760296</v>
          </cell>
        </row>
        <row r="797">
          <cell r="A797" t="str">
            <v>0082T31999</v>
          </cell>
          <cell r="B797">
            <v>7218417</v>
          </cell>
        </row>
        <row r="798">
          <cell r="A798" t="str">
            <v>0082T41999</v>
          </cell>
          <cell r="B798">
            <v>9931064</v>
          </cell>
        </row>
        <row r="799">
          <cell r="A799" t="str">
            <v>0083A21997</v>
          </cell>
          <cell r="B799">
            <v>6129941</v>
          </cell>
        </row>
        <row r="800">
          <cell r="A800" t="str">
            <v>0083T11997</v>
          </cell>
          <cell r="B800">
            <v>1222140</v>
          </cell>
        </row>
        <row r="801">
          <cell r="A801" t="str">
            <v>0083T21997</v>
          </cell>
          <cell r="B801">
            <v>1489531</v>
          </cell>
        </row>
        <row r="802">
          <cell r="A802" t="str">
            <v>0083T31997</v>
          </cell>
          <cell r="B802">
            <v>1208665</v>
          </cell>
        </row>
        <row r="803">
          <cell r="A803" t="str">
            <v>0083T41997</v>
          </cell>
          <cell r="B803">
            <v>2209605</v>
          </cell>
        </row>
        <row r="804">
          <cell r="A804" t="str">
            <v>0083A31998</v>
          </cell>
          <cell r="B804">
            <v>6725229</v>
          </cell>
        </row>
        <row r="805">
          <cell r="A805" t="str">
            <v>0083T11998</v>
          </cell>
          <cell r="B805">
            <v>1314464</v>
          </cell>
        </row>
        <row r="806">
          <cell r="A806" t="str">
            <v>0083T21998</v>
          </cell>
          <cell r="B806">
            <v>1700651</v>
          </cell>
        </row>
        <row r="807">
          <cell r="A807" t="str">
            <v>0083T31998</v>
          </cell>
          <cell r="B807">
            <v>3837641</v>
          </cell>
        </row>
        <row r="808">
          <cell r="A808" t="str">
            <v>0083T41998</v>
          </cell>
          <cell r="B808">
            <v>147832</v>
          </cell>
        </row>
        <row r="809">
          <cell r="A809" t="str">
            <v>0083A41999</v>
          </cell>
          <cell r="B809">
            <v>17194101</v>
          </cell>
        </row>
        <row r="810">
          <cell r="A810" t="str">
            <v>0083T11999</v>
          </cell>
          <cell r="B810">
            <v>1477808</v>
          </cell>
        </row>
        <row r="811">
          <cell r="A811" t="str">
            <v>0083T21999</v>
          </cell>
          <cell r="B811">
            <v>3001646</v>
          </cell>
        </row>
        <row r="812">
          <cell r="A812" t="str">
            <v>0083T31999</v>
          </cell>
          <cell r="B812">
            <v>5156001</v>
          </cell>
        </row>
        <row r="813">
          <cell r="A813" t="str">
            <v>0083T41999</v>
          </cell>
          <cell r="B813">
            <v>7558646</v>
          </cell>
        </row>
        <row r="814">
          <cell r="A814" t="str">
            <v>0084A41999</v>
          </cell>
          <cell r="B814">
            <v>7145951</v>
          </cell>
        </row>
        <row r="815">
          <cell r="A815" t="str">
            <v>0084T11999</v>
          </cell>
          <cell r="B815">
            <v>952467</v>
          </cell>
        </row>
        <row r="816">
          <cell r="A816" t="str">
            <v>0084T21999</v>
          </cell>
          <cell r="B816">
            <v>1758650</v>
          </cell>
        </row>
        <row r="817">
          <cell r="A817" t="str">
            <v>0084T31999</v>
          </cell>
          <cell r="B817">
            <v>2062416</v>
          </cell>
        </row>
        <row r="818">
          <cell r="A818" t="str">
            <v>0084T41999</v>
          </cell>
          <cell r="B818">
            <v>2372418</v>
          </cell>
        </row>
        <row r="819">
          <cell r="A819" t="str">
            <v>0085A21997</v>
          </cell>
          <cell r="B819">
            <v>4132293</v>
          </cell>
        </row>
        <row r="820">
          <cell r="A820" t="str">
            <v>0085T11997</v>
          </cell>
          <cell r="B820">
            <v>297711</v>
          </cell>
        </row>
        <row r="821">
          <cell r="A821" t="str">
            <v>0085T21997</v>
          </cell>
          <cell r="B821">
            <v>252919</v>
          </cell>
        </row>
        <row r="822">
          <cell r="A822" t="str">
            <v>0085T31997</v>
          </cell>
          <cell r="B822">
            <v>243774</v>
          </cell>
        </row>
        <row r="823">
          <cell r="A823" t="str">
            <v>0085T41997</v>
          </cell>
          <cell r="B823">
            <v>3337889</v>
          </cell>
        </row>
        <row r="824">
          <cell r="A824" t="str">
            <v>0085A31998</v>
          </cell>
          <cell r="B824">
            <v>3202784</v>
          </cell>
        </row>
        <row r="825">
          <cell r="A825" t="str">
            <v>0085T11998</v>
          </cell>
          <cell r="B825">
            <v>190839</v>
          </cell>
        </row>
        <row r="826">
          <cell r="A826" t="str">
            <v>0085T21998</v>
          </cell>
          <cell r="B826">
            <v>182398</v>
          </cell>
        </row>
        <row r="827">
          <cell r="A827" t="str">
            <v>0085T31998</v>
          </cell>
          <cell r="B827">
            <v>11856</v>
          </cell>
        </row>
        <row r="828">
          <cell r="A828" t="str">
            <v>0085T41998</v>
          </cell>
          <cell r="B828">
            <v>1899512</v>
          </cell>
        </row>
        <row r="829">
          <cell r="A829" t="str">
            <v>0085A41999</v>
          </cell>
          <cell r="B829">
            <v>3186858</v>
          </cell>
        </row>
        <row r="830">
          <cell r="A830" t="str">
            <v>0085T11999</v>
          </cell>
          <cell r="B830">
            <v>216981</v>
          </cell>
        </row>
        <row r="831">
          <cell r="A831" t="str">
            <v>0085T21999</v>
          </cell>
          <cell r="B831">
            <v>598131</v>
          </cell>
        </row>
        <row r="832">
          <cell r="A832" t="str">
            <v>0085T31999</v>
          </cell>
          <cell r="B832">
            <v>1064631</v>
          </cell>
        </row>
        <row r="833">
          <cell r="A833" t="str">
            <v>0085T41999</v>
          </cell>
          <cell r="B833">
            <v>1307115</v>
          </cell>
        </row>
        <row r="834">
          <cell r="A834" t="str">
            <v>0086A21997</v>
          </cell>
          <cell r="B834">
            <v>3337244</v>
          </cell>
        </row>
        <row r="835">
          <cell r="A835" t="str">
            <v>0086T11997</v>
          </cell>
          <cell r="B835">
            <v>558392</v>
          </cell>
        </row>
        <row r="836">
          <cell r="A836" t="str">
            <v>0086T21997</v>
          </cell>
          <cell r="B836">
            <v>567442</v>
          </cell>
        </row>
        <row r="837">
          <cell r="A837" t="str">
            <v>0086T31997</v>
          </cell>
          <cell r="B837">
            <v>756450</v>
          </cell>
        </row>
        <row r="838">
          <cell r="A838" t="str">
            <v>0086T41997</v>
          </cell>
          <cell r="B838">
            <v>1454960</v>
          </cell>
        </row>
        <row r="839">
          <cell r="A839" t="str">
            <v>0086A31998</v>
          </cell>
          <cell r="B839">
            <v>5459951</v>
          </cell>
        </row>
        <row r="840">
          <cell r="A840" t="str">
            <v>0086T11998</v>
          </cell>
          <cell r="B840">
            <v>594852</v>
          </cell>
        </row>
        <row r="841">
          <cell r="A841" t="str">
            <v>0086T21998</v>
          </cell>
          <cell r="B841">
            <v>1242691</v>
          </cell>
        </row>
        <row r="842">
          <cell r="A842" t="str">
            <v>0086T31998</v>
          </cell>
          <cell r="B842">
            <v>442692</v>
          </cell>
        </row>
        <row r="843">
          <cell r="A843" t="str">
            <v>0086T41998</v>
          </cell>
          <cell r="B843">
            <v>1496730</v>
          </cell>
        </row>
        <row r="844">
          <cell r="A844" t="str">
            <v>0086A41999</v>
          </cell>
          <cell r="B844">
            <v>5860608</v>
          </cell>
        </row>
        <row r="845">
          <cell r="A845" t="str">
            <v>0086T11999</v>
          </cell>
          <cell r="B845">
            <v>518509</v>
          </cell>
        </row>
        <row r="846">
          <cell r="A846" t="str">
            <v>0086T21999</v>
          </cell>
          <cell r="B846">
            <v>1201533</v>
          </cell>
        </row>
        <row r="847">
          <cell r="A847" t="str">
            <v>0086T31999</v>
          </cell>
          <cell r="B847">
            <v>1642134</v>
          </cell>
        </row>
        <row r="848">
          <cell r="A848" t="str">
            <v>0086T41999</v>
          </cell>
          <cell r="B848">
            <v>2498432</v>
          </cell>
        </row>
        <row r="849">
          <cell r="A849" t="str">
            <v>0087A41999</v>
          </cell>
          <cell r="B849">
            <v>-1901515</v>
          </cell>
        </row>
        <row r="850">
          <cell r="A850" t="str">
            <v>0087T11999</v>
          </cell>
          <cell r="B850">
            <v>216977</v>
          </cell>
        </row>
        <row r="851">
          <cell r="A851" t="str">
            <v>0087T21999</v>
          </cell>
          <cell r="B851">
            <v>-41014</v>
          </cell>
        </row>
        <row r="852">
          <cell r="A852" t="str">
            <v>0087T31999</v>
          </cell>
          <cell r="B852">
            <v>-644349</v>
          </cell>
        </row>
        <row r="853">
          <cell r="A853" t="str">
            <v>0087T41999</v>
          </cell>
          <cell r="B853">
            <v>-1433129</v>
          </cell>
        </row>
        <row r="854">
          <cell r="A854" t="str">
            <v>0088A41999</v>
          </cell>
          <cell r="B854">
            <v>0</v>
          </cell>
        </row>
        <row r="855">
          <cell r="A855" t="str">
            <v>0088T11999</v>
          </cell>
          <cell r="B855">
            <v>0</v>
          </cell>
        </row>
        <row r="856">
          <cell r="A856" t="str">
            <v>0088T21999</v>
          </cell>
          <cell r="B856">
            <v>0</v>
          </cell>
        </row>
        <row r="857">
          <cell r="A857" t="str">
            <v>0088T31999</v>
          </cell>
          <cell r="B857">
            <v>0</v>
          </cell>
        </row>
        <row r="858">
          <cell r="A858" t="str">
            <v>0088T41999</v>
          </cell>
          <cell r="B858">
            <v>0</v>
          </cell>
        </row>
        <row r="859">
          <cell r="A859" t="str">
            <v>0089A41999</v>
          </cell>
          <cell r="B859">
            <v>155510</v>
          </cell>
        </row>
        <row r="860">
          <cell r="A860" t="str">
            <v>0089T11999</v>
          </cell>
          <cell r="B860">
            <v>28775</v>
          </cell>
        </row>
        <row r="861">
          <cell r="A861" t="str">
            <v>0089T21999</v>
          </cell>
          <cell r="B861">
            <v>30954</v>
          </cell>
        </row>
        <row r="862">
          <cell r="A862" t="str">
            <v>0089T31999</v>
          </cell>
          <cell r="B862">
            <v>38532</v>
          </cell>
        </row>
        <row r="863">
          <cell r="A863" t="str">
            <v>0089T41999</v>
          </cell>
          <cell r="B863">
            <v>57249</v>
          </cell>
        </row>
        <row r="864">
          <cell r="A864" t="str">
            <v>0090A41999</v>
          </cell>
          <cell r="B864">
            <v>1431748</v>
          </cell>
        </row>
        <row r="865">
          <cell r="A865" t="str">
            <v>0090T11999</v>
          </cell>
          <cell r="B865">
            <v>14470</v>
          </cell>
        </row>
        <row r="866">
          <cell r="A866" t="str">
            <v>0090T21999</v>
          </cell>
          <cell r="B866">
            <v>269682</v>
          </cell>
        </row>
        <row r="867">
          <cell r="A867" t="str">
            <v>0090T31999</v>
          </cell>
          <cell r="B867">
            <v>606252</v>
          </cell>
        </row>
        <row r="868">
          <cell r="A868" t="str">
            <v>0090T41999</v>
          </cell>
          <cell r="B868">
            <v>541344</v>
          </cell>
        </row>
        <row r="869">
          <cell r="A869" t="str">
            <v>0091A21997</v>
          </cell>
          <cell r="B869">
            <v>235197</v>
          </cell>
        </row>
        <row r="870">
          <cell r="A870" t="str">
            <v>0091T11997</v>
          </cell>
          <cell r="B870">
            <v>25793</v>
          </cell>
        </row>
        <row r="871">
          <cell r="A871" t="str">
            <v>0091T21997</v>
          </cell>
          <cell r="B871">
            <v>58405</v>
          </cell>
        </row>
        <row r="872">
          <cell r="A872" t="str">
            <v>0091T31997</v>
          </cell>
          <cell r="B872">
            <v>40408</v>
          </cell>
        </row>
        <row r="873">
          <cell r="A873" t="str">
            <v>0091T41997</v>
          </cell>
          <cell r="B873">
            <v>110591</v>
          </cell>
        </row>
        <row r="874">
          <cell r="A874" t="str">
            <v>0091A31998</v>
          </cell>
          <cell r="B874">
            <v>802783</v>
          </cell>
        </row>
        <row r="875">
          <cell r="A875" t="str">
            <v>0091T11998</v>
          </cell>
          <cell r="B875">
            <v>0</v>
          </cell>
        </row>
        <row r="876">
          <cell r="A876" t="str">
            <v>0091T21998</v>
          </cell>
          <cell r="B876">
            <v>192709</v>
          </cell>
        </row>
        <row r="877">
          <cell r="A877" t="str">
            <v>0091T31998</v>
          </cell>
          <cell r="B877">
            <v>192709</v>
          </cell>
        </row>
        <row r="878">
          <cell r="A878" t="str">
            <v>0091T41998</v>
          </cell>
          <cell r="B878">
            <v>673218</v>
          </cell>
        </row>
        <row r="879">
          <cell r="A879" t="str">
            <v>0091A41999</v>
          </cell>
          <cell r="B879">
            <v>1030915</v>
          </cell>
        </row>
        <row r="880">
          <cell r="A880" t="str">
            <v>0091T11999</v>
          </cell>
          <cell r="B880">
            <v>115184</v>
          </cell>
        </row>
        <row r="881">
          <cell r="A881" t="str">
            <v>0091T21999</v>
          </cell>
          <cell r="B881">
            <v>185418</v>
          </cell>
        </row>
        <row r="882">
          <cell r="A882" t="str">
            <v>0091T31999</v>
          </cell>
          <cell r="B882">
            <v>319947</v>
          </cell>
        </row>
        <row r="883">
          <cell r="A883" t="str">
            <v>0091T41999</v>
          </cell>
          <cell r="B883">
            <v>410366</v>
          </cell>
        </row>
        <row r="884">
          <cell r="A884" t="str">
            <v>0092A41999</v>
          </cell>
          <cell r="B884">
            <v>244671</v>
          </cell>
        </row>
        <row r="885">
          <cell r="A885" t="str">
            <v>0092T11999</v>
          </cell>
          <cell r="B885">
            <v>1996</v>
          </cell>
        </row>
        <row r="886">
          <cell r="A886" t="str">
            <v>0092T21999</v>
          </cell>
          <cell r="B886">
            <v>127915</v>
          </cell>
        </row>
        <row r="887">
          <cell r="A887" t="str">
            <v>0092T31999</v>
          </cell>
          <cell r="B887">
            <v>10591</v>
          </cell>
        </row>
        <row r="888">
          <cell r="A888" t="str">
            <v>0092T41999</v>
          </cell>
          <cell r="B888">
            <v>104169</v>
          </cell>
        </row>
        <row r="889">
          <cell r="A889" t="str">
            <v>0093A41999</v>
          </cell>
          <cell r="B889">
            <v>766396</v>
          </cell>
        </row>
        <row r="890">
          <cell r="A890" t="str">
            <v>0093T11999</v>
          </cell>
          <cell r="B890">
            <v>104425</v>
          </cell>
        </row>
        <row r="891">
          <cell r="A891" t="str">
            <v>0093T21999</v>
          </cell>
          <cell r="B891">
            <v>162333</v>
          </cell>
        </row>
        <row r="892">
          <cell r="A892" t="str">
            <v>0093T31999</v>
          </cell>
          <cell r="B892">
            <v>221446</v>
          </cell>
        </row>
        <row r="893">
          <cell r="A893" t="str">
            <v>0093T41999</v>
          </cell>
          <cell r="B893">
            <v>278192</v>
          </cell>
        </row>
        <row r="894">
          <cell r="A894" t="str">
            <v>0094A41999</v>
          </cell>
          <cell r="B894">
            <v>-823447</v>
          </cell>
        </row>
        <row r="895">
          <cell r="A895" t="str">
            <v>0094T11999</v>
          </cell>
          <cell r="B895">
            <v>247467</v>
          </cell>
        </row>
        <row r="896">
          <cell r="A896" t="str">
            <v>0094T21999</v>
          </cell>
          <cell r="B896">
            <v>108622</v>
          </cell>
        </row>
        <row r="897">
          <cell r="A897" t="str">
            <v>0094T31999</v>
          </cell>
          <cell r="B897">
            <v>-108657</v>
          </cell>
        </row>
        <row r="898">
          <cell r="A898" t="str">
            <v>0094T41999</v>
          </cell>
          <cell r="B898">
            <v>-1070879</v>
          </cell>
        </row>
        <row r="899">
          <cell r="A899" t="str">
            <v>0095A41999</v>
          </cell>
          <cell r="B899">
            <v>0</v>
          </cell>
        </row>
        <row r="900">
          <cell r="A900" t="str">
            <v>0095T11999</v>
          </cell>
          <cell r="B900">
            <v>0</v>
          </cell>
        </row>
        <row r="901">
          <cell r="A901" t="str">
            <v>0095T21999</v>
          </cell>
          <cell r="B901">
            <v>0</v>
          </cell>
        </row>
        <row r="902">
          <cell r="A902" t="str">
            <v>0095T31999</v>
          </cell>
          <cell r="B902">
            <v>0</v>
          </cell>
        </row>
        <row r="903">
          <cell r="A903" t="str">
            <v>0095T41999</v>
          </cell>
          <cell r="B903">
            <v>0</v>
          </cell>
        </row>
        <row r="904">
          <cell r="A904" t="str">
            <v>0096A41999</v>
          </cell>
          <cell r="B904">
            <v>0</v>
          </cell>
        </row>
        <row r="905">
          <cell r="A905" t="str">
            <v>0096T11999</v>
          </cell>
          <cell r="B905">
            <v>0</v>
          </cell>
        </row>
        <row r="906">
          <cell r="A906" t="str">
            <v>0096T21999</v>
          </cell>
          <cell r="B906">
            <v>0</v>
          </cell>
        </row>
        <row r="907">
          <cell r="A907" t="str">
            <v>0096T31999</v>
          </cell>
          <cell r="B907">
            <v>0</v>
          </cell>
        </row>
        <row r="908">
          <cell r="A908" t="str">
            <v>0096T41999</v>
          </cell>
          <cell r="B908">
            <v>0</v>
          </cell>
        </row>
        <row r="909">
          <cell r="A909" t="str">
            <v>0097A41999</v>
          </cell>
          <cell r="B909">
            <v>-823447</v>
          </cell>
        </row>
        <row r="910">
          <cell r="A910" t="str">
            <v>0097T11999</v>
          </cell>
          <cell r="B910">
            <v>247467</v>
          </cell>
        </row>
        <row r="911">
          <cell r="A911" t="str">
            <v>0097T21999</v>
          </cell>
          <cell r="B911">
            <v>108622</v>
          </cell>
        </row>
        <row r="912">
          <cell r="A912" t="str">
            <v>0097T31999</v>
          </cell>
          <cell r="B912">
            <v>-108657</v>
          </cell>
        </row>
        <row r="913">
          <cell r="A913" t="str">
            <v>0097T41999</v>
          </cell>
          <cell r="B913">
            <v>-1070879</v>
          </cell>
        </row>
        <row r="914">
          <cell r="A914" t="str">
            <v>0098A41999</v>
          </cell>
          <cell r="B914">
            <v>0</v>
          </cell>
        </row>
        <row r="915">
          <cell r="A915" t="str">
            <v>0098T11999</v>
          </cell>
          <cell r="B915">
            <v>0</v>
          </cell>
        </row>
        <row r="916">
          <cell r="A916" t="str">
            <v>0098T21999</v>
          </cell>
          <cell r="B916">
            <v>0</v>
          </cell>
        </row>
        <row r="917">
          <cell r="A917" t="str">
            <v>0098T31999</v>
          </cell>
          <cell r="B917">
            <v>0</v>
          </cell>
        </row>
        <row r="918">
          <cell r="A918" t="str">
            <v>0098T41999</v>
          </cell>
          <cell r="B918">
            <v>0</v>
          </cell>
        </row>
        <row r="919">
          <cell r="A919" t="str">
            <v>0099A21997</v>
          </cell>
          <cell r="B919">
            <v>391691</v>
          </cell>
        </row>
        <row r="920">
          <cell r="A920" t="str">
            <v>0099A31998</v>
          </cell>
          <cell r="B920">
            <v>-4673258</v>
          </cell>
        </row>
        <row r="921">
          <cell r="A921" t="str">
            <v>0099T11998</v>
          </cell>
          <cell r="B921">
            <v>535284</v>
          </cell>
        </row>
        <row r="922">
          <cell r="A922" t="str">
            <v>0099T21998</v>
          </cell>
          <cell r="B922">
            <v>-691264</v>
          </cell>
        </row>
        <row r="923">
          <cell r="A923" t="str">
            <v>0099T31998</v>
          </cell>
          <cell r="B923">
            <v>-40601</v>
          </cell>
        </row>
        <row r="924">
          <cell r="A924" t="str">
            <v>0099T41998</v>
          </cell>
          <cell r="B924">
            <v>4202138</v>
          </cell>
        </row>
        <row r="925">
          <cell r="A925" t="str">
            <v>0099A41999</v>
          </cell>
          <cell r="B925">
            <v>-823447</v>
          </cell>
        </row>
        <row r="926">
          <cell r="A926" t="str">
            <v>0099T11999</v>
          </cell>
          <cell r="B926">
            <v>247467</v>
          </cell>
        </row>
        <row r="927">
          <cell r="A927" t="str">
            <v>0099T21999</v>
          </cell>
          <cell r="B927">
            <v>108622</v>
          </cell>
        </row>
        <row r="928">
          <cell r="A928" t="str">
            <v>0099T31999</v>
          </cell>
          <cell r="B928">
            <v>-108657</v>
          </cell>
        </row>
        <row r="929">
          <cell r="A929" t="str">
            <v>0099T41999</v>
          </cell>
          <cell r="B929">
            <v>-1070879</v>
          </cell>
        </row>
        <row r="930">
          <cell r="A930" t="str">
            <v>0100A21997</v>
          </cell>
          <cell r="B930">
            <v>971756</v>
          </cell>
        </row>
        <row r="931">
          <cell r="A931" t="str">
            <v>0100A31998</v>
          </cell>
          <cell r="B931">
            <v>2917891</v>
          </cell>
        </row>
        <row r="932">
          <cell r="A932" t="str">
            <v>0100T11998</v>
          </cell>
          <cell r="B932">
            <v>386197</v>
          </cell>
        </row>
        <row r="933">
          <cell r="A933" t="str">
            <v>0100T21998</v>
          </cell>
          <cell r="B933">
            <v>570653</v>
          </cell>
        </row>
        <row r="934">
          <cell r="A934" t="str">
            <v>0100T31998</v>
          </cell>
          <cell r="B934">
            <v>634435</v>
          </cell>
        </row>
        <row r="935">
          <cell r="A935" t="str">
            <v>0100T41998</v>
          </cell>
          <cell r="B935">
            <v>1326606</v>
          </cell>
        </row>
        <row r="936">
          <cell r="A936" t="str">
            <v>0100A41999</v>
          </cell>
          <cell r="B936">
            <v>4186736</v>
          </cell>
        </row>
        <row r="937">
          <cell r="A937" t="str">
            <v>0100T11999</v>
          </cell>
          <cell r="B937">
            <v>586380</v>
          </cell>
        </row>
        <row r="938">
          <cell r="A938" t="str">
            <v>0100T21999</v>
          </cell>
          <cell r="B938">
            <v>375207</v>
          </cell>
        </row>
        <row r="939">
          <cell r="A939" t="str">
            <v>0100T31999</v>
          </cell>
          <cell r="B939">
            <v>1435195</v>
          </cell>
        </row>
        <row r="940">
          <cell r="A940" t="str">
            <v>0100T41999</v>
          </cell>
          <cell r="B940">
            <v>1789954</v>
          </cell>
        </row>
        <row r="941">
          <cell r="A941" t="str">
            <v>0101A21997</v>
          </cell>
          <cell r="B941">
            <v>2773796</v>
          </cell>
        </row>
        <row r="942">
          <cell r="A942" t="str">
            <v>0101A31998</v>
          </cell>
          <cell r="B942">
            <v>2294647</v>
          </cell>
        </row>
        <row r="943">
          <cell r="A943" t="str">
            <v>0101A41999</v>
          </cell>
          <cell r="B943">
            <v>40220</v>
          </cell>
        </row>
        <row r="944">
          <cell r="A944" t="str">
            <v>0101T11999</v>
          </cell>
          <cell r="B944">
            <v>0</v>
          </cell>
        </row>
        <row r="945">
          <cell r="A945" t="str">
            <v>0101T21999</v>
          </cell>
          <cell r="B945">
            <v>0</v>
          </cell>
        </row>
        <row r="946">
          <cell r="A946" t="str">
            <v>0101T31999</v>
          </cell>
          <cell r="B946">
            <v>0</v>
          </cell>
        </row>
        <row r="947">
          <cell r="A947" t="str">
            <v>0101T41999</v>
          </cell>
          <cell r="B947">
            <v>40220</v>
          </cell>
        </row>
        <row r="948">
          <cell r="A948" t="str">
            <v>0102A21997</v>
          </cell>
          <cell r="B948">
            <v>306294</v>
          </cell>
        </row>
        <row r="949">
          <cell r="A949" t="str">
            <v>0102A31998</v>
          </cell>
        </row>
        <row r="950">
          <cell r="A950" t="str">
            <v>0102T11998</v>
          </cell>
        </row>
        <row r="951">
          <cell r="A951" t="str">
            <v>0102T21998</v>
          </cell>
        </row>
        <row r="952">
          <cell r="A952" t="str">
            <v>0102T31998</v>
          </cell>
        </row>
        <row r="953">
          <cell r="A953" t="str">
            <v>0102T41998</v>
          </cell>
        </row>
        <row r="954">
          <cell r="A954" t="str">
            <v>0102A41999</v>
          </cell>
          <cell r="B954">
            <v>1087222</v>
          </cell>
        </row>
        <row r="955">
          <cell r="A955" t="str">
            <v>0102T11999</v>
          </cell>
          <cell r="B955">
            <v>25476</v>
          </cell>
        </row>
        <row r="956">
          <cell r="A956" t="str">
            <v>0102T21999</v>
          </cell>
          <cell r="B956">
            <v>134457</v>
          </cell>
        </row>
        <row r="957">
          <cell r="A957" t="str">
            <v>0102T31999</v>
          </cell>
          <cell r="B957">
            <v>365846</v>
          </cell>
        </row>
        <row r="958">
          <cell r="A958" t="str">
            <v>0102T41999</v>
          </cell>
          <cell r="B958">
            <v>561443</v>
          </cell>
        </row>
        <row r="959">
          <cell r="A959" t="str">
            <v>0103A21997</v>
          </cell>
          <cell r="B959">
            <v>3091420</v>
          </cell>
        </row>
        <row r="960">
          <cell r="A960" t="str">
            <v>0103A31998</v>
          </cell>
          <cell r="B960">
            <v>3644934</v>
          </cell>
        </row>
        <row r="961">
          <cell r="A961" t="str">
            <v>0103T11998</v>
          </cell>
          <cell r="B961">
            <v>851912</v>
          </cell>
        </row>
        <row r="962">
          <cell r="A962" t="str">
            <v>0103T21998</v>
          </cell>
          <cell r="B962">
            <v>769674</v>
          </cell>
        </row>
        <row r="963">
          <cell r="A963" t="str">
            <v>0103T31998</v>
          </cell>
          <cell r="B963">
            <v>1044386</v>
          </cell>
        </row>
        <row r="964">
          <cell r="A964" t="str">
            <v>0103T41998</v>
          </cell>
          <cell r="B964">
            <v>978962</v>
          </cell>
        </row>
        <row r="965">
          <cell r="A965" t="str">
            <v>0103A41999</v>
          </cell>
          <cell r="B965">
            <v>8241203</v>
          </cell>
        </row>
        <row r="966">
          <cell r="A966" t="str">
            <v>0103T11999</v>
          </cell>
          <cell r="B966">
            <v>712079</v>
          </cell>
        </row>
        <row r="967">
          <cell r="A967" t="str">
            <v>0103T21999</v>
          </cell>
          <cell r="B967">
            <v>1505210</v>
          </cell>
        </row>
        <row r="968">
          <cell r="A968" t="str">
            <v>0103T31999</v>
          </cell>
          <cell r="B968">
            <v>2536968</v>
          </cell>
        </row>
        <row r="969">
          <cell r="A969" t="str">
            <v>0103T41999</v>
          </cell>
          <cell r="B969">
            <v>3486946</v>
          </cell>
        </row>
        <row r="970">
          <cell r="A970" t="str">
            <v>0104A21997</v>
          </cell>
          <cell r="B970">
            <v>1244847</v>
          </cell>
        </row>
        <row r="971">
          <cell r="A971" t="str">
            <v>0104A31998</v>
          </cell>
          <cell r="B971">
            <v>1062129</v>
          </cell>
        </row>
        <row r="972">
          <cell r="A972" t="str">
            <v>0104T11998</v>
          </cell>
          <cell r="B972">
            <v>218717</v>
          </cell>
        </row>
        <row r="973">
          <cell r="A973" t="str">
            <v>0104T21998</v>
          </cell>
          <cell r="B973">
            <v>313996</v>
          </cell>
        </row>
        <row r="974">
          <cell r="A974" t="str">
            <v>0104T31998</v>
          </cell>
          <cell r="B974">
            <v>404595</v>
          </cell>
        </row>
        <row r="975">
          <cell r="A975" t="str">
            <v>0104T41998</v>
          </cell>
          <cell r="B975">
            <v>124821</v>
          </cell>
        </row>
        <row r="976">
          <cell r="A976" t="str">
            <v>0104A41999</v>
          </cell>
          <cell r="B976">
            <v>967446</v>
          </cell>
        </row>
        <row r="977">
          <cell r="A977" t="str">
            <v>0104T11999</v>
          </cell>
          <cell r="B977">
            <v>64735</v>
          </cell>
        </row>
        <row r="978">
          <cell r="A978" t="str">
            <v>0104T21999</v>
          </cell>
          <cell r="B978">
            <v>419385</v>
          </cell>
        </row>
        <row r="979">
          <cell r="A979" t="str">
            <v>0104T31999</v>
          </cell>
          <cell r="B979">
            <v>519661</v>
          </cell>
        </row>
        <row r="980">
          <cell r="A980" t="str">
            <v>0104T41999</v>
          </cell>
          <cell r="B980">
            <v>967446</v>
          </cell>
        </row>
        <row r="981">
          <cell r="A981" t="str">
            <v>0105A41999</v>
          </cell>
          <cell r="B981">
            <v>7942597</v>
          </cell>
        </row>
        <row r="982">
          <cell r="A982" t="str">
            <v>0105T11999</v>
          </cell>
          <cell r="B982">
            <v>7987528</v>
          </cell>
        </row>
        <row r="983">
          <cell r="A983" t="str">
            <v>0105T21999</v>
          </cell>
          <cell r="B983">
            <v>7991703</v>
          </cell>
        </row>
        <row r="984">
          <cell r="A984" t="str">
            <v>0105T31999</v>
          </cell>
          <cell r="B984">
            <v>7971721</v>
          </cell>
        </row>
        <row r="985">
          <cell r="A985" t="str">
            <v>0105T41999</v>
          </cell>
          <cell r="B985">
            <v>7942597</v>
          </cell>
        </row>
        <row r="986">
          <cell r="A986" t="str">
            <v>0106A41999</v>
          </cell>
          <cell r="B986">
            <v>27079</v>
          </cell>
        </row>
        <row r="987">
          <cell r="A987" t="str">
            <v>0106T11999</v>
          </cell>
          <cell r="B987">
            <v>27079</v>
          </cell>
        </row>
        <row r="988">
          <cell r="A988" t="str">
            <v>0106T21999</v>
          </cell>
          <cell r="B988">
            <v>27079</v>
          </cell>
        </row>
        <row r="989">
          <cell r="A989" t="str">
            <v>0106T31999</v>
          </cell>
          <cell r="B989">
            <v>27079</v>
          </cell>
        </row>
        <row r="990">
          <cell r="A990" t="str">
            <v>0106T41999</v>
          </cell>
          <cell r="B990">
            <v>27079</v>
          </cell>
        </row>
        <row r="991">
          <cell r="A991" t="str">
            <v>0107A41999</v>
          </cell>
          <cell r="B991">
            <v>0</v>
          </cell>
        </row>
        <row r="992">
          <cell r="A992" t="str">
            <v>0107T11999</v>
          </cell>
          <cell r="B992">
            <v>1156177</v>
          </cell>
        </row>
        <row r="993">
          <cell r="A993" t="str">
            <v>0107T21999</v>
          </cell>
          <cell r="B993">
            <v>0</v>
          </cell>
        </row>
        <row r="994">
          <cell r="A994" t="str">
            <v>0107T31999</v>
          </cell>
          <cell r="B994">
            <v>0</v>
          </cell>
        </row>
        <row r="995">
          <cell r="A995" t="str">
            <v>0107T41999</v>
          </cell>
          <cell r="B995">
            <v>0</v>
          </cell>
        </row>
        <row r="996">
          <cell r="A996" t="str">
            <v>0108A41999</v>
          </cell>
          <cell r="B996">
            <v>191416</v>
          </cell>
        </row>
        <row r="997">
          <cell r="A997" t="str">
            <v>0108T11999</v>
          </cell>
          <cell r="B997">
            <v>157816</v>
          </cell>
        </row>
        <row r="998">
          <cell r="A998" t="str">
            <v>0108T21999</v>
          </cell>
          <cell r="B998">
            <v>177244</v>
          </cell>
        </row>
        <row r="999">
          <cell r="A999" t="str">
            <v>0108T31999</v>
          </cell>
          <cell r="B999">
            <v>182079</v>
          </cell>
        </row>
        <row r="1000">
          <cell r="A1000" t="str">
            <v>0108T41999</v>
          </cell>
          <cell r="B1000">
            <v>191416</v>
          </cell>
        </row>
        <row r="1001">
          <cell r="A1001" t="str">
            <v>0109A41999</v>
          </cell>
          <cell r="B1001">
            <v>82215</v>
          </cell>
        </row>
        <row r="1002">
          <cell r="A1002" t="str">
            <v>0109T11999</v>
          </cell>
          <cell r="B1002">
            <v>14414</v>
          </cell>
        </row>
        <row r="1003">
          <cell r="A1003" t="str">
            <v>0109T21999</v>
          </cell>
          <cell r="B1003">
            <v>33842</v>
          </cell>
        </row>
        <row r="1004">
          <cell r="A1004" t="str">
            <v>0109T31999</v>
          </cell>
          <cell r="B1004">
            <v>4835</v>
          </cell>
        </row>
        <row r="1005">
          <cell r="A1005" t="str">
            <v>0109T41999</v>
          </cell>
          <cell r="B1005">
            <v>29124</v>
          </cell>
        </row>
        <row r="1006">
          <cell r="A1006" t="str">
            <v>0110A21997</v>
          </cell>
          <cell r="B1006">
            <v>379236</v>
          </cell>
        </row>
        <row r="1007">
          <cell r="A1007" t="str">
            <v>0110T11997</v>
          </cell>
          <cell r="B1007">
            <v>371279</v>
          </cell>
        </row>
        <row r="1008">
          <cell r="A1008" t="str">
            <v>0110T21997</v>
          </cell>
          <cell r="B1008">
            <v>373931</v>
          </cell>
        </row>
        <row r="1009">
          <cell r="A1009" t="str">
            <v>0110T31997</v>
          </cell>
          <cell r="B1009">
            <v>376584</v>
          </cell>
        </row>
        <row r="1010">
          <cell r="A1010" t="str">
            <v>0110T41997</v>
          </cell>
          <cell r="B1010">
            <v>379236</v>
          </cell>
        </row>
        <row r="1011">
          <cell r="A1011" t="str">
            <v>0110A31998</v>
          </cell>
          <cell r="B1011">
            <v>390073</v>
          </cell>
        </row>
        <row r="1012">
          <cell r="A1012" t="str">
            <v>0110T11998</v>
          </cell>
          <cell r="B1012">
            <v>381945</v>
          </cell>
        </row>
        <row r="1013">
          <cell r="A1013" t="str">
            <v>0110T21998</v>
          </cell>
          <cell r="B1013">
            <v>384655</v>
          </cell>
        </row>
        <row r="1014">
          <cell r="A1014" t="str">
            <v>0110T31998</v>
          </cell>
          <cell r="B1014">
            <v>387364</v>
          </cell>
        </row>
        <row r="1015">
          <cell r="A1015" t="str">
            <v>0110T41998</v>
          </cell>
          <cell r="B1015">
            <v>390073</v>
          </cell>
        </row>
        <row r="1016">
          <cell r="A1016" t="str">
            <v>0110A41999</v>
          </cell>
          <cell r="B1016">
            <v>388060</v>
          </cell>
        </row>
        <row r="1017">
          <cell r="A1017" t="str">
            <v>0110T11999</v>
          </cell>
          <cell r="B1017">
            <v>379570</v>
          </cell>
        </row>
        <row r="1018">
          <cell r="A1018" t="str">
            <v>0110T21999</v>
          </cell>
          <cell r="B1018">
            <v>382379</v>
          </cell>
        </row>
        <row r="1019">
          <cell r="A1019" t="str">
            <v>0110T31999</v>
          </cell>
          <cell r="B1019">
            <v>385208</v>
          </cell>
        </row>
        <row r="1020">
          <cell r="A1020" t="str">
            <v>0110T41999</v>
          </cell>
          <cell r="B1020">
            <v>388060</v>
          </cell>
        </row>
        <row r="1021">
          <cell r="A1021" t="str">
            <v>0111A41999</v>
          </cell>
        </row>
        <row r="1022">
          <cell r="A1022" t="str">
            <v>0114A21997</v>
          </cell>
          <cell r="B1022">
            <v>6</v>
          </cell>
        </row>
        <row r="1023">
          <cell r="A1023" t="str">
            <v>0114T11997</v>
          </cell>
          <cell r="B1023">
            <v>6</v>
          </cell>
        </row>
        <row r="1024">
          <cell r="A1024" t="str">
            <v>0114T21997</v>
          </cell>
          <cell r="B1024">
            <v>6</v>
          </cell>
        </row>
        <row r="1025">
          <cell r="A1025" t="str">
            <v>0114T31997</v>
          </cell>
          <cell r="B1025">
            <v>6</v>
          </cell>
        </row>
        <row r="1026">
          <cell r="A1026" t="str">
            <v>0114T41997</v>
          </cell>
          <cell r="B1026">
            <v>6</v>
          </cell>
        </row>
        <row r="1027">
          <cell r="A1027" t="str">
            <v>0114A31998</v>
          </cell>
          <cell r="B1027">
            <v>6</v>
          </cell>
        </row>
        <row r="1028">
          <cell r="A1028" t="str">
            <v>0114T11998</v>
          </cell>
          <cell r="B1028">
            <v>6</v>
          </cell>
        </row>
        <row r="1029">
          <cell r="A1029" t="str">
            <v>0114T21998</v>
          </cell>
          <cell r="B1029">
            <v>6</v>
          </cell>
        </row>
        <row r="1030">
          <cell r="A1030" t="str">
            <v>0114T31998</v>
          </cell>
          <cell r="B1030">
            <v>6</v>
          </cell>
        </row>
        <row r="1031">
          <cell r="A1031" t="str">
            <v>0114T41998</v>
          </cell>
          <cell r="B1031">
            <v>6</v>
          </cell>
        </row>
        <row r="1032">
          <cell r="A1032" t="str">
            <v>0114T11999</v>
          </cell>
          <cell r="B1032">
            <v>6</v>
          </cell>
        </row>
        <row r="1033">
          <cell r="A1033" t="str">
            <v>0114T21999</v>
          </cell>
          <cell r="B1033">
            <v>6</v>
          </cell>
        </row>
        <row r="1034">
          <cell r="A1034" t="str">
            <v>0114T31999</v>
          </cell>
          <cell r="B1034">
            <v>6</v>
          </cell>
        </row>
      </sheetData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/>
      <sheetData sheetId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13</v>
          </cell>
        </row>
        <row r="3">
          <cell r="A3" t="str">
            <v>0001T11997</v>
          </cell>
          <cell r="B3">
            <v>13</v>
          </cell>
        </row>
        <row r="4">
          <cell r="A4" t="str">
            <v>0001T41997</v>
          </cell>
          <cell r="B4">
            <v>13</v>
          </cell>
        </row>
        <row r="5">
          <cell r="A5" t="str">
            <v>0001A31998</v>
          </cell>
          <cell r="B5">
            <v>17</v>
          </cell>
        </row>
        <row r="6">
          <cell r="A6" t="str">
            <v>0001T11998</v>
          </cell>
          <cell r="B6">
            <v>16</v>
          </cell>
        </row>
        <row r="7">
          <cell r="A7" t="str">
            <v>0001T21998</v>
          </cell>
          <cell r="B7">
            <v>16</v>
          </cell>
        </row>
        <row r="8">
          <cell r="A8" t="str">
            <v>0001T31998</v>
          </cell>
          <cell r="B8">
            <v>17</v>
          </cell>
        </row>
        <row r="9">
          <cell r="A9" t="str">
            <v>0001T41998</v>
          </cell>
          <cell r="B9">
            <v>17</v>
          </cell>
        </row>
        <row r="10">
          <cell r="A10" t="str">
            <v>0001A41999</v>
          </cell>
          <cell r="B10">
            <v>17</v>
          </cell>
        </row>
        <row r="11">
          <cell r="A11" t="str">
            <v>0001T11999</v>
          </cell>
          <cell r="B11">
            <v>17</v>
          </cell>
        </row>
        <row r="12">
          <cell r="A12" t="str">
            <v>0001T21999</v>
          </cell>
          <cell r="B12">
            <v>17</v>
          </cell>
        </row>
        <row r="13">
          <cell r="A13" t="str">
            <v>0001T31999</v>
          </cell>
          <cell r="B13">
            <v>17</v>
          </cell>
        </row>
        <row r="14">
          <cell r="A14" t="str">
            <v>0001T41999</v>
          </cell>
          <cell r="B14">
            <v>17</v>
          </cell>
        </row>
        <row r="15">
          <cell r="A15" t="str">
            <v>0002A21997</v>
          </cell>
          <cell r="B15">
            <v>353</v>
          </cell>
        </row>
        <row r="16">
          <cell r="A16" t="str">
            <v>0002T11997</v>
          </cell>
          <cell r="B16">
            <v>350</v>
          </cell>
        </row>
        <row r="17">
          <cell r="A17" t="str">
            <v>0002T21997</v>
          </cell>
          <cell r="B17">
            <v>353</v>
          </cell>
        </row>
        <row r="18">
          <cell r="A18" t="str">
            <v>0002T31997</v>
          </cell>
          <cell r="B18">
            <v>353</v>
          </cell>
        </row>
        <row r="19">
          <cell r="A19" t="str">
            <v>0002T41997</v>
          </cell>
          <cell r="B19">
            <v>353</v>
          </cell>
        </row>
        <row r="20">
          <cell r="A20" t="str">
            <v>0002A31998</v>
          </cell>
          <cell r="B20">
            <v>372</v>
          </cell>
        </row>
        <row r="21">
          <cell r="A21" t="str">
            <v>0002T11998</v>
          </cell>
          <cell r="B21">
            <v>376</v>
          </cell>
        </row>
        <row r="22">
          <cell r="A22" t="str">
            <v>0002T21998</v>
          </cell>
          <cell r="B22">
            <v>374</v>
          </cell>
        </row>
        <row r="23">
          <cell r="A23" t="str">
            <v>0002T31998</v>
          </cell>
          <cell r="B23">
            <v>372</v>
          </cell>
        </row>
        <row r="24">
          <cell r="A24" t="str">
            <v>0002T41998</v>
          </cell>
          <cell r="B24">
            <v>372</v>
          </cell>
        </row>
        <row r="25">
          <cell r="A25" t="str">
            <v>0002A41999</v>
          </cell>
          <cell r="B25">
            <v>358</v>
          </cell>
        </row>
        <row r="26">
          <cell r="A26" t="str">
            <v>0002T11999</v>
          </cell>
          <cell r="B26">
            <v>368</v>
          </cell>
        </row>
        <row r="27">
          <cell r="A27" t="str">
            <v>0002T21999</v>
          </cell>
          <cell r="B27">
            <v>367</v>
          </cell>
        </row>
        <row r="28">
          <cell r="A28" t="str">
            <v>0002T31999</v>
          </cell>
          <cell r="B28">
            <v>413</v>
          </cell>
        </row>
        <row r="29">
          <cell r="A29" t="str">
            <v>0002T41999</v>
          </cell>
          <cell r="B29">
            <v>358</v>
          </cell>
        </row>
        <row r="30">
          <cell r="A30" t="str">
            <v>0003A21997</v>
          </cell>
          <cell r="B30">
            <v>91</v>
          </cell>
        </row>
        <row r="31">
          <cell r="A31" t="str">
            <v>0003T11997</v>
          </cell>
          <cell r="B31">
            <v>92</v>
          </cell>
        </row>
        <row r="32">
          <cell r="A32" t="str">
            <v>0003T21997</v>
          </cell>
          <cell r="B32">
            <v>94</v>
          </cell>
        </row>
        <row r="33">
          <cell r="A33" t="str">
            <v>0003T31997</v>
          </cell>
          <cell r="B33">
            <v>107</v>
          </cell>
        </row>
        <row r="34">
          <cell r="A34" t="str">
            <v>0003T41997</v>
          </cell>
          <cell r="B34">
            <v>91</v>
          </cell>
        </row>
        <row r="35">
          <cell r="A35" t="str">
            <v>0003A31998</v>
          </cell>
          <cell r="B35">
            <v>54</v>
          </cell>
        </row>
        <row r="36">
          <cell r="A36" t="str">
            <v>0003T11998</v>
          </cell>
          <cell r="B36">
            <v>58</v>
          </cell>
        </row>
        <row r="37">
          <cell r="A37" t="str">
            <v>0003T21998</v>
          </cell>
          <cell r="B37">
            <v>58</v>
          </cell>
        </row>
        <row r="38">
          <cell r="A38" t="str">
            <v>0003T31998</v>
          </cell>
          <cell r="B38">
            <v>54</v>
          </cell>
        </row>
        <row r="39">
          <cell r="A39" t="str">
            <v>0003T41998</v>
          </cell>
          <cell r="B39">
            <v>54</v>
          </cell>
        </row>
        <row r="40">
          <cell r="A40" t="str">
            <v>0003A41999</v>
          </cell>
          <cell r="B40">
            <v>56</v>
          </cell>
        </row>
        <row r="41">
          <cell r="A41" t="str">
            <v>0003T11999</v>
          </cell>
          <cell r="B41">
            <v>48</v>
          </cell>
        </row>
        <row r="42">
          <cell r="A42" t="str">
            <v>0003T21999</v>
          </cell>
          <cell r="B42">
            <v>47</v>
          </cell>
        </row>
        <row r="43">
          <cell r="A43" t="str">
            <v>0003T31999</v>
          </cell>
          <cell r="B43">
            <v>52</v>
          </cell>
        </row>
        <row r="44">
          <cell r="A44" t="str">
            <v>0003T41999</v>
          </cell>
          <cell r="B44">
            <v>56</v>
          </cell>
        </row>
        <row r="45">
          <cell r="A45" t="str">
            <v>0004A21997</v>
          </cell>
          <cell r="B45">
            <v>48859640</v>
          </cell>
        </row>
        <row r="46">
          <cell r="A46" t="str">
            <v>0004T11997</v>
          </cell>
          <cell r="B46">
            <v>12356060</v>
          </cell>
        </row>
        <row r="47">
          <cell r="A47" t="str">
            <v>0004T21997</v>
          </cell>
          <cell r="B47">
            <v>12913000</v>
          </cell>
        </row>
        <row r="48">
          <cell r="A48" t="str">
            <v>0004T31997</v>
          </cell>
          <cell r="B48">
            <v>11693436</v>
          </cell>
        </row>
        <row r="49">
          <cell r="A49" t="str">
            <v>0004T41997</v>
          </cell>
          <cell r="B49">
            <v>11897144</v>
          </cell>
        </row>
        <row r="50">
          <cell r="A50" t="str">
            <v>0004A31998</v>
          </cell>
          <cell r="B50">
            <v>50911343</v>
          </cell>
        </row>
        <row r="51">
          <cell r="A51" t="str">
            <v>0004T11998</v>
          </cell>
          <cell r="B51">
            <v>11294289</v>
          </cell>
        </row>
        <row r="52">
          <cell r="A52" t="str">
            <v>0004T21998</v>
          </cell>
          <cell r="B52">
            <v>13461147</v>
          </cell>
        </row>
        <row r="53">
          <cell r="A53" t="str">
            <v>0004T31998</v>
          </cell>
          <cell r="B53">
            <v>12547036</v>
          </cell>
        </row>
        <row r="54">
          <cell r="A54" t="str">
            <v>0004T41998</v>
          </cell>
          <cell r="B54">
            <v>13508871</v>
          </cell>
        </row>
        <row r="55">
          <cell r="A55" t="str">
            <v>0004A41999</v>
          </cell>
          <cell r="B55">
            <v>47547706</v>
          </cell>
        </row>
        <row r="56">
          <cell r="A56" t="str">
            <v>0004T11999</v>
          </cell>
          <cell r="B56">
            <v>13037494</v>
          </cell>
        </row>
        <row r="57">
          <cell r="A57" t="str">
            <v>0004T21999</v>
          </cell>
          <cell r="B57">
            <v>11939513</v>
          </cell>
        </row>
        <row r="58">
          <cell r="A58" t="str">
            <v>0004T31999</v>
          </cell>
          <cell r="B58">
            <v>11201291</v>
          </cell>
        </row>
        <row r="59">
          <cell r="A59" t="str">
            <v>0004T41999</v>
          </cell>
          <cell r="B59">
            <v>11369408</v>
          </cell>
        </row>
        <row r="60">
          <cell r="A60" t="str">
            <v>0005A21997</v>
          </cell>
          <cell r="B60">
            <v>0</v>
          </cell>
        </row>
        <row r="61">
          <cell r="A61" t="str">
            <v>0005T11997</v>
          </cell>
          <cell r="B61">
            <v>0</v>
          </cell>
        </row>
        <row r="62">
          <cell r="A62" t="str">
            <v>0005T21997</v>
          </cell>
          <cell r="B62">
            <v>0</v>
          </cell>
        </row>
        <row r="63">
          <cell r="A63" t="str">
            <v>0005T31997</v>
          </cell>
          <cell r="B63">
            <v>0</v>
          </cell>
        </row>
        <row r="64">
          <cell r="A64" t="str">
            <v>0005T41997</v>
          </cell>
          <cell r="B64">
            <v>0</v>
          </cell>
        </row>
        <row r="65">
          <cell r="A65" t="str">
            <v>0005A31998</v>
          </cell>
          <cell r="B65">
            <v>11783603</v>
          </cell>
        </row>
        <row r="66">
          <cell r="A66" t="str">
            <v>0005T11998</v>
          </cell>
          <cell r="B66">
            <v>2581726</v>
          </cell>
        </row>
        <row r="67">
          <cell r="A67" t="str">
            <v>0005T21998</v>
          </cell>
          <cell r="B67">
            <v>3139650</v>
          </cell>
        </row>
        <row r="68">
          <cell r="A68" t="str">
            <v>0005T31998</v>
          </cell>
          <cell r="B68">
            <v>2884688</v>
          </cell>
        </row>
        <row r="69">
          <cell r="A69" t="str">
            <v>0005T41998</v>
          </cell>
          <cell r="B69">
            <v>3157540</v>
          </cell>
        </row>
        <row r="70">
          <cell r="A70" t="str">
            <v>0005A41999</v>
          </cell>
          <cell r="B70">
            <v>19985115.620000001</v>
          </cell>
        </row>
        <row r="71">
          <cell r="A71" t="str">
            <v>0005T11999</v>
          </cell>
          <cell r="B71">
            <v>5224203</v>
          </cell>
        </row>
        <row r="72">
          <cell r="A72" t="str">
            <v>0005T21999</v>
          </cell>
          <cell r="B72">
            <v>5454416</v>
          </cell>
        </row>
        <row r="73">
          <cell r="A73" t="str">
            <v>0005T31999</v>
          </cell>
          <cell r="B73">
            <v>4733961</v>
          </cell>
        </row>
        <row r="74">
          <cell r="A74" t="str">
            <v>0005T41999</v>
          </cell>
          <cell r="B74">
            <v>4572535.62</v>
          </cell>
        </row>
        <row r="75">
          <cell r="A75" t="str">
            <v>0006A21997</v>
          </cell>
          <cell r="B75">
            <v>2636</v>
          </cell>
        </row>
        <row r="76">
          <cell r="A76" t="str">
            <v>0006A31998</v>
          </cell>
          <cell r="B76">
            <v>7011</v>
          </cell>
        </row>
        <row r="77">
          <cell r="A77" t="str">
            <v>0006T11998</v>
          </cell>
          <cell r="B77">
            <v>445</v>
          </cell>
        </row>
        <row r="78">
          <cell r="A78" t="str">
            <v>0006T21998</v>
          </cell>
          <cell r="B78">
            <v>1137</v>
          </cell>
        </row>
        <row r="79">
          <cell r="A79" t="str">
            <v>0006T31998</v>
          </cell>
          <cell r="B79">
            <v>1322</v>
          </cell>
        </row>
        <row r="80">
          <cell r="A80" t="str">
            <v>0006T41998</v>
          </cell>
          <cell r="B80">
            <v>4107</v>
          </cell>
        </row>
        <row r="81">
          <cell r="A81" t="str">
            <v>0006A41999</v>
          </cell>
          <cell r="B81">
            <v>29040</v>
          </cell>
        </row>
        <row r="82">
          <cell r="A82" t="str">
            <v>0006T11999</v>
          </cell>
          <cell r="B82">
            <v>2855</v>
          </cell>
        </row>
        <row r="83">
          <cell r="A83" t="str">
            <v>0006T21999</v>
          </cell>
          <cell r="B83">
            <v>3748</v>
          </cell>
        </row>
        <row r="84">
          <cell r="A84" t="str">
            <v>0006T31999</v>
          </cell>
          <cell r="B84">
            <v>11821</v>
          </cell>
        </row>
        <row r="85">
          <cell r="A85" t="str">
            <v>0006T41999</v>
          </cell>
          <cell r="B85">
            <v>10616</v>
          </cell>
        </row>
        <row r="86">
          <cell r="A86" t="str">
            <v>0007A21997</v>
          </cell>
          <cell r="B86">
            <v>2146</v>
          </cell>
        </row>
        <row r="87">
          <cell r="A87" t="str">
            <v>0007A31998</v>
          </cell>
          <cell r="B87">
            <v>4347</v>
          </cell>
        </row>
        <row r="88">
          <cell r="A88" t="str">
            <v>0007T11998</v>
          </cell>
        </row>
        <row r="89">
          <cell r="A89" t="str">
            <v>0007T21998</v>
          </cell>
          <cell r="B89">
            <v>730</v>
          </cell>
        </row>
        <row r="90">
          <cell r="A90" t="str">
            <v>0007T31998</v>
          </cell>
          <cell r="B90">
            <v>805</v>
          </cell>
        </row>
        <row r="91">
          <cell r="A91" t="str">
            <v>0007T41998</v>
          </cell>
          <cell r="B91">
            <v>2388</v>
          </cell>
        </row>
        <row r="92">
          <cell r="A92" t="str">
            <v>0007A41999</v>
          </cell>
          <cell r="B92">
            <v>22821</v>
          </cell>
        </row>
        <row r="93">
          <cell r="A93" t="str">
            <v>0007T11999</v>
          </cell>
          <cell r="B93">
            <v>1436</v>
          </cell>
        </row>
        <row r="94">
          <cell r="A94" t="str">
            <v>0007T21999</v>
          </cell>
          <cell r="B94">
            <v>2474</v>
          </cell>
        </row>
        <row r="95">
          <cell r="A95" t="str">
            <v>0007T31999</v>
          </cell>
          <cell r="B95">
            <v>9199</v>
          </cell>
        </row>
        <row r="96">
          <cell r="A96" t="str">
            <v>0007T41999</v>
          </cell>
          <cell r="B96">
            <v>9712</v>
          </cell>
        </row>
        <row r="97">
          <cell r="A97" t="str">
            <v>0008A31998</v>
          </cell>
          <cell r="B97">
            <v>0</v>
          </cell>
        </row>
        <row r="98">
          <cell r="A98" t="str">
            <v>0008T11998</v>
          </cell>
          <cell r="B98">
            <v>0</v>
          </cell>
        </row>
        <row r="99">
          <cell r="A99" t="str">
            <v>0008T21998</v>
          </cell>
          <cell r="B99">
            <v>0</v>
          </cell>
        </row>
        <row r="100">
          <cell r="A100" t="str">
            <v>0008T31998</v>
          </cell>
          <cell r="B100">
            <v>0</v>
          </cell>
        </row>
        <row r="101">
          <cell r="A101" t="str">
            <v>0008T41998</v>
          </cell>
          <cell r="B101">
            <v>0</v>
          </cell>
        </row>
        <row r="102">
          <cell r="A102" t="str">
            <v>0008A41999</v>
          </cell>
          <cell r="B102">
            <v>564</v>
          </cell>
        </row>
        <row r="103">
          <cell r="A103" t="str">
            <v>0008T11999</v>
          </cell>
          <cell r="B103">
            <v>84</v>
          </cell>
        </row>
        <row r="104">
          <cell r="A104" t="str">
            <v>0008T21999</v>
          </cell>
          <cell r="B104">
            <v>194</v>
          </cell>
        </row>
        <row r="105">
          <cell r="A105" t="str">
            <v>0008T31999</v>
          </cell>
          <cell r="B105">
            <v>75</v>
          </cell>
        </row>
        <row r="106">
          <cell r="A106" t="str">
            <v>0008T41999</v>
          </cell>
          <cell r="B106">
            <v>211</v>
          </cell>
        </row>
        <row r="107">
          <cell r="A107" t="str">
            <v>0009A31998</v>
          </cell>
          <cell r="B107">
            <v>0</v>
          </cell>
        </row>
        <row r="108">
          <cell r="A108" t="str">
            <v>0009T11998</v>
          </cell>
          <cell r="B108">
            <v>0</v>
          </cell>
        </row>
        <row r="109">
          <cell r="A109" t="str">
            <v>0009T21998</v>
          </cell>
          <cell r="B109">
            <v>0</v>
          </cell>
        </row>
        <row r="110">
          <cell r="A110" t="str">
            <v>0009T31998</v>
          </cell>
          <cell r="B110">
            <v>0</v>
          </cell>
        </row>
        <row r="111">
          <cell r="A111" t="str">
            <v>0009T41998</v>
          </cell>
          <cell r="B111">
            <v>0</v>
          </cell>
        </row>
        <row r="112">
          <cell r="A112" t="str">
            <v>0009A41999</v>
          </cell>
          <cell r="B112">
            <v>556</v>
          </cell>
        </row>
        <row r="113">
          <cell r="A113" t="str">
            <v>0009T11999</v>
          </cell>
          <cell r="B113">
            <v>82</v>
          </cell>
        </row>
        <row r="114">
          <cell r="A114" t="str">
            <v>0009T21999</v>
          </cell>
          <cell r="B114">
            <v>190</v>
          </cell>
        </row>
        <row r="115">
          <cell r="A115" t="str">
            <v>0009T31999</v>
          </cell>
          <cell r="B115">
            <v>73</v>
          </cell>
        </row>
        <row r="116">
          <cell r="A116" t="str">
            <v>0009T41999</v>
          </cell>
          <cell r="B116">
            <v>211</v>
          </cell>
        </row>
        <row r="117">
          <cell r="A117" t="str">
            <v>0010A21997</v>
          </cell>
          <cell r="B117">
            <v>1310</v>
          </cell>
        </row>
        <row r="118">
          <cell r="A118" t="str">
            <v>0010A31998</v>
          </cell>
          <cell r="B118">
            <v>422</v>
          </cell>
        </row>
        <row r="119">
          <cell r="A119" t="str">
            <v>0010T11998</v>
          </cell>
          <cell r="B119">
            <v>80</v>
          </cell>
        </row>
        <row r="120">
          <cell r="A120" t="str">
            <v>0010T21998</v>
          </cell>
          <cell r="B120">
            <v>91</v>
          </cell>
        </row>
        <row r="121">
          <cell r="A121" t="str">
            <v>0010T31998</v>
          </cell>
          <cell r="B121">
            <v>137</v>
          </cell>
        </row>
        <row r="122">
          <cell r="A122" t="str">
            <v>0010T41998</v>
          </cell>
          <cell r="B122">
            <v>114</v>
          </cell>
        </row>
        <row r="123">
          <cell r="A123" t="str">
            <v>0010A41999</v>
          </cell>
          <cell r="B123">
            <v>0</v>
          </cell>
        </row>
        <row r="124">
          <cell r="A124" t="str">
            <v>0010T11999</v>
          </cell>
          <cell r="B124">
            <v>0</v>
          </cell>
        </row>
        <row r="125">
          <cell r="A125" t="str">
            <v>0010T21999</v>
          </cell>
          <cell r="B125">
            <v>0</v>
          </cell>
        </row>
        <row r="126">
          <cell r="A126" t="str">
            <v>0010T31999</v>
          </cell>
          <cell r="B126">
            <v>0</v>
          </cell>
        </row>
        <row r="127">
          <cell r="A127" t="str">
            <v>0010T41999</v>
          </cell>
          <cell r="B127">
            <v>0</v>
          </cell>
        </row>
        <row r="128">
          <cell r="A128" t="str">
            <v>0011A21997</v>
          </cell>
          <cell r="B128">
            <v>6980</v>
          </cell>
        </row>
        <row r="129">
          <cell r="A129" t="str">
            <v>0011A31998</v>
          </cell>
          <cell r="B129">
            <v>5855</v>
          </cell>
        </row>
        <row r="130">
          <cell r="A130" t="str">
            <v>0011T11998</v>
          </cell>
          <cell r="B130">
            <v>1567</v>
          </cell>
        </row>
        <row r="131">
          <cell r="A131" t="str">
            <v>0011T21998</v>
          </cell>
          <cell r="B131">
            <v>1677</v>
          </cell>
        </row>
        <row r="132">
          <cell r="A132" t="str">
            <v>0011T31998</v>
          </cell>
          <cell r="B132">
            <v>1212</v>
          </cell>
        </row>
        <row r="133">
          <cell r="A133" t="str">
            <v>0011T41998</v>
          </cell>
          <cell r="B133">
            <v>1399</v>
          </cell>
        </row>
        <row r="134">
          <cell r="A134" t="str">
            <v>0011A41999</v>
          </cell>
          <cell r="B134">
            <v>0</v>
          </cell>
        </row>
        <row r="135">
          <cell r="A135" t="str">
            <v>0011T11999</v>
          </cell>
          <cell r="B135">
            <v>0</v>
          </cell>
        </row>
        <row r="136">
          <cell r="A136" t="str">
            <v>0011T21999</v>
          </cell>
          <cell r="B136">
            <v>0</v>
          </cell>
        </row>
        <row r="137">
          <cell r="A137" t="str">
            <v>0011T31999</v>
          </cell>
          <cell r="B137">
            <v>0</v>
          </cell>
        </row>
        <row r="138">
          <cell r="A138" t="str">
            <v>0011T41999</v>
          </cell>
          <cell r="B138">
            <v>0</v>
          </cell>
        </row>
        <row r="139">
          <cell r="A139" t="str">
            <v>0012A21997</v>
          </cell>
          <cell r="B139">
            <v>1024</v>
          </cell>
        </row>
        <row r="140">
          <cell r="A140" t="str">
            <v>0012T41997</v>
          </cell>
          <cell r="B140">
            <v>1024</v>
          </cell>
        </row>
        <row r="141">
          <cell r="A141" t="str">
            <v>0012A31998</v>
          </cell>
          <cell r="B141">
            <v>1025</v>
          </cell>
        </row>
        <row r="142">
          <cell r="A142" t="str">
            <v>0012T11998</v>
          </cell>
          <cell r="B142">
            <v>1025</v>
          </cell>
        </row>
        <row r="143">
          <cell r="A143" t="str">
            <v>0012T21998</v>
          </cell>
          <cell r="B143">
            <v>1025</v>
          </cell>
        </row>
        <row r="144">
          <cell r="A144" t="str">
            <v>0012T31998</v>
          </cell>
          <cell r="B144">
            <v>1025</v>
          </cell>
        </row>
        <row r="145">
          <cell r="A145" t="str">
            <v>0012T41998</v>
          </cell>
          <cell r="B145">
            <v>1025</v>
          </cell>
        </row>
        <row r="146">
          <cell r="A146" t="str">
            <v>0012A41999</v>
          </cell>
          <cell r="B146">
            <v>1035</v>
          </cell>
        </row>
        <row r="147">
          <cell r="A147" t="str">
            <v>0012T11999</v>
          </cell>
          <cell r="B147">
            <v>1035</v>
          </cell>
        </row>
        <row r="148">
          <cell r="A148" t="str">
            <v>0012T21999</v>
          </cell>
          <cell r="B148">
            <v>1035</v>
          </cell>
        </row>
        <row r="149">
          <cell r="A149" t="str">
            <v>0012T31999</v>
          </cell>
          <cell r="B149">
            <v>1035</v>
          </cell>
        </row>
        <row r="150">
          <cell r="A150" t="str">
            <v>0012T41999</v>
          </cell>
          <cell r="B150">
            <v>1035</v>
          </cell>
        </row>
        <row r="151">
          <cell r="A151" t="str">
            <v>0013A21997</v>
          </cell>
          <cell r="B151">
            <v>924</v>
          </cell>
        </row>
        <row r="152">
          <cell r="A152" t="str">
            <v>0013T41997</v>
          </cell>
          <cell r="B152">
            <v>924</v>
          </cell>
        </row>
        <row r="153">
          <cell r="A153" t="str">
            <v>0013A31998</v>
          </cell>
          <cell r="B153">
            <v>924</v>
          </cell>
        </row>
        <row r="154">
          <cell r="A154" t="str">
            <v>0013T11998</v>
          </cell>
          <cell r="B154">
            <v>924</v>
          </cell>
        </row>
        <row r="155">
          <cell r="A155" t="str">
            <v>0013T21998</v>
          </cell>
          <cell r="B155">
            <v>924</v>
          </cell>
        </row>
        <row r="156">
          <cell r="A156" t="str">
            <v>0013T31998</v>
          </cell>
          <cell r="B156">
            <v>924</v>
          </cell>
        </row>
        <row r="157">
          <cell r="A157" t="str">
            <v>0013T41998</v>
          </cell>
          <cell r="B157">
            <v>924</v>
          </cell>
        </row>
        <row r="158">
          <cell r="A158" t="str">
            <v>0013A41999</v>
          </cell>
          <cell r="B158">
            <v>934</v>
          </cell>
        </row>
        <row r="159">
          <cell r="A159" t="str">
            <v>0013T11999</v>
          </cell>
          <cell r="B159">
            <v>934</v>
          </cell>
        </row>
        <row r="160">
          <cell r="A160" t="str">
            <v>0013T21999</v>
          </cell>
          <cell r="B160">
            <v>934</v>
          </cell>
        </row>
        <row r="161">
          <cell r="A161" t="str">
            <v>0013T31999</v>
          </cell>
          <cell r="B161">
            <v>934</v>
          </cell>
        </row>
        <row r="162">
          <cell r="A162" t="str">
            <v>0013T41999</v>
          </cell>
          <cell r="B162">
            <v>934</v>
          </cell>
        </row>
        <row r="163">
          <cell r="A163" t="str">
            <v>0014A21997</v>
          </cell>
          <cell r="B163">
            <v>67621</v>
          </cell>
        </row>
        <row r="164">
          <cell r="A164" t="str">
            <v>0014T41997</v>
          </cell>
          <cell r="B164">
            <v>67621</v>
          </cell>
        </row>
        <row r="165">
          <cell r="A165" t="str">
            <v>0014A31998</v>
          </cell>
          <cell r="B165">
            <v>77653</v>
          </cell>
        </row>
        <row r="166">
          <cell r="A166" t="str">
            <v>0014T11998</v>
          </cell>
          <cell r="B166">
            <v>72968</v>
          </cell>
        </row>
        <row r="167">
          <cell r="A167" t="str">
            <v>0014T21998</v>
          </cell>
          <cell r="B167">
            <v>74810</v>
          </cell>
        </row>
        <row r="168">
          <cell r="A168" t="str">
            <v>0014T31998</v>
          </cell>
          <cell r="B168">
            <v>77272</v>
          </cell>
        </row>
        <row r="169">
          <cell r="A169" t="str">
            <v>0014T41998</v>
          </cell>
          <cell r="B169">
            <v>77653</v>
          </cell>
        </row>
        <row r="170">
          <cell r="A170" t="str">
            <v>0014A41999</v>
          </cell>
          <cell r="B170">
            <v>63195</v>
          </cell>
        </row>
        <row r="171">
          <cell r="A171" t="str">
            <v>0014T11999</v>
          </cell>
          <cell r="B171">
            <v>60283</v>
          </cell>
        </row>
        <row r="172">
          <cell r="A172" t="str">
            <v>0014T21999</v>
          </cell>
          <cell r="B172">
            <v>61145</v>
          </cell>
        </row>
        <row r="173">
          <cell r="A173" t="str">
            <v>0014T31999</v>
          </cell>
          <cell r="B173">
            <v>62659</v>
          </cell>
        </row>
        <row r="174">
          <cell r="A174" t="str">
            <v>0014T41999</v>
          </cell>
          <cell r="B174">
            <v>63195</v>
          </cell>
        </row>
        <row r="175">
          <cell r="A175" t="str">
            <v>0015A21997</v>
          </cell>
          <cell r="B175">
            <v>8</v>
          </cell>
        </row>
        <row r="176">
          <cell r="A176" t="str">
            <v>0015T11997</v>
          </cell>
          <cell r="B176">
            <v>8</v>
          </cell>
        </row>
        <row r="177">
          <cell r="A177" t="str">
            <v>0015T21997</v>
          </cell>
          <cell r="B177">
            <v>8</v>
          </cell>
        </row>
        <row r="178">
          <cell r="A178" t="str">
            <v>0015T31997</v>
          </cell>
          <cell r="B178">
            <v>8</v>
          </cell>
        </row>
        <row r="179">
          <cell r="A179" t="str">
            <v>0015T41997</v>
          </cell>
          <cell r="B179">
            <v>8</v>
          </cell>
        </row>
        <row r="180">
          <cell r="A180" t="str">
            <v>0015A31998</v>
          </cell>
          <cell r="B180">
            <v>6</v>
          </cell>
        </row>
        <row r="181">
          <cell r="A181" t="str">
            <v>0015T11998</v>
          </cell>
          <cell r="B181">
            <v>6</v>
          </cell>
        </row>
        <row r="182">
          <cell r="A182" t="str">
            <v>0015T21998</v>
          </cell>
          <cell r="B182">
            <v>6</v>
          </cell>
        </row>
        <row r="183">
          <cell r="A183" t="str">
            <v>0015T31998</v>
          </cell>
          <cell r="B183">
            <v>6</v>
          </cell>
        </row>
        <row r="184">
          <cell r="A184" t="str">
            <v>0015T41998</v>
          </cell>
          <cell r="B184">
            <v>6</v>
          </cell>
        </row>
        <row r="185">
          <cell r="A185" t="str">
            <v>0015A41999</v>
          </cell>
          <cell r="B185">
            <v>6</v>
          </cell>
        </row>
        <row r="186">
          <cell r="A186" t="str">
            <v>0015T11999</v>
          </cell>
          <cell r="B186">
            <v>6</v>
          </cell>
        </row>
        <row r="187">
          <cell r="A187" t="str">
            <v>0015T21999</v>
          </cell>
          <cell r="B187">
            <v>6</v>
          </cell>
        </row>
        <row r="188">
          <cell r="A188" t="str">
            <v>0015T31999</v>
          </cell>
          <cell r="B188">
            <v>6</v>
          </cell>
        </row>
        <row r="189">
          <cell r="A189" t="str">
            <v>0015T41999</v>
          </cell>
          <cell r="B189">
            <v>6</v>
          </cell>
        </row>
        <row r="190">
          <cell r="A190" t="str">
            <v>0016A21997</v>
          </cell>
          <cell r="B190">
            <v>762729</v>
          </cell>
        </row>
        <row r="191">
          <cell r="A191" t="str">
            <v>0016T11997</v>
          </cell>
          <cell r="B191">
            <v>749343</v>
          </cell>
        </row>
        <row r="192">
          <cell r="A192" t="str">
            <v>0016T21997</v>
          </cell>
          <cell r="B192">
            <v>753805</v>
          </cell>
        </row>
        <row r="193">
          <cell r="A193" t="str">
            <v>0016T31997</v>
          </cell>
          <cell r="B193">
            <v>758267</v>
          </cell>
        </row>
        <row r="194">
          <cell r="A194" t="str">
            <v>0016T41997</v>
          </cell>
          <cell r="B194">
            <v>762729</v>
          </cell>
        </row>
        <row r="195">
          <cell r="A195" t="str">
            <v>0016A31998</v>
          </cell>
          <cell r="B195">
            <v>780759</v>
          </cell>
        </row>
        <row r="196">
          <cell r="A196" t="str">
            <v>0016T11998</v>
          </cell>
          <cell r="B196">
            <v>767237</v>
          </cell>
        </row>
        <row r="197">
          <cell r="A197" t="str">
            <v>0016T21998</v>
          </cell>
          <cell r="B197">
            <v>771744</v>
          </cell>
        </row>
        <row r="198">
          <cell r="A198" t="str">
            <v>0016T31998</v>
          </cell>
          <cell r="B198">
            <v>776252</v>
          </cell>
        </row>
        <row r="199">
          <cell r="A199" t="str">
            <v>0016T41998</v>
          </cell>
          <cell r="B199">
            <v>780759</v>
          </cell>
        </row>
        <row r="200">
          <cell r="A200" t="str">
            <v>0016A41999</v>
          </cell>
          <cell r="B200">
            <v>799072</v>
          </cell>
        </row>
        <row r="201">
          <cell r="A201" t="str">
            <v>0016T21999</v>
          </cell>
          <cell r="B201">
            <v>799072</v>
          </cell>
        </row>
        <row r="202">
          <cell r="A202" t="str">
            <v>0016T41999</v>
          </cell>
          <cell r="B202">
            <v>799072</v>
          </cell>
        </row>
        <row r="203">
          <cell r="A203" t="str">
            <v>0017A21997</v>
          </cell>
          <cell r="B203">
            <v>5.2</v>
          </cell>
        </row>
        <row r="204">
          <cell r="A204" t="str">
            <v>0017T11997</v>
          </cell>
          <cell r="B204">
            <v>5.2</v>
          </cell>
        </row>
        <row r="205">
          <cell r="A205" t="str">
            <v>0017T21997</v>
          </cell>
          <cell r="B205">
            <v>5.2</v>
          </cell>
        </row>
        <row r="206">
          <cell r="A206" t="str">
            <v>0017T31997</v>
          </cell>
          <cell r="B206">
            <v>5.2</v>
          </cell>
        </row>
        <row r="207">
          <cell r="A207" t="str">
            <v>0017T41997</v>
          </cell>
          <cell r="B207">
            <v>5.2</v>
          </cell>
        </row>
        <row r="208">
          <cell r="A208" t="str">
            <v>0017A31998</v>
          </cell>
          <cell r="B208">
            <v>5.2</v>
          </cell>
        </row>
        <row r="209">
          <cell r="A209" t="str">
            <v>0017T11998</v>
          </cell>
          <cell r="B209">
            <v>5.2</v>
          </cell>
        </row>
        <row r="210">
          <cell r="A210" t="str">
            <v>0017T21998</v>
          </cell>
          <cell r="B210">
            <v>5.2</v>
          </cell>
        </row>
        <row r="211">
          <cell r="A211" t="str">
            <v>0017T31998</v>
          </cell>
          <cell r="B211">
            <v>5.2</v>
          </cell>
        </row>
        <row r="212">
          <cell r="A212" t="str">
            <v>0017T41998</v>
          </cell>
          <cell r="B212">
            <v>5.2</v>
          </cell>
        </row>
        <row r="213">
          <cell r="A213" t="str">
            <v>0017A41999</v>
          </cell>
          <cell r="B213">
            <v>5</v>
          </cell>
        </row>
        <row r="214">
          <cell r="A214" t="str">
            <v>0017T11999</v>
          </cell>
          <cell r="B214">
            <v>5.2</v>
          </cell>
        </row>
        <row r="215">
          <cell r="A215" t="str">
            <v>0017T21999</v>
          </cell>
          <cell r="B215">
            <v>5.2</v>
          </cell>
        </row>
        <row r="216">
          <cell r="A216" t="str">
            <v>0017T31999</v>
          </cell>
          <cell r="B216">
            <v>5</v>
          </cell>
        </row>
        <row r="217">
          <cell r="A217" t="str">
            <v>0017T41999</v>
          </cell>
          <cell r="B217">
            <v>5</v>
          </cell>
        </row>
        <row r="218">
          <cell r="A218" t="str">
            <v>0018A21997</v>
          </cell>
          <cell r="B218">
            <v>5.2</v>
          </cell>
        </row>
        <row r="219">
          <cell r="A219" t="str">
            <v>0018T11997</v>
          </cell>
          <cell r="B219">
            <v>5.2</v>
          </cell>
        </row>
        <row r="220">
          <cell r="A220" t="str">
            <v>0018T21997</v>
          </cell>
          <cell r="B220">
            <v>5.2</v>
          </cell>
        </row>
        <row r="221">
          <cell r="A221" t="str">
            <v>0018T31997</v>
          </cell>
          <cell r="B221">
            <v>5.2</v>
          </cell>
        </row>
        <row r="222">
          <cell r="A222" t="str">
            <v>0018T41997</v>
          </cell>
          <cell r="B222">
            <v>5.2</v>
          </cell>
        </row>
        <row r="223">
          <cell r="A223" t="str">
            <v>0018T11998</v>
          </cell>
          <cell r="B223">
            <v>5.2</v>
          </cell>
        </row>
        <row r="224">
          <cell r="A224" t="str">
            <v>0018T21998</v>
          </cell>
          <cell r="B224">
            <v>5.2</v>
          </cell>
        </row>
        <row r="225">
          <cell r="A225" t="str">
            <v>0018T31998</v>
          </cell>
          <cell r="B225">
            <v>5.2</v>
          </cell>
        </row>
        <row r="226">
          <cell r="A226" t="str">
            <v>0018T41998</v>
          </cell>
          <cell r="B226">
            <v>5.2</v>
          </cell>
        </row>
        <row r="227">
          <cell r="A227" t="str">
            <v>0018A41999</v>
          </cell>
          <cell r="B227">
            <v>5</v>
          </cell>
        </row>
        <row r="228">
          <cell r="A228" t="str">
            <v>0018T11999</v>
          </cell>
          <cell r="B228">
            <v>5.2</v>
          </cell>
        </row>
        <row r="229">
          <cell r="A229" t="str">
            <v>0018T21999</v>
          </cell>
          <cell r="B229">
            <v>5.2</v>
          </cell>
        </row>
        <row r="230">
          <cell r="A230" t="str">
            <v>0018T31999</v>
          </cell>
          <cell r="B230">
            <v>5</v>
          </cell>
        </row>
        <row r="231">
          <cell r="A231" t="str">
            <v>0018T41999</v>
          </cell>
          <cell r="B231">
            <v>5</v>
          </cell>
        </row>
        <row r="232">
          <cell r="A232" t="str">
            <v>0019A21997</v>
          </cell>
          <cell r="B232">
            <v>5.2</v>
          </cell>
        </row>
        <row r="233">
          <cell r="A233" t="str">
            <v>0019T11997</v>
          </cell>
          <cell r="B233">
            <v>5.2</v>
          </cell>
        </row>
        <row r="234">
          <cell r="A234" t="str">
            <v>0019T21997</v>
          </cell>
          <cell r="B234">
            <v>5.2</v>
          </cell>
        </row>
        <row r="235">
          <cell r="A235" t="str">
            <v>0019T31997</v>
          </cell>
          <cell r="B235">
            <v>5.2</v>
          </cell>
        </row>
        <row r="236">
          <cell r="A236" t="str">
            <v>0019T41997</v>
          </cell>
          <cell r="B236">
            <v>5.2</v>
          </cell>
        </row>
        <row r="237">
          <cell r="A237" t="str">
            <v>0019A31998</v>
          </cell>
          <cell r="B237">
            <v>5.2</v>
          </cell>
        </row>
        <row r="238">
          <cell r="A238" t="str">
            <v>0019T11998</v>
          </cell>
          <cell r="B238">
            <v>5.2</v>
          </cell>
        </row>
        <row r="239">
          <cell r="A239" t="str">
            <v>0019T21998</v>
          </cell>
          <cell r="B239">
            <v>5.2</v>
          </cell>
        </row>
        <row r="240">
          <cell r="A240" t="str">
            <v>0019T31998</v>
          </cell>
          <cell r="B240">
            <v>5.2</v>
          </cell>
        </row>
        <row r="241">
          <cell r="A241" t="str">
            <v>0019T41998</v>
          </cell>
          <cell r="B241">
            <v>5.2</v>
          </cell>
        </row>
        <row r="242">
          <cell r="A242" t="str">
            <v>0019A41999</v>
          </cell>
          <cell r="B242">
            <v>5</v>
          </cell>
        </row>
        <row r="243">
          <cell r="A243" t="str">
            <v>0019T11999</v>
          </cell>
          <cell r="B243">
            <v>5.2</v>
          </cell>
        </row>
        <row r="244">
          <cell r="A244" t="str">
            <v>0019T21999</v>
          </cell>
          <cell r="B244">
            <v>5.2</v>
          </cell>
        </row>
        <row r="245">
          <cell r="A245" t="str">
            <v>0019T31999</v>
          </cell>
          <cell r="B245">
            <v>5</v>
          </cell>
        </row>
        <row r="246">
          <cell r="A246" t="str">
            <v>0019T41999</v>
          </cell>
          <cell r="B246">
            <v>5</v>
          </cell>
        </row>
        <row r="247">
          <cell r="A247" t="str">
            <v>0020A21997</v>
          </cell>
          <cell r="B247">
            <v>5.2</v>
          </cell>
        </row>
        <row r="248">
          <cell r="A248" t="str">
            <v>0020T11997</v>
          </cell>
          <cell r="B248">
            <v>5.2</v>
          </cell>
        </row>
        <row r="249">
          <cell r="A249" t="str">
            <v>0020T21997</v>
          </cell>
          <cell r="B249">
            <v>5.2</v>
          </cell>
        </row>
        <row r="250">
          <cell r="A250" t="str">
            <v>0020T31997</v>
          </cell>
          <cell r="B250">
            <v>5.2</v>
          </cell>
        </row>
        <row r="251">
          <cell r="A251" t="str">
            <v>0020T41997</v>
          </cell>
          <cell r="B251">
            <v>5.2</v>
          </cell>
        </row>
        <row r="252">
          <cell r="A252" t="str">
            <v>0020T11998</v>
          </cell>
          <cell r="B252">
            <v>5.2</v>
          </cell>
        </row>
        <row r="253">
          <cell r="A253" t="str">
            <v>0020T21998</v>
          </cell>
          <cell r="B253">
            <v>5.2</v>
          </cell>
        </row>
        <row r="254">
          <cell r="A254" t="str">
            <v>0020T31998</v>
          </cell>
          <cell r="B254">
            <v>5.2</v>
          </cell>
        </row>
        <row r="255">
          <cell r="A255" t="str">
            <v>0020T41998</v>
          </cell>
          <cell r="B255">
            <v>5.2</v>
          </cell>
        </row>
        <row r="256">
          <cell r="A256" t="str">
            <v>0020A41999</v>
          </cell>
          <cell r="B256">
            <v>5</v>
          </cell>
        </row>
        <row r="257">
          <cell r="A257" t="str">
            <v>0020T11999</v>
          </cell>
          <cell r="B257">
            <v>5.2</v>
          </cell>
        </row>
        <row r="258">
          <cell r="A258" t="str">
            <v>0020T21999</v>
          </cell>
          <cell r="B258">
            <v>5.2</v>
          </cell>
        </row>
        <row r="259">
          <cell r="A259" t="str">
            <v>0020T31999</v>
          </cell>
          <cell r="B259">
            <v>5</v>
          </cell>
        </row>
        <row r="260">
          <cell r="A260" t="str">
            <v>0020T41999</v>
          </cell>
          <cell r="B260">
            <v>5</v>
          </cell>
        </row>
        <row r="261">
          <cell r="A261" t="str">
            <v>0021A31998</v>
          </cell>
        </row>
        <row r="262">
          <cell r="A262" t="str">
            <v>0021T11998</v>
          </cell>
        </row>
        <row r="263">
          <cell r="A263" t="str">
            <v>0021T21998</v>
          </cell>
        </row>
        <row r="264">
          <cell r="A264" t="str">
            <v>0021T31998</v>
          </cell>
        </row>
        <row r="265">
          <cell r="A265" t="str">
            <v>0021T41998</v>
          </cell>
        </row>
        <row r="266">
          <cell r="A266" t="str">
            <v>0021A41999</v>
          </cell>
          <cell r="B266">
            <v>15</v>
          </cell>
        </row>
        <row r="267">
          <cell r="A267" t="str">
            <v>0021T11999</v>
          </cell>
          <cell r="B267">
            <v>75</v>
          </cell>
        </row>
        <row r="268">
          <cell r="A268" t="str">
            <v>0021T21999</v>
          </cell>
          <cell r="B268">
            <v>90</v>
          </cell>
        </row>
        <row r="269">
          <cell r="A269" t="str">
            <v>0021T31999</v>
          </cell>
          <cell r="B269">
            <v>75</v>
          </cell>
        </row>
        <row r="270">
          <cell r="A270" t="str">
            <v>0021T41999</v>
          </cell>
          <cell r="B270">
            <v>15</v>
          </cell>
        </row>
        <row r="271">
          <cell r="A271" t="str">
            <v>0022A21997</v>
          </cell>
          <cell r="B271">
            <v>102226</v>
          </cell>
        </row>
        <row r="272">
          <cell r="A272" t="str">
            <v>0022T11997</v>
          </cell>
          <cell r="B272">
            <v>98184</v>
          </cell>
        </row>
        <row r="273">
          <cell r="A273" t="str">
            <v>0022T21997</v>
          </cell>
          <cell r="B273">
            <v>99446</v>
          </cell>
        </row>
        <row r="274">
          <cell r="A274" t="str">
            <v>0022T31997</v>
          </cell>
          <cell r="B274">
            <v>101578</v>
          </cell>
        </row>
        <row r="275">
          <cell r="A275" t="str">
            <v>0022T41997</v>
          </cell>
          <cell r="B275">
            <v>102226</v>
          </cell>
        </row>
        <row r="276">
          <cell r="A276" t="str">
            <v>0022A31998</v>
          </cell>
          <cell r="B276">
            <v>113479</v>
          </cell>
        </row>
        <row r="277">
          <cell r="A277" t="str">
            <v>0022T11998</v>
          </cell>
          <cell r="B277">
            <v>107083</v>
          </cell>
        </row>
        <row r="278">
          <cell r="A278" t="str">
            <v>0022T21998</v>
          </cell>
          <cell r="B278">
            <v>110253</v>
          </cell>
        </row>
        <row r="279">
          <cell r="A279" t="str">
            <v>0022T31998</v>
          </cell>
          <cell r="B279">
            <v>112890</v>
          </cell>
        </row>
        <row r="280">
          <cell r="A280" t="str">
            <v>0022T41998</v>
          </cell>
          <cell r="B280">
            <v>113479</v>
          </cell>
        </row>
        <row r="281">
          <cell r="A281" t="str">
            <v>0022A41999</v>
          </cell>
          <cell r="B281">
            <v>117919</v>
          </cell>
        </row>
        <row r="282">
          <cell r="A282" t="str">
            <v>0022T11999</v>
          </cell>
          <cell r="B282">
            <v>113932</v>
          </cell>
        </row>
        <row r="283">
          <cell r="A283" t="str">
            <v>0022T21999</v>
          </cell>
          <cell r="B283">
            <v>115450</v>
          </cell>
        </row>
        <row r="284">
          <cell r="A284" t="str">
            <v>0022T31999</v>
          </cell>
          <cell r="B284">
            <v>117271</v>
          </cell>
        </row>
        <row r="285">
          <cell r="A285" t="str">
            <v>0022T41999</v>
          </cell>
          <cell r="B285">
            <v>117919</v>
          </cell>
        </row>
        <row r="286">
          <cell r="A286" t="str">
            <v>0023A21997</v>
          </cell>
          <cell r="B286">
            <v>89973</v>
          </cell>
        </row>
        <row r="287">
          <cell r="A287" t="str">
            <v>0023T11997</v>
          </cell>
          <cell r="B287">
            <v>84184</v>
          </cell>
        </row>
        <row r="288">
          <cell r="A288" t="str">
            <v>0023T21997</v>
          </cell>
          <cell r="B288">
            <v>83080</v>
          </cell>
        </row>
        <row r="289">
          <cell r="A289" t="str">
            <v>0023T31997</v>
          </cell>
          <cell r="B289">
            <v>85212</v>
          </cell>
        </row>
        <row r="290">
          <cell r="A290" t="str">
            <v>0023T41997</v>
          </cell>
          <cell r="B290">
            <v>89973</v>
          </cell>
        </row>
        <row r="291">
          <cell r="A291" t="str">
            <v>0023A31998</v>
          </cell>
          <cell r="B291">
            <v>95657</v>
          </cell>
        </row>
        <row r="292">
          <cell r="A292" t="str">
            <v>0023T11998</v>
          </cell>
          <cell r="B292">
            <v>90414</v>
          </cell>
        </row>
        <row r="293">
          <cell r="A293" t="str">
            <v>0023T21998</v>
          </cell>
          <cell r="B293">
            <v>96407</v>
          </cell>
        </row>
        <row r="294">
          <cell r="A294" t="str">
            <v>0023T31998</v>
          </cell>
          <cell r="B294">
            <v>97738</v>
          </cell>
        </row>
        <row r="295">
          <cell r="A295" t="str">
            <v>0023T41998</v>
          </cell>
          <cell r="B295">
            <v>95657</v>
          </cell>
        </row>
        <row r="296">
          <cell r="A296" t="str">
            <v>0023A41999</v>
          </cell>
          <cell r="B296">
            <v>85823</v>
          </cell>
        </row>
        <row r="297">
          <cell r="A297" t="str">
            <v>0023T11999</v>
          </cell>
          <cell r="B297">
            <v>95511</v>
          </cell>
        </row>
        <row r="298">
          <cell r="A298" t="str">
            <v>0023T21999</v>
          </cell>
          <cell r="B298">
            <v>95708</v>
          </cell>
        </row>
        <row r="299">
          <cell r="A299" t="str">
            <v>0023T31999</v>
          </cell>
          <cell r="B299">
            <v>92916</v>
          </cell>
        </row>
        <row r="300">
          <cell r="A300" t="str">
            <v>0023T41999</v>
          </cell>
          <cell r="B300">
            <v>85823</v>
          </cell>
        </row>
        <row r="301">
          <cell r="A301" t="str">
            <v>0024A21997</v>
          </cell>
          <cell r="B301">
            <v>36732</v>
          </cell>
        </row>
        <row r="302">
          <cell r="A302" t="str">
            <v>0024T11997</v>
          </cell>
          <cell r="B302">
            <v>32742</v>
          </cell>
        </row>
        <row r="303">
          <cell r="A303" t="str">
            <v>0024T21997</v>
          </cell>
          <cell r="B303">
            <v>34419</v>
          </cell>
        </row>
        <row r="304">
          <cell r="A304" t="str">
            <v>0024T31997</v>
          </cell>
          <cell r="B304">
            <v>36212</v>
          </cell>
        </row>
        <row r="305">
          <cell r="A305" t="str">
            <v>0024T41997</v>
          </cell>
          <cell r="B305">
            <v>36732</v>
          </cell>
        </row>
        <row r="306">
          <cell r="A306" t="str">
            <v>0024A31998</v>
          </cell>
          <cell r="B306">
            <v>33920</v>
          </cell>
        </row>
        <row r="307">
          <cell r="A307" t="str">
            <v>0024T11998</v>
          </cell>
          <cell r="B307">
            <v>33168</v>
          </cell>
        </row>
        <row r="308">
          <cell r="A308" t="str">
            <v>0024T21998</v>
          </cell>
          <cell r="B308">
            <v>30066</v>
          </cell>
        </row>
        <row r="309">
          <cell r="A309" t="str">
            <v>0024T31998</v>
          </cell>
          <cell r="B309">
            <v>33075</v>
          </cell>
        </row>
        <row r="310">
          <cell r="A310" t="str">
            <v>0024T41998</v>
          </cell>
          <cell r="B310">
            <v>33920</v>
          </cell>
        </row>
        <row r="311">
          <cell r="A311" t="str">
            <v>0024A41999</v>
          </cell>
          <cell r="B311">
            <v>55989</v>
          </cell>
        </row>
        <row r="312">
          <cell r="A312" t="str">
            <v>0024T11999</v>
          </cell>
          <cell r="B312">
            <v>35891</v>
          </cell>
        </row>
        <row r="313">
          <cell r="A313" t="str">
            <v>0024T21999</v>
          </cell>
          <cell r="B313">
            <v>36988</v>
          </cell>
        </row>
        <row r="314">
          <cell r="A314" t="str">
            <v>0024T31999</v>
          </cell>
          <cell r="B314">
            <v>48584</v>
          </cell>
        </row>
        <row r="315">
          <cell r="A315" t="str">
            <v>0024T41999</v>
          </cell>
          <cell r="B315">
            <v>55989</v>
          </cell>
        </row>
        <row r="316">
          <cell r="A316" t="str">
            <v>0025A21997</v>
          </cell>
          <cell r="B316">
            <v>44972</v>
          </cell>
        </row>
        <row r="317">
          <cell r="A317" t="str">
            <v>0025T11997</v>
          </cell>
          <cell r="B317">
            <v>37914</v>
          </cell>
        </row>
        <row r="318">
          <cell r="A318" t="str">
            <v>0025T21997</v>
          </cell>
          <cell r="B318">
            <v>38991</v>
          </cell>
        </row>
        <row r="319">
          <cell r="A319" t="str">
            <v>0025T31997</v>
          </cell>
          <cell r="B319">
            <v>41960</v>
          </cell>
        </row>
        <row r="320">
          <cell r="A320" t="str">
            <v>0025T41997</v>
          </cell>
          <cell r="B320">
            <v>44972</v>
          </cell>
        </row>
        <row r="321">
          <cell r="A321" t="str">
            <v>0025A31998</v>
          </cell>
          <cell r="B321">
            <v>41963</v>
          </cell>
        </row>
        <row r="322">
          <cell r="A322" t="str">
            <v>0025T11998</v>
          </cell>
          <cell r="B322">
            <v>40268</v>
          </cell>
        </row>
        <row r="323">
          <cell r="A323" t="str">
            <v>0025T21998</v>
          </cell>
          <cell r="B323">
            <v>42007</v>
          </cell>
        </row>
        <row r="324">
          <cell r="A324" t="str">
            <v>0025T31998</v>
          </cell>
          <cell r="B324">
            <v>44304</v>
          </cell>
        </row>
        <row r="325">
          <cell r="A325" t="str">
            <v>0025T41998</v>
          </cell>
          <cell r="B325">
            <v>41963</v>
          </cell>
        </row>
        <row r="326">
          <cell r="A326" t="str">
            <v>0025A41999</v>
          </cell>
          <cell r="B326">
            <v>65041</v>
          </cell>
        </row>
        <row r="327">
          <cell r="A327" t="str">
            <v>0025T11999</v>
          </cell>
          <cell r="B327">
            <v>40897</v>
          </cell>
        </row>
        <row r="328">
          <cell r="A328" t="str">
            <v>0025T21999</v>
          </cell>
          <cell r="B328">
            <v>42330</v>
          </cell>
        </row>
        <row r="329">
          <cell r="A329" t="str">
            <v>0025T31999</v>
          </cell>
          <cell r="B329">
            <v>54290</v>
          </cell>
        </row>
        <row r="330">
          <cell r="A330" t="str">
            <v>0025T41999</v>
          </cell>
          <cell r="B330">
            <v>65041</v>
          </cell>
        </row>
        <row r="331">
          <cell r="A331" t="str">
            <v>0026A21997</v>
          </cell>
          <cell r="B331">
            <v>36632</v>
          </cell>
        </row>
        <row r="332">
          <cell r="A332" t="str">
            <v>0026T11997</v>
          </cell>
          <cell r="B332">
            <v>31242</v>
          </cell>
        </row>
        <row r="333">
          <cell r="A333" t="str">
            <v>0026T21997</v>
          </cell>
          <cell r="B333">
            <v>33121</v>
          </cell>
        </row>
        <row r="334">
          <cell r="A334" t="str">
            <v>0026T31997</v>
          </cell>
          <cell r="B334">
            <v>34871</v>
          </cell>
        </row>
        <row r="335">
          <cell r="A335" t="str">
            <v>0026T41997</v>
          </cell>
          <cell r="B335">
            <v>36632</v>
          </cell>
        </row>
        <row r="336">
          <cell r="A336" t="str">
            <v>0026A31998</v>
          </cell>
          <cell r="B336">
            <v>33189</v>
          </cell>
        </row>
        <row r="337">
          <cell r="A337" t="str">
            <v>0026T11998</v>
          </cell>
          <cell r="B337">
            <v>29723</v>
          </cell>
        </row>
        <row r="338">
          <cell r="A338" t="str">
            <v>0026T21998</v>
          </cell>
          <cell r="B338">
            <v>28607</v>
          </cell>
        </row>
        <row r="339">
          <cell r="A339" t="str">
            <v>0026T31998</v>
          </cell>
          <cell r="B339">
            <v>31014</v>
          </cell>
        </row>
        <row r="340">
          <cell r="A340" t="str">
            <v>0026T41998</v>
          </cell>
          <cell r="B340">
            <v>33189</v>
          </cell>
        </row>
        <row r="341">
          <cell r="A341" t="str">
            <v>0026A41999</v>
          </cell>
          <cell r="B341">
            <v>65041</v>
          </cell>
        </row>
        <row r="342">
          <cell r="A342" t="str">
            <v>0026T11999</v>
          </cell>
          <cell r="B342">
            <v>35891</v>
          </cell>
        </row>
        <row r="343">
          <cell r="A343" t="str">
            <v>0026T21999</v>
          </cell>
          <cell r="B343">
            <v>36988</v>
          </cell>
        </row>
        <row r="344">
          <cell r="A344" t="str">
            <v>0026T31999</v>
          </cell>
          <cell r="B344">
            <v>48584</v>
          </cell>
        </row>
        <row r="345">
          <cell r="A345" t="str">
            <v>0026T41999</v>
          </cell>
          <cell r="B345">
            <v>65041</v>
          </cell>
        </row>
        <row r="346">
          <cell r="A346" t="str">
            <v>0027A21997</v>
          </cell>
          <cell r="B346">
            <v>90211</v>
          </cell>
        </row>
        <row r="347">
          <cell r="A347" t="str">
            <v>0027T11997</v>
          </cell>
          <cell r="B347">
            <v>86508</v>
          </cell>
        </row>
        <row r="348">
          <cell r="A348" t="str">
            <v>0027T21997</v>
          </cell>
          <cell r="B348">
            <v>87680</v>
          </cell>
        </row>
        <row r="349">
          <cell r="A349" t="str">
            <v>0027T31997</v>
          </cell>
          <cell r="B349">
            <v>89684</v>
          </cell>
        </row>
        <row r="350">
          <cell r="A350" t="str">
            <v>0027T41997</v>
          </cell>
          <cell r="B350">
            <v>90211</v>
          </cell>
        </row>
        <row r="351">
          <cell r="A351" t="str">
            <v>0027A31998</v>
          </cell>
          <cell r="B351">
            <v>100359</v>
          </cell>
        </row>
        <row r="352">
          <cell r="A352" t="str">
            <v>0027T11998</v>
          </cell>
          <cell r="B352">
            <v>94711</v>
          </cell>
        </row>
        <row r="353">
          <cell r="A353" t="str">
            <v>0027T21998</v>
          </cell>
          <cell r="B353">
            <v>97460</v>
          </cell>
        </row>
        <row r="354">
          <cell r="A354" t="str">
            <v>0027T31998</v>
          </cell>
          <cell r="B354">
            <v>100024</v>
          </cell>
        </row>
        <row r="355">
          <cell r="A355" t="str">
            <v>0027T41998</v>
          </cell>
          <cell r="B355">
            <v>100359</v>
          </cell>
        </row>
        <row r="356">
          <cell r="A356" t="str">
            <v>0027A41999</v>
          </cell>
          <cell r="B356">
            <v>103240</v>
          </cell>
        </row>
        <row r="357">
          <cell r="A357" t="str">
            <v>0027T11999</v>
          </cell>
          <cell r="B357">
            <v>100662</v>
          </cell>
        </row>
        <row r="358">
          <cell r="A358" t="str">
            <v>0027T21999</v>
          </cell>
          <cell r="B358">
            <v>101573</v>
          </cell>
        </row>
        <row r="359">
          <cell r="A359" t="str">
            <v>0027T31999</v>
          </cell>
          <cell r="B359">
            <v>102846</v>
          </cell>
        </row>
        <row r="360">
          <cell r="A360" t="str">
            <v>0027T41999</v>
          </cell>
          <cell r="B360">
            <v>103240</v>
          </cell>
        </row>
        <row r="361">
          <cell r="A361" t="str">
            <v>0028A31998</v>
          </cell>
        </row>
        <row r="362">
          <cell r="A362" t="str">
            <v>0028T11998</v>
          </cell>
        </row>
        <row r="363">
          <cell r="A363" t="str">
            <v>0028T21998</v>
          </cell>
        </row>
        <row r="364">
          <cell r="A364" t="str">
            <v>0028T31998</v>
          </cell>
        </row>
        <row r="365">
          <cell r="A365" t="str">
            <v>0028T41998</v>
          </cell>
        </row>
        <row r="366">
          <cell r="A366" t="str">
            <v>0028A41999</v>
          </cell>
          <cell r="B366">
            <v>139955</v>
          </cell>
        </row>
        <row r="367">
          <cell r="A367" t="str">
            <v>0028T11999</v>
          </cell>
          <cell r="B367">
            <v>135077</v>
          </cell>
        </row>
        <row r="368">
          <cell r="A368" t="str">
            <v>0028T21999</v>
          </cell>
          <cell r="B368">
            <v>139823</v>
          </cell>
        </row>
        <row r="369">
          <cell r="A369" t="str">
            <v>0028T31999</v>
          </cell>
          <cell r="B369">
            <v>137672</v>
          </cell>
        </row>
        <row r="370">
          <cell r="A370" t="str">
            <v>0028T41999</v>
          </cell>
          <cell r="B370">
            <v>139955</v>
          </cell>
        </row>
        <row r="371">
          <cell r="A371" t="str">
            <v>0029A31998</v>
          </cell>
        </row>
        <row r="372">
          <cell r="A372" t="str">
            <v>0029T11998</v>
          </cell>
        </row>
        <row r="373">
          <cell r="A373" t="str">
            <v>0029T21998</v>
          </cell>
        </row>
        <row r="374">
          <cell r="A374" t="str">
            <v>0029T31998</v>
          </cell>
        </row>
        <row r="375">
          <cell r="A375" t="str">
            <v>0029T41998</v>
          </cell>
        </row>
        <row r="376">
          <cell r="A376" t="str">
            <v>0029A41999</v>
          </cell>
          <cell r="B376">
            <v>103240</v>
          </cell>
        </row>
        <row r="377">
          <cell r="A377" t="str">
            <v>0029T11999</v>
          </cell>
          <cell r="B377">
            <v>100662</v>
          </cell>
        </row>
        <row r="378">
          <cell r="A378" t="str">
            <v>0029T21999</v>
          </cell>
          <cell r="B378">
            <v>101573</v>
          </cell>
        </row>
        <row r="379">
          <cell r="A379" t="str">
            <v>0029T31999</v>
          </cell>
          <cell r="B379">
            <v>102846</v>
          </cell>
        </row>
        <row r="380">
          <cell r="A380" t="str">
            <v>0029T41999</v>
          </cell>
          <cell r="B380">
            <v>103240</v>
          </cell>
        </row>
        <row r="381">
          <cell r="A381" t="str">
            <v>0030A21997</v>
          </cell>
          <cell r="B381">
            <v>482</v>
          </cell>
        </row>
        <row r="382">
          <cell r="A382" t="str">
            <v>0030T11997</v>
          </cell>
          <cell r="B382">
            <v>464</v>
          </cell>
        </row>
        <row r="383">
          <cell r="A383" t="str">
            <v>0030T21997</v>
          </cell>
          <cell r="B383">
            <v>474</v>
          </cell>
        </row>
        <row r="384">
          <cell r="A384" t="str">
            <v>0030T31997</v>
          </cell>
          <cell r="B384">
            <v>481</v>
          </cell>
        </row>
        <row r="385">
          <cell r="A385" t="str">
            <v>0030T41997</v>
          </cell>
          <cell r="B385">
            <v>482</v>
          </cell>
        </row>
        <row r="386">
          <cell r="A386" t="str">
            <v>0030A31998</v>
          </cell>
          <cell r="B386">
            <v>189</v>
          </cell>
        </row>
        <row r="387">
          <cell r="A387" t="str">
            <v>0030T11998</v>
          </cell>
          <cell r="B387">
            <v>484</v>
          </cell>
        </row>
        <row r="388">
          <cell r="A388" t="str">
            <v>0030T21998</v>
          </cell>
          <cell r="B388">
            <v>192</v>
          </cell>
        </row>
        <row r="389">
          <cell r="A389" t="str">
            <v>0030T31998</v>
          </cell>
          <cell r="B389">
            <v>181</v>
          </cell>
        </row>
        <row r="390">
          <cell r="A390" t="str">
            <v>0030T41998</v>
          </cell>
          <cell r="B390">
            <v>189</v>
          </cell>
        </row>
        <row r="391">
          <cell r="A391" t="str">
            <v>0030A41999</v>
          </cell>
          <cell r="B391">
            <v>206</v>
          </cell>
        </row>
        <row r="392">
          <cell r="A392" t="str">
            <v>0030T11999</v>
          </cell>
          <cell r="B392">
            <v>198</v>
          </cell>
        </row>
        <row r="393">
          <cell r="A393" t="str">
            <v>0030T21999</v>
          </cell>
          <cell r="B393">
            <v>163</v>
          </cell>
        </row>
        <row r="394">
          <cell r="A394" t="str">
            <v>0030T31999</v>
          </cell>
          <cell r="B394">
            <v>186</v>
          </cell>
        </row>
        <row r="395">
          <cell r="A395" t="str">
            <v>0030T41999</v>
          </cell>
          <cell r="B395">
            <v>206</v>
          </cell>
        </row>
        <row r="396">
          <cell r="A396" t="str">
            <v>0031A21997</v>
          </cell>
          <cell r="B396">
            <v>31103047</v>
          </cell>
        </row>
        <row r="397">
          <cell r="A397" t="str">
            <v>0031T11997</v>
          </cell>
          <cell r="B397">
            <v>8453000</v>
          </cell>
        </row>
        <row r="398">
          <cell r="A398" t="str">
            <v>0031T21997</v>
          </cell>
          <cell r="B398">
            <v>7487945</v>
          </cell>
        </row>
        <row r="399">
          <cell r="A399" t="str">
            <v>0031T31997</v>
          </cell>
          <cell r="B399">
            <v>7682329</v>
          </cell>
        </row>
        <row r="400">
          <cell r="A400" t="str">
            <v>0031T41997</v>
          </cell>
          <cell r="B400">
            <v>7479773</v>
          </cell>
        </row>
        <row r="401">
          <cell r="A401" t="str">
            <v>0031A31998</v>
          </cell>
          <cell r="B401">
            <v>31275804</v>
          </cell>
        </row>
        <row r="402">
          <cell r="A402" t="str">
            <v>0031T11998</v>
          </cell>
          <cell r="B402">
            <v>7656349</v>
          </cell>
        </row>
        <row r="403">
          <cell r="A403" t="str">
            <v>0031T21998</v>
          </cell>
          <cell r="B403">
            <v>7776232</v>
          </cell>
        </row>
        <row r="404">
          <cell r="A404" t="str">
            <v>0031T31998</v>
          </cell>
          <cell r="B404">
            <v>7958177</v>
          </cell>
        </row>
        <row r="405">
          <cell r="A405" t="str">
            <v>0031T41998</v>
          </cell>
          <cell r="B405">
            <v>7885045</v>
          </cell>
        </row>
        <row r="406">
          <cell r="A406" t="str">
            <v>0031A41999</v>
          </cell>
          <cell r="B406">
            <v>29999523</v>
          </cell>
        </row>
        <row r="407">
          <cell r="A407" t="str">
            <v>0031T11999</v>
          </cell>
          <cell r="B407">
            <v>7726289</v>
          </cell>
        </row>
        <row r="408">
          <cell r="A408" t="str">
            <v>0031T21999</v>
          </cell>
          <cell r="B408">
            <v>7932812</v>
          </cell>
        </row>
        <row r="409">
          <cell r="A409" t="str">
            <v>0031T31999</v>
          </cell>
          <cell r="B409">
            <v>7290185</v>
          </cell>
        </row>
        <row r="410">
          <cell r="A410" t="str">
            <v>0031T41999</v>
          </cell>
          <cell r="B410">
            <v>7050237</v>
          </cell>
        </row>
        <row r="411">
          <cell r="A411" t="str">
            <v>0032A21997</v>
          </cell>
          <cell r="B411">
            <v>12688948</v>
          </cell>
        </row>
        <row r="412">
          <cell r="A412" t="str">
            <v>0032T11997</v>
          </cell>
          <cell r="B412">
            <v>2281397</v>
          </cell>
        </row>
        <row r="413">
          <cell r="A413" t="str">
            <v>0032T21997</v>
          </cell>
          <cell r="B413">
            <v>2885257</v>
          </cell>
        </row>
        <row r="414">
          <cell r="A414" t="str">
            <v>0032T31997</v>
          </cell>
          <cell r="B414">
            <v>3907402</v>
          </cell>
        </row>
        <row r="415">
          <cell r="A415" t="str">
            <v>0032T41997</v>
          </cell>
          <cell r="B415">
            <v>3614892</v>
          </cell>
        </row>
        <row r="416">
          <cell r="A416" t="str">
            <v>0032A31998</v>
          </cell>
          <cell r="B416">
            <v>13504405</v>
          </cell>
        </row>
        <row r="417">
          <cell r="A417" t="str">
            <v>0032T11998</v>
          </cell>
          <cell r="B417">
            <v>2912879</v>
          </cell>
        </row>
        <row r="418">
          <cell r="A418" t="str">
            <v>0032T21998</v>
          </cell>
          <cell r="B418">
            <v>3413667</v>
          </cell>
        </row>
        <row r="419">
          <cell r="A419" t="str">
            <v>0032T31998</v>
          </cell>
          <cell r="B419">
            <v>3799811</v>
          </cell>
        </row>
        <row r="420">
          <cell r="A420" t="str">
            <v>0032T41998</v>
          </cell>
          <cell r="B420">
            <v>3378048</v>
          </cell>
        </row>
        <row r="421">
          <cell r="A421" t="str">
            <v>0032A41999</v>
          </cell>
          <cell r="B421">
            <v>8109389</v>
          </cell>
        </row>
        <row r="422">
          <cell r="A422" t="str">
            <v>0032T11999</v>
          </cell>
          <cell r="B422">
            <v>2146871</v>
          </cell>
        </row>
        <row r="423">
          <cell r="A423" t="str">
            <v>0032T21999</v>
          </cell>
          <cell r="B423">
            <v>2532192</v>
          </cell>
        </row>
        <row r="424">
          <cell r="A424" t="str">
            <v>0032T31999</v>
          </cell>
          <cell r="B424">
            <v>271513</v>
          </cell>
        </row>
        <row r="425">
          <cell r="A425" t="str">
            <v>0032T41999</v>
          </cell>
          <cell r="B425">
            <v>3158813</v>
          </cell>
        </row>
        <row r="426">
          <cell r="A426" t="str">
            <v>0033A21997</v>
          </cell>
          <cell r="B426">
            <v>37183987</v>
          </cell>
        </row>
        <row r="427">
          <cell r="A427" t="str">
            <v>0033T11997</v>
          </cell>
          <cell r="B427">
            <v>8810652</v>
          </cell>
        </row>
        <row r="428">
          <cell r="A428" t="str">
            <v>0033T21997</v>
          </cell>
          <cell r="B428">
            <v>8980250</v>
          </cell>
        </row>
        <row r="429">
          <cell r="A429" t="str">
            <v>0033T31997</v>
          </cell>
          <cell r="B429">
            <v>9635353</v>
          </cell>
        </row>
        <row r="430">
          <cell r="A430" t="str">
            <v>0033T41997</v>
          </cell>
          <cell r="B430">
            <v>9757732</v>
          </cell>
        </row>
        <row r="431">
          <cell r="A431" t="str">
            <v>0033A31998</v>
          </cell>
          <cell r="B431">
            <v>41508607</v>
          </cell>
        </row>
        <row r="432">
          <cell r="A432" t="str">
            <v>0033T11998</v>
          </cell>
          <cell r="B432">
            <v>10214895</v>
          </cell>
        </row>
        <row r="433">
          <cell r="A433" t="str">
            <v>0033T21998</v>
          </cell>
          <cell r="B433">
            <v>10404255</v>
          </cell>
        </row>
        <row r="434">
          <cell r="A434" t="str">
            <v>0033T31998</v>
          </cell>
          <cell r="B434">
            <v>10546662</v>
          </cell>
        </row>
        <row r="435">
          <cell r="A435" t="str">
            <v>0033T41998</v>
          </cell>
          <cell r="B435">
            <v>10342795</v>
          </cell>
        </row>
        <row r="436">
          <cell r="A436" t="str">
            <v>0033A41999</v>
          </cell>
          <cell r="B436">
            <v>43659003</v>
          </cell>
        </row>
        <row r="437">
          <cell r="A437" t="str">
            <v>0033T11999</v>
          </cell>
          <cell r="B437">
            <v>10982556</v>
          </cell>
        </row>
        <row r="438">
          <cell r="A438" t="str">
            <v>0033T21999</v>
          </cell>
          <cell r="B438">
            <v>11059406</v>
          </cell>
        </row>
        <row r="439">
          <cell r="A439" t="str">
            <v>0033T31999</v>
          </cell>
          <cell r="B439">
            <v>11217953</v>
          </cell>
        </row>
        <row r="440">
          <cell r="A440" t="str">
            <v>0033T41999</v>
          </cell>
          <cell r="B440">
            <v>10399088</v>
          </cell>
        </row>
        <row r="441">
          <cell r="A441" t="str">
            <v>0034A21997</v>
          </cell>
          <cell r="B441">
            <v>14687233</v>
          </cell>
        </row>
        <row r="442">
          <cell r="A442" t="str">
            <v>0034T11997</v>
          </cell>
          <cell r="B442">
            <v>5386403</v>
          </cell>
        </row>
        <row r="443">
          <cell r="A443" t="str">
            <v>0034T21997</v>
          </cell>
          <cell r="B443">
            <v>1016672</v>
          </cell>
        </row>
        <row r="444">
          <cell r="A444" t="str">
            <v>0034T31997</v>
          </cell>
          <cell r="B444">
            <v>3597551</v>
          </cell>
        </row>
        <row r="445">
          <cell r="A445" t="str">
            <v>0034T41997</v>
          </cell>
          <cell r="B445">
            <v>4686607</v>
          </cell>
        </row>
        <row r="446">
          <cell r="A446" t="str">
            <v>0034A31998</v>
          </cell>
          <cell r="B446">
            <v>15435504</v>
          </cell>
        </row>
        <row r="447">
          <cell r="A447" t="str">
            <v>0034T11998</v>
          </cell>
          <cell r="B447">
            <v>4282613</v>
          </cell>
        </row>
        <row r="448">
          <cell r="A448" t="str">
            <v>0034T21998</v>
          </cell>
          <cell r="B448">
            <v>3379139</v>
          </cell>
        </row>
        <row r="449">
          <cell r="A449" t="str">
            <v>0034T31998</v>
          </cell>
          <cell r="B449">
            <v>3863087</v>
          </cell>
        </row>
        <row r="450">
          <cell r="A450" t="str">
            <v>0034T41998</v>
          </cell>
          <cell r="B450">
            <v>3910665</v>
          </cell>
        </row>
        <row r="451">
          <cell r="A451" t="str">
            <v>0034A41999</v>
          </cell>
          <cell r="B451">
            <v>34947107</v>
          </cell>
        </row>
        <row r="452">
          <cell r="A452" t="str">
            <v>0034T11999</v>
          </cell>
          <cell r="B452">
            <v>6793993</v>
          </cell>
        </row>
        <row r="453">
          <cell r="A453" t="str">
            <v>0034T21999</v>
          </cell>
          <cell r="B453">
            <v>7893381</v>
          </cell>
        </row>
        <row r="454">
          <cell r="A454" t="str">
            <v>0034T31999</v>
          </cell>
          <cell r="B454">
            <v>12264073</v>
          </cell>
        </row>
        <row r="455">
          <cell r="A455" t="str">
            <v>0034T41999</v>
          </cell>
          <cell r="B455">
            <v>7995660</v>
          </cell>
        </row>
        <row r="456">
          <cell r="A456" t="str">
            <v>0035A21997</v>
          </cell>
          <cell r="B456">
            <v>5726</v>
          </cell>
        </row>
        <row r="457">
          <cell r="A457" t="str">
            <v>0035T11997</v>
          </cell>
          <cell r="B457">
            <v>1448</v>
          </cell>
        </row>
        <row r="458">
          <cell r="A458" t="str">
            <v>0035T21997</v>
          </cell>
          <cell r="B458">
            <v>1340</v>
          </cell>
        </row>
        <row r="459">
          <cell r="A459" t="str">
            <v>0035T31997</v>
          </cell>
          <cell r="B459">
            <v>1369</v>
          </cell>
        </row>
        <row r="460">
          <cell r="A460" t="str">
            <v>0035T41997</v>
          </cell>
          <cell r="B460">
            <v>1569</v>
          </cell>
        </row>
        <row r="461">
          <cell r="A461" t="str">
            <v>0035A31998</v>
          </cell>
          <cell r="B461">
            <v>15051</v>
          </cell>
        </row>
        <row r="462">
          <cell r="A462" t="str">
            <v>0035T11998</v>
          </cell>
          <cell r="B462">
            <v>3558</v>
          </cell>
        </row>
        <row r="463">
          <cell r="A463" t="str">
            <v>0035T21998</v>
          </cell>
          <cell r="B463">
            <v>3841</v>
          </cell>
        </row>
        <row r="464">
          <cell r="A464" t="str">
            <v>0035T31998</v>
          </cell>
          <cell r="B464">
            <v>3349</v>
          </cell>
        </row>
        <row r="465">
          <cell r="A465" t="str">
            <v>0035T41998</v>
          </cell>
          <cell r="B465">
            <v>4303</v>
          </cell>
        </row>
        <row r="466">
          <cell r="A466" t="str">
            <v>0035A41999</v>
          </cell>
          <cell r="B466">
            <v>14514</v>
          </cell>
        </row>
        <row r="467">
          <cell r="A467" t="str">
            <v>0035T11999</v>
          </cell>
          <cell r="B467">
            <v>4933</v>
          </cell>
        </row>
        <row r="468">
          <cell r="A468" t="str">
            <v>0035T21999</v>
          </cell>
          <cell r="B468">
            <v>6908</v>
          </cell>
        </row>
        <row r="469">
          <cell r="A469" t="str">
            <v>0035T31999</v>
          </cell>
          <cell r="B469">
            <v>2673</v>
          </cell>
        </row>
        <row r="470">
          <cell r="A470" t="str">
            <v>0035T41999</v>
          </cell>
          <cell r="B470">
            <v>0</v>
          </cell>
        </row>
        <row r="471">
          <cell r="A471" t="str">
            <v>0036A21997</v>
          </cell>
          <cell r="B471">
            <v>4008</v>
          </cell>
        </row>
        <row r="472">
          <cell r="A472" t="str">
            <v>0036T11997</v>
          </cell>
          <cell r="B472">
            <v>1014</v>
          </cell>
        </row>
        <row r="473">
          <cell r="A473" t="str">
            <v>0036T21997</v>
          </cell>
          <cell r="B473">
            <v>938</v>
          </cell>
        </row>
        <row r="474">
          <cell r="A474" t="str">
            <v>0036T31997</v>
          </cell>
          <cell r="B474">
            <v>958</v>
          </cell>
        </row>
        <row r="475">
          <cell r="A475" t="str">
            <v>0036T41997</v>
          </cell>
          <cell r="B475">
            <v>1098</v>
          </cell>
        </row>
        <row r="476">
          <cell r="A476" t="str">
            <v>0036A31998</v>
          </cell>
          <cell r="B476">
            <v>9089</v>
          </cell>
        </row>
        <row r="477">
          <cell r="A477" t="str">
            <v>0036T11998</v>
          </cell>
          <cell r="B477">
            <v>1971</v>
          </cell>
        </row>
        <row r="478">
          <cell r="A478" t="str">
            <v>0036T21998</v>
          </cell>
          <cell r="B478">
            <v>2500</v>
          </cell>
        </row>
        <row r="479">
          <cell r="A479" t="str">
            <v>0036T31998</v>
          </cell>
          <cell r="B479">
            <v>2200</v>
          </cell>
        </row>
        <row r="480">
          <cell r="A480" t="str">
            <v>0036T41998</v>
          </cell>
          <cell r="B480">
            <v>2418</v>
          </cell>
        </row>
        <row r="481">
          <cell r="A481" t="str">
            <v>0036A41999</v>
          </cell>
          <cell r="B481">
            <v>8115</v>
          </cell>
        </row>
        <row r="482">
          <cell r="A482" t="str">
            <v>0036T11999</v>
          </cell>
          <cell r="B482">
            <v>3273</v>
          </cell>
        </row>
        <row r="483">
          <cell r="A483" t="str">
            <v>0036T21999</v>
          </cell>
          <cell r="B483">
            <v>3433</v>
          </cell>
        </row>
        <row r="484">
          <cell r="A484" t="str">
            <v>0036T31999</v>
          </cell>
          <cell r="B484">
            <v>1409</v>
          </cell>
        </row>
        <row r="485">
          <cell r="A485" t="str">
            <v>0036T41999</v>
          </cell>
          <cell r="B485">
            <v>0</v>
          </cell>
        </row>
        <row r="486">
          <cell r="A486" t="str">
            <v>0037A21997</v>
          </cell>
          <cell r="B486">
            <v>38110269</v>
          </cell>
        </row>
        <row r="487">
          <cell r="A487" t="str">
            <v>0037T11997</v>
          </cell>
          <cell r="B487">
            <v>33741356</v>
          </cell>
        </row>
        <row r="488">
          <cell r="A488" t="str">
            <v>0037T21997</v>
          </cell>
          <cell r="B488">
            <v>36847042</v>
          </cell>
        </row>
        <row r="489">
          <cell r="A489" t="str">
            <v>0037T31997</v>
          </cell>
          <cell r="B489">
            <v>39174349</v>
          </cell>
        </row>
        <row r="490">
          <cell r="A490" t="str">
            <v>0037T41997</v>
          </cell>
          <cell r="B490">
            <v>38110269</v>
          </cell>
        </row>
        <row r="491">
          <cell r="A491" t="str">
            <v>0037A31998</v>
          </cell>
          <cell r="B491">
            <v>43382809</v>
          </cell>
        </row>
        <row r="492">
          <cell r="A492" t="str">
            <v>0037T11998</v>
          </cell>
          <cell r="B492">
            <v>43748484</v>
          </cell>
        </row>
        <row r="493">
          <cell r="A493" t="str">
            <v>0037T21998</v>
          </cell>
          <cell r="B493">
            <v>40594503</v>
          </cell>
        </row>
        <row r="494">
          <cell r="A494" t="str">
            <v>0037T31998</v>
          </cell>
          <cell r="B494">
            <v>38926215</v>
          </cell>
        </row>
        <row r="495">
          <cell r="A495" t="str">
            <v>0037T41998</v>
          </cell>
          <cell r="B495">
            <v>43355696</v>
          </cell>
        </row>
        <row r="496">
          <cell r="A496" t="str">
            <v>0037A41999</v>
          </cell>
          <cell r="B496">
            <v>32114039</v>
          </cell>
        </row>
        <row r="497">
          <cell r="A497" t="str">
            <v>0037T11999</v>
          </cell>
          <cell r="B497">
            <v>38142155</v>
          </cell>
        </row>
        <row r="498">
          <cell r="A498" t="str">
            <v>0037T21999</v>
          </cell>
          <cell r="B498">
            <v>33270297</v>
          </cell>
        </row>
        <row r="499">
          <cell r="A499" t="str">
            <v>0037T31999</v>
          </cell>
          <cell r="B499">
            <v>33426150</v>
          </cell>
        </row>
        <row r="500">
          <cell r="A500" t="str">
            <v>0037T41999</v>
          </cell>
          <cell r="B500">
            <v>32114039</v>
          </cell>
        </row>
        <row r="501">
          <cell r="A501" t="str">
            <v>0038A21997</v>
          </cell>
          <cell r="B501">
            <v>11174977</v>
          </cell>
        </row>
        <row r="502">
          <cell r="A502" t="str">
            <v>0038T11997</v>
          </cell>
          <cell r="B502">
            <v>757880</v>
          </cell>
        </row>
        <row r="503">
          <cell r="A503" t="str">
            <v>0038T21997</v>
          </cell>
          <cell r="B503">
            <v>515362</v>
          </cell>
        </row>
        <row r="504">
          <cell r="A504" t="str">
            <v>0038T31997</v>
          </cell>
          <cell r="B504">
            <v>7610990</v>
          </cell>
        </row>
        <row r="505">
          <cell r="A505" t="str">
            <v>0038T41997</v>
          </cell>
          <cell r="B505">
            <v>11174977</v>
          </cell>
        </row>
        <row r="506">
          <cell r="A506" t="str">
            <v>0038A31998</v>
          </cell>
          <cell r="B506">
            <v>9160217</v>
          </cell>
        </row>
        <row r="507">
          <cell r="A507" t="str">
            <v>0038T11998</v>
          </cell>
          <cell r="B507">
            <v>14065476</v>
          </cell>
        </row>
        <row r="508">
          <cell r="A508" t="str">
            <v>0038T21998</v>
          </cell>
          <cell r="B508">
            <v>11150038</v>
          </cell>
        </row>
        <row r="509">
          <cell r="A509" t="str">
            <v>0038T31998</v>
          </cell>
          <cell r="B509">
            <v>6964458</v>
          </cell>
        </row>
        <row r="510">
          <cell r="A510" t="str">
            <v>0038T41998</v>
          </cell>
          <cell r="B510">
            <v>9160217</v>
          </cell>
        </row>
        <row r="511">
          <cell r="A511" t="str">
            <v>0038A41999</v>
          </cell>
          <cell r="B511">
            <v>456913</v>
          </cell>
        </row>
        <row r="512">
          <cell r="A512" t="str">
            <v>0038T11999</v>
          </cell>
          <cell r="B512">
            <v>3500569</v>
          </cell>
        </row>
        <row r="513">
          <cell r="A513" t="str">
            <v>0038T21999</v>
          </cell>
          <cell r="B513">
            <v>1485490</v>
          </cell>
        </row>
        <row r="514">
          <cell r="A514" t="str">
            <v>0038T31999</v>
          </cell>
          <cell r="B514">
            <v>1129875</v>
          </cell>
        </row>
        <row r="515">
          <cell r="A515" t="str">
            <v>0038T41999</v>
          </cell>
          <cell r="B515">
            <v>456913</v>
          </cell>
        </row>
        <row r="516">
          <cell r="A516" t="str">
            <v>0039A41999</v>
          </cell>
          <cell r="B516">
            <v>0</v>
          </cell>
        </row>
        <row r="517">
          <cell r="A517" t="str">
            <v>0039T11999</v>
          </cell>
          <cell r="B517">
            <v>0</v>
          </cell>
        </row>
        <row r="518">
          <cell r="A518" t="str">
            <v>0039T21999</v>
          </cell>
          <cell r="B518">
            <v>0</v>
          </cell>
        </row>
        <row r="519">
          <cell r="A519" t="str">
            <v>0039T31999</v>
          </cell>
          <cell r="B519">
            <v>0</v>
          </cell>
        </row>
        <row r="520">
          <cell r="A520" t="str">
            <v>0039T41999</v>
          </cell>
          <cell r="B520">
            <v>0</v>
          </cell>
        </row>
        <row r="521">
          <cell r="A521" t="str">
            <v>0040A21997</v>
          </cell>
          <cell r="B521">
            <v>30306832</v>
          </cell>
        </row>
        <row r="522">
          <cell r="A522" t="str">
            <v>0040T11997</v>
          </cell>
          <cell r="B522">
            <v>26667937</v>
          </cell>
        </row>
        <row r="523">
          <cell r="A523" t="str">
            <v>0040T21997</v>
          </cell>
          <cell r="B523">
            <v>27916367</v>
          </cell>
        </row>
        <row r="524">
          <cell r="A524" t="str">
            <v>0040T31997</v>
          </cell>
          <cell r="B524">
            <v>28585698</v>
          </cell>
        </row>
        <row r="525">
          <cell r="A525" t="str">
            <v>0040T41997</v>
          </cell>
          <cell r="B525">
            <v>30306832</v>
          </cell>
        </row>
        <row r="526">
          <cell r="A526" t="str">
            <v>0040A31998</v>
          </cell>
          <cell r="B526">
            <v>38771145</v>
          </cell>
        </row>
        <row r="527">
          <cell r="A527" t="str">
            <v>0040T11998</v>
          </cell>
          <cell r="B527">
            <v>34021219</v>
          </cell>
        </row>
        <row r="528">
          <cell r="A528" t="str">
            <v>0040T21998</v>
          </cell>
          <cell r="B528">
            <v>36280404</v>
          </cell>
        </row>
        <row r="529">
          <cell r="A529" t="str">
            <v>0040T31998</v>
          </cell>
          <cell r="B529">
            <v>37620322</v>
          </cell>
        </row>
        <row r="530">
          <cell r="A530" t="str">
            <v>0040T41998</v>
          </cell>
          <cell r="B530">
            <v>38771145</v>
          </cell>
        </row>
        <row r="531">
          <cell r="A531" t="str">
            <v>0040A41999</v>
          </cell>
          <cell r="B531">
            <v>41474029</v>
          </cell>
        </row>
        <row r="532">
          <cell r="A532" t="str">
            <v>0040T11999</v>
          </cell>
          <cell r="B532">
            <v>38886558</v>
          </cell>
        </row>
        <row r="533">
          <cell r="A533" t="str">
            <v>0040T21999</v>
          </cell>
          <cell r="B533">
            <v>40988918</v>
          </cell>
        </row>
        <row r="534">
          <cell r="A534" t="str">
            <v>0040T31999</v>
          </cell>
          <cell r="B534">
            <v>41370486</v>
          </cell>
        </row>
        <row r="535">
          <cell r="A535" t="str">
            <v>0040T41999</v>
          </cell>
          <cell r="B535">
            <v>41474029</v>
          </cell>
        </row>
        <row r="536">
          <cell r="A536" t="str">
            <v>0041A41999</v>
          </cell>
          <cell r="B536">
            <v>12609804</v>
          </cell>
        </row>
        <row r="537">
          <cell r="A537" t="str">
            <v>0041T11999</v>
          </cell>
          <cell r="B537">
            <v>10120512</v>
          </cell>
        </row>
        <row r="538">
          <cell r="A538" t="str">
            <v>0041T21999</v>
          </cell>
          <cell r="B538">
            <v>12963546</v>
          </cell>
        </row>
        <row r="539">
          <cell r="A539" t="str">
            <v>0041T31999</v>
          </cell>
          <cell r="B539">
            <v>12172583</v>
          </cell>
        </row>
        <row r="540">
          <cell r="A540" t="str">
            <v>0041T41999</v>
          </cell>
          <cell r="B540">
            <v>12609804</v>
          </cell>
        </row>
        <row r="541">
          <cell r="A541" t="str">
            <v>0042A21997</v>
          </cell>
          <cell r="B541">
            <v>814775</v>
          </cell>
        </row>
        <row r="542">
          <cell r="A542" t="str">
            <v>0042T11997</v>
          </cell>
          <cell r="B542">
            <v>406763</v>
          </cell>
        </row>
        <row r="543">
          <cell r="A543" t="str">
            <v>0042T21997</v>
          </cell>
          <cell r="B543">
            <v>374459</v>
          </cell>
        </row>
        <row r="544">
          <cell r="A544" t="str">
            <v>0042T31997</v>
          </cell>
          <cell r="B544">
            <v>427384</v>
          </cell>
        </row>
        <row r="545">
          <cell r="A545" t="str">
            <v>0042T41997</v>
          </cell>
          <cell r="B545">
            <v>814775</v>
          </cell>
        </row>
        <row r="546">
          <cell r="A546" t="str">
            <v>0042A31998</v>
          </cell>
          <cell r="B546">
            <v>1492315</v>
          </cell>
        </row>
        <row r="547">
          <cell r="A547" t="str">
            <v>0042T11998</v>
          </cell>
          <cell r="B547">
            <v>688855</v>
          </cell>
        </row>
        <row r="548">
          <cell r="A548" t="str">
            <v>0042T21998</v>
          </cell>
          <cell r="B548">
            <v>934899</v>
          </cell>
        </row>
        <row r="549">
          <cell r="A549" t="str">
            <v>0042T31998</v>
          </cell>
          <cell r="B549">
            <v>1289912</v>
          </cell>
        </row>
        <row r="550">
          <cell r="A550" t="str">
            <v>0042T41998</v>
          </cell>
          <cell r="B550">
            <v>1492315</v>
          </cell>
        </row>
        <row r="551">
          <cell r="A551" t="str">
            <v>0042A41999</v>
          </cell>
          <cell r="B551">
            <v>535811</v>
          </cell>
        </row>
        <row r="552">
          <cell r="A552" t="str">
            <v>0042T11999</v>
          </cell>
          <cell r="B552">
            <v>1436462</v>
          </cell>
        </row>
        <row r="553">
          <cell r="A553" t="str">
            <v>0042T21999</v>
          </cell>
          <cell r="B553">
            <v>201382</v>
          </cell>
        </row>
        <row r="554">
          <cell r="A554" t="str">
            <v>0042T31999</v>
          </cell>
          <cell r="B554">
            <v>376284</v>
          </cell>
        </row>
        <row r="555">
          <cell r="A555" t="str">
            <v>0042T41999</v>
          </cell>
          <cell r="B555">
            <v>535811</v>
          </cell>
        </row>
        <row r="556">
          <cell r="A556" t="str">
            <v>0043A21997</v>
          </cell>
          <cell r="B556">
            <v>-9460841</v>
          </cell>
        </row>
        <row r="557">
          <cell r="A557" t="str">
            <v>0043T11997</v>
          </cell>
          <cell r="B557">
            <v>-6638120</v>
          </cell>
        </row>
        <row r="558">
          <cell r="A558" t="str">
            <v>0043T21997</v>
          </cell>
          <cell r="B558">
            <v>-6579590</v>
          </cell>
        </row>
        <row r="559">
          <cell r="A559" t="str">
            <v>0043T31997</v>
          </cell>
          <cell r="B559">
            <v>-6551543</v>
          </cell>
        </row>
        <row r="560">
          <cell r="A560" t="str">
            <v>0043T41997</v>
          </cell>
          <cell r="B560">
            <v>-9460841</v>
          </cell>
        </row>
        <row r="561">
          <cell r="A561" t="str">
            <v>0043A31998</v>
          </cell>
          <cell r="B561">
            <v>-11579106</v>
          </cell>
        </row>
        <row r="562">
          <cell r="A562" t="str">
            <v>0043T11998</v>
          </cell>
          <cell r="B562">
            <v>-9458925</v>
          </cell>
        </row>
        <row r="563">
          <cell r="A563" t="str">
            <v>0043T21998</v>
          </cell>
          <cell r="B563">
            <v>-14875464</v>
          </cell>
        </row>
        <row r="564">
          <cell r="A564" t="str">
            <v>0043T31998</v>
          </cell>
          <cell r="B564">
            <v>-13762924</v>
          </cell>
        </row>
        <row r="565">
          <cell r="A565" t="str">
            <v>0043T41998</v>
          </cell>
          <cell r="B565">
            <v>-11579106</v>
          </cell>
        </row>
        <row r="566">
          <cell r="A566" t="str">
            <v>0043A41999</v>
          </cell>
          <cell r="B566">
            <v>29804</v>
          </cell>
        </row>
        <row r="567">
          <cell r="A567" t="str">
            <v>0043T11999</v>
          </cell>
          <cell r="B567">
            <v>29804</v>
          </cell>
        </row>
        <row r="568">
          <cell r="A568" t="str">
            <v>0043T21999</v>
          </cell>
          <cell r="B568">
            <v>29804</v>
          </cell>
        </row>
        <row r="569">
          <cell r="A569" t="str">
            <v>0043T31999</v>
          </cell>
          <cell r="B569">
            <v>29804</v>
          </cell>
        </row>
        <row r="570">
          <cell r="A570" t="str">
            <v>0043T41999</v>
          </cell>
          <cell r="B570">
            <v>29804</v>
          </cell>
        </row>
        <row r="571">
          <cell r="A571" t="str">
            <v>0044A41999</v>
          </cell>
          <cell r="B571">
            <v>0</v>
          </cell>
        </row>
        <row r="572">
          <cell r="A572" t="str">
            <v>0044T11999</v>
          </cell>
          <cell r="B572">
            <v>0</v>
          </cell>
        </row>
        <row r="573">
          <cell r="A573" t="str">
            <v>0044T21999</v>
          </cell>
          <cell r="B573">
            <v>0</v>
          </cell>
        </row>
        <row r="574">
          <cell r="A574" t="str">
            <v>0044T31999</v>
          </cell>
          <cell r="B574">
            <v>0</v>
          </cell>
        </row>
        <row r="575">
          <cell r="A575" t="str">
            <v>0044T41999</v>
          </cell>
          <cell r="B575">
            <v>0</v>
          </cell>
        </row>
        <row r="576">
          <cell r="A576" t="str">
            <v>0045A21997</v>
          </cell>
          <cell r="B576">
            <v>1769566</v>
          </cell>
        </row>
        <row r="577">
          <cell r="A577" t="str">
            <v>0045T11997</v>
          </cell>
          <cell r="B577">
            <v>9023356</v>
          </cell>
        </row>
        <row r="578">
          <cell r="A578" t="str">
            <v>0045T21997</v>
          </cell>
          <cell r="B578">
            <v>9315702</v>
          </cell>
        </row>
        <row r="579">
          <cell r="A579" t="str">
            <v>0045T31997</v>
          </cell>
          <cell r="B579">
            <v>2039054</v>
          </cell>
        </row>
        <row r="580">
          <cell r="A580" t="str">
            <v>0045T41997</v>
          </cell>
          <cell r="B580">
            <v>1769566</v>
          </cell>
        </row>
        <row r="581">
          <cell r="A581" t="str">
            <v>0045A31998</v>
          </cell>
          <cell r="B581">
            <v>2066125</v>
          </cell>
        </row>
        <row r="582">
          <cell r="A582" t="str">
            <v>0045T11998</v>
          </cell>
          <cell r="B582">
            <v>2132733</v>
          </cell>
        </row>
        <row r="583">
          <cell r="A583" t="str">
            <v>0045T21998</v>
          </cell>
          <cell r="B583">
            <v>2429269</v>
          </cell>
        </row>
        <row r="584">
          <cell r="A584" t="str">
            <v>0045T31998</v>
          </cell>
          <cell r="B584">
            <v>2188955</v>
          </cell>
        </row>
        <row r="585">
          <cell r="A585" t="str">
            <v>0045T41998</v>
          </cell>
          <cell r="B585">
            <v>2047294</v>
          </cell>
        </row>
        <row r="586">
          <cell r="A586" t="str">
            <v>0045A41999</v>
          </cell>
          <cell r="B586">
            <v>1398916</v>
          </cell>
        </row>
        <row r="587">
          <cell r="A587" t="str">
            <v>0045T11999</v>
          </cell>
          <cell r="B587">
            <v>1931497</v>
          </cell>
        </row>
        <row r="588">
          <cell r="A588" t="str">
            <v>0045T21999</v>
          </cell>
          <cell r="B588">
            <v>2231371</v>
          </cell>
        </row>
        <row r="589">
          <cell r="A589" t="str">
            <v>0045T31999</v>
          </cell>
          <cell r="B589">
            <v>1845946</v>
          </cell>
        </row>
        <row r="590">
          <cell r="A590" t="str">
            <v>0045T41999</v>
          </cell>
          <cell r="B590">
            <v>1398916</v>
          </cell>
        </row>
        <row r="591">
          <cell r="A591" t="str">
            <v>0046A41999</v>
          </cell>
          <cell r="B591">
            <v>0</v>
          </cell>
        </row>
        <row r="592">
          <cell r="A592" t="str">
            <v>0046T11999</v>
          </cell>
          <cell r="B592">
            <v>0</v>
          </cell>
        </row>
        <row r="593">
          <cell r="A593" t="str">
            <v>0046T21999</v>
          </cell>
          <cell r="B593">
            <v>0</v>
          </cell>
        </row>
        <row r="594">
          <cell r="A594" t="str">
            <v>0046T31999</v>
          </cell>
          <cell r="B594">
            <v>0</v>
          </cell>
        </row>
        <row r="595">
          <cell r="A595" t="str">
            <v>0046T41999</v>
          </cell>
          <cell r="B595">
            <v>0</v>
          </cell>
        </row>
        <row r="596">
          <cell r="A596" t="str">
            <v>0047A21997</v>
          </cell>
          <cell r="B596">
            <v>3504960</v>
          </cell>
        </row>
        <row r="597">
          <cell r="A597" t="str">
            <v>0047T11997</v>
          </cell>
          <cell r="B597">
            <v>3523540</v>
          </cell>
        </row>
        <row r="598">
          <cell r="A598" t="str">
            <v>0047T21997</v>
          </cell>
          <cell r="B598">
            <v>5304742</v>
          </cell>
        </row>
        <row r="599">
          <cell r="A599" t="str">
            <v>0047T31997</v>
          </cell>
          <cell r="B599">
            <v>7062766</v>
          </cell>
        </row>
        <row r="600">
          <cell r="A600" t="str">
            <v>0047T41997</v>
          </cell>
          <cell r="B600">
            <v>3504960</v>
          </cell>
        </row>
        <row r="601">
          <cell r="A601" t="str">
            <v>0047A31998</v>
          </cell>
          <cell r="B601">
            <v>3472113</v>
          </cell>
        </row>
        <row r="602">
          <cell r="A602" t="str">
            <v>0047T11998</v>
          </cell>
          <cell r="B602">
            <v>2297126</v>
          </cell>
        </row>
        <row r="603">
          <cell r="A603" t="str">
            <v>0047T21998</v>
          </cell>
          <cell r="B603">
            <v>4675356</v>
          </cell>
        </row>
        <row r="604">
          <cell r="A604" t="str">
            <v>0047T31998</v>
          </cell>
          <cell r="B604">
            <v>4625492</v>
          </cell>
        </row>
        <row r="605">
          <cell r="A605" t="str">
            <v>0047T41998</v>
          </cell>
          <cell r="B605">
            <v>3463831</v>
          </cell>
        </row>
        <row r="606">
          <cell r="A606" t="str">
            <v>0047A41999</v>
          </cell>
          <cell r="B606">
            <v>887978</v>
          </cell>
        </row>
        <row r="607">
          <cell r="A607" t="str">
            <v>0047T11999</v>
          </cell>
          <cell r="B607">
            <v>2507580</v>
          </cell>
        </row>
        <row r="608">
          <cell r="A608" t="str">
            <v>0047T21999</v>
          </cell>
          <cell r="B608">
            <v>1356487</v>
          </cell>
        </row>
        <row r="609">
          <cell r="A609" t="str">
            <v>0047T31999</v>
          </cell>
          <cell r="B609">
            <v>905946</v>
          </cell>
        </row>
        <row r="610">
          <cell r="A610" t="str">
            <v>0047T41999</v>
          </cell>
          <cell r="B610">
            <v>887978</v>
          </cell>
        </row>
        <row r="611">
          <cell r="A611" t="str">
            <v>0048A41999</v>
          </cell>
          <cell r="B611">
            <v>282092788</v>
          </cell>
        </row>
        <row r="612">
          <cell r="A612" t="str">
            <v>0048T11999</v>
          </cell>
          <cell r="B612">
            <v>272291128</v>
          </cell>
        </row>
        <row r="613">
          <cell r="A613" t="str">
            <v>0048T21999</v>
          </cell>
          <cell r="B613">
            <v>271431308</v>
          </cell>
        </row>
        <row r="614">
          <cell r="A614" t="str">
            <v>0048T31999</v>
          </cell>
          <cell r="B614">
            <v>281742309</v>
          </cell>
        </row>
        <row r="615">
          <cell r="A615" t="str">
            <v>0048T41999</v>
          </cell>
          <cell r="B615">
            <v>282092788</v>
          </cell>
        </row>
        <row r="616">
          <cell r="A616" t="str">
            <v>0049A41999</v>
          </cell>
          <cell r="B616">
            <v>0</v>
          </cell>
        </row>
        <row r="617">
          <cell r="A617" t="str">
            <v>0049T11999</v>
          </cell>
          <cell r="B617">
            <v>38886558</v>
          </cell>
        </row>
        <row r="618">
          <cell r="A618" t="str">
            <v>0049T21999</v>
          </cell>
          <cell r="B618">
            <v>0</v>
          </cell>
        </row>
        <row r="619">
          <cell r="A619" t="str">
            <v>0049T31999</v>
          </cell>
          <cell r="B619">
            <v>0</v>
          </cell>
        </row>
        <row r="620">
          <cell r="A620" t="str">
            <v>0049T41999</v>
          </cell>
          <cell r="B620">
            <v>0</v>
          </cell>
        </row>
        <row r="621">
          <cell r="A621" t="str">
            <v>0050A41999</v>
          </cell>
          <cell r="B621">
            <v>0</v>
          </cell>
        </row>
        <row r="622">
          <cell r="A622" t="str">
            <v>0050T11999</v>
          </cell>
          <cell r="B622">
            <v>0</v>
          </cell>
        </row>
        <row r="623">
          <cell r="A623" t="str">
            <v>0050T21999</v>
          </cell>
          <cell r="B623">
            <v>0</v>
          </cell>
        </row>
        <row r="624">
          <cell r="A624" t="str">
            <v>0050T31999</v>
          </cell>
          <cell r="B624">
            <v>0</v>
          </cell>
        </row>
        <row r="625">
          <cell r="A625" t="str">
            <v>0050T41999</v>
          </cell>
          <cell r="B625">
            <v>0</v>
          </cell>
        </row>
        <row r="626">
          <cell r="A626" t="str">
            <v>0051A41999</v>
          </cell>
          <cell r="B626">
            <v>0</v>
          </cell>
        </row>
        <row r="627">
          <cell r="A627" t="str">
            <v>0051T11999</v>
          </cell>
          <cell r="B627">
            <v>0</v>
          </cell>
        </row>
        <row r="628">
          <cell r="A628" t="str">
            <v>0051T21999</v>
          </cell>
          <cell r="B628">
            <v>0</v>
          </cell>
        </row>
        <row r="629">
          <cell r="A629" t="str">
            <v>0051T31999</v>
          </cell>
          <cell r="B629">
            <v>0</v>
          </cell>
        </row>
        <row r="630">
          <cell r="A630" t="str">
            <v>0051T41999</v>
          </cell>
          <cell r="B630">
            <v>0</v>
          </cell>
        </row>
        <row r="631">
          <cell r="A631" t="str">
            <v>0052A41999</v>
          </cell>
          <cell r="B631">
            <v>0</v>
          </cell>
        </row>
        <row r="632">
          <cell r="A632" t="str">
            <v>0052T11999</v>
          </cell>
          <cell r="B632">
            <v>0</v>
          </cell>
        </row>
        <row r="633">
          <cell r="A633" t="str">
            <v>0052T21999</v>
          </cell>
          <cell r="B633">
            <v>0</v>
          </cell>
        </row>
        <row r="634">
          <cell r="A634" t="str">
            <v>0052T31999</v>
          </cell>
          <cell r="B634">
            <v>0</v>
          </cell>
        </row>
        <row r="635">
          <cell r="A635" t="str">
            <v>0052T41999</v>
          </cell>
          <cell r="B635">
            <v>0</v>
          </cell>
        </row>
        <row r="636">
          <cell r="A636" t="str">
            <v>0053A41999</v>
          </cell>
          <cell r="B636">
            <v>0</v>
          </cell>
        </row>
        <row r="637">
          <cell r="A637" t="str">
            <v>0053T11999</v>
          </cell>
          <cell r="B637">
            <v>0</v>
          </cell>
        </row>
        <row r="638">
          <cell r="A638" t="str">
            <v>0053T21999</v>
          </cell>
          <cell r="B638">
            <v>0</v>
          </cell>
        </row>
        <row r="639">
          <cell r="A639" t="str">
            <v>0053T31999</v>
          </cell>
          <cell r="B639">
            <v>0</v>
          </cell>
        </row>
        <row r="640">
          <cell r="A640" t="str">
            <v>0053T41999</v>
          </cell>
          <cell r="B640">
            <v>0</v>
          </cell>
        </row>
        <row r="641">
          <cell r="A641" t="str">
            <v>0054A41999</v>
          </cell>
          <cell r="B641">
            <v>461684139</v>
          </cell>
        </row>
        <row r="642">
          <cell r="A642" t="str">
            <v>0054T11999</v>
          </cell>
          <cell r="B642">
            <v>438722340</v>
          </cell>
        </row>
        <row r="643">
          <cell r="A643" t="str">
            <v>0054T21999</v>
          </cell>
          <cell r="B643">
            <v>440730592</v>
          </cell>
        </row>
        <row r="644">
          <cell r="A644" t="str">
            <v>0054T31999</v>
          </cell>
          <cell r="B644">
            <v>455439621</v>
          </cell>
        </row>
        <row r="645">
          <cell r="A645" t="str">
            <v>0054T41999</v>
          </cell>
          <cell r="B645">
            <v>461684139</v>
          </cell>
        </row>
        <row r="646">
          <cell r="A646" t="str">
            <v>0055A41999</v>
          </cell>
          <cell r="B646">
            <v>9296182</v>
          </cell>
        </row>
        <row r="647">
          <cell r="A647" t="str">
            <v>0055T11999</v>
          </cell>
          <cell r="B647">
            <v>8241789</v>
          </cell>
        </row>
        <row r="648">
          <cell r="A648" t="str">
            <v>0055T21999</v>
          </cell>
          <cell r="B648">
            <v>8471220</v>
          </cell>
        </row>
        <row r="649">
          <cell r="A649" t="str">
            <v>0055T31999</v>
          </cell>
          <cell r="B649">
            <v>9144805</v>
          </cell>
        </row>
        <row r="650">
          <cell r="A650" t="str">
            <v>0055T41999</v>
          </cell>
          <cell r="B650">
            <v>9296182</v>
          </cell>
        </row>
        <row r="651">
          <cell r="A651" t="str">
            <v>0056A41999</v>
          </cell>
          <cell r="B651">
            <v>2516316</v>
          </cell>
        </row>
        <row r="652">
          <cell r="A652" t="str">
            <v>0056T11999</v>
          </cell>
          <cell r="B652">
            <v>1823494</v>
          </cell>
        </row>
        <row r="653">
          <cell r="A653" t="str">
            <v>0056T21999</v>
          </cell>
          <cell r="B653">
            <v>2040533</v>
          </cell>
        </row>
        <row r="654">
          <cell r="A654" t="str">
            <v>0056T31999</v>
          </cell>
          <cell r="B654">
            <v>2275032</v>
          </cell>
        </row>
        <row r="655">
          <cell r="A655" t="str">
            <v>0056T41999</v>
          </cell>
          <cell r="B655">
            <v>2516316</v>
          </cell>
        </row>
        <row r="656">
          <cell r="A656" t="str">
            <v>0057A41999</v>
          </cell>
          <cell r="B656">
            <v>186371217</v>
          </cell>
        </row>
        <row r="657">
          <cell r="A657" t="str">
            <v>0057T11999</v>
          </cell>
          <cell r="B657">
            <v>172849506</v>
          </cell>
        </row>
        <row r="658">
          <cell r="A658" t="str">
            <v>0057T21999</v>
          </cell>
          <cell r="B658">
            <v>175729971</v>
          </cell>
        </row>
        <row r="659">
          <cell r="A659" t="str">
            <v>0057T31999</v>
          </cell>
          <cell r="B659">
            <v>180567086</v>
          </cell>
        </row>
        <row r="660">
          <cell r="A660" t="str">
            <v>0057T41999</v>
          </cell>
          <cell r="B660">
            <v>186371217</v>
          </cell>
        </row>
        <row r="661">
          <cell r="A661" t="str">
            <v>0058A41999</v>
          </cell>
          <cell r="B661">
            <v>314206827</v>
          </cell>
        </row>
        <row r="662">
          <cell r="A662" t="str">
            <v>0058T11999</v>
          </cell>
          <cell r="B662">
            <v>310433283</v>
          </cell>
        </row>
        <row r="663">
          <cell r="A663" t="str">
            <v>0058T21999</v>
          </cell>
          <cell r="B663">
            <v>304701605</v>
          </cell>
        </row>
        <row r="664">
          <cell r="A664" t="str">
            <v>0058T31999</v>
          </cell>
          <cell r="B664">
            <v>315168459</v>
          </cell>
        </row>
        <row r="665">
          <cell r="A665" t="str">
            <v>0058T41999</v>
          </cell>
          <cell r="B665">
            <v>314206827</v>
          </cell>
        </row>
        <row r="666">
          <cell r="A666" t="str">
            <v>0059A21997</v>
          </cell>
          <cell r="B666">
            <v>18369454</v>
          </cell>
        </row>
        <row r="667">
          <cell r="A667" t="str">
            <v>0059T11997</v>
          </cell>
          <cell r="B667">
            <v>20607235</v>
          </cell>
        </row>
        <row r="668">
          <cell r="A668" t="str">
            <v>0059T21997</v>
          </cell>
          <cell r="B668">
            <v>23458226</v>
          </cell>
        </row>
        <row r="669">
          <cell r="A669" t="str">
            <v>0059T31997</v>
          </cell>
          <cell r="B669">
            <v>17079626</v>
          </cell>
        </row>
        <row r="670">
          <cell r="A670" t="str">
            <v>0059T41997</v>
          </cell>
          <cell r="B670">
            <v>18369454</v>
          </cell>
        </row>
        <row r="671">
          <cell r="A671" t="str">
            <v>0059A31998</v>
          </cell>
          <cell r="B671">
            <v>30138003</v>
          </cell>
        </row>
        <row r="672">
          <cell r="A672" t="str">
            <v>0059T11998</v>
          </cell>
          <cell r="B672">
            <v>24066749</v>
          </cell>
        </row>
        <row r="673">
          <cell r="A673" t="str">
            <v>0059T21998</v>
          </cell>
          <cell r="B673">
            <v>29115199</v>
          </cell>
        </row>
        <row r="674">
          <cell r="A674" t="str">
            <v>0059T31998</v>
          </cell>
          <cell r="B674">
            <v>28770915</v>
          </cell>
        </row>
        <row r="675">
          <cell r="A675" t="str">
            <v>0059T41998</v>
          </cell>
          <cell r="B675">
            <v>30138003</v>
          </cell>
        </row>
        <row r="676">
          <cell r="A676" t="str">
            <v>0059A41999</v>
          </cell>
          <cell r="B676">
            <v>23040859</v>
          </cell>
        </row>
        <row r="677">
          <cell r="A677" t="str">
            <v>0059T11999</v>
          </cell>
          <cell r="B677">
            <v>22206699</v>
          </cell>
        </row>
        <row r="678">
          <cell r="A678" t="str">
            <v>0059T21999</v>
          </cell>
          <cell r="B678">
            <v>23672356</v>
          </cell>
        </row>
        <row r="679">
          <cell r="A679" t="str">
            <v>0059T31999</v>
          </cell>
          <cell r="B679">
            <v>21942860</v>
          </cell>
        </row>
        <row r="680">
          <cell r="A680" t="str">
            <v>0059T41999</v>
          </cell>
          <cell r="B680">
            <v>23040859</v>
          </cell>
        </row>
        <row r="681">
          <cell r="A681" t="str">
            <v>0060A41999</v>
          </cell>
          <cell r="B681">
            <v>126710</v>
          </cell>
        </row>
        <row r="682">
          <cell r="A682" t="str">
            <v>0060T11999</v>
          </cell>
          <cell r="B682">
            <v>620698</v>
          </cell>
        </row>
        <row r="683">
          <cell r="A683" t="str">
            <v>0060T21999</v>
          </cell>
          <cell r="B683">
            <v>472807</v>
          </cell>
        </row>
        <row r="684">
          <cell r="A684" t="str">
            <v>0060T31999</v>
          </cell>
          <cell r="B684">
            <v>112644</v>
          </cell>
        </row>
        <row r="685">
          <cell r="A685" t="str">
            <v>0060T41999</v>
          </cell>
          <cell r="B685">
            <v>126710</v>
          </cell>
        </row>
        <row r="686">
          <cell r="A686" t="str">
            <v>0061A41999</v>
          </cell>
          <cell r="B686">
            <v>4236562</v>
          </cell>
        </row>
        <row r="687">
          <cell r="A687" t="str">
            <v>0061T11999</v>
          </cell>
          <cell r="B687">
            <v>1138923</v>
          </cell>
        </row>
        <row r="688">
          <cell r="A688" t="str">
            <v>0061T21999</v>
          </cell>
          <cell r="B688">
            <v>3457504</v>
          </cell>
        </row>
        <row r="689">
          <cell r="A689" t="str">
            <v>0061T31999</v>
          </cell>
          <cell r="B689">
            <v>4543266</v>
          </cell>
        </row>
        <row r="690">
          <cell r="A690" t="str">
            <v>0061T41999</v>
          </cell>
          <cell r="B690">
            <v>4236562</v>
          </cell>
        </row>
        <row r="691">
          <cell r="A691" t="str">
            <v>0062A41999</v>
          </cell>
          <cell r="B691">
            <v>0</v>
          </cell>
        </row>
        <row r="692">
          <cell r="A692" t="str">
            <v>0062T11999</v>
          </cell>
          <cell r="B692">
            <v>0</v>
          </cell>
        </row>
        <row r="693">
          <cell r="A693" t="str">
            <v>0062T21999</v>
          </cell>
          <cell r="B693">
            <v>0</v>
          </cell>
        </row>
        <row r="694">
          <cell r="A694" t="str">
            <v>0062T31999</v>
          </cell>
          <cell r="B694">
            <v>0</v>
          </cell>
        </row>
        <row r="695">
          <cell r="A695" t="str">
            <v>0062T41999</v>
          </cell>
          <cell r="B695">
            <v>0</v>
          </cell>
        </row>
        <row r="696">
          <cell r="A696" t="str">
            <v>0063A41999</v>
          </cell>
          <cell r="B696">
            <v>0</v>
          </cell>
        </row>
        <row r="697">
          <cell r="A697" t="str">
            <v>0063T11999</v>
          </cell>
          <cell r="B697">
            <v>0</v>
          </cell>
        </row>
        <row r="698">
          <cell r="A698" t="str">
            <v>0063T21999</v>
          </cell>
          <cell r="B698">
            <v>0</v>
          </cell>
        </row>
        <row r="699">
          <cell r="A699" t="str">
            <v>0063T31999</v>
          </cell>
          <cell r="B699">
            <v>0</v>
          </cell>
        </row>
        <row r="700">
          <cell r="A700" t="str">
            <v>0063T41999</v>
          </cell>
          <cell r="B700">
            <v>0</v>
          </cell>
        </row>
        <row r="701">
          <cell r="A701" t="str">
            <v>0064A41999</v>
          </cell>
          <cell r="B701">
            <v>6824371</v>
          </cell>
        </row>
        <row r="702">
          <cell r="A702" t="str">
            <v>0064T11999</v>
          </cell>
          <cell r="B702">
            <v>3760645</v>
          </cell>
        </row>
        <row r="703">
          <cell r="A703" t="str">
            <v>0064T21999</v>
          </cell>
          <cell r="B703">
            <v>3780434</v>
          </cell>
        </row>
        <row r="704">
          <cell r="A704" t="str">
            <v>0064T31999</v>
          </cell>
          <cell r="B704">
            <v>3780434</v>
          </cell>
        </row>
        <row r="705">
          <cell r="A705" t="str">
            <v>0064T41999</v>
          </cell>
          <cell r="B705">
            <v>6824371</v>
          </cell>
        </row>
        <row r="706">
          <cell r="A706" t="str">
            <v>0065A21997</v>
          </cell>
          <cell r="B706">
            <v>71461967</v>
          </cell>
        </row>
        <row r="707">
          <cell r="A707" t="str">
            <v>0065T11997</v>
          </cell>
          <cell r="B707">
            <v>17157366</v>
          </cell>
        </row>
        <row r="708">
          <cell r="A708" t="str">
            <v>0065T21997</v>
          </cell>
          <cell r="B708">
            <v>26157331</v>
          </cell>
        </row>
        <row r="709">
          <cell r="A709" t="str">
            <v>0065T31997</v>
          </cell>
          <cell r="B709">
            <v>51718243</v>
          </cell>
        </row>
        <row r="710">
          <cell r="A710" t="str">
            <v>0065T41997</v>
          </cell>
          <cell r="B710">
            <v>71461967</v>
          </cell>
        </row>
        <row r="711">
          <cell r="A711" t="str">
            <v>0065A31998</v>
          </cell>
          <cell r="B711">
            <v>95366861</v>
          </cell>
        </row>
        <row r="712">
          <cell r="A712" t="str">
            <v>0065T11998</v>
          </cell>
          <cell r="B712">
            <v>78540630</v>
          </cell>
        </row>
        <row r="713">
          <cell r="A713" t="str">
            <v>0065T21998</v>
          </cell>
          <cell r="B713">
            <v>82685322</v>
          </cell>
        </row>
        <row r="714">
          <cell r="A714" t="str">
            <v>0065T31998</v>
          </cell>
          <cell r="B714">
            <v>89830647</v>
          </cell>
        </row>
        <row r="715">
          <cell r="A715" t="str">
            <v>0065T41998</v>
          </cell>
          <cell r="B715">
            <v>95366861</v>
          </cell>
        </row>
        <row r="716">
          <cell r="A716" t="str">
            <v>0065A41999</v>
          </cell>
          <cell r="B716">
            <v>96917523</v>
          </cell>
        </row>
        <row r="717">
          <cell r="A717" t="str">
            <v>0065T11999</v>
          </cell>
          <cell r="B717">
            <v>94768004</v>
          </cell>
        </row>
        <row r="718">
          <cell r="A718" t="str">
            <v>0065T21999</v>
          </cell>
          <cell r="B718">
            <v>89150654</v>
          </cell>
        </row>
        <row r="719">
          <cell r="A719" t="str">
            <v>0065T31999</v>
          </cell>
          <cell r="B719">
            <v>89150654</v>
          </cell>
        </row>
        <row r="720">
          <cell r="A720" t="str">
            <v>0065T41999</v>
          </cell>
          <cell r="B720">
            <v>96917523</v>
          </cell>
        </row>
        <row r="721">
          <cell r="A721" t="str">
            <v>0066A41999</v>
          </cell>
          <cell r="B721">
            <v>95403120</v>
          </cell>
        </row>
        <row r="722">
          <cell r="A722" t="str">
            <v>0066T11999</v>
          </cell>
          <cell r="B722">
            <v>91370799</v>
          </cell>
        </row>
        <row r="723">
          <cell r="A723" t="str">
            <v>0066T21999</v>
          </cell>
          <cell r="B723">
            <v>87641162</v>
          </cell>
        </row>
        <row r="724">
          <cell r="A724" t="str">
            <v>0066T31999</v>
          </cell>
          <cell r="B724">
            <v>87641161</v>
          </cell>
        </row>
        <row r="725">
          <cell r="A725" t="str">
            <v>0066T41999</v>
          </cell>
          <cell r="B725">
            <v>95403120</v>
          </cell>
        </row>
        <row r="726">
          <cell r="A726" t="str">
            <v>0067A41999</v>
          </cell>
          <cell r="B726">
            <v>1514403</v>
          </cell>
        </row>
        <row r="727">
          <cell r="A727" t="str">
            <v>0067T11999</v>
          </cell>
          <cell r="B727">
            <v>3397206</v>
          </cell>
        </row>
        <row r="728">
          <cell r="A728" t="str">
            <v>0067T21999</v>
          </cell>
          <cell r="B728">
            <v>1509492</v>
          </cell>
        </row>
        <row r="729">
          <cell r="A729" t="str">
            <v>0067T31999</v>
          </cell>
          <cell r="B729">
            <v>1509493</v>
          </cell>
        </row>
        <row r="730">
          <cell r="A730" t="str">
            <v>0067T41999</v>
          </cell>
          <cell r="B730">
            <v>1514403</v>
          </cell>
        </row>
        <row r="731">
          <cell r="A731" t="str">
            <v>0068A41999</v>
          </cell>
          <cell r="B731">
            <v>119958382</v>
          </cell>
        </row>
        <row r="732">
          <cell r="A732" t="str">
            <v>0068T11999</v>
          </cell>
          <cell r="B732">
            <v>116974703</v>
          </cell>
        </row>
        <row r="733">
          <cell r="A733" t="str">
            <v>0068T21999</v>
          </cell>
          <cell r="B733">
            <v>112823010</v>
          </cell>
        </row>
        <row r="734">
          <cell r="A734" t="str">
            <v>0068T31999</v>
          </cell>
          <cell r="B734">
            <v>112823010</v>
          </cell>
        </row>
        <row r="735">
          <cell r="A735" t="str">
            <v>0068T41999</v>
          </cell>
          <cell r="B735">
            <v>119958382</v>
          </cell>
        </row>
        <row r="736">
          <cell r="A736" t="str">
            <v>0069A41999</v>
          </cell>
          <cell r="B736">
            <v>0</v>
          </cell>
        </row>
        <row r="737">
          <cell r="A737" t="str">
            <v>0069T11999</v>
          </cell>
          <cell r="B737">
            <v>0</v>
          </cell>
        </row>
        <row r="738">
          <cell r="A738" t="str">
            <v>0069T21999</v>
          </cell>
          <cell r="B738">
            <v>0</v>
          </cell>
        </row>
        <row r="739">
          <cell r="A739" t="str">
            <v>0069T31999</v>
          </cell>
          <cell r="B739">
            <v>0</v>
          </cell>
        </row>
        <row r="740">
          <cell r="A740" t="str">
            <v>0069T41999</v>
          </cell>
          <cell r="B740">
            <v>0</v>
          </cell>
        </row>
        <row r="741">
          <cell r="A741" t="str">
            <v>0070A41999</v>
          </cell>
          <cell r="B741">
            <v>0</v>
          </cell>
        </row>
        <row r="742">
          <cell r="A742" t="str">
            <v>0070T11999</v>
          </cell>
          <cell r="B742">
            <v>0</v>
          </cell>
        </row>
        <row r="743">
          <cell r="A743" t="str">
            <v>0070T21999</v>
          </cell>
          <cell r="B743">
            <v>0</v>
          </cell>
        </row>
        <row r="744">
          <cell r="A744" t="str">
            <v>0070T31999</v>
          </cell>
          <cell r="B744">
            <v>0</v>
          </cell>
        </row>
        <row r="745">
          <cell r="A745" t="str">
            <v>0070T41999</v>
          </cell>
          <cell r="B745">
            <v>0</v>
          </cell>
        </row>
        <row r="746">
          <cell r="A746" t="str">
            <v>0071A21997</v>
          </cell>
          <cell r="B746">
            <v>121532514</v>
          </cell>
        </row>
        <row r="747">
          <cell r="A747" t="str">
            <v>0071T11997</v>
          </cell>
          <cell r="B747">
            <v>57424612</v>
          </cell>
        </row>
        <row r="748">
          <cell r="A748" t="str">
            <v>0071T21997</v>
          </cell>
          <cell r="B748">
            <v>86953215</v>
          </cell>
        </row>
        <row r="749">
          <cell r="A749" t="str">
            <v>0071T31997</v>
          </cell>
          <cell r="B749">
            <v>89110268</v>
          </cell>
        </row>
        <row r="750">
          <cell r="A750" t="str">
            <v>0071T41997</v>
          </cell>
          <cell r="B750">
            <v>121532514</v>
          </cell>
        </row>
        <row r="751">
          <cell r="A751" t="str">
            <v>0071A31998</v>
          </cell>
          <cell r="B751">
            <v>187941067</v>
          </cell>
        </row>
        <row r="752">
          <cell r="A752" t="str">
            <v>0071T11998</v>
          </cell>
          <cell r="B752">
            <v>121895906</v>
          </cell>
        </row>
        <row r="753">
          <cell r="A753" t="str">
            <v>0071T21998</v>
          </cell>
          <cell r="B753">
            <v>116073301</v>
          </cell>
        </row>
        <row r="754">
          <cell r="A754" t="str">
            <v>0071T31998</v>
          </cell>
          <cell r="B754">
            <v>121010856</v>
          </cell>
        </row>
        <row r="755">
          <cell r="A755" t="str">
            <v>0071T41998</v>
          </cell>
          <cell r="B755">
            <v>179037389</v>
          </cell>
        </row>
        <row r="756">
          <cell r="A756" t="str">
            <v>0071A41999</v>
          </cell>
          <cell r="B756">
            <v>194248445</v>
          </cell>
        </row>
        <row r="757">
          <cell r="A757" t="str">
            <v>0071T11999</v>
          </cell>
          <cell r="B757">
            <v>193458580</v>
          </cell>
        </row>
        <row r="758">
          <cell r="A758" t="str">
            <v>0071T21999</v>
          </cell>
          <cell r="B758">
            <v>191878595</v>
          </cell>
        </row>
        <row r="759">
          <cell r="A759" t="str">
            <v>0071T31999</v>
          </cell>
          <cell r="B759">
            <v>191878595</v>
          </cell>
        </row>
        <row r="760">
          <cell r="A760" t="str">
            <v>0071T41999</v>
          </cell>
          <cell r="B760">
            <v>194248445</v>
          </cell>
        </row>
        <row r="761">
          <cell r="A761" t="str">
            <v>0072A41999</v>
          </cell>
          <cell r="B761">
            <v>208838305</v>
          </cell>
        </row>
        <row r="762">
          <cell r="A762" t="str">
            <v>0072T11999</v>
          </cell>
          <cell r="B762">
            <v>135003620</v>
          </cell>
        </row>
        <row r="763">
          <cell r="A763" t="str">
            <v>0072T21999</v>
          </cell>
          <cell r="B763">
            <v>136195997</v>
          </cell>
        </row>
        <row r="764">
          <cell r="A764" t="str">
            <v>0072T31999</v>
          </cell>
          <cell r="B764">
            <v>136195997</v>
          </cell>
        </row>
        <row r="765">
          <cell r="A765" t="str">
            <v>0072T41999</v>
          </cell>
          <cell r="B765">
            <v>208838305</v>
          </cell>
        </row>
        <row r="766">
          <cell r="A766" t="str">
            <v>0073A41999</v>
          </cell>
          <cell r="B766">
            <v>1608021</v>
          </cell>
        </row>
        <row r="767">
          <cell r="A767" t="str">
            <v>0073T11999</v>
          </cell>
          <cell r="B767">
            <v>8134622</v>
          </cell>
        </row>
        <row r="768">
          <cell r="A768" t="str">
            <v>0073T21999</v>
          </cell>
          <cell r="B768">
            <v>8382956</v>
          </cell>
        </row>
        <row r="769">
          <cell r="A769" t="str">
            <v>0073T31999</v>
          </cell>
          <cell r="B769">
            <v>8382956</v>
          </cell>
        </row>
        <row r="770">
          <cell r="A770" t="str">
            <v>0073T41999</v>
          </cell>
          <cell r="B770">
            <v>1608021</v>
          </cell>
        </row>
        <row r="771">
          <cell r="A771" t="str">
            <v>0074A41999</v>
          </cell>
          <cell r="B771">
            <v>0</v>
          </cell>
        </row>
        <row r="772">
          <cell r="A772" t="str">
            <v>0074T11999</v>
          </cell>
          <cell r="B772">
            <v>0</v>
          </cell>
        </row>
        <row r="773">
          <cell r="A773" t="str">
            <v>0074T21999</v>
          </cell>
          <cell r="B773">
            <v>0</v>
          </cell>
        </row>
        <row r="774">
          <cell r="A774" t="str">
            <v>0074T31999</v>
          </cell>
          <cell r="B774">
            <v>0</v>
          </cell>
        </row>
        <row r="775">
          <cell r="A775" t="str">
            <v>0074T41999</v>
          </cell>
          <cell r="B775">
            <v>0</v>
          </cell>
        </row>
        <row r="776">
          <cell r="A776" t="str">
            <v>0075A41999</v>
          </cell>
          <cell r="B776">
            <v>0</v>
          </cell>
        </row>
        <row r="777">
          <cell r="A777" t="str">
            <v>0075T11999</v>
          </cell>
          <cell r="B777">
            <v>59510651</v>
          </cell>
        </row>
        <row r="778">
          <cell r="A778" t="str">
            <v>0075T21999</v>
          </cell>
          <cell r="B778">
            <v>60036260</v>
          </cell>
        </row>
        <row r="779">
          <cell r="A779" t="str">
            <v>0075T31999</v>
          </cell>
          <cell r="B779">
            <v>0</v>
          </cell>
        </row>
        <row r="780">
          <cell r="A780" t="str">
            <v>0075T41999</v>
          </cell>
          <cell r="B780">
            <v>0</v>
          </cell>
        </row>
        <row r="781">
          <cell r="A781" t="str">
            <v>0076A41999</v>
          </cell>
          <cell r="B781">
            <v>0</v>
          </cell>
        </row>
        <row r="782">
          <cell r="A782" t="str">
            <v>0076T11999</v>
          </cell>
          <cell r="B782">
            <v>0</v>
          </cell>
        </row>
        <row r="783">
          <cell r="A783" t="str">
            <v>0076T21999</v>
          </cell>
          <cell r="B783">
            <v>0</v>
          </cell>
        </row>
        <row r="784">
          <cell r="A784" t="str">
            <v>0076T31999</v>
          </cell>
          <cell r="B784">
            <v>0</v>
          </cell>
        </row>
        <row r="785">
          <cell r="A785" t="str">
            <v>0076T41999</v>
          </cell>
          <cell r="B785">
            <v>0</v>
          </cell>
        </row>
        <row r="786">
          <cell r="A786" t="str">
            <v>0077A41999</v>
          </cell>
          <cell r="B786">
            <v>0</v>
          </cell>
        </row>
        <row r="787">
          <cell r="A787" t="str">
            <v>0077T11999</v>
          </cell>
          <cell r="B787">
            <v>0</v>
          </cell>
        </row>
        <row r="788">
          <cell r="A788" t="str">
            <v>0077T21999</v>
          </cell>
          <cell r="B788">
            <v>0</v>
          </cell>
        </row>
        <row r="789">
          <cell r="A789" t="str">
            <v>0077T31999</v>
          </cell>
          <cell r="B789">
            <v>0</v>
          </cell>
        </row>
        <row r="790">
          <cell r="A790" t="str">
            <v>0077T41999</v>
          </cell>
          <cell r="B790">
            <v>0</v>
          </cell>
        </row>
        <row r="791">
          <cell r="A791" t="str">
            <v>0078A41999</v>
          </cell>
          <cell r="B791">
            <v>-16197881</v>
          </cell>
        </row>
        <row r="792">
          <cell r="A792" t="str">
            <v>0078T11999</v>
          </cell>
          <cell r="B792">
            <v>11136945</v>
          </cell>
        </row>
        <row r="793">
          <cell r="A793" t="str">
            <v>0078T21999</v>
          </cell>
          <cell r="B793">
            <v>11494890</v>
          </cell>
        </row>
        <row r="794">
          <cell r="A794" t="str">
            <v>0078T31999</v>
          </cell>
          <cell r="B794">
            <v>-11635846</v>
          </cell>
        </row>
        <row r="795">
          <cell r="A795" t="str">
            <v>0078T41999</v>
          </cell>
          <cell r="B795">
            <v>-16197881</v>
          </cell>
        </row>
        <row r="796">
          <cell r="A796" t="str">
            <v>0079A41999</v>
          </cell>
          <cell r="B796">
            <v>4394210</v>
          </cell>
        </row>
        <row r="797">
          <cell r="A797" t="str">
            <v>0079T11999</v>
          </cell>
          <cell r="B797">
            <v>1946633</v>
          </cell>
        </row>
        <row r="798">
          <cell r="A798" t="str">
            <v>0079T21999</v>
          </cell>
          <cell r="B798">
            <v>1241728</v>
          </cell>
        </row>
        <row r="799">
          <cell r="A799" t="str">
            <v>0079T31999</v>
          </cell>
          <cell r="B799">
            <v>-1741813</v>
          </cell>
        </row>
        <row r="800">
          <cell r="A800" t="str">
            <v>0079T41999</v>
          </cell>
          <cell r="B800">
            <v>4394210</v>
          </cell>
        </row>
        <row r="801">
          <cell r="A801" t="str">
            <v>0080A21997</v>
          </cell>
          <cell r="B801">
            <v>42232313</v>
          </cell>
        </row>
        <row r="802">
          <cell r="A802" t="str">
            <v>0080T11997</v>
          </cell>
          <cell r="B802">
            <v>10020066</v>
          </cell>
        </row>
        <row r="803">
          <cell r="A803" t="str">
            <v>0080T21997</v>
          </cell>
          <cell r="B803">
            <v>9806068</v>
          </cell>
        </row>
        <row r="804">
          <cell r="A804" t="str">
            <v>0080T31997</v>
          </cell>
          <cell r="B804">
            <v>10414432</v>
          </cell>
        </row>
        <row r="805">
          <cell r="A805" t="str">
            <v>0080T41997</v>
          </cell>
          <cell r="B805">
            <v>11991747</v>
          </cell>
        </row>
        <row r="806">
          <cell r="A806" t="str">
            <v>0080A31998</v>
          </cell>
          <cell r="B806">
            <v>46348045</v>
          </cell>
        </row>
        <row r="807">
          <cell r="A807" t="str">
            <v>0080T11998</v>
          </cell>
          <cell r="B807">
            <v>11498747</v>
          </cell>
        </row>
        <row r="808">
          <cell r="A808" t="str">
            <v>0080T21998</v>
          </cell>
          <cell r="B808">
            <v>11333178</v>
          </cell>
        </row>
        <row r="809">
          <cell r="A809" t="str">
            <v>0080T31998</v>
          </cell>
          <cell r="B809">
            <v>11415521</v>
          </cell>
        </row>
        <row r="810">
          <cell r="A810" t="str">
            <v>0080T41998</v>
          </cell>
          <cell r="B810">
            <v>11291389</v>
          </cell>
        </row>
        <row r="811">
          <cell r="A811" t="str">
            <v>0080A41999</v>
          </cell>
          <cell r="B811">
            <v>42597569</v>
          </cell>
        </row>
        <row r="812">
          <cell r="A812" t="str">
            <v>0080T11999</v>
          </cell>
          <cell r="B812">
            <v>10945194</v>
          </cell>
        </row>
        <row r="813">
          <cell r="A813" t="str">
            <v>0080T21999</v>
          </cell>
          <cell r="B813">
            <v>21826224</v>
          </cell>
        </row>
        <row r="814">
          <cell r="A814" t="str">
            <v>0080T31999</v>
          </cell>
          <cell r="B814">
            <v>32130576</v>
          </cell>
        </row>
        <row r="815">
          <cell r="A815" t="str">
            <v>0080T41999</v>
          </cell>
          <cell r="B815">
            <v>42597569</v>
          </cell>
        </row>
        <row r="816">
          <cell r="A816" t="str">
            <v>0081A41999</v>
          </cell>
          <cell r="B816">
            <v>4263727</v>
          </cell>
        </row>
        <row r="817">
          <cell r="A817" t="str">
            <v>0081T11999</v>
          </cell>
          <cell r="B817">
            <v>916152</v>
          </cell>
        </row>
        <row r="818">
          <cell r="A818" t="str">
            <v>0081T21999</v>
          </cell>
          <cell r="B818">
            <v>1863495</v>
          </cell>
        </row>
        <row r="819">
          <cell r="A819" t="str">
            <v>0081T31999</v>
          </cell>
          <cell r="B819">
            <v>3094457</v>
          </cell>
        </row>
        <row r="820">
          <cell r="A820" t="str">
            <v>0081T41999</v>
          </cell>
          <cell r="B820">
            <v>4263727</v>
          </cell>
        </row>
        <row r="821">
          <cell r="A821" t="str">
            <v>0082A41999</v>
          </cell>
          <cell r="B821">
            <v>46881296</v>
          </cell>
        </row>
        <row r="822">
          <cell r="A822" t="str">
            <v>0082T11999</v>
          </cell>
          <cell r="B822">
            <v>11861346</v>
          </cell>
        </row>
        <row r="823">
          <cell r="A823" t="str">
            <v>0082T21999</v>
          </cell>
          <cell r="B823">
            <v>23689719</v>
          </cell>
        </row>
        <row r="824">
          <cell r="A824" t="str">
            <v>0082T31999</v>
          </cell>
          <cell r="B824">
            <v>35225033</v>
          </cell>
        </row>
        <row r="825">
          <cell r="A825" t="str">
            <v>0082T41999</v>
          </cell>
          <cell r="B825">
            <v>46881296</v>
          </cell>
        </row>
        <row r="826">
          <cell r="A826" t="str">
            <v>0083A21997</v>
          </cell>
          <cell r="B826">
            <v>25917073</v>
          </cell>
        </row>
        <row r="827">
          <cell r="A827" t="str">
            <v>0083T11997</v>
          </cell>
          <cell r="B827">
            <v>5085761</v>
          </cell>
        </row>
        <row r="828">
          <cell r="A828" t="str">
            <v>0083T21997</v>
          </cell>
          <cell r="B828">
            <v>6089403</v>
          </cell>
        </row>
        <row r="829">
          <cell r="A829" t="str">
            <v>0083T31997</v>
          </cell>
          <cell r="B829">
            <v>5417991</v>
          </cell>
        </row>
        <row r="830">
          <cell r="A830" t="str">
            <v>0083T41997</v>
          </cell>
          <cell r="B830">
            <v>9323918</v>
          </cell>
        </row>
        <row r="831">
          <cell r="A831" t="str">
            <v>0083A31998</v>
          </cell>
          <cell r="B831">
            <v>25486791</v>
          </cell>
        </row>
        <row r="832">
          <cell r="A832" t="str">
            <v>0083T11998</v>
          </cell>
          <cell r="B832">
            <v>5723651</v>
          </cell>
        </row>
        <row r="833">
          <cell r="A833" t="str">
            <v>0083T21998</v>
          </cell>
          <cell r="B833">
            <v>6877766</v>
          </cell>
        </row>
        <row r="834">
          <cell r="A834" t="str">
            <v>0083T31998</v>
          </cell>
          <cell r="B834">
            <v>5909932</v>
          </cell>
        </row>
        <row r="835">
          <cell r="A835" t="str">
            <v>0083T41998</v>
          </cell>
          <cell r="B835">
            <v>6669561</v>
          </cell>
        </row>
        <row r="836">
          <cell r="A836" t="str">
            <v>0083A41999</v>
          </cell>
          <cell r="B836">
            <v>27017270</v>
          </cell>
        </row>
        <row r="837">
          <cell r="A837" t="str">
            <v>0083T11999</v>
          </cell>
          <cell r="B837">
            <v>6752633</v>
          </cell>
        </row>
        <row r="838">
          <cell r="A838" t="str">
            <v>0083T21999</v>
          </cell>
          <cell r="B838">
            <v>12346133</v>
          </cell>
        </row>
        <row r="839">
          <cell r="A839" t="str">
            <v>0083T31999</v>
          </cell>
          <cell r="B839">
            <v>19362436</v>
          </cell>
        </row>
        <row r="840">
          <cell r="A840" t="str">
            <v>0083T41999</v>
          </cell>
          <cell r="B840">
            <v>27017270</v>
          </cell>
        </row>
        <row r="841">
          <cell r="A841" t="str">
            <v>0084A41999</v>
          </cell>
          <cell r="B841">
            <v>19864026</v>
          </cell>
        </row>
        <row r="842">
          <cell r="A842" t="str">
            <v>0084T11999</v>
          </cell>
          <cell r="B842">
            <v>5108713</v>
          </cell>
        </row>
        <row r="843">
          <cell r="A843" t="str">
            <v>0084T21999</v>
          </cell>
          <cell r="B843">
            <v>11343586</v>
          </cell>
        </row>
        <row r="844">
          <cell r="A844" t="str">
            <v>0084T31999</v>
          </cell>
          <cell r="B844">
            <v>15862596</v>
          </cell>
        </row>
        <row r="845">
          <cell r="A845" t="str">
            <v>0084T41999</v>
          </cell>
          <cell r="B845">
            <v>19864026</v>
          </cell>
        </row>
        <row r="846">
          <cell r="A846" t="str">
            <v>0085A21997</v>
          </cell>
          <cell r="B846">
            <v>9318195</v>
          </cell>
        </row>
        <row r="847">
          <cell r="A847" t="str">
            <v>0085T11997</v>
          </cell>
          <cell r="B847">
            <v>1113190</v>
          </cell>
        </row>
        <row r="848">
          <cell r="A848" t="str">
            <v>0085T21997</v>
          </cell>
          <cell r="B848">
            <v>826066</v>
          </cell>
        </row>
        <row r="849">
          <cell r="A849" t="str">
            <v>0085T31997</v>
          </cell>
          <cell r="B849">
            <v>866728</v>
          </cell>
        </row>
        <row r="850">
          <cell r="A850" t="str">
            <v>0085T41997</v>
          </cell>
          <cell r="B850">
            <v>6512211</v>
          </cell>
        </row>
        <row r="851">
          <cell r="A851" t="str">
            <v>0085A31998</v>
          </cell>
          <cell r="B851">
            <v>9560876</v>
          </cell>
        </row>
        <row r="852">
          <cell r="A852" t="str">
            <v>0085T11998</v>
          </cell>
          <cell r="B852">
            <v>970170</v>
          </cell>
        </row>
        <row r="853">
          <cell r="A853" t="str">
            <v>0085T21998</v>
          </cell>
          <cell r="B853">
            <v>7409707</v>
          </cell>
        </row>
        <row r="854">
          <cell r="A854" t="str">
            <v>0085T31998</v>
          </cell>
          <cell r="B854">
            <v>860210</v>
          </cell>
        </row>
        <row r="855">
          <cell r="A855" t="str">
            <v>0085T41998</v>
          </cell>
          <cell r="B855">
            <v>126809</v>
          </cell>
        </row>
        <row r="856">
          <cell r="A856" t="str">
            <v>0085A41999</v>
          </cell>
          <cell r="B856">
            <v>11724360</v>
          </cell>
        </row>
        <row r="857">
          <cell r="A857" t="str">
            <v>0085T11999</v>
          </cell>
          <cell r="B857">
            <v>1506424</v>
          </cell>
        </row>
        <row r="858">
          <cell r="A858" t="str">
            <v>0085T21999</v>
          </cell>
          <cell r="B858">
            <v>6215378</v>
          </cell>
        </row>
        <row r="859">
          <cell r="A859" t="str">
            <v>0085T31999</v>
          </cell>
          <cell r="B859">
            <v>8046292</v>
          </cell>
        </row>
        <row r="860">
          <cell r="A860" t="str">
            <v>0085T41999</v>
          </cell>
          <cell r="B860">
            <v>11724360</v>
          </cell>
        </row>
        <row r="861">
          <cell r="A861" t="str">
            <v>0086A21997</v>
          </cell>
          <cell r="B861">
            <v>8004808</v>
          </cell>
        </row>
        <row r="862">
          <cell r="A862" t="str">
            <v>0086T11997</v>
          </cell>
          <cell r="B862">
            <v>1610234</v>
          </cell>
        </row>
        <row r="863">
          <cell r="A863" t="str">
            <v>0086T21997</v>
          </cell>
          <cell r="B863">
            <v>2160500</v>
          </cell>
        </row>
        <row r="864">
          <cell r="A864" t="str">
            <v>0086T31997</v>
          </cell>
          <cell r="B864">
            <v>2022005</v>
          </cell>
        </row>
        <row r="865">
          <cell r="A865" t="str">
            <v>0086T41997</v>
          </cell>
          <cell r="B865">
            <v>2212069</v>
          </cell>
        </row>
        <row r="866">
          <cell r="A866" t="str">
            <v>0086A31998</v>
          </cell>
          <cell r="B866">
            <v>7875257</v>
          </cell>
        </row>
        <row r="867">
          <cell r="A867" t="str">
            <v>0086T11998</v>
          </cell>
          <cell r="B867">
            <v>1754020</v>
          </cell>
        </row>
        <row r="868">
          <cell r="A868" t="str">
            <v>0086T21998</v>
          </cell>
          <cell r="B868">
            <v>1975280</v>
          </cell>
        </row>
        <row r="869">
          <cell r="A869" t="str">
            <v>0086T31998</v>
          </cell>
          <cell r="B869">
            <v>1930021</v>
          </cell>
        </row>
        <row r="870">
          <cell r="A870" t="str">
            <v>0086T41998</v>
          </cell>
          <cell r="B870">
            <v>2087527</v>
          </cell>
        </row>
        <row r="871">
          <cell r="A871" t="str">
            <v>0086A41999</v>
          </cell>
          <cell r="B871">
            <v>6964724</v>
          </cell>
        </row>
        <row r="872">
          <cell r="A872" t="str">
            <v>0086T11999</v>
          </cell>
          <cell r="B872">
            <v>1784414</v>
          </cell>
        </row>
        <row r="873">
          <cell r="A873" t="str">
            <v>0086T21999</v>
          </cell>
          <cell r="B873">
            <v>3315943</v>
          </cell>
        </row>
        <row r="874">
          <cell r="A874" t="str">
            <v>0086T31999</v>
          </cell>
          <cell r="B874">
            <v>5194130</v>
          </cell>
        </row>
        <row r="875">
          <cell r="A875" t="str">
            <v>0086T41999</v>
          </cell>
          <cell r="B875">
            <v>6964724</v>
          </cell>
        </row>
        <row r="876">
          <cell r="A876" t="str">
            <v>0087A41999</v>
          </cell>
          <cell r="B876">
            <v>1174942</v>
          </cell>
        </row>
        <row r="877">
          <cell r="A877" t="str">
            <v>0087T11999</v>
          </cell>
          <cell r="B877">
            <v>1817875</v>
          </cell>
        </row>
        <row r="878">
          <cell r="A878" t="str">
            <v>0087T21999</v>
          </cell>
          <cell r="B878">
            <v>1812265</v>
          </cell>
        </row>
        <row r="879">
          <cell r="A879" t="str">
            <v>0087T31999</v>
          </cell>
          <cell r="B879">
            <v>2622175</v>
          </cell>
        </row>
        <row r="880">
          <cell r="A880" t="str">
            <v>0087T41999</v>
          </cell>
          <cell r="B880">
            <v>1174942</v>
          </cell>
        </row>
        <row r="881">
          <cell r="A881" t="str">
            <v>0088A41999</v>
          </cell>
          <cell r="B881">
            <v>0</v>
          </cell>
        </row>
        <row r="882">
          <cell r="A882" t="str">
            <v>0088T11999</v>
          </cell>
          <cell r="B882">
            <v>0</v>
          </cell>
        </row>
        <row r="883">
          <cell r="A883" t="str">
            <v>0088T21999</v>
          </cell>
          <cell r="B883">
            <v>0</v>
          </cell>
        </row>
        <row r="884">
          <cell r="A884" t="str">
            <v>0088T31999</v>
          </cell>
          <cell r="B884">
            <v>0</v>
          </cell>
        </row>
        <row r="885">
          <cell r="A885" t="str">
            <v>0088T41999</v>
          </cell>
          <cell r="B885">
            <v>0</v>
          </cell>
        </row>
        <row r="886">
          <cell r="A886" t="str">
            <v>0089A21997</v>
          </cell>
          <cell r="B886">
            <v>6367357</v>
          </cell>
        </row>
        <row r="887">
          <cell r="A887" t="str">
            <v>0089T11997</v>
          </cell>
          <cell r="B887">
            <v>606051</v>
          </cell>
        </row>
        <row r="888">
          <cell r="A888" t="str">
            <v>0089T21997</v>
          </cell>
          <cell r="B888">
            <v>1307958</v>
          </cell>
        </row>
        <row r="889">
          <cell r="A889" t="str">
            <v>0089T31997</v>
          </cell>
          <cell r="B889">
            <v>1673193</v>
          </cell>
        </row>
        <row r="890">
          <cell r="A890" t="str">
            <v>0089T41997</v>
          </cell>
          <cell r="B890">
            <v>2780155</v>
          </cell>
        </row>
        <row r="891">
          <cell r="A891" t="str">
            <v>0089A31998</v>
          </cell>
          <cell r="B891">
            <v>8471654</v>
          </cell>
        </row>
        <row r="892">
          <cell r="A892" t="str">
            <v>0089T11998</v>
          </cell>
          <cell r="B892">
            <v>1842518</v>
          </cell>
        </row>
        <row r="893">
          <cell r="A893" t="str">
            <v>0089T21998</v>
          </cell>
          <cell r="B893">
            <v>5279490</v>
          </cell>
        </row>
        <row r="894">
          <cell r="A894" t="str">
            <v>0089T31998</v>
          </cell>
          <cell r="B894">
            <v>79988</v>
          </cell>
        </row>
        <row r="895">
          <cell r="A895" t="str">
            <v>0089T41998</v>
          </cell>
          <cell r="B895">
            <v>3144677</v>
          </cell>
        </row>
        <row r="896">
          <cell r="A896" t="str">
            <v>0089A41999</v>
          </cell>
          <cell r="B896">
            <v>455813</v>
          </cell>
        </row>
        <row r="897">
          <cell r="A897" t="str">
            <v>0089T11999</v>
          </cell>
          <cell r="B897">
            <v>86953</v>
          </cell>
        </row>
        <row r="898">
          <cell r="A898" t="str">
            <v>0089T21999</v>
          </cell>
          <cell r="B898">
            <v>411207</v>
          </cell>
        </row>
        <row r="899">
          <cell r="A899" t="str">
            <v>0089T31999</v>
          </cell>
          <cell r="B899">
            <v>427434</v>
          </cell>
        </row>
        <row r="900">
          <cell r="A900" t="str">
            <v>0089T41999</v>
          </cell>
          <cell r="B900">
            <v>455813</v>
          </cell>
        </row>
        <row r="901">
          <cell r="A901" t="str">
            <v>0090A41999</v>
          </cell>
          <cell r="B901">
            <v>3603182</v>
          </cell>
        </row>
        <row r="902">
          <cell r="A902" t="str">
            <v>0090T11999</v>
          </cell>
          <cell r="B902">
            <v>1562196</v>
          </cell>
        </row>
        <row r="903">
          <cell r="A903" t="str">
            <v>0090T21999</v>
          </cell>
          <cell r="B903">
            <v>2018383</v>
          </cell>
        </row>
        <row r="904">
          <cell r="A904" t="str">
            <v>0090T31999</v>
          </cell>
          <cell r="B904">
            <v>2775467</v>
          </cell>
        </row>
        <row r="905">
          <cell r="A905" t="str">
            <v>0090T41999</v>
          </cell>
          <cell r="B905">
            <v>3603182</v>
          </cell>
        </row>
        <row r="906">
          <cell r="A906" t="str">
            <v>0091A41999</v>
          </cell>
          <cell r="B906">
            <v>10177697</v>
          </cell>
        </row>
        <row r="907">
          <cell r="A907" t="str">
            <v>0091T11999</v>
          </cell>
          <cell r="B907">
            <v>2243067</v>
          </cell>
        </row>
        <row r="908">
          <cell r="A908" t="str">
            <v>0091T21999</v>
          </cell>
          <cell r="B908">
            <v>4383457</v>
          </cell>
        </row>
        <row r="909">
          <cell r="A909" t="str">
            <v>0091T31999</v>
          </cell>
          <cell r="B909">
            <v>7758218</v>
          </cell>
        </row>
        <row r="910">
          <cell r="A910" t="str">
            <v>0091T41999</v>
          </cell>
          <cell r="B910">
            <v>10177697</v>
          </cell>
        </row>
        <row r="911">
          <cell r="A911" t="str">
            <v>0092A41999</v>
          </cell>
          <cell r="B911">
            <v>4307028</v>
          </cell>
        </row>
        <row r="912">
          <cell r="A912" t="str">
            <v>0092T11999</v>
          </cell>
          <cell r="B912">
            <v>696302</v>
          </cell>
        </row>
        <row r="913">
          <cell r="A913" t="str">
            <v>0092T21999</v>
          </cell>
          <cell r="B913">
            <v>2718206</v>
          </cell>
        </row>
        <row r="914">
          <cell r="A914" t="str">
            <v>0092T31999</v>
          </cell>
          <cell r="B914">
            <v>3875662</v>
          </cell>
        </row>
        <row r="915">
          <cell r="A915" t="str">
            <v>0092T41999</v>
          </cell>
          <cell r="B915">
            <v>4307028</v>
          </cell>
        </row>
        <row r="916">
          <cell r="A916" t="str">
            <v>0093A41999</v>
          </cell>
          <cell r="B916">
            <v>4846578</v>
          </cell>
        </row>
        <row r="917">
          <cell r="A917" t="str">
            <v>0093T11999</v>
          </cell>
          <cell r="B917">
            <v>1418977</v>
          </cell>
        </row>
        <row r="918">
          <cell r="A918" t="str">
            <v>0093T21999</v>
          </cell>
          <cell r="B918">
            <v>1618079</v>
          </cell>
        </row>
        <row r="919">
          <cell r="A919" t="str">
            <v>0093T31999</v>
          </cell>
          <cell r="B919">
            <v>4066991</v>
          </cell>
        </row>
        <row r="920">
          <cell r="A920" t="str">
            <v>0093T41999</v>
          </cell>
          <cell r="B920">
            <v>4846578</v>
          </cell>
        </row>
        <row r="921">
          <cell r="A921" t="str">
            <v>0094A41999</v>
          </cell>
          <cell r="B921">
            <v>-4394210</v>
          </cell>
        </row>
        <row r="922">
          <cell r="A922" t="str">
            <v>0094T11999</v>
          </cell>
          <cell r="B922">
            <v>1946633</v>
          </cell>
        </row>
        <row r="923">
          <cell r="A923" t="str">
            <v>0094T21999</v>
          </cell>
          <cell r="B923">
            <v>-1241728</v>
          </cell>
        </row>
        <row r="924">
          <cell r="A924" t="str">
            <v>0094T31999</v>
          </cell>
          <cell r="B924">
            <v>0</v>
          </cell>
        </row>
        <row r="925">
          <cell r="A925" t="str">
            <v>0094T41999</v>
          </cell>
          <cell r="B925">
            <v>-4394210</v>
          </cell>
        </row>
        <row r="926">
          <cell r="A926" t="str">
            <v>0095A41999</v>
          </cell>
          <cell r="B926">
            <v>0</v>
          </cell>
        </row>
        <row r="927">
          <cell r="A927" t="str">
            <v>0095T11999</v>
          </cell>
          <cell r="B927">
            <v>0</v>
          </cell>
        </row>
        <row r="928">
          <cell r="A928" t="str">
            <v>0095T21999</v>
          </cell>
          <cell r="B928">
            <v>0</v>
          </cell>
        </row>
        <row r="929">
          <cell r="A929" t="str">
            <v>0095T31999</v>
          </cell>
          <cell r="B929">
            <v>0</v>
          </cell>
        </row>
        <row r="930">
          <cell r="A930" t="str">
            <v>0095T41999</v>
          </cell>
          <cell r="B930">
            <v>0</v>
          </cell>
        </row>
        <row r="931">
          <cell r="A931" t="str">
            <v>0096A41999</v>
          </cell>
          <cell r="B931">
            <v>0</v>
          </cell>
        </row>
        <row r="932">
          <cell r="A932" t="str">
            <v>0096T11999</v>
          </cell>
          <cell r="B932">
            <v>0</v>
          </cell>
        </row>
        <row r="933">
          <cell r="A933" t="str">
            <v>0096T21999</v>
          </cell>
          <cell r="B933">
            <v>0</v>
          </cell>
        </row>
        <row r="934">
          <cell r="A934" t="str">
            <v>0096T31999</v>
          </cell>
          <cell r="B934">
            <v>0</v>
          </cell>
        </row>
        <row r="935">
          <cell r="A935" t="str">
            <v>0096T41999</v>
          </cell>
          <cell r="B935">
            <v>0</v>
          </cell>
        </row>
        <row r="936">
          <cell r="A936" t="str">
            <v>0097A41999</v>
          </cell>
          <cell r="B936">
            <v>0</v>
          </cell>
        </row>
        <row r="937">
          <cell r="A937" t="str">
            <v>0097T11999</v>
          </cell>
          <cell r="B937">
            <v>0</v>
          </cell>
        </row>
        <row r="938">
          <cell r="A938" t="str">
            <v>0097T21999</v>
          </cell>
          <cell r="B938">
            <v>0</v>
          </cell>
        </row>
        <row r="939">
          <cell r="A939" t="str">
            <v>0097T31999</v>
          </cell>
          <cell r="B939">
            <v>-1741813</v>
          </cell>
        </row>
        <row r="940">
          <cell r="A940" t="str">
            <v>0097T41999</v>
          </cell>
          <cell r="B940">
            <v>0</v>
          </cell>
        </row>
        <row r="941">
          <cell r="A941" t="str">
            <v>0098A41999</v>
          </cell>
          <cell r="B941">
            <v>0</v>
          </cell>
        </row>
        <row r="942">
          <cell r="A942" t="str">
            <v>0098T11999</v>
          </cell>
          <cell r="B942">
            <v>0</v>
          </cell>
        </row>
        <row r="943">
          <cell r="A943" t="str">
            <v>0098T21999</v>
          </cell>
          <cell r="B943">
            <v>0</v>
          </cell>
        </row>
        <row r="944">
          <cell r="A944" t="str">
            <v>0098T31999</v>
          </cell>
          <cell r="B944">
            <v>0</v>
          </cell>
        </row>
        <row r="945">
          <cell r="A945" t="str">
            <v>0098T41999</v>
          </cell>
          <cell r="B945">
            <v>0</v>
          </cell>
        </row>
        <row r="946">
          <cell r="A946" t="str">
            <v>0099A21997</v>
          </cell>
          <cell r="B946">
            <v>-4033934</v>
          </cell>
        </row>
        <row r="947">
          <cell r="A947" t="str">
            <v>0099T11997</v>
          </cell>
          <cell r="B947">
            <v>966599</v>
          </cell>
        </row>
        <row r="948">
          <cell r="A948" t="str">
            <v>0099T21997</v>
          </cell>
          <cell r="B948">
            <v>659563</v>
          </cell>
        </row>
        <row r="949">
          <cell r="A949" t="str">
            <v>0099T31997</v>
          </cell>
          <cell r="B949">
            <v>2063165</v>
          </cell>
        </row>
        <row r="950">
          <cell r="A950" t="str">
            <v>0099T41997</v>
          </cell>
          <cell r="B950">
            <v>-4033934</v>
          </cell>
        </row>
        <row r="951">
          <cell r="A951" t="str">
            <v>0099A31998</v>
          </cell>
          <cell r="B951">
            <v>-1629107</v>
          </cell>
        </row>
        <row r="952">
          <cell r="A952" t="str">
            <v>0099T11998</v>
          </cell>
          <cell r="B952">
            <v>1193476</v>
          </cell>
        </row>
        <row r="953">
          <cell r="A953" t="str">
            <v>0099T21998</v>
          </cell>
          <cell r="B953">
            <v>-9100354</v>
          </cell>
        </row>
        <row r="954">
          <cell r="A954" t="str">
            <v>0099T31998</v>
          </cell>
          <cell r="B954">
            <v>1558503</v>
          </cell>
        </row>
        <row r="955">
          <cell r="A955" t="str">
            <v>0099T41998</v>
          </cell>
          <cell r="B955">
            <v>-1462600</v>
          </cell>
        </row>
        <row r="956">
          <cell r="A956" t="str">
            <v>0099A41999</v>
          </cell>
          <cell r="B956">
            <v>-4394210</v>
          </cell>
        </row>
        <row r="957">
          <cell r="A957" t="str">
            <v>0099T11999</v>
          </cell>
          <cell r="B957">
            <v>1946633</v>
          </cell>
        </row>
        <row r="958">
          <cell r="A958" t="str">
            <v>0099T21999</v>
          </cell>
          <cell r="B958">
            <v>-1241728</v>
          </cell>
        </row>
        <row r="959">
          <cell r="A959" t="str">
            <v>0099T31999</v>
          </cell>
          <cell r="B959">
            <v>-1741813</v>
          </cell>
        </row>
        <row r="960">
          <cell r="A960" t="str">
            <v>0099T41999</v>
          </cell>
          <cell r="B960">
            <v>-4394210</v>
          </cell>
        </row>
        <row r="961">
          <cell r="A961" t="str">
            <v>0100A21997</v>
          </cell>
          <cell r="B961">
            <v>11051949</v>
          </cell>
        </row>
        <row r="962">
          <cell r="A962" t="str">
            <v>0100T11997</v>
          </cell>
          <cell r="B962">
            <v>2869243</v>
          </cell>
        </row>
        <row r="963">
          <cell r="A963" t="str">
            <v>0100T21997</v>
          </cell>
          <cell r="B963">
            <v>2190057</v>
          </cell>
        </row>
        <row r="964">
          <cell r="A964" t="str">
            <v>0100T31997</v>
          </cell>
          <cell r="B964">
            <v>1761459</v>
          </cell>
        </row>
        <row r="965">
          <cell r="A965" t="str">
            <v>0100T41997</v>
          </cell>
          <cell r="B965">
            <v>4231190</v>
          </cell>
        </row>
        <row r="966">
          <cell r="A966" t="str">
            <v>0100A31998</v>
          </cell>
          <cell r="B966">
            <v>7619036</v>
          </cell>
        </row>
        <row r="967">
          <cell r="A967" t="str">
            <v>0100T11998</v>
          </cell>
          <cell r="B967">
            <v>1441931</v>
          </cell>
        </row>
        <row r="968">
          <cell r="A968" t="str">
            <v>0100T21998</v>
          </cell>
          <cell r="B968">
            <v>4791047</v>
          </cell>
        </row>
        <row r="969">
          <cell r="A969" t="str">
            <v>0100T31998</v>
          </cell>
          <cell r="B969">
            <v>3912374</v>
          </cell>
        </row>
        <row r="970">
          <cell r="A970" t="str">
            <v>0100T41998</v>
          </cell>
        </row>
        <row r="971">
          <cell r="A971" t="str">
            <v>0100A41999</v>
          </cell>
          <cell r="B971">
            <v>19114382</v>
          </cell>
        </row>
        <row r="972">
          <cell r="A972" t="str">
            <v>0100T11999</v>
          </cell>
          <cell r="B972">
            <v>3174518</v>
          </cell>
        </row>
        <row r="973">
          <cell r="A973" t="str">
            <v>0100T21999</v>
          </cell>
          <cell r="B973">
            <v>4546097</v>
          </cell>
        </row>
        <row r="974">
          <cell r="A974" t="str">
            <v>0100T31999</v>
          </cell>
          <cell r="B974">
            <v>7098730</v>
          </cell>
        </row>
        <row r="975">
          <cell r="A975" t="str">
            <v>0100T41999</v>
          </cell>
          <cell r="B975">
            <v>9557191</v>
          </cell>
        </row>
        <row r="976">
          <cell r="A976" t="str">
            <v>0101A21997</v>
          </cell>
          <cell r="B976">
            <v>2682786</v>
          </cell>
        </row>
        <row r="977">
          <cell r="A977" t="str">
            <v>0101A31998</v>
          </cell>
          <cell r="B977">
            <v>2118265</v>
          </cell>
        </row>
        <row r="978">
          <cell r="A978" t="str">
            <v>0101A41999</v>
          </cell>
          <cell r="B978">
            <v>8423832</v>
          </cell>
        </row>
        <row r="979">
          <cell r="A979" t="str">
            <v>0101T11999</v>
          </cell>
          <cell r="B979">
            <v>0</v>
          </cell>
        </row>
        <row r="980">
          <cell r="A980" t="str">
            <v>0101T21999</v>
          </cell>
          <cell r="B980">
            <v>2090047</v>
          </cell>
        </row>
        <row r="981">
          <cell r="A981" t="str">
            <v>0101T31999</v>
          </cell>
          <cell r="B981">
            <v>3112953</v>
          </cell>
        </row>
        <row r="982">
          <cell r="A982" t="str">
            <v>0101T41999</v>
          </cell>
          <cell r="B982">
            <v>4211916</v>
          </cell>
        </row>
        <row r="983">
          <cell r="A983" t="str">
            <v>0102A21997</v>
          </cell>
          <cell r="B983">
            <v>3069365</v>
          </cell>
        </row>
        <row r="984">
          <cell r="A984" t="str">
            <v>0102T11997</v>
          </cell>
          <cell r="B984">
            <v>2175231</v>
          </cell>
        </row>
        <row r="985">
          <cell r="A985" t="str">
            <v>0102T21997</v>
          </cell>
          <cell r="B985">
            <v>2382208</v>
          </cell>
        </row>
        <row r="986">
          <cell r="A986" t="str">
            <v>0102T31997</v>
          </cell>
          <cell r="B986">
            <v>2136401</v>
          </cell>
        </row>
        <row r="987">
          <cell r="A987" t="str">
            <v>0102T41997</v>
          </cell>
          <cell r="B987">
            <v>3085260</v>
          </cell>
        </row>
        <row r="988">
          <cell r="A988" t="str">
            <v>0102A31998</v>
          </cell>
          <cell r="B988">
            <v>9096670</v>
          </cell>
        </row>
        <row r="989">
          <cell r="A989" t="str">
            <v>0102T11998</v>
          </cell>
          <cell r="B989">
            <v>1848846</v>
          </cell>
        </row>
        <row r="990">
          <cell r="A990" t="str">
            <v>0102T21998</v>
          </cell>
          <cell r="B990">
            <v>2479186</v>
          </cell>
        </row>
        <row r="991">
          <cell r="A991" t="str">
            <v>0102T31998</v>
          </cell>
          <cell r="B991">
            <v>2181903</v>
          </cell>
        </row>
        <row r="992">
          <cell r="A992" t="str">
            <v>0102T41998</v>
          </cell>
          <cell r="B992">
            <v>2586735</v>
          </cell>
        </row>
        <row r="993">
          <cell r="A993" t="str">
            <v>0102A41999</v>
          </cell>
          <cell r="B993">
            <v>21877448</v>
          </cell>
        </row>
        <row r="994">
          <cell r="A994" t="str">
            <v>0102T11999</v>
          </cell>
          <cell r="B994">
            <v>1805958</v>
          </cell>
        </row>
        <row r="995">
          <cell r="A995" t="str">
            <v>0102T21999</v>
          </cell>
          <cell r="B995">
            <v>4749058</v>
          </cell>
        </row>
        <row r="996">
          <cell r="A996" t="str">
            <v>0102T31999</v>
          </cell>
          <cell r="B996">
            <v>7791258</v>
          </cell>
        </row>
        <row r="997">
          <cell r="A997" t="str">
            <v>0102T41999</v>
          </cell>
          <cell r="B997">
            <v>10938724</v>
          </cell>
        </row>
        <row r="998">
          <cell r="A998" t="str">
            <v>0103A21997</v>
          </cell>
          <cell r="B998">
            <v>14685839</v>
          </cell>
        </row>
        <row r="999">
          <cell r="A999" t="str">
            <v>0103T11997</v>
          </cell>
          <cell r="B999">
            <v>2806276</v>
          </cell>
        </row>
        <row r="1000">
          <cell r="A1000" t="str">
            <v>0103T21997</v>
          </cell>
          <cell r="B1000">
            <v>2698888</v>
          </cell>
        </row>
        <row r="1001">
          <cell r="A1001" t="str">
            <v>0103T31997</v>
          </cell>
          <cell r="B1001">
            <v>3093725</v>
          </cell>
        </row>
        <row r="1002">
          <cell r="A1002" t="str">
            <v>0103T41997</v>
          </cell>
          <cell r="B1002">
            <v>5140866</v>
          </cell>
        </row>
        <row r="1003">
          <cell r="A1003" t="str">
            <v>0103A31998</v>
          </cell>
          <cell r="B1003">
            <v>13904130</v>
          </cell>
        </row>
        <row r="1004">
          <cell r="A1004" t="str">
            <v>0103T11998</v>
          </cell>
          <cell r="B1004">
            <v>3561551</v>
          </cell>
        </row>
        <row r="1005">
          <cell r="A1005" t="str">
            <v>0103T21998</v>
          </cell>
          <cell r="B1005">
            <v>3832943</v>
          </cell>
        </row>
        <row r="1006">
          <cell r="A1006" t="str">
            <v>0103T31998</v>
          </cell>
          <cell r="B1006">
            <v>3179778</v>
          </cell>
        </row>
        <row r="1007">
          <cell r="A1007" t="str">
            <v>0103T41998</v>
          </cell>
          <cell r="B1007">
            <v>3329858</v>
          </cell>
        </row>
        <row r="1008">
          <cell r="A1008" t="str">
            <v>0103A41999</v>
          </cell>
          <cell r="B1008">
            <v>26504734</v>
          </cell>
        </row>
        <row r="1009">
          <cell r="A1009" t="str">
            <v>0103T11999</v>
          </cell>
          <cell r="B1009">
            <v>3034453</v>
          </cell>
        </row>
        <row r="1010">
          <cell r="A1010" t="str">
            <v>0103T21999</v>
          </cell>
          <cell r="B1010">
            <v>6042208</v>
          </cell>
        </row>
        <row r="1011">
          <cell r="A1011" t="str">
            <v>0103T31999</v>
          </cell>
          <cell r="B1011">
            <v>9461344</v>
          </cell>
        </row>
        <row r="1012">
          <cell r="A1012" t="str">
            <v>0103T41999</v>
          </cell>
          <cell r="B1012">
            <v>13252367</v>
          </cell>
        </row>
        <row r="1013">
          <cell r="A1013" t="str">
            <v>0104A21997</v>
          </cell>
          <cell r="B1013">
            <v>59976261</v>
          </cell>
        </row>
        <row r="1014">
          <cell r="A1014" t="str">
            <v>0104T11997</v>
          </cell>
          <cell r="B1014">
            <v>2258632</v>
          </cell>
        </row>
        <row r="1015">
          <cell r="A1015" t="str">
            <v>0104T21997</v>
          </cell>
          <cell r="B1015">
            <v>9270360</v>
          </cell>
        </row>
        <row r="1016">
          <cell r="A1016" t="str">
            <v>0104T31997</v>
          </cell>
          <cell r="B1016">
            <v>17196290</v>
          </cell>
        </row>
        <row r="1017">
          <cell r="A1017" t="str">
            <v>0104T41997</v>
          </cell>
          <cell r="B1017">
            <v>31250978</v>
          </cell>
        </row>
        <row r="1018">
          <cell r="A1018" t="str">
            <v>0104A31998</v>
          </cell>
          <cell r="B1018">
            <v>24417692</v>
          </cell>
        </row>
        <row r="1019">
          <cell r="A1019" t="str">
            <v>0104T11998</v>
          </cell>
          <cell r="B1019">
            <v>8635700</v>
          </cell>
        </row>
        <row r="1020">
          <cell r="A1020" t="str">
            <v>0104T21998</v>
          </cell>
          <cell r="B1020">
            <v>8688621</v>
          </cell>
        </row>
        <row r="1021">
          <cell r="A1021" t="str">
            <v>0104T31998</v>
          </cell>
          <cell r="B1021">
            <v>4995063</v>
          </cell>
        </row>
        <row r="1022">
          <cell r="A1022" t="str">
            <v>0104T41998</v>
          </cell>
          <cell r="B1022">
            <v>2138308</v>
          </cell>
        </row>
        <row r="1023">
          <cell r="A1023" t="str">
            <v>0104A41999</v>
          </cell>
          <cell r="B1023">
            <v>1002406</v>
          </cell>
        </row>
        <row r="1024">
          <cell r="A1024" t="str">
            <v>0104T11999</v>
          </cell>
          <cell r="B1024">
            <v>0</v>
          </cell>
        </row>
        <row r="1025">
          <cell r="A1025" t="str">
            <v>0104T21999</v>
          </cell>
          <cell r="B1025">
            <v>0</v>
          </cell>
        </row>
        <row r="1026">
          <cell r="A1026" t="str">
            <v>0104T31999</v>
          </cell>
          <cell r="B1026">
            <v>947838</v>
          </cell>
        </row>
        <row r="1027">
          <cell r="A1027" t="str">
            <v>0104T41999</v>
          </cell>
          <cell r="B1027">
            <v>501203</v>
          </cell>
        </row>
        <row r="1028">
          <cell r="A1028" t="str">
            <v>0105A41999</v>
          </cell>
          <cell r="B1028">
            <v>0</v>
          </cell>
        </row>
        <row r="1029">
          <cell r="A1029" t="str">
            <v>0105T11999</v>
          </cell>
          <cell r="B1029">
            <v>22490859</v>
          </cell>
        </row>
        <row r="1030">
          <cell r="A1030" t="str">
            <v>0105T21999</v>
          </cell>
          <cell r="B1030">
            <v>22519902</v>
          </cell>
        </row>
        <row r="1031">
          <cell r="A1031" t="str">
            <v>0105T31999</v>
          </cell>
          <cell r="B1031">
            <v>31762245</v>
          </cell>
        </row>
        <row r="1032">
          <cell r="A1032" t="str">
            <v>0105T41999</v>
          </cell>
          <cell r="B1032">
            <v>0</v>
          </cell>
        </row>
        <row r="1033">
          <cell r="A1033" t="str">
            <v>0106A41999</v>
          </cell>
          <cell r="B1033">
            <v>0</v>
          </cell>
        </row>
        <row r="1034">
          <cell r="A1034" t="str">
            <v>0106T11999</v>
          </cell>
          <cell r="B1034">
            <v>0</v>
          </cell>
        </row>
        <row r="1035">
          <cell r="A1035" t="str">
            <v>0106T21999</v>
          </cell>
          <cell r="B1035">
            <v>0</v>
          </cell>
        </row>
        <row r="1036">
          <cell r="A1036" t="str">
            <v>0106T31999</v>
          </cell>
          <cell r="B1036">
            <v>0</v>
          </cell>
        </row>
        <row r="1037">
          <cell r="A1037" t="str">
            <v>0106T41999</v>
          </cell>
          <cell r="B1037">
            <v>0</v>
          </cell>
        </row>
        <row r="1038">
          <cell r="A1038" t="str">
            <v>0107A41999</v>
          </cell>
          <cell r="B1038">
            <v>0</v>
          </cell>
        </row>
        <row r="1039">
          <cell r="A1039" t="str">
            <v>0107T11999</v>
          </cell>
          <cell r="B1039">
            <v>0</v>
          </cell>
        </row>
        <row r="1040">
          <cell r="A1040" t="str">
            <v>0107T21999</v>
          </cell>
          <cell r="B1040">
            <v>0</v>
          </cell>
        </row>
        <row r="1041">
          <cell r="A1041" t="str">
            <v>0107T31999</v>
          </cell>
          <cell r="B1041">
            <v>0</v>
          </cell>
        </row>
        <row r="1042">
          <cell r="A1042" t="str">
            <v>0107T41999</v>
          </cell>
          <cell r="B1042">
            <v>0</v>
          </cell>
        </row>
        <row r="1043">
          <cell r="A1043" t="str">
            <v>0108A41999</v>
          </cell>
          <cell r="B1043">
            <v>836806</v>
          </cell>
        </row>
        <row r="1044">
          <cell r="A1044" t="str">
            <v>0108T11999</v>
          </cell>
          <cell r="B1044">
            <v>0</v>
          </cell>
        </row>
        <row r="1045">
          <cell r="A1045" t="str">
            <v>0108T21999</v>
          </cell>
          <cell r="B1045">
            <v>0</v>
          </cell>
        </row>
        <row r="1046">
          <cell r="A1046" t="str">
            <v>0108T31999</v>
          </cell>
          <cell r="B1046">
            <v>0</v>
          </cell>
        </row>
        <row r="1047">
          <cell r="A1047" t="str">
            <v>0108T41999</v>
          </cell>
          <cell r="B1047">
            <v>418403</v>
          </cell>
        </row>
        <row r="1048">
          <cell r="A1048" t="str">
            <v>0109A41999</v>
          </cell>
          <cell r="B1048">
            <v>7221330</v>
          </cell>
        </row>
        <row r="1049">
          <cell r="A1049" t="str">
            <v>0109T11999</v>
          </cell>
          <cell r="B1049">
            <v>0</v>
          </cell>
        </row>
        <row r="1050">
          <cell r="A1050" t="str">
            <v>0109T21999</v>
          </cell>
          <cell r="B1050">
            <v>0</v>
          </cell>
        </row>
        <row r="1051">
          <cell r="A1051" t="str">
            <v>0109T31999</v>
          </cell>
          <cell r="B1051">
            <v>0</v>
          </cell>
        </row>
        <row r="1052">
          <cell r="A1052" t="str">
            <v>0109T41999</v>
          </cell>
          <cell r="B1052">
            <v>3610665</v>
          </cell>
        </row>
        <row r="1053">
          <cell r="A1053" t="str">
            <v>0110A21997</v>
          </cell>
          <cell r="B1053">
            <v>762729</v>
          </cell>
        </row>
        <row r="1054">
          <cell r="A1054" t="str">
            <v>0110T11997</v>
          </cell>
          <cell r="B1054">
            <v>749343</v>
          </cell>
        </row>
        <row r="1055">
          <cell r="A1055" t="str">
            <v>0110T21997</v>
          </cell>
          <cell r="B1055">
            <v>753805</v>
          </cell>
        </row>
        <row r="1056">
          <cell r="A1056" t="str">
            <v>0110T31997</v>
          </cell>
          <cell r="B1056">
            <v>758267</v>
          </cell>
        </row>
        <row r="1057">
          <cell r="A1057" t="str">
            <v>0110T41997</v>
          </cell>
          <cell r="B1057">
            <v>762729</v>
          </cell>
        </row>
        <row r="1058">
          <cell r="A1058" t="str">
            <v>0110A31998</v>
          </cell>
          <cell r="B1058">
            <v>780759</v>
          </cell>
        </row>
        <row r="1059">
          <cell r="A1059" t="str">
            <v>0110T11998</v>
          </cell>
          <cell r="B1059">
            <v>767237</v>
          </cell>
        </row>
        <row r="1060">
          <cell r="A1060" t="str">
            <v>0110T21998</v>
          </cell>
          <cell r="B1060">
            <v>771744</v>
          </cell>
        </row>
        <row r="1061">
          <cell r="A1061" t="str">
            <v>0110T31998</v>
          </cell>
          <cell r="B1061">
            <v>776252</v>
          </cell>
        </row>
        <row r="1062">
          <cell r="A1062" t="str">
            <v>0110T41998</v>
          </cell>
          <cell r="B1062">
            <v>780759</v>
          </cell>
        </row>
        <row r="1063">
          <cell r="A1063" t="str">
            <v>0110A41999</v>
          </cell>
          <cell r="B1063">
            <v>805121</v>
          </cell>
        </row>
        <row r="1064">
          <cell r="A1064" t="str">
            <v>0110T11999</v>
          </cell>
          <cell r="B1064">
            <v>789450</v>
          </cell>
        </row>
        <row r="1065">
          <cell r="A1065" t="str">
            <v>0110T21999</v>
          </cell>
          <cell r="B1065">
            <v>794630</v>
          </cell>
        </row>
        <row r="1066">
          <cell r="A1066" t="str">
            <v>0110T31999</v>
          </cell>
          <cell r="B1066">
            <v>799876</v>
          </cell>
        </row>
        <row r="1067">
          <cell r="A1067" t="str">
            <v>0110T41999</v>
          </cell>
          <cell r="B1067">
            <v>805121</v>
          </cell>
        </row>
        <row r="1068">
          <cell r="A1068" t="str">
            <v>0111A41999</v>
          </cell>
        </row>
        <row r="1069">
          <cell r="A1069" t="str">
            <v>0114A21997</v>
          </cell>
          <cell r="B1069">
            <v>5.2</v>
          </cell>
        </row>
        <row r="1070">
          <cell r="A1070" t="str">
            <v>0114T11997</v>
          </cell>
          <cell r="B1070">
            <v>5</v>
          </cell>
        </row>
        <row r="1071">
          <cell r="A1071" t="str">
            <v>0114T21997</v>
          </cell>
          <cell r="B1071">
            <v>5</v>
          </cell>
        </row>
        <row r="1072">
          <cell r="A1072" t="str">
            <v>0114T31997</v>
          </cell>
          <cell r="B1072">
            <v>5</v>
          </cell>
        </row>
        <row r="1073">
          <cell r="A1073" t="str">
            <v>0114T41997</v>
          </cell>
          <cell r="B1073">
            <v>5</v>
          </cell>
        </row>
        <row r="1074">
          <cell r="A1074" t="str">
            <v>0114A31998</v>
          </cell>
          <cell r="B1074">
            <v>5.2</v>
          </cell>
        </row>
        <row r="1075">
          <cell r="A1075" t="str">
            <v>0114T11998</v>
          </cell>
          <cell r="B1075">
            <v>5.2</v>
          </cell>
        </row>
        <row r="1076">
          <cell r="A1076" t="str">
            <v>0114T21998</v>
          </cell>
          <cell r="B1076">
            <v>5.2</v>
          </cell>
        </row>
        <row r="1077">
          <cell r="A1077" t="str">
            <v>0114T31998</v>
          </cell>
          <cell r="B1077">
            <v>5.2</v>
          </cell>
        </row>
        <row r="1078">
          <cell r="A1078" t="str">
            <v>0114T41998</v>
          </cell>
          <cell r="B1078">
            <v>5.2</v>
          </cell>
        </row>
        <row r="1079">
          <cell r="A1079" t="str">
            <v>0114A41999</v>
          </cell>
          <cell r="B1079">
            <v>5.2</v>
          </cell>
        </row>
        <row r="1080">
          <cell r="A1080" t="str">
            <v>0114T11999</v>
          </cell>
          <cell r="B1080">
            <v>5.2</v>
          </cell>
        </row>
        <row r="1081">
          <cell r="A1081" t="str">
            <v>0114T21999</v>
          </cell>
          <cell r="B1081">
            <v>5.2</v>
          </cell>
        </row>
        <row r="1082">
          <cell r="A1082" t="str">
            <v>0114T31999</v>
          </cell>
          <cell r="B1082">
            <v>5.2</v>
          </cell>
        </row>
        <row r="1083">
          <cell r="A1083" t="str">
            <v>0114T41999</v>
          </cell>
          <cell r="B1083">
            <v>5.2</v>
          </cell>
        </row>
      </sheetData>
      <sheetData sheetId="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8.b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JO-TURISTICO"/>
      <sheetName val="longitud-redvial"/>
      <sheetName val="PLACAS"/>
      <sheetName val="SERPOST"/>
      <sheetName val="LICENCIAS-sexo"/>
      <sheetName val="LICENCIAS-CATEGORIA"/>
      <sheetName val="LICENCIAS-EXPEDICION"/>
      <sheetName val="CORPAC"/>
      <sheetName val="ESSALUD"/>
      <sheetName val="MINSA"/>
      <sheetName val="PRECIOS3"/>
      <sheetName val="PRECIOS2"/>
      <sheetName val="PRECIOS1"/>
      <sheetName val="AGROPECUARIO"/>
      <sheetName val="PESCA-COMERCIALIZ"/>
      <sheetName val="PESCA"/>
      <sheetName val="AGUA-FACTURACION"/>
      <sheetName val="AGUA-P Y C"/>
      <sheetName val="CREDITOS-DEPOSITOS"/>
      <sheetName val="SUNAT-contribuyentes"/>
      <sheetName val="INGRESOS-SUNAT"/>
      <sheetName val="ELECTRICIDAD FACTURACION"/>
      <sheetName val="GENERACION-ENERHIDRAULICA"/>
      <sheetName val="ELECTRICIDAD P YC "/>
      <sheetName val="MINERIA"/>
      <sheetName val="AGUA-P_Y_C"/>
      <sheetName val="ELECTRICIDAD_FACTURACION"/>
      <sheetName val="ELECTRICIDAD_P_YC_"/>
      <sheetName val="CD 6"/>
      <sheetName val="PAG_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1"/>
      <sheetName val="PAG13"/>
      <sheetName val="PAG14"/>
      <sheetName val="PAG15"/>
      <sheetName val="PAG16"/>
      <sheetName val="PAG17"/>
      <sheetName val="PAG18"/>
      <sheetName val="PAG19"/>
      <sheetName val="PAG20"/>
      <sheetName val="PAG21"/>
      <sheetName val="PAG22"/>
      <sheetName val="PAG23"/>
      <sheetName val="PAG24"/>
      <sheetName val="PAG25"/>
      <sheetName val="PAG27"/>
      <sheetName val="PAG30"/>
      <sheetName val="PAG31"/>
      <sheetName val="PAG32"/>
      <sheetName val="PAG33"/>
      <sheetName val="PAG34"/>
      <sheetName val="PAG35"/>
      <sheetName val="PAG36"/>
      <sheetName val="PAG41"/>
      <sheetName val="PAG42"/>
      <sheetName val="PAG43"/>
      <sheetName val="PAG44"/>
      <sheetName val="PAG45"/>
      <sheetName val="PAG46"/>
      <sheetName val="PAG47"/>
      <sheetName val="PAG48"/>
      <sheetName val="PAG49"/>
      <sheetName val="PAG50"/>
      <sheetName val="PAG51"/>
      <sheetName val="PAG52"/>
      <sheetName val="PAG53"/>
      <sheetName val="PAG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Hoja3"/>
      <sheetName val="Sol traspa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PAG25_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O72"/>
  <sheetViews>
    <sheetView showGridLines="0" topLeftCell="A7" zoomScale="160" zoomScaleNormal="160" zoomScaleSheetLayoutView="145" workbookViewId="0">
      <selection activeCell="N7" sqref="N7"/>
    </sheetView>
  </sheetViews>
  <sheetFormatPr baseColWidth="10" defaultRowHeight="12.75" customHeight="1" x14ac:dyDescent="0.3"/>
  <cols>
    <col min="1" max="1" width="7.7109375" style="27" customWidth="1"/>
    <col min="2" max="2" width="7.28515625" style="28" hidden="1" customWidth="1"/>
    <col min="3" max="4" width="13.5703125" style="27" customWidth="1"/>
    <col min="5" max="5" width="12.140625" style="27" customWidth="1"/>
    <col min="6" max="7" width="10.85546875" style="27" customWidth="1"/>
    <col min="8" max="9" width="9.5703125" style="29" customWidth="1"/>
    <col min="10" max="10" width="13.85546875" style="30" hidden="1" customWidth="1"/>
    <col min="11" max="12" width="9.5703125" style="29" customWidth="1"/>
    <col min="13" max="242" width="11.7109375" style="26"/>
    <col min="243" max="243" width="8.28515625" style="26" customWidth="1"/>
    <col min="244" max="244" width="7.28515625" style="26" customWidth="1"/>
    <col min="245" max="246" width="7.7109375" style="26" customWidth="1"/>
    <col min="247" max="247" width="8.28515625" style="26" customWidth="1"/>
    <col min="248" max="248" width="7.7109375" style="26" customWidth="1"/>
    <col min="249" max="249" width="7.28515625" style="26" customWidth="1"/>
    <col min="250" max="250" width="7.7109375" style="26" customWidth="1"/>
    <col min="251" max="251" width="7.28515625" style="26" customWidth="1"/>
    <col min="252" max="252" width="10.28515625" style="26" customWidth="1"/>
    <col min="253" max="254" width="6.28515625" style="26" customWidth="1"/>
    <col min="255" max="498" width="11.7109375" style="26"/>
    <col min="499" max="499" width="8.28515625" style="26" customWidth="1"/>
    <col min="500" max="500" width="7.28515625" style="26" customWidth="1"/>
    <col min="501" max="502" width="7.7109375" style="26" customWidth="1"/>
    <col min="503" max="503" width="8.28515625" style="26" customWidth="1"/>
    <col min="504" max="504" width="7.7109375" style="26" customWidth="1"/>
    <col min="505" max="505" width="7.28515625" style="26" customWidth="1"/>
    <col min="506" max="506" width="7.7109375" style="26" customWidth="1"/>
    <col min="507" max="507" width="7.28515625" style="26" customWidth="1"/>
    <col min="508" max="508" width="10.28515625" style="26" customWidth="1"/>
    <col min="509" max="510" width="6.28515625" style="26" customWidth="1"/>
    <col min="511" max="754" width="11.7109375" style="26"/>
    <col min="755" max="755" width="8.28515625" style="26" customWidth="1"/>
    <col min="756" max="756" width="7.28515625" style="26" customWidth="1"/>
    <col min="757" max="758" width="7.7109375" style="26" customWidth="1"/>
    <col min="759" max="759" width="8.28515625" style="26" customWidth="1"/>
    <col min="760" max="760" width="7.7109375" style="26" customWidth="1"/>
    <col min="761" max="761" width="7.28515625" style="26" customWidth="1"/>
    <col min="762" max="762" width="7.7109375" style="26" customWidth="1"/>
    <col min="763" max="763" width="7.28515625" style="26" customWidth="1"/>
    <col min="764" max="764" width="10.28515625" style="26" customWidth="1"/>
    <col min="765" max="766" width="6.28515625" style="26" customWidth="1"/>
    <col min="767" max="1010" width="11.7109375" style="26"/>
    <col min="1011" max="1011" width="8.28515625" style="26" customWidth="1"/>
    <col min="1012" max="1012" width="7.28515625" style="26" customWidth="1"/>
    <col min="1013" max="1014" width="7.7109375" style="26" customWidth="1"/>
    <col min="1015" max="1015" width="8.28515625" style="26" customWidth="1"/>
    <col min="1016" max="1016" width="7.7109375" style="26" customWidth="1"/>
    <col min="1017" max="1017" width="7.28515625" style="26" customWidth="1"/>
    <col min="1018" max="1018" width="7.7109375" style="26" customWidth="1"/>
    <col min="1019" max="1019" width="7.28515625" style="26" customWidth="1"/>
    <col min="1020" max="1020" width="10.28515625" style="26" customWidth="1"/>
    <col min="1021" max="1022" width="6.28515625" style="26" customWidth="1"/>
    <col min="1023" max="1266" width="11.7109375" style="26"/>
    <col min="1267" max="1267" width="8.28515625" style="26" customWidth="1"/>
    <col min="1268" max="1268" width="7.28515625" style="26" customWidth="1"/>
    <col min="1269" max="1270" width="7.7109375" style="26" customWidth="1"/>
    <col min="1271" max="1271" width="8.28515625" style="26" customWidth="1"/>
    <col min="1272" max="1272" width="7.7109375" style="26" customWidth="1"/>
    <col min="1273" max="1273" width="7.28515625" style="26" customWidth="1"/>
    <col min="1274" max="1274" width="7.7109375" style="26" customWidth="1"/>
    <col min="1275" max="1275" width="7.28515625" style="26" customWidth="1"/>
    <col min="1276" max="1276" width="10.28515625" style="26" customWidth="1"/>
    <col min="1277" max="1278" width="6.28515625" style="26" customWidth="1"/>
    <col min="1279" max="1522" width="11.7109375" style="26"/>
    <col min="1523" max="1523" width="8.28515625" style="26" customWidth="1"/>
    <col min="1524" max="1524" width="7.28515625" style="26" customWidth="1"/>
    <col min="1525" max="1526" width="7.7109375" style="26" customWidth="1"/>
    <col min="1527" max="1527" width="8.28515625" style="26" customWidth="1"/>
    <col min="1528" max="1528" width="7.7109375" style="26" customWidth="1"/>
    <col min="1529" max="1529" width="7.28515625" style="26" customWidth="1"/>
    <col min="1530" max="1530" width="7.7109375" style="26" customWidth="1"/>
    <col min="1531" max="1531" width="7.28515625" style="26" customWidth="1"/>
    <col min="1532" max="1532" width="10.28515625" style="26" customWidth="1"/>
    <col min="1533" max="1534" width="6.28515625" style="26" customWidth="1"/>
    <col min="1535" max="1778" width="11.7109375" style="26"/>
    <col min="1779" max="1779" width="8.28515625" style="26" customWidth="1"/>
    <col min="1780" max="1780" width="7.28515625" style="26" customWidth="1"/>
    <col min="1781" max="1782" width="7.7109375" style="26" customWidth="1"/>
    <col min="1783" max="1783" width="8.28515625" style="26" customWidth="1"/>
    <col min="1784" max="1784" width="7.7109375" style="26" customWidth="1"/>
    <col min="1785" max="1785" width="7.28515625" style="26" customWidth="1"/>
    <col min="1786" max="1786" width="7.7109375" style="26" customWidth="1"/>
    <col min="1787" max="1787" width="7.28515625" style="26" customWidth="1"/>
    <col min="1788" max="1788" width="10.28515625" style="26" customWidth="1"/>
    <col min="1789" max="1790" width="6.28515625" style="26" customWidth="1"/>
    <col min="1791" max="2034" width="11.7109375" style="26"/>
    <col min="2035" max="2035" width="8.28515625" style="26" customWidth="1"/>
    <col min="2036" max="2036" width="7.28515625" style="26" customWidth="1"/>
    <col min="2037" max="2038" width="7.7109375" style="26" customWidth="1"/>
    <col min="2039" max="2039" width="8.28515625" style="26" customWidth="1"/>
    <col min="2040" max="2040" width="7.7109375" style="26" customWidth="1"/>
    <col min="2041" max="2041" width="7.28515625" style="26" customWidth="1"/>
    <col min="2042" max="2042" width="7.7109375" style="26" customWidth="1"/>
    <col min="2043" max="2043" width="7.28515625" style="26" customWidth="1"/>
    <col min="2044" max="2044" width="10.28515625" style="26" customWidth="1"/>
    <col min="2045" max="2046" width="6.28515625" style="26" customWidth="1"/>
    <col min="2047" max="2290" width="11.7109375" style="26"/>
    <col min="2291" max="2291" width="8.28515625" style="26" customWidth="1"/>
    <col min="2292" max="2292" width="7.28515625" style="26" customWidth="1"/>
    <col min="2293" max="2294" width="7.7109375" style="26" customWidth="1"/>
    <col min="2295" max="2295" width="8.28515625" style="26" customWidth="1"/>
    <col min="2296" max="2296" width="7.7109375" style="26" customWidth="1"/>
    <col min="2297" max="2297" width="7.28515625" style="26" customWidth="1"/>
    <col min="2298" max="2298" width="7.7109375" style="26" customWidth="1"/>
    <col min="2299" max="2299" width="7.28515625" style="26" customWidth="1"/>
    <col min="2300" max="2300" width="10.28515625" style="26" customWidth="1"/>
    <col min="2301" max="2302" width="6.28515625" style="26" customWidth="1"/>
    <col min="2303" max="2546" width="11.7109375" style="26"/>
    <col min="2547" max="2547" width="8.28515625" style="26" customWidth="1"/>
    <col min="2548" max="2548" width="7.28515625" style="26" customWidth="1"/>
    <col min="2549" max="2550" width="7.7109375" style="26" customWidth="1"/>
    <col min="2551" max="2551" width="8.28515625" style="26" customWidth="1"/>
    <col min="2552" max="2552" width="7.7109375" style="26" customWidth="1"/>
    <col min="2553" max="2553" width="7.28515625" style="26" customWidth="1"/>
    <col min="2554" max="2554" width="7.7109375" style="26" customWidth="1"/>
    <col min="2555" max="2555" width="7.28515625" style="26" customWidth="1"/>
    <col min="2556" max="2556" width="10.28515625" style="26" customWidth="1"/>
    <col min="2557" max="2558" width="6.28515625" style="26" customWidth="1"/>
    <col min="2559" max="2802" width="11.7109375" style="26"/>
    <col min="2803" max="2803" width="8.28515625" style="26" customWidth="1"/>
    <col min="2804" max="2804" width="7.28515625" style="26" customWidth="1"/>
    <col min="2805" max="2806" width="7.7109375" style="26" customWidth="1"/>
    <col min="2807" max="2807" width="8.28515625" style="26" customWidth="1"/>
    <col min="2808" max="2808" width="7.7109375" style="26" customWidth="1"/>
    <col min="2809" max="2809" width="7.28515625" style="26" customWidth="1"/>
    <col min="2810" max="2810" width="7.7109375" style="26" customWidth="1"/>
    <col min="2811" max="2811" width="7.28515625" style="26" customWidth="1"/>
    <col min="2812" max="2812" width="10.28515625" style="26" customWidth="1"/>
    <col min="2813" max="2814" width="6.28515625" style="26" customWidth="1"/>
    <col min="2815" max="3058" width="11.7109375" style="26"/>
    <col min="3059" max="3059" width="8.28515625" style="26" customWidth="1"/>
    <col min="3060" max="3060" width="7.28515625" style="26" customWidth="1"/>
    <col min="3061" max="3062" width="7.7109375" style="26" customWidth="1"/>
    <col min="3063" max="3063" width="8.28515625" style="26" customWidth="1"/>
    <col min="3064" max="3064" width="7.7109375" style="26" customWidth="1"/>
    <col min="3065" max="3065" width="7.28515625" style="26" customWidth="1"/>
    <col min="3066" max="3066" width="7.7109375" style="26" customWidth="1"/>
    <col min="3067" max="3067" width="7.28515625" style="26" customWidth="1"/>
    <col min="3068" max="3068" width="10.28515625" style="26" customWidth="1"/>
    <col min="3069" max="3070" width="6.28515625" style="26" customWidth="1"/>
    <col min="3071" max="3314" width="11.7109375" style="26"/>
    <col min="3315" max="3315" width="8.28515625" style="26" customWidth="1"/>
    <col min="3316" max="3316" width="7.28515625" style="26" customWidth="1"/>
    <col min="3317" max="3318" width="7.7109375" style="26" customWidth="1"/>
    <col min="3319" max="3319" width="8.28515625" style="26" customWidth="1"/>
    <col min="3320" max="3320" width="7.7109375" style="26" customWidth="1"/>
    <col min="3321" max="3321" width="7.28515625" style="26" customWidth="1"/>
    <col min="3322" max="3322" width="7.7109375" style="26" customWidth="1"/>
    <col min="3323" max="3323" width="7.28515625" style="26" customWidth="1"/>
    <col min="3324" max="3324" width="10.28515625" style="26" customWidth="1"/>
    <col min="3325" max="3326" width="6.28515625" style="26" customWidth="1"/>
    <col min="3327" max="3570" width="11.7109375" style="26"/>
    <col min="3571" max="3571" width="8.28515625" style="26" customWidth="1"/>
    <col min="3572" max="3572" width="7.28515625" style="26" customWidth="1"/>
    <col min="3573" max="3574" width="7.7109375" style="26" customWidth="1"/>
    <col min="3575" max="3575" width="8.28515625" style="26" customWidth="1"/>
    <col min="3576" max="3576" width="7.7109375" style="26" customWidth="1"/>
    <col min="3577" max="3577" width="7.28515625" style="26" customWidth="1"/>
    <col min="3578" max="3578" width="7.7109375" style="26" customWidth="1"/>
    <col min="3579" max="3579" width="7.28515625" style="26" customWidth="1"/>
    <col min="3580" max="3580" width="10.28515625" style="26" customWidth="1"/>
    <col min="3581" max="3582" width="6.28515625" style="26" customWidth="1"/>
    <col min="3583" max="3826" width="11.7109375" style="26"/>
    <col min="3827" max="3827" width="8.28515625" style="26" customWidth="1"/>
    <col min="3828" max="3828" width="7.28515625" style="26" customWidth="1"/>
    <col min="3829" max="3830" width="7.7109375" style="26" customWidth="1"/>
    <col min="3831" max="3831" width="8.28515625" style="26" customWidth="1"/>
    <col min="3832" max="3832" width="7.7109375" style="26" customWidth="1"/>
    <col min="3833" max="3833" width="7.28515625" style="26" customWidth="1"/>
    <col min="3834" max="3834" width="7.7109375" style="26" customWidth="1"/>
    <col min="3835" max="3835" width="7.28515625" style="26" customWidth="1"/>
    <col min="3836" max="3836" width="10.28515625" style="26" customWidth="1"/>
    <col min="3837" max="3838" width="6.28515625" style="26" customWidth="1"/>
    <col min="3839" max="4082" width="11.7109375" style="26"/>
    <col min="4083" max="4083" width="8.28515625" style="26" customWidth="1"/>
    <col min="4084" max="4084" width="7.28515625" style="26" customWidth="1"/>
    <col min="4085" max="4086" width="7.7109375" style="26" customWidth="1"/>
    <col min="4087" max="4087" width="8.28515625" style="26" customWidth="1"/>
    <col min="4088" max="4088" width="7.7109375" style="26" customWidth="1"/>
    <col min="4089" max="4089" width="7.28515625" style="26" customWidth="1"/>
    <col min="4090" max="4090" width="7.7109375" style="26" customWidth="1"/>
    <col min="4091" max="4091" width="7.28515625" style="26" customWidth="1"/>
    <col min="4092" max="4092" width="10.28515625" style="26" customWidth="1"/>
    <col min="4093" max="4094" width="6.28515625" style="26" customWidth="1"/>
    <col min="4095" max="4338" width="11.7109375" style="26"/>
    <col min="4339" max="4339" width="8.28515625" style="26" customWidth="1"/>
    <col min="4340" max="4340" width="7.28515625" style="26" customWidth="1"/>
    <col min="4341" max="4342" width="7.7109375" style="26" customWidth="1"/>
    <col min="4343" max="4343" width="8.28515625" style="26" customWidth="1"/>
    <col min="4344" max="4344" width="7.7109375" style="26" customWidth="1"/>
    <col min="4345" max="4345" width="7.28515625" style="26" customWidth="1"/>
    <col min="4346" max="4346" width="7.7109375" style="26" customWidth="1"/>
    <col min="4347" max="4347" width="7.28515625" style="26" customWidth="1"/>
    <col min="4348" max="4348" width="10.28515625" style="26" customWidth="1"/>
    <col min="4349" max="4350" width="6.28515625" style="26" customWidth="1"/>
    <col min="4351" max="4594" width="11.7109375" style="26"/>
    <col min="4595" max="4595" width="8.28515625" style="26" customWidth="1"/>
    <col min="4596" max="4596" width="7.28515625" style="26" customWidth="1"/>
    <col min="4597" max="4598" width="7.7109375" style="26" customWidth="1"/>
    <col min="4599" max="4599" width="8.28515625" style="26" customWidth="1"/>
    <col min="4600" max="4600" width="7.7109375" style="26" customWidth="1"/>
    <col min="4601" max="4601" width="7.28515625" style="26" customWidth="1"/>
    <col min="4602" max="4602" width="7.7109375" style="26" customWidth="1"/>
    <col min="4603" max="4603" width="7.28515625" style="26" customWidth="1"/>
    <col min="4604" max="4604" width="10.28515625" style="26" customWidth="1"/>
    <col min="4605" max="4606" width="6.28515625" style="26" customWidth="1"/>
    <col min="4607" max="4850" width="11.7109375" style="26"/>
    <col min="4851" max="4851" width="8.28515625" style="26" customWidth="1"/>
    <col min="4852" max="4852" width="7.28515625" style="26" customWidth="1"/>
    <col min="4853" max="4854" width="7.7109375" style="26" customWidth="1"/>
    <col min="4855" max="4855" width="8.28515625" style="26" customWidth="1"/>
    <col min="4856" max="4856" width="7.7109375" style="26" customWidth="1"/>
    <col min="4857" max="4857" width="7.28515625" style="26" customWidth="1"/>
    <col min="4858" max="4858" width="7.7109375" style="26" customWidth="1"/>
    <col min="4859" max="4859" width="7.28515625" style="26" customWidth="1"/>
    <col min="4860" max="4860" width="10.28515625" style="26" customWidth="1"/>
    <col min="4861" max="4862" width="6.28515625" style="26" customWidth="1"/>
    <col min="4863" max="5106" width="11.7109375" style="26"/>
    <col min="5107" max="5107" width="8.28515625" style="26" customWidth="1"/>
    <col min="5108" max="5108" width="7.28515625" style="26" customWidth="1"/>
    <col min="5109" max="5110" width="7.7109375" style="26" customWidth="1"/>
    <col min="5111" max="5111" width="8.28515625" style="26" customWidth="1"/>
    <col min="5112" max="5112" width="7.7109375" style="26" customWidth="1"/>
    <col min="5113" max="5113" width="7.28515625" style="26" customWidth="1"/>
    <col min="5114" max="5114" width="7.7109375" style="26" customWidth="1"/>
    <col min="5115" max="5115" width="7.28515625" style="26" customWidth="1"/>
    <col min="5116" max="5116" width="10.28515625" style="26" customWidth="1"/>
    <col min="5117" max="5118" width="6.28515625" style="26" customWidth="1"/>
    <col min="5119" max="5362" width="11.7109375" style="26"/>
    <col min="5363" max="5363" width="8.28515625" style="26" customWidth="1"/>
    <col min="5364" max="5364" width="7.28515625" style="26" customWidth="1"/>
    <col min="5365" max="5366" width="7.7109375" style="26" customWidth="1"/>
    <col min="5367" max="5367" width="8.28515625" style="26" customWidth="1"/>
    <col min="5368" max="5368" width="7.7109375" style="26" customWidth="1"/>
    <col min="5369" max="5369" width="7.28515625" style="26" customWidth="1"/>
    <col min="5370" max="5370" width="7.7109375" style="26" customWidth="1"/>
    <col min="5371" max="5371" width="7.28515625" style="26" customWidth="1"/>
    <col min="5372" max="5372" width="10.28515625" style="26" customWidth="1"/>
    <col min="5373" max="5374" width="6.28515625" style="26" customWidth="1"/>
    <col min="5375" max="5618" width="11.7109375" style="26"/>
    <col min="5619" max="5619" width="8.28515625" style="26" customWidth="1"/>
    <col min="5620" max="5620" width="7.28515625" style="26" customWidth="1"/>
    <col min="5621" max="5622" width="7.7109375" style="26" customWidth="1"/>
    <col min="5623" max="5623" width="8.28515625" style="26" customWidth="1"/>
    <col min="5624" max="5624" width="7.7109375" style="26" customWidth="1"/>
    <col min="5625" max="5625" width="7.28515625" style="26" customWidth="1"/>
    <col min="5626" max="5626" width="7.7109375" style="26" customWidth="1"/>
    <col min="5627" max="5627" width="7.28515625" style="26" customWidth="1"/>
    <col min="5628" max="5628" width="10.28515625" style="26" customWidth="1"/>
    <col min="5629" max="5630" width="6.28515625" style="26" customWidth="1"/>
    <col min="5631" max="5874" width="11.7109375" style="26"/>
    <col min="5875" max="5875" width="8.28515625" style="26" customWidth="1"/>
    <col min="5876" max="5876" width="7.28515625" style="26" customWidth="1"/>
    <col min="5877" max="5878" width="7.7109375" style="26" customWidth="1"/>
    <col min="5879" max="5879" width="8.28515625" style="26" customWidth="1"/>
    <col min="5880" max="5880" width="7.7109375" style="26" customWidth="1"/>
    <col min="5881" max="5881" width="7.28515625" style="26" customWidth="1"/>
    <col min="5882" max="5882" width="7.7109375" style="26" customWidth="1"/>
    <col min="5883" max="5883" width="7.28515625" style="26" customWidth="1"/>
    <col min="5884" max="5884" width="10.28515625" style="26" customWidth="1"/>
    <col min="5885" max="5886" width="6.28515625" style="26" customWidth="1"/>
    <col min="5887" max="6130" width="11.7109375" style="26"/>
    <col min="6131" max="6131" width="8.28515625" style="26" customWidth="1"/>
    <col min="6132" max="6132" width="7.28515625" style="26" customWidth="1"/>
    <col min="6133" max="6134" width="7.7109375" style="26" customWidth="1"/>
    <col min="6135" max="6135" width="8.28515625" style="26" customWidth="1"/>
    <col min="6136" max="6136" width="7.7109375" style="26" customWidth="1"/>
    <col min="6137" max="6137" width="7.28515625" style="26" customWidth="1"/>
    <col min="6138" max="6138" width="7.7109375" style="26" customWidth="1"/>
    <col min="6139" max="6139" width="7.28515625" style="26" customWidth="1"/>
    <col min="6140" max="6140" width="10.28515625" style="26" customWidth="1"/>
    <col min="6141" max="6142" width="6.28515625" style="26" customWidth="1"/>
    <col min="6143" max="6386" width="11.7109375" style="26"/>
    <col min="6387" max="6387" width="8.28515625" style="26" customWidth="1"/>
    <col min="6388" max="6388" width="7.28515625" style="26" customWidth="1"/>
    <col min="6389" max="6390" width="7.7109375" style="26" customWidth="1"/>
    <col min="6391" max="6391" width="8.28515625" style="26" customWidth="1"/>
    <col min="6392" max="6392" width="7.7109375" style="26" customWidth="1"/>
    <col min="6393" max="6393" width="7.28515625" style="26" customWidth="1"/>
    <col min="6394" max="6394" width="7.7109375" style="26" customWidth="1"/>
    <col min="6395" max="6395" width="7.28515625" style="26" customWidth="1"/>
    <col min="6396" max="6396" width="10.28515625" style="26" customWidth="1"/>
    <col min="6397" max="6398" width="6.28515625" style="26" customWidth="1"/>
    <col min="6399" max="6642" width="11.7109375" style="26"/>
    <col min="6643" max="6643" width="8.28515625" style="26" customWidth="1"/>
    <col min="6644" max="6644" width="7.28515625" style="26" customWidth="1"/>
    <col min="6645" max="6646" width="7.7109375" style="26" customWidth="1"/>
    <col min="6647" max="6647" width="8.28515625" style="26" customWidth="1"/>
    <col min="6648" max="6648" width="7.7109375" style="26" customWidth="1"/>
    <col min="6649" max="6649" width="7.28515625" style="26" customWidth="1"/>
    <col min="6650" max="6650" width="7.7109375" style="26" customWidth="1"/>
    <col min="6651" max="6651" width="7.28515625" style="26" customWidth="1"/>
    <col min="6652" max="6652" width="10.28515625" style="26" customWidth="1"/>
    <col min="6653" max="6654" width="6.28515625" style="26" customWidth="1"/>
    <col min="6655" max="6898" width="11.7109375" style="26"/>
    <col min="6899" max="6899" width="8.28515625" style="26" customWidth="1"/>
    <col min="6900" max="6900" width="7.28515625" style="26" customWidth="1"/>
    <col min="6901" max="6902" width="7.7109375" style="26" customWidth="1"/>
    <col min="6903" max="6903" width="8.28515625" style="26" customWidth="1"/>
    <col min="6904" max="6904" width="7.7109375" style="26" customWidth="1"/>
    <col min="6905" max="6905" width="7.28515625" style="26" customWidth="1"/>
    <col min="6906" max="6906" width="7.7109375" style="26" customWidth="1"/>
    <col min="6907" max="6907" width="7.28515625" style="26" customWidth="1"/>
    <col min="6908" max="6908" width="10.28515625" style="26" customWidth="1"/>
    <col min="6909" max="6910" width="6.28515625" style="26" customWidth="1"/>
    <col min="6911" max="7154" width="11.7109375" style="26"/>
    <col min="7155" max="7155" width="8.28515625" style="26" customWidth="1"/>
    <col min="7156" max="7156" width="7.28515625" style="26" customWidth="1"/>
    <col min="7157" max="7158" width="7.7109375" style="26" customWidth="1"/>
    <col min="7159" max="7159" width="8.28515625" style="26" customWidth="1"/>
    <col min="7160" max="7160" width="7.7109375" style="26" customWidth="1"/>
    <col min="7161" max="7161" width="7.28515625" style="26" customWidth="1"/>
    <col min="7162" max="7162" width="7.7109375" style="26" customWidth="1"/>
    <col min="7163" max="7163" width="7.28515625" style="26" customWidth="1"/>
    <col min="7164" max="7164" width="10.28515625" style="26" customWidth="1"/>
    <col min="7165" max="7166" width="6.28515625" style="26" customWidth="1"/>
    <col min="7167" max="7410" width="11.7109375" style="26"/>
    <col min="7411" max="7411" width="8.28515625" style="26" customWidth="1"/>
    <col min="7412" max="7412" width="7.28515625" style="26" customWidth="1"/>
    <col min="7413" max="7414" width="7.7109375" style="26" customWidth="1"/>
    <col min="7415" max="7415" width="8.28515625" style="26" customWidth="1"/>
    <col min="7416" max="7416" width="7.7109375" style="26" customWidth="1"/>
    <col min="7417" max="7417" width="7.28515625" style="26" customWidth="1"/>
    <col min="7418" max="7418" width="7.7109375" style="26" customWidth="1"/>
    <col min="7419" max="7419" width="7.28515625" style="26" customWidth="1"/>
    <col min="7420" max="7420" width="10.28515625" style="26" customWidth="1"/>
    <col min="7421" max="7422" width="6.28515625" style="26" customWidth="1"/>
    <col min="7423" max="7666" width="11.7109375" style="26"/>
    <col min="7667" max="7667" width="8.28515625" style="26" customWidth="1"/>
    <col min="7668" max="7668" width="7.28515625" style="26" customWidth="1"/>
    <col min="7669" max="7670" width="7.7109375" style="26" customWidth="1"/>
    <col min="7671" max="7671" width="8.28515625" style="26" customWidth="1"/>
    <col min="7672" max="7672" width="7.7109375" style="26" customWidth="1"/>
    <col min="7673" max="7673" width="7.28515625" style="26" customWidth="1"/>
    <col min="7674" max="7674" width="7.7109375" style="26" customWidth="1"/>
    <col min="7675" max="7675" width="7.28515625" style="26" customWidth="1"/>
    <col min="7676" max="7676" width="10.28515625" style="26" customWidth="1"/>
    <col min="7677" max="7678" width="6.28515625" style="26" customWidth="1"/>
    <col min="7679" max="7922" width="11.7109375" style="26"/>
    <col min="7923" max="7923" width="8.28515625" style="26" customWidth="1"/>
    <col min="7924" max="7924" width="7.28515625" style="26" customWidth="1"/>
    <col min="7925" max="7926" width="7.7109375" style="26" customWidth="1"/>
    <col min="7927" max="7927" width="8.28515625" style="26" customWidth="1"/>
    <col min="7928" max="7928" width="7.7109375" style="26" customWidth="1"/>
    <col min="7929" max="7929" width="7.28515625" style="26" customWidth="1"/>
    <col min="7930" max="7930" width="7.7109375" style="26" customWidth="1"/>
    <col min="7931" max="7931" width="7.28515625" style="26" customWidth="1"/>
    <col min="7932" max="7932" width="10.28515625" style="26" customWidth="1"/>
    <col min="7933" max="7934" width="6.28515625" style="26" customWidth="1"/>
    <col min="7935" max="8178" width="11.7109375" style="26"/>
    <col min="8179" max="8179" width="8.28515625" style="26" customWidth="1"/>
    <col min="8180" max="8180" width="7.28515625" style="26" customWidth="1"/>
    <col min="8181" max="8182" width="7.7109375" style="26" customWidth="1"/>
    <col min="8183" max="8183" width="8.28515625" style="26" customWidth="1"/>
    <col min="8184" max="8184" width="7.7109375" style="26" customWidth="1"/>
    <col min="8185" max="8185" width="7.28515625" style="26" customWidth="1"/>
    <col min="8186" max="8186" width="7.7109375" style="26" customWidth="1"/>
    <col min="8187" max="8187" width="7.28515625" style="26" customWidth="1"/>
    <col min="8188" max="8188" width="10.28515625" style="26" customWidth="1"/>
    <col min="8189" max="8190" width="6.28515625" style="26" customWidth="1"/>
    <col min="8191" max="8434" width="11.7109375" style="26"/>
    <col min="8435" max="8435" width="8.28515625" style="26" customWidth="1"/>
    <col min="8436" max="8436" width="7.28515625" style="26" customWidth="1"/>
    <col min="8437" max="8438" width="7.7109375" style="26" customWidth="1"/>
    <col min="8439" max="8439" width="8.28515625" style="26" customWidth="1"/>
    <col min="8440" max="8440" width="7.7109375" style="26" customWidth="1"/>
    <col min="8441" max="8441" width="7.28515625" style="26" customWidth="1"/>
    <col min="8442" max="8442" width="7.7109375" style="26" customWidth="1"/>
    <col min="8443" max="8443" width="7.28515625" style="26" customWidth="1"/>
    <col min="8444" max="8444" width="10.28515625" style="26" customWidth="1"/>
    <col min="8445" max="8446" width="6.28515625" style="26" customWidth="1"/>
    <col min="8447" max="8690" width="11.7109375" style="26"/>
    <col min="8691" max="8691" width="8.28515625" style="26" customWidth="1"/>
    <col min="8692" max="8692" width="7.28515625" style="26" customWidth="1"/>
    <col min="8693" max="8694" width="7.7109375" style="26" customWidth="1"/>
    <col min="8695" max="8695" width="8.28515625" style="26" customWidth="1"/>
    <col min="8696" max="8696" width="7.7109375" style="26" customWidth="1"/>
    <col min="8697" max="8697" width="7.28515625" style="26" customWidth="1"/>
    <col min="8698" max="8698" width="7.7109375" style="26" customWidth="1"/>
    <col min="8699" max="8699" width="7.28515625" style="26" customWidth="1"/>
    <col min="8700" max="8700" width="10.28515625" style="26" customWidth="1"/>
    <col min="8701" max="8702" width="6.28515625" style="26" customWidth="1"/>
    <col min="8703" max="8946" width="11.7109375" style="26"/>
    <col min="8947" max="8947" width="8.28515625" style="26" customWidth="1"/>
    <col min="8948" max="8948" width="7.28515625" style="26" customWidth="1"/>
    <col min="8949" max="8950" width="7.7109375" style="26" customWidth="1"/>
    <col min="8951" max="8951" width="8.28515625" style="26" customWidth="1"/>
    <col min="8952" max="8952" width="7.7109375" style="26" customWidth="1"/>
    <col min="8953" max="8953" width="7.28515625" style="26" customWidth="1"/>
    <col min="8954" max="8954" width="7.7109375" style="26" customWidth="1"/>
    <col min="8955" max="8955" width="7.28515625" style="26" customWidth="1"/>
    <col min="8956" max="8956" width="10.28515625" style="26" customWidth="1"/>
    <col min="8957" max="8958" width="6.28515625" style="26" customWidth="1"/>
    <col min="8959" max="9202" width="11.7109375" style="26"/>
    <col min="9203" max="9203" width="8.28515625" style="26" customWidth="1"/>
    <col min="9204" max="9204" width="7.28515625" style="26" customWidth="1"/>
    <col min="9205" max="9206" width="7.7109375" style="26" customWidth="1"/>
    <col min="9207" max="9207" width="8.28515625" style="26" customWidth="1"/>
    <col min="9208" max="9208" width="7.7109375" style="26" customWidth="1"/>
    <col min="9209" max="9209" width="7.28515625" style="26" customWidth="1"/>
    <col min="9210" max="9210" width="7.7109375" style="26" customWidth="1"/>
    <col min="9211" max="9211" width="7.28515625" style="26" customWidth="1"/>
    <col min="9212" max="9212" width="10.28515625" style="26" customWidth="1"/>
    <col min="9213" max="9214" width="6.28515625" style="26" customWidth="1"/>
    <col min="9215" max="9458" width="11.7109375" style="26"/>
    <col min="9459" max="9459" width="8.28515625" style="26" customWidth="1"/>
    <col min="9460" max="9460" width="7.28515625" style="26" customWidth="1"/>
    <col min="9461" max="9462" width="7.7109375" style="26" customWidth="1"/>
    <col min="9463" max="9463" width="8.28515625" style="26" customWidth="1"/>
    <col min="9464" max="9464" width="7.7109375" style="26" customWidth="1"/>
    <col min="9465" max="9465" width="7.28515625" style="26" customWidth="1"/>
    <col min="9466" max="9466" width="7.7109375" style="26" customWidth="1"/>
    <col min="9467" max="9467" width="7.28515625" style="26" customWidth="1"/>
    <col min="9468" max="9468" width="10.28515625" style="26" customWidth="1"/>
    <col min="9469" max="9470" width="6.28515625" style="26" customWidth="1"/>
    <col min="9471" max="9714" width="11.7109375" style="26"/>
    <col min="9715" max="9715" width="8.28515625" style="26" customWidth="1"/>
    <col min="9716" max="9716" width="7.28515625" style="26" customWidth="1"/>
    <col min="9717" max="9718" width="7.7109375" style="26" customWidth="1"/>
    <col min="9719" max="9719" width="8.28515625" style="26" customWidth="1"/>
    <col min="9720" max="9720" width="7.7109375" style="26" customWidth="1"/>
    <col min="9721" max="9721" width="7.28515625" style="26" customWidth="1"/>
    <col min="9722" max="9722" width="7.7109375" style="26" customWidth="1"/>
    <col min="9723" max="9723" width="7.28515625" style="26" customWidth="1"/>
    <col min="9724" max="9724" width="10.28515625" style="26" customWidth="1"/>
    <col min="9725" max="9726" width="6.28515625" style="26" customWidth="1"/>
    <col min="9727" max="9970" width="11.7109375" style="26"/>
    <col min="9971" max="9971" width="8.28515625" style="26" customWidth="1"/>
    <col min="9972" max="9972" width="7.28515625" style="26" customWidth="1"/>
    <col min="9973" max="9974" width="7.7109375" style="26" customWidth="1"/>
    <col min="9975" max="9975" width="8.28515625" style="26" customWidth="1"/>
    <col min="9976" max="9976" width="7.7109375" style="26" customWidth="1"/>
    <col min="9977" max="9977" width="7.28515625" style="26" customWidth="1"/>
    <col min="9978" max="9978" width="7.7109375" style="26" customWidth="1"/>
    <col min="9979" max="9979" width="7.28515625" style="26" customWidth="1"/>
    <col min="9980" max="9980" width="10.28515625" style="26" customWidth="1"/>
    <col min="9981" max="9982" width="6.28515625" style="26" customWidth="1"/>
    <col min="9983" max="10226" width="11.7109375" style="26"/>
    <col min="10227" max="10227" width="8.28515625" style="26" customWidth="1"/>
    <col min="10228" max="10228" width="7.28515625" style="26" customWidth="1"/>
    <col min="10229" max="10230" width="7.7109375" style="26" customWidth="1"/>
    <col min="10231" max="10231" width="8.28515625" style="26" customWidth="1"/>
    <col min="10232" max="10232" width="7.7109375" style="26" customWidth="1"/>
    <col min="10233" max="10233" width="7.28515625" style="26" customWidth="1"/>
    <col min="10234" max="10234" width="7.7109375" style="26" customWidth="1"/>
    <col min="10235" max="10235" width="7.28515625" style="26" customWidth="1"/>
    <col min="10236" max="10236" width="10.28515625" style="26" customWidth="1"/>
    <col min="10237" max="10238" width="6.28515625" style="26" customWidth="1"/>
    <col min="10239" max="10482" width="11.7109375" style="26"/>
    <col min="10483" max="10483" width="8.28515625" style="26" customWidth="1"/>
    <col min="10484" max="10484" width="7.28515625" style="26" customWidth="1"/>
    <col min="10485" max="10486" width="7.7109375" style="26" customWidth="1"/>
    <col min="10487" max="10487" width="8.28515625" style="26" customWidth="1"/>
    <col min="10488" max="10488" width="7.7109375" style="26" customWidth="1"/>
    <col min="10489" max="10489" width="7.28515625" style="26" customWidth="1"/>
    <col min="10490" max="10490" width="7.7109375" style="26" customWidth="1"/>
    <col min="10491" max="10491" width="7.28515625" style="26" customWidth="1"/>
    <col min="10492" max="10492" width="10.28515625" style="26" customWidth="1"/>
    <col min="10493" max="10494" width="6.28515625" style="26" customWidth="1"/>
    <col min="10495" max="10738" width="11.7109375" style="26"/>
    <col min="10739" max="10739" width="8.28515625" style="26" customWidth="1"/>
    <col min="10740" max="10740" width="7.28515625" style="26" customWidth="1"/>
    <col min="10741" max="10742" width="7.7109375" style="26" customWidth="1"/>
    <col min="10743" max="10743" width="8.28515625" style="26" customWidth="1"/>
    <col min="10744" max="10744" width="7.7109375" style="26" customWidth="1"/>
    <col min="10745" max="10745" width="7.28515625" style="26" customWidth="1"/>
    <col min="10746" max="10746" width="7.7109375" style="26" customWidth="1"/>
    <col min="10747" max="10747" width="7.28515625" style="26" customWidth="1"/>
    <col min="10748" max="10748" width="10.28515625" style="26" customWidth="1"/>
    <col min="10749" max="10750" width="6.28515625" style="26" customWidth="1"/>
    <col min="10751" max="10994" width="11.7109375" style="26"/>
    <col min="10995" max="10995" width="8.28515625" style="26" customWidth="1"/>
    <col min="10996" max="10996" width="7.28515625" style="26" customWidth="1"/>
    <col min="10997" max="10998" width="7.7109375" style="26" customWidth="1"/>
    <col min="10999" max="10999" width="8.28515625" style="26" customWidth="1"/>
    <col min="11000" max="11000" width="7.7109375" style="26" customWidth="1"/>
    <col min="11001" max="11001" width="7.28515625" style="26" customWidth="1"/>
    <col min="11002" max="11002" width="7.7109375" style="26" customWidth="1"/>
    <col min="11003" max="11003" width="7.28515625" style="26" customWidth="1"/>
    <col min="11004" max="11004" width="10.28515625" style="26" customWidth="1"/>
    <col min="11005" max="11006" width="6.28515625" style="26" customWidth="1"/>
    <col min="11007" max="11250" width="11.7109375" style="26"/>
    <col min="11251" max="11251" width="8.28515625" style="26" customWidth="1"/>
    <col min="11252" max="11252" width="7.28515625" style="26" customWidth="1"/>
    <col min="11253" max="11254" width="7.7109375" style="26" customWidth="1"/>
    <col min="11255" max="11255" width="8.28515625" style="26" customWidth="1"/>
    <col min="11256" max="11256" width="7.7109375" style="26" customWidth="1"/>
    <col min="11257" max="11257" width="7.28515625" style="26" customWidth="1"/>
    <col min="11258" max="11258" width="7.7109375" style="26" customWidth="1"/>
    <col min="11259" max="11259" width="7.28515625" style="26" customWidth="1"/>
    <col min="11260" max="11260" width="10.28515625" style="26" customWidth="1"/>
    <col min="11261" max="11262" width="6.28515625" style="26" customWidth="1"/>
    <col min="11263" max="11506" width="11.7109375" style="26"/>
    <col min="11507" max="11507" width="8.28515625" style="26" customWidth="1"/>
    <col min="11508" max="11508" width="7.28515625" style="26" customWidth="1"/>
    <col min="11509" max="11510" width="7.7109375" style="26" customWidth="1"/>
    <col min="11511" max="11511" width="8.28515625" style="26" customWidth="1"/>
    <col min="11512" max="11512" width="7.7109375" style="26" customWidth="1"/>
    <col min="11513" max="11513" width="7.28515625" style="26" customWidth="1"/>
    <col min="11514" max="11514" width="7.7109375" style="26" customWidth="1"/>
    <col min="11515" max="11515" width="7.28515625" style="26" customWidth="1"/>
    <col min="11516" max="11516" width="10.28515625" style="26" customWidth="1"/>
    <col min="11517" max="11518" width="6.28515625" style="26" customWidth="1"/>
    <col min="11519" max="11762" width="11.7109375" style="26"/>
    <col min="11763" max="11763" width="8.28515625" style="26" customWidth="1"/>
    <col min="11764" max="11764" width="7.28515625" style="26" customWidth="1"/>
    <col min="11765" max="11766" width="7.7109375" style="26" customWidth="1"/>
    <col min="11767" max="11767" width="8.28515625" style="26" customWidth="1"/>
    <col min="11768" max="11768" width="7.7109375" style="26" customWidth="1"/>
    <col min="11769" max="11769" width="7.28515625" style="26" customWidth="1"/>
    <col min="11770" max="11770" width="7.7109375" style="26" customWidth="1"/>
    <col min="11771" max="11771" width="7.28515625" style="26" customWidth="1"/>
    <col min="11772" max="11772" width="10.28515625" style="26" customWidth="1"/>
    <col min="11773" max="11774" width="6.28515625" style="26" customWidth="1"/>
    <col min="11775" max="12018" width="11.7109375" style="26"/>
    <col min="12019" max="12019" width="8.28515625" style="26" customWidth="1"/>
    <col min="12020" max="12020" width="7.28515625" style="26" customWidth="1"/>
    <col min="12021" max="12022" width="7.7109375" style="26" customWidth="1"/>
    <col min="12023" max="12023" width="8.28515625" style="26" customWidth="1"/>
    <col min="12024" max="12024" width="7.7109375" style="26" customWidth="1"/>
    <col min="12025" max="12025" width="7.28515625" style="26" customWidth="1"/>
    <col min="12026" max="12026" width="7.7109375" style="26" customWidth="1"/>
    <col min="12027" max="12027" width="7.28515625" style="26" customWidth="1"/>
    <col min="12028" max="12028" width="10.28515625" style="26" customWidth="1"/>
    <col min="12029" max="12030" width="6.28515625" style="26" customWidth="1"/>
    <col min="12031" max="12274" width="11.7109375" style="26"/>
    <col min="12275" max="12275" width="8.28515625" style="26" customWidth="1"/>
    <col min="12276" max="12276" width="7.28515625" style="26" customWidth="1"/>
    <col min="12277" max="12278" width="7.7109375" style="26" customWidth="1"/>
    <col min="12279" max="12279" width="8.28515625" style="26" customWidth="1"/>
    <col min="12280" max="12280" width="7.7109375" style="26" customWidth="1"/>
    <col min="12281" max="12281" width="7.28515625" style="26" customWidth="1"/>
    <col min="12282" max="12282" width="7.7109375" style="26" customWidth="1"/>
    <col min="12283" max="12283" width="7.28515625" style="26" customWidth="1"/>
    <col min="12284" max="12284" width="10.28515625" style="26" customWidth="1"/>
    <col min="12285" max="12286" width="6.28515625" style="26" customWidth="1"/>
    <col min="12287" max="12530" width="11.7109375" style="26"/>
    <col min="12531" max="12531" width="8.28515625" style="26" customWidth="1"/>
    <col min="12532" max="12532" width="7.28515625" style="26" customWidth="1"/>
    <col min="12533" max="12534" width="7.7109375" style="26" customWidth="1"/>
    <col min="12535" max="12535" width="8.28515625" style="26" customWidth="1"/>
    <col min="12536" max="12536" width="7.7109375" style="26" customWidth="1"/>
    <col min="12537" max="12537" width="7.28515625" style="26" customWidth="1"/>
    <col min="12538" max="12538" width="7.7109375" style="26" customWidth="1"/>
    <col min="12539" max="12539" width="7.28515625" style="26" customWidth="1"/>
    <col min="12540" max="12540" width="10.28515625" style="26" customWidth="1"/>
    <col min="12541" max="12542" width="6.28515625" style="26" customWidth="1"/>
    <col min="12543" max="12786" width="11.7109375" style="26"/>
    <col min="12787" max="12787" width="8.28515625" style="26" customWidth="1"/>
    <col min="12788" max="12788" width="7.28515625" style="26" customWidth="1"/>
    <col min="12789" max="12790" width="7.7109375" style="26" customWidth="1"/>
    <col min="12791" max="12791" width="8.28515625" style="26" customWidth="1"/>
    <col min="12792" max="12792" width="7.7109375" style="26" customWidth="1"/>
    <col min="12793" max="12793" width="7.28515625" style="26" customWidth="1"/>
    <col min="12794" max="12794" width="7.7109375" style="26" customWidth="1"/>
    <col min="12795" max="12795" width="7.28515625" style="26" customWidth="1"/>
    <col min="12796" max="12796" width="10.28515625" style="26" customWidth="1"/>
    <col min="12797" max="12798" width="6.28515625" style="26" customWidth="1"/>
    <col min="12799" max="13042" width="11.7109375" style="26"/>
    <col min="13043" max="13043" width="8.28515625" style="26" customWidth="1"/>
    <col min="13044" max="13044" width="7.28515625" style="26" customWidth="1"/>
    <col min="13045" max="13046" width="7.7109375" style="26" customWidth="1"/>
    <col min="13047" max="13047" width="8.28515625" style="26" customWidth="1"/>
    <col min="13048" max="13048" width="7.7109375" style="26" customWidth="1"/>
    <col min="13049" max="13049" width="7.28515625" style="26" customWidth="1"/>
    <col min="13050" max="13050" width="7.7109375" style="26" customWidth="1"/>
    <col min="13051" max="13051" width="7.28515625" style="26" customWidth="1"/>
    <col min="13052" max="13052" width="10.28515625" style="26" customWidth="1"/>
    <col min="13053" max="13054" width="6.28515625" style="26" customWidth="1"/>
    <col min="13055" max="13298" width="11.7109375" style="26"/>
    <col min="13299" max="13299" width="8.28515625" style="26" customWidth="1"/>
    <col min="13300" max="13300" width="7.28515625" style="26" customWidth="1"/>
    <col min="13301" max="13302" width="7.7109375" style="26" customWidth="1"/>
    <col min="13303" max="13303" width="8.28515625" style="26" customWidth="1"/>
    <col min="13304" max="13304" width="7.7109375" style="26" customWidth="1"/>
    <col min="13305" max="13305" width="7.28515625" style="26" customWidth="1"/>
    <col min="13306" max="13306" width="7.7109375" style="26" customWidth="1"/>
    <col min="13307" max="13307" width="7.28515625" style="26" customWidth="1"/>
    <col min="13308" max="13308" width="10.28515625" style="26" customWidth="1"/>
    <col min="13309" max="13310" width="6.28515625" style="26" customWidth="1"/>
    <col min="13311" max="13554" width="11.7109375" style="26"/>
    <col min="13555" max="13555" width="8.28515625" style="26" customWidth="1"/>
    <col min="13556" max="13556" width="7.28515625" style="26" customWidth="1"/>
    <col min="13557" max="13558" width="7.7109375" style="26" customWidth="1"/>
    <col min="13559" max="13559" width="8.28515625" style="26" customWidth="1"/>
    <col min="13560" max="13560" width="7.7109375" style="26" customWidth="1"/>
    <col min="13561" max="13561" width="7.28515625" style="26" customWidth="1"/>
    <col min="13562" max="13562" width="7.7109375" style="26" customWidth="1"/>
    <col min="13563" max="13563" width="7.28515625" style="26" customWidth="1"/>
    <col min="13564" max="13564" width="10.28515625" style="26" customWidth="1"/>
    <col min="13565" max="13566" width="6.28515625" style="26" customWidth="1"/>
    <col min="13567" max="13810" width="11.7109375" style="26"/>
    <col min="13811" max="13811" width="8.28515625" style="26" customWidth="1"/>
    <col min="13812" max="13812" width="7.28515625" style="26" customWidth="1"/>
    <col min="13813" max="13814" width="7.7109375" style="26" customWidth="1"/>
    <col min="13815" max="13815" width="8.28515625" style="26" customWidth="1"/>
    <col min="13816" max="13816" width="7.7109375" style="26" customWidth="1"/>
    <col min="13817" max="13817" width="7.28515625" style="26" customWidth="1"/>
    <col min="13818" max="13818" width="7.7109375" style="26" customWidth="1"/>
    <col min="13819" max="13819" width="7.28515625" style="26" customWidth="1"/>
    <col min="13820" max="13820" width="10.28515625" style="26" customWidth="1"/>
    <col min="13821" max="13822" width="6.28515625" style="26" customWidth="1"/>
    <col min="13823" max="14066" width="11.7109375" style="26"/>
    <col min="14067" max="14067" width="8.28515625" style="26" customWidth="1"/>
    <col min="14068" max="14068" width="7.28515625" style="26" customWidth="1"/>
    <col min="14069" max="14070" width="7.7109375" style="26" customWidth="1"/>
    <col min="14071" max="14071" width="8.28515625" style="26" customWidth="1"/>
    <col min="14072" max="14072" width="7.7109375" style="26" customWidth="1"/>
    <col min="14073" max="14073" width="7.28515625" style="26" customWidth="1"/>
    <col min="14074" max="14074" width="7.7109375" style="26" customWidth="1"/>
    <col min="14075" max="14075" width="7.28515625" style="26" customWidth="1"/>
    <col min="14076" max="14076" width="10.28515625" style="26" customWidth="1"/>
    <col min="14077" max="14078" width="6.28515625" style="26" customWidth="1"/>
    <col min="14079" max="14322" width="11.7109375" style="26"/>
    <col min="14323" max="14323" width="8.28515625" style="26" customWidth="1"/>
    <col min="14324" max="14324" width="7.28515625" style="26" customWidth="1"/>
    <col min="14325" max="14326" width="7.7109375" style="26" customWidth="1"/>
    <col min="14327" max="14327" width="8.28515625" style="26" customWidth="1"/>
    <col min="14328" max="14328" width="7.7109375" style="26" customWidth="1"/>
    <col min="14329" max="14329" width="7.28515625" style="26" customWidth="1"/>
    <col min="14330" max="14330" width="7.7109375" style="26" customWidth="1"/>
    <col min="14331" max="14331" width="7.28515625" style="26" customWidth="1"/>
    <col min="14332" max="14332" width="10.28515625" style="26" customWidth="1"/>
    <col min="14333" max="14334" width="6.28515625" style="26" customWidth="1"/>
    <col min="14335" max="14578" width="11.7109375" style="26"/>
    <col min="14579" max="14579" width="8.28515625" style="26" customWidth="1"/>
    <col min="14580" max="14580" width="7.28515625" style="26" customWidth="1"/>
    <col min="14581" max="14582" width="7.7109375" style="26" customWidth="1"/>
    <col min="14583" max="14583" width="8.28515625" style="26" customWidth="1"/>
    <col min="14584" max="14584" width="7.7109375" style="26" customWidth="1"/>
    <col min="14585" max="14585" width="7.28515625" style="26" customWidth="1"/>
    <col min="14586" max="14586" width="7.7109375" style="26" customWidth="1"/>
    <col min="14587" max="14587" width="7.28515625" style="26" customWidth="1"/>
    <col min="14588" max="14588" width="10.28515625" style="26" customWidth="1"/>
    <col min="14589" max="14590" width="6.28515625" style="26" customWidth="1"/>
    <col min="14591" max="14834" width="11.7109375" style="26"/>
    <col min="14835" max="14835" width="8.28515625" style="26" customWidth="1"/>
    <col min="14836" max="14836" width="7.28515625" style="26" customWidth="1"/>
    <col min="14837" max="14838" width="7.7109375" style="26" customWidth="1"/>
    <col min="14839" max="14839" width="8.28515625" style="26" customWidth="1"/>
    <col min="14840" max="14840" width="7.7109375" style="26" customWidth="1"/>
    <col min="14841" max="14841" width="7.28515625" style="26" customWidth="1"/>
    <col min="14842" max="14842" width="7.7109375" style="26" customWidth="1"/>
    <col min="14843" max="14843" width="7.28515625" style="26" customWidth="1"/>
    <col min="14844" max="14844" width="10.28515625" style="26" customWidth="1"/>
    <col min="14845" max="14846" width="6.28515625" style="26" customWidth="1"/>
    <col min="14847" max="15090" width="11.7109375" style="26"/>
    <col min="15091" max="15091" width="8.28515625" style="26" customWidth="1"/>
    <col min="15092" max="15092" width="7.28515625" style="26" customWidth="1"/>
    <col min="15093" max="15094" width="7.7109375" style="26" customWidth="1"/>
    <col min="15095" max="15095" width="8.28515625" style="26" customWidth="1"/>
    <col min="15096" max="15096" width="7.7109375" style="26" customWidth="1"/>
    <col min="15097" max="15097" width="7.28515625" style="26" customWidth="1"/>
    <col min="15098" max="15098" width="7.7109375" style="26" customWidth="1"/>
    <col min="15099" max="15099" width="7.28515625" style="26" customWidth="1"/>
    <col min="15100" max="15100" width="10.28515625" style="26" customWidth="1"/>
    <col min="15101" max="15102" width="6.28515625" style="26" customWidth="1"/>
    <col min="15103" max="15346" width="11.7109375" style="26"/>
    <col min="15347" max="15347" width="8.28515625" style="26" customWidth="1"/>
    <col min="15348" max="15348" width="7.28515625" style="26" customWidth="1"/>
    <col min="15349" max="15350" width="7.7109375" style="26" customWidth="1"/>
    <col min="15351" max="15351" width="8.28515625" style="26" customWidth="1"/>
    <col min="15352" max="15352" width="7.7109375" style="26" customWidth="1"/>
    <col min="15353" max="15353" width="7.28515625" style="26" customWidth="1"/>
    <col min="15354" max="15354" width="7.7109375" style="26" customWidth="1"/>
    <col min="15355" max="15355" width="7.28515625" style="26" customWidth="1"/>
    <col min="15356" max="15356" width="10.28515625" style="26" customWidth="1"/>
    <col min="15357" max="15358" width="6.28515625" style="26" customWidth="1"/>
    <col min="15359" max="15602" width="11.7109375" style="26"/>
    <col min="15603" max="15603" width="8.28515625" style="26" customWidth="1"/>
    <col min="15604" max="15604" width="7.28515625" style="26" customWidth="1"/>
    <col min="15605" max="15606" width="7.7109375" style="26" customWidth="1"/>
    <col min="15607" max="15607" width="8.28515625" style="26" customWidth="1"/>
    <col min="15608" max="15608" width="7.7109375" style="26" customWidth="1"/>
    <col min="15609" max="15609" width="7.28515625" style="26" customWidth="1"/>
    <col min="15610" max="15610" width="7.7109375" style="26" customWidth="1"/>
    <col min="15611" max="15611" width="7.28515625" style="26" customWidth="1"/>
    <col min="15612" max="15612" width="10.28515625" style="26" customWidth="1"/>
    <col min="15613" max="15614" width="6.28515625" style="26" customWidth="1"/>
    <col min="15615" max="15858" width="11.7109375" style="26"/>
    <col min="15859" max="15859" width="8.28515625" style="26" customWidth="1"/>
    <col min="15860" max="15860" width="7.28515625" style="26" customWidth="1"/>
    <col min="15861" max="15862" width="7.7109375" style="26" customWidth="1"/>
    <col min="15863" max="15863" width="8.28515625" style="26" customWidth="1"/>
    <col min="15864" max="15864" width="7.7109375" style="26" customWidth="1"/>
    <col min="15865" max="15865" width="7.28515625" style="26" customWidth="1"/>
    <col min="15866" max="15866" width="7.7109375" style="26" customWidth="1"/>
    <col min="15867" max="15867" width="7.28515625" style="26" customWidth="1"/>
    <col min="15868" max="15868" width="10.28515625" style="26" customWidth="1"/>
    <col min="15869" max="15870" width="6.28515625" style="26" customWidth="1"/>
    <col min="15871" max="16114" width="11.7109375" style="26"/>
    <col min="16115" max="16115" width="8.28515625" style="26" customWidth="1"/>
    <col min="16116" max="16116" width="7.28515625" style="26" customWidth="1"/>
    <col min="16117" max="16118" width="7.7109375" style="26" customWidth="1"/>
    <col min="16119" max="16119" width="8.28515625" style="26" customWidth="1"/>
    <col min="16120" max="16120" width="7.7109375" style="26" customWidth="1"/>
    <col min="16121" max="16121" width="7.28515625" style="26" customWidth="1"/>
    <col min="16122" max="16122" width="7.7109375" style="26" customWidth="1"/>
    <col min="16123" max="16123" width="7.28515625" style="26" customWidth="1"/>
    <col min="16124" max="16124" width="10.28515625" style="26" customWidth="1"/>
    <col min="16125" max="16126" width="6.28515625" style="26" customWidth="1"/>
    <col min="16127" max="16384" width="11.7109375" style="26"/>
  </cols>
  <sheetData>
    <row r="1" spans="1:12" ht="12.75" customHeight="1" x14ac:dyDescent="0.3">
      <c r="A1" s="1" t="s">
        <v>28</v>
      </c>
      <c r="B1" s="22"/>
      <c r="C1" s="1"/>
      <c r="D1" s="1"/>
      <c r="E1" s="1"/>
      <c r="F1" s="1"/>
      <c r="G1" s="1"/>
      <c r="H1" s="1"/>
      <c r="I1" s="1"/>
      <c r="J1" s="22"/>
      <c r="K1" s="1"/>
      <c r="L1" s="1"/>
    </row>
    <row r="3" spans="1:12" ht="12.75" customHeight="1" x14ac:dyDescent="0.3">
      <c r="A3" s="502" t="s">
        <v>403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</row>
    <row r="4" spans="1:12" ht="12.75" customHeight="1" x14ac:dyDescent="0.3">
      <c r="A4" s="31"/>
      <c r="F4" s="32"/>
    </row>
    <row r="5" spans="1:12" s="33" customFormat="1" ht="18" customHeight="1" x14ac:dyDescent="0.25">
      <c r="A5" s="505" t="s">
        <v>27</v>
      </c>
      <c r="B5" s="508" t="s">
        <v>26</v>
      </c>
      <c r="C5" s="510" t="s">
        <v>25</v>
      </c>
      <c r="D5" s="512" t="s">
        <v>24</v>
      </c>
      <c r="E5" s="512" t="s">
        <v>23</v>
      </c>
      <c r="F5" s="510" t="s">
        <v>22</v>
      </c>
      <c r="G5" s="510" t="s">
        <v>21</v>
      </c>
      <c r="H5" s="512" t="s">
        <v>20</v>
      </c>
      <c r="I5" s="512" t="s">
        <v>19</v>
      </c>
      <c r="J5" s="513" t="s">
        <v>18</v>
      </c>
      <c r="K5" s="510" t="s">
        <v>17</v>
      </c>
      <c r="L5" s="510" t="s">
        <v>16</v>
      </c>
    </row>
    <row r="6" spans="1:12" s="33" customFormat="1" ht="18" customHeight="1" x14ac:dyDescent="0.25">
      <c r="A6" s="506"/>
      <c r="B6" s="509"/>
      <c r="C6" s="511"/>
      <c r="D6" s="511"/>
      <c r="E6" s="511"/>
      <c r="F6" s="511"/>
      <c r="G6" s="511"/>
      <c r="H6" s="511"/>
      <c r="I6" s="511"/>
      <c r="J6" s="514"/>
      <c r="K6" s="511"/>
      <c r="L6" s="511"/>
    </row>
    <row r="7" spans="1:12" ht="36" customHeight="1" x14ac:dyDescent="0.3">
      <c r="A7" s="507"/>
      <c r="B7" s="181" t="s">
        <v>13</v>
      </c>
      <c r="C7" s="182" t="s">
        <v>14</v>
      </c>
      <c r="D7" s="182" t="s">
        <v>15</v>
      </c>
      <c r="E7" s="182" t="s">
        <v>15</v>
      </c>
      <c r="F7" s="182" t="s">
        <v>15</v>
      </c>
      <c r="G7" s="182" t="s">
        <v>13</v>
      </c>
      <c r="H7" s="182" t="s">
        <v>13</v>
      </c>
      <c r="I7" s="182" t="s">
        <v>13</v>
      </c>
      <c r="J7" s="181" t="s">
        <v>14</v>
      </c>
      <c r="K7" s="182" t="s">
        <v>13</v>
      </c>
      <c r="L7" s="182" t="s">
        <v>13</v>
      </c>
    </row>
    <row r="8" spans="1:12" ht="12.75" hidden="1" customHeight="1" x14ac:dyDescent="0.3">
      <c r="A8" s="183"/>
      <c r="B8" s="185"/>
      <c r="C8" s="186"/>
      <c r="D8" s="186"/>
      <c r="E8" s="186"/>
      <c r="F8" s="187"/>
      <c r="G8" s="186"/>
      <c r="H8" s="186"/>
      <c r="I8" s="186"/>
      <c r="J8" s="185"/>
      <c r="K8" s="186"/>
      <c r="L8" s="186"/>
    </row>
    <row r="9" spans="1:12" ht="12.75" hidden="1" customHeight="1" x14ac:dyDescent="0.3">
      <c r="A9" s="184">
        <v>1993</v>
      </c>
      <c r="B9" s="188" t="s">
        <v>1</v>
      </c>
      <c r="C9" s="189">
        <v>7396</v>
      </c>
      <c r="D9" s="189">
        <v>27</v>
      </c>
      <c r="E9" s="189">
        <v>46</v>
      </c>
      <c r="F9" s="189">
        <v>1785</v>
      </c>
      <c r="G9" s="189">
        <v>1517</v>
      </c>
      <c r="H9" s="189" t="s">
        <v>5</v>
      </c>
      <c r="I9" s="189">
        <v>711</v>
      </c>
      <c r="J9" s="190">
        <v>158</v>
      </c>
      <c r="K9" s="189">
        <v>292</v>
      </c>
      <c r="L9" s="189" t="s">
        <v>1</v>
      </c>
    </row>
    <row r="10" spans="1:12" ht="12.75" hidden="1" customHeight="1" x14ac:dyDescent="0.3">
      <c r="A10" s="184">
        <v>1994</v>
      </c>
      <c r="B10" s="188" t="s">
        <v>5</v>
      </c>
      <c r="C10" s="189">
        <v>1542</v>
      </c>
      <c r="D10" s="189">
        <v>105</v>
      </c>
      <c r="E10" s="189">
        <v>23</v>
      </c>
      <c r="F10" s="189">
        <v>1474</v>
      </c>
      <c r="G10" s="189">
        <v>1930</v>
      </c>
      <c r="H10" s="189">
        <v>22</v>
      </c>
      <c r="I10" s="189" t="s">
        <v>1</v>
      </c>
      <c r="J10" s="190" t="s">
        <v>1</v>
      </c>
      <c r="K10" s="189">
        <v>54</v>
      </c>
      <c r="L10" s="189" t="s">
        <v>1</v>
      </c>
    </row>
    <row r="11" spans="1:12" ht="12.75" hidden="1" customHeight="1" x14ac:dyDescent="0.3">
      <c r="A11" s="184">
        <v>1995</v>
      </c>
      <c r="B11" s="190">
        <v>8</v>
      </c>
      <c r="C11" s="189">
        <v>4079</v>
      </c>
      <c r="D11" s="189">
        <v>768</v>
      </c>
      <c r="E11" s="189">
        <v>102</v>
      </c>
      <c r="F11" s="189">
        <v>2281</v>
      </c>
      <c r="G11" s="189">
        <v>1135</v>
      </c>
      <c r="H11" s="189">
        <v>77</v>
      </c>
      <c r="I11" s="189" t="s">
        <v>1</v>
      </c>
      <c r="J11" s="190">
        <v>257</v>
      </c>
      <c r="K11" s="189">
        <v>22</v>
      </c>
      <c r="L11" s="189" t="s">
        <v>1</v>
      </c>
    </row>
    <row r="12" spans="1:12" ht="12.75" hidden="1" customHeight="1" x14ac:dyDescent="0.3">
      <c r="A12" s="184">
        <v>1996</v>
      </c>
      <c r="B12" s="191" t="s">
        <v>5</v>
      </c>
      <c r="C12" s="189">
        <v>7286</v>
      </c>
      <c r="D12" s="189">
        <v>1163</v>
      </c>
      <c r="E12" s="189">
        <v>65</v>
      </c>
      <c r="F12" s="189">
        <v>2637</v>
      </c>
      <c r="G12" s="189">
        <v>1244</v>
      </c>
      <c r="H12" s="189" t="s">
        <v>1</v>
      </c>
      <c r="I12" s="189">
        <v>3</v>
      </c>
      <c r="J12" s="190">
        <v>316</v>
      </c>
      <c r="K12" s="189">
        <v>341</v>
      </c>
      <c r="L12" s="189">
        <v>64</v>
      </c>
    </row>
    <row r="13" spans="1:12" ht="12.75" hidden="1" customHeight="1" x14ac:dyDescent="0.3">
      <c r="A13" s="184">
        <v>1997</v>
      </c>
      <c r="B13" s="191" t="s">
        <v>5</v>
      </c>
      <c r="C13" s="189">
        <v>16003</v>
      </c>
      <c r="D13" s="189">
        <v>640</v>
      </c>
      <c r="E13" s="189">
        <v>40</v>
      </c>
      <c r="F13" s="189">
        <v>1693</v>
      </c>
      <c r="G13" s="189">
        <v>2070</v>
      </c>
      <c r="H13" s="189" t="s">
        <v>1</v>
      </c>
      <c r="I13" s="189">
        <v>5</v>
      </c>
      <c r="J13" s="190">
        <v>340</v>
      </c>
      <c r="K13" s="189">
        <v>673</v>
      </c>
      <c r="L13" s="189">
        <v>32</v>
      </c>
    </row>
    <row r="14" spans="1:12" ht="12.75" hidden="1" customHeight="1" x14ac:dyDescent="0.3">
      <c r="A14" s="184">
        <v>1998</v>
      </c>
      <c r="B14" s="191" t="s">
        <v>5</v>
      </c>
      <c r="C14" s="189">
        <v>1107</v>
      </c>
      <c r="D14" s="189">
        <v>349</v>
      </c>
      <c r="E14" s="189">
        <v>36</v>
      </c>
      <c r="F14" s="189">
        <v>746</v>
      </c>
      <c r="G14" s="189">
        <v>750</v>
      </c>
      <c r="H14" s="189">
        <v>13</v>
      </c>
      <c r="I14" s="189">
        <v>2</v>
      </c>
      <c r="J14" s="190">
        <v>115</v>
      </c>
      <c r="K14" s="189">
        <v>741</v>
      </c>
      <c r="L14" s="189" t="s">
        <v>5</v>
      </c>
    </row>
    <row r="15" spans="1:12" ht="12.75" hidden="1" customHeight="1" x14ac:dyDescent="0.3">
      <c r="A15" s="184">
        <v>1999</v>
      </c>
      <c r="B15" s="191" t="s">
        <v>5</v>
      </c>
      <c r="C15" s="189">
        <v>1730</v>
      </c>
      <c r="D15" s="189">
        <v>104</v>
      </c>
      <c r="E15" s="189">
        <v>2</v>
      </c>
      <c r="F15" s="189">
        <v>244</v>
      </c>
      <c r="G15" s="189" t="s">
        <v>11</v>
      </c>
      <c r="H15" s="189">
        <v>26</v>
      </c>
      <c r="I15" s="189" t="s">
        <v>11</v>
      </c>
      <c r="J15" s="190" t="s">
        <v>11</v>
      </c>
      <c r="K15" s="189">
        <v>636</v>
      </c>
      <c r="L15" s="189">
        <v>7</v>
      </c>
    </row>
    <row r="16" spans="1:12" ht="12.75" hidden="1" customHeight="1" x14ac:dyDescent="0.3">
      <c r="A16" s="184">
        <v>2000</v>
      </c>
      <c r="B16" s="191" t="s">
        <v>5</v>
      </c>
      <c r="C16" s="189">
        <v>397</v>
      </c>
      <c r="D16" s="189">
        <v>201</v>
      </c>
      <c r="E16" s="189">
        <v>37</v>
      </c>
      <c r="F16" s="189">
        <v>1725</v>
      </c>
      <c r="G16" s="189">
        <v>2682</v>
      </c>
      <c r="H16" s="189">
        <v>496</v>
      </c>
      <c r="I16" s="189">
        <v>4</v>
      </c>
      <c r="J16" s="190" t="s">
        <v>5</v>
      </c>
      <c r="K16" s="189">
        <v>614</v>
      </c>
      <c r="L16" s="189">
        <v>2</v>
      </c>
    </row>
    <row r="17" spans="1:12" ht="12.75" hidden="1" customHeight="1" x14ac:dyDescent="0.3">
      <c r="A17" s="184">
        <v>2001</v>
      </c>
      <c r="B17" s="191" t="s">
        <v>5</v>
      </c>
      <c r="C17" s="189">
        <v>3911</v>
      </c>
      <c r="D17" s="189">
        <v>2903</v>
      </c>
      <c r="E17" s="189">
        <v>196</v>
      </c>
      <c r="F17" s="189">
        <v>91772</v>
      </c>
      <c r="G17" s="189">
        <v>30</v>
      </c>
      <c r="H17" s="189">
        <v>850</v>
      </c>
      <c r="I17" s="189" t="s">
        <v>5</v>
      </c>
      <c r="J17" s="190" t="s">
        <v>5</v>
      </c>
      <c r="K17" s="189">
        <v>363</v>
      </c>
      <c r="L17" s="189">
        <v>32</v>
      </c>
    </row>
    <row r="18" spans="1:12" ht="12.75" hidden="1" customHeight="1" x14ac:dyDescent="0.3">
      <c r="A18" s="184">
        <v>2002</v>
      </c>
      <c r="B18" s="190" t="s">
        <v>5</v>
      </c>
      <c r="C18" s="189">
        <v>9145</v>
      </c>
      <c r="D18" s="189">
        <v>1601</v>
      </c>
      <c r="E18" s="189">
        <v>259</v>
      </c>
      <c r="F18" s="189">
        <v>4244</v>
      </c>
      <c r="G18" s="189" t="s">
        <v>1</v>
      </c>
      <c r="H18" s="189">
        <v>814</v>
      </c>
      <c r="I18" s="189" t="s">
        <v>5</v>
      </c>
      <c r="J18" s="190" t="s">
        <v>12</v>
      </c>
      <c r="K18" s="189">
        <v>154</v>
      </c>
      <c r="L18" s="189">
        <v>8</v>
      </c>
    </row>
    <row r="19" spans="1:12" ht="12.75" hidden="1" customHeight="1" x14ac:dyDescent="0.3">
      <c r="A19" s="184">
        <v>2003</v>
      </c>
      <c r="B19" s="190" t="s">
        <v>1</v>
      </c>
      <c r="C19" s="189">
        <v>11805</v>
      </c>
      <c r="D19" s="189">
        <v>614</v>
      </c>
      <c r="E19" s="189">
        <v>239</v>
      </c>
      <c r="F19" s="189">
        <v>4706</v>
      </c>
      <c r="G19" s="189">
        <v>2215</v>
      </c>
      <c r="H19" s="189">
        <v>806</v>
      </c>
      <c r="I19" s="189" t="s">
        <v>5</v>
      </c>
      <c r="J19" s="190" t="s">
        <v>5</v>
      </c>
      <c r="K19" s="189">
        <v>113</v>
      </c>
      <c r="L19" s="189">
        <v>45</v>
      </c>
    </row>
    <row r="20" spans="1:12" ht="12.75" hidden="1" customHeight="1" x14ac:dyDescent="0.3">
      <c r="A20" s="184">
        <v>2004</v>
      </c>
      <c r="B20" s="190" t="s">
        <v>5</v>
      </c>
      <c r="C20" s="189">
        <v>5948</v>
      </c>
      <c r="D20" s="189">
        <v>552</v>
      </c>
      <c r="E20" s="189">
        <v>228</v>
      </c>
      <c r="F20" s="189">
        <v>3559</v>
      </c>
      <c r="G20" s="189">
        <v>967</v>
      </c>
      <c r="H20" s="189">
        <v>780</v>
      </c>
      <c r="I20" s="189" t="s">
        <v>5</v>
      </c>
      <c r="J20" s="190" t="s">
        <v>5</v>
      </c>
      <c r="K20" s="189">
        <v>119</v>
      </c>
      <c r="L20" s="189">
        <v>34</v>
      </c>
    </row>
    <row r="21" spans="1:12" ht="12.75" hidden="1" customHeight="1" x14ac:dyDescent="0.3">
      <c r="A21" s="184">
        <v>2006</v>
      </c>
      <c r="B21" s="190" t="s">
        <v>5</v>
      </c>
      <c r="C21" s="189">
        <v>5320</v>
      </c>
      <c r="D21" s="189">
        <v>540</v>
      </c>
      <c r="E21" s="189">
        <v>308</v>
      </c>
      <c r="F21" s="189">
        <v>4962</v>
      </c>
      <c r="G21" s="189">
        <v>4629</v>
      </c>
      <c r="H21" s="189">
        <v>1236</v>
      </c>
      <c r="I21" s="189" t="s">
        <v>5</v>
      </c>
      <c r="J21" s="190" t="s">
        <v>5</v>
      </c>
      <c r="K21" s="189">
        <v>85</v>
      </c>
      <c r="L21" s="189">
        <v>39</v>
      </c>
    </row>
    <row r="22" spans="1:12" ht="15.95" customHeight="1" x14ac:dyDescent="0.3">
      <c r="A22" s="184">
        <v>2007</v>
      </c>
      <c r="B22" s="190" t="s">
        <v>5</v>
      </c>
      <c r="C22" s="189">
        <v>5177.09</v>
      </c>
      <c r="D22" s="189">
        <v>772.23</v>
      </c>
      <c r="E22" s="189">
        <v>541.03</v>
      </c>
      <c r="F22" s="189">
        <v>14476.794</v>
      </c>
      <c r="G22" s="189">
        <v>5095.567</v>
      </c>
      <c r="H22" s="189">
        <v>917.06</v>
      </c>
      <c r="I22" s="189">
        <v>0.6</v>
      </c>
      <c r="J22" s="190" t="s">
        <v>5</v>
      </c>
      <c r="K22" s="189">
        <v>30.75</v>
      </c>
      <c r="L22" s="189">
        <v>65.147999999999996</v>
      </c>
    </row>
    <row r="23" spans="1:12" ht="15.95" customHeight="1" x14ac:dyDescent="0.3">
      <c r="A23" s="184">
        <v>2008</v>
      </c>
      <c r="B23" s="190" t="s">
        <v>5</v>
      </c>
      <c r="C23" s="189">
        <v>2032.35</v>
      </c>
      <c r="D23" s="189">
        <v>683.72299999999996</v>
      </c>
      <c r="E23" s="189">
        <v>362.20699999999999</v>
      </c>
      <c r="F23" s="189">
        <v>4809.2089999999998</v>
      </c>
      <c r="G23" s="189">
        <v>5706.4979999999996</v>
      </c>
      <c r="H23" s="189">
        <v>1368.24</v>
      </c>
      <c r="I23" s="189">
        <v>0.7</v>
      </c>
      <c r="J23" s="190" t="s">
        <v>5</v>
      </c>
      <c r="K23" s="189" t="s">
        <v>5</v>
      </c>
      <c r="L23" s="189">
        <v>26.338000000000001</v>
      </c>
    </row>
    <row r="24" spans="1:12" ht="15.95" customHeight="1" x14ac:dyDescent="0.3">
      <c r="A24" s="184">
        <v>2009</v>
      </c>
      <c r="B24" s="190" t="s">
        <v>5</v>
      </c>
      <c r="C24" s="189">
        <v>2094.3000000000002</v>
      </c>
      <c r="D24" s="189">
        <v>711.85500000000002</v>
      </c>
      <c r="E24" s="189">
        <v>428.56700000000001</v>
      </c>
      <c r="F24" s="189">
        <v>4611.8789999999999</v>
      </c>
      <c r="G24" s="189">
        <v>6231.27</v>
      </c>
      <c r="H24" s="189">
        <v>349.07499999999999</v>
      </c>
      <c r="I24" s="189">
        <v>0.86399999999999999</v>
      </c>
      <c r="J24" s="190" t="s">
        <v>5</v>
      </c>
      <c r="K24" s="189" t="s">
        <v>5</v>
      </c>
      <c r="L24" s="189">
        <v>97.322000000000003</v>
      </c>
    </row>
    <row r="25" spans="1:12" ht="15.95" customHeight="1" x14ac:dyDescent="0.3">
      <c r="A25" s="184">
        <v>2010</v>
      </c>
      <c r="B25" s="190" t="s">
        <v>5</v>
      </c>
      <c r="C25" s="189">
        <v>2323.5140000000001</v>
      </c>
      <c r="D25" s="189">
        <v>882.721</v>
      </c>
      <c r="E25" s="189">
        <v>521.71510000000001</v>
      </c>
      <c r="F25" s="189">
        <v>5511.6819999999998</v>
      </c>
      <c r="G25" s="189">
        <v>3817.7227000000003</v>
      </c>
      <c r="H25" s="189">
        <v>981.97299999999996</v>
      </c>
      <c r="I25" s="189" t="s">
        <v>5</v>
      </c>
      <c r="J25" s="190" t="s">
        <v>5</v>
      </c>
      <c r="K25" s="189" t="s">
        <v>5</v>
      </c>
      <c r="L25" s="189">
        <v>42.98</v>
      </c>
    </row>
    <row r="26" spans="1:12" ht="15.95" customHeight="1" x14ac:dyDescent="0.3">
      <c r="A26" s="184">
        <v>2011</v>
      </c>
      <c r="B26" s="190" t="s">
        <v>5</v>
      </c>
      <c r="C26" s="189">
        <v>1448.7639899999999</v>
      </c>
      <c r="D26" s="189">
        <v>736.79</v>
      </c>
      <c r="E26" s="189">
        <v>444.78399999999999</v>
      </c>
      <c r="F26" s="189">
        <v>5022.5050000000001</v>
      </c>
      <c r="G26" s="189">
        <v>8372.3202070000025</v>
      </c>
      <c r="H26" s="189">
        <v>1026.915</v>
      </c>
      <c r="I26" s="189">
        <v>1.9</v>
      </c>
      <c r="J26" s="190" t="s">
        <v>5</v>
      </c>
      <c r="K26" s="189" t="s">
        <v>5</v>
      </c>
      <c r="L26" s="189">
        <v>58.628</v>
      </c>
    </row>
    <row r="27" spans="1:12" ht="15.95" customHeight="1" x14ac:dyDescent="0.3">
      <c r="A27" s="184" t="s">
        <v>10</v>
      </c>
      <c r="B27" s="190" t="s">
        <v>1</v>
      </c>
      <c r="C27" s="189">
        <v>675.9</v>
      </c>
      <c r="D27" s="189">
        <v>716.93</v>
      </c>
      <c r="E27" s="189">
        <v>729.68</v>
      </c>
      <c r="F27" s="189">
        <v>4448.28413</v>
      </c>
      <c r="G27" s="189">
        <v>5462.0585000000001</v>
      </c>
      <c r="H27" s="189">
        <v>929.23800000000006</v>
      </c>
      <c r="I27" s="189">
        <v>1.3795500000000001</v>
      </c>
      <c r="J27" s="190" t="s">
        <v>5</v>
      </c>
      <c r="K27" s="189" t="s">
        <v>5</v>
      </c>
      <c r="L27" s="189">
        <v>5.4359999999999999</v>
      </c>
    </row>
    <row r="28" spans="1:12" ht="15.95" customHeight="1" x14ac:dyDescent="0.3">
      <c r="A28" s="184" t="s">
        <v>9</v>
      </c>
      <c r="B28" s="190" t="s">
        <v>1</v>
      </c>
      <c r="C28" s="189">
        <v>921.83600000000001</v>
      </c>
      <c r="D28" s="189">
        <v>397.95</v>
      </c>
      <c r="E28" s="189">
        <v>677.33399999999995</v>
      </c>
      <c r="F28" s="189">
        <v>3020.7827900000002</v>
      </c>
      <c r="G28" s="189">
        <v>4978.1071600000005</v>
      </c>
      <c r="H28" s="189">
        <v>729.66099999999994</v>
      </c>
      <c r="I28" s="189">
        <v>1.1200000000000001</v>
      </c>
      <c r="J28" s="190" t="s">
        <v>5</v>
      </c>
      <c r="K28" s="189" t="s">
        <v>5</v>
      </c>
      <c r="L28" s="189">
        <v>20.501999999999999</v>
      </c>
    </row>
    <row r="29" spans="1:12" ht="15.95" customHeight="1" x14ac:dyDescent="0.3">
      <c r="A29" s="184" t="s">
        <v>8</v>
      </c>
      <c r="B29" s="190" t="s">
        <v>1</v>
      </c>
      <c r="C29" s="189">
        <v>396.61990000000003</v>
      </c>
      <c r="D29" s="189">
        <v>489.53</v>
      </c>
      <c r="E29" s="189">
        <v>728.18948999999998</v>
      </c>
      <c r="F29" s="189">
        <v>2749.0396320000004</v>
      </c>
      <c r="G29" s="189">
        <v>4695.8829999999998</v>
      </c>
      <c r="H29" s="189">
        <v>580.99300000000005</v>
      </c>
      <c r="I29" s="189">
        <v>0.876</v>
      </c>
      <c r="J29" s="190" t="s">
        <v>5</v>
      </c>
      <c r="K29" s="189" t="s">
        <v>5</v>
      </c>
      <c r="L29" s="189">
        <v>46.765000000000001</v>
      </c>
    </row>
    <row r="30" spans="1:12" ht="15.95" customHeight="1" x14ac:dyDescent="0.3">
      <c r="A30" s="184" t="s">
        <v>7</v>
      </c>
      <c r="B30" s="190" t="s">
        <v>1</v>
      </c>
      <c r="C30" s="189">
        <v>572.93098999999995</v>
      </c>
      <c r="D30" s="189">
        <v>398.80500000000001</v>
      </c>
      <c r="E30" s="189">
        <v>81.067999999999998</v>
      </c>
      <c r="F30" s="189">
        <v>2570.9370320000003</v>
      </c>
      <c r="G30" s="189">
        <v>5420.8757999999998</v>
      </c>
      <c r="H30" s="189">
        <v>955.49599999999998</v>
      </c>
      <c r="I30" s="189">
        <v>3.0581999999999998</v>
      </c>
      <c r="J30" s="190" t="s">
        <v>5</v>
      </c>
      <c r="K30" s="189" t="s">
        <v>5</v>
      </c>
      <c r="L30" s="189">
        <v>19.2</v>
      </c>
    </row>
    <row r="31" spans="1:12" ht="15.95" customHeight="1" x14ac:dyDescent="0.3">
      <c r="A31" s="184" t="s">
        <v>6</v>
      </c>
      <c r="B31" s="192" t="s">
        <v>1</v>
      </c>
      <c r="C31" s="193">
        <v>269</v>
      </c>
      <c r="D31" s="193">
        <v>94</v>
      </c>
      <c r="E31" s="193">
        <v>18</v>
      </c>
      <c r="F31" s="193">
        <v>1259</v>
      </c>
      <c r="G31" s="193">
        <v>9791</v>
      </c>
      <c r="H31" s="193">
        <v>663</v>
      </c>
      <c r="I31" s="193" t="s">
        <v>5</v>
      </c>
      <c r="J31" s="192" t="s">
        <v>5</v>
      </c>
      <c r="K31" s="193" t="s">
        <v>5</v>
      </c>
      <c r="L31" s="193">
        <v>3</v>
      </c>
    </row>
    <row r="32" spans="1:12" ht="15.95" customHeight="1" x14ac:dyDescent="0.3">
      <c r="A32" s="184" t="s">
        <v>4</v>
      </c>
      <c r="B32" s="192" t="s">
        <v>1</v>
      </c>
      <c r="C32" s="194">
        <v>335.29329999999993</v>
      </c>
      <c r="D32" s="194">
        <v>135.4</v>
      </c>
      <c r="E32" s="194">
        <v>220.6723785714286</v>
      </c>
      <c r="F32" s="194">
        <v>1162.545379214286</v>
      </c>
      <c r="G32" s="194">
        <v>7685.8854231785735</v>
      </c>
      <c r="H32" s="194">
        <v>802.39939285714286</v>
      </c>
      <c r="I32" s="194" t="s">
        <v>1</v>
      </c>
      <c r="J32" s="195" t="s">
        <v>1</v>
      </c>
      <c r="K32" s="194" t="s">
        <v>1</v>
      </c>
      <c r="L32" s="194">
        <v>27.520333333333333</v>
      </c>
    </row>
    <row r="33" spans="1:12" ht="15.95" customHeight="1" x14ac:dyDescent="0.3">
      <c r="A33" s="184" t="s">
        <v>3</v>
      </c>
      <c r="B33" s="192" t="s">
        <v>1</v>
      </c>
      <c r="C33" s="193">
        <v>117</v>
      </c>
      <c r="D33" s="193">
        <v>42</v>
      </c>
      <c r="E33" s="193">
        <v>168</v>
      </c>
      <c r="F33" s="193">
        <v>610</v>
      </c>
      <c r="G33" s="193">
        <v>8557</v>
      </c>
      <c r="H33" s="193">
        <v>808</v>
      </c>
      <c r="I33" s="193">
        <v>3</v>
      </c>
      <c r="J33" s="192" t="s">
        <v>1</v>
      </c>
      <c r="K33" s="193" t="s">
        <v>1</v>
      </c>
      <c r="L33" s="193">
        <v>14</v>
      </c>
    </row>
    <row r="34" spans="1:12" ht="15.95" customHeight="1" x14ac:dyDescent="0.3">
      <c r="A34" s="184" t="s">
        <v>2</v>
      </c>
      <c r="B34" s="192" t="s">
        <v>1</v>
      </c>
      <c r="C34" s="193">
        <v>159.82400000000001</v>
      </c>
      <c r="D34" s="193">
        <v>3.5830000000000002</v>
      </c>
      <c r="E34" s="193">
        <v>537.51599999999996</v>
      </c>
      <c r="F34" s="193">
        <v>1459.501</v>
      </c>
      <c r="G34" s="193">
        <v>3555.4887079999999</v>
      </c>
      <c r="H34" s="193">
        <v>8.6</v>
      </c>
      <c r="I34" s="193" t="s">
        <v>1</v>
      </c>
      <c r="J34" s="192" t="s">
        <v>1</v>
      </c>
      <c r="K34" s="193" t="s">
        <v>1</v>
      </c>
      <c r="L34" s="193">
        <v>19.430400000000002</v>
      </c>
    </row>
    <row r="35" spans="1:12" ht="15.95" customHeight="1" x14ac:dyDescent="0.3">
      <c r="A35" s="184" t="s">
        <v>321</v>
      </c>
      <c r="B35" s="192" t="s">
        <v>1</v>
      </c>
      <c r="C35" s="193">
        <v>238</v>
      </c>
      <c r="D35" s="193">
        <v>1</v>
      </c>
      <c r="E35" s="193">
        <v>110</v>
      </c>
      <c r="F35" s="193">
        <v>1589</v>
      </c>
      <c r="G35" s="193">
        <v>1352</v>
      </c>
      <c r="H35" s="193">
        <v>1205</v>
      </c>
      <c r="I35" s="193" t="s">
        <v>1</v>
      </c>
      <c r="J35" s="192" t="s">
        <v>1</v>
      </c>
      <c r="K35" s="193" t="s">
        <v>1</v>
      </c>
      <c r="L35" s="193" t="s">
        <v>1</v>
      </c>
    </row>
    <row r="36" spans="1:12" ht="15.95" customHeight="1" x14ac:dyDescent="0.3">
      <c r="A36" s="196" t="s">
        <v>310</v>
      </c>
      <c r="B36" s="197"/>
      <c r="C36" s="198">
        <v>23.045999999999999</v>
      </c>
      <c r="D36" s="198" t="s">
        <v>1</v>
      </c>
      <c r="E36" s="198">
        <v>63.755000000000003</v>
      </c>
      <c r="F36" s="198">
        <v>1962.181</v>
      </c>
      <c r="G36" s="198">
        <v>3334.8682379999982</v>
      </c>
      <c r="H36" s="198">
        <v>508.54300000000001</v>
      </c>
      <c r="I36" s="198" t="s">
        <v>1</v>
      </c>
      <c r="J36" s="197" t="s">
        <v>1</v>
      </c>
      <c r="K36" s="198" t="s">
        <v>1</v>
      </c>
      <c r="L36" s="198">
        <v>6.5037000000000003</v>
      </c>
    </row>
    <row r="37" spans="1:12" s="12" customFormat="1" ht="12" customHeight="1" x14ac:dyDescent="0.25">
      <c r="A37" s="125" t="s">
        <v>0</v>
      </c>
      <c r="B37" s="100"/>
      <c r="C37" s="101"/>
      <c r="D37" s="101"/>
      <c r="E37" s="101"/>
      <c r="F37" s="101"/>
      <c r="G37" s="101"/>
      <c r="H37" s="101"/>
      <c r="I37" s="101"/>
      <c r="J37" s="100"/>
      <c r="K37" s="101"/>
      <c r="L37" s="101"/>
    </row>
    <row r="39" spans="1:12" s="34" customFormat="1" ht="12.75" customHeight="1" x14ac:dyDescent="0.25">
      <c r="A39" s="502" t="s">
        <v>402</v>
      </c>
      <c r="B39" s="502"/>
      <c r="C39" s="502"/>
      <c r="D39" s="502"/>
      <c r="E39" s="502"/>
      <c r="F39" s="502"/>
      <c r="G39" s="502"/>
      <c r="H39" s="502"/>
      <c r="I39" s="502"/>
      <c r="J39" s="502"/>
    </row>
    <row r="40" spans="1:12" s="34" customFormat="1" ht="12.75" customHeight="1" x14ac:dyDescent="0.25">
      <c r="A40" s="35"/>
      <c r="B40" s="35"/>
      <c r="C40" s="35"/>
      <c r="D40" s="35"/>
      <c r="G40" s="36"/>
    </row>
    <row r="41" spans="1:12" s="34" customFormat="1" ht="48.75" customHeight="1" x14ac:dyDescent="0.25">
      <c r="A41" s="503" t="s">
        <v>27</v>
      </c>
      <c r="B41" s="199" t="s">
        <v>37</v>
      </c>
      <c r="C41" s="200" t="s">
        <v>39</v>
      </c>
      <c r="D41" s="201" t="s">
        <v>38</v>
      </c>
      <c r="E41" s="201" t="s">
        <v>36</v>
      </c>
      <c r="F41" s="201" t="s">
        <v>35</v>
      </c>
      <c r="G41" s="201" t="s">
        <v>34</v>
      </c>
      <c r="H41" s="201" t="s">
        <v>33</v>
      </c>
      <c r="I41" s="201" t="s">
        <v>32</v>
      </c>
    </row>
    <row r="42" spans="1:12" s="34" customFormat="1" ht="18" customHeight="1" x14ac:dyDescent="0.25">
      <c r="A42" s="504"/>
      <c r="B42" s="202" t="s">
        <v>30</v>
      </c>
      <c r="C42" s="203" t="s">
        <v>30</v>
      </c>
      <c r="D42" s="204" t="s">
        <v>30</v>
      </c>
      <c r="E42" s="204" t="s">
        <v>30</v>
      </c>
      <c r="F42" s="204" t="s">
        <v>31</v>
      </c>
      <c r="G42" s="204" t="s">
        <v>30</v>
      </c>
      <c r="H42" s="204" t="s">
        <v>29</v>
      </c>
      <c r="I42" s="204" t="s">
        <v>29</v>
      </c>
    </row>
    <row r="43" spans="1:12" s="34" customFormat="1" ht="12.75" hidden="1" customHeight="1" x14ac:dyDescent="0.25">
      <c r="A43" s="205"/>
      <c r="B43" s="210"/>
      <c r="C43" s="211"/>
      <c r="D43" s="211"/>
      <c r="E43" s="211"/>
      <c r="F43" s="211"/>
      <c r="G43" s="211"/>
      <c r="H43" s="211"/>
      <c r="I43" s="211"/>
    </row>
    <row r="44" spans="1:12" s="34" customFormat="1" ht="12.75" hidden="1" customHeight="1" x14ac:dyDescent="0.25">
      <c r="A44" s="206">
        <v>1993</v>
      </c>
      <c r="B44" s="212">
        <v>3460</v>
      </c>
      <c r="C44" s="213">
        <v>250</v>
      </c>
      <c r="D44" s="213">
        <v>247</v>
      </c>
      <c r="E44" s="213">
        <v>46620</v>
      </c>
      <c r="F44" s="213">
        <v>5915</v>
      </c>
      <c r="G44" s="213" t="s">
        <v>1</v>
      </c>
      <c r="H44" s="213">
        <v>952</v>
      </c>
      <c r="I44" s="213">
        <v>10</v>
      </c>
    </row>
    <row r="45" spans="1:12" s="34" customFormat="1" ht="12.75" hidden="1" customHeight="1" x14ac:dyDescent="0.25">
      <c r="A45" s="206">
        <v>1994</v>
      </c>
      <c r="B45" s="212">
        <v>2800</v>
      </c>
      <c r="C45" s="213">
        <v>14070</v>
      </c>
      <c r="D45" s="213">
        <v>21405</v>
      </c>
      <c r="E45" s="213" t="s">
        <v>1</v>
      </c>
      <c r="F45" s="213">
        <v>6917</v>
      </c>
      <c r="G45" s="213" t="s">
        <v>1</v>
      </c>
      <c r="H45" s="213">
        <v>2124</v>
      </c>
      <c r="I45" s="213">
        <v>294</v>
      </c>
    </row>
    <row r="46" spans="1:12" s="34" customFormat="1" ht="12.75" hidden="1" customHeight="1" x14ac:dyDescent="0.25">
      <c r="A46" s="206">
        <v>1995</v>
      </c>
      <c r="B46" s="212">
        <v>380</v>
      </c>
      <c r="C46" s="213">
        <v>11741</v>
      </c>
      <c r="D46" s="213">
        <v>25168</v>
      </c>
      <c r="E46" s="213">
        <v>24000</v>
      </c>
      <c r="F46" s="213">
        <v>3917</v>
      </c>
      <c r="G46" s="213">
        <v>2080</v>
      </c>
      <c r="H46" s="213">
        <v>1245</v>
      </c>
      <c r="I46" s="213">
        <v>437</v>
      </c>
    </row>
    <row r="47" spans="1:12" s="34" customFormat="1" ht="12.75" hidden="1" customHeight="1" x14ac:dyDescent="0.25">
      <c r="A47" s="206">
        <v>1996</v>
      </c>
      <c r="B47" s="212" t="s">
        <v>1</v>
      </c>
      <c r="C47" s="213">
        <v>13568</v>
      </c>
      <c r="D47" s="213">
        <v>30870</v>
      </c>
      <c r="E47" s="214">
        <v>53520</v>
      </c>
      <c r="F47" s="213">
        <v>562</v>
      </c>
      <c r="G47" s="213">
        <v>1820</v>
      </c>
      <c r="H47" s="213">
        <v>1980</v>
      </c>
      <c r="I47" s="213">
        <v>694</v>
      </c>
    </row>
    <row r="48" spans="1:12" s="34" customFormat="1" ht="12.75" hidden="1" customHeight="1" x14ac:dyDescent="0.25">
      <c r="A48" s="206">
        <v>1997</v>
      </c>
      <c r="B48" s="212" t="s">
        <v>1</v>
      </c>
      <c r="C48" s="213">
        <v>9219</v>
      </c>
      <c r="D48" s="213">
        <v>3929</v>
      </c>
      <c r="E48" s="213">
        <v>150669</v>
      </c>
      <c r="F48" s="213">
        <v>2338</v>
      </c>
      <c r="G48" s="213">
        <v>420</v>
      </c>
      <c r="H48" s="213">
        <v>5441</v>
      </c>
      <c r="I48" s="213">
        <v>211</v>
      </c>
    </row>
    <row r="49" spans="1:9" s="34" customFormat="1" ht="12.75" hidden="1" customHeight="1" x14ac:dyDescent="0.25">
      <c r="A49" s="206">
        <v>1998</v>
      </c>
      <c r="B49" s="212" t="s">
        <v>1</v>
      </c>
      <c r="C49" s="213">
        <v>15785</v>
      </c>
      <c r="D49" s="213">
        <v>760</v>
      </c>
      <c r="E49" s="213">
        <v>76997</v>
      </c>
      <c r="F49" s="213">
        <v>36579</v>
      </c>
      <c r="G49" s="213">
        <v>7324</v>
      </c>
      <c r="H49" s="213">
        <v>4504</v>
      </c>
      <c r="I49" s="213">
        <v>470</v>
      </c>
    </row>
    <row r="50" spans="1:9" s="34" customFormat="1" ht="12.75" hidden="1" customHeight="1" x14ac:dyDescent="0.25">
      <c r="A50" s="206">
        <v>1999</v>
      </c>
      <c r="B50" s="212" t="s">
        <v>1</v>
      </c>
      <c r="C50" s="213">
        <v>3910</v>
      </c>
      <c r="D50" s="213">
        <v>6060</v>
      </c>
      <c r="E50" s="213">
        <v>71000</v>
      </c>
      <c r="F50" s="213">
        <v>46833</v>
      </c>
      <c r="G50" s="213" t="s">
        <v>1</v>
      </c>
      <c r="H50" s="213">
        <v>2906</v>
      </c>
      <c r="I50" s="213">
        <v>536</v>
      </c>
    </row>
    <row r="51" spans="1:9" s="34" customFormat="1" ht="12.75" hidden="1" customHeight="1" x14ac:dyDescent="0.25">
      <c r="A51" s="206">
        <v>2000</v>
      </c>
      <c r="B51" s="212" t="s">
        <v>1</v>
      </c>
      <c r="C51" s="213">
        <v>4705</v>
      </c>
      <c r="D51" s="213">
        <v>7916</v>
      </c>
      <c r="E51" s="213">
        <v>87783</v>
      </c>
      <c r="F51" s="213">
        <v>27659</v>
      </c>
      <c r="G51" s="213">
        <v>2125</v>
      </c>
      <c r="H51" s="213">
        <v>2750</v>
      </c>
      <c r="I51" s="213">
        <v>439</v>
      </c>
    </row>
    <row r="52" spans="1:9" s="34" customFormat="1" ht="12.75" hidden="1" customHeight="1" x14ac:dyDescent="0.25">
      <c r="A52" s="206">
        <v>2001</v>
      </c>
      <c r="B52" s="212" t="s">
        <v>1</v>
      </c>
      <c r="C52" s="213">
        <v>5409</v>
      </c>
      <c r="D52" s="213">
        <v>500</v>
      </c>
      <c r="E52" s="213">
        <v>51106</v>
      </c>
      <c r="F52" s="213">
        <v>2033</v>
      </c>
      <c r="G52" s="213" t="s">
        <v>1</v>
      </c>
      <c r="H52" s="213">
        <v>7155</v>
      </c>
      <c r="I52" s="213">
        <v>443</v>
      </c>
    </row>
    <row r="53" spans="1:9" s="34" customFormat="1" ht="12.75" hidden="1" customHeight="1" x14ac:dyDescent="0.25">
      <c r="A53" s="206">
        <v>2002</v>
      </c>
      <c r="B53" s="212" t="s">
        <v>1</v>
      </c>
      <c r="C53" s="213">
        <v>8660</v>
      </c>
      <c r="D53" s="213">
        <v>6040</v>
      </c>
      <c r="E53" s="213">
        <v>151246</v>
      </c>
      <c r="F53" s="213">
        <v>9440</v>
      </c>
      <c r="G53" s="213" t="s">
        <v>1</v>
      </c>
      <c r="H53" s="213">
        <v>10074</v>
      </c>
      <c r="I53" s="213">
        <v>211</v>
      </c>
    </row>
    <row r="54" spans="1:9" s="34" customFormat="1" ht="12.75" hidden="1" customHeight="1" x14ac:dyDescent="0.25">
      <c r="A54" s="206">
        <v>2003</v>
      </c>
      <c r="B54" s="212" t="s">
        <v>1</v>
      </c>
      <c r="C54" s="213">
        <v>8410</v>
      </c>
      <c r="D54" s="213">
        <v>3150</v>
      </c>
      <c r="E54" s="213">
        <v>56149</v>
      </c>
      <c r="F54" s="213">
        <v>2868</v>
      </c>
      <c r="G54" s="213" t="s">
        <v>1</v>
      </c>
      <c r="H54" s="213">
        <v>13264</v>
      </c>
      <c r="I54" s="213">
        <v>142</v>
      </c>
    </row>
    <row r="55" spans="1:9" s="34" customFormat="1" ht="12.75" hidden="1" customHeight="1" x14ac:dyDescent="0.25">
      <c r="A55" s="206">
        <v>2004</v>
      </c>
      <c r="B55" s="212" t="s">
        <v>1</v>
      </c>
      <c r="C55" s="213">
        <v>3830</v>
      </c>
      <c r="D55" s="213">
        <v>8248</v>
      </c>
      <c r="E55" s="213">
        <v>121490</v>
      </c>
      <c r="F55" s="213">
        <v>6358</v>
      </c>
      <c r="G55" s="213">
        <v>300</v>
      </c>
      <c r="H55" s="213">
        <v>13886</v>
      </c>
      <c r="I55" s="213">
        <v>323</v>
      </c>
    </row>
    <row r="56" spans="1:9" s="34" customFormat="1" ht="12.75" hidden="1" customHeight="1" x14ac:dyDescent="0.25">
      <c r="A56" s="207">
        <v>2006</v>
      </c>
      <c r="B56" s="212" t="s">
        <v>1</v>
      </c>
      <c r="C56" s="213">
        <v>1400</v>
      </c>
      <c r="D56" s="213">
        <v>15500</v>
      </c>
      <c r="E56" s="213">
        <v>146224</v>
      </c>
      <c r="F56" s="213">
        <v>6612</v>
      </c>
      <c r="G56" s="213" t="s">
        <v>1</v>
      </c>
      <c r="H56" s="213">
        <v>24571</v>
      </c>
      <c r="I56" s="213">
        <v>259</v>
      </c>
    </row>
    <row r="57" spans="1:9" s="34" customFormat="1" ht="15.95" customHeight="1" x14ac:dyDescent="0.25">
      <c r="A57" s="207">
        <v>2007</v>
      </c>
      <c r="B57" s="212" t="s">
        <v>1</v>
      </c>
      <c r="C57" s="213">
        <v>4700</v>
      </c>
      <c r="D57" s="213">
        <v>16510</v>
      </c>
      <c r="E57" s="213">
        <v>211947</v>
      </c>
      <c r="F57" s="213">
        <v>8450</v>
      </c>
      <c r="G57" s="213" t="s">
        <v>1</v>
      </c>
      <c r="H57" s="213">
        <v>24546.952202</v>
      </c>
      <c r="I57" s="213">
        <v>169.38920000000002</v>
      </c>
    </row>
    <row r="58" spans="1:9" s="34" customFormat="1" ht="15.95" customHeight="1" x14ac:dyDescent="0.25">
      <c r="A58" s="208">
        <v>2008</v>
      </c>
      <c r="B58" s="212" t="s">
        <v>1</v>
      </c>
      <c r="C58" s="213">
        <v>13300</v>
      </c>
      <c r="D58" s="213">
        <v>5500</v>
      </c>
      <c r="E58" s="213">
        <v>216860</v>
      </c>
      <c r="F58" s="213">
        <v>11285</v>
      </c>
      <c r="G58" s="213" t="s">
        <v>1</v>
      </c>
      <c r="H58" s="213">
        <v>23095.866999999998</v>
      </c>
      <c r="I58" s="213">
        <v>219.07</v>
      </c>
    </row>
    <row r="59" spans="1:9" s="34" customFormat="1" ht="15.95" customHeight="1" x14ac:dyDescent="0.25">
      <c r="A59" s="208">
        <v>2009</v>
      </c>
      <c r="B59" s="212" t="s">
        <v>1</v>
      </c>
      <c r="C59" s="213">
        <v>4000</v>
      </c>
      <c r="D59" s="213">
        <v>2200</v>
      </c>
      <c r="E59" s="213">
        <v>126936</v>
      </c>
      <c r="F59" s="213">
        <v>13651</v>
      </c>
      <c r="G59" s="213" t="s">
        <v>1</v>
      </c>
      <c r="H59" s="213">
        <v>21076</v>
      </c>
      <c r="I59" s="213">
        <v>226.57499999999999</v>
      </c>
    </row>
    <row r="60" spans="1:9" s="34" customFormat="1" ht="15.95" customHeight="1" x14ac:dyDescent="0.25">
      <c r="A60" s="208">
        <v>2010</v>
      </c>
      <c r="B60" s="212" t="s">
        <v>1</v>
      </c>
      <c r="C60" s="213">
        <v>41508</v>
      </c>
      <c r="D60" s="213">
        <v>5930</v>
      </c>
      <c r="E60" s="213">
        <v>85822.45</v>
      </c>
      <c r="F60" s="213">
        <v>7300</v>
      </c>
      <c r="G60" s="213" t="s">
        <v>1</v>
      </c>
      <c r="H60" s="213">
        <v>33052.263399999996</v>
      </c>
      <c r="I60" s="213">
        <v>200.64570000000001</v>
      </c>
    </row>
    <row r="61" spans="1:9" s="34" customFormat="1" ht="15.95" customHeight="1" x14ac:dyDescent="0.25">
      <c r="A61" s="208">
        <v>2011</v>
      </c>
      <c r="B61" s="212" t="s">
        <v>1</v>
      </c>
      <c r="C61" s="213">
        <v>36520</v>
      </c>
      <c r="D61" s="213">
        <v>488</v>
      </c>
      <c r="E61" s="213">
        <v>7360</v>
      </c>
      <c r="F61" s="213">
        <v>47857</v>
      </c>
      <c r="G61" s="213">
        <v>300</v>
      </c>
      <c r="H61" s="213">
        <v>30535.296442000003</v>
      </c>
      <c r="I61" s="213">
        <v>235.90889999999999</v>
      </c>
    </row>
    <row r="62" spans="1:9" s="34" customFormat="1" ht="15.95" customHeight="1" x14ac:dyDescent="0.25">
      <c r="A62" s="208">
        <v>2012</v>
      </c>
      <c r="B62" s="212" t="s">
        <v>1</v>
      </c>
      <c r="C62" s="213">
        <v>3500</v>
      </c>
      <c r="D62" s="213">
        <v>7011</v>
      </c>
      <c r="E62" s="213">
        <v>8000</v>
      </c>
      <c r="F62" s="213">
        <v>20551.75</v>
      </c>
      <c r="G62" s="213">
        <v>350</v>
      </c>
      <c r="H62" s="213">
        <v>38326.198968000004</v>
      </c>
      <c r="I62" s="213">
        <v>304.70325000000003</v>
      </c>
    </row>
    <row r="63" spans="1:9" s="34" customFormat="1" ht="15.95" customHeight="1" x14ac:dyDescent="0.25">
      <c r="A63" s="208">
        <v>2013</v>
      </c>
      <c r="B63" s="212" t="s">
        <v>1</v>
      </c>
      <c r="C63" s="213">
        <v>1300</v>
      </c>
      <c r="D63" s="213">
        <v>1002</v>
      </c>
      <c r="E63" s="213">
        <v>24140</v>
      </c>
      <c r="F63" s="213">
        <v>20576.008000000002</v>
      </c>
      <c r="G63" s="213" t="s">
        <v>1</v>
      </c>
      <c r="H63" s="213">
        <v>33128.199999999997</v>
      </c>
      <c r="I63" s="213">
        <v>216.84360000000001</v>
      </c>
    </row>
    <row r="64" spans="1:9" s="34" customFormat="1" ht="15.95" customHeight="1" x14ac:dyDescent="0.25">
      <c r="A64" s="208">
        <v>2014</v>
      </c>
      <c r="B64" s="212" t="s">
        <v>1</v>
      </c>
      <c r="C64" s="213">
        <v>10424</v>
      </c>
      <c r="D64" s="213">
        <v>5771</v>
      </c>
      <c r="E64" s="213">
        <v>30830</v>
      </c>
      <c r="F64" s="213">
        <v>54394.6</v>
      </c>
      <c r="G64" s="213" t="s">
        <v>1</v>
      </c>
      <c r="H64" s="213">
        <v>35837.36161</v>
      </c>
      <c r="I64" s="213">
        <v>327.46199999999999</v>
      </c>
    </row>
    <row r="65" spans="1:15" s="34" customFormat="1" ht="15.95" customHeight="1" x14ac:dyDescent="0.25">
      <c r="A65" s="208">
        <v>2015</v>
      </c>
      <c r="B65" s="212" t="s">
        <v>1</v>
      </c>
      <c r="C65" s="213">
        <v>31443</v>
      </c>
      <c r="D65" s="213">
        <v>20540</v>
      </c>
      <c r="E65" s="213">
        <v>34580</v>
      </c>
      <c r="F65" s="213">
        <v>10440</v>
      </c>
      <c r="G65" s="213">
        <v>3000</v>
      </c>
      <c r="H65" s="213">
        <v>27665.620913329032</v>
      </c>
      <c r="I65" s="213">
        <v>168.596</v>
      </c>
    </row>
    <row r="66" spans="1:15" s="34" customFormat="1" ht="15.95" customHeight="1" x14ac:dyDescent="0.25">
      <c r="A66" s="208">
        <v>2016</v>
      </c>
      <c r="B66" s="212" t="s">
        <v>1</v>
      </c>
      <c r="C66" s="209">
        <v>8125</v>
      </c>
      <c r="D66" s="213">
        <v>3000</v>
      </c>
      <c r="E66" s="213" t="s">
        <v>1</v>
      </c>
      <c r="F66" s="213">
        <v>14492</v>
      </c>
      <c r="G66" s="213" t="s">
        <v>1</v>
      </c>
      <c r="H66" s="213">
        <v>12617.625400000001</v>
      </c>
      <c r="I66" s="213">
        <v>174.70569999999998</v>
      </c>
    </row>
    <row r="67" spans="1:15" s="34" customFormat="1" ht="15.95" customHeight="1" x14ac:dyDescent="0.25">
      <c r="A67" s="184" t="s">
        <v>4</v>
      </c>
      <c r="B67" s="212" t="s">
        <v>1</v>
      </c>
      <c r="C67" s="209">
        <v>11641.535714285716</v>
      </c>
      <c r="D67" s="213">
        <v>10483.285714285714</v>
      </c>
      <c r="E67" s="213" t="s">
        <v>1</v>
      </c>
      <c r="F67" s="213">
        <v>25866.226428571426</v>
      </c>
      <c r="G67" s="213" t="s">
        <v>1</v>
      </c>
      <c r="H67" s="213">
        <v>24988.969037879258</v>
      </c>
      <c r="I67" s="213">
        <v>213.90141428571428</v>
      </c>
    </row>
    <row r="68" spans="1:15" s="34" customFormat="1" ht="15.95" customHeight="1" x14ac:dyDescent="0.25">
      <c r="A68" s="184" t="s">
        <v>3</v>
      </c>
      <c r="B68" s="212" t="s">
        <v>1</v>
      </c>
      <c r="C68" s="209">
        <v>10428</v>
      </c>
      <c r="D68" s="213">
        <v>11537</v>
      </c>
      <c r="E68" s="213" t="s">
        <v>1</v>
      </c>
      <c r="F68" s="213">
        <v>26357</v>
      </c>
      <c r="G68" s="213" t="s">
        <v>1</v>
      </c>
      <c r="H68" s="213">
        <v>24091</v>
      </c>
      <c r="I68" s="213">
        <v>210</v>
      </c>
    </row>
    <row r="69" spans="1:15" s="34" customFormat="1" ht="15.95" customHeight="1" x14ac:dyDescent="0.25">
      <c r="A69" s="184" t="s">
        <v>2</v>
      </c>
      <c r="B69" s="212" t="s">
        <v>1</v>
      </c>
      <c r="C69" s="209">
        <v>18307</v>
      </c>
      <c r="D69" s="213">
        <v>7420</v>
      </c>
      <c r="E69" s="213">
        <v>32310</v>
      </c>
      <c r="F69" s="213">
        <v>7862</v>
      </c>
      <c r="G69" s="213" t="s">
        <v>1</v>
      </c>
      <c r="H69" s="213">
        <v>13464.628000000001</v>
      </c>
      <c r="I69" s="213">
        <v>84.605000000000004</v>
      </c>
    </row>
    <row r="70" spans="1:15" s="34" customFormat="1" ht="15.95" customHeight="1" x14ac:dyDescent="0.25">
      <c r="A70" s="184" t="s">
        <v>321</v>
      </c>
      <c r="B70" s="212" t="s">
        <v>1</v>
      </c>
      <c r="C70" s="209">
        <v>6610</v>
      </c>
      <c r="D70" s="213">
        <v>20124.41</v>
      </c>
      <c r="E70" s="213">
        <v>7000</v>
      </c>
      <c r="F70" s="213">
        <v>33026</v>
      </c>
      <c r="G70" s="213" t="s">
        <v>1</v>
      </c>
      <c r="H70" s="213">
        <v>22574</v>
      </c>
      <c r="I70" s="213">
        <v>186.26430599999998</v>
      </c>
    </row>
    <row r="71" spans="1:15" s="34" customFormat="1" ht="15.95" customHeight="1" x14ac:dyDescent="0.25">
      <c r="A71" s="196" t="s">
        <v>310</v>
      </c>
      <c r="B71" s="215"/>
      <c r="C71" s="216">
        <v>210</v>
      </c>
      <c r="D71" s="216">
        <v>200</v>
      </c>
      <c r="E71" s="216">
        <v>4193</v>
      </c>
      <c r="F71" s="216">
        <v>67918.600000000006</v>
      </c>
      <c r="G71" s="216" t="s">
        <v>1</v>
      </c>
      <c r="H71" s="216">
        <v>25632.552299999999</v>
      </c>
      <c r="I71" s="217">
        <v>167.57079999999999</v>
      </c>
    </row>
    <row r="72" spans="1:15" s="99" customFormat="1" ht="12" customHeight="1" x14ac:dyDescent="0.25">
      <c r="A72" s="96" t="s">
        <v>0</v>
      </c>
      <c r="B72" s="96"/>
      <c r="C72" s="96"/>
      <c r="D72" s="96"/>
      <c r="E72" s="98"/>
      <c r="F72" s="98"/>
      <c r="G72" s="97"/>
      <c r="H72" s="98"/>
      <c r="I72" s="98"/>
      <c r="J72" s="98"/>
      <c r="K72" s="98"/>
      <c r="L72" s="98"/>
      <c r="M72" s="98"/>
      <c r="N72" s="98"/>
      <c r="O72" s="102"/>
    </row>
  </sheetData>
  <mergeCells count="15">
    <mergeCell ref="A39:J39"/>
    <mergeCell ref="A41:A42"/>
    <mergeCell ref="A3:L3"/>
    <mergeCell ref="A5:A7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rintOptions horizontalCentered="1"/>
  <pageMargins left="0.47244094488188981" right="0.39370078740157483" top="0.74803149606299213" bottom="0.74803149606299213" header="0.31496062992125984" footer="0.31496062992125984"/>
  <pageSetup paperSize="9" scale="95" orientation="portrait" r:id="rId1"/>
  <ignoredErrors>
    <ignoredError sqref="A27:A36 A67:A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K80"/>
  <sheetViews>
    <sheetView showGridLines="0" topLeftCell="A43" zoomScaleNormal="100" workbookViewId="0">
      <selection activeCell="A63" sqref="A63:XFD63"/>
    </sheetView>
  </sheetViews>
  <sheetFormatPr baseColWidth="10" defaultColWidth="11.28515625" defaultRowHeight="12.75" customHeight="1" x14ac:dyDescent="0.3"/>
  <cols>
    <col min="1" max="1" width="34.28515625" style="23" customWidth="1"/>
    <col min="2" max="4" width="10.28515625" style="23" hidden="1" customWidth="1"/>
    <col min="5" max="6" width="8.7109375" style="23" customWidth="1"/>
    <col min="7" max="10" width="8.7109375" style="25" customWidth="1"/>
    <col min="11" max="11" width="7.85546875" style="23" customWidth="1"/>
    <col min="12" max="16384" width="11.28515625" style="23"/>
  </cols>
  <sheetData>
    <row r="1" spans="1:11" s="243" customFormat="1" ht="12.75" customHeight="1" x14ac:dyDescent="0.3">
      <c r="A1" s="515" t="s">
        <v>312</v>
      </c>
      <c r="B1" s="516"/>
      <c r="C1" s="516"/>
      <c r="D1" s="516"/>
      <c r="E1" s="516"/>
      <c r="F1" s="516"/>
      <c r="G1" s="516"/>
      <c r="H1" s="516"/>
      <c r="I1" s="516"/>
      <c r="J1" s="516"/>
    </row>
    <row r="2" spans="1:11" s="243" customFormat="1" ht="12.75" customHeight="1" x14ac:dyDescent="0.3">
      <c r="A2" s="517" t="s">
        <v>110</v>
      </c>
      <c r="B2" s="517"/>
      <c r="C2" s="517"/>
      <c r="D2" s="517"/>
      <c r="E2" s="517"/>
      <c r="F2" s="517"/>
      <c r="G2" s="517"/>
      <c r="H2" s="517"/>
      <c r="I2" s="517"/>
      <c r="J2" s="517"/>
    </row>
    <row r="3" spans="1:11" ht="4.1500000000000004" customHeight="1" x14ac:dyDescent="0.3">
      <c r="A3" s="5"/>
      <c r="B3" s="104"/>
      <c r="C3" s="104"/>
      <c r="D3" s="104"/>
      <c r="E3" s="126"/>
      <c r="F3" s="104"/>
      <c r="G3" s="106"/>
      <c r="H3" s="106"/>
      <c r="I3" s="106"/>
      <c r="J3" s="106"/>
    </row>
    <row r="4" spans="1:11" ht="20.100000000000001" customHeight="1" x14ac:dyDescent="0.3">
      <c r="A4" s="218" t="s">
        <v>109</v>
      </c>
      <c r="B4" s="219" t="s">
        <v>10</v>
      </c>
      <c r="C4" s="219" t="s">
        <v>9</v>
      </c>
      <c r="D4" s="219" t="s">
        <v>8</v>
      </c>
      <c r="E4" s="242">
        <v>2016</v>
      </c>
      <c r="F4" s="220">
        <v>2017</v>
      </c>
      <c r="G4" s="220">
        <v>2018</v>
      </c>
      <c r="H4" s="220">
        <v>2019</v>
      </c>
      <c r="I4" s="220">
        <v>2020</v>
      </c>
      <c r="J4" s="220">
        <v>2021</v>
      </c>
      <c r="K4" s="120"/>
    </row>
    <row r="5" spans="1:11" ht="15.95" customHeight="1" x14ac:dyDescent="0.3">
      <c r="A5" s="221" t="s">
        <v>108</v>
      </c>
      <c r="B5" s="222"/>
      <c r="C5" s="222"/>
      <c r="D5" s="222"/>
      <c r="E5" s="223"/>
      <c r="F5" s="224"/>
      <c r="G5" s="224"/>
      <c r="H5" s="224"/>
      <c r="I5" s="224"/>
      <c r="J5" s="23"/>
    </row>
    <row r="6" spans="1:11" ht="15.95" customHeight="1" x14ac:dyDescent="0.3">
      <c r="A6" s="225" t="s">
        <v>107</v>
      </c>
      <c r="B6" s="226">
        <v>226.21846100000002</v>
      </c>
      <c r="C6" s="226">
        <v>230.11206299999998</v>
      </c>
      <c r="D6" s="226">
        <v>218.903763</v>
      </c>
      <c r="E6" s="227">
        <v>191.10827499999999</v>
      </c>
      <c r="F6" s="236">
        <v>191.8</v>
      </c>
      <c r="G6" s="236">
        <v>195.2</v>
      </c>
      <c r="H6" s="236">
        <v>188.5</v>
      </c>
      <c r="I6" s="236">
        <v>186.83495300000001</v>
      </c>
      <c r="J6" s="236">
        <v>202.72506200000001</v>
      </c>
    </row>
    <row r="7" spans="1:11" ht="15.95" customHeight="1" x14ac:dyDescent="0.3">
      <c r="A7" s="225" t="s">
        <v>106</v>
      </c>
      <c r="B7" s="226">
        <v>1392.9716850000002</v>
      </c>
      <c r="C7" s="226">
        <v>1364.6632589999999</v>
      </c>
      <c r="D7" s="226">
        <v>1227.5619359999998</v>
      </c>
      <c r="E7" s="227">
        <v>1232.3829679999999</v>
      </c>
      <c r="F7" s="236">
        <v>1249.5999999999999</v>
      </c>
      <c r="G7" s="236">
        <v>1265.0999999999999</v>
      </c>
      <c r="H7" s="236">
        <v>1270.8</v>
      </c>
      <c r="I7" s="236">
        <v>1126.9574409999998</v>
      </c>
      <c r="J7" s="236">
        <v>1271.6133809999999</v>
      </c>
    </row>
    <row r="8" spans="1:11" ht="15.95" customHeight="1" x14ac:dyDescent="0.3">
      <c r="A8" s="225" t="s">
        <v>105</v>
      </c>
      <c r="B8" s="226">
        <v>280.90194999999994</v>
      </c>
      <c r="C8" s="226">
        <v>307.48076300000002</v>
      </c>
      <c r="D8" s="226">
        <v>302.07437799999997</v>
      </c>
      <c r="E8" s="227">
        <v>277.42609499999998</v>
      </c>
      <c r="F8" s="236">
        <v>274.7</v>
      </c>
      <c r="G8" s="236">
        <v>311.7</v>
      </c>
      <c r="H8" s="236">
        <v>305.2</v>
      </c>
      <c r="I8" s="236">
        <v>321.42546899999996</v>
      </c>
      <c r="J8" s="236">
        <v>310.52197699999994</v>
      </c>
    </row>
    <row r="9" spans="1:11" ht="15.95" customHeight="1" x14ac:dyDescent="0.3">
      <c r="A9" s="225" t="s">
        <v>104</v>
      </c>
      <c r="B9" s="226">
        <v>3043.3304500000004</v>
      </c>
      <c r="C9" s="226">
        <v>3046.7727180000006</v>
      </c>
      <c r="D9" s="226">
        <v>2896.6126709999999</v>
      </c>
      <c r="E9" s="227">
        <v>3165.7489820000001</v>
      </c>
      <c r="F9" s="236">
        <v>3115.5</v>
      </c>
      <c r="G9" s="236">
        <v>3557.9</v>
      </c>
      <c r="H9" s="236">
        <v>3191</v>
      </c>
      <c r="I9" s="236">
        <v>3434.1993550000002</v>
      </c>
      <c r="J9" s="236">
        <v>3474.3067550000001</v>
      </c>
    </row>
    <row r="10" spans="1:11" ht="15.95" customHeight="1" x14ac:dyDescent="0.3">
      <c r="A10" s="225" t="s">
        <v>102</v>
      </c>
      <c r="B10" s="226">
        <v>214.48874499999999</v>
      </c>
      <c r="C10" s="226">
        <v>224.53308799999999</v>
      </c>
      <c r="D10" s="226">
        <v>226.31003100000001</v>
      </c>
      <c r="E10" s="227">
        <v>204.49719899999997</v>
      </c>
      <c r="F10" s="236">
        <v>203.7</v>
      </c>
      <c r="G10" s="236">
        <v>209</v>
      </c>
      <c r="H10" s="236">
        <v>210.3</v>
      </c>
      <c r="I10" s="236">
        <v>203.42235500000001</v>
      </c>
      <c r="J10" s="236">
        <v>219.84638399999994</v>
      </c>
    </row>
    <row r="11" spans="1:11" ht="15.95" customHeight="1" x14ac:dyDescent="0.3">
      <c r="A11" s="228" t="s">
        <v>103</v>
      </c>
      <c r="B11" s="226">
        <v>44.212600000000009</v>
      </c>
      <c r="C11" s="226">
        <v>52.129765999999989</v>
      </c>
      <c r="D11" s="226">
        <v>114.72468000000001</v>
      </c>
      <c r="E11" s="227">
        <v>79.268806000000012</v>
      </c>
      <c r="F11" s="236">
        <v>79</v>
      </c>
      <c r="G11" s="236">
        <v>86.8</v>
      </c>
      <c r="H11" s="236">
        <v>89.4</v>
      </c>
      <c r="I11" s="236">
        <v>100.207035</v>
      </c>
      <c r="J11" s="236">
        <v>106.75610699999999</v>
      </c>
    </row>
    <row r="12" spans="1:11" ht="15.95" customHeight="1" x14ac:dyDescent="0.3">
      <c r="A12" s="225" t="s">
        <v>101</v>
      </c>
      <c r="B12" s="226">
        <v>2.7518079999999996</v>
      </c>
      <c r="C12" s="226">
        <v>2.5064989999999998</v>
      </c>
      <c r="D12" s="226">
        <v>2.3564490000000005</v>
      </c>
      <c r="E12" s="227">
        <v>2.7249289999999995</v>
      </c>
      <c r="F12" s="236">
        <v>2.7</v>
      </c>
      <c r="G12" s="236">
        <v>3.2</v>
      </c>
      <c r="H12" s="236">
        <v>3.7</v>
      </c>
      <c r="I12" s="236">
        <v>5.5073799999999986</v>
      </c>
      <c r="J12" s="236">
        <v>6.6126500000000004</v>
      </c>
    </row>
    <row r="13" spans="1:11" ht="15.95" customHeight="1" x14ac:dyDescent="0.3">
      <c r="A13" s="225" t="s">
        <v>100</v>
      </c>
      <c r="B13" s="226">
        <v>4.9403790000000001</v>
      </c>
      <c r="C13" s="226">
        <v>4.6442499999999995</v>
      </c>
      <c r="D13" s="226">
        <v>4.8679399999999999</v>
      </c>
      <c r="E13" s="227">
        <v>4.5650300000000001</v>
      </c>
      <c r="F13" s="236">
        <v>5</v>
      </c>
      <c r="G13" s="236">
        <v>5.0999999999999996</v>
      </c>
      <c r="H13" s="236">
        <v>5.0999999999999996</v>
      </c>
      <c r="I13" s="236">
        <v>5.1378900000000005</v>
      </c>
      <c r="J13" s="236">
        <v>5.1880189999999997</v>
      </c>
    </row>
    <row r="14" spans="1:11" ht="15.95" customHeight="1" x14ac:dyDescent="0.3">
      <c r="A14" s="221" t="s">
        <v>99</v>
      </c>
      <c r="B14" s="226"/>
      <c r="C14" s="226"/>
      <c r="D14" s="226"/>
      <c r="E14" s="227"/>
      <c r="F14" s="236"/>
      <c r="G14" s="236"/>
      <c r="H14" s="236"/>
      <c r="I14" s="236"/>
      <c r="J14" s="236"/>
    </row>
    <row r="15" spans="1:11" ht="15.95" customHeight="1" x14ac:dyDescent="0.3">
      <c r="A15" s="225" t="s">
        <v>98</v>
      </c>
      <c r="B15" s="226">
        <v>82.16494800000001</v>
      </c>
      <c r="C15" s="226">
        <v>81.407317000000006</v>
      </c>
      <c r="D15" s="226">
        <v>81.504861999999989</v>
      </c>
      <c r="E15" s="227">
        <v>78.205389999999994</v>
      </c>
      <c r="F15" s="236">
        <v>94.9</v>
      </c>
      <c r="G15" s="236">
        <v>104.7</v>
      </c>
      <c r="H15" s="236">
        <v>83</v>
      </c>
      <c r="I15" s="236">
        <v>90.717340000000021</v>
      </c>
      <c r="J15" s="236">
        <v>110.12020700000001</v>
      </c>
    </row>
    <row r="16" spans="1:11" ht="15.95" customHeight="1" x14ac:dyDescent="0.3">
      <c r="A16" s="225" t="s">
        <v>97</v>
      </c>
      <c r="B16" s="226">
        <v>117.37715899999998</v>
      </c>
      <c r="C16" s="226">
        <v>130.06514999999999</v>
      </c>
      <c r="D16" s="226">
        <v>133.65849399999999</v>
      </c>
      <c r="E16" s="227">
        <v>120.12532500000002</v>
      </c>
      <c r="F16" s="236">
        <v>131.1</v>
      </c>
      <c r="G16" s="236">
        <v>138.4</v>
      </c>
      <c r="H16" s="236">
        <v>129.1</v>
      </c>
      <c r="I16" s="236">
        <v>135.04755899999998</v>
      </c>
      <c r="J16" s="236">
        <v>140.050962</v>
      </c>
    </row>
    <row r="17" spans="1:10" ht="15.95" customHeight="1" x14ac:dyDescent="0.3">
      <c r="A17" s="225" t="s">
        <v>96</v>
      </c>
      <c r="B17" s="226">
        <v>751.83408399999996</v>
      </c>
      <c r="C17" s="226">
        <v>747.92845800000009</v>
      </c>
      <c r="D17" s="226">
        <v>758.23326000000009</v>
      </c>
      <c r="E17" s="227">
        <v>705.63340600000004</v>
      </c>
      <c r="F17" s="236">
        <v>722.4</v>
      </c>
      <c r="G17" s="236">
        <v>643.79999999999995</v>
      </c>
      <c r="H17" s="236">
        <v>636.20000000000005</v>
      </c>
      <c r="I17" s="236">
        <v>604.80266799999993</v>
      </c>
      <c r="J17" s="236">
        <v>602.12825200000009</v>
      </c>
    </row>
    <row r="18" spans="1:10" ht="15.95" customHeight="1" x14ac:dyDescent="0.3">
      <c r="A18" s="225" t="s">
        <v>95</v>
      </c>
      <c r="B18" s="226">
        <v>375.97770600000001</v>
      </c>
      <c r="C18" s="226">
        <v>383.14372800000001</v>
      </c>
      <c r="D18" s="226">
        <v>377.70096899999999</v>
      </c>
      <c r="E18" s="227">
        <v>378.30578799999995</v>
      </c>
      <c r="F18" s="236">
        <v>383.1</v>
      </c>
      <c r="G18" s="236">
        <v>360.6</v>
      </c>
      <c r="H18" s="236">
        <v>356.8</v>
      </c>
      <c r="I18" s="236">
        <v>369.37010899999996</v>
      </c>
      <c r="J18" s="236">
        <v>365.12282999999996</v>
      </c>
    </row>
    <row r="19" spans="1:10" ht="15.95" customHeight="1" x14ac:dyDescent="0.3">
      <c r="A19" s="225" t="s">
        <v>94</v>
      </c>
      <c r="B19" s="226">
        <v>65.447915000000009</v>
      </c>
      <c r="C19" s="226">
        <v>68.621206000000001</v>
      </c>
      <c r="D19" s="226">
        <v>68.327258</v>
      </c>
      <c r="E19" s="227">
        <v>64.340521999999993</v>
      </c>
      <c r="F19" s="236">
        <v>70.900000000000006</v>
      </c>
      <c r="G19" s="236">
        <v>73.599999999999994</v>
      </c>
      <c r="H19" s="236">
        <v>69.5</v>
      </c>
      <c r="I19" s="236">
        <v>72.200037000000009</v>
      </c>
      <c r="J19" s="236">
        <v>76.823266000000018</v>
      </c>
    </row>
    <row r="20" spans="1:10" ht="15.95" customHeight="1" x14ac:dyDescent="0.3">
      <c r="A20" s="225" t="s">
        <v>93</v>
      </c>
      <c r="B20" s="226">
        <v>361.57325200000002</v>
      </c>
      <c r="C20" s="226">
        <v>399.36950899999999</v>
      </c>
      <c r="D20" s="226">
        <v>403.40540500000003</v>
      </c>
      <c r="E20" s="227">
        <v>398.74956200000003</v>
      </c>
      <c r="F20" s="236">
        <v>382.6</v>
      </c>
      <c r="G20" s="236">
        <v>437.5</v>
      </c>
      <c r="H20" s="236">
        <v>417.1</v>
      </c>
      <c r="I20" s="236">
        <v>413.29818100000006</v>
      </c>
      <c r="J20" s="236">
        <v>446.32454100000012</v>
      </c>
    </row>
    <row r="21" spans="1:10" ht="15.95" customHeight="1" x14ac:dyDescent="0.3">
      <c r="A21" s="225" t="s">
        <v>92</v>
      </c>
      <c r="B21" s="226">
        <v>229.35647</v>
      </c>
      <c r="C21" s="226">
        <v>253.588413</v>
      </c>
      <c r="D21" s="226">
        <v>265.94804499999998</v>
      </c>
      <c r="E21" s="227">
        <v>232.89788700000005</v>
      </c>
      <c r="F21" s="236">
        <v>220.9</v>
      </c>
      <c r="G21" s="236">
        <v>252.8</v>
      </c>
      <c r="H21" s="236">
        <v>201.8</v>
      </c>
      <c r="I21" s="236">
        <v>204.05233400000006</v>
      </c>
      <c r="J21" s="236">
        <v>243.651163</v>
      </c>
    </row>
    <row r="22" spans="1:10" ht="15.95" customHeight="1" x14ac:dyDescent="0.3">
      <c r="A22" s="221" t="s">
        <v>91</v>
      </c>
      <c r="B22" s="226"/>
      <c r="C22" s="226"/>
      <c r="D22" s="226"/>
      <c r="E22" s="227"/>
      <c r="F22" s="236"/>
      <c r="G22" s="236"/>
      <c r="H22" s="236"/>
      <c r="I22" s="236"/>
      <c r="J22" s="236"/>
    </row>
    <row r="23" spans="1:10" ht="15.95" customHeight="1" x14ac:dyDescent="0.3">
      <c r="A23" s="225" t="s">
        <v>90</v>
      </c>
      <c r="B23" s="226">
        <v>0.109</v>
      </c>
      <c r="C23" s="226">
        <v>1.7464500000000001</v>
      </c>
      <c r="D23" s="226">
        <v>2.5017</v>
      </c>
      <c r="E23" s="227">
        <v>22.978287999999999</v>
      </c>
      <c r="F23" s="236">
        <v>52.3</v>
      </c>
      <c r="G23" s="236">
        <v>84.8</v>
      </c>
      <c r="H23" s="236">
        <v>147.9</v>
      </c>
      <c r="I23" s="236">
        <v>179.30473900000004</v>
      </c>
      <c r="J23" s="236">
        <v>228.35956900000002</v>
      </c>
    </row>
    <row r="24" spans="1:10" ht="15.95" customHeight="1" x14ac:dyDescent="0.3">
      <c r="A24" s="225" t="s">
        <v>89</v>
      </c>
      <c r="B24" s="226">
        <v>2082.0892789999998</v>
      </c>
      <c r="C24" s="226">
        <v>2113.8057259999996</v>
      </c>
      <c r="D24" s="226">
        <v>2125.8389470000002</v>
      </c>
      <c r="E24" s="227">
        <v>2073.9946730000001</v>
      </c>
      <c r="F24" s="236">
        <v>1981</v>
      </c>
      <c r="G24" s="236">
        <v>2194.9</v>
      </c>
      <c r="H24" s="236">
        <v>2252.1999999999998</v>
      </c>
      <c r="I24" s="236">
        <v>2326.085079</v>
      </c>
      <c r="J24" s="236">
        <v>2378.045181</v>
      </c>
    </row>
    <row r="25" spans="1:10" ht="15.95" customHeight="1" x14ac:dyDescent="0.3">
      <c r="A25" s="225" t="s">
        <v>88</v>
      </c>
      <c r="B25" s="237">
        <v>221.639926</v>
      </c>
      <c r="C25" s="237">
        <v>228.46953100000002</v>
      </c>
      <c r="D25" s="237">
        <v>263.79925100000003</v>
      </c>
      <c r="E25" s="227">
        <v>270.30786599999999</v>
      </c>
      <c r="F25" s="236">
        <v>167.7</v>
      </c>
      <c r="G25" s="236">
        <v>258.2</v>
      </c>
      <c r="H25" s="236">
        <v>289.3</v>
      </c>
      <c r="I25" s="236">
        <v>303.99517100000003</v>
      </c>
      <c r="J25" s="236">
        <v>325.77382599999999</v>
      </c>
    </row>
    <row r="26" spans="1:10" ht="15.95" customHeight="1" x14ac:dyDescent="0.3">
      <c r="A26" s="225" t="s">
        <v>87</v>
      </c>
      <c r="B26" s="226">
        <v>281.06118800000002</v>
      </c>
      <c r="C26" s="226">
        <v>313.79742100000004</v>
      </c>
      <c r="D26" s="226">
        <v>339.60429799999997</v>
      </c>
      <c r="E26" s="227">
        <v>403.85714599999994</v>
      </c>
      <c r="F26" s="236">
        <v>408</v>
      </c>
      <c r="G26" s="236">
        <v>481.6</v>
      </c>
      <c r="H26" s="236">
        <v>503.2</v>
      </c>
      <c r="I26" s="236">
        <v>526.142064</v>
      </c>
      <c r="J26" s="236">
        <v>588.12060000000008</v>
      </c>
    </row>
    <row r="27" spans="1:10" ht="15.95" customHeight="1" x14ac:dyDescent="0.3">
      <c r="A27" s="225" t="s">
        <v>86</v>
      </c>
      <c r="B27" s="226">
        <v>185.18232999999998</v>
      </c>
      <c r="C27" s="226">
        <v>458.76626599999997</v>
      </c>
      <c r="D27" s="226">
        <v>375.99815700000005</v>
      </c>
      <c r="E27" s="227">
        <v>373.51986799999997</v>
      </c>
      <c r="F27" s="236">
        <v>386.9</v>
      </c>
      <c r="G27" s="236">
        <v>378.9</v>
      </c>
      <c r="H27" s="236">
        <v>427.9</v>
      </c>
      <c r="I27" s="236">
        <v>514.02093600000001</v>
      </c>
      <c r="J27" s="236">
        <v>453.457179</v>
      </c>
    </row>
    <row r="28" spans="1:10" ht="15.95" customHeight="1" x14ac:dyDescent="0.3">
      <c r="A28" s="225" t="s">
        <v>85</v>
      </c>
      <c r="B28" s="226">
        <v>146.773923</v>
      </c>
      <c r="C28" s="226">
        <v>156.43122300000002</v>
      </c>
      <c r="D28" s="226">
        <v>159.87891900000002</v>
      </c>
      <c r="E28" s="227">
        <v>158.098375</v>
      </c>
      <c r="F28" s="236">
        <v>149.80000000000001</v>
      </c>
      <c r="G28" s="236">
        <v>140.6</v>
      </c>
      <c r="H28" s="236">
        <v>144.9</v>
      </c>
      <c r="I28" s="236">
        <v>139.514025</v>
      </c>
      <c r="J28" s="236">
        <v>143.08367400000003</v>
      </c>
    </row>
    <row r="29" spans="1:10" ht="15.95" customHeight="1" x14ac:dyDescent="0.3">
      <c r="A29" s="225" t="s">
        <v>84</v>
      </c>
      <c r="B29" s="226">
        <v>428.75317499999994</v>
      </c>
      <c r="C29" s="226">
        <v>441.12462399999998</v>
      </c>
      <c r="D29" s="226">
        <v>450.42322200000007</v>
      </c>
      <c r="E29" s="227">
        <v>490.86899999999991</v>
      </c>
      <c r="F29" s="236">
        <v>498.5</v>
      </c>
      <c r="G29" s="236">
        <v>502.8</v>
      </c>
      <c r="H29" s="236">
        <v>509.8</v>
      </c>
      <c r="I29" s="236">
        <v>558.61427499999991</v>
      </c>
      <c r="J29" s="236">
        <v>574.81730699999991</v>
      </c>
    </row>
    <row r="30" spans="1:10" ht="15.95" customHeight="1" x14ac:dyDescent="0.3">
      <c r="A30" s="225" t="s">
        <v>83</v>
      </c>
      <c r="B30" s="226">
        <v>268.52526899999998</v>
      </c>
      <c r="C30" s="226">
        <v>288.85303699999997</v>
      </c>
      <c r="D30" s="226">
        <v>349.31716</v>
      </c>
      <c r="E30" s="227">
        <v>455.39417499999996</v>
      </c>
      <c r="F30" s="236">
        <v>466.9</v>
      </c>
      <c r="G30" s="236">
        <v>504.8</v>
      </c>
      <c r="H30" s="236">
        <v>572</v>
      </c>
      <c r="I30" s="236">
        <v>672.23224500000003</v>
      </c>
      <c r="J30" s="236">
        <v>779.91392299999995</v>
      </c>
    </row>
    <row r="31" spans="1:10" ht="15.95" customHeight="1" x14ac:dyDescent="0.3">
      <c r="A31" s="225" t="s">
        <v>82</v>
      </c>
      <c r="B31" s="226">
        <v>123.83376600000001</v>
      </c>
      <c r="C31" s="226">
        <v>152.076886</v>
      </c>
      <c r="D31" s="226">
        <v>148.28032499999998</v>
      </c>
      <c r="E31" s="227">
        <v>169.437321</v>
      </c>
      <c r="F31" s="236">
        <v>177.2</v>
      </c>
      <c r="G31" s="236">
        <v>176</v>
      </c>
      <c r="H31" s="236">
        <v>166.2</v>
      </c>
      <c r="I31" s="236">
        <v>188.16607800000003</v>
      </c>
      <c r="J31" s="236">
        <v>189.80099100000001</v>
      </c>
    </row>
    <row r="32" spans="1:10" ht="15.95" customHeight="1" x14ac:dyDescent="0.3">
      <c r="A32" s="225" t="s">
        <v>81</v>
      </c>
      <c r="B32" s="226">
        <v>2.3794590000000002</v>
      </c>
      <c r="C32" s="226">
        <v>2.3342070000000001</v>
      </c>
      <c r="D32" s="226">
        <v>2.2964990000000003</v>
      </c>
      <c r="E32" s="227">
        <v>2.3386579999999992</v>
      </c>
      <c r="F32" s="236">
        <v>2.9</v>
      </c>
      <c r="G32" s="236">
        <v>3.2</v>
      </c>
      <c r="H32" s="236">
        <v>4.5</v>
      </c>
      <c r="I32" s="236">
        <v>5.1242260000000002</v>
      </c>
      <c r="J32" s="236">
        <v>5.9688469999999993</v>
      </c>
    </row>
    <row r="33" spans="1:10" ht="15.95" customHeight="1" x14ac:dyDescent="0.3">
      <c r="A33" s="225" t="s">
        <v>80</v>
      </c>
      <c r="B33" s="226">
        <v>436.80712799999998</v>
      </c>
      <c r="C33" s="226">
        <v>448.88446599999997</v>
      </c>
      <c r="D33" s="226">
        <v>455.29660500000006</v>
      </c>
      <c r="E33" s="227">
        <v>461.28595100000013</v>
      </c>
      <c r="F33" s="236">
        <v>494.6</v>
      </c>
      <c r="G33" s="236">
        <v>548.5</v>
      </c>
      <c r="H33" s="236">
        <v>565.20000000000005</v>
      </c>
      <c r="I33" s="236">
        <v>583.62778800000001</v>
      </c>
      <c r="J33" s="236">
        <v>588.1751999999999</v>
      </c>
    </row>
    <row r="34" spans="1:10" ht="15.95" customHeight="1" x14ac:dyDescent="0.3">
      <c r="A34" s="225" t="s">
        <v>79</v>
      </c>
      <c r="B34" s="226">
        <v>361.86987000000005</v>
      </c>
      <c r="C34" s="226">
        <v>439.24430299999995</v>
      </c>
      <c r="D34" s="226">
        <v>507.09720600000003</v>
      </c>
      <c r="E34" s="227">
        <v>689.95730800000001</v>
      </c>
      <c r="F34" s="236">
        <v>645</v>
      </c>
      <c r="G34" s="236">
        <v>645.5</v>
      </c>
      <c r="H34" s="236">
        <v>639.79999999999995</v>
      </c>
      <c r="I34" s="236">
        <v>733.47246100000007</v>
      </c>
      <c r="J34" s="236">
        <v>825.74978799999997</v>
      </c>
    </row>
    <row r="35" spans="1:10" ht="15.95" customHeight="1" x14ac:dyDescent="0.3">
      <c r="A35" s="229" t="s">
        <v>78</v>
      </c>
      <c r="B35" s="226"/>
      <c r="C35" s="226"/>
      <c r="D35" s="226"/>
      <c r="E35" s="227"/>
      <c r="F35" s="236"/>
      <c r="G35" s="236"/>
      <c r="H35" s="236"/>
      <c r="I35" s="236"/>
      <c r="J35" s="236"/>
    </row>
    <row r="36" spans="1:10" ht="15.95" customHeight="1" x14ac:dyDescent="0.3">
      <c r="A36" s="225" t="s">
        <v>77</v>
      </c>
      <c r="B36" s="226">
        <v>33.576700000000002</v>
      </c>
      <c r="C36" s="226">
        <v>34.593347999999992</v>
      </c>
      <c r="D36" s="226">
        <v>34.946046000000003</v>
      </c>
      <c r="E36" s="227">
        <v>32.353156999999996</v>
      </c>
      <c r="F36" s="236">
        <v>32.6</v>
      </c>
      <c r="G36" s="236">
        <v>32.9</v>
      </c>
      <c r="H36" s="236">
        <v>34.6</v>
      </c>
      <c r="I36" s="236">
        <v>36.418630000000007</v>
      </c>
      <c r="J36" s="236">
        <v>38.295474999999996</v>
      </c>
    </row>
    <row r="37" spans="1:10" ht="15.95" customHeight="1" x14ac:dyDescent="0.3">
      <c r="A37" s="225" t="s">
        <v>76</v>
      </c>
      <c r="B37" s="226">
        <v>92.527325999999988</v>
      </c>
      <c r="C37" s="226">
        <v>57.767926000000003</v>
      </c>
      <c r="D37" s="226">
        <v>151.92721799999998</v>
      </c>
      <c r="E37" s="227">
        <v>56.156660000000002</v>
      </c>
      <c r="F37" s="236">
        <v>80.3</v>
      </c>
      <c r="G37" s="236">
        <v>189</v>
      </c>
      <c r="H37" s="236">
        <v>191</v>
      </c>
      <c r="I37" s="236">
        <v>174.31585000000001</v>
      </c>
      <c r="J37" s="236">
        <v>147.01092199999999</v>
      </c>
    </row>
    <row r="38" spans="1:10" ht="15.95" customHeight="1" x14ac:dyDescent="0.3">
      <c r="A38" s="225" t="s">
        <v>75</v>
      </c>
      <c r="B38" s="226">
        <v>518.13869699999998</v>
      </c>
      <c r="C38" s="226">
        <v>566.58304099999998</v>
      </c>
      <c r="D38" s="226">
        <v>617.63353899999993</v>
      </c>
      <c r="E38" s="227">
        <v>736.34476600000005</v>
      </c>
      <c r="F38" s="236">
        <v>843.4</v>
      </c>
      <c r="G38" s="236">
        <v>921</v>
      </c>
      <c r="H38" s="236">
        <v>932.2</v>
      </c>
      <c r="I38" s="236">
        <v>898.48073399999998</v>
      </c>
      <c r="J38" s="236">
        <v>1172.587156</v>
      </c>
    </row>
    <row r="39" spans="1:10" ht="15.95" customHeight="1" x14ac:dyDescent="0.3">
      <c r="A39" s="225" t="s">
        <v>74</v>
      </c>
      <c r="B39" s="226">
        <v>2.2512340000000002</v>
      </c>
      <c r="C39" s="226">
        <v>2.713031</v>
      </c>
      <c r="D39" s="226">
        <v>2.1187880000000003</v>
      </c>
      <c r="E39" s="227">
        <v>1.3712199999999999</v>
      </c>
      <c r="F39" s="236">
        <v>1.6</v>
      </c>
      <c r="G39" s="236">
        <v>1.5</v>
      </c>
      <c r="H39" s="236">
        <v>1.5</v>
      </c>
      <c r="I39" s="236">
        <v>1.5337600000000002</v>
      </c>
      <c r="J39" s="236">
        <v>1.6834870000000004</v>
      </c>
    </row>
    <row r="40" spans="1:10" ht="15.95" customHeight="1" x14ac:dyDescent="0.3">
      <c r="A40" s="230" t="s">
        <v>73</v>
      </c>
      <c r="B40" s="226"/>
      <c r="C40" s="226"/>
      <c r="D40" s="226"/>
      <c r="E40" s="227"/>
      <c r="F40" s="236"/>
      <c r="G40" s="236"/>
      <c r="H40" s="236"/>
      <c r="I40" s="236"/>
      <c r="J40" s="236"/>
    </row>
    <row r="41" spans="1:10" ht="15.95" customHeight="1" x14ac:dyDescent="0.3">
      <c r="A41" s="225" t="s">
        <v>72</v>
      </c>
      <c r="B41" s="226">
        <v>304.00895499999996</v>
      </c>
      <c r="C41" s="226">
        <v>292.12378999999999</v>
      </c>
      <c r="D41" s="226">
        <v>278.29342400000002</v>
      </c>
      <c r="E41" s="227">
        <v>269.67042900000001</v>
      </c>
      <c r="F41" s="236">
        <v>256.39999999999998</v>
      </c>
      <c r="G41" s="236">
        <v>275.3</v>
      </c>
      <c r="H41" s="236">
        <v>301</v>
      </c>
      <c r="I41" s="236">
        <v>243.15745899999996</v>
      </c>
      <c r="J41" s="236">
        <v>305.72923100000003</v>
      </c>
    </row>
    <row r="42" spans="1:10" ht="15.95" customHeight="1" x14ac:dyDescent="0.3">
      <c r="A42" s="225" t="s">
        <v>71</v>
      </c>
      <c r="B42" s="226">
        <v>31.412657999999997</v>
      </c>
      <c r="C42" s="226">
        <v>31.112570000000002</v>
      </c>
      <c r="D42" s="226">
        <v>29.146691000000001</v>
      </c>
      <c r="E42" s="227">
        <v>33.098208999999997</v>
      </c>
      <c r="F42" s="236">
        <v>34.9</v>
      </c>
      <c r="G42" s="236">
        <v>44.9</v>
      </c>
      <c r="H42" s="236">
        <v>41.6</v>
      </c>
      <c r="I42" s="236">
        <v>42.025730000000003</v>
      </c>
      <c r="J42" s="236">
        <v>43.667490000000001</v>
      </c>
    </row>
    <row r="43" spans="1:10" ht="15.95" customHeight="1" x14ac:dyDescent="0.3">
      <c r="A43" s="225" t="s">
        <v>70</v>
      </c>
      <c r="B43" s="226">
        <v>92.876115999999996</v>
      </c>
      <c r="C43" s="226">
        <v>94.686894999999993</v>
      </c>
      <c r="D43" s="226">
        <v>90.885478000000006</v>
      </c>
      <c r="E43" s="227">
        <v>92.796589000000012</v>
      </c>
      <c r="F43" s="236">
        <v>97.8</v>
      </c>
      <c r="G43" s="236">
        <v>100.9</v>
      </c>
      <c r="H43" s="236">
        <v>94.3</v>
      </c>
      <c r="I43" s="236">
        <v>98.477490000000003</v>
      </c>
      <c r="J43" s="236">
        <v>96.15717699999999</v>
      </c>
    </row>
    <row r="44" spans="1:10" ht="15.95" customHeight="1" x14ac:dyDescent="0.3">
      <c r="A44" s="225" t="s">
        <v>69</v>
      </c>
      <c r="B44" s="226">
        <v>180.72806999999997</v>
      </c>
      <c r="C44" s="226">
        <v>186.21113199999999</v>
      </c>
      <c r="D44" s="226">
        <v>189.89513400000001</v>
      </c>
      <c r="E44" s="227">
        <v>184.70515499999999</v>
      </c>
      <c r="F44" s="236">
        <v>185.7</v>
      </c>
      <c r="G44" s="236">
        <v>198</v>
      </c>
      <c r="H44" s="236">
        <v>190.7</v>
      </c>
      <c r="I44" s="236">
        <v>181.25114000000005</v>
      </c>
      <c r="J44" s="236">
        <v>185.03061700000001</v>
      </c>
    </row>
    <row r="45" spans="1:10" ht="15.95" customHeight="1" x14ac:dyDescent="0.3">
      <c r="A45" s="225" t="s">
        <v>68</v>
      </c>
      <c r="B45" s="226">
        <v>4474.712653999999</v>
      </c>
      <c r="C45" s="226">
        <v>4569.6293949999999</v>
      </c>
      <c r="D45" s="226">
        <v>4704.9874350000009</v>
      </c>
      <c r="E45" s="227">
        <v>4514.239262000001</v>
      </c>
      <c r="F45" s="236">
        <v>4802.8</v>
      </c>
      <c r="G45" s="236">
        <v>5133.8999999999996</v>
      </c>
      <c r="H45" s="236">
        <v>5389.2</v>
      </c>
      <c r="I45" s="236">
        <v>5515.3783240000002</v>
      </c>
      <c r="J45" s="236">
        <v>5661.4426389999999</v>
      </c>
    </row>
    <row r="46" spans="1:10" ht="15.95" customHeight="1" x14ac:dyDescent="0.3">
      <c r="A46" s="225" t="s">
        <v>67</v>
      </c>
      <c r="B46" s="226">
        <v>13.603561999999998</v>
      </c>
      <c r="C46" s="226">
        <v>13.934514000000002</v>
      </c>
      <c r="D46" s="226">
        <v>16.115606</v>
      </c>
      <c r="E46" s="227">
        <v>18.974730999999998</v>
      </c>
      <c r="F46" s="236">
        <v>12.3</v>
      </c>
      <c r="G46" s="236">
        <v>20.2</v>
      </c>
      <c r="H46" s="236">
        <v>20.399999999999999</v>
      </c>
      <c r="I46" s="236">
        <v>22.087512</v>
      </c>
      <c r="J46" s="236">
        <v>22.023575999999998</v>
      </c>
    </row>
    <row r="47" spans="1:10" ht="15.95" customHeight="1" x14ac:dyDescent="0.3">
      <c r="A47" s="225" t="s">
        <v>66</v>
      </c>
      <c r="B47" s="226">
        <v>1118.4890349999998</v>
      </c>
      <c r="C47" s="226">
        <v>1191.596088</v>
      </c>
      <c r="D47" s="226">
        <v>1195.925806</v>
      </c>
      <c r="E47" s="227">
        <v>1180.954972</v>
      </c>
      <c r="F47" s="236">
        <v>1196.4000000000001</v>
      </c>
      <c r="G47" s="236">
        <v>1239.7</v>
      </c>
      <c r="H47" s="236">
        <v>1276.9000000000001</v>
      </c>
      <c r="I47" s="236">
        <v>1343.009605</v>
      </c>
      <c r="J47" s="236">
        <v>1281.4322519999998</v>
      </c>
    </row>
    <row r="48" spans="1:10" ht="15.95" customHeight="1" x14ac:dyDescent="0.3">
      <c r="A48" s="229" t="s">
        <v>65</v>
      </c>
      <c r="B48" s="226"/>
      <c r="C48" s="226"/>
      <c r="D48" s="226"/>
      <c r="E48" s="227"/>
      <c r="F48" s="236"/>
      <c r="G48" s="236"/>
      <c r="H48" s="236"/>
      <c r="I48" s="236"/>
      <c r="J48" s="236"/>
    </row>
    <row r="49" spans="1:11" ht="15.95" customHeight="1" x14ac:dyDescent="0.3">
      <c r="A49" s="225" t="s">
        <v>64</v>
      </c>
      <c r="B49" s="226">
        <v>7.8696099999999998</v>
      </c>
      <c r="C49" s="226">
        <v>6.4957400000000005</v>
      </c>
      <c r="D49" s="226">
        <v>6.5134469999999993</v>
      </c>
      <c r="E49" s="227">
        <v>5.3093900000000005</v>
      </c>
      <c r="F49" s="236">
        <v>6</v>
      </c>
      <c r="G49" s="236">
        <v>6.5</v>
      </c>
      <c r="H49" s="236">
        <v>7.3</v>
      </c>
      <c r="I49" s="236">
        <v>6.3049890000000008</v>
      </c>
      <c r="J49" s="236">
        <v>6.7443279999999994</v>
      </c>
    </row>
    <row r="50" spans="1:11" ht="15.95" customHeight="1" x14ac:dyDescent="0.3">
      <c r="A50" s="225" t="s">
        <v>63</v>
      </c>
      <c r="B50" s="226">
        <v>62.491579999999999</v>
      </c>
      <c r="C50" s="226">
        <v>71.837989999999991</v>
      </c>
      <c r="D50" s="226">
        <v>81.651081000000019</v>
      </c>
      <c r="E50" s="227">
        <v>107.92151199999999</v>
      </c>
      <c r="F50" s="236">
        <v>121.8</v>
      </c>
      <c r="G50" s="236">
        <v>134.69999999999999</v>
      </c>
      <c r="H50" s="236">
        <v>141.80000000000001</v>
      </c>
      <c r="I50" s="236">
        <v>158.943579</v>
      </c>
      <c r="J50" s="236">
        <v>160.221688</v>
      </c>
    </row>
    <row r="51" spans="1:11" ht="15.95" customHeight="1" x14ac:dyDescent="0.3">
      <c r="A51" s="225" t="s">
        <v>62</v>
      </c>
      <c r="B51" s="226">
        <v>320.16356300000001</v>
      </c>
      <c r="C51" s="226">
        <v>256.83178600000002</v>
      </c>
      <c r="D51" s="226">
        <v>222.04701499999999</v>
      </c>
      <c r="E51" s="227">
        <v>277.76039700000001</v>
      </c>
      <c r="F51" s="236">
        <v>337.3</v>
      </c>
      <c r="G51" s="236">
        <v>369.6</v>
      </c>
      <c r="H51" s="236">
        <v>363.3</v>
      </c>
      <c r="I51" s="236">
        <v>353.20574200000004</v>
      </c>
      <c r="J51" s="236">
        <v>365.58213499999999</v>
      </c>
    </row>
    <row r="52" spans="1:11" ht="15.95" customHeight="1" x14ac:dyDescent="0.3">
      <c r="A52" s="225" t="s">
        <v>61</v>
      </c>
      <c r="B52" s="226">
        <v>46.83802</v>
      </c>
      <c r="C52" s="226">
        <v>35.881576000000003</v>
      </c>
      <c r="D52" s="226">
        <v>34.469989000000005</v>
      </c>
      <c r="E52" s="227">
        <v>31.085186</v>
      </c>
      <c r="F52" s="236">
        <v>24.2</v>
      </c>
      <c r="G52" s="236">
        <v>26.2</v>
      </c>
      <c r="H52" s="236">
        <v>35.299999999999997</v>
      </c>
      <c r="I52" s="236">
        <v>37.471309999999995</v>
      </c>
      <c r="J52" s="236">
        <v>36.434207000000001</v>
      </c>
    </row>
    <row r="53" spans="1:11" ht="15.95" customHeight="1" x14ac:dyDescent="0.3">
      <c r="A53" s="225" t="s">
        <v>60</v>
      </c>
      <c r="B53" s="226">
        <v>3.43404</v>
      </c>
      <c r="C53" s="226">
        <v>4.3194700000000008</v>
      </c>
      <c r="D53" s="226">
        <v>3.8737889999999995</v>
      </c>
      <c r="E53" s="227">
        <v>3.3074699999999999</v>
      </c>
      <c r="F53" s="236">
        <v>2.2000000000000002</v>
      </c>
      <c r="G53" s="236">
        <v>1.1000000000000001</v>
      </c>
      <c r="H53" s="236">
        <v>1.6</v>
      </c>
      <c r="I53" s="236">
        <v>1.6451990000000001</v>
      </c>
      <c r="J53" s="236">
        <v>1.7071449999999999</v>
      </c>
    </row>
    <row r="54" spans="1:11" ht="15.95" customHeight="1" x14ac:dyDescent="0.3">
      <c r="A54" s="229" t="s">
        <v>59</v>
      </c>
      <c r="B54" s="226"/>
      <c r="C54" s="226"/>
      <c r="D54" s="226"/>
      <c r="E54" s="227"/>
      <c r="F54" s="236"/>
      <c r="G54" s="236"/>
      <c r="H54" s="236"/>
      <c r="I54" s="236"/>
      <c r="J54" s="236"/>
    </row>
    <row r="55" spans="1:11" ht="15.95" customHeight="1" x14ac:dyDescent="0.3">
      <c r="A55" s="225" t="s">
        <v>58</v>
      </c>
      <c r="B55" s="226">
        <v>53.048004999999996</v>
      </c>
      <c r="C55" s="226">
        <v>54.348357999999998</v>
      </c>
      <c r="D55" s="226">
        <v>52.441994999999999</v>
      </c>
      <c r="E55" s="227">
        <v>50.153909999999996</v>
      </c>
      <c r="F55" s="236">
        <v>50.2</v>
      </c>
      <c r="G55" s="236">
        <v>52.2</v>
      </c>
      <c r="H55" s="236">
        <v>50.1</v>
      </c>
      <c r="I55" s="236">
        <v>48.679926000000002</v>
      </c>
      <c r="J55" s="236">
        <v>50.140158999999997</v>
      </c>
    </row>
    <row r="56" spans="1:11" ht="15.95" customHeight="1" x14ac:dyDescent="0.3">
      <c r="A56" s="225" t="s">
        <v>57</v>
      </c>
      <c r="B56" s="226">
        <v>37.234067999999994</v>
      </c>
      <c r="C56" s="226">
        <v>18.809654999999999</v>
      </c>
      <c r="D56" s="226">
        <v>17.587529</v>
      </c>
      <c r="E56" s="227">
        <v>24.200327999999999</v>
      </c>
      <c r="F56" s="236">
        <v>20.3</v>
      </c>
      <c r="G56" s="236">
        <v>14.2</v>
      </c>
      <c r="H56" s="236">
        <v>21.5</v>
      </c>
      <c r="I56" s="236">
        <v>16.510287999999999</v>
      </c>
      <c r="J56" s="236">
        <v>25.749377999999997</v>
      </c>
    </row>
    <row r="57" spans="1:11" ht="15.95" customHeight="1" x14ac:dyDescent="0.3">
      <c r="A57" s="225" t="s">
        <v>56</v>
      </c>
      <c r="B57" s="226">
        <v>92.475704999999991</v>
      </c>
      <c r="C57" s="226">
        <v>92.951857000000004</v>
      </c>
      <c r="D57" s="226">
        <v>89.516956999999991</v>
      </c>
      <c r="E57" s="227">
        <v>80.886752999999999</v>
      </c>
      <c r="F57" s="236">
        <v>76.2</v>
      </c>
      <c r="G57" s="236">
        <v>88.4</v>
      </c>
      <c r="H57" s="236">
        <v>85.7</v>
      </c>
      <c r="I57" s="236">
        <v>87.227424999999982</v>
      </c>
      <c r="J57" s="236">
        <v>91.686482999999996</v>
      </c>
    </row>
    <row r="58" spans="1:11" ht="15.95" customHeight="1" x14ac:dyDescent="0.3">
      <c r="A58" s="225" t="s">
        <v>55</v>
      </c>
      <c r="B58" s="226">
        <v>2.9860549999999999</v>
      </c>
      <c r="C58" s="226">
        <v>2.8763540000000001</v>
      </c>
      <c r="D58" s="226">
        <v>2.8659440000000003</v>
      </c>
      <c r="E58" s="227">
        <v>3.0551079999999997</v>
      </c>
      <c r="F58" s="236">
        <v>3.1</v>
      </c>
      <c r="G58" s="236">
        <v>2.7</v>
      </c>
      <c r="H58" s="236">
        <v>3</v>
      </c>
      <c r="I58" s="236">
        <v>4.3849330000000002</v>
      </c>
      <c r="J58" s="236">
        <v>9.6531169999999982</v>
      </c>
    </row>
    <row r="59" spans="1:11" ht="15.95" customHeight="1" x14ac:dyDescent="0.3">
      <c r="A59" s="238" t="s">
        <v>54</v>
      </c>
      <c r="B59" s="239">
        <v>2.801409</v>
      </c>
      <c r="C59" s="239">
        <v>3.2669980000000001</v>
      </c>
      <c r="D59" s="239">
        <v>1.5986889999999998</v>
      </c>
      <c r="E59" s="240">
        <v>0.49371900000000002</v>
      </c>
      <c r="F59" s="241">
        <v>1</v>
      </c>
      <c r="G59" s="241">
        <v>1.2</v>
      </c>
      <c r="H59" s="241">
        <v>0.7</v>
      </c>
      <c r="I59" s="241">
        <v>0.55143900000000012</v>
      </c>
      <c r="J59" s="241">
        <v>0.49019999999999997</v>
      </c>
    </row>
    <row r="60" spans="1:11" ht="12" customHeight="1" x14ac:dyDescent="0.3">
      <c r="A60" s="172"/>
      <c r="B60" s="127"/>
      <c r="C60" s="127"/>
      <c r="D60" s="127"/>
      <c r="E60" s="171"/>
      <c r="F60" s="171"/>
      <c r="G60" s="171"/>
      <c r="H60" s="171"/>
      <c r="I60" s="171"/>
      <c r="J60" s="173" t="s">
        <v>336</v>
      </c>
    </row>
    <row r="61" spans="1:11" s="243" customFormat="1" ht="12.75" customHeight="1" x14ac:dyDescent="0.3">
      <c r="A61" s="515" t="s">
        <v>312</v>
      </c>
      <c r="B61" s="516"/>
      <c r="C61" s="516"/>
      <c r="D61" s="516"/>
      <c r="E61" s="516"/>
      <c r="F61" s="516"/>
      <c r="G61" s="516"/>
      <c r="H61" s="516"/>
      <c r="I61" s="516"/>
      <c r="J61" s="516"/>
    </row>
    <row r="62" spans="1:11" s="243" customFormat="1" ht="12.75" customHeight="1" x14ac:dyDescent="0.3">
      <c r="A62" s="517" t="s">
        <v>110</v>
      </c>
      <c r="B62" s="517"/>
      <c r="C62" s="517"/>
      <c r="D62" s="517"/>
      <c r="E62" s="517"/>
      <c r="F62" s="517"/>
      <c r="G62" s="517"/>
      <c r="H62" s="517"/>
      <c r="I62" s="517"/>
      <c r="J62" s="517"/>
    </row>
    <row r="63" spans="1:11" ht="12" customHeight="1" x14ac:dyDescent="0.3">
      <c r="A63" s="5"/>
      <c r="B63" s="104"/>
      <c r="C63" s="104"/>
      <c r="D63" s="104"/>
      <c r="E63" s="126"/>
      <c r="F63" s="104"/>
      <c r="G63" s="106"/>
      <c r="H63" s="106"/>
      <c r="I63" s="106"/>
      <c r="J63" s="174" t="s">
        <v>337</v>
      </c>
    </row>
    <row r="64" spans="1:11" ht="20.100000000000001" customHeight="1" x14ac:dyDescent="0.3">
      <c r="A64" s="218" t="s">
        <v>109</v>
      </c>
      <c r="B64" s="219" t="s">
        <v>10</v>
      </c>
      <c r="C64" s="219" t="s">
        <v>9</v>
      </c>
      <c r="D64" s="219" t="s">
        <v>8</v>
      </c>
      <c r="E64" s="242">
        <v>2016</v>
      </c>
      <c r="F64" s="220">
        <v>2017</v>
      </c>
      <c r="G64" s="220">
        <v>2018</v>
      </c>
      <c r="H64" s="220">
        <v>2019</v>
      </c>
      <c r="I64" s="220">
        <v>2020</v>
      </c>
      <c r="J64" s="220">
        <v>2021</v>
      </c>
      <c r="K64" s="120"/>
    </row>
    <row r="65" spans="1:11" ht="15.95" customHeight="1" x14ac:dyDescent="0.3">
      <c r="A65" s="225" t="s">
        <v>53</v>
      </c>
      <c r="B65" s="226">
        <v>73.698067000000009</v>
      </c>
      <c r="C65" s="226">
        <v>78.675219999999982</v>
      </c>
      <c r="D65" s="226">
        <v>81.144444000000007</v>
      </c>
      <c r="E65" s="227">
        <v>71.918586999999988</v>
      </c>
      <c r="F65" s="236">
        <v>73.7</v>
      </c>
      <c r="G65" s="236">
        <v>80.2</v>
      </c>
      <c r="H65" s="236">
        <v>83.2</v>
      </c>
      <c r="I65" s="236">
        <v>82.836050999999998</v>
      </c>
      <c r="J65" s="236">
        <v>82.39194599999999</v>
      </c>
    </row>
    <row r="66" spans="1:11" ht="15.95" customHeight="1" x14ac:dyDescent="0.3">
      <c r="A66" s="225" t="s">
        <v>52</v>
      </c>
      <c r="B66" s="226">
        <v>3.7402690000000005</v>
      </c>
      <c r="C66" s="226">
        <v>4.0374599999999994</v>
      </c>
      <c r="D66" s="226">
        <v>3.2879189999999996</v>
      </c>
      <c r="E66" s="227">
        <v>2.3160069999999995</v>
      </c>
      <c r="F66" s="236">
        <v>2.6</v>
      </c>
      <c r="G66" s="236">
        <v>2.7</v>
      </c>
      <c r="H66" s="236">
        <v>2.9</v>
      </c>
      <c r="I66" s="236">
        <v>2.5552619999999999</v>
      </c>
      <c r="J66" s="236">
        <v>2.6251680000000004</v>
      </c>
    </row>
    <row r="67" spans="1:11" ht="15.95" customHeight="1" x14ac:dyDescent="0.3">
      <c r="A67" s="225" t="s">
        <v>51</v>
      </c>
      <c r="B67" s="226">
        <v>0.21940000000000001</v>
      </c>
      <c r="C67" s="226">
        <v>1.7999999999999999E-2</v>
      </c>
      <c r="D67" s="226">
        <v>5.8299999999999998E-2</v>
      </c>
      <c r="E67" s="227">
        <v>0.28549999999999998</v>
      </c>
      <c r="F67" s="236">
        <v>0.1</v>
      </c>
      <c r="G67" s="236">
        <v>0.1</v>
      </c>
      <c r="H67" s="236">
        <v>0.3</v>
      </c>
      <c r="I67" s="236">
        <v>0.29510000000000003</v>
      </c>
      <c r="J67" s="236">
        <v>4.9447999999999999</v>
      </c>
    </row>
    <row r="68" spans="1:11" ht="15.95" customHeight="1" x14ac:dyDescent="0.3">
      <c r="A68" s="225" t="s">
        <v>50</v>
      </c>
      <c r="B68" s="231">
        <v>14.441478</v>
      </c>
      <c r="C68" s="231">
        <v>9.3084769999999999</v>
      </c>
      <c r="D68" s="231">
        <v>11.826293999999999</v>
      </c>
      <c r="E68" s="227">
        <v>13.099817999999999</v>
      </c>
      <c r="F68" s="236">
        <v>10.3</v>
      </c>
      <c r="G68" s="236">
        <v>8.4</v>
      </c>
      <c r="H68" s="236">
        <v>8.1</v>
      </c>
      <c r="I68" s="236">
        <v>9.5002779999999998</v>
      </c>
      <c r="J68" s="236">
        <v>4.1554320000000011</v>
      </c>
    </row>
    <row r="69" spans="1:11" ht="15.95" customHeight="1" x14ac:dyDescent="0.3">
      <c r="A69" s="225" t="s">
        <v>49</v>
      </c>
      <c r="B69" s="226">
        <v>11.745969999999998</v>
      </c>
      <c r="C69" s="226">
        <v>12.042216</v>
      </c>
      <c r="D69" s="226">
        <v>12.155588</v>
      </c>
      <c r="E69" s="227">
        <v>14.019219999999997</v>
      </c>
      <c r="F69" s="236">
        <v>14</v>
      </c>
      <c r="G69" s="236">
        <v>16.7</v>
      </c>
      <c r="H69" s="236">
        <v>16.399999999999999</v>
      </c>
      <c r="I69" s="236">
        <v>15.830038999999999</v>
      </c>
      <c r="J69" s="236">
        <v>15.790040000000001</v>
      </c>
    </row>
    <row r="70" spans="1:11" ht="15.95" customHeight="1" x14ac:dyDescent="0.3">
      <c r="A70" s="225" t="s">
        <v>48</v>
      </c>
      <c r="B70" s="226">
        <v>3.2443500000000003</v>
      </c>
      <c r="C70" s="226">
        <v>2.8184999999999998</v>
      </c>
      <c r="D70" s="226">
        <v>2.702931</v>
      </c>
      <c r="E70" s="227">
        <v>3.3654199999999999</v>
      </c>
      <c r="F70" s="236">
        <v>2.8</v>
      </c>
      <c r="G70" s="236">
        <v>2</v>
      </c>
      <c r="H70" s="236">
        <v>2.7</v>
      </c>
      <c r="I70" s="236">
        <v>1.6987199999999998</v>
      </c>
      <c r="J70" s="236">
        <v>2.2217500000000001</v>
      </c>
    </row>
    <row r="71" spans="1:11" ht="15.95" customHeight="1" x14ac:dyDescent="0.3">
      <c r="A71" s="221" t="s">
        <v>47</v>
      </c>
      <c r="B71" s="226"/>
      <c r="C71" s="226"/>
      <c r="D71" s="226"/>
      <c r="E71" s="227"/>
      <c r="F71" s="236"/>
      <c r="G71" s="236"/>
      <c r="H71" s="236"/>
      <c r="I71" s="236"/>
      <c r="J71" s="236"/>
    </row>
    <row r="72" spans="1:11" ht="15.95" customHeight="1" x14ac:dyDescent="0.3">
      <c r="A72" s="225" t="s">
        <v>46</v>
      </c>
      <c r="B72" s="226">
        <v>10368.8664377</v>
      </c>
      <c r="C72" s="226">
        <v>10992.2402974</v>
      </c>
      <c r="D72" s="226">
        <v>11389.617188400001</v>
      </c>
      <c r="E72" s="227">
        <v>9832.5255915000016</v>
      </c>
      <c r="F72" s="236">
        <v>9399.6</v>
      </c>
      <c r="G72" s="236">
        <v>10336.177907933401</v>
      </c>
      <c r="H72" s="236">
        <v>10902.9</v>
      </c>
      <c r="I72" s="236">
        <v>10468.800330461929</v>
      </c>
      <c r="J72" s="236">
        <v>9827.8076766825452</v>
      </c>
    </row>
    <row r="73" spans="1:11" ht="15.95" customHeight="1" x14ac:dyDescent="0.3">
      <c r="A73" s="221" t="s">
        <v>45</v>
      </c>
      <c r="B73" s="226"/>
      <c r="C73" s="226"/>
      <c r="D73" s="226"/>
      <c r="E73" s="227"/>
      <c r="F73" s="236"/>
      <c r="G73" s="236"/>
      <c r="H73" s="236"/>
      <c r="I73" s="236"/>
      <c r="J73" s="236"/>
    </row>
    <row r="74" spans="1:11" ht="15.95" customHeight="1" x14ac:dyDescent="0.3">
      <c r="A74" s="232" t="s">
        <v>44</v>
      </c>
      <c r="B74" s="233">
        <v>6696.3761020000011</v>
      </c>
      <c r="C74" s="233">
        <v>6986.7857459999996</v>
      </c>
      <c r="D74" s="233">
        <v>6605.0914330000005</v>
      </c>
      <c r="E74" s="227">
        <v>6636.6953429999994</v>
      </c>
      <c r="F74" s="236">
        <v>6582.1</v>
      </c>
      <c r="G74" s="236">
        <v>6591.8</v>
      </c>
      <c r="H74" s="236">
        <v>6848</v>
      </c>
      <c r="I74" s="236">
        <v>7131.867557999999</v>
      </c>
      <c r="J74" s="236">
        <v>7353.4433749999998</v>
      </c>
    </row>
    <row r="75" spans="1:11" ht="15.95" customHeight="1" x14ac:dyDescent="0.3">
      <c r="A75" s="232" t="s">
        <v>43</v>
      </c>
      <c r="B75" s="233">
        <v>110.95433000000001</v>
      </c>
      <c r="C75" s="233">
        <v>82.623080999999985</v>
      </c>
      <c r="D75" s="233">
        <v>92.471463</v>
      </c>
      <c r="E75" s="227">
        <v>45.35826500000001</v>
      </c>
      <c r="F75" s="236">
        <v>23.3</v>
      </c>
      <c r="G75" s="236">
        <v>44.2</v>
      </c>
      <c r="H75" s="236">
        <v>56.4</v>
      </c>
      <c r="I75" s="236">
        <v>19.272871999999996</v>
      </c>
      <c r="J75" s="236">
        <v>17.342587999999999</v>
      </c>
    </row>
    <row r="76" spans="1:11" ht="15.95" customHeight="1" x14ac:dyDescent="0.3">
      <c r="A76" s="232" t="s">
        <v>42</v>
      </c>
      <c r="B76" s="233">
        <v>42.139099999999999</v>
      </c>
      <c r="C76" s="233">
        <v>7.4609999999999994</v>
      </c>
      <c r="D76" s="233">
        <v>0.68500000000000005</v>
      </c>
      <c r="E76" s="227">
        <v>0.224</v>
      </c>
      <c r="F76" s="236" t="s">
        <v>1</v>
      </c>
      <c r="G76" s="236" t="s">
        <v>1</v>
      </c>
      <c r="H76" s="236" t="s">
        <v>1</v>
      </c>
      <c r="I76" s="236" t="s">
        <v>1</v>
      </c>
      <c r="J76" s="236" t="s">
        <v>1</v>
      </c>
    </row>
    <row r="77" spans="1:11" ht="15.95" customHeight="1" x14ac:dyDescent="0.3">
      <c r="A77" s="234" t="s">
        <v>41</v>
      </c>
      <c r="B77" s="235">
        <v>11.552004</v>
      </c>
      <c r="C77" s="235">
        <v>14.088894999999999</v>
      </c>
      <c r="D77" s="235">
        <v>15.700569</v>
      </c>
      <c r="E77" s="240">
        <v>16.433696000000001</v>
      </c>
      <c r="F77" s="241">
        <v>17.399999999999999</v>
      </c>
      <c r="G77" s="241">
        <v>18.399999999999999</v>
      </c>
      <c r="H77" s="241">
        <v>16.100000000000001</v>
      </c>
      <c r="I77" s="241">
        <v>13.504348999999999</v>
      </c>
      <c r="J77" s="241">
        <v>13.476659</v>
      </c>
      <c r="K77" s="105"/>
    </row>
    <row r="78" spans="1:11" s="4" customFormat="1" ht="12" customHeight="1" x14ac:dyDescent="0.25">
      <c r="A78" s="166" t="s">
        <v>331</v>
      </c>
      <c r="B78" s="167"/>
      <c r="C78" s="168"/>
      <c r="D78" s="168"/>
      <c r="E78" s="168"/>
      <c r="F78" s="168"/>
      <c r="G78" s="168"/>
      <c r="H78" s="168"/>
      <c r="I78" s="169"/>
    </row>
    <row r="79" spans="1:11" s="4" customFormat="1" ht="24" customHeight="1" x14ac:dyDescent="0.25">
      <c r="A79" s="518" t="s">
        <v>335</v>
      </c>
      <c r="B79" s="518"/>
      <c r="C79" s="518"/>
      <c r="D79" s="518"/>
      <c r="E79" s="518"/>
      <c r="F79" s="518"/>
      <c r="G79" s="518"/>
      <c r="H79" s="518"/>
      <c r="I79" s="518"/>
      <c r="J79" s="518"/>
    </row>
    <row r="80" spans="1:11" ht="12.75" customHeight="1" x14ac:dyDescent="0.3">
      <c r="A80" s="95"/>
    </row>
  </sheetData>
  <mergeCells count="5">
    <mergeCell ref="A1:J1"/>
    <mergeCell ref="A2:J2"/>
    <mergeCell ref="A79:J79"/>
    <mergeCell ref="A61:J61"/>
    <mergeCell ref="A62:J62"/>
  </mergeCells>
  <printOptions horizontalCentered="1"/>
  <pageMargins left="0.70866141732283472" right="0.70866141732283472" top="0.55118110236220474" bottom="0.5511811023622047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79"/>
  <sheetViews>
    <sheetView showGridLines="0" tabSelected="1" topLeftCell="A49" zoomScaleNormal="100" workbookViewId="0">
      <selection activeCell="E62" sqref="E62:J77"/>
    </sheetView>
  </sheetViews>
  <sheetFormatPr baseColWidth="10" defaultColWidth="11.28515625" defaultRowHeight="12.75" customHeight="1" x14ac:dyDescent="0.3"/>
  <cols>
    <col min="1" max="1" width="29.7109375" style="23" customWidth="1"/>
    <col min="2" max="4" width="10.7109375" style="3" hidden="1" customWidth="1"/>
    <col min="5" max="10" width="9.28515625" style="3" customWidth="1"/>
    <col min="11" max="16384" width="11.28515625" style="23"/>
  </cols>
  <sheetData>
    <row r="1" spans="1:11" s="243" customFormat="1" ht="12.75" customHeight="1" x14ac:dyDescent="0.3">
      <c r="A1" s="519" t="s">
        <v>311</v>
      </c>
      <c r="B1" s="519"/>
      <c r="C1" s="519"/>
      <c r="D1" s="519"/>
      <c r="E1" s="519"/>
      <c r="F1" s="519"/>
      <c r="G1" s="519"/>
      <c r="H1" s="519"/>
      <c r="I1" s="519"/>
      <c r="J1" s="519"/>
    </row>
    <row r="2" spans="1:11" s="243" customFormat="1" ht="12.75" customHeight="1" x14ac:dyDescent="0.3">
      <c r="A2" s="520" t="s">
        <v>112</v>
      </c>
      <c r="B2" s="520"/>
      <c r="C2" s="520"/>
      <c r="D2" s="520"/>
      <c r="E2" s="520"/>
      <c r="F2" s="520"/>
      <c r="G2" s="520"/>
      <c r="H2" s="520"/>
      <c r="I2" s="520"/>
      <c r="J2" s="520"/>
    </row>
    <row r="3" spans="1:11" ht="12.75" customHeight="1" x14ac:dyDescent="0.3">
      <c r="A3" s="5"/>
      <c r="B3" s="104"/>
      <c r="C3" s="104"/>
      <c r="D3" s="104"/>
      <c r="E3" s="126"/>
      <c r="F3" s="104"/>
      <c r="G3" s="104"/>
      <c r="H3" s="104"/>
      <c r="I3" s="104"/>
      <c r="J3" s="104"/>
    </row>
    <row r="4" spans="1:11" ht="20.100000000000001" customHeight="1" x14ac:dyDescent="0.3">
      <c r="A4" s="218" t="s">
        <v>109</v>
      </c>
      <c r="B4" s="219" t="s">
        <v>10</v>
      </c>
      <c r="C4" s="219" t="s">
        <v>9</v>
      </c>
      <c r="D4" s="219" t="s">
        <v>8</v>
      </c>
      <c r="E4" s="242">
        <v>2016</v>
      </c>
      <c r="F4" s="220">
        <v>2017</v>
      </c>
      <c r="G4" s="220">
        <v>2018</v>
      </c>
      <c r="H4" s="220">
        <v>2019</v>
      </c>
      <c r="I4" s="220">
        <v>2020</v>
      </c>
      <c r="J4" s="220">
        <v>2021</v>
      </c>
      <c r="K4" s="120"/>
    </row>
    <row r="5" spans="1:11" s="4" customFormat="1" ht="15.95" customHeight="1" x14ac:dyDescent="0.3">
      <c r="A5" s="244" t="s">
        <v>108</v>
      </c>
      <c r="B5" s="245"/>
      <c r="C5" s="245"/>
      <c r="D5" s="245"/>
      <c r="E5" s="246"/>
      <c r="F5" s="246"/>
      <c r="G5" s="246"/>
      <c r="H5" s="245"/>
      <c r="I5" s="245"/>
      <c r="J5" s="245"/>
    </row>
    <row r="6" spans="1:11" s="4" customFormat="1" ht="15.95" customHeight="1" x14ac:dyDescent="0.3">
      <c r="A6" s="247" t="s">
        <v>107</v>
      </c>
      <c r="B6" s="248">
        <v>1.4887458648308407</v>
      </c>
      <c r="C6" s="248">
        <v>1.49767055122907</v>
      </c>
      <c r="D6" s="248">
        <v>1.5554157094996677</v>
      </c>
      <c r="E6" s="256" t="s">
        <v>338</v>
      </c>
      <c r="F6" s="256">
        <v>1.5045624556353412</v>
      </c>
      <c r="G6" s="256">
        <v>1.5402551553304622</v>
      </c>
      <c r="H6" s="256">
        <v>1.5623148842218599</v>
      </c>
      <c r="I6" s="256">
        <v>1.6333611308297808</v>
      </c>
      <c r="J6" s="256">
        <v>1.7150294995981556</v>
      </c>
    </row>
    <row r="7" spans="1:11" s="4" customFormat="1" ht="15.95" customHeight="1" x14ac:dyDescent="0.3">
      <c r="A7" s="247" t="s">
        <v>106</v>
      </c>
      <c r="B7" s="248">
        <v>4.7244490800533985</v>
      </c>
      <c r="C7" s="248">
        <v>4.646164355283215</v>
      </c>
      <c r="D7" s="248">
        <v>4.5283301873324548</v>
      </c>
      <c r="E7" s="256" t="s">
        <v>339</v>
      </c>
      <c r="F7" s="256">
        <v>4.6961955701875544</v>
      </c>
      <c r="G7" s="256">
        <v>4.937908897749776</v>
      </c>
      <c r="H7" s="256">
        <v>4.9922711848814973</v>
      </c>
      <c r="I7" s="256">
        <v>4.7713080757756376</v>
      </c>
      <c r="J7" s="256">
        <v>5.0338119323363992</v>
      </c>
    </row>
    <row r="8" spans="1:11" s="4" customFormat="1" ht="15.95" customHeight="1" x14ac:dyDescent="0.3">
      <c r="A8" s="247" t="s">
        <v>105</v>
      </c>
      <c r="B8" s="248">
        <v>1.3422733084679523</v>
      </c>
      <c r="C8" s="248">
        <v>1.4180577361318767</v>
      </c>
      <c r="D8" s="248">
        <v>1.4184446217324522</v>
      </c>
      <c r="E8" s="256" t="s">
        <v>340</v>
      </c>
      <c r="F8" s="256">
        <v>1.5172850796422659</v>
      </c>
      <c r="G8" s="256">
        <v>1.538009012910353</v>
      </c>
      <c r="H8" s="256">
        <v>1.5433874204628928</v>
      </c>
      <c r="I8" s="256">
        <v>1.6130265864834161</v>
      </c>
      <c r="J8" s="256">
        <v>1.639516559001259</v>
      </c>
    </row>
    <row r="9" spans="1:11" s="4" customFormat="1" ht="15.95" customHeight="1" x14ac:dyDescent="0.3">
      <c r="A9" s="247" t="s">
        <v>104</v>
      </c>
      <c r="B9" s="248">
        <v>7.7263403725946125</v>
      </c>
      <c r="C9" s="248">
        <v>7.7127574458988697</v>
      </c>
      <c r="D9" s="248">
        <v>7.5953233785246628</v>
      </c>
      <c r="E9" s="256" t="s">
        <v>341</v>
      </c>
      <c r="F9" s="256">
        <v>7.3006475499057881</v>
      </c>
      <c r="G9" s="256">
        <v>8.1242110328475832</v>
      </c>
      <c r="H9" s="256">
        <v>7.7001917465027274</v>
      </c>
      <c r="I9" s="256">
        <v>8.2372599843995271</v>
      </c>
      <c r="J9" s="256">
        <v>8.3187130334511288</v>
      </c>
    </row>
    <row r="10" spans="1:11" s="4" customFormat="1" ht="15.95" customHeight="1" x14ac:dyDescent="0.3">
      <c r="A10" s="247" t="s">
        <v>102</v>
      </c>
      <c r="B10" s="248">
        <v>1.4184497085247016</v>
      </c>
      <c r="C10" s="248">
        <v>1.4568096525389043</v>
      </c>
      <c r="D10" s="248">
        <v>1.5004684595685434</v>
      </c>
      <c r="E10" s="256" t="s">
        <v>338</v>
      </c>
      <c r="F10" s="256">
        <v>1.5257153206201512</v>
      </c>
      <c r="G10" s="256">
        <v>1.5555137205277554</v>
      </c>
      <c r="H10" s="256">
        <v>1.5863946365427954</v>
      </c>
      <c r="I10" s="256">
        <v>1.6175891902207842</v>
      </c>
      <c r="J10" s="256">
        <v>1.7364781653137027</v>
      </c>
    </row>
    <row r="11" spans="1:11" s="4" customFormat="1" ht="15.95" customHeight="1" x14ac:dyDescent="0.3">
      <c r="A11" s="249" t="s">
        <v>103</v>
      </c>
      <c r="B11" s="248">
        <v>1.1484338086719448</v>
      </c>
      <c r="C11" s="248">
        <v>1.1618506962777593</v>
      </c>
      <c r="D11" s="248">
        <v>1.6836526375341481</v>
      </c>
      <c r="E11" s="256" t="s">
        <v>342</v>
      </c>
      <c r="F11" s="256">
        <v>1.2750487698697892</v>
      </c>
      <c r="G11" s="256">
        <v>1.3208662257599555</v>
      </c>
      <c r="H11" s="256">
        <v>1.3785948487862039</v>
      </c>
      <c r="I11" s="256">
        <v>1.4800733633561334</v>
      </c>
      <c r="J11" s="256">
        <v>1.5661080882838345</v>
      </c>
    </row>
    <row r="12" spans="1:11" s="4" customFormat="1" ht="15.95" customHeight="1" x14ac:dyDescent="0.3">
      <c r="A12" s="247" t="s">
        <v>101</v>
      </c>
      <c r="B12" s="248">
        <v>1.6017508731082652</v>
      </c>
      <c r="C12" s="248">
        <v>1.5349044703000612</v>
      </c>
      <c r="D12" s="248">
        <v>1.7336391392311938</v>
      </c>
      <c r="E12" s="256" t="s">
        <v>343</v>
      </c>
      <c r="F12" s="256">
        <v>1.8838970639514609</v>
      </c>
      <c r="G12" s="256">
        <v>2.0666494178525228</v>
      </c>
      <c r="H12" s="256">
        <v>1.8579492334757477</v>
      </c>
      <c r="I12" s="256">
        <v>2.1946124726041041</v>
      </c>
      <c r="J12" s="256">
        <v>2.5215061963775027</v>
      </c>
    </row>
    <row r="13" spans="1:11" s="4" customFormat="1" ht="15.95" customHeight="1" x14ac:dyDescent="0.3">
      <c r="A13" s="247" t="s">
        <v>100</v>
      </c>
      <c r="B13" s="248">
        <v>0.77253776387802975</v>
      </c>
      <c r="C13" s="248">
        <v>0.74000159337157423</v>
      </c>
      <c r="D13" s="248">
        <v>0.7613293712855802</v>
      </c>
      <c r="E13" s="256" t="s">
        <v>344</v>
      </c>
      <c r="F13" s="256">
        <v>0.80537516987768809</v>
      </c>
      <c r="G13" s="256">
        <v>0.76121370067014149</v>
      </c>
      <c r="H13" s="256">
        <v>0.80968876262626266</v>
      </c>
      <c r="I13" s="256">
        <v>0.81392316831683176</v>
      </c>
      <c r="J13" s="256">
        <v>0.83867103136113808</v>
      </c>
    </row>
    <row r="14" spans="1:11" s="4" customFormat="1" ht="15.95" customHeight="1" x14ac:dyDescent="0.3">
      <c r="A14" s="244" t="s">
        <v>99</v>
      </c>
      <c r="B14" s="248"/>
      <c r="C14" s="248"/>
      <c r="D14" s="248"/>
      <c r="E14" s="256"/>
      <c r="F14" s="256"/>
      <c r="G14" s="256"/>
      <c r="H14" s="256"/>
      <c r="I14" s="256"/>
      <c r="J14" s="256"/>
    </row>
    <row r="15" spans="1:11" s="4" customFormat="1" ht="15.95" customHeight="1" x14ac:dyDescent="0.25">
      <c r="A15" s="250" t="s">
        <v>98</v>
      </c>
      <c r="B15" s="248">
        <v>10.725262371946828</v>
      </c>
      <c r="C15" s="248">
        <v>10.521547459029106</v>
      </c>
      <c r="D15" s="248">
        <v>10.762630414831735</v>
      </c>
      <c r="E15" s="256" t="s">
        <v>345</v>
      </c>
      <c r="F15" s="256">
        <v>10.796110782462286</v>
      </c>
      <c r="G15" s="256">
        <v>10.616344686542133</v>
      </c>
      <c r="H15" s="256">
        <v>10.561610805046191</v>
      </c>
      <c r="I15" s="256">
        <v>11.671683115833787</v>
      </c>
      <c r="J15" s="256">
        <v>11.059165924335444</v>
      </c>
    </row>
    <row r="16" spans="1:11" s="4" customFormat="1" ht="15.95" customHeight="1" x14ac:dyDescent="0.25">
      <c r="A16" s="250" t="s">
        <v>97</v>
      </c>
      <c r="B16" s="248">
        <v>3.667944520136996</v>
      </c>
      <c r="C16" s="248">
        <v>3.8147060686795875</v>
      </c>
      <c r="D16" s="248">
        <v>3.8250653639662526</v>
      </c>
      <c r="E16" s="256" t="s">
        <v>346</v>
      </c>
      <c r="F16" s="256">
        <v>3.9632017886284618</v>
      </c>
      <c r="G16" s="256">
        <v>3.984945335722871</v>
      </c>
      <c r="H16" s="256">
        <v>3.8088049724557043</v>
      </c>
      <c r="I16" s="256">
        <v>3.8187809088608335</v>
      </c>
      <c r="J16" s="256">
        <v>3.917377934167245</v>
      </c>
    </row>
    <row r="17" spans="1:10" s="4" customFormat="1" ht="15.95" customHeight="1" x14ac:dyDescent="0.25">
      <c r="A17" s="250" t="s">
        <v>96</v>
      </c>
      <c r="B17" s="248">
        <v>40.377228232703644</v>
      </c>
      <c r="C17" s="248">
        <v>39.247679009755608</v>
      </c>
      <c r="D17" s="248">
        <v>41.647872849381613</v>
      </c>
      <c r="E17" s="256" t="s">
        <v>347</v>
      </c>
      <c r="F17" s="256">
        <v>39.669845995019351</v>
      </c>
      <c r="G17" s="256">
        <v>39.881587616221807</v>
      </c>
      <c r="H17" s="256">
        <v>40.44103108314264</v>
      </c>
      <c r="I17" s="256">
        <v>39.994753885881877</v>
      </c>
      <c r="J17" s="256">
        <v>39.556448035737745</v>
      </c>
    </row>
    <row r="18" spans="1:10" s="4" customFormat="1" ht="15.95" customHeight="1" x14ac:dyDescent="0.3">
      <c r="A18" s="247" t="s">
        <v>95</v>
      </c>
      <c r="B18" s="248">
        <v>11.371554486888666</v>
      </c>
      <c r="C18" s="248">
        <v>11.378366287530069</v>
      </c>
      <c r="D18" s="248">
        <v>11.833052227267956</v>
      </c>
      <c r="E18" s="256" t="s">
        <v>348</v>
      </c>
      <c r="F18" s="256">
        <v>12.161401030440208</v>
      </c>
      <c r="G18" s="256">
        <v>11.63126051233259</v>
      </c>
      <c r="H18" s="256">
        <v>11.255102404555169</v>
      </c>
      <c r="I18" s="256">
        <v>11.111966757669425</v>
      </c>
      <c r="J18" s="256">
        <v>11.670803240515067</v>
      </c>
    </row>
    <row r="19" spans="1:10" s="4" customFormat="1" ht="15.95" customHeight="1" x14ac:dyDescent="0.3">
      <c r="A19" s="247" t="s">
        <v>94</v>
      </c>
      <c r="B19" s="248">
        <v>4.6625951071469292</v>
      </c>
      <c r="C19" s="248">
        <v>4.6647011639115368</v>
      </c>
      <c r="D19" s="248">
        <v>4.7483283587275666</v>
      </c>
      <c r="E19" s="256" t="s">
        <v>349</v>
      </c>
      <c r="F19" s="256">
        <v>4.9026462178083623</v>
      </c>
      <c r="G19" s="256">
        <v>5.2985784641969982</v>
      </c>
      <c r="H19" s="256">
        <v>5.3339522796889272</v>
      </c>
      <c r="I19" s="256">
        <v>5.4549878358366826</v>
      </c>
      <c r="J19" s="256">
        <v>5.6735705713578826</v>
      </c>
    </row>
    <row r="20" spans="1:10" s="4" customFormat="1" ht="15.95" customHeight="1" x14ac:dyDescent="0.3">
      <c r="A20" s="247" t="s">
        <v>93</v>
      </c>
      <c r="B20" s="248">
        <v>8.3290986469972363</v>
      </c>
      <c r="C20" s="248">
        <v>8.6539990747271585</v>
      </c>
      <c r="D20" s="248">
        <v>8.8734072540870077</v>
      </c>
      <c r="E20" s="256" t="s">
        <v>350</v>
      </c>
      <c r="F20" s="256">
        <v>9.5039578871427288</v>
      </c>
      <c r="G20" s="256">
        <v>9.4814235604289863</v>
      </c>
      <c r="H20" s="256">
        <v>9.504043656947271</v>
      </c>
      <c r="I20" s="256">
        <v>9.3804874788211841</v>
      </c>
      <c r="J20" s="256">
        <v>9.3912388115633618</v>
      </c>
    </row>
    <row r="21" spans="1:10" s="4" customFormat="1" ht="15.95" customHeight="1" x14ac:dyDescent="0.3">
      <c r="A21" s="247" t="s">
        <v>92</v>
      </c>
      <c r="B21" s="248">
        <v>41.097057096509872</v>
      </c>
      <c r="C21" s="248">
        <v>43.897351151579137</v>
      </c>
      <c r="D21" s="248">
        <v>44.293668598647614</v>
      </c>
      <c r="E21" s="256" t="s">
        <v>351</v>
      </c>
      <c r="F21" s="256">
        <v>39.085089882869177</v>
      </c>
      <c r="G21" s="256">
        <v>46.128226631996718</v>
      </c>
      <c r="H21" s="256">
        <v>41.849286748027161</v>
      </c>
      <c r="I21" s="256">
        <v>42.095646899852497</v>
      </c>
      <c r="J21" s="256">
        <v>44.119721684019915</v>
      </c>
    </row>
    <row r="22" spans="1:10" s="4" customFormat="1" ht="15.95" customHeight="1" x14ac:dyDescent="0.3">
      <c r="A22" s="244" t="s">
        <v>91</v>
      </c>
      <c r="B22" s="248"/>
      <c r="C22" s="248"/>
      <c r="D22" s="248"/>
      <c r="E22" s="256"/>
      <c r="F22" s="256"/>
      <c r="G22" s="256"/>
      <c r="H22" s="256"/>
      <c r="I22" s="256"/>
      <c r="J22" s="256"/>
    </row>
    <row r="23" spans="1:10" s="4" customFormat="1" ht="15.95" customHeight="1" x14ac:dyDescent="0.3">
      <c r="A23" s="247" t="s">
        <v>90</v>
      </c>
      <c r="B23" s="248">
        <v>1.9464285714285714</v>
      </c>
      <c r="C23" s="248">
        <v>9.5434426229508205</v>
      </c>
      <c r="D23" s="248">
        <v>8.3112956810631236</v>
      </c>
      <c r="E23" s="256" t="s">
        <v>348</v>
      </c>
      <c r="F23" s="256">
        <v>16.980817532467533</v>
      </c>
      <c r="G23" s="256">
        <v>15.414618274752019</v>
      </c>
      <c r="H23" s="256">
        <v>14.785258185730545</v>
      </c>
      <c r="I23" s="256">
        <v>15.000701826891627</v>
      </c>
      <c r="J23" s="256">
        <v>13.843052909344078</v>
      </c>
    </row>
    <row r="24" spans="1:10" s="4" customFormat="1" ht="15.95" customHeight="1" x14ac:dyDescent="0.3">
      <c r="A24" s="247" t="s">
        <v>89</v>
      </c>
      <c r="B24" s="248">
        <v>13.251586551680242</v>
      </c>
      <c r="C24" s="248">
        <v>12.811332016121698</v>
      </c>
      <c r="D24" s="248">
        <v>12.803303159174343</v>
      </c>
      <c r="E24" s="256" t="s">
        <v>352</v>
      </c>
      <c r="F24" s="256">
        <v>12.602098544864786</v>
      </c>
      <c r="G24" s="256">
        <v>13.539947398671591</v>
      </c>
      <c r="H24" s="256">
        <v>12.839659989278678</v>
      </c>
      <c r="I24" s="256">
        <v>13.625097419397845</v>
      </c>
      <c r="J24" s="256">
        <v>13.544325274745804</v>
      </c>
    </row>
    <row r="25" spans="1:10" s="4" customFormat="1" ht="15.95" customHeight="1" x14ac:dyDescent="0.3">
      <c r="A25" s="251" t="s">
        <v>88</v>
      </c>
      <c r="B25" s="257">
        <v>9.7428425864873187</v>
      </c>
      <c r="C25" s="257">
        <v>9.6262547821690401</v>
      </c>
      <c r="D25" s="257">
        <v>13.949477419258976</v>
      </c>
      <c r="E25" s="256" t="s">
        <v>353</v>
      </c>
      <c r="F25" s="256">
        <v>6.8233447830239484</v>
      </c>
      <c r="G25" s="256">
        <v>10.291861182608834</v>
      </c>
      <c r="H25" s="256">
        <v>11.427910169891756</v>
      </c>
      <c r="I25" s="256">
        <v>11.732228584956134</v>
      </c>
      <c r="J25" s="256">
        <v>12.448788436477361</v>
      </c>
    </row>
    <row r="26" spans="1:10" s="4" customFormat="1" ht="15.95" customHeight="1" x14ac:dyDescent="0.3">
      <c r="A26" s="247" t="s">
        <v>87</v>
      </c>
      <c r="B26" s="248">
        <v>24.040816696604224</v>
      </c>
      <c r="C26" s="248">
        <v>25.015738281250002</v>
      </c>
      <c r="D26" s="248">
        <v>25.732393915835829</v>
      </c>
      <c r="E26" s="256" t="s">
        <v>354</v>
      </c>
      <c r="F26" s="256">
        <v>26.617847685985836</v>
      </c>
      <c r="G26" s="256">
        <v>28.585349527944064</v>
      </c>
      <c r="H26" s="256">
        <v>27.882577804324509</v>
      </c>
      <c r="I26" s="256">
        <v>29.071609789735302</v>
      </c>
      <c r="J26" s="256">
        <v>30.55465590199578</v>
      </c>
    </row>
    <row r="27" spans="1:10" s="4" customFormat="1" ht="15.95" customHeight="1" x14ac:dyDescent="0.3">
      <c r="A27" s="247" t="s">
        <v>86</v>
      </c>
      <c r="B27" s="248">
        <v>6.862925916317681</v>
      </c>
      <c r="C27" s="248">
        <v>14.453428247377209</v>
      </c>
      <c r="D27" s="248">
        <v>12.057634395981712</v>
      </c>
      <c r="E27" s="256" t="s">
        <v>355</v>
      </c>
      <c r="F27" s="256">
        <v>13.423193580363721</v>
      </c>
      <c r="G27" s="256">
        <v>13.229100113440323</v>
      </c>
      <c r="H27" s="256">
        <v>13.943651226371161</v>
      </c>
      <c r="I27" s="256">
        <v>15.624396775426074</v>
      </c>
      <c r="J27" s="256">
        <v>14.774812837413162</v>
      </c>
    </row>
    <row r="28" spans="1:10" s="4" customFormat="1" ht="15.95" customHeight="1" x14ac:dyDescent="0.3">
      <c r="A28" s="247" t="s">
        <v>85</v>
      </c>
      <c r="B28" s="248">
        <v>15.425530530740934</v>
      </c>
      <c r="C28" s="248">
        <v>16.565839563697981</v>
      </c>
      <c r="D28" s="248">
        <v>16.54907089401609</v>
      </c>
      <c r="E28" s="256" t="s">
        <v>356</v>
      </c>
      <c r="F28" s="256">
        <v>15.454312825152446</v>
      </c>
      <c r="G28" s="256">
        <v>16.383771684452466</v>
      </c>
      <c r="H28" s="256">
        <v>15.318454408279926</v>
      </c>
      <c r="I28" s="256">
        <v>17.268574848342691</v>
      </c>
      <c r="J28" s="256">
        <v>18.303979746913175</v>
      </c>
    </row>
    <row r="29" spans="1:10" s="4" customFormat="1" ht="15.95" customHeight="1" x14ac:dyDescent="0.3">
      <c r="A29" s="247" t="s">
        <v>84</v>
      </c>
      <c r="B29" s="248">
        <v>15.730597850014673</v>
      </c>
      <c r="C29" s="248">
        <v>15.841010665421768</v>
      </c>
      <c r="D29" s="248">
        <v>16.053908912806858</v>
      </c>
      <c r="E29" s="256" t="s">
        <v>357</v>
      </c>
      <c r="F29" s="256">
        <v>16.805946366528875</v>
      </c>
      <c r="G29" s="256">
        <v>16.139166073696487</v>
      </c>
      <c r="H29" s="256">
        <v>16.039916315279577</v>
      </c>
      <c r="I29" s="256">
        <v>17.5585080050103</v>
      </c>
      <c r="J29" s="256">
        <v>17.497306826097194</v>
      </c>
    </row>
    <row r="30" spans="1:10" s="4" customFormat="1" ht="15.95" customHeight="1" x14ac:dyDescent="0.3">
      <c r="A30" s="247" t="s">
        <v>83</v>
      </c>
      <c r="B30" s="248">
        <v>11.357976017257423</v>
      </c>
      <c r="C30" s="248">
        <v>11.217593669902911</v>
      </c>
      <c r="D30" s="248">
        <v>11.521117487560657</v>
      </c>
      <c r="E30" s="256" t="s">
        <v>358</v>
      </c>
      <c r="F30" s="256">
        <v>12.047708884563111</v>
      </c>
      <c r="G30" s="256">
        <v>12.244927565724655</v>
      </c>
      <c r="H30" s="256">
        <v>11.940058798112831</v>
      </c>
      <c r="I30" s="256">
        <v>13.119125291785055</v>
      </c>
      <c r="J30" s="256">
        <v>14.165901799122778</v>
      </c>
    </row>
    <row r="31" spans="1:10" s="4" customFormat="1" ht="15.95" customHeight="1" x14ac:dyDescent="0.3">
      <c r="A31" s="247" t="s">
        <v>82</v>
      </c>
      <c r="B31" s="248">
        <v>12.766367628865982</v>
      </c>
      <c r="C31" s="248">
        <v>12.646726486486486</v>
      </c>
      <c r="D31" s="248">
        <v>11.8738533965088</v>
      </c>
      <c r="E31" s="256" t="s">
        <v>359</v>
      </c>
      <c r="F31" s="256">
        <v>13.6109633680742</v>
      </c>
      <c r="G31" s="256">
        <v>14.281910572074509</v>
      </c>
      <c r="H31" s="256">
        <v>14.167974054584949</v>
      </c>
      <c r="I31" s="256">
        <v>14.097466718511544</v>
      </c>
      <c r="J31" s="256">
        <v>13.962926416939046</v>
      </c>
    </row>
    <row r="32" spans="1:10" s="4" customFormat="1" ht="15.95" customHeight="1" x14ac:dyDescent="0.3">
      <c r="A32" s="247" t="s">
        <v>81</v>
      </c>
      <c r="B32" s="248">
        <v>3.1768477970627504</v>
      </c>
      <c r="C32" s="248">
        <v>3.0157713178294574</v>
      </c>
      <c r="D32" s="248">
        <v>2.9738151351911326</v>
      </c>
      <c r="E32" s="256" t="s">
        <v>360</v>
      </c>
      <c r="F32" s="256">
        <v>2.9096591255564364</v>
      </c>
      <c r="G32" s="256">
        <v>2.6703940075996084</v>
      </c>
      <c r="H32" s="256">
        <v>2.9172996808124108</v>
      </c>
      <c r="I32" s="256">
        <v>2.6948349696739258</v>
      </c>
      <c r="J32" s="256">
        <v>2.8455208237490988</v>
      </c>
    </row>
    <row r="33" spans="1:10" s="4" customFormat="1" ht="15.95" customHeight="1" x14ac:dyDescent="0.3">
      <c r="A33" s="247" t="s">
        <v>80</v>
      </c>
      <c r="B33" s="248">
        <v>27.356869042399946</v>
      </c>
      <c r="C33" s="248">
        <v>28.721253183185105</v>
      </c>
      <c r="D33" s="248">
        <v>28.603815851620421</v>
      </c>
      <c r="E33" s="256" t="s">
        <v>361</v>
      </c>
      <c r="F33" s="256">
        <v>33.428893205725927</v>
      </c>
      <c r="G33" s="256">
        <v>35.880279236450157</v>
      </c>
      <c r="H33" s="256">
        <v>35.665736094470475</v>
      </c>
      <c r="I33" s="256">
        <v>35.88993629163182</v>
      </c>
      <c r="J33" s="256">
        <v>34.856685689903472</v>
      </c>
    </row>
    <row r="34" spans="1:10" s="4" customFormat="1" ht="15.95" customHeight="1" x14ac:dyDescent="0.3">
      <c r="A34" s="247" t="s">
        <v>79</v>
      </c>
      <c r="B34" s="248">
        <v>17.621244156603041</v>
      </c>
      <c r="C34" s="248">
        <v>20.177514033717671</v>
      </c>
      <c r="D34" s="248">
        <v>21.497811162288045</v>
      </c>
      <c r="E34" s="256" t="s">
        <v>362</v>
      </c>
      <c r="F34" s="256">
        <v>21.970980466400594</v>
      </c>
      <c r="G34" s="256">
        <v>19.836620313057484</v>
      </c>
      <c r="H34" s="256">
        <v>19.249277898150648</v>
      </c>
      <c r="I34" s="256">
        <v>20.859842899435343</v>
      </c>
      <c r="J34" s="256">
        <v>23.125280380969173</v>
      </c>
    </row>
    <row r="35" spans="1:10" s="175" customFormat="1" ht="15.95" customHeight="1" x14ac:dyDescent="0.3">
      <c r="A35" s="252" t="s">
        <v>111</v>
      </c>
      <c r="B35" s="253"/>
      <c r="C35" s="253"/>
      <c r="D35" s="253"/>
      <c r="E35" s="253"/>
      <c r="F35" s="253"/>
      <c r="G35" s="258"/>
      <c r="H35" s="258"/>
      <c r="I35" s="258"/>
      <c r="J35" s="258"/>
    </row>
    <row r="36" spans="1:10" s="4" customFormat="1" ht="15.95" customHeight="1" x14ac:dyDescent="0.3">
      <c r="A36" s="247" t="s">
        <v>74</v>
      </c>
      <c r="B36" s="248">
        <v>1.8213867313915859</v>
      </c>
      <c r="C36" s="248">
        <v>1.7895982849604222</v>
      </c>
      <c r="D36" s="248">
        <v>1.8121690044474856</v>
      </c>
      <c r="E36" s="259" t="s">
        <v>343</v>
      </c>
      <c r="F36" s="260">
        <v>2.0894305720702864</v>
      </c>
      <c r="G36" s="261">
        <v>1.8392784992784994</v>
      </c>
      <c r="H36" s="261">
        <v>1.8657733653724544</v>
      </c>
      <c r="I36" s="261">
        <v>2.3705718701700151</v>
      </c>
      <c r="J36" s="261">
        <v>2.2068388280789142</v>
      </c>
    </row>
    <row r="37" spans="1:10" s="4" customFormat="1" ht="15.95" customHeight="1" x14ac:dyDescent="0.3">
      <c r="A37" s="247" t="s">
        <v>76</v>
      </c>
      <c r="B37" s="248">
        <v>6.9632244130042134</v>
      </c>
      <c r="C37" s="248">
        <v>3.5130093651179766</v>
      </c>
      <c r="D37" s="248">
        <v>8.9344250707157418</v>
      </c>
      <c r="E37" s="259" t="s">
        <v>363</v>
      </c>
      <c r="F37" s="260">
        <v>3.7928234794307158</v>
      </c>
      <c r="G37" s="261">
        <v>8.6343014245639047</v>
      </c>
      <c r="H37" s="261">
        <v>8.8590352671592836</v>
      </c>
      <c r="I37" s="261">
        <v>7.9714576426203276</v>
      </c>
      <c r="J37" s="261">
        <v>5.195484928911962</v>
      </c>
    </row>
    <row r="38" spans="1:10" s="4" customFormat="1" ht="15.95" customHeight="1" x14ac:dyDescent="0.3">
      <c r="A38" s="247" t="s">
        <v>77</v>
      </c>
      <c r="B38" s="248">
        <v>13.806208881578948</v>
      </c>
      <c r="C38" s="248">
        <v>14.085239413680778</v>
      </c>
      <c r="D38" s="248">
        <v>14.303391453831042</v>
      </c>
      <c r="E38" s="259" t="s">
        <v>364</v>
      </c>
      <c r="F38" s="260">
        <v>13.650380721803382</v>
      </c>
      <c r="G38" s="261">
        <v>13.814811846455967</v>
      </c>
      <c r="H38" s="261">
        <v>13.862163224383398</v>
      </c>
      <c r="I38" s="261">
        <v>14.614217495987161</v>
      </c>
      <c r="J38" s="261">
        <v>14.257967534159873</v>
      </c>
    </row>
    <row r="39" spans="1:10" s="4" customFormat="1" ht="15.95" customHeight="1" x14ac:dyDescent="0.3">
      <c r="A39" s="247" t="s">
        <v>75</v>
      </c>
      <c r="B39" s="248">
        <v>13.688542137799853</v>
      </c>
      <c r="C39" s="248">
        <v>16.407953462106512</v>
      </c>
      <c r="D39" s="248">
        <v>16.440708961749475</v>
      </c>
      <c r="E39" s="259" t="s">
        <v>365</v>
      </c>
      <c r="F39" s="260">
        <v>14.46895768725145</v>
      </c>
      <c r="G39" s="261">
        <v>13.906469901572155</v>
      </c>
      <c r="H39" s="261">
        <v>12.472811043815048</v>
      </c>
      <c r="I39" s="261">
        <v>12.08924264417387</v>
      </c>
      <c r="J39" s="261">
        <v>12.355768645550146</v>
      </c>
    </row>
    <row r="40" spans="1:10" s="4" customFormat="1" ht="15.95" customHeight="1" x14ac:dyDescent="0.3">
      <c r="A40" s="244" t="s">
        <v>73</v>
      </c>
      <c r="B40" s="248"/>
      <c r="C40" s="248"/>
      <c r="D40" s="248"/>
      <c r="E40" s="262"/>
      <c r="F40" s="263"/>
      <c r="G40" s="264"/>
      <c r="H40" s="264"/>
      <c r="I40" s="261"/>
      <c r="J40" s="261"/>
    </row>
    <row r="41" spans="1:10" s="4" customFormat="1" ht="15.95" customHeight="1" x14ac:dyDescent="0.3">
      <c r="A41" s="247" t="s">
        <v>72</v>
      </c>
      <c r="B41" s="248">
        <v>17.459126173502991</v>
      </c>
      <c r="C41" s="248">
        <v>18.347986031291413</v>
      </c>
      <c r="D41" s="248">
        <v>17.276774760289172</v>
      </c>
      <c r="E41" s="259" t="s">
        <v>366</v>
      </c>
      <c r="F41" s="260">
        <v>18.174012353467376</v>
      </c>
      <c r="G41" s="261">
        <v>17.9135239483264</v>
      </c>
      <c r="H41" s="261">
        <v>17.992407135086019</v>
      </c>
      <c r="I41" s="261">
        <v>16.997005361424304</v>
      </c>
      <c r="J41" s="261">
        <v>18.42766978265626</v>
      </c>
    </row>
    <row r="42" spans="1:10" s="4" customFormat="1" ht="15.95" customHeight="1" x14ac:dyDescent="0.3">
      <c r="A42" s="247" t="s">
        <v>70</v>
      </c>
      <c r="B42" s="248"/>
      <c r="C42" s="248">
        <v>6.4339541678699437</v>
      </c>
      <c r="D42" s="248">
        <v>6.4580305188922251</v>
      </c>
      <c r="E42" s="259" t="s">
        <v>367</v>
      </c>
      <c r="F42" s="260">
        <v>6.8572865960580769</v>
      </c>
      <c r="G42" s="261">
        <v>6.9554571152785449</v>
      </c>
      <c r="H42" s="261">
        <v>6.8101893836815908</v>
      </c>
      <c r="I42" s="261">
        <v>7.1190262415961829</v>
      </c>
      <c r="J42" s="261">
        <v>7.3917307197078888</v>
      </c>
    </row>
    <row r="43" spans="1:10" s="4" customFormat="1" ht="15.95" customHeight="1" x14ac:dyDescent="0.3">
      <c r="A43" s="247" t="s">
        <v>71</v>
      </c>
      <c r="B43" s="248">
        <v>6.2206362691222328</v>
      </c>
      <c r="C43" s="248">
        <v>6.2588151277408972</v>
      </c>
      <c r="D43" s="248">
        <v>6.2848652320165606</v>
      </c>
      <c r="E43" s="259" t="s">
        <v>368</v>
      </c>
      <c r="F43" s="260">
        <v>6.8337651956702734</v>
      </c>
      <c r="G43" s="261">
        <v>7.3458385194890274</v>
      </c>
      <c r="H43" s="261">
        <v>6.9877346468738963</v>
      </c>
      <c r="I43" s="261">
        <v>7.1092685319890379</v>
      </c>
      <c r="J43" s="261">
        <v>7.2921955496180013</v>
      </c>
    </row>
    <row r="44" spans="1:10" s="4" customFormat="1" ht="15.95" customHeight="1" x14ac:dyDescent="0.3">
      <c r="A44" s="247" t="s">
        <v>69</v>
      </c>
      <c r="B44" s="248">
        <v>6.5434550811070507</v>
      </c>
      <c r="C44" s="248">
        <v>6.5834346362710709</v>
      </c>
      <c r="D44" s="248">
        <v>6.5835228817085012</v>
      </c>
      <c r="E44" s="259" t="s">
        <v>367</v>
      </c>
      <c r="F44" s="260">
        <v>6.9843721544953192</v>
      </c>
      <c r="G44" s="261">
        <v>6.8944532729805017</v>
      </c>
      <c r="H44" s="261">
        <v>6.9840102115938958</v>
      </c>
      <c r="I44" s="261">
        <v>7.0046448715694369</v>
      </c>
      <c r="J44" s="261">
        <v>7.3501557975188385</v>
      </c>
    </row>
    <row r="45" spans="1:10" s="4" customFormat="1" ht="15.95" customHeight="1" x14ac:dyDescent="0.3">
      <c r="A45" s="247" t="s">
        <v>68</v>
      </c>
      <c r="B45" s="248">
        <v>14.325032922160025</v>
      </c>
      <c r="C45" s="248">
        <v>14.413234564074216</v>
      </c>
      <c r="D45" s="248">
        <v>14.7779132362369</v>
      </c>
      <c r="E45" s="259" t="s">
        <v>369</v>
      </c>
      <c r="F45" s="260">
        <v>15.467464837941822</v>
      </c>
      <c r="G45" s="261">
        <v>15.901197193742759</v>
      </c>
      <c r="H45" s="261">
        <v>16.272970227236598</v>
      </c>
      <c r="I45" s="261">
        <v>16.555103699429161</v>
      </c>
      <c r="J45" s="261">
        <v>17.124546322342926</v>
      </c>
    </row>
    <row r="46" spans="1:10" s="4" customFormat="1" ht="15.95" customHeight="1" x14ac:dyDescent="0.3">
      <c r="A46" s="247" t="s">
        <v>67</v>
      </c>
      <c r="B46" s="248"/>
      <c r="C46" s="248"/>
      <c r="D46" s="248"/>
      <c r="E46" s="265">
        <v>4.9669999999999996</v>
      </c>
      <c r="F46" s="265">
        <v>5.3415309552206436</v>
      </c>
      <c r="G46" s="265">
        <v>8.3125717570730444</v>
      </c>
      <c r="H46" s="265">
        <v>8.4963698144673749</v>
      </c>
      <c r="I46" s="261">
        <v>8.6144742589703593</v>
      </c>
      <c r="J46" s="261">
        <v>8.7771305595408879</v>
      </c>
    </row>
    <row r="47" spans="1:10" s="4" customFormat="1" ht="15.95" customHeight="1" x14ac:dyDescent="0.3">
      <c r="A47" s="247" t="s">
        <v>66</v>
      </c>
      <c r="B47" s="248">
        <v>12.099191136533543</v>
      </c>
      <c r="C47" s="248">
        <v>12.029786721963216</v>
      </c>
      <c r="D47" s="248">
        <v>12.210576013402079</v>
      </c>
      <c r="E47" s="259" t="s">
        <v>370</v>
      </c>
      <c r="F47" s="260">
        <v>12.199725731471963</v>
      </c>
      <c r="G47" s="261">
        <v>11.867211032536074</v>
      </c>
      <c r="H47" s="261">
        <v>12.329330187679075</v>
      </c>
      <c r="I47" s="261">
        <v>12.358968930712967</v>
      </c>
      <c r="J47" s="261">
        <v>12.245608305398202</v>
      </c>
    </row>
    <row r="48" spans="1:10" s="4" customFormat="1" ht="15.95" customHeight="1" x14ac:dyDescent="0.3">
      <c r="A48" s="230" t="s">
        <v>65</v>
      </c>
      <c r="B48" s="248"/>
      <c r="C48" s="248"/>
      <c r="D48" s="248"/>
      <c r="E48" s="262"/>
      <c r="F48" s="263"/>
      <c r="G48" s="264"/>
      <c r="H48" s="264"/>
      <c r="I48" s="261"/>
      <c r="J48" s="261"/>
    </row>
    <row r="49" spans="1:11" s="4" customFormat="1" ht="15.95" customHeight="1" x14ac:dyDescent="0.25">
      <c r="A49" s="225" t="s">
        <v>64</v>
      </c>
      <c r="B49" s="248"/>
      <c r="C49" s="248">
        <v>13.122707070707072</v>
      </c>
      <c r="D49" s="248">
        <v>13.457535123966942</v>
      </c>
      <c r="E49" s="259" t="s">
        <v>371</v>
      </c>
      <c r="F49" s="260">
        <v>12.919576216216218</v>
      </c>
      <c r="G49" s="261">
        <v>13.561116182572613</v>
      </c>
      <c r="H49" s="261">
        <v>13.882385199240986</v>
      </c>
      <c r="I49" s="261">
        <v>12.50989880952381</v>
      </c>
      <c r="J49" s="261">
        <v>13.488656000000001</v>
      </c>
    </row>
    <row r="50" spans="1:11" s="4" customFormat="1" ht="15.95" customHeight="1" x14ac:dyDescent="0.3">
      <c r="A50" s="247" t="s">
        <v>63</v>
      </c>
      <c r="B50" s="248">
        <v>0.68299048056220424</v>
      </c>
      <c r="C50" s="248">
        <v>0.73596203296759577</v>
      </c>
      <c r="D50" s="248">
        <v>0.76570664142265821</v>
      </c>
      <c r="E50" s="259" t="s">
        <v>372</v>
      </c>
      <c r="F50" s="260">
        <v>0.97412253571956942</v>
      </c>
      <c r="G50" s="261">
        <v>0.83952573151632304</v>
      </c>
      <c r="H50" s="261">
        <v>0.83388770077380403</v>
      </c>
      <c r="I50" s="261">
        <v>0.89458074915032493</v>
      </c>
      <c r="J50" s="261">
        <v>0.86709117824440829</v>
      </c>
    </row>
    <row r="51" spans="1:11" s="4" customFormat="1" ht="15.95" customHeight="1" x14ac:dyDescent="0.3">
      <c r="A51" s="247" t="s">
        <v>62</v>
      </c>
      <c r="B51" s="248">
        <v>0.81983279601969661</v>
      </c>
      <c r="C51" s="248">
        <v>0.64266428950344812</v>
      </c>
      <c r="D51" s="248">
        <v>0.61394837289743009</v>
      </c>
      <c r="E51" s="259" t="s">
        <v>344</v>
      </c>
      <c r="F51" s="260">
        <v>0.88048732791846274</v>
      </c>
      <c r="G51" s="261">
        <v>0.85479812667613064</v>
      </c>
      <c r="H51" s="261">
        <v>0.82916152050731229</v>
      </c>
      <c r="I51" s="261">
        <v>0.81984569510712824</v>
      </c>
      <c r="J51" s="261">
        <v>0.81325848512972287</v>
      </c>
    </row>
    <row r="52" spans="1:11" s="4" customFormat="1" ht="15.95" customHeight="1" x14ac:dyDescent="0.3">
      <c r="A52" s="247" t="s">
        <v>61</v>
      </c>
      <c r="B52" s="248"/>
      <c r="C52" s="248">
        <v>6.6675789278082327</v>
      </c>
      <c r="D52" s="248">
        <v>7.077299866543477</v>
      </c>
      <c r="E52" s="259" t="s">
        <v>373</v>
      </c>
      <c r="F52" s="260">
        <v>6.3079181972124525</v>
      </c>
      <c r="G52" s="261">
        <v>5.9220182864883162</v>
      </c>
      <c r="H52" s="261">
        <v>5.7540998031573052</v>
      </c>
      <c r="I52" s="261">
        <v>5.5985821007022265</v>
      </c>
      <c r="J52" s="261">
        <v>6.1156872849349559</v>
      </c>
    </row>
    <row r="53" spans="1:11" s="4" customFormat="1" ht="15.95" customHeight="1" x14ac:dyDescent="0.3">
      <c r="A53" s="247" t="s">
        <v>60</v>
      </c>
      <c r="B53" s="248">
        <v>1.5351095216808224</v>
      </c>
      <c r="C53" s="248">
        <v>1.9378510542844327</v>
      </c>
      <c r="D53" s="248">
        <v>1.7363464813984759</v>
      </c>
      <c r="E53" s="259" t="s">
        <v>374</v>
      </c>
      <c r="F53" s="260">
        <v>1.0478580813452625</v>
      </c>
      <c r="G53" s="261">
        <v>0.61083896396396409</v>
      </c>
      <c r="H53" s="261">
        <v>0.78436470588235296</v>
      </c>
      <c r="I53" s="261">
        <v>0.80214480741101901</v>
      </c>
      <c r="J53" s="261">
        <v>0.84095812807881776</v>
      </c>
    </row>
    <row r="54" spans="1:11" s="4" customFormat="1" ht="15.95" customHeight="1" x14ac:dyDescent="0.3">
      <c r="A54" s="254" t="s">
        <v>59</v>
      </c>
      <c r="B54" s="248"/>
      <c r="C54" s="248"/>
      <c r="D54" s="248"/>
      <c r="E54" s="501"/>
      <c r="F54" s="260"/>
      <c r="G54" s="261"/>
      <c r="H54" s="261"/>
      <c r="I54" s="261"/>
      <c r="J54" s="261"/>
    </row>
    <row r="55" spans="1:11" s="4" customFormat="1" ht="15.95" customHeight="1" x14ac:dyDescent="0.3">
      <c r="A55" s="255" t="s">
        <v>58</v>
      </c>
      <c r="B55" s="248">
        <v>1.001936993641569</v>
      </c>
      <c r="C55" s="248">
        <v>1.0195016390367433</v>
      </c>
      <c r="D55" s="248">
        <v>1.061643318420147</v>
      </c>
      <c r="E55" s="260" t="s">
        <v>375</v>
      </c>
      <c r="F55" s="260">
        <v>1.0638342446396754</v>
      </c>
      <c r="G55" s="261">
        <v>1.1163045212908196</v>
      </c>
      <c r="H55" s="261">
        <v>1.1300483433743427</v>
      </c>
      <c r="I55" s="261">
        <v>1.1455380542531224</v>
      </c>
      <c r="J55" s="261">
        <v>1.1775131630242313</v>
      </c>
    </row>
    <row r="56" spans="1:11" s="4" customFormat="1" ht="15.95" customHeight="1" x14ac:dyDescent="0.3">
      <c r="A56" s="266" t="s">
        <v>57</v>
      </c>
      <c r="B56" s="267">
        <v>1.4444686348294988</v>
      </c>
      <c r="C56" s="267">
        <v>1.2166659120310477</v>
      </c>
      <c r="D56" s="267">
        <v>1.3763213641503602</v>
      </c>
      <c r="E56" s="268" t="s">
        <v>340</v>
      </c>
      <c r="F56" s="269">
        <v>1.1441841811437077</v>
      </c>
      <c r="G56" s="270">
        <v>1.2221396019264961</v>
      </c>
      <c r="H56" s="270">
        <v>1.3638497168022239</v>
      </c>
      <c r="I56" s="270">
        <v>1.3814348766477988</v>
      </c>
      <c r="J56" s="270">
        <v>1.5575665081842269</v>
      </c>
    </row>
    <row r="57" spans="1:11" ht="12" customHeight="1" x14ac:dyDescent="0.3">
      <c r="A57" s="172"/>
      <c r="B57" s="127"/>
      <c r="C57" s="127"/>
      <c r="D57" s="127"/>
      <c r="E57" s="171"/>
      <c r="F57" s="171"/>
      <c r="G57" s="171"/>
      <c r="H57" s="171"/>
      <c r="I57" s="171"/>
      <c r="J57" s="173" t="s">
        <v>336</v>
      </c>
    </row>
    <row r="58" spans="1:11" ht="12.75" customHeight="1" x14ac:dyDescent="0.3">
      <c r="A58" s="502" t="s">
        <v>311</v>
      </c>
      <c r="B58" s="502"/>
      <c r="C58" s="502"/>
      <c r="D58" s="502"/>
      <c r="E58" s="502"/>
      <c r="F58" s="502"/>
      <c r="G58" s="502"/>
      <c r="H58" s="502"/>
      <c r="I58" s="502"/>
      <c r="J58" s="502"/>
    </row>
    <row r="59" spans="1:11" ht="12.75" customHeight="1" x14ac:dyDescent="0.3">
      <c r="A59" s="521" t="s">
        <v>112</v>
      </c>
      <c r="B59" s="521"/>
      <c r="C59" s="521"/>
      <c r="D59" s="521"/>
      <c r="E59" s="521"/>
      <c r="F59" s="521"/>
      <c r="G59" s="521"/>
      <c r="H59" s="521"/>
      <c r="I59" s="521"/>
      <c r="J59" s="521"/>
    </row>
    <row r="60" spans="1:11" ht="12" customHeight="1" x14ac:dyDescent="0.3">
      <c r="A60" s="5"/>
      <c r="B60" s="104"/>
      <c r="C60" s="104"/>
      <c r="D60" s="104"/>
      <c r="E60" s="126"/>
      <c r="F60" s="104"/>
      <c r="G60" s="106"/>
      <c r="H60" s="106"/>
      <c r="I60" s="106"/>
      <c r="J60" s="174" t="s">
        <v>337</v>
      </c>
    </row>
    <row r="61" spans="1:11" ht="20.100000000000001" customHeight="1" x14ac:dyDescent="0.3">
      <c r="A61" s="218" t="s">
        <v>109</v>
      </c>
      <c r="B61" s="219" t="s">
        <v>10</v>
      </c>
      <c r="C61" s="219" t="s">
        <v>9</v>
      </c>
      <c r="D61" s="219" t="s">
        <v>8</v>
      </c>
      <c r="E61" s="242">
        <v>2016</v>
      </c>
      <c r="F61" s="220">
        <v>2017</v>
      </c>
      <c r="G61" s="220">
        <v>2018</v>
      </c>
      <c r="H61" s="220">
        <v>2019</v>
      </c>
      <c r="I61" s="220">
        <v>2020</v>
      </c>
      <c r="J61" s="220">
        <v>2021</v>
      </c>
      <c r="K61" s="120"/>
    </row>
    <row r="62" spans="1:11" s="4" customFormat="1" ht="15.95" customHeight="1" x14ac:dyDescent="0.3">
      <c r="A62" s="247" t="s">
        <v>56</v>
      </c>
      <c r="B62" s="248">
        <v>1.1321657372714808</v>
      </c>
      <c r="C62" s="248">
        <v>1.1443024172674801</v>
      </c>
      <c r="D62" s="248">
        <v>1.1660408623160088</v>
      </c>
      <c r="E62" s="271" t="s">
        <v>376</v>
      </c>
      <c r="F62" s="271">
        <v>1.1478349723822208</v>
      </c>
      <c r="G62" s="271">
        <v>1.1856818909089935</v>
      </c>
      <c r="H62" s="271">
        <v>1.191005698371745</v>
      </c>
      <c r="I62" s="271">
        <v>1.2678063889270417</v>
      </c>
      <c r="J62" s="271">
        <v>1.2970082082875056</v>
      </c>
    </row>
    <row r="63" spans="1:11" s="4" customFormat="1" ht="15.95" customHeight="1" x14ac:dyDescent="0.3">
      <c r="A63" s="247" t="s">
        <v>55</v>
      </c>
      <c r="B63" s="248">
        <v>0.95706891025641017</v>
      </c>
      <c r="C63" s="248">
        <v>1.4010491962981004</v>
      </c>
      <c r="D63" s="248">
        <v>1.448177867609904</v>
      </c>
      <c r="E63" s="260" t="s">
        <v>343</v>
      </c>
      <c r="F63" s="260">
        <v>3.9966543367346938</v>
      </c>
      <c r="G63" s="260">
        <v>3.7420719322990128</v>
      </c>
      <c r="H63" s="260">
        <v>1.5217391527599486</v>
      </c>
      <c r="I63" s="260">
        <v>1.2748751271987206</v>
      </c>
      <c r="J63" s="260">
        <v>3.617431890575229</v>
      </c>
    </row>
    <row r="64" spans="1:11" s="4" customFormat="1" ht="15.95" customHeight="1" x14ac:dyDescent="0.3">
      <c r="A64" s="247" t="s">
        <v>54</v>
      </c>
      <c r="B64" s="248">
        <v>1.1653115640599003</v>
      </c>
      <c r="C64" s="248">
        <v>1.3178693021379588</v>
      </c>
      <c r="D64" s="248">
        <v>1.1571705692881182</v>
      </c>
      <c r="E64" s="260" t="s">
        <v>376</v>
      </c>
      <c r="F64" s="260">
        <v>1.1366527981248169</v>
      </c>
      <c r="G64" s="260">
        <v>1.2315885482645046</v>
      </c>
      <c r="H64" s="260">
        <v>1.1570851030360232</v>
      </c>
      <c r="I64" s="260">
        <v>1.3352033898305085</v>
      </c>
      <c r="J64" s="260">
        <v>1.2765625</v>
      </c>
    </row>
    <row r="65" spans="1:10" s="4" customFormat="1" ht="15.95" customHeight="1" x14ac:dyDescent="0.3">
      <c r="A65" s="247" t="s">
        <v>53</v>
      </c>
      <c r="B65" s="248">
        <v>1.31985433010702</v>
      </c>
      <c r="C65" s="248">
        <v>1.3687548527160394</v>
      </c>
      <c r="D65" s="248">
        <v>1.3927734567090706</v>
      </c>
      <c r="E65" s="260" t="s">
        <v>377</v>
      </c>
      <c r="F65" s="260">
        <v>1.4392598522828788</v>
      </c>
      <c r="G65" s="260">
        <v>1.4740939306026182</v>
      </c>
      <c r="H65" s="260">
        <v>1.4904793857587355</v>
      </c>
      <c r="I65" s="260">
        <v>1.5237593066601425</v>
      </c>
      <c r="J65" s="260">
        <v>1.566482105375232</v>
      </c>
    </row>
    <row r="66" spans="1:10" s="4" customFormat="1" ht="15.95" customHeight="1" x14ac:dyDescent="0.3">
      <c r="A66" s="247" t="s">
        <v>52</v>
      </c>
      <c r="B66" s="248">
        <v>0.94618492284341027</v>
      </c>
      <c r="C66" s="248">
        <v>0.96267525035765367</v>
      </c>
      <c r="D66" s="248">
        <v>0.96448195951892046</v>
      </c>
      <c r="E66" s="260" t="s">
        <v>372</v>
      </c>
      <c r="F66" s="260">
        <v>0.91100326966098788</v>
      </c>
      <c r="G66" s="260">
        <v>0.91222560460003366</v>
      </c>
      <c r="H66" s="260">
        <v>0.92555075733161429</v>
      </c>
      <c r="I66" s="260">
        <v>0.91750879712746869</v>
      </c>
      <c r="J66" s="260">
        <v>0.9150115022655978</v>
      </c>
    </row>
    <row r="67" spans="1:10" s="4" customFormat="1" ht="15.95" customHeight="1" x14ac:dyDescent="0.3">
      <c r="A67" s="247" t="s">
        <v>51</v>
      </c>
      <c r="B67" s="248">
        <v>1.9078260869565218</v>
      </c>
      <c r="C67" s="248">
        <v>1.4999999999999998</v>
      </c>
      <c r="D67" s="248">
        <v>1.4575</v>
      </c>
      <c r="E67" s="260" t="s">
        <v>338</v>
      </c>
      <c r="F67" s="260">
        <v>1.5</v>
      </c>
      <c r="G67" s="260">
        <v>1.3712871287128714</v>
      </c>
      <c r="H67" s="260">
        <v>1.5</v>
      </c>
      <c r="I67" s="260">
        <v>1.5133333333333334</v>
      </c>
      <c r="J67" s="260">
        <v>1.7205288796102993</v>
      </c>
    </row>
    <row r="68" spans="1:10" s="4" customFormat="1" ht="15.95" customHeight="1" x14ac:dyDescent="0.3">
      <c r="A68" s="247" t="s">
        <v>50</v>
      </c>
      <c r="B68" s="248">
        <v>1.7992068851241751</v>
      </c>
      <c r="C68" s="248">
        <v>1.6392204064382068</v>
      </c>
      <c r="D68" s="248">
        <v>1.7380873578084124</v>
      </c>
      <c r="E68" s="260" t="s">
        <v>378</v>
      </c>
      <c r="F68" s="260">
        <v>1.3477301262746686</v>
      </c>
      <c r="G68" s="260">
        <v>1.5297993592677346</v>
      </c>
      <c r="H68" s="260">
        <v>1.4354113561474717</v>
      </c>
      <c r="I68" s="260">
        <v>1.54841137641594</v>
      </c>
      <c r="J68" s="260">
        <v>1.1272024955920248</v>
      </c>
    </row>
    <row r="69" spans="1:10" s="4" customFormat="1" ht="15.95" customHeight="1" x14ac:dyDescent="0.3">
      <c r="A69" s="247" t="s">
        <v>49</v>
      </c>
      <c r="B69" s="248">
        <v>1.216316661489075</v>
      </c>
      <c r="C69" s="248">
        <v>1.2511393246753246</v>
      </c>
      <c r="D69" s="248">
        <v>1.2745647763197216</v>
      </c>
      <c r="E69" s="260" t="s">
        <v>377</v>
      </c>
      <c r="F69" s="260">
        <v>1.3363850850956072</v>
      </c>
      <c r="G69" s="260">
        <v>1.4254805228088157</v>
      </c>
      <c r="H69" s="260">
        <v>1.3797106075561247</v>
      </c>
      <c r="I69" s="260">
        <v>1.3983206943002893</v>
      </c>
      <c r="J69" s="260">
        <v>1.4240656565656566</v>
      </c>
    </row>
    <row r="70" spans="1:10" s="4" customFormat="1" ht="15.95" customHeight="1" x14ac:dyDescent="0.3">
      <c r="A70" s="247" t="s">
        <v>48</v>
      </c>
      <c r="B70" s="248">
        <v>1.5779912451361868</v>
      </c>
      <c r="C70" s="248">
        <v>1.1792887029288701</v>
      </c>
      <c r="D70" s="248">
        <v>1.1875795254833041</v>
      </c>
      <c r="E70" s="260" t="s">
        <v>340</v>
      </c>
      <c r="F70" s="260">
        <v>1.131313046937152</v>
      </c>
      <c r="G70" s="260">
        <v>1.1480580304806565</v>
      </c>
      <c r="H70" s="260">
        <v>1.2129956531686112</v>
      </c>
      <c r="I70" s="260">
        <v>1.2376830601092896</v>
      </c>
      <c r="J70" s="260">
        <v>1.4292376970086844</v>
      </c>
    </row>
    <row r="71" spans="1:10" s="4" customFormat="1" ht="15.95" customHeight="1" x14ac:dyDescent="0.3">
      <c r="A71" s="244" t="s">
        <v>47</v>
      </c>
      <c r="B71" s="248"/>
      <c r="C71" s="248"/>
      <c r="D71" s="248"/>
      <c r="E71" s="260"/>
      <c r="F71" s="260"/>
      <c r="G71" s="260"/>
      <c r="H71" s="260"/>
      <c r="I71" s="260"/>
      <c r="J71" s="260"/>
    </row>
    <row r="72" spans="1:10" s="4" customFormat="1" ht="15.95" customHeight="1" x14ac:dyDescent="0.3">
      <c r="A72" s="247" t="s">
        <v>46</v>
      </c>
      <c r="B72" s="248">
        <v>127.81186095418896</v>
      </c>
      <c r="C72" s="248">
        <v>133.71704327571371</v>
      </c>
      <c r="D72" s="248">
        <v>126.05134743514236</v>
      </c>
      <c r="E72" s="260" t="s">
        <v>379</v>
      </c>
      <c r="F72" s="260">
        <v>121.24589446283423</v>
      </c>
      <c r="G72" s="260">
        <v>121.83382225444372</v>
      </c>
      <c r="H72" s="260">
        <v>126.08505878114669</v>
      </c>
      <c r="I72" s="260">
        <v>123.75980522020043</v>
      </c>
      <c r="J72" s="260">
        <v>115.82301962836256</v>
      </c>
    </row>
    <row r="73" spans="1:10" s="4" customFormat="1" ht="15.95" customHeight="1" x14ac:dyDescent="0.3">
      <c r="A73" s="244" t="s">
        <v>45</v>
      </c>
      <c r="B73" s="248"/>
      <c r="C73" s="248"/>
      <c r="D73" s="248"/>
      <c r="E73" s="260"/>
      <c r="F73" s="260"/>
      <c r="G73" s="260"/>
      <c r="H73" s="260"/>
      <c r="I73" s="260"/>
      <c r="J73" s="260"/>
    </row>
    <row r="74" spans="1:10" s="4" customFormat="1" ht="15.95" customHeight="1" x14ac:dyDescent="0.3">
      <c r="A74" s="247" t="s">
        <v>44</v>
      </c>
      <c r="B74" s="248">
        <v>43.552815893023237</v>
      </c>
      <c r="C74" s="248">
        <v>43.69690632426888</v>
      </c>
      <c r="D74" s="248">
        <v>41.953342386999722</v>
      </c>
      <c r="E74" s="260" t="s">
        <v>380</v>
      </c>
      <c r="F74" s="260">
        <v>38.486542609616137</v>
      </c>
      <c r="G74" s="260">
        <v>38.557182480247235</v>
      </c>
      <c r="H74" s="260">
        <v>37.867683627486578</v>
      </c>
      <c r="I74" s="260">
        <v>38.062995395188643</v>
      </c>
      <c r="J74" s="260">
        <v>37.051005345342112</v>
      </c>
    </row>
    <row r="75" spans="1:10" s="4" customFormat="1" ht="15.95" customHeight="1" x14ac:dyDescent="0.3">
      <c r="A75" s="247" t="s">
        <v>43</v>
      </c>
      <c r="B75" s="248">
        <v>2.1890959850054257</v>
      </c>
      <c r="C75" s="248">
        <v>2.632062724984868</v>
      </c>
      <c r="D75" s="248">
        <v>2.9402494609733929</v>
      </c>
      <c r="E75" s="260" t="s">
        <v>381</v>
      </c>
      <c r="F75" s="260">
        <v>2.9372866753492435</v>
      </c>
      <c r="G75" s="260">
        <v>3.0269086588963354</v>
      </c>
      <c r="H75" s="260">
        <v>2.9887185211990333</v>
      </c>
      <c r="I75" s="260">
        <v>2.7308897378056374</v>
      </c>
      <c r="J75" s="260">
        <v>3.423093153848431</v>
      </c>
    </row>
    <row r="76" spans="1:10" s="4" customFormat="1" ht="15.95" customHeight="1" x14ac:dyDescent="0.3">
      <c r="A76" s="247" t="s">
        <v>42</v>
      </c>
      <c r="B76" s="248">
        <v>16.835437475029963</v>
      </c>
      <c r="C76" s="248">
        <v>17.151724137931033</v>
      </c>
      <c r="D76" s="248">
        <v>16.707317073170731</v>
      </c>
      <c r="E76" s="260" t="s">
        <v>382</v>
      </c>
      <c r="F76" s="260" t="s">
        <v>383</v>
      </c>
      <c r="G76" s="260">
        <v>0</v>
      </c>
      <c r="H76" s="260">
        <v>0</v>
      </c>
      <c r="I76" s="260">
        <v>0</v>
      </c>
      <c r="J76" s="260">
        <v>0</v>
      </c>
    </row>
    <row r="77" spans="1:10" s="4" customFormat="1" ht="15.95" customHeight="1" x14ac:dyDescent="0.3">
      <c r="A77" s="272" t="s">
        <v>41</v>
      </c>
      <c r="B77" s="267">
        <v>3.9340300977717848</v>
      </c>
      <c r="C77" s="267">
        <v>4.0480328580089244</v>
      </c>
      <c r="D77" s="267">
        <v>4.4684117506432006</v>
      </c>
      <c r="E77" s="269" t="s">
        <v>384</v>
      </c>
      <c r="F77" s="269">
        <v>4.5137798097248849</v>
      </c>
      <c r="G77" s="269">
        <v>4.7678728987650993</v>
      </c>
      <c r="H77" s="269">
        <v>4.0076073478817333</v>
      </c>
      <c r="I77" s="269">
        <v>4.0907022534025197</v>
      </c>
      <c r="J77" s="269">
        <v>3.8836290964001243</v>
      </c>
    </row>
    <row r="78" spans="1:10" s="4" customFormat="1" ht="24" customHeight="1" x14ac:dyDescent="0.25">
      <c r="A78" s="518" t="s">
        <v>335</v>
      </c>
      <c r="B78" s="518"/>
      <c r="C78" s="518"/>
      <c r="D78" s="518"/>
      <c r="E78" s="518"/>
      <c r="F78" s="518"/>
      <c r="G78" s="518"/>
      <c r="H78" s="518"/>
      <c r="I78" s="518"/>
      <c r="J78" s="518"/>
    </row>
    <row r="79" spans="1:10" ht="12.75" customHeight="1" x14ac:dyDescent="0.3">
      <c r="A79" s="95"/>
    </row>
  </sheetData>
  <mergeCells count="5">
    <mergeCell ref="A78:J78"/>
    <mergeCell ref="A1:J1"/>
    <mergeCell ref="A2:J2"/>
    <mergeCell ref="A58:J58"/>
    <mergeCell ref="A59:J59"/>
  </mergeCells>
  <pageMargins left="0.70866141732283472" right="0.70866141732283472" top="0.74803149606299213" bottom="0.55118110236220474" header="0.31496062992125984" footer="0.31496062992125984"/>
  <pageSetup paperSize="9" orientation="portrait" r:id="rId1"/>
  <ignoredErrors>
    <ignoredError sqref="E6:E34 E36:J53 E62:J77 E55:J56 F54:J5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D26"/>
  <sheetViews>
    <sheetView showGridLines="0" zoomScaleNormal="100" workbookViewId="0">
      <selection activeCell="A4" sqref="A4:D22"/>
    </sheetView>
  </sheetViews>
  <sheetFormatPr baseColWidth="10" defaultColWidth="11.28515625" defaultRowHeight="12.75" customHeight="1" x14ac:dyDescent="0.3"/>
  <cols>
    <col min="1" max="1" width="15.7109375" style="70" customWidth="1"/>
    <col min="2" max="3" width="21.7109375" style="93" customWidth="1"/>
    <col min="4" max="4" width="21.7109375" style="94" customWidth="1"/>
    <col min="5" max="16384" width="11.28515625" style="23"/>
  </cols>
  <sheetData>
    <row r="1" spans="1:4" s="243" customFormat="1" ht="12.75" customHeight="1" x14ac:dyDescent="0.3">
      <c r="A1" s="519" t="s">
        <v>313</v>
      </c>
      <c r="B1" s="519"/>
      <c r="C1" s="519"/>
      <c r="D1" s="519"/>
    </row>
    <row r="2" spans="1:4" s="243" customFormat="1" ht="12.75" customHeight="1" x14ac:dyDescent="0.3">
      <c r="A2" s="520" t="s">
        <v>117</v>
      </c>
      <c r="B2" s="520"/>
      <c r="C2" s="520"/>
      <c r="D2" s="520"/>
    </row>
    <row r="3" spans="1:4" ht="12.75" customHeight="1" x14ac:dyDescent="0.3">
      <c r="A3" s="5"/>
      <c r="B3" s="7"/>
      <c r="C3" s="7"/>
      <c r="D3" s="6"/>
    </row>
    <row r="4" spans="1:4" ht="75.75" customHeight="1" x14ac:dyDescent="0.3">
      <c r="A4" s="218" t="s">
        <v>27</v>
      </c>
      <c r="B4" s="273" t="s">
        <v>116</v>
      </c>
      <c r="C4" s="273" t="s">
        <v>115</v>
      </c>
      <c r="D4" s="273" t="s">
        <v>114</v>
      </c>
    </row>
    <row r="5" spans="1:4" ht="15.95" customHeight="1" x14ac:dyDescent="0.3">
      <c r="A5" s="274">
        <v>2007</v>
      </c>
      <c r="B5" s="275">
        <v>280235</v>
      </c>
      <c r="C5" s="276">
        <v>0.79203120541053107</v>
      </c>
      <c r="D5" s="275">
        <v>35381813</v>
      </c>
    </row>
    <row r="6" spans="1:4" ht="15.95" customHeight="1" x14ac:dyDescent="0.3">
      <c r="A6" s="274">
        <v>2008</v>
      </c>
      <c r="B6" s="275">
        <v>257437</v>
      </c>
      <c r="C6" s="276">
        <v>0.72759697192453088</v>
      </c>
      <c r="D6" s="275">
        <v>35381813</v>
      </c>
    </row>
    <row r="7" spans="1:4" ht="15.95" customHeight="1" x14ac:dyDescent="0.3">
      <c r="A7" s="274">
        <v>2009</v>
      </c>
      <c r="B7" s="275">
        <v>390947</v>
      </c>
      <c r="C7" s="276">
        <v>1.1049377260571696</v>
      </c>
      <c r="D7" s="275">
        <v>35381813</v>
      </c>
    </row>
    <row r="8" spans="1:4" ht="15.95" customHeight="1" x14ac:dyDescent="0.3">
      <c r="A8" s="274">
        <v>2010</v>
      </c>
      <c r="B8" s="275">
        <v>342698.67</v>
      </c>
      <c r="C8" s="276">
        <v>0.96857295017640843</v>
      </c>
      <c r="D8" s="275">
        <v>35381813</v>
      </c>
    </row>
    <row r="9" spans="1:4" ht="15.95" customHeight="1" x14ac:dyDescent="0.3">
      <c r="A9" s="274">
        <v>2011</v>
      </c>
      <c r="B9" s="275">
        <v>302597.58</v>
      </c>
      <c r="C9" s="276">
        <v>0.85523480665052409</v>
      </c>
      <c r="D9" s="275">
        <v>35381813</v>
      </c>
    </row>
    <row r="10" spans="1:4" ht="15.95" customHeight="1" x14ac:dyDescent="0.3">
      <c r="A10" s="274">
        <v>2012</v>
      </c>
      <c r="B10" s="275">
        <v>256838.42</v>
      </c>
      <c r="C10" s="276">
        <v>0.72590519880934312</v>
      </c>
      <c r="D10" s="275">
        <v>38742465</v>
      </c>
    </row>
    <row r="11" spans="1:4" ht="15.95" customHeight="1" x14ac:dyDescent="0.3">
      <c r="A11" s="274">
        <v>2013</v>
      </c>
      <c r="B11" s="275">
        <v>230936.23</v>
      </c>
      <c r="C11" s="276">
        <v>0.59608037330613839</v>
      </c>
      <c r="D11" s="275">
        <v>38742465</v>
      </c>
    </row>
    <row r="12" spans="1:4" ht="15.95" customHeight="1" x14ac:dyDescent="0.3">
      <c r="A12" s="274">
        <v>2014</v>
      </c>
      <c r="B12" s="275">
        <v>331286.58</v>
      </c>
      <c r="C12" s="276">
        <v>0.85509938513205086</v>
      </c>
      <c r="D12" s="275">
        <v>38742465</v>
      </c>
    </row>
    <row r="13" spans="1:4" ht="15.95" customHeight="1" x14ac:dyDescent="0.3">
      <c r="A13" s="274">
        <v>2015</v>
      </c>
      <c r="B13" s="275">
        <v>457040</v>
      </c>
      <c r="C13" s="276">
        <v>1.2</v>
      </c>
      <c r="D13" s="275">
        <v>38742465</v>
      </c>
    </row>
    <row r="14" spans="1:4" ht="15.95" customHeight="1" x14ac:dyDescent="0.3">
      <c r="A14" s="274">
        <v>2016</v>
      </c>
      <c r="B14" s="275">
        <v>395562</v>
      </c>
      <c r="C14" s="276">
        <v>1</v>
      </c>
      <c r="D14" s="275">
        <v>38742465</v>
      </c>
    </row>
    <row r="15" spans="1:4" ht="15.95" customHeight="1" x14ac:dyDescent="0.3">
      <c r="A15" s="274">
        <v>2017</v>
      </c>
      <c r="B15" s="275">
        <v>537749</v>
      </c>
      <c r="C15" s="276">
        <v>1.3880092554771617</v>
      </c>
      <c r="D15" s="275">
        <v>38742465</v>
      </c>
    </row>
    <row r="16" spans="1:4" ht="15.95" customHeight="1" x14ac:dyDescent="0.3">
      <c r="A16" s="274">
        <v>2018</v>
      </c>
      <c r="B16" s="275">
        <v>532656</v>
      </c>
      <c r="C16" s="276">
        <v>1.3748634734521925</v>
      </c>
      <c r="D16" s="275">
        <v>38742465</v>
      </c>
    </row>
    <row r="17" spans="1:4" ht="15.95" customHeight="1" x14ac:dyDescent="0.3">
      <c r="A17" s="274">
        <v>2019</v>
      </c>
      <c r="B17" s="275">
        <v>504981</v>
      </c>
      <c r="C17" s="276">
        <v>1.3034302283037489</v>
      </c>
      <c r="D17" s="275">
        <v>38742465</v>
      </c>
    </row>
    <row r="18" spans="1:4" ht="15.95" customHeight="1" x14ac:dyDescent="0.3">
      <c r="A18" s="274">
        <v>2020</v>
      </c>
      <c r="B18" s="275">
        <v>559705</v>
      </c>
      <c r="C18" s="276">
        <v>1.4446809205351285</v>
      </c>
      <c r="D18" s="275">
        <v>38742465</v>
      </c>
    </row>
    <row r="19" spans="1:4" ht="15.95" customHeight="1" x14ac:dyDescent="0.3">
      <c r="A19" s="277">
        <v>2021</v>
      </c>
      <c r="B19" s="278">
        <v>594310</v>
      </c>
      <c r="C19" s="279">
        <v>1.5</v>
      </c>
      <c r="D19" s="278">
        <v>38742465</v>
      </c>
    </row>
    <row r="20" spans="1:4" s="4" customFormat="1" ht="12.75" customHeight="1" x14ac:dyDescent="0.25">
      <c r="A20" s="107" t="s">
        <v>113</v>
      </c>
      <c r="B20" s="7"/>
      <c r="C20" s="7"/>
      <c r="D20" s="8"/>
    </row>
    <row r="21" spans="1:4" s="4" customFormat="1" ht="12.75" customHeight="1" x14ac:dyDescent="0.25">
      <c r="A21" s="108" t="s">
        <v>406</v>
      </c>
      <c r="B21" s="7"/>
      <c r="C21" s="7"/>
      <c r="D21" s="6"/>
    </row>
    <row r="22" spans="1:4" s="4" customFormat="1" ht="12.75" customHeight="1" x14ac:dyDescent="0.25">
      <c r="A22" s="108" t="s">
        <v>407</v>
      </c>
      <c r="B22" s="7"/>
      <c r="C22" s="7"/>
      <c r="D22" s="6"/>
    </row>
    <row r="23" spans="1:4" ht="12.75" customHeight="1" x14ac:dyDescent="0.3">
      <c r="C23" s="128"/>
    </row>
    <row r="25" spans="1:4" ht="12.75" customHeight="1" x14ac:dyDescent="0.3">
      <c r="C25" s="128"/>
    </row>
    <row r="26" spans="1:4" ht="12.75" customHeight="1" x14ac:dyDescent="0.3">
      <c r="C26" s="128"/>
    </row>
  </sheetData>
  <mergeCells count="2">
    <mergeCell ref="A1:D1"/>
    <mergeCell ref="A2:D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M25"/>
  <sheetViews>
    <sheetView showGridLines="0" workbookViewId="0">
      <selection activeCell="A4" sqref="A4:D25"/>
    </sheetView>
  </sheetViews>
  <sheetFormatPr baseColWidth="10" defaultColWidth="11.28515625" defaultRowHeight="12.75" customHeight="1" x14ac:dyDescent="0.3"/>
  <cols>
    <col min="1" max="1" width="11.85546875" style="70" customWidth="1"/>
    <col min="2" max="3" width="21.7109375" style="93" customWidth="1"/>
    <col min="4" max="4" width="21.7109375" style="94" customWidth="1"/>
    <col min="5" max="16384" width="11.28515625" style="23"/>
  </cols>
  <sheetData>
    <row r="1" spans="1:13" ht="12.75" customHeight="1" x14ac:dyDescent="0.3">
      <c r="A1" s="502" t="s">
        <v>404</v>
      </c>
      <c r="B1" s="502"/>
      <c r="C1" s="502"/>
      <c r="D1" s="502"/>
      <c r="E1" s="9"/>
      <c r="F1" s="9"/>
      <c r="G1" s="9"/>
      <c r="H1" s="9"/>
      <c r="I1" s="9"/>
      <c r="J1" s="9"/>
      <c r="K1" s="9"/>
      <c r="L1" s="9"/>
      <c r="M1" s="9"/>
    </row>
    <row r="2" spans="1:13" ht="12.75" customHeight="1" x14ac:dyDescent="0.3">
      <c r="A2" s="521" t="s">
        <v>117</v>
      </c>
      <c r="B2" s="521"/>
      <c r="C2" s="521"/>
      <c r="D2" s="521"/>
      <c r="E2" s="92"/>
      <c r="F2" s="92"/>
      <c r="G2" s="92"/>
      <c r="H2" s="92"/>
      <c r="I2" s="92"/>
      <c r="J2" s="92"/>
      <c r="K2" s="92"/>
      <c r="L2" s="92"/>
      <c r="M2" s="92"/>
    </row>
    <row r="3" spans="1:13" ht="12.75" customHeight="1" x14ac:dyDescent="0.3">
      <c r="A3" s="5"/>
      <c r="B3" s="7"/>
      <c r="C3" s="7"/>
      <c r="D3" s="6"/>
    </row>
    <row r="4" spans="1:13" ht="20.100000000000001" customHeight="1" x14ac:dyDescent="0.3">
      <c r="A4" s="522" t="s">
        <v>27</v>
      </c>
      <c r="B4" s="523" t="s">
        <v>324</v>
      </c>
      <c r="C4" s="524"/>
      <c r="D4" s="524"/>
    </row>
    <row r="5" spans="1:13" ht="20.100000000000001" customHeight="1" x14ac:dyDescent="0.3">
      <c r="A5" s="522"/>
      <c r="B5" s="283" t="s">
        <v>148</v>
      </c>
      <c r="C5" s="273" t="s">
        <v>326</v>
      </c>
      <c r="D5" s="273" t="s">
        <v>325</v>
      </c>
    </row>
    <row r="6" spans="1:13" s="25" customFormat="1" ht="16.5" hidden="1" x14ac:dyDescent="0.3">
      <c r="A6" s="280" t="s">
        <v>201</v>
      </c>
      <c r="B6" s="281">
        <v>270618</v>
      </c>
      <c r="C6" s="282">
        <v>30444</v>
      </c>
      <c r="D6" s="282">
        <v>240174</v>
      </c>
    </row>
    <row r="7" spans="1:13" ht="15.95" customHeight="1" x14ac:dyDescent="0.3">
      <c r="A7" s="274">
        <v>2007</v>
      </c>
      <c r="B7" s="281">
        <v>316247</v>
      </c>
      <c r="C7" s="282">
        <v>36011</v>
      </c>
      <c r="D7" s="282">
        <v>280235</v>
      </c>
    </row>
    <row r="8" spans="1:13" ht="15.95" customHeight="1" x14ac:dyDescent="0.3">
      <c r="A8" s="274">
        <v>2008</v>
      </c>
      <c r="B8" s="281">
        <v>314190</v>
      </c>
      <c r="C8" s="282">
        <v>56753</v>
      </c>
      <c r="D8" s="282">
        <v>257437</v>
      </c>
    </row>
    <row r="9" spans="1:13" ht="15.95" customHeight="1" x14ac:dyDescent="0.3">
      <c r="A9" s="274">
        <v>2009</v>
      </c>
      <c r="B9" s="281">
        <v>445852</v>
      </c>
      <c r="C9" s="282">
        <v>54905</v>
      </c>
      <c r="D9" s="282">
        <v>390947</v>
      </c>
    </row>
    <row r="10" spans="1:13" ht="15.95" customHeight="1" x14ac:dyDescent="0.3">
      <c r="A10" s="274">
        <v>2010</v>
      </c>
      <c r="B10" s="281">
        <v>393319.39</v>
      </c>
      <c r="C10" s="282">
        <v>50620.72</v>
      </c>
      <c r="D10" s="282">
        <v>342698.67</v>
      </c>
    </row>
    <row r="11" spans="1:13" ht="15.95" customHeight="1" x14ac:dyDescent="0.3">
      <c r="A11" s="274">
        <v>2011</v>
      </c>
      <c r="B11" s="281">
        <v>345685.17000000004</v>
      </c>
      <c r="C11" s="282">
        <v>43087.59</v>
      </c>
      <c r="D11" s="282">
        <v>302597.58</v>
      </c>
    </row>
    <row r="12" spans="1:13" ht="15.95" customHeight="1" x14ac:dyDescent="0.3">
      <c r="A12" s="274">
        <v>2012</v>
      </c>
      <c r="B12" s="281">
        <v>305895.62</v>
      </c>
      <c r="C12" s="282">
        <v>49057.2</v>
      </c>
      <c r="D12" s="282">
        <v>256838.42</v>
      </c>
    </row>
    <row r="13" spans="1:13" ht="15.95" customHeight="1" x14ac:dyDescent="0.3">
      <c r="A13" s="274">
        <v>2013</v>
      </c>
      <c r="B13" s="281">
        <v>508915.44000000006</v>
      </c>
      <c r="C13" s="282">
        <v>277979.21000000002</v>
      </c>
      <c r="D13" s="282">
        <v>230936.23</v>
      </c>
    </row>
    <row r="14" spans="1:13" ht="15.95" customHeight="1" x14ac:dyDescent="0.3">
      <c r="A14" s="274">
        <v>2014</v>
      </c>
      <c r="B14" s="281">
        <v>486601.84</v>
      </c>
      <c r="C14" s="282">
        <v>155315.26</v>
      </c>
      <c r="D14" s="282">
        <v>331286.58</v>
      </c>
    </row>
    <row r="15" spans="1:13" ht="15.95" customHeight="1" x14ac:dyDescent="0.3">
      <c r="A15" s="274">
        <v>2015</v>
      </c>
      <c r="B15" s="281">
        <v>607872.39</v>
      </c>
      <c r="C15" s="282">
        <v>150832.79</v>
      </c>
      <c r="D15" s="282">
        <v>457039.6</v>
      </c>
    </row>
    <row r="16" spans="1:13" ht="15.95" customHeight="1" x14ac:dyDescent="0.3">
      <c r="A16" s="274">
        <v>2016</v>
      </c>
      <c r="B16" s="281">
        <v>517990.97</v>
      </c>
      <c r="C16" s="282">
        <v>122429.43</v>
      </c>
      <c r="D16" s="282">
        <v>395561.54</v>
      </c>
    </row>
    <row r="17" spans="1:4" ht="15.95" customHeight="1" x14ac:dyDescent="0.3">
      <c r="A17" s="274">
        <v>2017</v>
      </c>
      <c r="B17" s="281">
        <v>539564.85</v>
      </c>
      <c r="C17" s="282">
        <v>179384.66</v>
      </c>
      <c r="D17" s="282">
        <v>360180.19</v>
      </c>
    </row>
    <row r="18" spans="1:4" ht="15.95" customHeight="1" x14ac:dyDescent="0.3">
      <c r="A18" s="274">
        <v>2018</v>
      </c>
      <c r="B18" s="281">
        <v>526934.65</v>
      </c>
      <c r="C18" s="282">
        <v>95475.31</v>
      </c>
      <c r="D18" s="282">
        <v>431459.34</v>
      </c>
    </row>
    <row r="19" spans="1:4" ht="15.95" customHeight="1" x14ac:dyDescent="0.3">
      <c r="A19" s="274">
        <v>2019</v>
      </c>
      <c r="B19" s="281">
        <v>394152.22</v>
      </c>
      <c r="C19" s="282">
        <v>66143.09</v>
      </c>
      <c r="D19" s="282">
        <v>328009.13</v>
      </c>
    </row>
    <row r="20" spans="1:4" ht="15.95" customHeight="1" x14ac:dyDescent="0.3">
      <c r="A20" s="274">
        <v>2020</v>
      </c>
      <c r="B20" s="281">
        <v>559704.68999999994</v>
      </c>
      <c r="C20" s="282">
        <v>95157.84</v>
      </c>
      <c r="D20" s="282">
        <v>464546.85</v>
      </c>
    </row>
    <row r="21" spans="1:4" ht="15.95" customHeight="1" x14ac:dyDescent="0.3">
      <c r="A21" s="277">
        <v>2021</v>
      </c>
      <c r="B21" s="284">
        <v>594310.24</v>
      </c>
      <c r="C21" s="285">
        <v>109094.29</v>
      </c>
      <c r="D21" s="285">
        <v>485215.95</v>
      </c>
    </row>
    <row r="22" spans="1:4" ht="12" customHeight="1" x14ac:dyDescent="0.3">
      <c r="A22" s="162" t="s">
        <v>327</v>
      </c>
      <c r="B22" s="161"/>
      <c r="C22" s="161"/>
      <c r="D22" s="161"/>
    </row>
    <row r="23" spans="1:4" ht="12" customHeight="1" x14ac:dyDescent="0.3">
      <c r="A23" s="162" t="s">
        <v>328</v>
      </c>
      <c r="B23" s="161"/>
      <c r="C23" s="161"/>
      <c r="D23" s="161"/>
    </row>
    <row r="24" spans="1:4" s="4" customFormat="1" ht="12" customHeight="1" x14ac:dyDescent="0.25">
      <c r="A24" s="107" t="s">
        <v>113</v>
      </c>
      <c r="B24" s="7"/>
      <c r="C24" s="7"/>
      <c r="D24" s="8"/>
    </row>
    <row r="25" spans="1:4" ht="12" customHeight="1" x14ac:dyDescent="0.3">
      <c r="A25" s="163" t="s">
        <v>329</v>
      </c>
    </row>
  </sheetData>
  <mergeCells count="4">
    <mergeCell ref="A1:D1"/>
    <mergeCell ref="A2:D2"/>
    <mergeCell ref="A4:A5"/>
    <mergeCell ref="B4:D4"/>
  </mergeCells>
  <pageMargins left="0.7" right="0.7" top="0.75" bottom="0.75" header="0.3" footer="0.3"/>
  <pageSetup paperSize="9" orientation="portrait" verticalDpi="4294967293" r:id="rId1"/>
  <ignoredErrors>
    <ignoredError sqref="A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V41"/>
  <sheetViews>
    <sheetView showGridLines="0" zoomScaleNormal="100" workbookViewId="0">
      <selection activeCell="A6" sqref="A6:K41"/>
    </sheetView>
  </sheetViews>
  <sheetFormatPr baseColWidth="10" defaultColWidth="11.28515625" defaultRowHeight="12.75" customHeight="1" x14ac:dyDescent="0.3"/>
  <cols>
    <col min="1" max="1" width="15.28515625" style="89" customWidth="1"/>
    <col min="2" max="2" width="9" style="91" customWidth="1"/>
    <col min="3" max="3" width="1.7109375" style="91" customWidth="1"/>
    <col min="4" max="5" width="10.42578125" style="91" customWidth="1"/>
    <col min="6" max="6" width="12" style="91" customWidth="1"/>
    <col min="7" max="7" width="9" style="91" customWidth="1"/>
    <col min="8" max="8" width="10.42578125" style="91" customWidth="1"/>
    <col min="9" max="11" width="8.28515625" style="91" customWidth="1"/>
    <col min="12" max="16384" width="11.28515625" style="89"/>
  </cols>
  <sheetData>
    <row r="1" spans="1:22" s="23" customFormat="1" ht="12.75" customHeight="1" x14ac:dyDescent="0.3">
      <c r="A1" s="1" t="s">
        <v>160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22" s="23" customFormat="1" ht="12.75" customHeight="1" x14ac:dyDescent="0.3"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22" s="88" customFormat="1" ht="12.75" customHeight="1" x14ac:dyDescent="0.3">
      <c r="A3" s="525" t="s">
        <v>318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</row>
    <row r="4" spans="1:22" s="88" customFormat="1" ht="12.75" customHeight="1" x14ac:dyDescent="0.3">
      <c r="A4" s="526" t="s">
        <v>159</v>
      </c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8"/>
      <c r="M4" s="528"/>
      <c r="N4" s="528"/>
      <c r="O4" s="528"/>
      <c r="P4" s="528"/>
      <c r="Q4" s="528"/>
      <c r="R4" s="528"/>
      <c r="S4" s="528"/>
      <c r="T4" s="528"/>
      <c r="U4" s="528"/>
      <c r="V4" s="528"/>
    </row>
    <row r="5" spans="1:22" ht="12.75" customHeight="1" x14ac:dyDescent="0.3">
      <c r="A5" s="129"/>
      <c r="B5" s="130"/>
      <c r="C5" s="130"/>
      <c r="D5" s="130"/>
      <c r="E5" s="130"/>
      <c r="F5" s="130"/>
      <c r="G5" s="130"/>
      <c r="H5" s="130"/>
      <c r="I5" s="130"/>
      <c r="J5" s="130"/>
      <c r="K5" s="131"/>
      <c r="M5" s="91"/>
      <c r="N5" s="91"/>
      <c r="O5" s="91"/>
      <c r="P5" s="91"/>
      <c r="Q5" s="91"/>
      <c r="R5" s="91"/>
      <c r="S5" s="91"/>
      <c r="T5" s="91"/>
      <c r="U5" s="91"/>
      <c r="V5" s="121"/>
    </row>
    <row r="6" spans="1:22" ht="34.5" customHeight="1" x14ac:dyDescent="0.3">
      <c r="A6" s="286" t="s">
        <v>158</v>
      </c>
      <c r="B6" s="287" t="s">
        <v>157</v>
      </c>
      <c r="C6" s="287"/>
      <c r="D6" s="287" t="s">
        <v>156</v>
      </c>
      <c r="E6" s="287" t="s">
        <v>155</v>
      </c>
      <c r="F6" s="287" t="s">
        <v>154</v>
      </c>
      <c r="G6" s="287" t="s">
        <v>153</v>
      </c>
      <c r="H6" s="287" t="s">
        <v>152</v>
      </c>
      <c r="I6" s="287" t="s">
        <v>151</v>
      </c>
      <c r="J6" s="287" t="s">
        <v>150</v>
      </c>
      <c r="K6" s="287" t="s">
        <v>149</v>
      </c>
      <c r="L6" s="122"/>
      <c r="M6" s="123"/>
      <c r="N6" s="123"/>
      <c r="O6" s="123"/>
      <c r="P6" s="123"/>
      <c r="Q6" s="123"/>
      <c r="R6" s="123"/>
      <c r="S6" s="123"/>
      <c r="T6" s="123"/>
      <c r="U6" s="123"/>
      <c r="V6" s="123"/>
    </row>
    <row r="7" spans="1:22" s="90" customFormat="1" ht="3" customHeight="1" x14ac:dyDescent="0.3">
      <c r="A7" s="288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122"/>
      <c r="M7" s="123"/>
      <c r="N7" s="123"/>
      <c r="O7" s="123"/>
      <c r="P7" s="123"/>
      <c r="Q7" s="123"/>
      <c r="R7" s="123"/>
      <c r="S7" s="123"/>
      <c r="T7" s="123"/>
      <c r="U7" s="123"/>
      <c r="V7" s="123"/>
    </row>
    <row r="8" spans="1:22" ht="15.95" customHeight="1" x14ac:dyDescent="0.3">
      <c r="A8" s="290" t="s">
        <v>148</v>
      </c>
      <c r="B8" s="291">
        <v>4866051</v>
      </c>
      <c r="C8" s="291"/>
      <c r="D8" s="291">
        <v>801128</v>
      </c>
      <c r="E8" s="291">
        <v>369748</v>
      </c>
      <c r="F8" s="291">
        <v>353244</v>
      </c>
      <c r="G8" s="291">
        <v>1878187</v>
      </c>
      <c r="H8" s="291">
        <v>506232</v>
      </c>
      <c r="I8" s="291">
        <v>417317</v>
      </c>
      <c r="J8" s="291">
        <v>524598</v>
      </c>
      <c r="K8" s="291">
        <v>15597</v>
      </c>
      <c r="L8" s="124"/>
      <c r="M8" s="123"/>
      <c r="N8" s="123"/>
      <c r="O8" s="123"/>
      <c r="P8" s="123"/>
      <c r="Q8" s="123"/>
      <c r="R8" s="123"/>
      <c r="S8" s="123"/>
      <c r="T8" s="123"/>
      <c r="U8" s="123"/>
      <c r="V8" s="123"/>
    </row>
    <row r="9" spans="1:22" ht="3" customHeight="1" x14ac:dyDescent="0.3">
      <c r="A9" s="292"/>
      <c r="B9" s="293"/>
      <c r="C9" s="293"/>
      <c r="D9" s="293"/>
      <c r="E9" s="293"/>
      <c r="F9" s="293"/>
      <c r="G9" s="293"/>
      <c r="H9" s="293"/>
      <c r="I9" s="293"/>
      <c r="J9" s="293"/>
    </row>
    <row r="10" spans="1:22" ht="15.95" customHeight="1" x14ac:dyDescent="0.3">
      <c r="A10" s="292" t="s">
        <v>147</v>
      </c>
      <c r="B10" s="293"/>
      <c r="C10" s="293"/>
      <c r="D10" s="293"/>
      <c r="E10" s="293"/>
      <c r="F10" s="293"/>
      <c r="G10" s="293"/>
      <c r="H10" s="293"/>
      <c r="I10" s="293"/>
      <c r="J10" s="293"/>
    </row>
    <row r="11" spans="1:22" ht="15.95" customHeight="1" x14ac:dyDescent="0.3">
      <c r="A11" s="294" t="s">
        <v>146</v>
      </c>
      <c r="B11" s="295">
        <v>421272</v>
      </c>
      <c r="C11" s="295"/>
      <c r="D11" s="295">
        <v>70124</v>
      </c>
      <c r="E11" s="295">
        <v>37993</v>
      </c>
      <c r="F11" s="295">
        <v>40993</v>
      </c>
      <c r="G11" s="295">
        <v>165089</v>
      </c>
      <c r="H11" s="295">
        <v>30410</v>
      </c>
      <c r="I11" s="295">
        <v>28935</v>
      </c>
      <c r="J11" s="295">
        <v>47547</v>
      </c>
      <c r="K11" s="295">
        <v>181</v>
      </c>
    </row>
    <row r="12" spans="1:22" ht="15.95" customHeight="1" x14ac:dyDescent="0.3">
      <c r="A12" s="294" t="s">
        <v>145</v>
      </c>
      <c r="B12" s="295">
        <v>3591807</v>
      </c>
      <c r="C12" s="295"/>
      <c r="D12" s="295">
        <v>604034</v>
      </c>
      <c r="E12" s="295">
        <v>258845</v>
      </c>
      <c r="F12" s="295">
        <v>231616</v>
      </c>
      <c r="G12" s="295">
        <v>1413004</v>
      </c>
      <c r="H12" s="295">
        <v>372086</v>
      </c>
      <c r="I12" s="295">
        <v>290398</v>
      </c>
      <c r="J12" s="295">
        <v>408421</v>
      </c>
      <c r="K12" s="295">
        <v>13403</v>
      </c>
    </row>
    <row r="13" spans="1:22" ht="15.95" customHeight="1" x14ac:dyDescent="0.3">
      <c r="A13" s="294" t="s">
        <v>144</v>
      </c>
      <c r="B13" s="295">
        <v>852972</v>
      </c>
      <c r="C13" s="295"/>
      <c r="D13" s="295">
        <v>126970</v>
      </c>
      <c r="E13" s="295">
        <v>72910</v>
      </c>
      <c r="F13" s="295">
        <v>80635</v>
      </c>
      <c r="G13" s="295">
        <v>300094</v>
      </c>
      <c r="H13" s="295">
        <v>103736</v>
      </c>
      <c r="I13" s="295">
        <v>97984</v>
      </c>
      <c r="J13" s="295">
        <v>68630</v>
      </c>
      <c r="K13" s="295">
        <v>2013</v>
      </c>
    </row>
    <row r="14" spans="1:22" ht="3" customHeight="1" x14ac:dyDescent="0.3">
      <c r="A14" s="292"/>
      <c r="B14" s="293"/>
      <c r="C14" s="293"/>
      <c r="D14" s="293"/>
      <c r="E14" s="293"/>
      <c r="F14" s="293"/>
      <c r="G14" s="293"/>
      <c r="H14" s="293"/>
      <c r="I14" s="293"/>
      <c r="J14" s="293"/>
    </row>
    <row r="15" spans="1:22" ht="15.95" customHeight="1" x14ac:dyDescent="0.3">
      <c r="A15" s="292" t="s">
        <v>143</v>
      </c>
      <c r="B15" s="293"/>
      <c r="C15" s="293"/>
      <c r="D15" s="293"/>
      <c r="E15" s="293"/>
      <c r="F15" s="293"/>
      <c r="G15" s="293"/>
      <c r="H15" s="293"/>
      <c r="I15" s="293"/>
      <c r="J15" s="293"/>
    </row>
    <row r="16" spans="1:22" ht="15.95" customHeight="1" x14ac:dyDescent="0.3">
      <c r="A16" s="294" t="s">
        <v>142</v>
      </c>
      <c r="B16" s="295">
        <v>145070</v>
      </c>
      <c r="C16" s="295"/>
      <c r="D16" s="295">
        <v>23806</v>
      </c>
      <c r="E16" s="295">
        <v>9497</v>
      </c>
      <c r="F16" s="295">
        <v>9066</v>
      </c>
      <c r="G16" s="295">
        <v>56141</v>
      </c>
      <c r="H16" s="295">
        <v>24153</v>
      </c>
      <c r="I16" s="295">
        <v>11764</v>
      </c>
      <c r="J16" s="295">
        <v>10207</v>
      </c>
      <c r="K16" s="295">
        <v>436</v>
      </c>
    </row>
    <row r="17" spans="1:11" ht="15.95" customHeight="1" x14ac:dyDescent="0.3">
      <c r="A17" s="294" t="s">
        <v>141</v>
      </c>
      <c r="B17" s="295">
        <v>216291</v>
      </c>
      <c r="C17" s="295"/>
      <c r="D17" s="295">
        <v>28633</v>
      </c>
      <c r="E17" s="295">
        <v>14454</v>
      </c>
      <c r="F17" s="295">
        <v>11520</v>
      </c>
      <c r="G17" s="295">
        <v>68741</v>
      </c>
      <c r="H17" s="295">
        <v>20696</v>
      </c>
      <c r="I17" s="295">
        <v>13259</v>
      </c>
      <c r="J17" s="295">
        <v>54615</v>
      </c>
      <c r="K17" s="295">
        <v>4373</v>
      </c>
    </row>
    <row r="18" spans="1:11" ht="15.95" customHeight="1" x14ac:dyDescent="0.3">
      <c r="A18" s="294" t="s">
        <v>140</v>
      </c>
      <c r="B18" s="295">
        <v>263779</v>
      </c>
      <c r="C18" s="295"/>
      <c r="D18" s="295">
        <v>40214</v>
      </c>
      <c r="E18" s="295">
        <v>24790</v>
      </c>
      <c r="F18" s="295">
        <v>18571</v>
      </c>
      <c r="G18" s="295">
        <v>106357</v>
      </c>
      <c r="H18" s="295">
        <v>26146</v>
      </c>
      <c r="I18" s="295">
        <v>24305</v>
      </c>
      <c r="J18" s="295">
        <v>23396</v>
      </c>
      <c r="K18" s="295" t="s">
        <v>120</v>
      </c>
    </row>
    <row r="19" spans="1:11" ht="15.95" customHeight="1" x14ac:dyDescent="0.3">
      <c r="A19" s="294" t="s">
        <v>139</v>
      </c>
      <c r="B19" s="295">
        <v>279712</v>
      </c>
      <c r="C19" s="295"/>
      <c r="D19" s="295">
        <v>44876</v>
      </c>
      <c r="E19" s="295">
        <v>18290</v>
      </c>
      <c r="F19" s="295">
        <v>21241</v>
      </c>
      <c r="G19" s="295">
        <v>121578</v>
      </c>
      <c r="H19" s="295">
        <v>30532</v>
      </c>
      <c r="I19" s="295">
        <v>27637</v>
      </c>
      <c r="J19" s="295">
        <v>15381</v>
      </c>
      <c r="K19" s="295">
        <v>177</v>
      </c>
    </row>
    <row r="20" spans="1:11" ht="15.95" customHeight="1" x14ac:dyDescent="0.3">
      <c r="A20" s="294" t="s">
        <v>138</v>
      </c>
      <c r="B20" s="295">
        <v>394716</v>
      </c>
      <c r="C20" s="295"/>
      <c r="D20" s="295">
        <v>79890</v>
      </c>
      <c r="E20" s="295">
        <v>30120</v>
      </c>
      <c r="F20" s="295">
        <v>21891</v>
      </c>
      <c r="G20" s="295">
        <v>145911</v>
      </c>
      <c r="H20" s="295">
        <v>34205</v>
      </c>
      <c r="I20" s="295">
        <v>35928</v>
      </c>
      <c r="J20" s="295">
        <v>46465</v>
      </c>
      <c r="K20" s="295">
        <v>306</v>
      </c>
    </row>
    <row r="21" spans="1:11" ht="15.95" customHeight="1" x14ac:dyDescent="0.3">
      <c r="A21" s="294" t="s">
        <v>137</v>
      </c>
      <c r="B21" s="295">
        <v>717701</v>
      </c>
      <c r="C21" s="295"/>
      <c r="D21" s="295">
        <v>127618</v>
      </c>
      <c r="E21" s="295">
        <v>44680</v>
      </c>
      <c r="F21" s="295">
        <v>32221</v>
      </c>
      <c r="G21" s="295">
        <v>295644</v>
      </c>
      <c r="H21" s="295">
        <v>81119</v>
      </c>
      <c r="I21" s="295">
        <v>39389</v>
      </c>
      <c r="J21" s="295">
        <v>94450</v>
      </c>
      <c r="K21" s="295">
        <v>2580</v>
      </c>
    </row>
    <row r="22" spans="1:11" ht="15.95" customHeight="1" x14ac:dyDescent="0.3">
      <c r="A22" s="294" t="s">
        <v>136</v>
      </c>
      <c r="B22" s="295">
        <v>351778</v>
      </c>
      <c r="C22" s="295"/>
      <c r="D22" s="295">
        <v>45114</v>
      </c>
      <c r="E22" s="295">
        <v>32454</v>
      </c>
      <c r="F22" s="295">
        <v>40683</v>
      </c>
      <c r="G22" s="295">
        <v>122889</v>
      </c>
      <c r="H22" s="295">
        <v>35038</v>
      </c>
      <c r="I22" s="295">
        <v>38712</v>
      </c>
      <c r="J22" s="295">
        <v>35931</v>
      </c>
      <c r="K22" s="295">
        <v>957</v>
      </c>
    </row>
    <row r="23" spans="1:11" ht="15.95" customHeight="1" x14ac:dyDescent="0.3">
      <c r="A23" s="294" t="s">
        <v>135</v>
      </c>
      <c r="B23" s="295">
        <v>141734</v>
      </c>
      <c r="C23" s="295"/>
      <c r="D23" s="295">
        <v>23687</v>
      </c>
      <c r="E23" s="295">
        <v>13057</v>
      </c>
      <c r="F23" s="295">
        <v>7754</v>
      </c>
      <c r="G23" s="295">
        <v>54859</v>
      </c>
      <c r="H23" s="295">
        <v>16650</v>
      </c>
      <c r="I23" s="295">
        <v>9339</v>
      </c>
      <c r="J23" s="295">
        <v>15007</v>
      </c>
      <c r="K23" s="295">
        <v>1381</v>
      </c>
    </row>
    <row r="24" spans="1:11" ht="15.95" customHeight="1" x14ac:dyDescent="0.3">
      <c r="A24" s="294" t="s">
        <v>134</v>
      </c>
      <c r="B24" s="295">
        <v>330844</v>
      </c>
      <c r="C24" s="295"/>
      <c r="D24" s="295">
        <v>46531</v>
      </c>
      <c r="E24" s="295">
        <v>20395</v>
      </c>
      <c r="F24" s="295">
        <v>26612</v>
      </c>
      <c r="G24" s="295">
        <v>124997</v>
      </c>
      <c r="H24" s="295">
        <v>31095</v>
      </c>
      <c r="I24" s="295">
        <v>43108</v>
      </c>
      <c r="J24" s="295">
        <v>36393</v>
      </c>
      <c r="K24" s="295">
        <v>1713</v>
      </c>
    </row>
    <row r="25" spans="1:11" ht="15.95" customHeight="1" x14ac:dyDescent="0.3">
      <c r="A25" s="294" t="s">
        <v>133</v>
      </c>
      <c r="B25" s="295">
        <v>13188</v>
      </c>
      <c r="C25" s="295"/>
      <c r="D25" s="295">
        <v>2620</v>
      </c>
      <c r="E25" s="295">
        <v>1312</v>
      </c>
      <c r="F25" s="295">
        <v>674</v>
      </c>
      <c r="G25" s="295">
        <v>5857</v>
      </c>
      <c r="H25" s="295">
        <v>1269</v>
      </c>
      <c r="I25" s="295">
        <v>632</v>
      </c>
      <c r="J25" s="295">
        <v>824</v>
      </c>
      <c r="K25" s="295" t="s">
        <v>120</v>
      </c>
    </row>
    <row r="26" spans="1:11" ht="15.95" customHeight="1" x14ac:dyDescent="0.3">
      <c r="A26" s="294" t="s">
        <v>132</v>
      </c>
      <c r="B26" s="295">
        <v>129419</v>
      </c>
      <c r="C26" s="295"/>
      <c r="D26" s="295">
        <v>20979</v>
      </c>
      <c r="E26" s="295">
        <v>10705</v>
      </c>
      <c r="F26" s="295">
        <v>8007</v>
      </c>
      <c r="G26" s="295">
        <v>55746</v>
      </c>
      <c r="H26" s="295">
        <v>13041</v>
      </c>
      <c r="I26" s="295">
        <v>9790</v>
      </c>
      <c r="J26" s="295">
        <v>11022</v>
      </c>
      <c r="K26" s="295">
        <v>129</v>
      </c>
    </row>
    <row r="27" spans="1:11" ht="15.95" customHeight="1" x14ac:dyDescent="0.3">
      <c r="A27" s="294" t="s">
        <v>131</v>
      </c>
      <c r="B27" s="295">
        <v>189980</v>
      </c>
      <c r="C27" s="295"/>
      <c r="D27" s="295">
        <v>27393</v>
      </c>
      <c r="E27" s="295">
        <v>11529</v>
      </c>
      <c r="F27" s="295">
        <v>12404</v>
      </c>
      <c r="G27" s="295">
        <v>60683</v>
      </c>
      <c r="H27" s="295">
        <v>16428</v>
      </c>
      <c r="I27" s="295">
        <v>8955</v>
      </c>
      <c r="J27" s="295">
        <v>50800</v>
      </c>
      <c r="K27" s="295">
        <v>1788</v>
      </c>
    </row>
    <row r="28" spans="1:11" ht="15.95" customHeight="1" x14ac:dyDescent="0.3">
      <c r="A28" s="294" t="s">
        <v>130</v>
      </c>
      <c r="B28" s="295">
        <v>89370</v>
      </c>
      <c r="C28" s="295"/>
      <c r="D28" s="295">
        <v>21618</v>
      </c>
      <c r="E28" s="295">
        <v>7800</v>
      </c>
      <c r="F28" s="295">
        <v>6920</v>
      </c>
      <c r="G28" s="295">
        <v>36913</v>
      </c>
      <c r="H28" s="295">
        <v>7681</v>
      </c>
      <c r="I28" s="295">
        <v>3626</v>
      </c>
      <c r="J28" s="295">
        <v>4709</v>
      </c>
      <c r="K28" s="295">
        <v>103</v>
      </c>
    </row>
    <row r="29" spans="1:11" ht="15.95" customHeight="1" x14ac:dyDescent="0.3">
      <c r="A29" s="296" t="s">
        <v>129</v>
      </c>
      <c r="B29" s="295">
        <v>264831</v>
      </c>
      <c r="C29" s="295"/>
      <c r="D29" s="295">
        <v>44643</v>
      </c>
      <c r="E29" s="295">
        <v>23571</v>
      </c>
      <c r="F29" s="295">
        <v>23736</v>
      </c>
      <c r="G29" s="295">
        <v>98554</v>
      </c>
      <c r="H29" s="295">
        <v>17455</v>
      </c>
      <c r="I29" s="295">
        <v>20507</v>
      </c>
      <c r="J29" s="295">
        <v>36354</v>
      </c>
      <c r="K29" s="295">
        <v>11</v>
      </c>
    </row>
    <row r="30" spans="1:11" ht="15.95" customHeight="1" x14ac:dyDescent="0.3">
      <c r="A30" s="294" t="s">
        <v>128</v>
      </c>
      <c r="B30" s="295">
        <v>62967</v>
      </c>
      <c r="C30" s="295"/>
      <c r="D30" s="295">
        <v>12570</v>
      </c>
      <c r="E30" s="295">
        <v>5401</v>
      </c>
      <c r="F30" s="295">
        <v>7615</v>
      </c>
      <c r="G30" s="295">
        <v>18890</v>
      </c>
      <c r="H30" s="295">
        <v>7290</v>
      </c>
      <c r="I30" s="295">
        <v>5207</v>
      </c>
      <c r="J30" s="295">
        <v>5994</v>
      </c>
      <c r="K30" s="295" t="s">
        <v>120</v>
      </c>
    </row>
    <row r="31" spans="1:11" ht="15.95" customHeight="1" x14ac:dyDescent="0.3">
      <c r="A31" s="294" t="s">
        <v>127</v>
      </c>
      <c r="B31" s="295">
        <v>64657</v>
      </c>
      <c r="C31" s="295"/>
      <c r="D31" s="295">
        <v>8299</v>
      </c>
      <c r="E31" s="295">
        <v>7410</v>
      </c>
      <c r="F31" s="295">
        <v>7784</v>
      </c>
      <c r="G31" s="295">
        <v>20903</v>
      </c>
      <c r="H31" s="295">
        <v>6948</v>
      </c>
      <c r="I31" s="295">
        <v>9077</v>
      </c>
      <c r="J31" s="295">
        <v>4148</v>
      </c>
      <c r="K31" s="295">
        <v>88</v>
      </c>
    </row>
    <row r="32" spans="1:11" ht="15.95" customHeight="1" x14ac:dyDescent="0.3">
      <c r="A32" s="294" t="s">
        <v>126</v>
      </c>
      <c r="B32" s="295">
        <v>22981</v>
      </c>
      <c r="C32" s="295"/>
      <c r="D32" s="295">
        <v>4241</v>
      </c>
      <c r="E32" s="295">
        <v>1845</v>
      </c>
      <c r="F32" s="295">
        <v>1215</v>
      </c>
      <c r="G32" s="295">
        <v>9263</v>
      </c>
      <c r="H32" s="295">
        <v>3134</v>
      </c>
      <c r="I32" s="295">
        <v>1757</v>
      </c>
      <c r="J32" s="295">
        <v>1467</v>
      </c>
      <c r="K32" s="295">
        <v>59</v>
      </c>
    </row>
    <row r="33" spans="1:11" ht="15.95" customHeight="1" x14ac:dyDescent="0.3">
      <c r="A33" s="294" t="s">
        <v>125</v>
      </c>
      <c r="B33" s="295">
        <v>94666</v>
      </c>
      <c r="C33" s="295"/>
      <c r="D33" s="295">
        <v>13404</v>
      </c>
      <c r="E33" s="295">
        <v>8771</v>
      </c>
      <c r="F33" s="295">
        <v>8948</v>
      </c>
      <c r="G33" s="295">
        <v>36344</v>
      </c>
      <c r="H33" s="295">
        <v>10556</v>
      </c>
      <c r="I33" s="295">
        <v>10131</v>
      </c>
      <c r="J33" s="295">
        <v>6466</v>
      </c>
      <c r="K33" s="295">
        <v>46</v>
      </c>
    </row>
    <row r="34" spans="1:11" ht="15.95" customHeight="1" x14ac:dyDescent="0.3">
      <c r="A34" s="294" t="s">
        <v>124</v>
      </c>
      <c r="B34" s="295">
        <v>187369</v>
      </c>
      <c r="C34" s="295"/>
      <c r="D34" s="295">
        <v>31173</v>
      </c>
      <c r="E34" s="295">
        <v>14341</v>
      </c>
      <c r="F34" s="295">
        <v>20344</v>
      </c>
      <c r="G34" s="295">
        <v>73234</v>
      </c>
      <c r="H34" s="295">
        <v>16544</v>
      </c>
      <c r="I34" s="295">
        <v>16559</v>
      </c>
      <c r="J34" s="295">
        <v>14829</v>
      </c>
      <c r="K34" s="295">
        <v>345</v>
      </c>
    </row>
    <row r="35" spans="1:11" ht="15.95" customHeight="1" x14ac:dyDescent="0.3">
      <c r="A35" s="294" t="s">
        <v>123</v>
      </c>
      <c r="B35" s="295">
        <v>582416</v>
      </c>
      <c r="C35" s="295"/>
      <c r="D35" s="295">
        <v>101134</v>
      </c>
      <c r="E35" s="295">
        <v>34435</v>
      </c>
      <c r="F35" s="295">
        <v>29132</v>
      </c>
      <c r="G35" s="295">
        <v>260304</v>
      </c>
      <c r="H35" s="295">
        <v>68996</v>
      </c>
      <c r="I35" s="295">
        <v>58367</v>
      </c>
      <c r="J35" s="295">
        <v>30048</v>
      </c>
      <c r="K35" s="295" t="s">
        <v>120</v>
      </c>
    </row>
    <row r="36" spans="1:11" ht="15.95" customHeight="1" x14ac:dyDescent="0.3">
      <c r="A36" s="294" t="s">
        <v>122</v>
      </c>
      <c r="B36" s="295">
        <v>239944</v>
      </c>
      <c r="C36" s="295"/>
      <c r="D36" s="295">
        <v>40309</v>
      </c>
      <c r="E36" s="295">
        <v>25768</v>
      </c>
      <c r="F36" s="295">
        <v>28453</v>
      </c>
      <c r="G36" s="295">
        <v>76567</v>
      </c>
      <c r="H36" s="295">
        <v>27026</v>
      </c>
      <c r="I36" s="295">
        <v>22088</v>
      </c>
      <c r="J36" s="295">
        <v>18676</v>
      </c>
      <c r="K36" s="295">
        <v>1057</v>
      </c>
    </row>
    <row r="37" spans="1:11" ht="15.95" customHeight="1" x14ac:dyDescent="0.3">
      <c r="A37" s="294" t="s">
        <v>121</v>
      </c>
      <c r="B37" s="295">
        <v>16893</v>
      </c>
      <c r="C37" s="295"/>
      <c r="D37" s="295">
        <v>2915</v>
      </c>
      <c r="E37" s="295">
        <v>1241</v>
      </c>
      <c r="F37" s="295">
        <v>889</v>
      </c>
      <c r="G37" s="295">
        <v>7114</v>
      </c>
      <c r="H37" s="295">
        <v>2739</v>
      </c>
      <c r="I37" s="295">
        <v>1467</v>
      </c>
      <c r="J37" s="295">
        <v>528</v>
      </c>
      <c r="K37" s="295" t="s">
        <v>120</v>
      </c>
    </row>
    <row r="38" spans="1:11" ht="15.95" customHeight="1" x14ac:dyDescent="0.3">
      <c r="A38" s="294" t="s">
        <v>119</v>
      </c>
      <c r="B38" s="295">
        <v>8487</v>
      </c>
      <c r="C38" s="295"/>
      <c r="D38" s="295">
        <v>1287</v>
      </c>
      <c r="E38" s="295">
        <v>799</v>
      </c>
      <c r="F38" s="295">
        <v>1505</v>
      </c>
      <c r="G38" s="295">
        <v>3232</v>
      </c>
      <c r="H38" s="295">
        <v>911</v>
      </c>
      <c r="I38" s="295">
        <v>229</v>
      </c>
      <c r="J38" s="295">
        <v>499</v>
      </c>
      <c r="K38" s="295">
        <v>25</v>
      </c>
    </row>
    <row r="39" spans="1:11" ht="15.95" customHeight="1" x14ac:dyDescent="0.3">
      <c r="A39" s="297" t="s">
        <v>118</v>
      </c>
      <c r="B39" s="298">
        <v>57258</v>
      </c>
      <c r="C39" s="298"/>
      <c r="D39" s="298">
        <v>8174</v>
      </c>
      <c r="E39" s="298">
        <v>7083</v>
      </c>
      <c r="F39" s="298">
        <v>6059</v>
      </c>
      <c r="G39" s="298">
        <v>17466</v>
      </c>
      <c r="H39" s="298">
        <v>6580</v>
      </c>
      <c r="I39" s="298">
        <v>5484</v>
      </c>
      <c r="J39" s="298">
        <v>6389</v>
      </c>
      <c r="K39" s="298">
        <v>23</v>
      </c>
    </row>
    <row r="40" spans="1:11" customFormat="1" ht="12" customHeight="1" x14ac:dyDescent="0.25">
      <c r="A40" s="166" t="s">
        <v>331</v>
      </c>
      <c r="B40" s="167"/>
      <c r="C40" s="168"/>
      <c r="D40" s="168"/>
      <c r="E40" s="168"/>
      <c r="F40" s="168"/>
      <c r="G40" s="168"/>
      <c r="H40" s="168"/>
      <c r="I40" s="169"/>
    </row>
    <row r="41" spans="1:11" s="111" customFormat="1" ht="12" customHeight="1" x14ac:dyDescent="0.25">
      <c r="A41" s="109" t="s">
        <v>305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</row>
  </sheetData>
  <mergeCells count="4">
    <mergeCell ref="A3:K3"/>
    <mergeCell ref="A4:K4"/>
    <mergeCell ref="L3:V3"/>
    <mergeCell ref="L4:V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29"/>
  <sheetViews>
    <sheetView showGridLines="0" zoomScaleNormal="100" zoomScaleSheetLayoutView="175" workbookViewId="0">
      <selection activeCell="A4" sqref="A4:H29"/>
    </sheetView>
  </sheetViews>
  <sheetFormatPr baseColWidth="10" defaultColWidth="11.28515625" defaultRowHeight="12.75" customHeight="1" x14ac:dyDescent="0.3"/>
  <cols>
    <col min="1" max="1" width="13" style="23" customWidth="1"/>
    <col min="2" max="8" width="10.7109375" style="23" customWidth="1"/>
    <col min="9" max="9" width="9.28515625" style="23" hidden="1" customWidth="1"/>
    <col min="10" max="16384" width="11.28515625" style="23"/>
  </cols>
  <sheetData>
    <row r="1" spans="1:9" s="243" customFormat="1" ht="12.75" customHeight="1" x14ac:dyDescent="0.3">
      <c r="A1" s="529" t="s">
        <v>314</v>
      </c>
      <c r="B1" s="529"/>
      <c r="C1" s="529"/>
      <c r="D1" s="529"/>
      <c r="E1" s="529"/>
      <c r="F1" s="529"/>
      <c r="G1" s="529"/>
      <c r="H1" s="529"/>
      <c r="I1" s="529"/>
    </row>
    <row r="2" spans="1:9" s="243" customFormat="1" ht="12.75" customHeight="1" x14ac:dyDescent="0.3">
      <c r="A2" s="520" t="s">
        <v>170</v>
      </c>
      <c r="B2" s="520"/>
      <c r="C2" s="520"/>
      <c r="D2" s="520"/>
      <c r="E2" s="520"/>
      <c r="F2" s="520"/>
      <c r="G2" s="520"/>
      <c r="H2" s="520"/>
      <c r="I2" s="520"/>
    </row>
    <row r="3" spans="1:9" ht="12.75" customHeight="1" x14ac:dyDescent="0.3">
      <c r="A3" s="4"/>
      <c r="B3" s="132"/>
      <c r="C3" s="132"/>
      <c r="D3" s="132"/>
      <c r="E3" s="132"/>
      <c r="F3" s="132"/>
      <c r="G3" s="132"/>
      <c r="H3" s="132"/>
      <c r="I3" s="4"/>
    </row>
    <row r="4" spans="1:9" s="79" customFormat="1" ht="27" customHeight="1" x14ac:dyDescent="0.25">
      <c r="A4" s="299" t="s">
        <v>27</v>
      </c>
      <c r="B4" s="300" t="s">
        <v>169</v>
      </c>
      <c r="C4" s="301" t="s">
        <v>168</v>
      </c>
      <c r="D4" s="301" t="s">
        <v>167</v>
      </c>
      <c r="E4" s="301" t="s">
        <v>166</v>
      </c>
      <c r="F4" s="301" t="s">
        <v>165</v>
      </c>
      <c r="G4" s="301" t="s">
        <v>164</v>
      </c>
      <c r="H4" s="301" t="s">
        <v>163</v>
      </c>
      <c r="I4" s="133" t="s">
        <v>162</v>
      </c>
    </row>
    <row r="5" spans="1:9" s="79" customFormat="1" ht="12.75" hidden="1" customHeight="1" x14ac:dyDescent="0.25">
      <c r="A5" s="302"/>
      <c r="B5" s="306"/>
      <c r="C5" s="307"/>
      <c r="D5" s="307"/>
      <c r="E5" s="307"/>
      <c r="F5" s="307"/>
      <c r="G5" s="307"/>
      <c r="H5" s="307"/>
      <c r="I5" s="134"/>
    </row>
    <row r="6" spans="1:9" s="79" customFormat="1" ht="12.75" hidden="1" customHeight="1" x14ac:dyDescent="0.25">
      <c r="A6" s="303">
        <v>1998</v>
      </c>
      <c r="B6" s="308">
        <v>2843.34</v>
      </c>
      <c r="C6" s="308">
        <v>80119.623999999996</v>
      </c>
      <c r="D6" s="308">
        <v>1984.8910000000001</v>
      </c>
      <c r="E6" s="308">
        <v>1146.576</v>
      </c>
      <c r="F6" s="308">
        <v>13836.728999999999</v>
      </c>
      <c r="G6" s="308">
        <v>2599.7559999999999</v>
      </c>
      <c r="H6" s="308">
        <v>4748.9139999999998</v>
      </c>
      <c r="I6" s="135">
        <v>110.386</v>
      </c>
    </row>
    <row r="7" spans="1:9" s="79" customFormat="1" ht="12.75" hidden="1" customHeight="1" x14ac:dyDescent="0.25">
      <c r="A7" s="303">
        <v>1999</v>
      </c>
      <c r="B7" s="308">
        <v>3040.0889999999999</v>
      </c>
      <c r="C7" s="308">
        <v>81303.09699999998</v>
      </c>
      <c r="D7" s="308">
        <v>2039.557</v>
      </c>
      <c r="E7" s="308">
        <v>1166.829</v>
      </c>
      <c r="F7" s="308">
        <v>14338.264999999999</v>
      </c>
      <c r="G7" s="308">
        <v>2787.5349999999999</v>
      </c>
      <c r="H7" s="308">
        <v>4861.7169999999996</v>
      </c>
      <c r="I7" s="135">
        <v>118.554</v>
      </c>
    </row>
    <row r="8" spans="1:9" s="79" customFormat="1" ht="12.75" hidden="1" customHeight="1" x14ac:dyDescent="0.25">
      <c r="A8" s="303">
        <v>2000</v>
      </c>
      <c r="B8" s="308">
        <v>3068.2089999999998</v>
      </c>
      <c r="C8" s="308">
        <v>88010.357999999993</v>
      </c>
      <c r="D8" s="308">
        <v>2045.115</v>
      </c>
      <c r="E8" s="308">
        <v>1184.038</v>
      </c>
      <c r="F8" s="308">
        <v>14800.991</v>
      </c>
      <c r="G8" s="308">
        <v>2845.5729999999999</v>
      </c>
      <c r="H8" s="308">
        <v>4990.5079999999998</v>
      </c>
      <c r="I8" s="135">
        <v>118.678</v>
      </c>
    </row>
    <row r="9" spans="1:9" s="79" customFormat="1" ht="12.75" hidden="1" customHeight="1" x14ac:dyDescent="0.25">
      <c r="A9" s="303">
        <v>2001</v>
      </c>
      <c r="B9" s="308">
        <v>3182.373</v>
      </c>
      <c r="C9" s="308">
        <v>85621.159000000029</v>
      </c>
      <c r="D9" s="308">
        <v>2024.0550000000001</v>
      </c>
      <c r="E9" s="308">
        <v>1179.028</v>
      </c>
      <c r="F9" s="308">
        <v>14723.155000000001</v>
      </c>
      <c r="G9" s="308">
        <v>2809.8879999999999</v>
      </c>
      <c r="H9" s="308">
        <v>5055.6120000000001</v>
      </c>
      <c r="I9" s="135">
        <v>128.172</v>
      </c>
    </row>
    <row r="10" spans="1:9" s="79" customFormat="1" ht="12.75" hidden="1" customHeight="1" x14ac:dyDescent="0.25">
      <c r="A10" s="303">
        <v>2002</v>
      </c>
      <c r="B10" s="308">
        <v>3335.835</v>
      </c>
      <c r="C10" s="308">
        <v>91074.181999999986</v>
      </c>
      <c r="D10" s="308">
        <v>1970.7339999999999</v>
      </c>
      <c r="E10" s="308">
        <v>1206.259</v>
      </c>
      <c r="F10" s="308">
        <v>14700.752</v>
      </c>
      <c r="G10" s="308">
        <v>2971.0360000000001</v>
      </c>
      <c r="H10" s="308">
        <v>5084.9740000000002</v>
      </c>
      <c r="I10" s="135">
        <v>138.42599999999999</v>
      </c>
    </row>
    <row r="11" spans="1:9" s="79" customFormat="1" ht="12.75" hidden="1" customHeight="1" x14ac:dyDescent="0.25">
      <c r="A11" s="303">
        <v>2003</v>
      </c>
      <c r="B11" s="308">
        <v>3422.5569999999998</v>
      </c>
      <c r="C11" s="308">
        <v>92846.108999999997</v>
      </c>
      <c r="D11" s="308">
        <v>1983.3019999999999</v>
      </c>
      <c r="E11" s="308">
        <v>1230.5429999999999</v>
      </c>
      <c r="F11" s="308">
        <v>14721.243</v>
      </c>
      <c r="G11" s="308">
        <v>2990.4989999999998</v>
      </c>
      <c r="H11" s="308">
        <v>5193.4139999999998</v>
      </c>
      <c r="I11" s="135">
        <v>149.5</v>
      </c>
    </row>
    <row r="12" spans="1:9" s="79" customFormat="1" ht="12.75" hidden="1" customHeight="1" x14ac:dyDescent="0.25">
      <c r="A12" s="303">
        <v>2004</v>
      </c>
      <c r="B12" s="309">
        <v>3429.0189999999998</v>
      </c>
      <c r="C12" s="308">
        <v>97761.002999999997</v>
      </c>
      <c r="D12" s="308">
        <v>1971.8630000000001</v>
      </c>
      <c r="E12" s="308">
        <v>1236.9839999999999</v>
      </c>
      <c r="F12" s="308">
        <v>14696.522000000001</v>
      </c>
      <c r="G12" s="308">
        <v>3000.1990000000001</v>
      </c>
      <c r="H12" s="308">
        <v>5184.8220000000001</v>
      </c>
      <c r="I12" s="135">
        <v>161.46</v>
      </c>
    </row>
    <row r="13" spans="1:9" s="79" customFormat="1" ht="12.75" hidden="1" customHeight="1" x14ac:dyDescent="0.25">
      <c r="A13" s="304">
        <v>2006</v>
      </c>
      <c r="B13" s="309">
        <v>3626</v>
      </c>
      <c r="C13" s="308">
        <v>117977</v>
      </c>
      <c r="D13" s="308">
        <v>1937</v>
      </c>
      <c r="E13" s="308">
        <v>1256</v>
      </c>
      <c r="F13" s="308">
        <v>14675</v>
      </c>
      <c r="G13" s="308">
        <v>3074</v>
      </c>
      <c r="H13" s="308">
        <v>5241</v>
      </c>
      <c r="I13" s="135">
        <v>174.37700000000001</v>
      </c>
    </row>
    <row r="14" spans="1:9" s="79" customFormat="1" ht="15.95" customHeight="1" x14ac:dyDescent="0.25">
      <c r="A14" s="304">
        <v>2007</v>
      </c>
      <c r="B14" s="308">
        <v>3687.34</v>
      </c>
      <c r="C14" s="308">
        <v>120227.617</v>
      </c>
      <c r="D14" s="308">
        <v>1925.912</v>
      </c>
      <c r="E14" s="308">
        <v>1274.425</v>
      </c>
      <c r="F14" s="308">
        <v>14580.165999999999</v>
      </c>
      <c r="G14" s="308">
        <v>3115.7719999999999</v>
      </c>
      <c r="H14" s="308">
        <v>5420.8649999999998</v>
      </c>
      <c r="I14" s="135" t="s">
        <v>161</v>
      </c>
    </row>
    <row r="15" spans="1:9" s="79" customFormat="1" ht="15.95" customHeight="1" x14ac:dyDescent="0.25">
      <c r="A15" s="304">
        <v>2008</v>
      </c>
      <c r="B15" s="308">
        <v>3780.806</v>
      </c>
      <c r="C15" s="308">
        <v>131179.09899999999</v>
      </c>
      <c r="D15" s="308">
        <v>1904.124</v>
      </c>
      <c r="E15" s="308">
        <v>1262.7819999999999</v>
      </c>
      <c r="F15" s="308">
        <v>14509.628000000001</v>
      </c>
      <c r="G15" s="308">
        <v>3151.4059999999999</v>
      </c>
      <c r="H15" s="308">
        <v>5442.9889999999996</v>
      </c>
      <c r="I15" s="135" t="s">
        <v>161</v>
      </c>
    </row>
    <row r="16" spans="1:9" s="79" customFormat="1" ht="15.95" customHeight="1" x14ac:dyDescent="0.25">
      <c r="A16" s="304">
        <v>2009</v>
      </c>
      <c r="B16" s="308">
        <v>4105.5818204999996</v>
      </c>
      <c r="C16" s="308">
        <v>137837.97700000001</v>
      </c>
      <c r="D16" s="308">
        <v>1928.6775500000001</v>
      </c>
      <c r="E16" s="308">
        <v>1237.5930000000001</v>
      </c>
      <c r="F16" s="308">
        <v>14137.689823156501</v>
      </c>
      <c r="G16" s="308">
        <v>3256.8090000000002</v>
      </c>
      <c r="H16" s="308">
        <v>5459.4350000000004</v>
      </c>
      <c r="I16" s="135" t="s">
        <v>161</v>
      </c>
    </row>
    <row r="17" spans="1:9" s="79" customFormat="1" ht="15.95" customHeight="1" x14ac:dyDescent="0.25">
      <c r="A17" s="304">
        <v>2010</v>
      </c>
      <c r="B17" s="308">
        <v>4177.4986490714282</v>
      </c>
      <c r="C17" s="308">
        <v>130779.04736666659</v>
      </c>
      <c r="D17" s="308">
        <v>1968.3061766666667</v>
      </c>
      <c r="E17" s="308">
        <v>1245.1692</v>
      </c>
      <c r="F17" s="308">
        <v>14159.720216666668</v>
      </c>
      <c r="G17" s="308">
        <v>3254.4127391960001</v>
      </c>
      <c r="H17" s="308">
        <v>5520.2000688593334</v>
      </c>
      <c r="I17" s="135" t="s">
        <v>161</v>
      </c>
    </row>
    <row r="18" spans="1:9" s="79" customFormat="1" ht="15.95" customHeight="1" x14ac:dyDescent="0.25">
      <c r="A18" s="304">
        <v>2011</v>
      </c>
      <c r="B18" s="308">
        <v>4322.2584360000001</v>
      </c>
      <c r="C18" s="308">
        <v>128943.45626762394</v>
      </c>
      <c r="D18" s="308">
        <v>1946.2170000000001</v>
      </c>
      <c r="E18" s="308">
        <v>1226.6120000000001</v>
      </c>
      <c r="F18" s="308">
        <v>14050.17259021435</v>
      </c>
      <c r="G18" s="308">
        <v>3263.2539999999999</v>
      </c>
      <c r="H18" s="308">
        <v>5589.1730613467807</v>
      </c>
      <c r="I18" s="135" t="s">
        <v>161</v>
      </c>
    </row>
    <row r="19" spans="1:9" s="79" customFormat="1" ht="15.95" customHeight="1" x14ac:dyDescent="0.25">
      <c r="A19" s="304">
        <v>2012</v>
      </c>
      <c r="B19" s="308">
        <v>3924.23</v>
      </c>
      <c r="C19" s="308">
        <v>137669.45500000002</v>
      </c>
      <c r="D19" s="308">
        <v>1949.1510000000001</v>
      </c>
      <c r="E19" s="308">
        <v>1192.953</v>
      </c>
      <c r="F19" s="308">
        <v>12183.777</v>
      </c>
      <c r="G19" s="308">
        <v>2991.0120000000002</v>
      </c>
      <c r="H19" s="308">
        <v>5660.9480000000003</v>
      </c>
      <c r="I19" s="135" t="s">
        <v>161</v>
      </c>
    </row>
    <row r="20" spans="1:9" s="79" customFormat="1" ht="15.95" customHeight="1" x14ac:dyDescent="0.25">
      <c r="A20" s="304">
        <v>2013</v>
      </c>
      <c r="B20" s="308">
        <v>3978.29</v>
      </c>
      <c r="C20" s="308">
        <v>137679.25399999996</v>
      </c>
      <c r="D20" s="308">
        <v>1927.9048839736799</v>
      </c>
      <c r="E20" s="308">
        <v>1226.231</v>
      </c>
      <c r="F20" s="308">
        <v>12434.352000000001</v>
      </c>
      <c r="G20" s="308">
        <v>3132.335</v>
      </c>
      <c r="H20" s="308">
        <v>5556.1880000000001</v>
      </c>
      <c r="I20" s="135" t="s">
        <v>161</v>
      </c>
    </row>
    <row r="21" spans="1:9" s="79" customFormat="1" ht="15.95" customHeight="1" x14ac:dyDescent="0.25">
      <c r="A21" s="304">
        <v>2014</v>
      </c>
      <c r="B21" s="308">
        <v>4095.5548749999998</v>
      </c>
      <c r="C21" s="308">
        <v>144275.52401000005</v>
      </c>
      <c r="D21" s="308">
        <v>1905.153325</v>
      </c>
      <c r="E21" s="308">
        <v>1207.3922500000001</v>
      </c>
      <c r="F21" s="308">
        <v>12415.3951</v>
      </c>
      <c r="G21" s="308">
        <v>3204.5087200000003</v>
      </c>
      <c r="H21" s="308">
        <v>5578.3876250000003</v>
      </c>
      <c r="I21" s="135" t="s">
        <v>161</v>
      </c>
    </row>
    <row r="22" spans="1:9" s="79" customFormat="1" ht="15.95" customHeight="1" x14ac:dyDescent="0.25">
      <c r="A22" s="304">
        <v>2015</v>
      </c>
      <c r="B22" s="308">
        <v>4318.4571093643317</v>
      </c>
      <c r="C22" s="308">
        <v>151000.90545506001</v>
      </c>
      <c r="D22" s="308">
        <v>1882.0424166666667</v>
      </c>
      <c r="E22" s="308">
        <v>1194.7080000000001</v>
      </c>
      <c r="F22" s="308">
        <v>11973.040317682047</v>
      </c>
      <c r="G22" s="308">
        <v>3200.714112044493</v>
      </c>
      <c r="H22" s="308">
        <v>5553.4695145027727</v>
      </c>
      <c r="I22" s="135" t="s">
        <v>161</v>
      </c>
    </row>
    <row r="23" spans="1:9" s="79" customFormat="1" ht="15.95" customHeight="1" x14ac:dyDescent="0.25">
      <c r="A23" s="304">
        <v>2016</v>
      </c>
      <c r="B23" s="308">
        <v>4319.22775</v>
      </c>
      <c r="C23" s="308">
        <v>158263.24807629833</v>
      </c>
      <c r="D23" s="308">
        <v>1864.7127526054601</v>
      </c>
      <c r="E23" s="308">
        <v>1105.0174999999999</v>
      </c>
      <c r="F23" s="308">
        <v>11441.603441077503</v>
      </c>
      <c r="G23" s="308">
        <v>3104.9105463301671</v>
      </c>
      <c r="H23" s="308">
        <v>5525.4543049335052</v>
      </c>
      <c r="I23" s="135" t="s">
        <v>161</v>
      </c>
    </row>
    <row r="24" spans="1:9" s="79" customFormat="1" ht="15.95" customHeight="1" x14ac:dyDescent="0.25">
      <c r="A24" s="304">
        <v>2017</v>
      </c>
      <c r="B24" s="308">
        <v>4330.71</v>
      </c>
      <c r="C24" s="308">
        <v>156637.70107897936</v>
      </c>
      <c r="D24" s="308">
        <v>1814</v>
      </c>
      <c r="E24" s="308">
        <v>1106.201</v>
      </c>
      <c r="F24" s="308">
        <v>11338.423960500193</v>
      </c>
      <c r="G24" s="308">
        <v>3187.2539999999999</v>
      </c>
      <c r="H24" s="308">
        <v>5535.5690000000004</v>
      </c>
      <c r="I24" s="135" t="s">
        <v>161</v>
      </c>
    </row>
    <row r="25" spans="1:9" s="79" customFormat="1" ht="15.95" customHeight="1" x14ac:dyDescent="0.25">
      <c r="A25" s="304">
        <v>2018</v>
      </c>
      <c r="B25" s="308">
        <v>4384.8459999999995</v>
      </c>
      <c r="C25" s="308">
        <v>160959.31899999999</v>
      </c>
      <c r="D25" s="308">
        <v>1811.63</v>
      </c>
      <c r="E25" s="308">
        <v>1093.124</v>
      </c>
      <c r="F25" s="308">
        <v>11331.907999999999</v>
      </c>
      <c r="G25" s="308">
        <v>3209.7420000000002</v>
      </c>
      <c r="H25" s="308">
        <v>5575.4830000000002</v>
      </c>
      <c r="I25" s="135" t="s">
        <v>161</v>
      </c>
    </row>
    <row r="26" spans="1:9" s="79" customFormat="1" ht="15.95" customHeight="1" x14ac:dyDescent="0.25">
      <c r="A26" s="304">
        <v>2019</v>
      </c>
      <c r="B26" s="305">
        <v>4456.049</v>
      </c>
      <c r="C26" s="308">
        <v>168172.63503948969</v>
      </c>
      <c r="D26" s="308">
        <v>1801.8820000000001</v>
      </c>
      <c r="E26" s="308">
        <v>1095.9204999999999</v>
      </c>
      <c r="F26" s="308">
        <v>11371.637296500097</v>
      </c>
      <c r="G26" s="308">
        <v>3269.5374999999999</v>
      </c>
      <c r="H26" s="308">
        <v>5599.893</v>
      </c>
      <c r="I26" s="164" t="s">
        <v>161</v>
      </c>
    </row>
    <row r="27" spans="1:9" s="79" customFormat="1" ht="15.95" customHeight="1" x14ac:dyDescent="0.25">
      <c r="A27" s="304">
        <v>2020</v>
      </c>
      <c r="B27" s="305">
        <v>4450.4219999999996</v>
      </c>
      <c r="C27" s="308">
        <v>178159.63009999998</v>
      </c>
      <c r="D27" s="308">
        <v>1784.6849999999999</v>
      </c>
      <c r="E27" s="308">
        <v>1085.5496666666668</v>
      </c>
      <c r="F27" s="308">
        <v>11071.699000000001</v>
      </c>
      <c r="G27" s="308">
        <v>3270.7420000000002</v>
      </c>
      <c r="H27" s="308">
        <v>5688.4610000000002</v>
      </c>
      <c r="I27" s="164" t="s">
        <v>161</v>
      </c>
    </row>
    <row r="28" spans="1:9" s="79" customFormat="1" ht="15.95" customHeight="1" x14ac:dyDescent="0.25">
      <c r="A28" s="310" t="s">
        <v>310</v>
      </c>
      <c r="B28" s="311">
        <v>4485.4970000000003</v>
      </c>
      <c r="C28" s="312">
        <v>189374.75383195287</v>
      </c>
      <c r="D28" s="312">
        <v>1754.6380866501001</v>
      </c>
      <c r="E28" s="312">
        <v>1075.425</v>
      </c>
      <c r="F28" s="312">
        <v>11267.076400219999</v>
      </c>
      <c r="G28" s="312">
        <v>3347.3524624576003</v>
      </c>
      <c r="H28" s="312">
        <v>5842.4439797060004</v>
      </c>
      <c r="I28" s="165" t="s">
        <v>161</v>
      </c>
    </row>
    <row r="29" spans="1:9" s="112" customFormat="1" ht="12" customHeight="1" x14ac:dyDescent="0.25">
      <c r="A29" s="530" t="s">
        <v>333</v>
      </c>
      <c r="B29" s="531"/>
      <c r="C29" s="531"/>
      <c r="D29" s="531"/>
      <c r="E29" s="531"/>
      <c r="F29" s="531"/>
      <c r="G29" s="531"/>
      <c r="H29" s="531"/>
    </row>
  </sheetData>
  <mergeCells count="3">
    <mergeCell ref="A1:I1"/>
    <mergeCell ref="A2:I2"/>
    <mergeCell ref="A29:H29"/>
  </mergeCells>
  <printOptions horizontalCentered="1"/>
  <pageMargins left="0.70866141732283472" right="0.5118110236220472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T37"/>
  <sheetViews>
    <sheetView showGridLines="0" zoomScaleNormal="100" workbookViewId="0">
      <selection activeCell="A4" sqref="A4:XFD4"/>
    </sheetView>
  </sheetViews>
  <sheetFormatPr baseColWidth="10" defaultColWidth="6.7109375" defaultRowHeight="12.75" customHeight="1" x14ac:dyDescent="0.25"/>
  <cols>
    <col min="1" max="1" width="6" style="73" customWidth="1"/>
    <col min="2" max="2" width="13.28515625" style="73" customWidth="1"/>
    <col min="3" max="6" width="8.28515625" style="73" hidden="1" customWidth="1"/>
    <col min="7" max="9" width="7.28515625" style="73" hidden="1" customWidth="1"/>
    <col min="10" max="10" width="7" style="73" hidden="1" customWidth="1"/>
    <col min="11" max="11" width="6.85546875" style="73" hidden="1" customWidth="1"/>
    <col min="12" max="20" width="9.140625" style="73" customWidth="1"/>
    <col min="21" max="258" width="6.7109375" style="73"/>
    <col min="259" max="259" width="5.28515625" style="73" customWidth="1"/>
    <col min="260" max="260" width="9.28515625" style="73" customWidth="1"/>
    <col min="261" max="268" width="0" style="73" hidden="1" customWidth="1"/>
    <col min="269" max="274" width="6.7109375" style="73" customWidth="1"/>
    <col min="275" max="275" width="7.7109375" style="73" customWidth="1"/>
    <col min="276" max="514" width="6.7109375" style="73"/>
    <col min="515" max="515" width="5.28515625" style="73" customWidth="1"/>
    <col min="516" max="516" width="9.28515625" style="73" customWidth="1"/>
    <col min="517" max="524" width="0" style="73" hidden="1" customWidth="1"/>
    <col min="525" max="530" width="6.7109375" style="73" customWidth="1"/>
    <col min="531" max="531" width="7.7109375" style="73" customWidth="1"/>
    <col min="532" max="770" width="6.7109375" style="73"/>
    <col min="771" max="771" width="5.28515625" style="73" customWidth="1"/>
    <col min="772" max="772" width="9.28515625" style="73" customWidth="1"/>
    <col min="773" max="780" width="0" style="73" hidden="1" customWidth="1"/>
    <col min="781" max="786" width="6.7109375" style="73" customWidth="1"/>
    <col min="787" max="787" width="7.7109375" style="73" customWidth="1"/>
    <col min="788" max="1026" width="6.7109375" style="73"/>
    <col min="1027" max="1027" width="5.28515625" style="73" customWidth="1"/>
    <col min="1028" max="1028" width="9.28515625" style="73" customWidth="1"/>
    <col min="1029" max="1036" width="0" style="73" hidden="1" customWidth="1"/>
    <col min="1037" max="1042" width="6.7109375" style="73" customWidth="1"/>
    <col min="1043" max="1043" width="7.7109375" style="73" customWidth="1"/>
    <col min="1044" max="1282" width="6.7109375" style="73"/>
    <col min="1283" max="1283" width="5.28515625" style="73" customWidth="1"/>
    <col min="1284" max="1284" width="9.28515625" style="73" customWidth="1"/>
    <col min="1285" max="1292" width="0" style="73" hidden="1" customWidth="1"/>
    <col min="1293" max="1298" width="6.7109375" style="73" customWidth="1"/>
    <col min="1299" max="1299" width="7.7109375" style="73" customWidth="1"/>
    <col min="1300" max="1538" width="6.7109375" style="73"/>
    <col min="1539" max="1539" width="5.28515625" style="73" customWidth="1"/>
    <col min="1540" max="1540" width="9.28515625" style="73" customWidth="1"/>
    <col min="1541" max="1548" width="0" style="73" hidden="1" customWidth="1"/>
    <col min="1549" max="1554" width="6.7109375" style="73" customWidth="1"/>
    <col min="1555" max="1555" width="7.7109375" style="73" customWidth="1"/>
    <col min="1556" max="1794" width="6.7109375" style="73"/>
    <col min="1795" max="1795" width="5.28515625" style="73" customWidth="1"/>
    <col min="1796" max="1796" width="9.28515625" style="73" customWidth="1"/>
    <col min="1797" max="1804" width="0" style="73" hidden="1" customWidth="1"/>
    <col min="1805" max="1810" width="6.7109375" style="73" customWidth="1"/>
    <col min="1811" max="1811" width="7.7109375" style="73" customWidth="1"/>
    <col min="1812" max="2050" width="6.7109375" style="73"/>
    <col min="2051" max="2051" width="5.28515625" style="73" customWidth="1"/>
    <col min="2052" max="2052" width="9.28515625" style="73" customWidth="1"/>
    <col min="2053" max="2060" width="0" style="73" hidden="1" customWidth="1"/>
    <col min="2061" max="2066" width="6.7109375" style="73" customWidth="1"/>
    <col min="2067" max="2067" width="7.7109375" style="73" customWidth="1"/>
    <col min="2068" max="2306" width="6.7109375" style="73"/>
    <col min="2307" max="2307" width="5.28515625" style="73" customWidth="1"/>
    <col min="2308" max="2308" width="9.28515625" style="73" customWidth="1"/>
    <col min="2309" max="2316" width="0" style="73" hidden="1" customWidth="1"/>
    <col min="2317" max="2322" width="6.7109375" style="73" customWidth="1"/>
    <col min="2323" max="2323" width="7.7109375" style="73" customWidth="1"/>
    <col min="2324" max="2562" width="6.7109375" style="73"/>
    <col min="2563" max="2563" width="5.28515625" style="73" customWidth="1"/>
    <col min="2564" max="2564" width="9.28515625" style="73" customWidth="1"/>
    <col min="2565" max="2572" width="0" style="73" hidden="1" customWidth="1"/>
    <col min="2573" max="2578" width="6.7109375" style="73" customWidth="1"/>
    <col min="2579" max="2579" width="7.7109375" style="73" customWidth="1"/>
    <col min="2580" max="2818" width="6.7109375" style="73"/>
    <col min="2819" max="2819" width="5.28515625" style="73" customWidth="1"/>
    <col min="2820" max="2820" width="9.28515625" style="73" customWidth="1"/>
    <col min="2821" max="2828" width="0" style="73" hidden="1" customWidth="1"/>
    <col min="2829" max="2834" width="6.7109375" style="73" customWidth="1"/>
    <col min="2835" max="2835" width="7.7109375" style="73" customWidth="1"/>
    <col min="2836" max="3074" width="6.7109375" style="73"/>
    <col min="3075" max="3075" width="5.28515625" style="73" customWidth="1"/>
    <col min="3076" max="3076" width="9.28515625" style="73" customWidth="1"/>
    <col min="3077" max="3084" width="0" style="73" hidden="1" customWidth="1"/>
    <col min="3085" max="3090" width="6.7109375" style="73" customWidth="1"/>
    <col min="3091" max="3091" width="7.7109375" style="73" customWidth="1"/>
    <col min="3092" max="3330" width="6.7109375" style="73"/>
    <col min="3331" max="3331" width="5.28515625" style="73" customWidth="1"/>
    <col min="3332" max="3332" width="9.28515625" style="73" customWidth="1"/>
    <col min="3333" max="3340" width="0" style="73" hidden="1" customWidth="1"/>
    <col min="3341" max="3346" width="6.7109375" style="73" customWidth="1"/>
    <col min="3347" max="3347" width="7.7109375" style="73" customWidth="1"/>
    <col min="3348" max="3586" width="6.7109375" style="73"/>
    <col min="3587" max="3587" width="5.28515625" style="73" customWidth="1"/>
    <col min="3588" max="3588" width="9.28515625" style="73" customWidth="1"/>
    <col min="3589" max="3596" width="0" style="73" hidden="1" customWidth="1"/>
    <col min="3597" max="3602" width="6.7109375" style="73" customWidth="1"/>
    <col min="3603" max="3603" width="7.7109375" style="73" customWidth="1"/>
    <col min="3604" max="3842" width="6.7109375" style="73"/>
    <col min="3843" max="3843" width="5.28515625" style="73" customWidth="1"/>
    <col min="3844" max="3844" width="9.28515625" style="73" customWidth="1"/>
    <col min="3845" max="3852" width="0" style="73" hidden="1" customWidth="1"/>
    <col min="3853" max="3858" width="6.7109375" style="73" customWidth="1"/>
    <col min="3859" max="3859" width="7.7109375" style="73" customWidth="1"/>
    <col min="3860" max="4098" width="6.7109375" style="73"/>
    <col min="4099" max="4099" width="5.28515625" style="73" customWidth="1"/>
    <col min="4100" max="4100" width="9.28515625" style="73" customWidth="1"/>
    <col min="4101" max="4108" width="0" style="73" hidden="1" customWidth="1"/>
    <col min="4109" max="4114" width="6.7109375" style="73" customWidth="1"/>
    <col min="4115" max="4115" width="7.7109375" style="73" customWidth="1"/>
    <col min="4116" max="4354" width="6.7109375" style="73"/>
    <col min="4355" max="4355" width="5.28515625" style="73" customWidth="1"/>
    <col min="4356" max="4356" width="9.28515625" style="73" customWidth="1"/>
    <col min="4357" max="4364" width="0" style="73" hidden="1" customWidth="1"/>
    <col min="4365" max="4370" width="6.7109375" style="73" customWidth="1"/>
    <col min="4371" max="4371" width="7.7109375" style="73" customWidth="1"/>
    <col min="4372" max="4610" width="6.7109375" style="73"/>
    <col min="4611" max="4611" width="5.28515625" style="73" customWidth="1"/>
    <col min="4612" max="4612" width="9.28515625" style="73" customWidth="1"/>
    <col min="4613" max="4620" width="0" style="73" hidden="1" customWidth="1"/>
    <col min="4621" max="4626" width="6.7109375" style="73" customWidth="1"/>
    <col min="4627" max="4627" width="7.7109375" style="73" customWidth="1"/>
    <col min="4628" max="4866" width="6.7109375" style="73"/>
    <col min="4867" max="4867" width="5.28515625" style="73" customWidth="1"/>
    <col min="4868" max="4868" width="9.28515625" style="73" customWidth="1"/>
    <col min="4869" max="4876" width="0" style="73" hidden="1" customWidth="1"/>
    <col min="4877" max="4882" width="6.7109375" style="73" customWidth="1"/>
    <col min="4883" max="4883" width="7.7109375" style="73" customWidth="1"/>
    <col min="4884" max="5122" width="6.7109375" style="73"/>
    <col min="5123" max="5123" width="5.28515625" style="73" customWidth="1"/>
    <col min="5124" max="5124" width="9.28515625" style="73" customWidth="1"/>
    <col min="5125" max="5132" width="0" style="73" hidden="1" customWidth="1"/>
    <col min="5133" max="5138" width="6.7109375" style="73" customWidth="1"/>
    <col min="5139" max="5139" width="7.7109375" style="73" customWidth="1"/>
    <col min="5140" max="5378" width="6.7109375" style="73"/>
    <col min="5379" max="5379" width="5.28515625" style="73" customWidth="1"/>
    <col min="5380" max="5380" width="9.28515625" style="73" customWidth="1"/>
    <col min="5381" max="5388" width="0" style="73" hidden="1" customWidth="1"/>
    <col min="5389" max="5394" width="6.7109375" style="73" customWidth="1"/>
    <col min="5395" max="5395" width="7.7109375" style="73" customWidth="1"/>
    <col min="5396" max="5634" width="6.7109375" style="73"/>
    <col min="5635" max="5635" width="5.28515625" style="73" customWidth="1"/>
    <col min="5636" max="5636" width="9.28515625" style="73" customWidth="1"/>
    <col min="5637" max="5644" width="0" style="73" hidden="1" customWidth="1"/>
    <col min="5645" max="5650" width="6.7109375" style="73" customWidth="1"/>
    <col min="5651" max="5651" width="7.7109375" style="73" customWidth="1"/>
    <col min="5652" max="5890" width="6.7109375" style="73"/>
    <col min="5891" max="5891" width="5.28515625" style="73" customWidth="1"/>
    <col min="5892" max="5892" width="9.28515625" style="73" customWidth="1"/>
    <col min="5893" max="5900" width="0" style="73" hidden="1" customWidth="1"/>
    <col min="5901" max="5906" width="6.7109375" style="73" customWidth="1"/>
    <col min="5907" max="5907" width="7.7109375" style="73" customWidth="1"/>
    <col min="5908" max="6146" width="6.7109375" style="73"/>
    <col min="6147" max="6147" width="5.28515625" style="73" customWidth="1"/>
    <col min="6148" max="6148" width="9.28515625" style="73" customWidth="1"/>
    <col min="6149" max="6156" width="0" style="73" hidden="1" customWidth="1"/>
    <col min="6157" max="6162" width="6.7109375" style="73" customWidth="1"/>
    <col min="6163" max="6163" width="7.7109375" style="73" customWidth="1"/>
    <col min="6164" max="6402" width="6.7109375" style="73"/>
    <col min="6403" max="6403" width="5.28515625" style="73" customWidth="1"/>
    <col min="6404" max="6404" width="9.28515625" style="73" customWidth="1"/>
    <col min="6405" max="6412" width="0" style="73" hidden="1" customWidth="1"/>
    <col min="6413" max="6418" width="6.7109375" style="73" customWidth="1"/>
    <col min="6419" max="6419" width="7.7109375" style="73" customWidth="1"/>
    <col min="6420" max="6658" width="6.7109375" style="73"/>
    <col min="6659" max="6659" width="5.28515625" style="73" customWidth="1"/>
    <col min="6660" max="6660" width="9.28515625" style="73" customWidth="1"/>
    <col min="6661" max="6668" width="0" style="73" hidden="1" customWidth="1"/>
    <col min="6669" max="6674" width="6.7109375" style="73" customWidth="1"/>
    <col min="6675" max="6675" width="7.7109375" style="73" customWidth="1"/>
    <col min="6676" max="6914" width="6.7109375" style="73"/>
    <col min="6915" max="6915" width="5.28515625" style="73" customWidth="1"/>
    <col min="6916" max="6916" width="9.28515625" style="73" customWidth="1"/>
    <col min="6917" max="6924" width="0" style="73" hidden="1" customWidth="1"/>
    <col min="6925" max="6930" width="6.7109375" style="73" customWidth="1"/>
    <col min="6931" max="6931" width="7.7109375" style="73" customWidth="1"/>
    <col min="6932" max="7170" width="6.7109375" style="73"/>
    <col min="7171" max="7171" width="5.28515625" style="73" customWidth="1"/>
    <col min="7172" max="7172" width="9.28515625" style="73" customWidth="1"/>
    <col min="7173" max="7180" width="0" style="73" hidden="1" customWidth="1"/>
    <col min="7181" max="7186" width="6.7109375" style="73" customWidth="1"/>
    <col min="7187" max="7187" width="7.7109375" style="73" customWidth="1"/>
    <col min="7188" max="7426" width="6.7109375" style="73"/>
    <col min="7427" max="7427" width="5.28515625" style="73" customWidth="1"/>
    <col min="7428" max="7428" width="9.28515625" style="73" customWidth="1"/>
    <col min="7429" max="7436" width="0" style="73" hidden="1" customWidth="1"/>
    <col min="7437" max="7442" width="6.7109375" style="73" customWidth="1"/>
    <col min="7443" max="7443" width="7.7109375" style="73" customWidth="1"/>
    <col min="7444" max="7682" width="6.7109375" style="73"/>
    <col min="7683" max="7683" width="5.28515625" style="73" customWidth="1"/>
    <col min="7684" max="7684" width="9.28515625" style="73" customWidth="1"/>
    <col min="7685" max="7692" width="0" style="73" hidden="1" customWidth="1"/>
    <col min="7693" max="7698" width="6.7109375" style="73" customWidth="1"/>
    <col min="7699" max="7699" width="7.7109375" style="73" customWidth="1"/>
    <col min="7700" max="7938" width="6.7109375" style="73"/>
    <col min="7939" max="7939" width="5.28515625" style="73" customWidth="1"/>
    <col min="7940" max="7940" width="9.28515625" style="73" customWidth="1"/>
    <col min="7941" max="7948" width="0" style="73" hidden="1" customWidth="1"/>
    <col min="7949" max="7954" width="6.7109375" style="73" customWidth="1"/>
    <col min="7955" max="7955" width="7.7109375" style="73" customWidth="1"/>
    <col min="7956" max="8194" width="6.7109375" style="73"/>
    <col min="8195" max="8195" width="5.28515625" style="73" customWidth="1"/>
    <col min="8196" max="8196" width="9.28515625" style="73" customWidth="1"/>
    <col min="8197" max="8204" width="0" style="73" hidden="1" customWidth="1"/>
    <col min="8205" max="8210" width="6.7109375" style="73" customWidth="1"/>
    <col min="8211" max="8211" width="7.7109375" style="73" customWidth="1"/>
    <col min="8212" max="8450" width="6.7109375" style="73"/>
    <col min="8451" max="8451" width="5.28515625" style="73" customWidth="1"/>
    <col min="8452" max="8452" width="9.28515625" style="73" customWidth="1"/>
    <col min="8453" max="8460" width="0" style="73" hidden="1" customWidth="1"/>
    <col min="8461" max="8466" width="6.7109375" style="73" customWidth="1"/>
    <col min="8467" max="8467" width="7.7109375" style="73" customWidth="1"/>
    <col min="8468" max="8706" width="6.7109375" style="73"/>
    <col min="8707" max="8707" width="5.28515625" style="73" customWidth="1"/>
    <col min="8708" max="8708" width="9.28515625" style="73" customWidth="1"/>
    <col min="8709" max="8716" width="0" style="73" hidden="1" customWidth="1"/>
    <col min="8717" max="8722" width="6.7109375" style="73" customWidth="1"/>
    <col min="8723" max="8723" width="7.7109375" style="73" customWidth="1"/>
    <col min="8724" max="8962" width="6.7109375" style="73"/>
    <col min="8963" max="8963" width="5.28515625" style="73" customWidth="1"/>
    <col min="8964" max="8964" width="9.28515625" style="73" customWidth="1"/>
    <col min="8965" max="8972" width="0" style="73" hidden="1" customWidth="1"/>
    <col min="8973" max="8978" width="6.7109375" style="73" customWidth="1"/>
    <col min="8979" max="8979" width="7.7109375" style="73" customWidth="1"/>
    <col min="8980" max="9218" width="6.7109375" style="73"/>
    <col min="9219" max="9219" width="5.28515625" style="73" customWidth="1"/>
    <col min="9220" max="9220" width="9.28515625" style="73" customWidth="1"/>
    <col min="9221" max="9228" width="0" style="73" hidden="1" customWidth="1"/>
    <col min="9229" max="9234" width="6.7109375" style="73" customWidth="1"/>
    <col min="9235" max="9235" width="7.7109375" style="73" customWidth="1"/>
    <col min="9236" max="9474" width="6.7109375" style="73"/>
    <col min="9475" max="9475" width="5.28515625" style="73" customWidth="1"/>
    <col min="9476" max="9476" width="9.28515625" style="73" customWidth="1"/>
    <col min="9477" max="9484" width="0" style="73" hidden="1" customWidth="1"/>
    <col min="9485" max="9490" width="6.7109375" style="73" customWidth="1"/>
    <col min="9491" max="9491" width="7.7109375" style="73" customWidth="1"/>
    <col min="9492" max="9730" width="6.7109375" style="73"/>
    <col min="9731" max="9731" width="5.28515625" style="73" customWidth="1"/>
    <col min="9732" max="9732" width="9.28515625" style="73" customWidth="1"/>
    <col min="9733" max="9740" width="0" style="73" hidden="1" customWidth="1"/>
    <col min="9741" max="9746" width="6.7109375" style="73" customWidth="1"/>
    <col min="9747" max="9747" width="7.7109375" style="73" customWidth="1"/>
    <col min="9748" max="9986" width="6.7109375" style="73"/>
    <col min="9987" max="9987" width="5.28515625" style="73" customWidth="1"/>
    <col min="9988" max="9988" width="9.28515625" style="73" customWidth="1"/>
    <col min="9989" max="9996" width="0" style="73" hidden="1" customWidth="1"/>
    <col min="9997" max="10002" width="6.7109375" style="73" customWidth="1"/>
    <col min="10003" max="10003" width="7.7109375" style="73" customWidth="1"/>
    <col min="10004" max="10242" width="6.7109375" style="73"/>
    <col min="10243" max="10243" width="5.28515625" style="73" customWidth="1"/>
    <col min="10244" max="10244" width="9.28515625" style="73" customWidth="1"/>
    <col min="10245" max="10252" width="0" style="73" hidden="1" customWidth="1"/>
    <col min="10253" max="10258" width="6.7109375" style="73" customWidth="1"/>
    <col min="10259" max="10259" width="7.7109375" style="73" customWidth="1"/>
    <col min="10260" max="10498" width="6.7109375" style="73"/>
    <col min="10499" max="10499" width="5.28515625" style="73" customWidth="1"/>
    <col min="10500" max="10500" width="9.28515625" style="73" customWidth="1"/>
    <col min="10501" max="10508" width="0" style="73" hidden="1" customWidth="1"/>
    <col min="10509" max="10514" width="6.7109375" style="73" customWidth="1"/>
    <col min="10515" max="10515" width="7.7109375" style="73" customWidth="1"/>
    <col min="10516" max="10754" width="6.7109375" style="73"/>
    <col min="10755" max="10755" width="5.28515625" style="73" customWidth="1"/>
    <col min="10756" max="10756" width="9.28515625" style="73" customWidth="1"/>
    <col min="10757" max="10764" width="0" style="73" hidden="1" customWidth="1"/>
    <col min="10765" max="10770" width="6.7109375" style="73" customWidth="1"/>
    <col min="10771" max="10771" width="7.7109375" style="73" customWidth="1"/>
    <col min="10772" max="11010" width="6.7109375" style="73"/>
    <col min="11011" max="11011" width="5.28515625" style="73" customWidth="1"/>
    <col min="11012" max="11012" width="9.28515625" style="73" customWidth="1"/>
    <col min="11013" max="11020" width="0" style="73" hidden="1" customWidth="1"/>
    <col min="11021" max="11026" width="6.7109375" style="73" customWidth="1"/>
    <col min="11027" max="11027" width="7.7109375" style="73" customWidth="1"/>
    <col min="11028" max="11266" width="6.7109375" style="73"/>
    <col min="11267" max="11267" width="5.28515625" style="73" customWidth="1"/>
    <col min="11268" max="11268" width="9.28515625" style="73" customWidth="1"/>
    <col min="11269" max="11276" width="0" style="73" hidden="1" customWidth="1"/>
    <col min="11277" max="11282" width="6.7109375" style="73" customWidth="1"/>
    <col min="11283" max="11283" width="7.7109375" style="73" customWidth="1"/>
    <col min="11284" max="11522" width="6.7109375" style="73"/>
    <col min="11523" max="11523" width="5.28515625" style="73" customWidth="1"/>
    <col min="11524" max="11524" width="9.28515625" style="73" customWidth="1"/>
    <col min="11525" max="11532" width="0" style="73" hidden="1" customWidth="1"/>
    <col min="11533" max="11538" width="6.7109375" style="73" customWidth="1"/>
    <col min="11539" max="11539" width="7.7109375" style="73" customWidth="1"/>
    <col min="11540" max="11778" width="6.7109375" style="73"/>
    <col min="11779" max="11779" width="5.28515625" style="73" customWidth="1"/>
    <col min="11780" max="11780" width="9.28515625" style="73" customWidth="1"/>
    <col min="11781" max="11788" width="0" style="73" hidden="1" customWidth="1"/>
    <col min="11789" max="11794" width="6.7109375" style="73" customWidth="1"/>
    <col min="11795" max="11795" width="7.7109375" style="73" customWidth="1"/>
    <col min="11796" max="12034" width="6.7109375" style="73"/>
    <col min="12035" max="12035" width="5.28515625" style="73" customWidth="1"/>
    <col min="12036" max="12036" width="9.28515625" style="73" customWidth="1"/>
    <col min="12037" max="12044" width="0" style="73" hidden="1" customWidth="1"/>
    <col min="12045" max="12050" width="6.7109375" style="73" customWidth="1"/>
    <col min="12051" max="12051" width="7.7109375" style="73" customWidth="1"/>
    <col min="12052" max="12290" width="6.7109375" style="73"/>
    <col min="12291" max="12291" width="5.28515625" style="73" customWidth="1"/>
    <col min="12292" max="12292" width="9.28515625" style="73" customWidth="1"/>
    <col min="12293" max="12300" width="0" style="73" hidden="1" customWidth="1"/>
    <col min="12301" max="12306" width="6.7109375" style="73" customWidth="1"/>
    <col min="12307" max="12307" width="7.7109375" style="73" customWidth="1"/>
    <col min="12308" max="12546" width="6.7109375" style="73"/>
    <col min="12547" max="12547" width="5.28515625" style="73" customWidth="1"/>
    <col min="12548" max="12548" width="9.28515625" style="73" customWidth="1"/>
    <col min="12549" max="12556" width="0" style="73" hidden="1" customWidth="1"/>
    <col min="12557" max="12562" width="6.7109375" style="73" customWidth="1"/>
    <col min="12563" max="12563" width="7.7109375" style="73" customWidth="1"/>
    <col min="12564" max="12802" width="6.7109375" style="73"/>
    <col min="12803" max="12803" width="5.28515625" style="73" customWidth="1"/>
    <col min="12804" max="12804" width="9.28515625" style="73" customWidth="1"/>
    <col min="12805" max="12812" width="0" style="73" hidden="1" customWidth="1"/>
    <col min="12813" max="12818" width="6.7109375" style="73" customWidth="1"/>
    <col min="12819" max="12819" width="7.7109375" style="73" customWidth="1"/>
    <col min="12820" max="13058" width="6.7109375" style="73"/>
    <col min="13059" max="13059" width="5.28515625" style="73" customWidth="1"/>
    <col min="13060" max="13060" width="9.28515625" style="73" customWidth="1"/>
    <col min="13061" max="13068" width="0" style="73" hidden="1" customWidth="1"/>
    <col min="13069" max="13074" width="6.7109375" style="73" customWidth="1"/>
    <col min="13075" max="13075" width="7.7109375" style="73" customWidth="1"/>
    <col min="13076" max="13314" width="6.7109375" style="73"/>
    <col min="13315" max="13315" width="5.28515625" style="73" customWidth="1"/>
    <col min="13316" max="13316" width="9.28515625" style="73" customWidth="1"/>
    <col min="13317" max="13324" width="0" style="73" hidden="1" customWidth="1"/>
    <col min="13325" max="13330" width="6.7109375" style="73" customWidth="1"/>
    <col min="13331" max="13331" width="7.7109375" style="73" customWidth="1"/>
    <col min="13332" max="13570" width="6.7109375" style="73"/>
    <col min="13571" max="13571" width="5.28515625" style="73" customWidth="1"/>
    <col min="13572" max="13572" width="9.28515625" style="73" customWidth="1"/>
    <col min="13573" max="13580" width="0" style="73" hidden="1" customWidth="1"/>
    <col min="13581" max="13586" width="6.7109375" style="73" customWidth="1"/>
    <col min="13587" max="13587" width="7.7109375" style="73" customWidth="1"/>
    <col min="13588" max="13826" width="6.7109375" style="73"/>
    <col min="13827" max="13827" width="5.28515625" style="73" customWidth="1"/>
    <col min="13828" max="13828" width="9.28515625" style="73" customWidth="1"/>
    <col min="13829" max="13836" width="0" style="73" hidden="1" customWidth="1"/>
    <col min="13837" max="13842" width="6.7109375" style="73" customWidth="1"/>
    <col min="13843" max="13843" width="7.7109375" style="73" customWidth="1"/>
    <col min="13844" max="14082" width="6.7109375" style="73"/>
    <col min="14083" max="14083" width="5.28515625" style="73" customWidth="1"/>
    <col min="14084" max="14084" width="9.28515625" style="73" customWidth="1"/>
    <col min="14085" max="14092" width="0" style="73" hidden="1" customWidth="1"/>
    <col min="14093" max="14098" width="6.7109375" style="73" customWidth="1"/>
    <col min="14099" max="14099" width="7.7109375" style="73" customWidth="1"/>
    <col min="14100" max="14338" width="6.7109375" style="73"/>
    <col min="14339" max="14339" width="5.28515625" style="73" customWidth="1"/>
    <col min="14340" max="14340" width="9.28515625" style="73" customWidth="1"/>
    <col min="14341" max="14348" width="0" style="73" hidden="1" customWidth="1"/>
    <col min="14349" max="14354" width="6.7109375" style="73" customWidth="1"/>
    <col min="14355" max="14355" width="7.7109375" style="73" customWidth="1"/>
    <col min="14356" max="14594" width="6.7109375" style="73"/>
    <col min="14595" max="14595" width="5.28515625" style="73" customWidth="1"/>
    <col min="14596" max="14596" width="9.28515625" style="73" customWidth="1"/>
    <col min="14597" max="14604" width="0" style="73" hidden="1" customWidth="1"/>
    <col min="14605" max="14610" width="6.7109375" style="73" customWidth="1"/>
    <col min="14611" max="14611" width="7.7109375" style="73" customWidth="1"/>
    <col min="14612" max="14850" width="6.7109375" style="73"/>
    <col min="14851" max="14851" width="5.28515625" style="73" customWidth="1"/>
    <col min="14852" max="14852" width="9.28515625" style="73" customWidth="1"/>
    <col min="14853" max="14860" width="0" style="73" hidden="1" customWidth="1"/>
    <col min="14861" max="14866" width="6.7109375" style="73" customWidth="1"/>
    <col min="14867" max="14867" width="7.7109375" style="73" customWidth="1"/>
    <col min="14868" max="15106" width="6.7109375" style="73"/>
    <col min="15107" max="15107" width="5.28515625" style="73" customWidth="1"/>
    <col min="15108" max="15108" width="9.28515625" style="73" customWidth="1"/>
    <col min="15109" max="15116" width="0" style="73" hidden="1" customWidth="1"/>
    <col min="15117" max="15122" width="6.7109375" style="73" customWidth="1"/>
    <col min="15123" max="15123" width="7.7109375" style="73" customWidth="1"/>
    <col min="15124" max="15362" width="6.7109375" style="73"/>
    <col min="15363" max="15363" width="5.28515625" style="73" customWidth="1"/>
    <col min="15364" max="15364" width="9.28515625" style="73" customWidth="1"/>
    <col min="15365" max="15372" width="0" style="73" hidden="1" customWidth="1"/>
    <col min="15373" max="15378" width="6.7109375" style="73" customWidth="1"/>
    <col min="15379" max="15379" width="7.7109375" style="73" customWidth="1"/>
    <col min="15380" max="15618" width="6.7109375" style="73"/>
    <col min="15619" max="15619" width="5.28515625" style="73" customWidth="1"/>
    <col min="15620" max="15620" width="9.28515625" style="73" customWidth="1"/>
    <col min="15621" max="15628" width="0" style="73" hidden="1" customWidth="1"/>
    <col min="15629" max="15634" width="6.7109375" style="73" customWidth="1"/>
    <col min="15635" max="15635" width="7.7109375" style="73" customWidth="1"/>
    <col min="15636" max="15874" width="6.7109375" style="73"/>
    <col min="15875" max="15875" width="5.28515625" style="73" customWidth="1"/>
    <col min="15876" max="15876" width="9.28515625" style="73" customWidth="1"/>
    <col min="15877" max="15884" width="0" style="73" hidden="1" customWidth="1"/>
    <col min="15885" max="15890" width="6.7109375" style="73" customWidth="1"/>
    <col min="15891" max="15891" width="7.7109375" style="73" customWidth="1"/>
    <col min="15892" max="16130" width="6.7109375" style="73"/>
    <col min="16131" max="16131" width="5.28515625" style="73" customWidth="1"/>
    <col min="16132" max="16132" width="9.28515625" style="73" customWidth="1"/>
    <col min="16133" max="16140" width="0" style="73" hidden="1" customWidth="1"/>
    <col min="16141" max="16146" width="6.7109375" style="73" customWidth="1"/>
    <col min="16147" max="16147" width="7.7109375" style="73" customWidth="1"/>
    <col min="16148" max="16384" width="6.7109375" style="73"/>
  </cols>
  <sheetData>
    <row r="1" spans="1:20" ht="12.75" customHeight="1" x14ac:dyDescent="0.25">
      <c r="A1" s="534" t="s">
        <v>330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</row>
    <row r="2" spans="1:20" ht="12.75" customHeight="1" x14ac:dyDescent="0.25">
      <c r="A2" s="535" t="s">
        <v>159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</row>
    <row r="3" spans="1:20" ht="3" customHeight="1" x14ac:dyDescent="0.25">
      <c r="A3" s="136"/>
      <c r="B3" s="136"/>
      <c r="C3" s="10"/>
      <c r="D3" s="10"/>
      <c r="E3" s="10"/>
      <c r="F3" s="10"/>
      <c r="G3" s="10"/>
      <c r="H3" s="10"/>
      <c r="I3" s="10"/>
      <c r="J3" s="10"/>
      <c r="K3" s="137"/>
      <c r="L3" s="137"/>
      <c r="M3" s="137"/>
      <c r="N3" s="137"/>
      <c r="O3" s="137"/>
      <c r="P3" s="137"/>
      <c r="Q3" s="137"/>
      <c r="R3" s="137"/>
      <c r="S3" s="137"/>
      <c r="T3" s="10"/>
    </row>
    <row r="4" spans="1:20" ht="38.25" customHeight="1" x14ac:dyDescent="0.25">
      <c r="A4" s="524" t="s">
        <v>203</v>
      </c>
      <c r="B4" s="522"/>
      <c r="C4" s="313">
        <v>2003</v>
      </c>
      <c r="D4" s="313">
        <v>2004</v>
      </c>
      <c r="E4" s="313" t="s">
        <v>202</v>
      </c>
      <c r="F4" s="313" t="s">
        <v>201</v>
      </c>
      <c r="G4" s="313" t="s">
        <v>200</v>
      </c>
      <c r="H4" s="313" t="s">
        <v>199</v>
      </c>
      <c r="I4" s="313" t="s">
        <v>198</v>
      </c>
      <c r="J4" s="313">
        <v>2010</v>
      </c>
      <c r="K4" s="313">
        <v>2012</v>
      </c>
      <c r="L4" s="320">
        <v>2013</v>
      </c>
      <c r="M4" s="320">
        <v>2014</v>
      </c>
      <c r="N4" s="320">
        <v>2015</v>
      </c>
      <c r="O4" s="320">
        <v>2016</v>
      </c>
      <c r="P4" s="320">
        <v>2017</v>
      </c>
      <c r="Q4" s="320">
        <v>2018</v>
      </c>
      <c r="R4" s="320">
        <v>2019</v>
      </c>
      <c r="S4" s="320">
        <v>2020</v>
      </c>
      <c r="T4" s="320">
        <v>2021</v>
      </c>
    </row>
    <row r="5" spans="1:20" ht="3" customHeight="1" x14ac:dyDescent="0.25">
      <c r="A5" s="321"/>
      <c r="B5" s="314"/>
      <c r="C5" s="322"/>
      <c r="D5" s="322"/>
    </row>
    <row r="6" spans="1:20" ht="15.95" customHeight="1" x14ac:dyDescent="0.3">
      <c r="A6" s="532" t="s">
        <v>157</v>
      </c>
      <c r="B6" s="533"/>
      <c r="C6" s="323">
        <v>5193414</v>
      </c>
      <c r="D6" s="323">
        <v>5184822</v>
      </c>
      <c r="E6" s="323">
        <v>5249783.083333333</v>
      </c>
      <c r="F6" s="323">
        <v>5241101.5109633338</v>
      </c>
      <c r="G6" s="323">
        <v>5420865</v>
      </c>
      <c r="H6" s="323">
        <v>5442989</v>
      </c>
      <c r="I6" s="323">
        <v>5459435</v>
      </c>
      <c r="J6" s="323">
        <v>5520200.0688593332</v>
      </c>
      <c r="K6" s="323">
        <v>5660948</v>
      </c>
      <c r="L6" s="323">
        <v>5556188</v>
      </c>
      <c r="M6" s="323">
        <v>5578387.625</v>
      </c>
      <c r="N6" s="323">
        <v>5553469.5145027731</v>
      </c>
      <c r="O6" s="323">
        <v>5525454.3049335051</v>
      </c>
      <c r="P6" s="323">
        <v>5535569</v>
      </c>
      <c r="Q6" s="323">
        <v>5575483</v>
      </c>
      <c r="R6" s="323">
        <v>5599892.5</v>
      </c>
      <c r="S6" s="323">
        <v>5688461</v>
      </c>
      <c r="T6" s="323">
        <v>5842443.9797060005</v>
      </c>
    </row>
    <row r="7" spans="1:20" ht="15.95" customHeight="1" x14ac:dyDescent="0.25">
      <c r="A7" s="324" t="s">
        <v>197</v>
      </c>
      <c r="B7" s="315" t="s">
        <v>119</v>
      </c>
      <c r="C7" s="325">
        <v>13600</v>
      </c>
      <c r="D7" s="325">
        <v>12980</v>
      </c>
      <c r="E7" s="325">
        <v>13800</v>
      </c>
      <c r="F7" s="325">
        <v>14000</v>
      </c>
      <c r="G7" s="325">
        <v>13890</v>
      </c>
      <c r="H7" s="325">
        <v>17461</v>
      </c>
      <c r="I7" s="325">
        <v>17100</v>
      </c>
      <c r="J7" s="325">
        <v>13729</v>
      </c>
      <c r="K7" s="325">
        <v>18070</v>
      </c>
      <c r="L7" s="325">
        <v>16447</v>
      </c>
      <c r="M7" s="325">
        <v>14414</v>
      </c>
      <c r="N7" s="325">
        <v>21346</v>
      </c>
      <c r="O7" s="325">
        <v>22427</v>
      </c>
      <c r="P7" s="325">
        <v>22350</v>
      </c>
      <c r="Q7" s="325">
        <v>22050</v>
      </c>
      <c r="R7" s="325">
        <v>22200</v>
      </c>
      <c r="S7" s="325">
        <v>19258</v>
      </c>
      <c r="T7" s="325">
        <v>20732</v>
      </c>
    </row>
    <row r="8" spans="1:20" ht="15.95" customHeight="1" x14ac:dyDescent="0.25">
      <c r="A8" s="326" t="s">
        <v>196</v>
      </c>
      <c r="B8" s="316" t="s">
        <v>124</v>
      </c>
      <c r="C8" s="325">
        <v>225000</v>
      </c>
      <c r="D8" s="325">
        <v>221000</v>
      </c>
      <c r="E8" s="325">
        <v>234260</v>
      </c>
      <c r="F8" s="325">
        <v>234260</v>
      </c>
      <c r="G8" s="325">
        <v>237774</v>
      </c>
      <c r="H8" s="325">
        <v>227803</v>
      </c>
      <c r="I8" s="325">
        <v>230765</v>
      </c>
      <c r="J8" s="325">
        <v>302158</v>
      </c>
      <c r="K8" s="325">
        <v>324960</v>
      </c>
      <c r="L8" s="325">
        <v>308181</v>
      </c>
      <c r="M8" s="325">
        <v>295041</v>
      </c>
      <c r="N8" s="325">
        <v>298200.43116943998</v>
      </c>
      <c r="O8" s="325">
        <v>290881.70493350498</v>
      </c>
      <c r="P8" s="325">
        <v>276247</v>
      </c>
      <c r="Q8" s="325">
        <v>268181</v>
      </c>
      <c r="R8" s="325">
        <v>258181</v>
      </c>
      <c r="S8" s="325">
        <v>248181</v>
      </c>
      <c r="T8" s="325">
        <v>292935.97970600001</v>
      </c>
    </row>
    <row r="9" spans="1:20" ht="15.95" customHeight="1" x14ac:dyDescent="0.25">
      <c r="A9" s="326" t="s">
        <v>195</v>
      </c>
      <c r="B9" s="316" t="s">
        <v>130</v>
      </c>
      <c r="C9" s="325">
        <v>84550</v>
      </c>
      <c r="D9" s="325">
        <v>85000</v>
      </c>
      <c r="E9" s="325">
        <v>86000</v>
      </c>
      <c r="F9" s="325">
        <v>87500</v>
      </c>
      <c r="G9" s="325">
        <v>96479</v>
      </c>
      <c r="H9" s="325">
        <v>113725</v>
      </c>
      <c r="I9" s="325">
        <v>114210</v>
      </c>
      <c r="J9" s="325">
        <v>110582.8</v>
      </c>
      <c r="K9" s="325">
        <v>89795</v>
      </c>
      <c r="L9" s="325">
        <v>89530</v>
      </c>
      <c r="M9" s="325">
        <v>85995</v>
      </c>
      <c r="N9" s="325">
        <v>86120</v>
      </c>
      <c r="O9" s="325">
        <v>86344</v>
      </c>
      <c r="P9" s="325">
        <v>113514</v>
      </c>
      <c r="Q9" s="325">
        <v>112040</v>
      </c>
      <c r="R9" s="325">
        <v>113602</v>
      </c>
      <c r="S9" s="325">
        <v>114530</v>
      </c>
      <c r="T9" s="325">
        <v>114053</v>
      </c>
    </row>
    <row r="10" spans="1:20" ht="15.95" customHeight="1" x14ac:dyDescent="0.25">
      <c r="A10" s="326" t="s">
        <v>194</v>
      </c>
      <c r="B10" s="316" t="s">
        <v>131</v>
      </c>
      <c r="C10" s="325">
        <v>250731</v>
      </c>
      <c r="D10" s="325">
        <v>252143</v>
      </c>
      <c r="E10" s="325">
        <v>253482</v>
      </c>
      <c r="F10" s="325">
        <v>253925</v>
      </c>
      <c r="G10" s="325">
        <v>254014</v>
      </c>
      <c r="H10" s="325">
        <v>253872</v>
      </c>
      <c r="I10" s="325">
        <v>253917</v>
      </c>
      <c r="J10" s="325">
        <v>254699</v>
      </c>
      <c r="K10" s="325">
        <v>262771</v>
      </c>
      <c r="L10" s="325">
        <v>262017</v>
      </c>
      <c r="M10" s="325">
        <v>259231</v>
      </c>
      <c r="N10" s="325">
        <v>246630</v>
      </c>
      <c r="O10" s="325">
        <v>245857</v>
      </c>
      <c r="P10" s="325">
        <v>237501</v>
      </c>
      <c r="Q10" s="325">
        <v>233412</v>
      </c>
      <c r="R10" s="325">
        <v>235457</v>
      </c>
      <c r="S10" s="325">
        <v>234083</v>
      </c>
      <c r="T10" s="325">
        <v>234083</v>
      </c>
    </row>
    <row r="11" spans="1:20" ht="15.95" customHeight="1" x14ac:dyDescent="0.25">
      <c r="A11" s="326" t="s">
        <v>193</v>
      </c>
      <c r="B11" s="316" t="s">
        <v>141</v>
      </c>
      <c r="C11" s="325">
        <v>355647</v>
      </c>
      <c r="D11" s="325">
        <v>341216</v>
      </c>
      <c r="E11" s="325">
        <v>342051</v>
      </c>
      <c r="F11" s="325">
        <v>301166.42762999999</v>
      </c>
      <c r="G11" s="325">
        <v>301783</v>
      </c>
      <c r="H11" s="325">
        <v>302411</v>
      </c>
      <c r="I11" s="325">
        <v>305711</v>
      </c>
      <c r="J11" s="325">
        <v>307624.48552599997</v>
      </c>
      <c r="K11" s="325">
        <v>300992</v>
      </c>
      <c r="L11" s="325">
        <v>294294</v>
      </c>
      <c r="M11" s="325">
        <v>304432</v>
      </c>
      <c r="N11" s="325">
        <v>304262</v>
      </c>
      <c r="O11" s="325">
        <v>309475.09999999998</v>
      </c>
      <c r="P11" s="325">
        <v>305720</v>
      </c>
      <c r="Q11" s="325">
        <v>306410</v>
      </c>
      <c r="R11" s="325">
        <v>306065</v>
      </c>
      <c r="S11" s="325">
        <v>308564</v>
      </c>
      <c r="T11" s="325">
        <v>307349</v>
      </c>
    </row>
    <row r="12" spans="1:20" ht="15.95" customHeight="1" x14ac:dyDescent="0.25">
      <c r="A12" s="326" t="s">
        <v>192</v>
      </c>
      <c r="B12" s="316" t="s">
        <v>129</v>
      </c>
      <c r="C12" s="325">
        <v>261924</v>
      </c>
      <c r="D12" s="325">
        <v>263130</v>
      </c>
      <c r="E12" s="325">
        <v>263480</v>
      </c>
      <c r="F12" s="325">
        <v>258000</v>
      </c>
      <c r="G12" s="325">
        <v>254986</v>
      </c>
      <c r="H12" s="325">
        <v>228844</v>
      </c>
      <c r="I12" s="325">
        <v>226800</v>
      </c>
      <c r="J12" s="325">
        <v>230422</v>
      </c>
      <c r="K12" s="325">
        <v>225265</v>
      </c>
      <c r="L12" s="325">
        <v>226410</v>
      </c>
      <c r="M12" s="325">
        <v>232070.25</v>
      </c>
      <c r="N12" s="325">
        <v>265104</v>
      </c>
      <c r="O12" s="325">
        <v>257939</v>
      </c>
      <c r="P12" s="325">
        <v>245851</v>
      </c>
      <c r="Q12" s="325">
        <v>255851</v>
      </c>
      <c r="R12" s="325">
        <v>250851</v>
      </c>
      <c r="S12" s="325">
        <v>261406</v>
      </c>
      <c r="T12" s="325">
        <v>269325</v>
      </c>
    </row>
    <row r="13" spans="1:20" ht="15.95" customHeight="1" x14ac:dyDescent="0.25">
      <c r="A13" s="326" t="s">
        <v>191</v>
      </c>
      <c r="B13" s="316" t="s">
        <v>133</v>
      </c>
      <c r="C13" s="325">
        <v>33072</v>
      </c>
      <c r="D13" s="325">
        <v>35399</v>
      </c>
      <c r="E13" s="325">
        <v>36448.083333333328</v>
      </c>
      <c r="F13" s="325">
        <v>36595.083333333328</v>
      </c>
      <c r="G13" s="325">
        <v>36877</v>
      </c>
      <c r="H13" s="325">
        <v>37296</v>
      </c>
      <c r="I13" s="325">
        <v>38100</v>
      </c>
      <c r="J13" s="325">
        <v>37063.183333333334</v>
      </c>
      <c r="K13" s="325">
        <v>43823</v>
      </c>
      <c r="L13" s="325">
        <v>45315</v>
      </c>
      <c r="M13" s="325">
        <v>46447.875</v>
      </c>
      <c r="N13" s="325">
        <v>47838.083333333336</v>
      </c>
      <c r="O13" s="325">
        <v>47321</v>
      </c>
      <c r="P13" s="325">
        <v>50124</v>
      </c>
      <c r="Q13" s="325">
        <v>49144</v>
      </c>
      <c r="R13" s="325">
        <v>50530</v>
      </c>
      <c r="S13" s="325">
        <v>48558</v>
      </c>
      <c r="T13" s="325">
        <v>48306</v>
      </c>
    </row>
    <row r="14" spans="1:20" ht="15.95" customHeight="1" x14ac:dyDescent="0.25">
      <c r="A14" s="326" t="s">
        <v>190</v>
      </c>
      <c r="B14" s="316" t="s">
        <v>139</v>
      </c>
      <c r="C14" s="325">
        <v>271565</v>
      </c>
      <c r="D14" s="325">
        <v>294471</v>
      </c>
      <c r="E14" s="325">
        <v>268845</v>
      </c>
      <c r="F14" s="325">
        <v>263905</v>
      </c>
      <c r="G14" s="325">
        <v>258328</v>
      </c>
      <c r="H14" s="325">
        <v>248526</v>
      </c>
      <c r="I14" s="325">
        <v>215164</v>
      </c>
      <c r="J14" s="325">
        <v>204164</v>
      </c>
      <c r="K14" s="325">
        <v>201589</v>
      </c>
      <c r="L14" s="325">
        <v>234323</v>
      </c>
      <c r="M14" s="325">
        <v>230560</v>
      </c>
      <c r="N14" s="325">
        <v>230298</v>
      </c>
      <c r="O14" s="325">
        <v>222440</v>
      </c>
      <c r="P14" s="325">
        <v>205693</v>
      </c>
      <c r="Q14" s="325">
        <v>218640</v>
      </c>
      <c r="R14" s="325">
        <v>212744</v>
      </c>
      <c r="S14" s="325">
        <v>215432</v>
      </c>
      <c r="T14" s="325">
        <v>232737</v>
      </c>
    </row>
    <row r="15" spans="1:20" ht="15.95" customHeight="1" x14ac:dyDescent="0.25">
      <c r="A15" s="326" t="s">
        <v>189</v>
      </c>
      <c r="B15" s="316" t="s">
        <v>126</v>
      </c>
      <c r="C15" s="325">
        <v>31000</v>
      </c>
      <c r="D15" s="325">
        <v>32100</v>
      </c>
      <c r="E15" s="325">
        <v>31022</v>
      </c>
      <c r="F15" s="325">
        <v>30221</v>
      </c>
      <c r="G15" s="325">
        <v>29637</v>
      </c>
      <c r="H15" s="325">
        <v>30050</v>
      </c>
      <c r="I15" s="325">
        <v>31200</v>
      </c>
      <c r="J15" s="325">
        <v>30426</v>
      </c>
      <c r="K15" s="325">
        <v>27380</v>
      </c>
      <c r="L15" s="325">
        <v>26180</v>
      </c>
      <c r="M15" s="325">
        <v>27834.5</v>
      </c>
      <c r="N15" s="325">
        <v>22850</v>
      </c>
      <c r="O15" s="325">
        <v>23992.5</v>
      </c>
      <c r="P15" s="325">
        <v>23870</v>
      </c>
      <c r="Q15" s="325">
        <v>23571</v>
      </c>
      <c r="R15" s="325">
        <v>23721</v>
      </c>
      <c r="S15" s="325">
        <v>23687</v>
      </c>
      <c r="T15" s="325">
        <v>23706</v>
      </c>
    </row>
    <row r="16" spans="1:20" ht="15.95" customHeight="1" x14ac:dyDescent="0.25">
      <c r="A16" s="326" t="s">
        <v>188</v>
      </c>
      <c r="B16" s="316" t="s">
        <v>121</v>
      </c>
      <c r="C16" s="325">
        <v>32580</v>
      </c>
      <c r="D16" s="325">
        <v>30460</v>
      </c>
      <c r="E16" s="325">
        <v>29706</v>
      </c>
      <c r="F16" s="325">
        <v>29250</v>
      </c>
      <c r="G16" s="325">
        <v>29024</v>
      </c>
      <c r="H16" s="325">
        <v>28788</v>
      </c>
      <c r="I16" s="325">
        <v>26821</v>
      </c>
      <c r="J16" s="325">
        <v>26781</v>
      </c>
      <c r="K16" s="325">
        <v>26370</v>
      </c>
      <c r="L16" s="325">
        <v>26780</v>
      </c>
      <c r="M16" s="325">
        <v>28449.5</v>
      </c>
      <c r="N16" s="325">
        <v>19372</v>
      </c>
      <c r="O16" s="325">
        <v>20570</v>
      </c>
      <c r="P16" s="325">
        <v>18884</v>
      </c>
      <c r="Q16" s="325">
        <v>18884</v>
      </c>
      <c r="R16" s="325">
        <v>18884</v>
      </c>
      <c r="S16" s="325">
        <v>18912</v>
      </c>
      <c r="T16" s="325">
        <v>18897</v>
      </c>
    </row>
    <row r="17" spans="1:20" ht="15.95" customHeight="1" x14ac:dyDescent="0.25">
      <c r="A17" s="326" t="s">
        <v>187</v>
      </c>
      <c r="B17" s="316" t="s">
        <v>137</v>
      </c>
      <c r="C17" s="325">
        <v>561520</v>
      </c>
      <c r="D17" s="325">
        <v>560390</v>
      </c>
      <c r="E17" s="325">
        <v>567252</v>
      </c>
      <c r="F17" s="325">
        <v>585191</v>
      </c>
      <c r="G17" s="325">
        <v>647924</v>
      </c>
      <c r="H17" s="325">
        <v>663444</v>
      </c>
      <c r="I17" s="325">
        <v>668400</v>
      </c>
      <c r="J17" s="325">
        <v>661442.19999999995</v>
      </c>
      <c r="K17" s="325">
        <v>645466</v>
      </c>
      <c r="L17" s="325">
        <v>652413</v>
      </c>
      <c r="M17" s="325">
        <v>661156</v>
      </c>
      <c r="N17" s="325">
        <v>663500</v>
      </c>
      <c r="O17" s="325">
        <v>657561</v>
      </c>
      <c r="P17" s="325">
        <v>645182</v>
      </c>
      <c r="Q17" s="325">
        <v>648080</v>
      </c>
      <c r="R17" s="325">
        <v>655840</v>
      </c>
      <c r="S17" s="325">
        <v>657166</v>
      </c>
      <c r="T17" s="325">
        <v>658353</v>
      </c>
    </row>
    <row r="18" spans="1:20" ht="15.95" customHeight="1" x14ac:dyDescent="0.25">
      <c r="A18" s="326" t="s">
        <v>186</v>
      </c>
      <c r="B18" s="316" t="s">
        <v>142</v>
      </c>
      <c r="C18" s="325">
        <v>203458</v>
      </c>
      <c r="D18" s="325">
        <v>201780</v>
      </c>
      <c r="E18" s="325">
        <v>201868</v>
      </c>
      <c r="F18" s="325">
        <v>203000</v>
      </c>
      <c r="G18" s="325">
        <v>232617</v>
      </c>
      <c r="H18" s="325">
        <v>239911</v>
      </c>
      <c r="I18" s="325">
        <v>238500</v>
      </c>
      <c r="J18" s="325">
        <v>231680</v>
      </c>
      <c r="K18" s="325">
        <v>230190</v>
      </c>
      <c r="L18" s="325">
        <v>231874</v>
      </c>
      <c r="M18" s="325">
        <v>240121</v>
      </c>
      <c r="N18" s="325">
        <v>250584</v>
      </c>
      <c r="O18" s="325">
        <v>246360</v>
      </c>
      <c r="P18" s="325">
        <v>247610</v>
      </c>
      <c r="Q18" s="325">
        <v>248100</v>
      </c>
      <c r="R18" s="325">
        <v>247855</v>
      </c>
      <c r="S18" s="325">
        <v>375751</v>
      </c>
      <c r="T18" s="325">
        <v>382797</v>
      </c>
    </row>
    <row r="19" spans="1:20" ht="15.95" customHeight="1" x14ac:dyDescent="0.25">
      <c r="A19" s="326" t="s">
        <v>185</v>
      </c>
      <c r="B19" s="316" t="s">
        <v>122</v>
      </c>
      <c r="C19" s="325">
        <v>128500</v>
      </c>
      <c r="D19" s="325">
        <v>129200</v>
      </c>
      <c r="E19" s="325">
        <v>128598</v>
      </c>
      <c r="F19" s="325">
        <v>135292</v>
      </c>
      <c r="G19" s="325">
        <v>149779</v>
      </c>
      <c r="H19" s="325">
        <v>155033</v>
      </c>
      <c r="I19" s="325">
        <v>158060</v>
      </c>
      <c r="J19" s="325">
        <v>155352.4</v>
      </c>
      <c r="K19" s="325">
        <v>180040</v>
      </c>
      <c r="L19" s="325">
        <v>181450</v>
      </c>
      <c r="M19" s="325">
        <v>185986.25</v>
      </c>
      <c r="N19" s="325">
        <v>196470</v>
      </c>
      <c r="O19" s="325">
        <v>193965</v>
      </c>
      <c r="P19" s="325">
        <v>213566</v>
      </c>
      <c r="Q19" s="325">
        <v>210120</v>
      </c>
      <c r="R19" s="325">
        <v>211843</v>
      </c>
      <c r="S19" s="325">
        <v>212548</v>
      </c>
      <c r="T19" s="325">
        <v>214357</v>
      </c>
    </row>
    <row r="20" spans="1:20" ht="15.95" customHeight="1" x14ac:dyDescent="0.25">
      <c r="A20" s="326" t="s">
        <v>184</v>
      </c>
      <c r="B20" s="316" t="s">
        <v>134</v>
      </c>
      <c r="C20" s="325">
        <v>269000</v>
      </c>
      <c r="D20" s="325">
        <v>268400</v>
      </c>
      <c r="E20" s="325">
        <v>269149</v>
      </c>
      <c r="F20" s="325">
        <v>293273</v>
      </c>
      <c r="G20" s="325">
        <v>324363</v>
      </c>
      <c r="H20" s="325">
        <v>323160</v>
      </c>
      <c r="I20" s="325">
        <v>324200</v>
      </c>
      <c r="J20" s="325">
        <v>319829</v>
      </c>
      <c r="K20" s="325">
        <v>246716</v>
      </c>
      <c r="L20" s="325">
        <v>273992</v>
      </c>
      <c r="M20" s="325">
        <v>295422</v>
      </c>
      <c r="N20" s="325">
        <v>290997</v>
      </c>
      <c r="O20" s="325">
        <v>290400</v>
      </c>
      <c r="P20" s="325">
        <v>292412</v>
      </c>
      <c r="Q20" s="325">
        <v>293320</v>
      </c>
      <c r="R20" s="325">
        <v>292866</v>
      </c>
      <c r="S20" s="325">
        <v>290125</v>
      </c>
      <c r="T20" s="325">
        <v>289367</v>
      </c>
    </row>
    <row r="21" spans="1:20" ht="15.95" customHeight="1" x14ac:dyDescent="0.25">
      <c r="A21" s="326" t="s">
        <v>183</v>
      </c>
      <c r="B21" s="316" t="s">
        <v>125</v>
      </c>
      <c r="C21" s="325">
        <v>99586</v>
      </c>
      <c r="D21" s="325">
        <v>100582</v>
      </c>
      <c r="E21" s="325">
        <v>101588</v>
      </c>
      <c r="F21" s="325">
        <v>124095</v>
      </c>
      <c r="G21" s="325">
        <v>125933</v>
      </c>
      <c r="H21" s="325">
        <v>127193</v>
      </c>
      <c r="I21" s="325">
        <v>127367</v>
      </c>
      <c r="J21" s="325">
        <v>121506</v>
      </c>
      <c r="K21" s="325">
        <v>139412</v>
      </c>
      <c r="L21" s="325">
        <v>104710</v>
      </c>
      <c r="M21" s="325">
        <v>105754</v>
      </c>
      <c r="N21" s="325">
        <v>116831</v>
      </c>
      <c r="O21" s="325">
        <v>118002</v>
      </c>
      <c r="P21" s="325">
        <v>119663</v>
      </c>
      <c r="Q21" s="325">
        <v>119420</v>
      </c>
      <c r="R21" s="325">
        <v>119542</v>
      </c>
      <c r="S21" s="325">
        <v>118658</v>
      </c>
      <c r="T21" s="325">
        <v>119084</v>
      </c>
    </row>
    <row r="22" spans="1:20" ht="15.95" customHeight="1" x14ac:dyDescent="0.25">
      <c r="A22" s="326" t="s">
        <v>182</v>
      </c>
      <c r="B22" s="316" t="s">
        <v>181</v>
      </c>
      <c r="C22" s="325">
        <v>220770</v>
      </c>
      <c r="D22" s="325">
        <v>215200</v>
      </c>
      <c r="E22" s="325">
        <v>222660</v>
      </c>
      <c r="F22" s="325">
        <v>221770</v>
      </c>
      <c r="G22" s="325">
        <v>222660</v>
      </c>
      <c r="H22" s="325">
        <v>234727</v>
      </c>
      <c r="I22" s="325">
        <v>230300</v>
      </c>
      <c r="J22" s="325">
        <v>225423</v>
      </c>
      <c r="K22" s="325">
        <v>308233</v>
      </c>
      <c r="L22" s="325">
        <v>312227</v>
      </c>
      <c r="M22" s="325">
        <v>288385</v>
      </c>
      <c r="N22" s="325">
        <v>298924</v>
      </c>
      <c r="O22" s="325">
        <v>296450</v>
      </c>
      <c r="P22" s="325">
        <v>321586</v>
      </c>
      <c r="Q22" s="325">
        <v>331426</v>
      </c>
      <c r="R22" s="325">
        <v>326506</v>
      </c>
      <c r="S22" s="325">
        <v>320443</v>
      </c>
      <c r="T22" s="325">
        <v>340566</v>
      </c>
    </row>
    <row r="23" spans="1:20" ht="15.95" customHeight="1" x14ac:dyDescent="0.25">
      <c r="A23" s="326" t="s">
        <v>180</v>
      </c>
      <c r="B23" s="316" t="s">
        <v>179</v>
      </c>
      <c r="C23" s="325">
        <v>195700</v>
      </c>
      <c r="D23" s="325">
        <v>193965</v>
      </c>
      <c r="E23" s="325">
        <v>190580</v>
      </c>
      <c r="F23" s="325">
        <v>192967</v>
      </c>
      <c r="G23" s="325">
        <v>192922</v>
      </c>
      <c r="H23" s="325">
        <v>192479</v>
      </c>
      <c r="I23" s="325">
        <v>196315</v>
      </c>
      <c r="J23" s="325">
        <v>193052.6</v>
      </c>
      <c r="K23" s="325">
        <v>181736</v>
      </c>
      <c r="L23" s="325">
        <v>192332</v>
      </c>
      <c r="M23" s="325">
        <v>210565</v>
      </c>
      <c r="N23" s="325">
        <v>178817</v>
      </c>
      <c r="O23" s="325">
        <v>175772</v>
      </c>
      <c r="P23" s="325">
        <v>174439</v>
      </c>
      <c r="Q23" s="325">
        <v>173620</v>
      </c>
      <c r="R23" s="325">
        <v>182010</v>
      </c>
      <c r="S23" s="325">
        <v>180546</v>
      </c>
      <c r="T23" s="325">
        <v>179834</v>
      </c>
    </row>
    <row r="24" spans="1:20" ht="15.95" customHeight="1" x14ac:dyDescent="0.25">
      <c r="A24" s="326" t="s">
        <v>178</v>
      </c>
      <c r="B24" s="316" t="s">
        <v>138</v>
      </c>
      <c r="C24" s="325">
        <v>424671</v>
      </c>
      <c r="D24" s="325">
        <v>407412</v>
      </c>
      <c r="E24" s="325">
        <v>445510</v>
      </c>
      <c r="F24" s="325">
        <v>402448</v>
      </c>
      <c r="G24" s="325">
        <v>414853</v>
      </c>
      <c r="H24" s="325">
        <v>422321</v>
      </c>
      <c r="I24" s="325">
        <v>433280</v>
      </c>
      <c r="J24" s="325">
        <v>457628</v>
      </c>
      <c r="K24" s="325">
        <v>523715</v>
      </c>
      <c r="L24" s="325">
        <v>534820</v>
      </c>
      <c r="M24" s="325">
        <v>496410</v>
      </c>
      <c r="N24" s="325">
        <v>447647</v>
      </c>
      <c r="O24" s="325">
        <v>430076</v>
      </c>
      <c r="P24" s="325">
        <v>431096</v>
      </c>
      <c r="Q24" s="325">
        <v>438152</v>
      </c>
      <c r="R24" s="325">
        <v>453426</v>
      </c>
      <c r="S24" s="325">
        <v>423818</v>
      </c>
      <c r="T24" s="325">
        <v>422983</v>
      </c>
    </row>
    <row r="25" spans="1:20" ht="15.95" customHeight="1" x14ac:dyDescent="0.25">
      <c r="A25" s="326" t="s">
        <v>177</v>
      </c>
      <c r="B25" s="316" t="s">
        <v>140</v>
      </c>
      <c r="C25" s="325">
        <v>302520</v>
      </c>
      <c r="D25" s="325">
        <v>313600</v>
      </c>
      <c r="E25" s="325">
        <v>323150</v>
      </c>
      <c r="F25" s="325">
        <v>324950</v>
      </c>
      <c r="G25" s="325">
        <v>332040</v>
      </c>
      <c r="H25" s="325">
        <v>336476</v>
      </c>
      <c r="I25" s="325">
        <v>338610</v>
      </c>
      <c r="J25" s="325">
        <v>333045.2</v>
      </c>
      <c r="K25" s="325">
        <v>346088</v>
      </c>
      <c r="L25" s="325">
        <v>294610</v>
      </c>
      <c r="M25" s="325">
        <v>300975.25</v>
      </c>
      <c r="N25" s="325">
        <v>304190</v>
      </c>
      <c r="O25" s="325">
        <v>295399.5</v>
      </c>
      <c r="P25" s="325">
        <v>296290</v>
      </c>
      <c r="Q25" s="325">
        <v>296843</v>
      </c>
      <c r="R25" s="325">
        <v>296566.5</v>
      </c>
      <c r="S25" s="325">
        <v>295076</v>
      </c>
      <c r="T25" s="325">
        <v>294844</v>
      </c>
    </row>
    <row r="26" spans="1:20" ht="15.95" customHeight="1" x14ac:dyDescent="0.25">
      <c r="A26" s="326" t="s">
        <v>176</v>
      </c>
      <c r="B26" s="316" t="s">
        <v>136</v>
      </c>
      <c r="C26" s="325">
        <v>508800</v>
      </c>
      <c r="D26" s="325">
        <v>510700</v>
      </c>
      <c r="E26" s="325">
        <v>511848</v>
      </c>
      <c r="F26" s="325">
        <v>513739</v>
      </c>
      <c r="G26" s="325">
        <v>515430</v>
      </c>
      <c r="H26" s="325">
        <v>503610</v>
      </c>
      <c r="I26" s="325">
        <v>504329</v>
      </c>
      <c r="J26" s="325">
        <v>503311</v>
      </c>
      <c r="K26" s="325">
        <v>517772</v>
      </c>
      <c r="L26" s="325">
        <v>413659</v>
      </c>
      <c r="M26" s="325">
        <v>416924</v>
      </c>
      <c r="N26" s="325">
        <v>418637</v>
      </c>
      <c r="O26" s="325">
        <v>417960</v>
      </c>
      <c r="P26" s="325">
        <v>423941</v>
      </c>
      <c r="Q26" s="325">
        <v>429684</v>
      </c>
      <c r="R26" s="325">
        <v>439168</v>
      </c>
      <c r="S26" s="325">
        <v>440840</v>
      </c>
      <c r="T26" s="325">
        <v>442818</v>
      </c>
    </row>
    <row r="27" spans="1:20" ht="15.95" customHeight="1" x14ac:dyDescent="0.25">
      <c r="A27" s="326" t="s">
        <v>175</v>
      </c>
      <c r="B27" s="316" t="s">
        <v>174</v>
      </c>
      <c r="C27" s="325">
        <v>598990</v>
      </c>
      <c r="D27" s="325">
        <v>599400</v>
      </c>
      <c r="E27" s="325">
        <v>608200</v>
      </c>
      <c r="F27" s="325">
        <v>617340</v>
      </c>
      <c r="G27" s="325">
        <v>627310</v>
      </c>
      <c r="H27" s="325">
        <v>634530</v>
      </c>
      <c r="I27" s="325">
        <v>652210</v>
      </c>
      <c r="J27" s="325">
        <v>669200</v>
      </c>
      <c r="K27" s="325">
        <v>691610</v>
      </c>
      <c r="L27" s="325">
        <v>694240</v>
      </c>
      <c r="M27" s="325">
        <v>708700</v>
      </c>
      <c r="N27" s="325">
        <v>702340</v>
      </c>
      <c r="O27" s="325">
        <v>726080</v>
      </c>
      <c r="P27" s="325">
        <v>721050</v>
      </c>
      <c r="Q27" s="325">
        <v>729965</v>
      </c>
      <c r="R27" s="325">
        <v>733260</v>
      </c>
      <c r="S27" s="325">
        <v>733660</v>
      </c>
      <c r="T27" s="325">
        <v>740290</v>
      </c>
    </row>
    <row r="28" spans="1:20" ht="15.95" customHeight="1" x14ac:dyDescent="0.25">
      <c r="A28" s="326" t="s">
        <v>173</v>
      </c>
      <c r="B28" s="316" t="s">
        <v>128</v>
      </c>
      <c r="C28" s="325">
        <v>39317</v>
      </c>
      <c r="D28" s="325">
        <v>33124</v>
      </c>
      <c r="E28" s="325">
        <v>31586</v>
      </c>
      <c r="F28" s="325">
        <v>31586</v>
      </c>
      <c r="G28" s="325">
        <v>31318</v>
      </c>
      <c r="H28" s="325">
        <v>30598</v>
      </c>
      <c r="I28" s="325">
        <v>30790</v>
      </c>
      <c r="J28" s="325">
        <v>35486</v>
      </c>
      <c r="K28" s="325">
        <v>35080</v>
      </c>
      <c r="L28" s="325">
        <v>42824</v>
      </c>
      <c r="M28" s="325">
        <v>43860</v>
      </c>
      <c r="N28" s="325">
        <v>43342</v>
      </c>
      <c r="O28" s="325">
        <v>46053</v>
      </c>
      <c r="P28" s="325">
        <v>46870</v>
      </c>
      <c r="Q28" s="325">
        <v>45510</v>
      </c>
      <c r="R28" s="325">
        <v>46190</v>
      </c>
      <c r="S28" s="325">
        <v>45827</v>
      </c>
      <c r="T28" s="325">
        <v>78062</v>
      </c>
    </row>
    <row r="29" spans="1:20" ht="15.95" customHeight="1" x14ac:dyDescent="0.25">
      <c r="A29" s="326" t="s">
        <v>172</v>
      </c>
      <c r="B29" s="316" t="s">
        <v>118</v>
      </c>
      <c r="C29" s="325">
        <v>40413</v>
      </c>
      <c r="D29" s="325">
        <v>42600</v>
      </c>
      <c r="E29" s="325">
        <v>44500</v>
      </c>
      <c r="F29" s="325">
        <v>41400</v>
      </c>
      <c r="G29" s="325">
        <v>44016</v>
      </c>
      <c r="H29" s="325">
        <v>42475</v>
      </c>
      <c r="I29" s="325">
        <v>44280</v>
      </c>
      <c r="J29" s="325">
        <v>43334.2</v>
      </c>
      <c r="K29" s="325">
        <v>42210</v>
      </c>
      <c r="L29" s="325">
        <v>43180</v>
      </c>
      <c r="M29" s="325">
        <v>45194</v>
      </c>
      <c r="N29" s="325">
        <v>44187</v>
      </c>
      <c r="O29" s="325">
        <v>46396.35</v>
      </c>
      <c r="P29" s="325">
        <v>45690</v>
      </c>
      <c r="Q29" s="325">
        <v>45720</v>
      </c>
      <c r="R29" s="325">
        <v>45705</v>
      </c>
      <c r="S29" s="325">
        <v>41015</v>
      </c>
      <c r="T29" s="325">
        <v>56090</v>
      </c>
    </row>
    <row r="30" spans="1:20" ht="15.95" customHeight="1" x14ac:dyDescent="0.25">
      <c r="A30" s="317" t="s">
        <v>171</v>
      </c>
      <c r="B30" s="318" t="s">
        <v>127</v>
      </c>
      <c r="C30" s="319">
        <v>40500</v>
      </c>
      <c r="D30" s="319">
        <v>40570</v>
      </c>
      <c r="E30" s="319">
        <v>44200</v>
      </c>
      <c r="F30" s="319">
        <v>45228</v>
      </c>
      <c r="G30" s="319">
        <v>46908</v>
      </c>
      <c r="H30" s="319">
        <v>48256</v>
      </c>
      <c r="I30" s="319">
        <v>53006</v>
      </c>
      <c r="J30" s="319">
        <v>52261</v>
      </c>
      <c r="K30" s="319">
        <v>51665</v>
      </c>
      <c r="L30" s="319">
        <v>54380</v>
      </c>
      <c r="M30" s="319">
        <v>54460</v>
      </c>
      <c r="N30" s="319">
        <v>54983</v>
      </c>
      <c r="O30" s="319">
        <v>57732.15</v>
      </c>
      <c r="P30" s="319">
        <v>56420</v>
      </c>
      <c r="Q30" s="319">
        <v>57340</v>
      </c>
      <c r="R30" s="319">
        <v>56880</v>
      </c>
      <c r="S30" s="319">
        <v>60377</v>
      </c>
      <c r="T30" s="319">
        <v>60875</v>
      </c>
    </row>
    <row r="31" spans="1:20" customFormat="1" ht="12" customHeight="1" x14ac:dyDescent="0.25">
      <c r="A31" s="166" t="s">
        <v>331</v>
      </c>
      <c r="B31" s="167"/>
      <c r="C31" s="168"/>
      <c r="D31" s="168"/>
      <c r="E31" s="168"/>
      <c r="F31" s="168"/>
      <c r="G31" s="168"/>
      <c r="H31" s="168"/>
      <c r="I31" s="169"/>
    </row>
    <row r="32" spans="1:20" s="10" customFormat="1" ht="12" customHeight="1" x14ac:dyDescent="0.25">
      <c r="A32" s="19" t="s">
        <v>40</v>
      </c>
      <c r="B32" s="113"/>
      <c r="D32" s="114"/>
    </row>
    <row r="34" spans="8:19" s="46" customFormat="1" ht="12.75" customHeight="1" x14ac:dyDescent="0.25"/>
    <row r="35" spans="8:19" ht="12.75" customHeight="1" x14ac:dyDescent="0.25"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</row>
    <row r="37" spans="8:19" ht="12.75" customHeight="1" x14ac:dyDescent="0.25"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</row>
  </sheetData>
  <mergeCells count="4">
    <mergeCell ref="A4:B4"/>
    <mergeCell ref="A6:B6"/>
    <mergeCell ref="A1:T1"/>
    <mergeCell ref="A2:T2"/>
  </mergeCells>
  <printOptions horizontalCentered="1"/>
  <pageMargins left="0.70866141732283472" right="0.5118110236220472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S32"/>
  <sheetViews>
    <sheetView showGridLines="0" zoomScaleNormal="100" zoomScaleSheetLayoutView="175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A4" sqref="A4:S32"/>
    </sheetView>
  </sheetViews>
  <sheetFormatPr baseColWidth="10" defaultColWidth="11.28515625" defaultRowHeight="12.75" customHeight="1" x14ac:dyDescent="0.3"/>
  <cols>
    <col min="1" max="1" width="5.140625" style="23" customWidth="1"/>
    <col min="2" max="2" width="13.28515625" style="23" customWidth="1"/>
    <col min="3" max="7" width="7.28515625" style="23" hidden="1" customWidth="1"/>
    <col min="8" max="9" width="7.7109375" style="23" hidden="1" customWidth="1"/>
    <col min="10" max="10" width="6.85546875" style="23" hidden="1" customWidth="1"/>
    <col min="11" max="19" width="9.5703125" style="23" customWidth="1"/>
    <col min="20" max="16384" width="11.28515625" style="23"/>
  </cols>
  <sheetData>
    <row r="1" spans="1:19" s="243" customFormat="1" ht="12.75" customHeight="1" x14ac:dyDescent="0.3">
      <c r="A1" s="529" t="s">
        <v>334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</row>
    <row r="2" spans="1:19" s="243" customFormat="1" ht="12.75" customHeight="1" x14ac:dyDescent="0.3">
      <c r="A2" s="520" t="s">
        <v>206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</row>
    <row r="3" spans="1:19" ht="12.75" customHeight="1" x14ac:dyDescent="0.3">
      <c r="A3" s="4"/>
      <c r="B3" s="132"/>
      <c r="C3" s="132"/>
      <c r="D3" s="13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83" customFormat="1" ht="37.5" customHeight="1" x14ac:dyDescent="0.25">
      <c r="A4" s="524" t="s">
        <v>205</v>
      </c>
      <c r="B4" s="522"/>
      <c r="C4" s="219" t="s">
        <v>204</v>
      </c>
      <c r="D4" s="219">
        <v>2005</v>
      </c>
      <c r="E4" s="219">
        <v>2006</v>
      </c>
      <c r="F4" s="219">
        <v>2007</v>
      </c>
      <c r="G4" s="219">
        <v>2008</v>
      </c>
      <c r="H4" s="219">
        <v>2009</v>
      </c>
      <c r="I4" s="219">
        <v>2010</v>
      </c>
      <c r="J4" s="313">
        <v>2012</v>
      </c>
      <c r="K4" s="320">
        <v>2013</v>
      </c>
      <c r="L4" s="320">
        <v>2014</v>
      </c>
      <c r="M4" s="320">
        <v>2015</v>
      </c>
      <c r="N4" s="320">
        <v>2016</v>
      </c>
      <c r="O4" s="320">
        <v>2017</v>
      </c>
      <c r="P4" s="320">
        <v>2018</v>
      </c>
      <c r="Q4" s="320">
        <v>2019</v>
      </c>
      <c r="R4" s="320">
        <v>2020</v>
      </c>
      <c r="S4" s="320">
        <v>2021</v>
      </c>
    </row>
    <row r="5" spans="1:19" s="84" customFormat="1" ht="3" customHeight="1" x14ac:dyDescent="0.25">
      <c r="A5" s="332"/>
      <c r="B5" s="333"/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</row>
    <row r="6" spans="1:19" s="85" customFormat="1" ht="15.95" customHeight="1" x14ac:dyDescent="0.25">
      <c r="A6" s="335" t="s">
        <v>157</v>
      </c>
      <c r="B6" s="336"/>
      <c r="C6" s="337">
        <v>3000199</v>
      </c>
      <c r="D6" s="337">
        <v>3010724.25</v>
      </c>
      <c r="E6" s="337">
        <v>3073854.6959800003</v>
      </c>
      <c r="F6" s="337">
        <v>3115772</v>
      </c>
      <c r="G6" s="337">
        <v>3151406</v>
      </c>
      <c r="H6" s="337">
        <v>3256809</v>
      </c>
      <c r="I6" s="337">
        <v>3254412.7391960002</v>
      </c>
      <c r="J6" s="337">
        <v>2991012</v>
      </c>
      <c r="K6" s="337">
        <v>3132335</v>
      </c>
      <c r="L6" s="337">
        <v>3204508.72</v>
      </c>
      <c r="M6" s="337">
        <v>3200714.1120444932</v>
      </c>
      <c r="N6" s="337">
        <v>3104910.546330167</v>
      </c>
      <c r="O6" s="337">
        <v>3187254</v>
      </c>
      <c r="P6" s="337">
        <f t="shared" ref="P6:Q6" si="0">SUM(P7:P30)</f>
        <v>3215742</v>
      </c>
      <c r="Q6" s="337">
        <f t="shared" si="0"/>
        <v>3269537.5</v>
      </c>
      <c r="R6" s="337">
        <f>SUM(R7:R30)</f>
        <v>3270742</v>
      </c>
      <c r="S6" s="337">
        <f>SUM(S7:S30)</f>
        <v>3347352.4624576</v>
      </c>
    </row>
    <row r="7" spans="1:19" s="83" customFormat="1" ht="15.95" customHeight="1" x14ac:dyDescent="0.25">
      <c r="A7" s="324" t="s">
        <v>197</v>
      </c>
      <c r="B7" s="315" t="s">
        <v>119</v>
      </c>
      <c r="C7" s="331">
        <v>15750</v>
      </c>
      <c r="D7" s="331">
        <v>15890</v>
      </c>
      <c r="E7" s="331">
        <v>13500</v>
      </c>
      <c r="F7" s="331">
        <v>14900</v>
      </c>
      <c r="G7" s="331">
        <v>17100</v>
      </c>
      <c r="H7" s="331">
        <v>18200</v>
      </c>
      <c r="I7" s="331">
        <v>20593</v>
      </c>
      <c r="J7" s="331">
        <v>18590</v>
      </c>
      <c r="K7" s="331">
        <v>21639</v>
      </c>
      <c r="L7" s="331">
        <v>31980</v>
      </c>
      <c r="M7" s="331">
        <v>28566</v>
      </c>
      <c r="N7" s="331">
        <v>29748</v>
      </c>
      <c r="O7" s="331">
        <v>30480</v>
      </c>
      <c r="P7" s="331">
        <v>29540</v>
      </c>
      <c r="Q7" s="331">
        <v>30010</v>
      </c>
      <c r="R7" s="331">
        <v>29015</v>
      </c>
      <c r="S7" s="331">
        <v>30512</v>
      </c>
    </row>
    <row r="8" spans="1:19" s="83" customFormat="1" ht="15.95" customHeight="1" x14ac:dyDescent="0.25">
      <c r="A8" s="326" t="s">
        <v>196</v>
      </c>
      <c r="B8" s="316" t="s">
        <v>124</v>
      </c>
      <c r="C8" s="331">
        <v>168000</v>
      </c>
      <c r="D8" s="331">
        <v>173054</v>
      </c>
      <c r="E8" s="331">
        <v>174000</v>
      </c>
      <c r="F8" s="331">
        <v>174958</v>
      </c>
      <c r="G8" s="331">
        <v>171344</v>
      </c>
      <c r="H8" s="331">
        <v>193831</v>
      </c>
      <c r="I8" s="331">
        <v>198118</v>
      </c>
      <c r="J8" s="331">
        <v>140298</v>
      </c>
      <c r="K8" s="331">
        <v>119945</v>
      </c>
      <c r="L8" s="331">
        <v>186647</v>
      </c>
      <c r="M8" s="331">
        <v>191113.52871116</v>
      </c>
      <c r="N8" s="331">
        <v>159009.49633016699</v>
      </c>
      <c r="O8" s="331">
        <v>169531</v>
      </c>
      <c r="P8" s="331">
        <v>170860</v>
      </c>
      <c r="Q8" s="331">
        <v>167980</v>
      </c>
      <c r="R8" s="331">
        <v>157860</v>
      </c>
      <c r="S8" s="331">
        <v>177302.46245759999</v>
      </c>
    </row>
    <row r="9" spans="1:19" s="83" customFormat="1" ht="15.95" customHeight="1" x14ac:dyDescent="0.25">
      <c r="A9" s="326" t="s">
        <v>195</v>
      </c>
      <c r="B9" s="316" t="s">
        <v>130</v>
      </c>
      <c r="C9" s="331">
        <v>60000</v>
      </c>
      <c r="D9" s="331">
        <v>62000</v>
      </c>
      <c r="E9" s="331">
        <v>58400</v>
      </c>
      <c r="F9" s="331">
        <v>66583</v>
      </c>
      <c r="G9" s="331">
        <v>79393</v>
      </c>
      <c r="H9" s="331">
        <v>81100</v>
      </c>
      <c r="I9" s="331">
        <v>79495.199999999997</v>
      </c>
      <c r="J9" s="331">
        <v>56964</v>
      </c>
      <c r="K9" s="331">
        <v>67510</v>
      </c>
      <c r="L9" s="331">
        <v>69264</v>
      </c>
      <c r="M9" s="331">
        <v>72480</v>
      </c>
      <c r="N9" s="331">
        <v>88160</v>
      </c>
      <c r="O9" s="331">
        <v>68810</v>
      </c>
      <c r="P9" s="331">
        <v>74560</v>
      </c>
      <c r="Q9" s="331">
        <v>73428</v>
      </c>
      <c r="R9" s="331">
        <v>70227</v>
      </c>
      <c r="S9" s="331">
        <v>71922</v>
      </c>
    </row>
    <row r="10" spans="1:19" s="83" customFormat="1" ht="15.95" customHeight="1" x14ac:dyDescent="0.25">
      <c r="A10" s="326" t="s">
        <v>194</v>
      </c>
      <c r="B10" s="316" t="s">
        <v>131</v>
      </c>
      <c r="C10" s="331">
        <v>161847</v>
      </c>
      <c r="D10" s="331">
        <v>160798</v>
      </c>
      <c r="E10" s="331">
        <v>160465</v>
      </c>
      <c r="F10" s="331">
        <v>162269</v>
      </c>
      <c r="G10" s="331">
        <v>162444</v>
      </c>
      <c r="H10" s="331">
        <v>161442</v>
      </c>
      <c r="I10" s="331">
        <v>159466</v>
      </c>
      <c r="J10" s="331">
        <v>162069</v>
      </c>
      <c r="K10" s="331">
        <v>157211</v>
      </c>
      <c r="L10" s="331">
        <v>119141</v>
      </c>
      <c r="M10" s="331">
        <v>111419</v>
      </c>
      <c r="N10" s="331">
        <v>116911</v>
      </c>
      <c r="O10" s="331">
        <v>113018</v>
      </c>
      <c r="P10" s="331">
        <v>113664</v>
      </c>
      <c r="Q10" s="331">
        <v>114462</v>
      </c>
      <c r="R10" s="331">
        <v>114850</v>
      </c>
      <c r="S10" s="331">
        <v>114462</v>
      </c>
    </row>
    <row r="11" spans="1:19" s="83" customFormat="1" ht="15.95" customHeight="1" x14ac:dyDescent="0.25">
      <c r="A11" s="326" t="s">
        <v>193</v>
      </c>
      <c r="B11" s="316" t="s">
        <v>141</v>
      </c>
      <c r="C11" s="331">
        <v>169615</v>
      </c>
      <c r="D11" s="331">
        <v>171696</v>
      </c>
      <c r="E11" s="331">
        <v>165436.19598000002</v>
      </c>
      <c r="F11" s="331">
        <v>162067</v>
      </c>
      <c r="G11" s="331">
        <v>174756</v>
      </c>
      <c r="H11" s="331">
        <v>181032</v>
      </c>
      <c r="I11" s="331">
        <v>180997.43919599999</v>
      </c>
      <c r="J11" s="331">
        <v>182009</v>
      </c>
      <c r="K11" s="331">
        <v>185348</v>
      </c>
      <c r="L11" s="331">
        <v>184372</v>
      </c>
      <c r="M11" s="331">
        <v>184777</v>
      </c>
      <c r="N11" s="331">
        <v>174015.85</v>
      </c>
      <c r="O11" s="331">
        <v>170334</v>
      </c>
      <c r="P11" s="331">
        <v>172620</v>
      </c>
      <c r="Q11" s="331">
        <v>171477</v>
      </c>
      <c r="R11" s="331">
        <v>170544</v>
      </c>
      <c r="S11" s="331">
        <v>171027</v>
      </c>
    </row>
    <row r="12" spans="1:19" s="83" customFormat="1" ht="15.95" customHeight="1" x14ac:dyDescent="0.25">
      <c r="A12" s="326" t="s">
        <v>192</v>
      </c>
      <c r="B12" s="316" t="s">
        <v>129</v>
      </c>
      <c r="C12" s="331">
        <v>414866</v>
      </c>
      <c r="D12" s="331">
        <v>417780</v>
      </c>
      <c r="E12" s="331">
        <v>415000</v>
      </c>
      <c r="F12" s="331">
        <v>391175</v>
      </c>
      <c r="G12" s="331">
        <v>390670</v>
      </c>
      <c r="H12" s="331">
        <v>395300</v>
      </c>
      <c r="I12" s="331">
        <v>402985</v>
      </c>
      <c r="J12" s="331">
        <v>455740</v>
      </c>
      <c r="K12" s="331">
        <v>430570</v>
      </c>
      <c r="L12" s="331">
        <v>457792.8</v>
      </c>
      <c r="M12" s="331">
        <v>462797</v>
      </c>
      <c r="N12" s="331">
        <v>450072</v>
      </c>
      <c r="O12" s="331">
        <v>460253</v>
      </c>
      <c r="P12" s="331">
        <v>469546</v>
      </c>
      <c r="Q12" s="331">
        <v>464899.5</v>
      </c>
      <c r="R12" s="331">
        <v>470025</v>
      </c>
      <c r="S12" s="331">
        <v>490151</v>
      </c>
    </row>
    <row r="13" spans="1:19" s="83" customFormat="1" ht="15.95" customHeight="1" x14ac:dyDescent="0.25">
      <c r="A13" s="326" t="s">
        <v>191</v>
      </c>
      <c r="B13" s="316" t="s">
        <v>133</v>
      </c>
      <c r="C13" s="331">
        <v>24871</v>
      </c>
      <c r="D13" s="331">
        <v>22684.25</v>
      </c>
      <c r="E13" s="331">
        <v>21689.5</v>
      </c>
      <c r="F13" s="331">
        <v>21548</v>
      </c>
      <c r="G13" s="331">
        <v>22290</v>
      </c>
      <c r="H13" s="331">
        <v>30790</v>
      </c>
      <c r="I13" s="331">
        <v>32800.300000000003</v>
      </c>
      <c r="J13" s="331">
        <v>36673</v>
      </c>
      <c r="K13" s="331">
        <v>34648</v>
      </c>
      <c r="L13" s="331">
        <v>39033.919999999998</v>
      </c>
      <c r="M13" s="331">
        <v>48255.583333333336</v>
      </c>
      <c r="N13" s="331">
        <v>51510</v>
      </c>
      <c r="O13" s="331">
        <v>54124</v>
      </c>
      <c r="P13" s="331">
        <v>66840</v>
      </c>
      <c r="Q13" s="331">
        <v>102767</v>
      </c>
      <c r="R13" s="331">
        <v>101225</v>
      </c>
      <c r="S13" s="331">
        <v>99656</v>
      </c>
    </row>
    <row r="14" spans="1:19" s="83" customFormat="1" ht="15.95" customHeight="1" x14ac:dyDescent="0.25">
      <c r="A14" s="326" t="s">
        <v>190</v>
      </c>
      <c r="B14" s="316" t="s">
        <v>139</v>
      </c>
      <c r="C14" s="331">
        <v>83340</v>
      </c>
      <c r="D14" s="331">
        <v>84471</v>
      </c>
      <c r="E14" s="331">
        <v>74212</v>
      </c>
      <c r="F14" s="331">
        <v>82465</v>
      </c>
      <c r="G14" s="331">
        <v>86806</v>
      </c>
      <c r="H14" s="331">
        <v>82798</v>
      </c>
      <c r="I14" s="331">
        <v>81392</v>
      </c>
      <c r="J14" s="331">
        <v>79117</v>
      </c>
      <c r="K14" s="331">
        <v>62376</v>
      </c>
      <c r="L14" s="331">
        <v>72376</v>
      </c>
      <c r="M14" s="331">
        <v>82913</v>
      </c>
      <c r="N14" s="331">
        <v>91511</v>
      </c>
      <c r="O14" s="331">
        <v>95391</v>
      </c>
      <c r="P14" s="331">
        <v>92760</v>
      </c>
      <c r="Q14" s="331">
        <v>107120</v>
      </c>
      <c r="R14" s="331">
        <v>109210</v>
      </c>
      <c r="S14" s="331">
        <v>116838</v>
      </c>
    </row>
    <row r="15" spans="1:19" s="83" customFormat="1" ht="15.95" customHeight="1" x14ac:dyDescent="0.25">
      <c r="A15" s="326" t="s">
        <v>189</v>
      </c>
      <c r="B15" s="316" t="s">
        <v>126</v>
      </c>
      <c r="C15" s="331">
        <v>11200</v>
      </c>
      <c r="D15" s="331">
        <v>11191</v>
      </c>
      <c r="E15" s="331">
        <v>10249</v>
      </c>
      <c r="F15" s="331">
        <v>10403</v>
      </c>
      <c r="G15" s="331">
        <v>12450</v>
      </c>
      <c r="H15" s="331">
        <v>13560</v>
      </c>
      <c r="I15" s="331">
        <v>13570.6</v>
      </c>
      <c r="J15" s="331">
        <v>16382</v>
      </c>
      <c r="K15" s="331">
        <v>20410</v>
      </c>
      <c r="L15" s="331">
        <v>21226.400000000001</v>
      </c>
      <c r="M15" s="331">
        <v>12226</v>
      </c>
      <c r="N15" s="331">
        <v>12837.300000000001</v>
      </c>
      <c r="O15" s="331">
        <v>13480</v>
      </c>
      <c r="P15" s="331">
        <v>12970</v>
      </c>
      <c r="Q15" s="331">
        <v>13225</v>
      </c>
      <c r="R15" s="331">
        <v>13102</v>
      </c>
      <c r="S15" s="331">
        <v>13247</v>
      </c>
    </row>
    <row r="16" spans="1:19" s="83" customFormat="1" ht="15.95" customHeight="1" x14ac:dyDescent="0.25">
      <c r="A16" s="326" t="s">
        <v>188</v>
      </c>
      <c r="B16" s="316" t="s">
        <v>121</v>
      </c>
      <c r="C16" s="331">
        <v>26905</v>
      </c>
      <c r="D16" s="331">
        <v>25294</v>
      </c>
      <c r="E16" s="331">
        <v>25695</v>
      </c>
      <c r="F16" s="331">
        <v>28087</v>
      </c>
      <c r="G16" s="331">
        <v>24467</v>
      </c>
      <c r="H16" s="331">
        <v>25204</v>
      </c>
      <c r="I16" s="331">
        <v>25720</v>
      </c>
      <c r="J16" s="331">
        <v>35460</v>
      </c>
      <c r="K16" s="331">
        <v>36740</v>
      </c>
      <c r="L16" s="331">
        <v>38209.599999999999</v>
      </c>
      <c r="M16" s="331">
        <v>32678</v>
      </c>
      <c r="N16" s="331">
        <v>34311.9</v>
      </c>
      <c r="O16" s="331">
        <v>36232</v>
      </c>
      <c r="P16" s="331">
        <v>36232</v>
      </c>
      <c r="Q16" s="331">
        <v>36232</v>
      </c>
      <c r="R16" s="331">
        <v>37050</v>
      </c>
      <c r="S16" s="331">
        <v>38942</v>
      </c>
    </row>
    <row r="17" spans="1:19" s="83" customFormat="1" ht="15.95" customHeight="1" x14ac:dyDescent="0.25">
      <c r="A17" s="326" t="s">
        <v>187</v>
      </c>
      <c r="B17" s="316" t="s">
        <v>137</v>
      </c>
      <c r="C17" s="331">
        <v>200490</v>
      </c>
      <c r="D17" s="331">
        <v>202298</v>
      </c>
      <c r="E17" s="331">
        <v>215757</v>
      </c>
      <c r="F17" s="331">
        <v>239461</v>
      </c>
      <c r="G17" s="331">
        <v>249820</v>
      </c>
      <c r="H17" s="331">
        <v>250340</v>
      </c>
      <c r="I17" s="331">
        <v>245535.2</v>
      </c>
      <c r="J17" s="331">
        <v>251689</v>
      </c>
      <c r="K17" s="331">
        <v>278439</v>
      </c>
      <c r="L17" s="331">
        <v>304429.59999999998</v>
      </c>
      <c r="M17" s="331">
        <v>304105</v>
      </c>
      <c r="N17" s="331">
        <v>287457</v>
      </c>
      <c r="O17" s="331">
        <v>297734</v>
      </c>
      <c r="P17" s="331">
        <v>277982</v>
      </c>
      <c r="Q17" s="331">
        <v>288252</v>
      </c>
      <c r="R17" s="331">
        <v>288467</v>
      </c>
      <c r="S17" s="331">
        <v>292447</v>
      </c>
    </row>
    <row r="18" spans="1:19" s="83" customFormat="1" ht="15.95" customHeight="1" x14ac:dyDescent="0.25">
      <c r="A18" s="326" t="s">
        <v>186</v>
      </c>
      <c r="B18" s="316" t="s">
        <v>142</v>
      </c>
      <c r="C18" s="331">
        <v>45200</v>
      </c>
      <c r="D18" s="331">
        <v>45553</v>
      </c>
      <c r="E18" s="331">
        <v>50500</v>
      </c>
      <c r="F18" s="331">
        <v>53874</v>
      </c>
      <c r="G18" s="331">
        <v>58488</v>
      </c>
      <c r="H18" s="331">
        <v>59100</v>
      </c>
      <c r="I18" s="331">
        <v>64896</v>
      </c>
      <c r="J18" s="331">
        <v>71548</v>
      </c>
      <c r="K18" s="331">
        <v>74617</v>
      </c>
      <c r="L18" s="331">
        <v>75528</v>
      </c>
      <c r="M18" s="331">
        <v>77261</v>
      </c>
      <c r="N18" s="331">
        <v>84502</v>
      </c>
      <c r="O18" s="331">
        <v>85690</v>
      </c>
      <c r="P18" s="331">
        <v>83710</v>
      </c>
      <c r="Q18" s="331">
        <v>88090</v>
      </c>
      <c r="R18" s="331">
        <v>89099</v>
      </c>
      <c r="S18" s="331">
        <v>92127</v>
      </c>
    </row>
    <row r="19" spans="1:19" s="83" customFormat="1" ht="15.95" customHeight="1" x14ac:dyDescent="0.25">
      <c r="A19" s="326" t="s">
        <v>185</v>
      </c>
      <c r="B19" s="316" t="s">
        <v>122</v>
      </c>
      <c r="C19" s="331">
        <v>116700</v>
      </c>
      <c r="D19" s="331">
        <v>117692</v>
      </c>
      <c r="E19" s="331">
        <v>138201</v>
      </c>
      <c r="F19" s="331">
        <v>126924</v>
      </c>
      <c r="G19" s="331">
        <v>141468</v>
      </c>
      <c r="H19" s="331">
        <v>148200</v>
      </c>
      <c r="I19" s="331">
        <v>154497</v>
      </c>
      <c r="J19" s="331">
        <v>141075</v>
      </c>
      <c r="K19" s="331">
        <v>140570</v>
      </c>
      <c r="L19" s="331">
        <v>146192.79999999999</v>
      </c>
      <c r="M19" s="331">
        <v>148910</v>
      </c>
      <c r="N19" s="331">
        <v>141355</v>
      </c>
      <c r="O19" s="331">
        <v>129292</v>
      </c>
      <c r="P19" s="331">
        <v>181290</v>
      </c>
      <c r="Q19" s="331">
        <v>170291</v>
      </c>
      <c r="R19" s="331">
        <v>180451</v>
      </c>
      <c r="S19" s="331">
        <v>179258</v>
      </c>
    </row>
    <row r="20" spans="1:19" s="83" customFormat="1" ht="15.95" customHeight="1" x14ac:dyDescent="0.25">
      <c r="A20" s="326" t="s">
        <v>184</v>
      </c>
      <c r="B20" s="316" t="s">
        <v>134</v>
      </c>
      <c r="C20" s="331">
        <v>353000</v>
      </c>
      <c r="D20" s="331">
        <v>352051</v>
      </c>
      <c r="E20" s="331">
        <v>388866</v>
      </c>
      <c r="F20" s="331">
        <v>407065</v>
      </c>
      <c r="G20" s="331">
        <v>379247</v>
      </c>
      <c r="H20" s="331">
        <v>380150</v>
      </c>
      <c r="I20" s="331">
        <v>371475.8</v>
      </c>
      <c r="J20" s="331">
        <v>219320</v>
      </c>
      <c r="K20" s="331">
        <v>318436</v>
      </c>
      <c r="L20" s="331">
        <v>392998</v>
      </c>
      <c r="M20" s="331">
        <v>402607</v>
      </c>
      <c r="N20" s="331">
        <v>403917</v>
      </c>
      <c r="O20" s="331">
        <v>405230</v>
      </c>
      <c r="P20" s="331">
        <v>406220</v>
      </c>
      <c r="Q20" s="331">
        <v>405725</v>
      </c>
      <c r="R20" s="331">
        <v>402365</v>
      </c>
      <c r="S20" s="331">
        <v>405632</v>
      </c>
    </row>
    <row r="21" spans="1:19" s="83" customFormat="1" ht="15.95" customHeight="1" x14ac:dyDescent="0.25">
      <c r="A21" s="326" t="s">
        <v>183</v>
      </c>
      <c r="B21" s="316" t="s">
        <v>125</v>
      </c>
      <c r="C21" s="331">
        <v>119037</v>
      </c>
      <c r="D21" s="331">
        <v>119154</v>
      </c>
      <c r="E21" s="331">
        <v>117838</v>
      </c>
      <c r="F21" s="331">
        <v>122330</v>
      </c>
      <c r="G21" s="331">
        <v>123587</v>
      </c>
      <c r="H21" s="331">
        <v>124821</v>
      </c>
      <c r="I21" s="331">
        <v>127325</v>
      </c>
      <c r="J21" s="331">
        <v>110339</v>
      </c>
      <c r="K21" s="331">
        <v>98671</v>
      </c>
      <c r="L21" s="331">
        <v>89157</v>
      </c>
      <c r="M21" s="331">
        <v>89872</v>
      </c>
      <c r="N21" s="331">
        <v>51355</v>
      </c>
      <c r="O21" s="331">
        <v>51993</v>
      </c>
      <c r="P21" s="331">
        <v>55140</v>
      </c>
      <c r="Q21" s="331">
        <v>53566.5</v>
      </c>
      <c r="R21" s="331">
        <v>52698</v>
      </c>
      <c r="S21" s="331">
        <v>53247</v>
      </c>
    </row>
    <row r="22" spans="1:19" s="83" customFormat="1" ht="15.95" customHeight="1" x14ac:dyDescent="0.25">
      <c r="A22" s="326" t="s">
        <v>182</v>
      </c>
      <c r="B22" s="316" t="s">
        <v>181</v>
      </c>
      <c r="C22" s="331">
        <v>106600</v>
      </c>
      <c r="D22" s="331">
        <v>107640</v>
      </c>
      <c r="E22" s="331">
        <v>105560</v>
      </c>
      <c r="F22" s="331">
        <v>106600</v>
      </c>
      <c r="G22" s="331">
        <v>106692</v>
      </c>
      <c r="H22" s="331">
        <v>110100</v>
      </c>
      <c r="I22" s="331">
        <v>117318</v>
      </c>
      <c r="J22" s="331">
        <v>146182</v>
      </c>
      <c r="K22" s="331">
        <v>158559</v>
      </c>
      <c r="L22" s="331">
        <v>142667</v>
      </c>
      <c r="M22" s="331">
        <v>152638</v>
      </c>
      <c r="N22" s="331">
        <v>154609</v>
      </c>
      <c r="O22" s="331">
        <v>168586</v>
      </c>
      <c r="P22" s="331">
        <v>175222</v>
      </c>
      <c r="Q22" s="331">
        <v>171904</v>
      </c>
      <c r="R22" s="331">
        <v>178317</v>
      </c>
      <c r="S22" s="331">
        <v>193340</v>
      </c>
    </row>
    <row r="23" spans="1:19" s="83" customFormat="1" ht="15.95" customHeight="1" x14ac:dyDescent="0.25">
      <c r="A23" s="326" t="s">
        <v>180</v>
      </c>
      <c r="B23" s="316" t="s">
        <v>179</v>
      </c>
      <c r="C23" s="331">
        <v>111457</v>
      </c>
      <c r="D23" s="331">
        <v>109121</v>
      </c>
      <c r="E23" s="331">
        <v>109259</v>
      </c>
      <c r="F23" s="331">
        <v>109257</v>
      </c>
      <c r="G23" s="331">
        <v>109776</v>
      </c>
      <c r="H23" s="331">
        <v>195256</v>
      </c>
      <c r="I23" s="331">
        <v>186533.8</v>
      </c>
      <c r="J23" s="331">
        <v>138085</v>
      </c>
      <c r="K23" s="331">
        <v>148793</v>
      </c>
      <c r="L23" s="331">
        <v>133152</v>
      </c>
      <c r="M23" s="331">
        <v>128103</v>
      </c>
      <c r="N23" s="331">
        <v>136938</v>
      </c>
      <c r="O23" s="331">
        <v>174439</v>
      </c>
      <c r="P23" s="331">
        <v>160430</v>
      </c>
      <c r="Q23" s="331">
        <v>157545</v>
      </c>
      <c r="R23" s="331">
        <v>155475</v>
      </c>
      <c r="S23" s="331">
        <v>156489</v>
      </c>
    </row>
    <row r="24" spans="1:19" s="83" customFormat="1" ht="15.95" customHeight="1" x14ac:dyDescent="0.25">
      <c r="A24" s="326" t="s">
        <v>178</v>
      </c>
      <c r="B24" s="316" t="s">
        <v>138</v>
      </c>
      <c r="C24" s="331">
        <v>152582</v>
      </c>
      <c r="D24" s="331">
        <v>158020</v>
      </c>
      <c r="E24" s="331">
        <v>147505</v>
      </c>
      <c r="F24" s="331">
        <v>156990</v>
      </c>
      <c r="G24" s="331">
        <v>164001</v>
      </c>
      <c r="H24" s="331">
        <v>160482</v>
      </c>
      <c r="I24" s="331">
        <v>161298</v>
      </c>
      <c r="J24" s="331">
        <v>187764</v>
      </c>
      <c r="K24" s="331">
        <v>164590</v>
      </c>
      <c r="L24" s="331">
        <v>103432</v>
      </c>
      <c r="M24" s="331">
        <v>95792</v>
      </c>
      <c r="N24" s="331">
        <v>91554</v>
      </c>
      <c r="O24" s="331">
        <v>106597</v>
      </c>
      <c r="P24" s="331">
        <v>102314</v>
      </c>
      <c r="Q24" s="331">
        <v>118454</v>
      </c>
      <c r="R24" s="331">
        <v>111843</v>
      </c>
      <c r="S24" s="331">
        <v>112392</v>
      </c>
    </row>
    <row r="25" spans="1:19" s="83" customFormat="1" ht="15.95" customHeight="1" x14ac:dyDescent="0.25">
      <c r="A25" s="326" t="s">
        <v>177</v>
      </c>
      <c r="B25" s="316" t="s">
        <v>140</v>
      </c>
      <c r="C25" s="331">
        <v>137390</v>
      </c>
      <c r="D25" s="331">
        <v>130410</v>
      </c>
      <c r="E25" s="331">
        <v>146560</v>
      </c>
      <c r="F25" s="331">
        <v>147834</v>
      </c>
      <c r="G25" s="331">
        <v>153613</v>
      </c>
      <c r="H25" s="331">
        <v>157250</v>
      </c>
      <c r="I25" s="331">
        <v>155133.4</v>
      </c>
      <c r="J25" s="331">
        <v>123073</v>
      </c>
      <c r="K25" s="331">
        <v>118825</v>
      </c>
      <c r="L25" s="331">
        <v>120389.6</v>
      </c>
      <c r="M25" s="331">
        <v>122310</v>
      </c>
      <c r="N25" s="331">
        <v>128425.5</v>
      </c>
      <c r="O25" s="331">
        <v>134847</v>
      </c>
      <c r="P25" s="331">
        <v>131226</v>
      </c>
      <c r="Q25" s="331">
        <v>133036.5</v>
      </c>
      <c r="R25" s="331">
        <v>140538</v>
      </c>
      <c r="S25" s="331">
        <v>137715</v>
      </c>
    </row>
    <row r="26" spans="1:19" s="83" customFormat="1" ht="15.95" customHeight="1" x14ac:dyDescent="0.25">
      <c r="A26" s="326" t="s">
        <v>176</v>
      </c>
      <c r="B26" s="316" t="s">
        <v>136</v>
      </c>
      <c r="C26" s="331">
        <v>266200</v>
      </c>
      <c r="D26" s="331">
        <v>265338</v>
      </c>
      <c r="E26" s="331">
        <v>267100</v>
      </c>
      <c r="F26" s="331">
        <v>268350</v>
      </c>
      <c r="G26" s="331">
        <v>253263</v>
      </c>
      <c r="H26" s="331">
        <v>211104</v>
      </c>
      <c r="I26" s="331">
        <v>205975</v>
      </c>
      <c r="J26" s="331">
        <v>141726</v>
      </c>
      <c r="K26" s="331">
        <v>195864</v>
      </c>
      <c r="L26" s="331">
        <v>195646</v>
      </c>
      <c r="M26" s="331">
        <v>195861</v>
      </c>
      <c r="N26" s="331">
        <v>160877</v>
      </c>
      <c r="O26" s="331">
        <v>160173</v>
      </c>
      <c r="P26" s="331">
        <v>137479</v>
      </c>
      <c r="Q26" s="331">
        <v>127738</v>
      </c>
      <c r="R26" s="331">
        <v>123995</v>
      </c>
      <c r="S26" s="331">
        <v>121716</v>
      </c>
    </row>
    <row r="27" spans="1:19" s="83" customFormat="1" ht="15.95" customHeight="1" x14ac:dyDescent="0.25">
      <c r="A27" s="326" t="s">
        <v>175</v>
      </c>
      <c r="B27" s="316" t="s">
        <v>174</v>
      </c>
      <c r="C27" s="331">
        <v>97650</v>
      </c>
      <c r="D27" s="331">
        <v>99570</v>
      </c>
      <c r="E27" s="331">
        <v>106860</v>
      </c>
      <c r="F27" s="331">
        <v>108710</v>
      </c>
      <c r="G27" s="331">
        <v>113680</v>
      </c>
      <c r="H27" s="331">
        <v>121030</v>
      </c>
      <c r="I27" s="331">
        <v>124610</v>
      </c>
      <c r="J27" s="331">
        <v>128580</v>
      </c>
      <c r="K27" s="331">
        <v>126020</v>
      </c>
      <c r="L27" s="331">
        <v>119330</v>
      </c>
      <c r="M27" s="331">
        <v>119340</v>
      </c>
      <c r="N27" s="331">
        <v>112310</v>
      </c>
      <c r="O27" s="331">
        <v>112320</v>
      </c>
      <c r="P27" s="331">
        <v>114885</v>
      </c>
      <c r="Q27" s="331">
        <v>119760</v>
      </c>
      <c r="R27" s="331">
        <v>120306</v>
      </c>
      <c r="S27" s="331">
        <v>122635</v>
      </c>
    </row>
    <row r="28" spans="1:19" s="83" customFormat="1" ht="15.95" customHeight="1" x14ac:dyDescent="0.25">
      <c r="A28" s="326" t="s">
        <v>173</v>
      </c>
      <c r="B28" s="316" t="s">
        <v>128</v>
      </c>
      <c r="C28" s="331">
        <v>97758</v>
      </c>
      <c r="D28" s="331">
        <v>99263</v>
      </c>
      <c r="E28" s="331">
        <v>99263</v>
      </c>
      <c r="F28" s="331">
        <v>96021</v>
      </c>
      <c r="G28" s="331">
        <v>91743</v>
      </c>
      <c r="H28" s="331">
        <v>89300</v>
      </c>
      <c r="I28" s="331">
        <v>81490</v>
      </c>
      <c r="J28" s="331">
        <v>83145</v>
      </c>
      <c r="K28" s="331">
        <v>104649</v>
      </c>
      <c r="L28" s="331">
        <v>99200</v>
      </c>
      <c r="M28" s="331">
        <v>79200</v>
      </c>
      <c r="N28" s="331">
        <v>83160</v>
      </c>
      <c r="O28" s="331">
        <v>85320</v>
      </c>
      <c r="P28" s="331">
        <v>89710</v>
      </c>
      <c r="Q28" s="331">
        <v>95430</v>
      </c>
      <c r="R28" s="331">
        <v>95430</v>
      </c>
      <c r="S28" s="331">
        <v>97342</v>
      </c>
    </row>
    <row r="29" spans="1:19" s="83" customFormat="1" ht="15.95" customHeight="1" x14ac:dyDescent="0.25">
      <c r="A29" s="326" t="s">
        <v>172</v>
      </c>
      <c r="B29" s="316" t="s">
        <v>118</v>
      </c>
      <c r="C29" s="331">
        <v>43500</v>
      </c>
      <c r="D29" s="331">
        <v>42788</v>
      </c>
      <c r="E29" s="331">
        <v>44500</v>
      </c>
      <c r="F29" s="331">
        <v>40949</v>
      </c>
      <c r="G29" s="331">
        <v>46668</v>
      </c>
      <c r="H29" s="331">
        <v>48350</v>
      </c>
      <c r="I29" s="331">
        <v>50651</v>
      </c>
      <c r="J29" s="331">
        <v>52289</v>
      </c>
      <c r="K29" s="331">
        <v>52140</v>
      </c>
      <c r="L29" s="331">
        <v>48014</v>
      </c>
      <c r="M29" s="331">
        <v>45014</v>
      </c>
      <c r="N29" s="331">
        <v>47264.700000000004</v>
      </c>
      <c r="O29" s="331">
        <v>49630</v>
      </c>
      <c r="P29" s="331">
        <v>47302</v>
      </c>
      <c r="Q29" s="331">
        <v>47430</v>
      </c>
      <c r="R29" s="331">
        <v>47430</v>
      </c>
      <c r="S29" s="331">
        <v>46273</v>
      </c>
    </row>
    <row r="30" spans="1:19" s="83" customFormat="1" ht="15.95" customHeight="1" x14ac:dyDescent="0.25">
      <c r="A30" s="317" t="s">
        <v>171</v>
      </c>
      <c r="B30" s="318" t="s">
        <v>127</v>
      </c>
      <c r="C30" s="328">
        <v>16241</v>
      </c>
      <c r="D30" s="328">
        <v>16968</v>
      </c>
      <c r="E30" s="328">
        <v>17439</v>
      </c>
      <c r="F30" s="328">
        <v>16952</v>
      </c>
      <c r="G30" s="328">
        <v>17640</v>
      </c>
      <c r="H30" s="328">
        <v>18069</v>
      </c>
      <c r="I30" s="328">
        <v>12537</v>
      </c>
      <c r="J30" s="328">
        <v>12895</v>
      </c>
      <c r="K30" s="328">
        <v>15765</v>
      </c>
      <c r="L30" s="328">
        <v>14330</v>
      </c>
      <c r="M30" s="328">
        <v>12476</v>
      </c>
      <c r="N30" s="328">
        <v>13099.800000000001</v>
      </c>
      <c r="O30" s="328">
        <v>13750</v>
      </c>
      <c r="P30" s="328">
        <v>13240</v>
      </c>
      <c r="Q30" s="328">
        <v>10715</v>
      </c>
      <c r="R30" s="328">
        <v>11220</v>
      </c>
      <c r="S30" s="328">
        <v>12680</v>
      </c>
    </row>
    <row r="31" spans="1:19" customFormat="1" ht="12" customHeight="1" x14ac:dyDescent="0.25">
      <c r="A31" s="166" t="s">
        <v>331</v>
      </c>
      <c r="B31" s="167"/>
      <c r="C31" s="168"/>
      <c r="D31" s="168"/>
      <c r="E31" s="168"/>
      <c r="F31" s="168"/>
      <c r="G31" s="168"/>
      <c r="H31" s="168"/>
      <c r="I31" s="169"/>
    </row>
    <row r="32" spans="1:19" s="115" customFormat="1" ht="12" customHeight="1" x14ac:dyDescent="0.25">
      <c r="A32" s="170" t="s">
        <v>333</v>
      </c>
      <c r="B32" s="113"/>
    </row>
  </sheetData>
  <mergeCells count="3">
    <mergeCell ref="A4:B4"/>
    <mergeCell ref="A1:S1"/>
    <mergeCell ref="A2:S2"/>
  </mergeCells>
  <printOptions horizontalCentered="1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33"/>
  <sheetViews>
    <sheetView showGridLines="0" zoomScaleNormal="100" zoomScaleSheetLayoutView="175" workbookViewId="0">
      <selection activeCell="V32" sqref="V32"/>
    </sheetView>
  </sheetViews>
  <sheetFormatPr baseColWidth="10" defaultColWidth="11.28515625" defaultRowHeight="12.75" customHeight="1" x14ac:dyDescent="0.3"/>
  <cols>
    <col min="1" max="1" width="5.140625" style="23" customWidth="1"/>
    <col min="2" max="2" width="14.42578125" style="23" customWidth="1"/>
    <col min="3" max="7" width="5.7109375" style="23" hidden="1" customWidth="1"/>
    <col min="8" max="8" width="6.7109375" style="23" hidden="1" customWidth="1"/>
    <col min="9" max="10" width="7.28515625" style="23" hidden="1" customWidth="1"/>
    <col min="11" max="11" width="7.85546875" style="23" hidden="1" customWidth="1"/>
    <col min="12" max="20" width="7.85546875" style="23" customWidth="1"/>
    <col min="21" max="16384" width="11.28515625" style="23"/>
  </cols>
  <sheetData>
    <row r="1" spans="1:20" ht="12.75" customHeight="1" x14ac:dyDescent="0.3">
      <c r="A1" s="529" t="s">
        <v>424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</row>
    <row r="2" spans="1:20" s="79" customFormat="1" ht="12.75" customHeight="1" x14ac:dyDescent="0.25">
      <c r="A2" s="540" t="s">
        <v>208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</row>
    <row r="3" spans="1:20" s="79" customFormat="1" ht="12.75" customHeight="1" x14ac:dyDescent="0.25">
      <c r="A3" s="112"/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</row>
    <row r="4" spans="1:20" s="80" customFormat="1" ht="37.5" customHeight="1" x14ac:dyDescent="0.3">
      <c r="A4" s="536" t="s">
        <v>203</v>
      </c>
      <c r="B4" s="537"/>
      <c r="C4" s="300" t="s">
        <v>207</v>
      </c>
      <c r="D4" s="338">
        <v>2004</v>
      </c>
      <c r="E4" s="338">
        <v>2005</v>
      </c>
      <c r="F4" s="338">
        <v>2006</v>
      </c>
      <c r="G4" s="338">
        <v>2007</v>
      </c>
      <c r="H4" s="338">
        <v>2008</v>
      </c>
      <c r="I4" s="338">
        <v>2009</v>
      </c>
      <c r="J4" s="338">
        <v>2010</v>
      </c>
      <c r="K4" s="341">
        <v>2012</v>
      </c>
      <c r="L4" s="320">
        <v>2013</v>
      </c>
      <c r="M4" s="320">
        <v>2014</v>
      </c>
      <c r="N4" s="320">
        <v>2015</v>
      </c>
      <c r="O4" s="320">
        <v>2016</v>
      </c>
      <c r="P4" s="320">
        <v>2017</v>
      </c>
      <c r="Q4" s="320">
        <v>2018</v>
      </c>
      <c r="R4" s="320">
        <v>2019</v>
      </c>
      <c r="S4" s="320">
        <v>2020</v>
      </c>
      <c r="T4" s="320">
        <v>2021</v>
      </c>
    </row>
    <row r="5" spans="1:20" s="81" customFormat="1" ht="3" customHeight="1" x14ac:dyDescent="0.3">
      <c r="A5" s="329"/>
      <c r="B5" s="327"/>
      <c r="C5" s="342"/>
      <c r="D5" s="343"/>
      <c r="E5" s="343"/>
      <c r="F5" s="343"/>
      <c r="G5" s="343"/>
      <c r="H5" s="343"/>
      <c r="I5" s="343"/>
      <c r="J5" s="343"/>
      <c r="K5" s="343"/>
      <c r="L5" s="343"/>
      <c r="M5" s="330"/>
      <c r="N5" s="330"/>
      <c r="O5" s="330"/>
      <c r="P5" s="330"/>
      <c r="Q5" s="330"/>
      <c r="R5" s="330"/>
      <c r="S5" s="330"/>
      <c r="T5" s="330"/>
    </row>
    <row r="6" spans="1:20" s="82" customFormat="1" ht="15.95" customHeight="1" x14ac:dyDescent="0.25">
      <c r="A6" s="538" t="s">
        <v>157</v>
      </c>
      <c r="B6" s="539"/>
      <c r="C6" s="344">
        <v>92846</v>
      </c>
      <c r="D6" s="344">
        <v>97761</v>
      </c>
      <c r="E6" s="344">
        <v>99279</v>
      </c>
      <c r="F6" s="344">
        <v>117977</v>
      </c>
      <c r="G6" s="344">
        <v>120228</v>
      </c>
      <c r="H6" s="344">
        <v>131179.09899999999</v>
      </c>
      <c r="I6" s="344">
        <v>137838</v>
      </c>
      <c r="J6" s="344">
        <v>130779</v>
      </c>
      <c r="K6" s="344">
        <v>137669</v>
      </c>
      <c r="L6" s="344">
        <v>137679</v>
      </c>
      <c r="M6" s="344">
        <v>144276</v>
      </c>
      <c r="N6" s="344">
        <v>151001</v>
      </c>
      <c r="O6" s="344">
        <v>158263</v>
      </c>
      <c r="P6" s="344">
        <v>156638</v>
      </c>
      <c r="Q6" s="344">
        <v>160959</v>
      </c>
      <c r="R6" s="344">
        <v>168173</v>
      </c>
      <c r="S6" s="344">
        <v>171058.62709999998</v>
      </c>
      <c r="T6" s="344">
        <v>189374.75383195287</v>
      </c>
    </row>
    <row r="7" spans="1:20" s="79" customFormat="1" ht="15.95" customHeight="1" x14ac:dyDescent="0.25">
      <c r="A7" s="324" t="s">
        <v>197</v>
      </c>
      <c r="B7" s="316" t="s">
        <v>119</v>
      </c>
      <c r="C7" s="345">
        <v>83</v>
      </c>
      <c r="D7" s="345">
        <v>82</v>
      </c>
      <c r="E7" s="345">
        <v>84</v>
      </c>
      <c r="F7" s="345">
        <v>89</v>
      </c>
      <c r="G7" s="345">
        <v>97</v>
      </c>
      <c r="H7" s="345">
        <v>80.900000000000006</v>
      </c>
      <c r="I7" s="345">
        <v>90</v>
      </c>
      <c r="J7" s="345">
        <v>90</v>
      </c>
      <c r="K7" s="345">
        <v>191</v>
      </c>
      <c r="L7" s="345">
        <v>200</v>
      </c>
      <c r="M7" s="345">
        <v>195</v>
      </c>
      <c r="N7" s="346">
        <v>175</v>
      </c>
      <c r="O7" s="345">
        <v>160</v>
      </c>
      <c r="P7" s="345">
        <v>154</v>
      </c>
      <c r="Q7" s="345">
        <v>160</v>
      </c>
      <c r="R7" s="345">
        <v>157</v>
      </c>
      <c r="S7" s="345">
        <v>183.42</v>
      </c>
      <c r="T7" s="345">
        <v>180.35</v>
      </c>
    </row>
    <row r="8" spans="1:20" s="79" customFormat="1" ht="15.95" customHeight="1" x14ac:dyDescent="0.25">
      <c r="A8" s="326" t="s">
        <v>196</v>
      </c>
      <c r="B8" s="316" t="s">
        <v>124</v>
      </c>
      <c r="C8" s="345">
        <v>4500</v>
      </c>
      <c r="D8" s="345">
        <v>5000</v>
      </c>
      <c r="E8" s="345">
        <v>5556</v>
      </c>
      <c r="F8" s="345">
        <v>6150</v>
      </c>
      <c r="G8" s="345">
        <v>6494</v>
      </c>
      <c r="H8" s="345">
        <v>5799.9889999999996</v>
      </c>
      <c r="I8" s="345">
        <v>5359</v>
      </c>
      <c r="J8" s="345">
        <v>4791</v>
      </c>
      <c r="K8" s="345">
        <v>4374</v>
      </c>
      <c r="L8" s="345">
        <v>5581</v>
      </c>
      <c r="M8" s="345">
        <v>6136</v>
      </c>
      <c r="N8" s="346">
        <v>6015</v>
      </c>
      <c r="O8" s="345">
        <v>6050</v>
      </c>
      <c r="P8" s="345">
        <v>6138</v>
      </c>
      <c r="Q8" s="345">
        <v>5987</v>
      </c>
      <c r="R8" s="345">
        <v>5858</v>
      </c>
      <c r="S8" s="345">
        <v>5987.0479999999998</v>
      </c>
      <c r="T8" s="345">
        <v>3905.7738319528735</v>
      </c>
    </row>
    <row r="9" spans="1:20" s="79" customFormat="1" ht="15.95" customHeight="1" x14ac:dyDescent="0.25">
      <c r="A9" s="326" t="s">
        <v>195</v>
      </c>
      <c r="B9" s="316" t="s">
        <v>130</v>
      </c>
      <c r="C9" s="345">
        <v>2172</v>
      </c>
      <c r="D9" s="345">
        <v>2186</v>
      </c>
      <c r="E9" s="345">
        <v>2200</v>
      </c>
      <c r="F9" s="345">
        <v>2173</v>
      </c>
      <c r="G9" s="345">
        <v>2085</v>
      </c>
      <c r="H9" s="345">
        <v>2138.7869999999998</v>
      </c>
      <c r="I9" s="345">
        <v>2481</v>
      </c>
      <c r="J9" s="345">
        <v>2215</v>
      </c>
      <c r="K9" s="345">
        <v>1865</v>
      </c>
      <c r="L9" s="345">
        <v>2296</v>
      </c>
      <c r="M9" s="345">
        <v>2388</v>
      </c>
      <c r="N9" s="346">
        <v>2410</v>
      </c>
      <c r="O9" s="345">
        <v>1865</v>
      </c>
      <c r="P9" s="345">
        <v>1869</v>
      </c>
      <c r="Q9" s="345">
        <v>2048</v>
      </c>
      <c r="R9" s="345">
        <v>2490</v>
      </c>
      <c r="S9" s="345">
        <v>2626.0329999999999</v>
      </c>
      <c r="T9" s="345">
        <v>2557.7399999999998</v>
      </c>
    </row>
    <row r="10" spans="1:20" s="79" customFormat="1" ht="15.95" customHeight="1" x14ac:dyDescent="0.25">
      <c r="A10" s="326" t="s">
        <v>194</v>
      </c>
      <c r="B10" s="316" t="s">
        <v>131</v>
      </c>
      <c r="C10" s="345">
        <v>11450</v>
      </c>
      <c r="D10" s="345">
        <v>12543</v>
      </c>
      <c r="E10" s="345">
        <v>13439</v>
      </c>
      <c r="F10" s="345">
        <v>12155</v>
      </c>
      <c r="G10" s="345">
        <v>13001</v>
      </c>
      <c r="H10" s="345">
        <v>13581.544</v>
      </c>
      <c r="I10" s="345">
        <v>14270</v>
      </c>
      <c r="J10" s="345">
        <v>15837</v>
      </c>
      <c r="K10" s="345">
        <v>20058</v>
      </c>
      <c r="L10" s="345">
        <v>20271</v>
      </c>
      <c r="M10" s="345">
        <v>24039</v>
      </c>
      <c r="N10" s="346">
        <v>24045</v>
      </c>
      <c r="O10" s="345">
        <v>26281</v>
      </c>
      <c r="P10" s="345">
        <v>25241</v>
      </c>
      <c r="Q10" s="345">
        <v>24685</v>
      </c>
      <c r="R10" s="345">
        <v>24963</v>
      </c>
      <c r="S10" s="345">
        <v>24980.325000000001</v>
      </c>
      <c r="T10" s="345">
        <v>25462.692999999999</v>
      </c>
    </row>
    <row r="11" spans="1:20" s="79" customFormat="1" ht="15.95" customHeight="1" x14ac:dyDescent="0.25">
      <c r="A11" s="326" t="s">
        <v>193</v>
      </c>
      <c r="B11" s="316" t="s">
        <v>141</v>
      </c>
      <c r="C11" s="345">
        <v>1726</v>
      </c>
      <c r="D11" s="345">
        <v>1690</v>
      </c>
      <c r="E11" s="345">
        <v>1693</v>
      </c>
      <c r="F11" s="345">
        <v>1705</v>
      </c>
      <c r="G11" s="345">
        <v>1706</v>
      </c>
      <c r="H11" s="345">
        <v>1714.021</v>
      </c>
      <c r="I11" s="345">
        <v>3251</v>
      </c>
      <c r="J11" s="345">
        <v>3014</v>
      </c>
      <c r="K11" s="345">
        <v>1864</v>
      </c>
      <c r="L11" s="345">
        <v>1621</v>
      </c>
      <c r="M11" s="345">
        <v>1620</v>
      </c>
      <c r="N11" s="346">
        <v>2620</v>
      </c>
      <c r="O11" s="345">
        <v>2630</v>
      </c>
      <c r="P11" s="345">
        <v>2640</v>
      </c>
      <c r="Q11" s="345">
        <v>2626</v>
      </c>
      <c r="R11" s="345">
        <v>2633</v>
      </c>
      <c r="S11" s="345">
        <v>2628.03</v>
      </c>
      <c r="T11" s="345">
        <v>2640.982</v>
      </c>
    </row>
    <row r="12" spans="1:20" s="79" customFormat="1" ht="15.95" customHeight="1" x14ac:dyDescent="0.25">
      <c r="A12" s="326" t="s">
        <v>192</v>
      </c>
      <c r="B12" s="316" t="s">
        <v>129</v>
      </c>
      <c r="C12" s="345">
        <v>37001</v>
      </c>
      <c r="D12" s="345">
        <v>37331</v>
      </c>
      <c r="E12" s="345">
        <v>36490</v>
      </c>
      <c r="F12" s="345">
        <v>37305</v>
      </c>
      <c r="G12" s="345">
        <v>36554</v>
      </c>
      <c r="H12" s="345">
        <v>42522.597000000002</v>
      </c>
      <c r="I12" s="345">
        <v>43801</v>
      </c>
      <c r="J12" s="345">
        <v>41334</v>
      </c>
      <c r="K12" s="345">
        <v>52827</v>
      </c>
      <c r="L12" s="345">
        <v>50451</v>
      </c>
      <c r="M12" s="345">
        <v>51973</v>
      </c>
      <c r="N12" s="346">
        <v>56920</v>
      </c>
      <c r="O12" s="345">
        <v>60602</v>
      </c>
      <c r="P12" s="345">
        <v>58064</v>
      </c>
      <c r="Q12" s="345">
        <v>60834</v>
      </c>
      <c r="R12" s="345">
        <v>68879</v>
      </c>
      <c r="S12" s="345">
        <v>73917.84</v>
      </c>
      <c r="T12" s="345">
        <v>90509.067999999999</v>
      </c>
    </row>
    <row r="13" spans="1:20" s="79" customFormat="1" ht="15.95" customHeight="1" x14ac:dyDescent="0.25">
      <c r="A13" s="326" t="s">
        <v>191</v>
      </c>
      <c r="B13" s="316" t="s">
        <v>133</v>
      </c>
      <c r="C13" s="345">
        <v>5447</v>
      </c>
      <c r="D13" s="345">
        <v>5627</v>
      </c>
      <c r="E13" s="345">
        <v>6110</v>
      </c>
      <c r="F13" s="345">
        <v>6945</v>
      </c>
      <c r="G13" s="345">
        <v>7140</v>
      </c>
      <c r="H13" s="345">
        <v>8130.9759999999997</v>
      </c>
      <c r="I13" s="345">
        <v>10300</v>
      </c>
      <c r="J13" s="345">
        <v>10725</v>
      </c>
      <c r="K13" s="345">
        <v>9341</v>
      </c>
      <c r="L13" s="345">
        <v>10451</v>
      </c>
      <c r="M13" s="345">
        <v>10973</v>
      </c>
      <c r="N13" s="346">
        <v>12537</v>
      </c>
      <c r="O13" s="345">
        <v>13528</v>
      </c>
      <c r="P13" s="345">
        <v>14767</v>
      </c>
      <c r="Q13" s="345">
        <v>16492</v>
      </c>
      <c r="R13" s="345">
        <v>17467</v>
      </c>
      <c r="S13" s="345">
        <v>16978.544999999998</v>
      </c>
      <c r="T13" s="345">
        <v>17230.945</v>
      </c>
    </row>
    <row r="14" spans="1:20" s="79" customFormat="1" ht="15.95" customHeight="1" x14ac:dyDescent="0.25">
      <c r="A14" s="326" t="s">
        <v>190</v>
      </c>
      <c r="B14" s="316" t="s">
        <v>139</v>
      </c>
      <c r="C14" s="345">
        <v>14886</v>
      </c>
      <c r="D14" s="345">
        <v>16876</v>
      </c>
      <c r="E14" s="345">
        <v>17113</v>
      </c>
      <c r="F14" s="345">
        <v>33244</v>
      </c>
      <c r="G14" s="345">
        <v>31940</v>
      </c>
      <c r="H14" s="345">
        <v>31940.364000000001</v>
      </c>
      <c r="I14" s="345">
        <v>32220</v>
      </c>
      <c r="J14" s="345">
        <v>27077</v>
      </c>
      <c r="K14" s="345">
        <v>20836</v>
      </c>
      <c r="L14" s="345">
        <v>19743</v>
      </c>
      <c r="M14" s="345">
        <v>19476</v>
      </c>
      <c r="N14" s="346">
        <v>18080</v>
      </c>
      <c r="O14" s="345">
        <v>18855</v>
      </c>
      <c r="P14" s="345">
        <v>19047</v>
      </c>
      <c r="Q14" s="345">
        <v>19470</v>
      </c>
      <c r="R14" s="345">
        <v>17147</v>
      </c>
      <c r="S14" s="345">
        <v>16305.432000000001</v>
      </c>
      <c r="T14" s="345">
        <v>19026.567999999999</v>
      </c>
    </row>
    <row r="15" spans="1:20" s="79" customFormat="1" ht="15.95" customHeight="1" x14ac:dyDescent="0.25">
      <c r="A15" s="326" t="s">
        <v>189</v>
      </c>
      <c r="B15" s="316" t="s">
        <v>126</v>
      </c>
      <c r="C15" s="345">
        <v>100</v>
      </c>
      <c r="D15" s="345">
        <v>102</v>
      </c>
      <c r="E15" s="345">
        <v>101</v>
      </c>
      <c r="F15" s="345">
        <v>128</v>
      </c>
      <c r="G15" s="345">
        <v>103</v>
      </c>
      <c r="H15" s="345">
        <v>110.2</v>
      </c>
      <c r="I15" s="345">
        <v>120</v>
      </c>
      <c r="J15" s="345">
        <v>113</v>
      </c>
      <c r="K15" s="345">
        <v>104</v>
      </c>
      <c r="L15" s="345">
        <v>111</v>
      </c>
      <c r="M15" s="345">
        <v>115</v>
      </c>
      <c r="N15" s="346">
        <v>50</v>
      </c>
      <c r="O15" s="345">
        <v>55</v>
      </c>
      <c r="P15" s="345">
        <v>60</v>
      </c>
      <c r="Q15" s="345">
        <v>60</v>
      </c>
      <c r="R15" s="345">
        <v>60</v>
      </c>
      <c r="S15" s="345">
        <v>59.84</v>
      </c>
      <c r="T15" s="345">
        <v>60.646999999999998</v>
      </c>
    </row>
    <row r="16" spans="1:20" s="79" customFormat="1" ht="15.95" customHeight="1" x14ac:dyDescent="0.25">
      <c r="A16" s="326" t="s">
        <v>188</v>
      </c>
      <c r="B16" s="316" t="s">
        <v>121</v>
      </c>
      <c r="C16" s="345">
        <v>891</v>
      </c>
      <c r="D16" s="345">
        <v>860</v>
      </c>
      <c r="E16" s="345">
        <v>443</v>
      </c>
      <c r="F16" s="345">
        <v>726</v>
      </c>
      <c r="G16" s="345">
        <v>607</v>
      </c>
      <c r="H16" s="345">
        <v>665.65</v>
      </c>
      <c r="I16" s="345">
        <v>690</v>
      </c>
      <c r="J16" s="345">
        <v>730</v>
      </c>
      <c r="K16" s="345">
        <v>1020</v>
      </c>
      <c r="L16" s="345">
        <v>1350</v>
      </c>
      <c r="M16" s="345">
        <v>1405</v>
      </c>
      <c r="N16" s="346">
        <v>1118</v>
      </c>
      <c r="O16" s="345">
        <v>1151</v>
      </c>
      <c r="P16" s="345">
        <v>1185</v>
      </c>
      <c r="Q16" s="345">
        <v>1186</v>
      </c>
      <c r="R16" s="345">
        <v>1185</v>
      </c>
      <c r="S16" s="345">
        <v>1184.8979999999999</v>
      </c>
      <c r="T16" s="345">
        <v>1190.6780000000001</v>
      </c>
    </row>
    <row r="17" spans="1:20" s="79" customFormat="1" ht="15.95" customHeight="1" x14ac:dyDescent="0.25">
      <c r="A17" s="326" t="s">
        <v>187</v>
      </c>
      <c r="B17" s="316" t="s">
        <v>137</v>
      </c>
      <c r="C17" s="345">
        <v>1604</v>
      </c>
      <c r="D17" s="345">
        <v>1317</v>
      </c>
      <c r="E17" s="345">
        <v>1156</v>
      </c>
      <c r="F17" s="345">
        <v>1182</v>
      </c>
      <c r="G17" s="345">
        <v>1268</v>
      </c>
      <c r="H17" s="345">
        <v>1101.2470000000001</v>
      </c>
      <c r="I17" s="345">
        <v>1141</v>
      </c>
      <c r="J17" s="345">
        <v>1120</v>
      </c>
      <c r="K17" s="345">
        <v>1105</v>
      </c>
      <c r="L17" s="345">
        <v>1046</v>
      </c>
      <c r="M17" s="345">
        <v>955</v>
      </c>
      <c r="N17" s="346">
        <v>1052</v>
      </c>
      <c r="O17" s="345">
        <v>900</v>
      </c>
      <c r="P17" s="345">
        <v>840</v>
      </c>
      <c r="Q17" s="345">
        <v>902</v>
      </c>
      <c r="R17" s="345">
        <v>870</v>
      </c>
      <c r="S17" s="345">
        <v>887.06700000000001</v>
      </c>
      <c r="T17" s="345">
        <v>890.39700000000005</v>
      </c>
    </row>
    <row r="18" spans="1:20" s="79" customFormat="1" ht="15.95" customHeight="1" x14ac:dyDescent="0.25">
      <c r="A18" s="326" t="s">
        <v>186</v>
      </c>
      <c r="B18" s="316" t="s">
        <v>142</v>
      </c>
      <c r="C18" s="345">
        <v>692</v>
      </c>
      <c r="D18" s="345">
        <v>792</v>
      </c>
      <c r="E18" s="345">
        <v>703</v>
      </c>
      <c r="F18" s="345">
        <v>667</v>
      </c>
      <c r="G18" s="345">
        <v>954</v>
      </c>
      <c r="H18" s="345">
        <v>1008.193</v>
      </c>
      <c r="I18" s="345">
        <v>1200</v>
      </c>
      <c r="J18" s="345">
        <v>1106</v>
      </c>
      <c r="K18" s="345">
        <v>1137</v>
      </c>
      <c r="L18" s="345">
        <v>1380</v>
      </c>
      <c r="M18" s="345">
        <v>1390</v>
      </c>
      <c r="N18" s="346">
        <v>1423</v>
      </c>
      <c r="O18" s="345">
        <v>1472</v>
      </c>
      <c r="P18" s="345">
        <v>1522</v>
      </c>
      <c r="Q18" s="345">
        <v>1531</v>
      </c>
      <c r="R18" s="345">
        <v>1526</v>
      </c>
      <c r="S18" s="345">
        <v>1528.4110000000001</v>
      </c>
      <c r="T18" s="345">
        <v>1530.1890000000001</v>
      </c>
    </row>
    <row r="19" spans="1:20" s="79" customFormat="1" ht="15.95" customHeight="1" x14ac:dyDescent="0.25">
      <c r="A19" s="326" t="s">
        <v>185</v>
      </c>
      <c r="B19" s="316" t="s">
        <v>122</v>
      </c>
      <c r="C19" s="345">
        <v>2345</v>
      </c>
      <c r="D19" s="345">
        <v>2640</v>
      </c>
      <c r="E19" s="345">
        <v>3338</v>
      </c>
      <c r="F19" s="345">
        <v>3400</v>
      </c>
      <c r="G19" s="345">
        <v>2599</v>
      </c>
      <c r="H19" s="345">
        <v>2831.9650000000001</v>
      </c>
      <c r="I19" s="345">
        <v>3250</v>
      </c>
      <c r="J19" s="345">
        <v>3284</v>
      </c>
      <c r="K19" s="345">
        <v>3905</v>
      </c>
      <c r="L19" s="345">
        <v>4025</v>
      </c>
      <c r="M19" s="345">
        <v>4186</v>
      </c>
      <c r="N19" s="346">
        <v>4250</v>
      </c>
      <c r="O19" s="345">
        <v>4366</v>
      </c>
      <c r="P19" s="345">
        <v>4485</v>
      </c>
      <c r="Q19" s="345">
        <v>4589</v>
      </c>
      <c r="R19" s="345">
        <v>4537</v>
      </c>
      <c r="S19" s="345">
        <v>4565.2129999999997</v>
      </c>
      <c r="T19" s="345">
        <v>4751.6319999999996</v>
      </c>
    </row>
    <row r="20" spans="1:20" s="79" customFormat="1" ht="15.95" customHeight="1" x14ac:dyDescent="0.25">
      <c r="A20" s="326" t="s">
        <v>184</v>
      </c>
      <c r="B20" s="316" t="s">
        <v>134</v>
      </c>
      <c r="C20" s="345">
        <v>1421</v>
      </c>
      <c r="D20" s="345">
        <v>1506</v>
      </c>
      <c r="E20" s="345">
        <v>1510</v>
      </c>
      <c r="F20" s="345">
        <v>1621</v>
      </c>
      <c r="G20" s="345">
        <v>1684</v>
      </c>
      <c r="H20" s="345">
        <v>1714.307</v>
      </c>
      <c r="I20" s="345">
        <v>1860</v>
      </c>
      <c r="J20" s="345">
        <v>1678</v>
      </c>
      <c r="K20" s="345">
        <v>1530</v>
      </c>
      <c r="L20" s="345">
        <v>1671</v>
      </c>
      <c r="M20" s="345">
        <v>1729</v>
      </c>
      <c r="N20" s="346">
        <v>1751</v>
      </c>
      <c r="O20" s="345">
        <v>1757</v>
      </c>
      <c r="P20" s="345">
        <v>1763</v>
      </c>
      <c r="Q20" s="345">
        <v>1760</v>
      </c>
      <c r="R20" s="345">
        <v>1761</v>
      </c>
      <c r="S20" s="345">
        <v>1750.45</v>
      </c>
      <c r="T20" s="345">
        <v>1758.941</v>
      </c>
    </row>
    <row r="21" spans="1:20" s="79" customFormat="1" ht="15.95" customHeight="1" x14ac:dyDescent="0.25">
      <c r="A21" s="326" t="s">
        <v>183</v>
      </c>
      <c r="B21" s="316" t="s">
        <v>125</v>
      </c>
      <c r="C21" s="345">
        <v>101</v>
      </c>
      <c r="D21" s="345">
        <v>104</v>
      </c>
      <c r="E21" s="345">
        <v>104</v>
      </c>
      <c r="F21" s="345">
        <v>105</v>
      </c>
      <c r="G21" s="345">
        <v>105</v>
      </c>
      <c r="H21" s="345">
        <v>105.849</v>
      </c>
      <c r="I21" s="345">
        <v>107</v>
      </c>
      <c r="J21" s="345">
        <v>110</v>
      </c>
      <c r="K21" s="345">
        <v>120</v>
      </c>
      <c r="L21" s="345">
        <v>130</v>
      </c>
      <c r="M21" s="345">
        <v>135</v>
      </c>
      <c r="N21" s="346">
        <v>137</v>
      </c>
      <c r="O21" s="345">
        <v>139</v>
      </c>
      <c r="P21" s="345">
        <v>142</v>
      </c>
      <c r="Q21" s="345">
        <v>138</v>
      </c>
      <c r="R21" s="345">
        <v>140</v>
      </c>
      <c r="S21" s="345">
        <v>140.55799999999999</v>
      </c>
      <c r="T21" s="345">
        <v>139.084</v>
      </c>
    </row>
    <row r="22" spans="1:20" s="79" customFormat="1" ht="15.95" customHeight="1" x14ac:dyDescent="0.25">
      <c r="A22" s="326" t="s">
        <v>182</v>
      </c>
      <c r="B22" s="316" t="s">
        <v>181</v>
      </c>
      <c r="C22" s="345">
        <v>1015</v>
      </c>
      <c r="D22" s="345">
        <v>1575</v>
      </c>
      <c r="E22" s="345">
        <v>1628</v>
      </c>
      <c r="F22" s="345">
        <v>2604</v>
      </c>
      <c r="G22" s="345">
        <v>4850</v>
      </c>
      <c r="H22" s="345">
        <v>3311.0540000000001</v>
      </c>
      <c r="I22" s="345">
        <v>3600</v>
      </c>
      <c r="J22" s="345">
        <v>3199</v>
      </c>
      <c r="K22" s="345">
        <v>2939</v>
      </c>
      <c r="L22" s="345">
        <v>3450</v>
      </c>
      <c r="M22" s="345">
        <v>3588</v>
      </c>
      <c r="N22" s="346">
        <v>3651</v>
      </c>
      <c r="O22" s="345">
        <v>3563</v>
      </c>
      <c r="P22" s="345">
        <v>3554</v>
      </c>
      <c r="Q22" s="345">
        <v>3570</v>
      </c>
      <c r="R22" s="345">
        <v>3562</v>
      </c>
      <c r="S22" s="345">
        <v>2567.4549999999999</v>
      </c>
      <c r="T22" s="345">
        <v>2568.9430000000002</v>
      </c>
    </row>
    <row r="23" spans="1:20" s="79" customFormat="1" ht="15.95" customHeight="1" x14ac:dyDescent="0.25">
      <c r="A23" s="326" t="s">
        <v>180</v>
      </c>
      <c r="B23" s="316" t="s">
        <v>179</v>
      </c>
      <c r="C23" s="345">
        <v>454</v>
      </c>
      <c r="D23" s="345">
        <v>449</v>
      </c>
      <c r="E23" s="345">
        <v>440</v>
      </c>
      <c r="F23" s="345">
        <v>417</v>
      </c>
      <c r="G23" s="345">
        <v>417</v>
      </c>
      <c r="H23" s="345">
        <v>409.85399999999998</v>
      </c>
      <c r="I23" s="345">
        <v>422</v>
      </c>
      <c r="J23" s="345">
        <v>421</v>
      </c>
      <c r="K23" s="345">
        <v>390</v>
      </c>
      <c r="L23" s="345">
        <v>392</v>
      </c>
      <c r="M23" s="345">
        <v>406</v>
      </c>
      <c r="N23" s="346">
        <v>355</v>
      </c>
      <c r="O23" s="345">
        <v>384</v>
      </c>
      <c r="P23" s="345">
        <v>393</v>
      </c>
      <c r="Q23" s="345">
        <v>385</v>
      </c>
      <c r="R23" s="345">
        <v>389</v>
      </c>
      <c r="S23" s="345">
        <v>387.42500000000001</v>
      </c>
      <c r="T23" s="345">
        <v>388.64699999999999</v>
      </c>
    </row>
    <row r="24" spans="1:20" s="79" customFormat="1" ht="15.95" customHeight="1" x14ac:dyDescent="0.25">
      <c r="A24" s="326" t="s">
        <v>178</v>
      </c>
      <c r="B24" s="316" t="s">
        <v>138</v>
      </c>
      <c r="C24" s="345">
        <v>614</v>
      </c>
      <c r="D24" s="345">
        <v>566</v>
      </c>
      <c r="E24" s="345">
        <v>591</v>
      </c>
      <c r="F24" s="345">
        <v>584</v>
      </c>
      <c r="G24" s="345">
        <v>596</v>
      </c>
      <c r="H24" s="345">
        <v>553.41600000000005</v>
      </c>
      <c r="I24" s="345">
        <v>650</v>
      </c>
      <c r="J24" s="345">
        <v>509</v>
      </c>
      <c r="K24" s="345">
        <v>720</v>
      </c>
      <c r="L24" s="345">
        <v>750</v>
      </c>
      <c r="M24" s="345">
        <v>820</v>
      </c>
      <c r="N24" s="346">
        <v>850</v>
      </c>
      <c r="O24" s="345">
        <v>847</v>
      </c>
      <c r="P24" s="345">
        <v>844</v>
      </c>
      <c r="Q24" s="345">
        <v>485</v>
      </c>
      <c r="R24" s="345">
        <v>665</v>
      </c>
      <c r="S24" s="345">
        <v>570.44100000000003</v>
      </c>
      <c r="T24" s="345">
        <v>580.69100000000003</v>
      </c>
    </row>
    <row r="25" spans="1:20" s="79" customFormat="1" ht="15.95" customHeight="1" x14ac:dyDescent="0.25">
      <c r="A25" s="326" t="s">
        <v>177</v>
      </c>
      <c r="B25" s="316" t="s">
        <v>140</v>
      </c>
      <c r="C25" s="345">
        <v>386</v>
      </c>
      <c r="D25" s="345">
        <v>509</v>
      </c>
      <c r="E25" s="345">
        <v>497</v>
      </c>
      <c r="F25" s="345">
        <v>543</v>
      </c>
      <c r="G25" s="345">
        <v>578</v>
      </c>
      <c r="H25" s="345">
        <v>578.08000000000004</v>
      </c>
      <c r="I25" s="345">
        <v>599</v>
      </c>
      <c r="J25" s="345">
        <v>560</v>
      </c>
      <c r="K25" s="345">
        <v>547</v>
      </c>
      <c r="L25" s="345">
        <v>303</v>
      </c>
      <c r="M25" s="345">
        <v>312</v>
      </c>
      <c r="N25" s="346">
        <v>320</v>
      </c>
      <c r="O25" s="345">
        <v>311</v>
      </c>
      <c r="P25" s="345">
        <v>308</v>
      </c>
      <c r="Q25" s="345">
        <v>312</v>
      </c>
      <c r="R25" s="345">
        <v>310</v>
      </c>
      <c r="S25" s="345">
        <v>305.02</v>
      </c>
      <c r="T25" s="345">
        <v>307.09899999999999</v>
      </c>
    </row>
    <row r="26" spans="1:20" s="79" customFormat="1" ht="15.95" customHeight="1" x14ac:dyDescent="0.25">
      <c r="A26" s="326" t="s">
        <v>176</v>
      </c>
      <c r="B26" s="316" t="s">
        <v>136</v>
      </c>
      <c r="C26" s="345">
        <v>710</v>
      </c>
      <c r="D26" s="345">
        <v>713</v>
      </c>
      <c r="E26" s="345">
        <v>712</v>
      </c>
      <c r="F26" s="345">
        <v>700</v>
      </c>
      <c r="G26" s="345">
        <v>900</v>
      </c>
      <c r="H26" s="345">
        <v>1200</v>
      </c>
      <c r="I26" s="345">
        <v>1620</v>
      </c>
      <c r="J26" s="345">
        <v>1242</v>
      </c>
      <c r="K26" s="345">
        <v>910</v>
      </c>
      <c r="L26" s="345">
        <v>950</v>
      </c>
      <c r="M26" s="345">
        <v>1121</v>
      </c>
      <c r="N26" s="346">
        <v>1241</v>
      </c>
      <c r="O26" s="345">
        <v>1204</v>
      </c>
      <c r="P26" s="345">
        <v>1192</v>
      </c>
      <c r="Q26" s="345">
        <v>1210</v>
      </c>
      <c r="R26" s="345">
        <v>1201</v>
      </c>
      <c r="S26" s="345">
        <v>1205.779</v>
      </c>
      <c r="T26" s="345">
        <v>1202.6949999999999</v>
      </c>
    </row>
    <row r="27" spans="1:20" s="79" customFormat="1" ht="15.95" customHeight="1" x14ac:dyDescent="0.25">
      <c r="A27" s="326" t="s">
        <v>175</v>
      </c>
      <c r="B27" s="316" t="s">
        <v>174</v>
      </c>
      <c r="C27" s="345">
        <v>1588</v>
      </c>
      <c r="D27" s="345">
        <v>1680</v>
      </c>
      <c r="E27" s="345">
        <v>1789</v>
      </c>
      <c r="F27" s="345">
        <v>1762</v>
      </c>
      <c r="G27" s="345">
        <v>1810</v>
      </c>
      <c r="H27" s="345">
        <v>1897.17</v>
      </c>
      <c r="I27" s="345">
        <v>1889</v>
      </c>
      <c r="J27" s="345">
        <v>1926</v>
      </c>
      <c r="K27" s="345">
        <v>1949</v>
      </c>
      <c r="L27" s="345">
        <v>2010</v>
      </c>
      <c r="M27" s="345">
        <v>1856</v>
      </c>
      <c r="N27" s="346">
        <v>1856</v>
      </c>
      <c r="O27" s="345">
        <v>1726</v>
      </c>
      <c r="P27" s="345">
        <v>1727</v>
      </c>
      <c r="Q27" s="345">
        <v>1687</v>
      </c>
      <c r="R27" s="345">
        <v>1699</v>
      </c>
      <c r="S27" s="345">
        <v>1699.105</v>
      </c>
      <c r="T27" s="345">
        <v>1597.4749999999999</v>
      </c>
    </row>
    <row r="28" spans="1:20" s="79" customFormat="1" ht="15.95" customHeight="1" x14ac:dyDescent="0.25">
      <c r="A28" s="326" t="s">
        <v>173</v>
      </c>
      <c r="B28" s="316" t="s">
        <v>128</v>
      </c>
      <c r="C28" s="345">
        <v>944</v>
      </c>
      <c r="D28" s="345">
        <v>952</v>
      </c>
      <c r="E28" s="345">
        <v>966</v>
      </c>
      <c r="F28" s="345">
        <v>985</v>
      </c>
      <c r="G28" s="345">
        <v>1022</v>
      </c>
      <c r="H28" s="345">
        <v>2050.9169999999999</v>
      </c>
      <c r="I28" s="345">
        <v>2101</v>
      </c>
      <c r="J28" s="345">
        <v>3002</v>
      </c>
      <c r="K28" s="345">
        <v>3978</v>
      </c>
      <c r="L28" s="345">
        <v>3197</v>
      </c>
      <c r="M28" s="345">
        <v>3750</v>
      </c>
      <c r="N28" s="346">
        <v>3820</v>
      </c>
      <c r="O28" s="345">
        <v>3986</v>
      </c>
      <c r="P28" s="345">
        <v>4159</v>
      </c>
      <c r="Q28" s="345">
        <v>4208</v>
      </c>
      <c r="R28" s="345">
        <v>4184</v>
      </c>
      <c r="S28" s="345">
        <v>4190.2539999999999</v>
      </c>
      <c r="T28" s="345">
        <v>4190.2539999999999</v>
      </c>
    </row>
    <row r="29" spans="1:20" s="79" customFormat="1" ht="15.95" customHeight="1" x14ac:dyDescent="0.25">
      <c r="A29" s="326" t="s">
        <v>172</v>
      </c>
      <c r="B29" s="316" t="s">
        <v>118</v>
      </c>
      <c r="C29" s="345">
        <v>2525</v>
      </c>
      <c r="D29" s="345">
        <v>2460</v>
      </c>
      <c r="E29" s="345">
        <v>2417</v>
      </c>
      <c r="F29" s="345">
        <v>2590</v>
      </c>
      <c r="G29" s="345">
        <v>3413</v>
      </c>
      <c r="H29" s="345">
        <v>7424.6350000000002</v>
      </c>
      <c r="I29" s="345">
        <v>6501</v>
      </c>
      <c r="J29" s="345">
        <v>6396</v>
      </c>
      <c r="K29" s="345">
        <v>5568</v>
      </c>
      <c r="L29" s="345">
        <v>5846</v>
      </c>
      <c r="M29" s="345">
        <v>5255</v>
      </c>
      <c r="N29" s="346">
        <v>5834</v>
      </c>
      <c r="O29" s="345">
        <v>5945</v>
      </c>
      <c r="P29" s="345">
        <v>6058</v>
      </c>
      <c r="Q29" s="345">
        <v>6147</v>
      </c>
      <c r="R29" s="345">
        <v>6003</v>
      </c>
      <c r="S29" s="345">
        <v>5924.5870000000004</v>
      </c>
      <c r="T29" s="345">
        <v>6213.5680000000002</v>
      </c>
    </row>
    <row r="30" spans="1:20" s="79" customFormat="1" ht="15.95" customHeight="1" x14ac:dyDescent="0.25">
      <c r="A30" s="317" t="s">
        <v>171</v>
      </c>
      <c r="B30" s="318" t="s">
        <v>127</v>
      </c>
      <c r="C30" s="339">
        <v>191</v>
      </c>
      <c r="D30" s="339">
        <v>201</v>
      </c>
      <c r="E30" s="339">
        <v>199</v>
      </c>
      <c r="F30" s="339">
        <v>197</v>
      </c>
      <c r="G30" s="339">
        <v>305</v>
      </c>
      <c r="H30" s="339">
        <v>307.38400000000001</v>
      </c>
      <c r="I30" s="339">
        <v>316</v>
      </c>
      <c r="J30" s="339">
        <v>300</v>
      </c>
      <c r="K30" s="339">
        <v>391</v>
      </c>
      <c r="L30" s="339">
        <v>454</v>
      </c>
      <c r="M30" s="339">
        <v>453</v>
      </c>
      <c r="N30" s="340">
        <v>491</v>
      </c>
      <c r="O30" s="339">
        <v>486</v>
      </c>
      <c r="P30" s="339">
        <v>486</v>
      </c>
      <c r="Q30" s="339">
        <v>487</v>
      </c>
      <c r="R30" s="339">
        <v>487</v>
      </c>
      <c r="S30" s="339">
        <v>485.4511</v>
      </c>
      <c r="T30" s="497">
        <v>489.69400000000002</v>
      </c>
    </row>
    <row r="31" spans="1:20" s="112" customFormat="1" ht="12" customHeight="1" x14ac:dyDescent="0.25">
      <c r="A31" s="103" t="s">
        <v>40</v>
      </c>
    </row>
    <row r="33" spans="3:20" ht="12.75" customHeight="1" x14ac:dyDescent="0.3"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</sheetData>
  <mergeCells count="4">
    <mergeCell ref="A4:B4"/>
    <mergeCell ref="A6:B6"/>
    <mergeCell ref="A1:T1"/>
    <mergeCell ref="A2:T2"/>
  </mergeCells>
  <printOptions horizontalCentered="1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V26"/>
  <sheetViews>
    <sheetView showGridLines="0" zoomScaleNormal="100" workbookViewId="0">
      <selection activeCell="A4" sqref="A4:T24"/>
    </sheetView>
  </sheetViews>
  <sheetFormatPr baseColWidth="10" defaultColWidth="6.7109375" defaultRowHeight="12.75" customHeight="1" x14ac:dyDescent="0.25"/>
  <cols>
    <col min="1" max="1" width="5.140625" style="73" customWidth="1"/>
    <col min="2" max="2" width="14" style="73" customWidth="1"/>
    <col min="3" max="6" width="8.28515625" style="73" hidden="1" customWidth="1"/>
    <col min="7" max="10" width="7.28515625" style="73" hidden="1" customWidth="1"/>
    <col min="11" max="11" width="6.85546875" style="73" hidden="1" customWidth="1"/>
    <col min="12" max="20" width="8.7109375" style="73" customWidth="1"/>
    <col min="21" max="21" width="7.140625" style="73" customWidth="1"/>
    <col min="22" max="260" width="6.7109375" style="73"/>
    <col min="261" max="261" width="5.28515625" style="73" customWidth="1"/>
    <col min="262" max="262" width="9.28515625" style="73" customWidth="1"/>
    <col min="263" max="270" width="0" style="73" hidden="1" customWidth="1"/>
    <col min="271" max="276" width="6.7109375" style="73" customWidth="1"/>
    <col min="277" max="277" width="7.7109375" style="73" customWidth="1"/>
    <col min="278" max="516" width="6.7109375" style="73"/>
    <col min="517" max="517" width="5.28515625" style="73" customWidth="1"/>
    <col min="518" max="518" width="9.28515625" style="73" customWidth="1"/>
    <col min="519" max="526" width="0" style="73" hidden="1" customWidth="1"/>
    <col min="527" max="532" width="6.7109375" style="73" customWidth="1"/>
    <col min="533" max="533" width="7.7109375" style="73" customWidth="1"/>
    <col min="534" max="772" width="6.7109375" style="73"/>
    <col min="773" max="773" width="5.28515625" style="73" customWidth="1"/>
    <col min="774" max="774" width="9.28515625" style="73" customWidth="1"/>
    <col min="775" max="782" width="0" style="73" hidden="1" customWidth="1"/>
    <col min="783" max="788" width="6.7109375" style="73" customWidth="1"/>
    <col min="789" max="789" width="7.7109375" style="73" customWidth="1"/>
    <col min="790" max="1028" width="6.7109375" style="73"/>
    <col min="1029" max="1029" width="5.28515625" style="73" customWidth="1"/>
    <col min="1030" max="1030" width="9.28515625" style="73" customWidth="1"/>
    <col min="1031" max="1038" width="0" style="73" hidden="1" customWidth="1"/>
    <col min="1039" max="1044" width="6.7109375" style="73" customWidth="1"/>
    <col min="1045" max="1045" width="7.7109375" style="73" customWidth="1"/>
    <col min="1046" max="1284" width="6.7109375" style="73"/>
    <col min="1285" max="1285" width="5.28515625" style="73" customWidth="1"/>
    <col min="1286" max="1286" width="9.28515625" style="73" customWidth="1"/>
    <col min="1287" max="1294" width="0" style="73" hidden="1" customWidth="1"/>
    <col min="1295" max="1300" width="6.7109375" style="73" customWidth="1"/>
    <col min="1301" max="1301" width="7.7109375" style="73" customWidth="1"/>
    <col min="1302" max="1540" width="6.7109375" style="73"/>
    <col min="1541" max="1541" width="5.28515625" style="73" customWidth="1"/>
    <col min="1542" max="1542" width="9.28515625" style="73" customWidth="1"/>
    <col min="1543" max="1550" width="0" style="73" hidden="1" customWidth="1"/>
    <col min="1551" max="1556" width="6.7109375" style="73" customWidth="1"/>
    <col min="1557" max="1557" width="7.7109375" style="73" customWidth="1"/>
    <col min="1558" max="1796" width="6.7109375" style="73"/>
    <col min="1797" max="1797" width="5.28515625" style="73" customWidth="1"/>
    <col min="1798" max="1798" width="9.28515625" style="73" customWidth="1"/>
    <col min="1799" max="1806" width="0" style="73" hidden="1" customWidth="1"/>
    <col min="1807" max="1812" width="6.7109375" style="73" customWidth="1"/>
    <col min="1813" max="1813" width="7.7109375" style="73" customWidth="1"/>
    <col min="1814" max="2052" width="6.7109375" style="73"/>
    <col min="2053" max="2053" width="5.28515625" style="73" customWidth="1"/>
    <col min="2054" max="2054" width="9.28515625" style="73" customWidth="1"/>
    <col min="2055" max="2062" width="0" style="73" hidden="1" customWidth="1"/>
    <col min="2063" max="2068" width="6.7109375" style="73" customWidth="1"/>
    <col min="2069" max="2069" width="7.7109375" style="73" customWidth="1"/>
    <col min="2070" max="2308" width="6.7109375" style="73"/>
    <col min="2309" max="2309" width="5.28515625" style="73" customWidth="1"/>
    <col min="2310" max="2310" width="9.28515625" style="73" customWidth="1"/>
    <col min="2311" max="2318" width="0" style="73" hidden="1" customWidth="1"/>
    <col min="2319" max="2324" width="6.7109375" style="73" customWidth="1"/>
    <col min="2325" max="2325" width="7.7109375" style="73" customWidth="1"/>
    <col min="2326" max="2564" width="6.7109375" style="73"/>
    <col min="2565" max="2565" width="5.28515625" style="73" customWidth="1"/>
    <col min="2566" max="2566" width="9.28515625" style="73" customWidth="1"/>
    <col min="2567" max="2574" width="0" style="73" hidden="1" customWidth="1"/>
    <col min="2575" max="2580" width="6.7109375" style="73" customWidth="1"/>
    <col min="2581" max="2581" width="7.7109375" style="73" customWidth="1"/>
    <col min="2582" max="2820" width="6.7109375" style="73"/>
    <col min="2821" max="2821" width="5.28515625" style="73" customWidth="1"/>
    <col min="2822" max="2822" width="9.28515625" style="73" customWidth="1"/>
    <col min="2823" max="2830" width="0" style="73" hidden="1" customWidth="1"/>
    <col min="2831" max="2836" width="6.7109375" style="73" customWidth="1"/>
    <col min="2837" max="2837" width="7.7109375" style="73" customWidth="1"/>
    <col min="2838" max="3076" width="6.7109375" style="73"/>
    <col min="3077" max="3077" width="5.28515625" style="73" customWidth="1"/>
    <col min="3078" max="3078" width="9.28515625" style="73" customWidth="1"/>
    <col min="3079" max="3086" width="0" style="73" hidden="1" customWidth="1"/>
    <col min="3087" max="3092" width="6.7109375" style="73" customWidth="1"/>
    <col min="3093" max="3093" width="7.7109375" style="73" customWidth="1"/>
    <col min="3094" max="3332" width="6.7109375" style="73"/>
    <col min="3333" max="3333" width="5.28515625" style="73" customWidth="1"/>
    <col min="3334" max="3334" width="9.28515625" style="73" customWidth="1"/>
    <col min="3335" max="3342" width="0" style="73" hidden="1" customWidth="1"/>
    <col min="3343" max="3348" width="6.7109375" style="73" customWidth="1"/>
    <col min="3349" max="3349" width="7.7109375" style="73" customWidth="1"/>
    <col min="3350" max="3588" width="6.7109375" style="73"/>
    <col min="3589" max="3589" width="5.28515625" style="73" customWidth="1"/>
    <col min="3590" max="3590" width="9.28515625" style="73" customWidth="1"/>
    <col min="3591" max="3598" width="0" style="73" hidden="1" customWidth="1"/>
    <col min="3599" max="3604" width="6.7109375" style="73" customWidth="1"/>
    <col min="3605" max="3605" width="7.7109375" style="73" customWidth="1"/>
    <col min="3606" max="3844" width="6.7109375" style="73"/>
    <col min="3845" max="3845" width="5.28515625" style="73" customWidth="1"/>
    <col min="3846" max="3846" width="9.28515625" style="73" customWidth="1"/>
    <col min="3847" max="3854" width="0" style="73" hidden="1" customWidth="1"/>
    <col min="3855" max="3860" width="6.7109375" style="73" customWidth="1"/>
    <col min="3861" max="3861" width="7.7109375" style="73" customWidth="1"/>
    <col min="3862" max="4100" width="6.7109375" style="73"/>
    <col min="4101" max="4101" width="5.28515625" style="73" customWidth="1"/>
    <col min="4102" max="4102" width="9.28515625" style="73" customWidth="1"/>
    <col min="4103" max="4110" width="0" style="73" hidden="1" customWidth="1"/>
    <col min="4111" max="4116" width="6.7109375" style="73" customWidth="1"/>
    <col min="4117" max="4117" width="7.7109375" style="73" customWidth="1"/>
    <col min="4118" max="4356" width="6.7109375" style="73"/>
    <col min="4357" max="4357" width="5.28515625" style="73" customWidth="1"/>
    <col min="4358" max="4358" width="9.28515625" style="73" customWidth="1"/>
    <col min="4359" max="4366" width="0" style="73" hidden="1" customWidth="1"/>
    <col min="4367" max="4372" width="6.7109375" style="73" customWidth="1"/>
    <col min="4373" max="4373" width="7.7109375" style="73" customWidth="1"/>
    <col min="4374" max="4612" width="6.7109375" style="73"/>
    <col min="4613" max="4613" width="5.28515625" style="73" customWidth="1"/>
    <col min="4614" max="4614" width="9.28515625" style="73" customWidth="1"/>
    <col min="4615" max="4622" width="0" style="73" hidden="1" customWidth="1"/>
    <col min="4623" max="4628" width="6.7109375" style="73" customWidth="1"/>
    <col min="4629" max="4629" width="7.7109375" style="73" customWidth="1"/>
    <col min="4630" max="4868" width="6.7109375" style="73"/>
    <col min="4869" max="4869" width="5.28515625" style="73" customWidth="1"/>
    <col min="4870" max="4870" width="9.28515625" style="73" customWidth="1"/>
    <col min="4871" max="4878" width="0" style="73" hidden="1" customWidth="1"/>
    <col min="4879" max="4884" width="6.7109375" style="73" customWidth="1"/>
    <col min="4885" max="4885" width="7.7109375" style="73" customWidth="1"/>
    <col min="4886" max="5124" width="6.7109375" style="73"/>
    <col min="5125" max="5125" width="5.28515625" style="73" customWidth="1"/>
    <col min="5126" max="5126" width="9.28515625" style="73" customWidth="1"/>
    <col min="5127" max="5134" width="0" style="73" hidden="1" customWidth="1"/>
    <col min="5135" max="5140" width="6.7109375" style="73" customWidth="1"/>
    <col min="5141" max="5141" width="7.7109375" style="73" customWidth="1"/>
    <col min="5142" max="5380" width="6.7109375" style="73"/>
    <col min="5381" max="5381" width="5.28515625" style="73" customWidth="1"/>
    <col min="5382" max="5382" width="9.28515625" style="73" customWidth="1"/>
    <col min="5383" max="5390" width="0" style="73" hidden="1" customWidth="1"/>
    <col min="5391" max="5396" width="6.7109375" style="73" customWidth="1"/>
    <col min="5397" max="5397" width="7.7109375" style="73" customWidth="1"/>
    <col min="5398" max="5636" width="6.7109375" style="73"/>
    <col min="5637" max="5637" width="5.28515625" style="73" customWidth="1"/>
    <col min="5638" max="5638" width="9.28515625" style="73" customWidth="1"/>
    <col min="5639" max="5646" width="0" style="73" hidden="1" customWidth="1"/>
    <col min="5647" max="5652" width="6.7109375" style="73" customWidth="1"/>
    <col min="5653" max="5653" width="7.7109375" style="73" customWidth="1"/>
    <col min="5654" max="5892" width="6.7109375" style="73"/>
    <col min="5893" max="5893" width="5.28515625" style="73" customWidth="1"/>
    <col min="5894" max="5894" width="9.28515625" style="73" customWidth="1"/>
    <col min="5895" max="5902" width="0" style="73" hidden="1" customWidth="1"/>
    <col min="5903" max="5908" width="6.7109375" style="73" customWidth="1"/>
    <col min="5909" max="5909" width="7.7109375" style="73" customWidth="1"/>
    <col min="5910" max="6148" width="6.7109375" style="73"/>
    <col min="6149" max="6149" width="5.28515625" style="73" customWidth="1"/>
    <col min="6150" max="6150" width="9.28515625" style="73" customWidth="1"/>
    <col min="6151" max="6158" width="0" style="73" hidden="1" customWidth="1"/>
    <col min="6159" max="6164" width="6.7109375" style="73" customWidth="1"/>
    <col min="6165" max="6165" width="7.7109375" style="73" customWidth="1"/>
    <col min="6166" max="6404" width="6.7109375" style="73"/>
    <col min="6405" max="6405" width="5.28515625" style="73" customWidth="1"/>
    <col min="6406" max="6406" width="9.28515625" style="73" customWidth="1"/>
    <col min="6407" max="6414" width="0" style="73" hidden="1" customWidth="1"/>
    <col min="6415" max="6420" width="6.7109375" style="73" customWidth="1"/>
    <col min="6421" max="6421" width="7.7109375" style="73" customWidth="1"/>
    <col min="6422" max="6660" width="6.7109375" style="73"/>
    <col min="6661" max="6661" width="5.28515625" style="73" customWidth="1"/>
    <col min="6662" max="6662" width="9.28515625" style="73" customWidth="1"/>
    <col min="6663" max="6670" width="0" style="73" hidden="1" customWidth="1"/>
    <col min="6671" max="6676" width="6.7109375" style="73" customWidth="1"/>
    <col min="6677" max="6677" width="7.7109375" style="73" customWidth="1"/>
    <col min="6678" max="6916" width="6.7109375" style="73"/>
    <col min="6917" max="6917" width="5.28515625" style="73" customWidth="1"/>
    <col min="6918" max="6918" width="9.28515625" style="73" customWidth="1"/>
    <col min="6919" max="6926" width="0" style="73" hidden="1" customWidth="1"/>
    <col min="6927" max="6932" width="6.7109375" style="73" customWidth="1"/>
    <col min="6933" max="6933" width="7.7109375" style="73" customWidth="1"/>
    <col min="6934" max="7172" width="6.7109375" style="73"/>
    <col min="7173" max="7173" width="5.28515625" style="73" customWidth="1"/>
    <col min="7174" max="7174" width="9.28515625" style="73" customWidth="1"/>
    <col min="7175" max="7182" width="0" style="73" hidden="1" customWidth="1"/>
    <col min="7183" max="7188" width="6.7109375" style="73" customWidth="1"/>
    <col min="7189" max="7189" width="7.7109375" style="73" customWidth="1"/>
    <col min="7190" max="7428" width="6.7109375" style="73"/>
    <col min="7429" max="7429" width="5.28515625" style="73" customWidth="1"/>
    <col min="7430" max="7430" width="9.28515625" style="73" customWidth="1"/>
    <col min="7431" max="7438" width="0" style="73" hidden="1" customWidth="1"/>
    <col min="7439" max="7444" width="6.7109375" style="73" customWidth="1"/>
    <col min="7445" max="7445" width="7.7109375" style="73" customWidth="1"/>
    <col min="7446" max="7684" width="6.7109375" style="73"/>
    <col min="7685" max="7685" width="5.28515625" style="73" customWidth="1"/>
    <col min="7686" max="7686" width="9.28515625" style="73" customWidth="1"/>
    <col min="7687" max="7694" width="0" style="73" hidden="1" customWidth="1"/>
    <col min="7695" max="7700" width="6.7109375" style="73" customWidth="1"/>
    <col min="7701" max="7701" width="7.7109375" style="73" customWidth="1"/>
    <col min="7702" max="7940" width="6.7109375" style="73"/>
    <col min="7941" max="7941" width="5.28515625" style="73" customWidth="1"/>
    <col min="7942" max="7942" width="9.28515625" style="73" customWidth="1"/>
    <col min="7943" max="7950" width="0" style="73" hidden="1" customWidth="1"/>
    <col min="7951" max="7956" width="6.7109375" style="73" customWidth="1"/>
    <col min="7957" max="7957" width="7.7109375" style="73" customWidth="1"/>
    <col min="7958" max="8196" width="6.7109375" style="73"/>
    <col min="8197" max="8197" width="5.28515625" style="73" customWidth="1"/>
    <col min="8198" max="8198" width="9.28515625" style="73" customWidth="1"/>
    <col min="8199" max="8206" width="0" style="73" hidden="1" customWidth="1"/>
    <col min="8207" max="8212" width="6.7109375" style="73" customWidth="1"/>
    <col min="8213" max="8213" width="7.7109375" style="73" customWidth="1"/>
    <col min="8214" max="8452" width="6.7109375" style="73"/>
    <col min="8453" max="8453" width="5.28515625" style="73" customWidth="1"/>
    <col min="8454" max="8454" width="9.28515625" style="73" customWidth="1"/>
    <col min="8455" max="8462" width="0" style="73" hidden="1" customWidth="1"/>
    <col min="8463" max="8468" width="6.7109375" style="73" customWidth="1"/>
    <col min="8469" max="8469" width="7.7109375" style="73" customWidth="1"/>
    <col min="8470" max="8708" width="6.7109375" style="73"/>
    <col min="8709" max="8709" width="5.28515625" style="73" customWidth="1"/>
    <col min="8710" max="8710" width="9.28515625" style="73" customWidth="1"/>
    <col min="8711" max="8718" width="0" style="73" hidden="1" customWidth="1"/>
    <col min="8719" max="8724" width="6.7109375" style="73" customWidth="1"/>
    <col min="8725" max="8725" width="7.7109375" style="73" customWidth="1"/>
    <col min="8726" max="8964" width="6.7109375" style="73"/>
    <col min="8965" max="8965" width="5.28515625" style="73" customWidth="1"/>
    <col min="8966" max="8966" width="9.28515625" style="73" customWidth="1"/>
    <col min="8967" max="8974" width="0" style="73" hidden="1" customWidth="1"/>
    <col min="8975" max="8980" width="6.7109375" style="73" customWidth="1"/>
    <col min="8981" max="8981" width="7.7109375" style="73" customWidth="1"/>
    <col min="8982" max="9220" width="6.7109375" style="73"/>
    <col min="9221" max="9221" width="5.28515625" style="73" customWidth="1"/>
    <col min="9222" max="9222" width="9.28515625" style="73" customWidth="1"/>
    <col min="9223" max="9230" width="0" style="73" hidden="1" customWidth="1"/>
    <col min="9231" max="9236" width="6.7109375" style="73" customWidth="1"/>
    <col min="9237" max="9237" width="7.7109375" style="73" customWidth="1"/>
    <col min="9238" max="9476" width="6.7109375" style="73"/>
    <col min="9477" max="9477" width="5.28515625" style="73" customWidth="1"/>
    <col min="9478" max="9478" width="9.28515625" style="73" customWidth="1"/>
    <col min="9479" max="9486" width="0" style="73" hidden="1" customWidth="1"/>
    <col min="9487" max="9492" width="6.7109375" style="73" customWidth="1"/>
    <col min="9493" max="9493" width="7.7109375" style="73" customWidth="1"/>
    <col min="9494" max="9732" width="6.7109375" style="73"/>
    <col min="9733" max="9733" width="5.28515625" style="73" customWidth="1"/>
    <col min="9734" max="9734" width="9.28515625" style="73" customWidth="1"/>
    <col min="9735" max="9742" width="0" style="73" hidden="1" customWidth="1"/>
    <col min="9743" max="9748" width="6.7109375" style="73" customWidth="1"/>
    <col min="9749" max="9749" width="7.7109375" style="73" customWidth="1"/>
    <col min="9750" max="9988" width="6.7109375" style="73"/>
    <col min="9989" max="9989" width="5.28515625" style="73" customWidth="1"/>
    <col min="9990" max="9990" width="9.28515625" style="73" customWidth="1"/>
    <col min="9991" max="9998" width="0" style="73" hidden="1" customWidth="1"/>
    <col min="9999" max="10004" width="6.7109375" style="73" customWidth="1"/>
    <col min="10005" max="10005" width="7.7109375" style="73" customWidth="1"/>
    <col min="10006" max="10244" width="6.7109375" style="73"/>
    <col min="10245" max="10245" width="5.28515625" style="73" customWidth="1"/>
    <col min="10246" max="10246" width="9.28515625" style="73" customWidth="1"/>
    <col min="10247" max="10254" width="0" style="73" hidden="1" customWidth="1"/>
    <col min="10255" max="10260" width="6.7109375" style="73" customWidth="1"/>
    <col min="10261" max="10261" width="7.7109375" style="73" customWidth="1"/>
    <col min="10262" max="10500" width="6.7109375" style="73"/>
    <col min="10501" max="10501" width="5.28515625" style="73" customWidth="1"/>
    <col min="10502" max="10502" width="9.28515625" style="73" customWidth="1"/>
    <col min="10503" max="10510" width="0" style="73" hidden="1" customWidth="1"/>
    <col min="10511" max="10516" width="6.7109375" style="73" customWidth="1"/>
    <col min="10517" max="10517" width="7.7109375" style="73" customWidth="1"/>
    <col min="10518" max="10756" width="6.7109375" style="73"/>
    <col min="10757" max="10757" width="5.28515625" style="73" customWidth="1"/>
    <col min="10758" max="10758" width="9.28515625" style="73" customWidth="1"/>
    <col min="10759" max="10766" width="0" style="73" hidden="1" customWidth="1"/>
    <col min="10767" max="10772" width="6.7109375" style="73" customWidth="1"/>
    <col min="10773" max="10773" width="7.7109375" style="73" customWidth="1"/>
    <col min="10774" max="11012" width="6.7109375" style="73"/>
    <col min="11013" max="11013" width="5.28515625" style="73" customWidth="1"/>
    <col min="11014" max="11014" width="9.28515625" style="73" customWidth="1"/>
    <col min="11015" max="11022" width="0" style="73" hidden="1" customWidth="1"/>
    <col min="11023" max="11028" width="6.7109375" style="73" customWidth="1"/>
    <col min="11029" max="11029" width="7.7109375" style="73" customWidth="1"/>
    <col min="11030" max="11268" width="6.7109375" style="73"/>
    <col min="11269" max="11269" width="5.28515625" style="73" customWidth="1"/>
    <col min="11270" max="11270" width="9.28515625" style="73" customWidth="1"/>
    <col min="11271" max="11278" width="0" style="73" hidden="1" customWidth="1"/>
    <col min="11279" max="11284" width="6.7109375" style="73" customWidth="1"/>
    <col min="11285" max="11285" width="7.7109375" style="73" customWidth="1"/>
    <col min="11286" max="11524" width="6.7109375" style="73"/>
    <col min="11525" max="11525" width="5.28515625" style="73" customWidth="1"/>
    <col min="11526" max="11526" width="9.28515625" style="73" customWidth="1"/>
    <col min="11527" max="11534" width="0" style="73" hidden="1" customWidth="1"/>
    <col min="11535" max="11540" width="6.7109375" style="73" customWidth="1"/>
    <col min="11541" max="11541" width="7.7109375" style="73" customWidth="1"/>
    <col min="11542" max="11780" width="6.7109375" style="73"/>
    <col min="11781" max="11781" width="5.28515625" style="73" customWidth="1"/>
    <col min="11782" max="11782" width="9.28515625" style="73" customWidth="1"/>
    <col min="11783" max="11790" width="0" style="73" hidden="1" customWidth="1"/>
    <col min="11791" max="11796" width="6.7109375" style="73" customWidth="1"/>
    <col min="11797" max="11797" width="7.7109375" style="73" customWidth="1"/>
    <col min="11798" max="12036" width="6.7109375" style="73"/>
    <col min="12037" max="12037" width="5.28515625" style="73" customWidth="1"/>
    <col min="12038" max="12038" width="9.28515625" style="73" customWidth="1"/>
    <col min="12039" max="12046" width="0" style="73" hidden="1" customWidth="1"/>
    <col min="12047" max="12052" width="6.7109375" style="73" customWidth="1"/>
    <col min="12053" max="12053" width="7.7109375" style="73" customWidth="1"/>
    <col min="12054" max="12292" width="6.7109375" style="73"/>
    <col min="12293" max="12293" width="5.28515625" style="73" customWidth="1"/>
    <col min="12294" max="12294" width="9.28515625" style="73" customWidth="1"/>
    <col min="12295" max="12302" width="0" style="73" hidden="1" customWidth="1"/>
    <col min="12303" max="12308" width="6.7109375" style="73" customWidth="1"/>
    <col min="12309" max="12309" width="7.7109375" style="73" customWidth="1"/>
    <col min="12310" max="12548" width="6.7109375" style="73"/>
    <col min="12549" max="12549" width="5.28515625" style="73" customWidth="1"/>
    <col min="12550" max="12550" width="9.28515625" style="73" customWidth="1"/>
    <col min="12551" max="12558" width="0" style="73" hidden="1" customWidth="1"/>
    <col min="12559" max="12564" width="6.7109375" style="73" customWidth="1"/>
    <col min="12565" max="12565" width="7.7109375" style="73" customWidth="1"/>
    <col min="12566" max="12804" width="6.7109375" style="73"/>
    <col min="12805" max="12805" width="5.28515625" style="73" customWidth="1"/>
    <col min="12806" max="12806" width="9.28515625" style="73" customWidth="1"/>
    <col min="12807" max="12814" width="0" style="73" hidden="1" customWidth="1"/>
    <col min="12815" max="12820" width="6.7109375" style="73" customWidth="1"/>
    <col min="12821" max="12821" width="7.7109375" style="73" customWidth="1"/>
    <col min="12822" max="13060" width="6.7109375" style="73"/>
    <col min="13061" max="13061" width="5.28515625" style="73" customWidth="1"/>
    <col min="13062" max="13062" width="9.28515625" style="73" customWidth="1"/>
    <col min="13063" max="13070" width="0" style="73" hidden="1" customWidth="1"/>
    <col min="13071" max="13076" width="6.7109375" style="73" customWidth="1"/>
    <col min="13077" max="13077" width="7.7109375" style="73" customWidth="1"/>
    <col min="13078" max="13316" width="6.7109375" style="73"/>
    <col min="13317" max="13317" width="5.28515625" style="73" customWidth="1"/>
    <col min="13318" max="13318" width="9.28515625" style="73" customWidth="1"/>
    <col min="13319" max="13326" width="0" style="73" hidden="1" customWidth="1"/>
    <col min="13327" max="13332" width="6.7109375" style="73" customWidth="1"/>
    <col min="13333" max="13333" width="7.7109375" style="73" customWidth="1"/>
    <col min="13334" max="13572" width="6.7109375" style="73"/>
    <col min="13573" max="13573" width="5.28515625" style="73" customWidth="1"/>
    <col min="13574" max="13574" width="9.28515625" style="73" customWidth="1"/>
    <col min="13575" max="13582" width="0" style="73" hidden="1" customWidth="1"/>
    <col min="13583" max="13588" width="6.7109375" style="73" customWidth="1"/>
    <col min="13589" max="13589" width="7.7109375" style="73" customWidth="1"/>
    <col min="13590" max="13828" width="6.7109375" style="73"/>
    <col min="13829" max="13829" width="5.28515625" style="73" customWidth="1"/>
    <col min="13830" max="13830" width="9.28515625" style="73" customWidth="1"/>
    <col min="13831" max="13838" width="0" style="73" hidden="1" customWidth="1"/>
    <col min="13839" max="13844" width="6.7109375" style="73" customWidth="1"/>
    <col min="13845" max="13845" width="7.7109375" style="73" customWidth="1"/>
    <col min="13846" max="14084" width="6.7109375" style="73"/>
    <col min="14085" max="14085" width="5.28515625" style="73" customWidth="1"/>
    <col min="14086" max="14086" width="9.28515625" style="73" customWidth="1"/>
    <col min="14087" max="14094" width="0" style="73" hidden="1" customWidth="1"/>
    <col min="14095" max="14100" width="6.7109375" style="73" customWidth="1"/>
    <col min="14101" max="14101" width="7.7109375" style="73" customWidth="1"/>
    <col min="14102" max="14340" width="6.7109375" style="73"/>
    <col min="14341" max="14341" width="5.28515625" style="73" customWidth="1"/>
    <col min="14342" max="14342" width="9.28515625" style="73" customWidth="1"/>
    <col min="14343" max="14350" width="0" style="73" hidden="1" customWidth="1"/>
    <col min="14351" max="14356" width="6.7109375" style="73" customWidth="1"/>
    <col min="14357" max="14357" width="7.7109375" style="73" customWidth="1"/>
    <col min="14358" max="14596" width="6.7109375" style="73"/>
    <col min="14597" max="14597" width="5.28515625" style="73" customWidth="1"/>
    <col min="14598" max="14598" width="9.28515625" style="73" customWidth="1"/>
    <col min="14599" max="14606" width="0" style="73" hidden="1" customWidth="1"/>
    <col min="14607" max="14612" width="6.7109375" style="73" customWidth="1"/>
    <col min="14613" max="14613" width="7.7109375" style="73" customWidth="1"/>
    <col min="14614" max="14852" width="6.7109375" style="73"/>
    <col min="14853" max="14853" width="5.28515625" style="73" customWidth="1"/>
    <col min="14854" max="14854" width="9.28515625" style="73" customWidth="1"/>
    <col min="14855" max="14862" width="0" style="73" hidden="1" customWidth="1"/>
    <col min="14863" max="14868" width="6.7109375" style="73" customWidth="1"/>
    <col min="14869" max="14869" width="7.7109375" style="73" customWidth="1"/>
    <col min="14870" max="15108" width="6.7109375" style="73"/>
    <col min="15109" max="15109" width="5.28515625" style="73" customWidth="1"/>
    <col min="15110" max="15110" width="9.28515625" style="73" customWidth="1"/>
    <col min="15111" max="15118" width="0" style="73" hidden="1" customWidth="1"/>
    <col min="15119" max="15124" width="6.7109375" style="73" customWidth="1"/>
    <col min="15125" max="15125" width="7.7109375" style="73" customWidth="1"/>
    <col min="15126" max="15364" width="6.7109375" style="73"/>
    <col min="15365" max="15365" width="5.28515625" style="73" customWidth="1"/>
    <col min="15366" max="15366" width="9.28515625" style="73" customWidth="1"/>
    <col min="15367" max="15374" width="0" style="73" hidden="1" customWidth="1"/>
    <col min="15375" max="15380" width="6.7109375" style="73" customWidth="1"/>
    <col min="15381" max="15381" width="7.7109375" style="73" customWidth="1"/>
    <col min="15382" max="15620" width="6.7109375" style="73"/>
    <col min="15621" max="15621" width="5.28515625" style="73" customWidth="1"/>
    <col min="15622" max="15622" width="9.28515625" style="73" customWidth="1"/>
    <col min="15623" max="15630" width="0" style="73" hidden="1" customWidth="1"/>
    <col min="15631" max="15636" width="6.7109375" style="73" customWidth="1"/>
    <col min="15637" max="15637" width="7.7109375" style="73" customWidth="1"/>
    <col min="15638" max="15876" width="6.7109375" style="73"/>
    <col min="15877" max="15877" width="5.28515625" style="73" customWidth="1"/>
    <col min="15878" max="15878" width="9.28515625" style="73" customWidth="1"/>
    <col min="15879" max="15886" width="0" style="73" hidden="1" customWidth="1"/>
    <col min="15887" max="15892" width="6.7109375" style="73" customWidth="1"/>
    <col min="15893" max="15893" width="7.7109375" style="73" customWidth="1"/>
    <col min="15894" max="16132" width="6.7109375" style="73"/>
    <col min="16133" max="16133" width="5.28515625" style="73" customWidth="1"/>
    <col min="16134" max="16134" width="9.28515625" style="73" customWidth="1"/>
    <col min="16135" max="16142" width="0" style="73" hidden="1" customWidth="1"/>
    <col min="16143" max="16148" width="6.7109375" style="73" customWidth="1"/>
    <col min="16149" max="16149" width="7.7109375" style="73" customWidth="1"/>
    <col min="16150" max="16384" width="6.7109375" style="73"/>
  </cols>
  <sheetData>
    <row r="1" spans="1:20" ht="12.75" customHeight="1" x14ac:dyDescent="0.25">
      <c r="A1" s="534" t="s">
        <v>405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</row>
    <row r="2" spans="1:20" ht="12.75" customHeight="1" x14ac:dyDescent="0.25">
      <c r="A2" s="535" t="s">
        <v>159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</row>
    <row r="3" spans="1:20" ht="12.75" customHeight="1" x14ac:dyDescent="0.25">
      <c r="A3" s="136"/>
      <c r="B3" s="136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37.5" customHeight="1" x14ac:dyDescent="0.25">
      <c r="A4" s="524" t="s">
        <v>203</v>
      </c>
      <c r="B4" s="522"/>
      <c r="C4" s="347" t="s">
        <v>169</v>
      </c>
      <c r="D4" s="347"/>
      <c r="E4" s="347"/>
      <c r="F4" s="347"/>
      <c r="G4" s="347"/>
      <c r="H4" s="313" t="s">
        <v>199</v>
      </c>
      <c r="I4" s="313" t="s">
        <v>198</v>
      </c>
      <c r="J4" s="219">
        <v>2010</v>
      </c>
      <c r="K4" s="313">
        <v>2012</v>
      </c>
      <c r="L4" s="320">
        <v>2013</v>
      </c>
      <c r="M4" s="320">
        <v>2014</v>
      </c>
      <c r="N4" s="320">
        <v>2015</v>
      </c>
      <c r="O4" s="320">
        <v>2016</v>
      </c>
      <c r="P4" s="320">
        <v>2017</v>
      </c>
      <c r="Q4" s="320">
        <v>2018</v>
      </c>
      <c r="R4" s="320">
        <v>2019</v>
      </c>
      <c r="S4" s="320">
        <v>2020</v>
      </c>
      <c r="T4" s="320">
        <v>2021</v>
      </c>
    </row>
    <row r="5" spans="1:20" s="76" customFormat="1" ht="3" customHeight="1" x14ac:dyDescent="0.25">
      <c r="A5" s="332"/>
      <c r="B5" s="333"/>
      <c r="C5" s="348"/>
      <c r="D5" s="348"/>
      <c r="E5" s="348"/>
      <c r="F5" s="348"/>
      <c r="G5" s="349"/>
      <c r="H5" s="349"/>
      <c r="I5" s="349"/>
      <c r="J5" s="349"/>
      <c r="K5" s="350"/>
      <c r="L5" s="350"/>
      <c r="M5" s="334"/>
      <c r="N5" s="334"/>
      <c r="O5" s="334"/>
      <c r="P5" s="334"/>
      <c r="Q5" s="334"/>
      <c r="R5" s="334"/>
      <c r="S5" s="334"/>
      <c r="T5" s="334"/>
    </row>
    <row r="6" spans="1:20" ht="15.95" customHeight="1" x14ac:dyDescent="0.3">
      <c r="A6" s="532" t="s">
        <v>157</v>
      </c>
      <c r="B6" s="533"/>
      <c r="C6" s="323">
        <v>3423327</v>
      </c>
      <c r="D6" s="323">
        <v>3431519</v>
      </c>
      <c r="E6" s="323">
        <v>3597554.8204999999</v>
      </c>
      <c r="F6" s="323">
        <v>3625627</v>
      </c>
      <c r="G6" s="323">
        <v>3687340</v>
      </c>
      <c r="H6" s="323">
        <v>3780806</v>
      </c>
      <c r="I6" s="323">
        <v>4105581.8204999999</v>
      </c>
      <c r="J6" s="323">
        <v>4177498.6490714285</v>
      </c>
      <c r="K6" s="323">
        <v>3924230</v>
      </c>
      <c r="L6" s="323">
        <v>3978290</v>
      </c>
      <c r="M6" s="323">
        <v>4095554.875</v>
      </c>
      <c r="N6" s="323">
        <v>4318457.1093643317</v>
      </c>
      <c r="O6" s="323">
        <v>4319227.75</v>
      </c>
      <c r="P6" s="323">
        <v>4330710</v>
      </c>
      <c r="Q6" s="323">
        <v>4384846</v>
      </c>
      <c r="R6" s="323">
        <f t="shared" ref="R6" si="0">SUM(R7:R22)</f>
        <v>4456049</v>
      </c>
      <c r="S6" s="323">
        <f>SUM(S7:S22)</f>
        <v>4450422</v>
      </c>
      <c r="T6" s="323">
        <f>SUM(T7:T22)</f>
        <v>4485497</v>
      </c>
    </row>
    <row r="7" spans="1:20" ht="15.95" customHeight="1" x14ac:dyDescent="0.25">
      <c r="A7" s="326" t="s">
        <v>209</v>
      </c>
      <c r="B7" s="316" t="s">
        <v>124</v>
      </c>
      <c r="C7" s="351"/>
      <c r="D7" s="351"/>
      <c r="E7" s="351"/>
      <c r="F7" s="351"/>
      <c r="G7" s="351"/>
      <c r="H7" s="351"/>
      <c r="I7" s="351"/>
      <c r="J7" s="351"/>
      <c r="K7" s="352" t="s">
        <v>1</v>
      </c>
      <c r="L7" s="352" t="s">
        <v>1</v>
      </c>
      <c r="M7" s="352" t="s">
        <v>1</v>
      </c>
      <c r="N7" s="325">
        <v>135.10936433200001</v>
      </c>
      <c r="O7" s="325">
        <v>82</v>
      </c>
      <c r="P7" s="325">
        <v>79</v>
      </c>
      <c r="Q7" s="325">
        <v>97</v>
      </c>
      <c r="R7" s="325">
        <v>100</v>
      </c>
      <c r="S7" s="325">
        <v>92</v>
      </c>
      <c r="T7" s="325">
        <v>98</v>
      </c>
    </row>
    <row r="8" spans="1:20" ht="15.95" customHeight="1" x14ac:dyDescent="0.25">
      <c r="A8" s="326" t="s">
        <v>194</v>
      </c>
      <c r="B8" s="316" t="s">
        <v>131</v>
      </c>
      <c r="C8" s="325">
        <v>6397</v>
      </c>
      <c r="D8" s="325">
        <v>6918</v>
      </c>
      <c r="E8" s="325">
        <v>7504.8204999999998</v>
      </c>
      <c r="F8" s="325">
        <v>7529</v>
      </c>
      <c r="G8" s="325">
        <v>7913</v>
      </c>
      <c r="H8" s="325">
        <v>7815</v>
      </c>
      <c r="I8" s="325">
        <v>7739.8204999999998</v>
      </c>
      <c r="J8" s="325">
        <v>7623.8204999999998</v>
      </c>
      <c r="K8" s="325">
        <v>7767</v>
      </c>
      <c r="L8" s="325">
        <v>7878</v>
      </c>
      <c r="M8" s="325">
        <v>7902</v>
      </c>
      <c r="N8" s="325">
        <v>7998</v>
      </c>
      <c r="O8" s="325">
        <v>7999</v>
      </c>
      <c r="P8" s="325">
        <v>7851</v>
      </c>
      <c r="Q8" s="325">
        <v>7562</v>
      </c>
      <c r="R8" s="325">
        <v>7710</v>
      </c>
      <c r="S8" s="325">
        <v>7650</v>
      </c>
      <c r="T8" s="325">
        <v>7740</v>
      </c>
    </row>
    <row r="9" spans="1:20" ht="15.95" customHeight="1" x14ac:dyDescent="0.25">
      <c r="A9" s="326" t="s">
        <v>193</v>
      </c>
      <c r="B9" s="316" t="s">
        <v>141</v>
      </c>
      <c r="C9" s="325">
        <v>12211</v>
      </c>
      <c r="D9" s="325">
        <v>12203</v>
      </c>
      <c r="E9" s="325">
        <v>12142</v>
      </c>
      <c r="F9" s="325">
        <v>11815</v>
      </c>
      <c r="G9" s="325">
        <v>12085</v>
      </c>
      <c r="H9" s="325">
        <v>12071</v>
      </c>
      <c r="I9" s="325">
        <v>11547</v>
      </c>
      <c r="J9" s="325">
        <v>11932</v>
      </c>
      <c r="K9" s="325">
        <v>10120</v>
      </c>
      <c r="L9" s="325">
        <v>8310</v>
      </c>
      <c r="M9" s="325">
        <v>10356</v>
      </c>
      <c r="N9" s="325">
        <v>9715</v>
      </c>
      <c r="O9" s="325">
        <v>10200.75</v>
      </c>
      <c r="P9" s="325">
        <v>10320</v>
      </c>
      <c r="Q9" s="325">
        <v>10080</v>
      </c>
      <c r="R9" s="325">
        <v>10200</v>
      </c>
      <c r="S9" s="325">
        <v>11654</v>
      </c>
      <c r="T9" s="325">
        <v>10940</v>
      </c>
    </row>
    <row r="10" spans="1:20" ht="15.95" customHeight="1" x14ac:dyDescent="0.25">
      <c r="A10" s="326" t="s">
        <v>192</v>
      </c>
      <c r="B10" s="316" t="s">
        <v>129</v>
      </c>
      <c r="C10" s="325">
        <v>35464</v>
      </c>
      <c r="D10" s="325">
        <v>32504</v>
      </c>
      <c r="E10" s="325">
        <v>34173</v>
      </c>
      <c r="F10" s="325">
        <v>31300</v>
      </c>
      <c r="G10" s="325">
        <v>33948</v>
      </c>
      <c r="H10" s="325">
        <v>33888</v>
      </c>
      <c r="I10" s="325">
        <v>32560</v>
      </c>
      <c r="J10" s="325">
        <v>33173.800000000003</v>
      </c>
      <c r="K10" s="325">
        <v>35259</v>
      </c>
      <c r="L10" s="325">
        <v>36140</v>
      </c>
      <c r="M10" s="325">
        <v>37043.5</v>
      </c>
      <c r="N10" s="325">
        <v>39756</v>
      </c>
      <c r="O10" s="325">
        <v>40511</v>
      </c>
      <c r="P10" s="325">
        <v>46625</v>
      </c>
      <c r="Q10" s="325">
        <v>46870</v>
      </c>
      <c r="R10" s="325">
        <v>46747.5</v>
      </c>
      <c r="S10" s="325">
        <v>46625</v>
      </c>
      <c r="T10" s="325">
        <v>46625</v>
      </c>
    </row>
    <row r="11" spans="1:20" ht="15.95" customHeight="1" x14ac:dyDescent="0.25">
      <c r="A11" s="326" t="s">
        <v>190</v>
      </c>
      <c r="B11" s="316" t="s">
        <v>139</v>
      </c>
      <c r="C11" s="325">
        <v>356650</v>
      </c>
      <c r="D11" s="325">
        <v>343520</v>
      </c>
      <c r="E11" s="325">
        <v>346625</v>
      </c>
      <c r="F11" s="325">
        <v>357461</v>
      </c>
      <c r="G11" s="325">
        <v>356776</v>
      </c>
      <c r="H11" s="325">
        <v>357866</v>
      </c>
      <c r="I11" s="325">
        <v>491768</v>
      </c>
      <c r="J11" s="325">
        <v>486110</v>
      </c>
      <c r="K11" s="325">
        <v>500211</v>
      </c>
      <c r="L11" s="325">
        <v>466010</v>
      </c>
      <c r="M11" s="325">
        <v>465020</v>
      </c>
      <c r="N11" s="325">
        <v>442336</v>
      </c>
      <c r="O11" s="325">
        <v>430271</v>
      </c>
      <c r="P11" s="325">
        <v>421292</v>
      </c>
      <c r="Q11" s="325">
        <v>422680</v>
      </c>
      <c r="R11" s="325">
        <v>430134</v>
      </c>
      <c r="S11" s="325">
        <v>430134</v>
      </c>
      <c r="T11" s="325">
        <v>471546</v>
      </c>
    </row>
    <row r="12" spans="1:20" ht="15.95" customHeight="1" x14ac:dyDescent="0.25">
      <c r="A12" s="326" t="s">
        <v>189</v>
      </c>
      <c r="B12" s="316" t="s">
        <v>126</v>
      </c>
      <c r="C12" s="325">
        <v>75000</v>
      </c>
      <c r="D12" s="325">
        <v>76100</v>
      </c>
      <c r="E12" s="325">
        <v>75189</v>
      </c>
      <c r="F12" s="325">
        <v>83042</v>
      </c>
      <c r="G12" s="325">
        <v>97966</v>
      </c>
      <c r="H12" s="325">
        <v>88220</v>
      </c>
      <c r="I12" s="325">
        <v>89200</v>
      </c>
      <c r="J12" s="325">
        <v>88723.4</v>
      </c>
      <c r="K12" s="325">
        <v>91335</v>
      </c>
      <c r="L12" s="325">
        <v>92410</v>
      </c>
      <c r="M12" s="325">
        <v>94720.25</v>
      </c>
      <c r="N12" s="325">
        <v>140718</v>
      </c>
      <c r="O12" s="325">
        <v>147753.9</v>
      </c>
      <c r="P12" s="325">
        <v>145310</v>
      </c>
      <c r="Q12" s="325">
        <v>144630</v>
      </c>
      <c r="R12" s="325">
        <v>144970</v>
      </c>
      <c r="S12" s="325">
        <v>143658</v>
      </c>
      <c r="T12" s="325">
        <v>144322</v>
      </c>
    </row>
    <row r="13" spans="1:20" ht="15.95" customHeight="1" x14ac:dyDescent="0.25">
      <c r="A13" s="326" t="s">
        <v>188</v>
      </c>
      <c r="B13" s="316" t="s">
        <v>121</v>
      </c>
      <c r="C13" s="325">
        <v>35600</v>
      </c>
      <c r="D13" s="325">
        <v>38680</v>
      </c>
      <c r="E13" s="325">
        <v>40000</v>
      </c>
      <c r="F13" s="325">
        <v>40830</v>
      </c>
      <c r="G13" s="325">
        <v>39670</v>
      </c>
      <c r="H13" s="325">
        <v>40736</v>
      </c>
      <c r="I13" s="325">
        <v>44282</v>
      </c>
      <c r="J13" s="325">
        <v>54328</v>
      </c>
      <c r="K13" s="325">
        <v>51010</v>
      </c>
      <c r="L13" s="325">
        <v>50490</v>
      </c>
      <c r="M13" s="325">
        <v>51752.25</v>
      </c>
      <c r="N13" s="325">
        <v>74512</v>
      </c>
      <c r="O13" s="325">
        <v>78237.600000000006</v>
      </c>
      <c r="P13" s="325">
        <v>78245</v>
      </c>
      <c r="Q13" s="325">
        <v>75869</v>
      </c>
      <c r="R13" s="325">
        <v>77057</v>
      </c>
      <c r="S13" s="325">
        <v>76980</v>
      </c>
      <c r="T13" s="325">
        <v>77128</v>
      </c>
    </row>
    <row r="14" spans="1:20" ht="15.95" customHeight="1" x14ac:dyDescent="0.25">
      <c r="A14" s="326" t="s">
        <v>187</v>
      </c>
      <c r="B14" s="316" t="s">
        <v>137</v>
      </c>
      <c r="C14" s="325">
        <v>1260</v>
      </c>
      <c r="D14" s="325">
        <v>1270</v>
      </c>
      <c r="E14" s="325">
        <v>1333</v>
      </c>
      <c r="F14" s="325">
        <v>1285</v>
      </c>
      <c r="G14" s="325">
        <v>1380</v>
      </c>
      <c r="H14" s="325">
        <v>1200</v>
      </c>
      <c r="I14" s="325">
        <v>1280</v>
      </c>
      <c r="J14" s="325">
        <v>1295.5999999999999</v>
      </c>
      <c r="K14" s="325">
        <v>1120</v>
      </c>
      <c r="L14" s="325">
        <v>1210</v>
      </c>
      <c r="M14" s="325">
        <v>1165</v>
      </c>
      <c r="N14" s="325">
        <v>1190</v>
      </c>
      <c r="O14" s="325">
        <v>1150</v>
      </c>
      <c r="P14" s="325">
        <v>1180</v>
      </c>
      <c r="Q14" s="325">
        <v>1173</v>
      </c>
      <c r="R14" s="325">
        <v>1190</v>
      </c>
      <c r="S14" s="325">
        <v>1181</v>
      </c>
      <c r="T14" s="325">
        <v>1196</v>
      </c>
    </row>
    <row r="15" spans="1:20" s="69" customFormat="1" ht="15.95" customHeight="1" x14ac:dyDescent="0.25">
      <c r="A15" s="326" t="s">
        <v>184</v>
      </c>
      <c r="B15" s="316" t="s">
        <v>134</v>
      </c>
      <c r="C15" s="353">
        <v>2630</v>
      </c>
      <c r="D15" s="353">
        <v>2600</v>
      </c>
      <c r="E15" s="353">
        <v>2637</v>
      </c>
      <c r="F15" s="353">
        <v>2583</v>
      </c>
      <c r="G15" s="353">
        <v>4386</v>
      </c>
      <c r="H15" s="353">
        <v>4343</v>
      </c>
      <c r="I15" s="353">
        <v>4200</v>
      </c>
      <c r="J15" s="353">
        <v>3629.8</v>
      </c>
      <c r="K15" s="353">
        <v>4151</v>
      </c>
      <c r="L15" s="353">
        <v>5072</v>
      </c>
      <c r="M15" s="353">
        <v>5173</v>
      </c>
      <c r="N15" s="353">
        <v>5915</v>
      </c>
      <c r="O15" s="353">
        <v>6967</v>
      </c>
      <c r="P15" s="353">
        <v>6850</v>
      </c>
      <c r="Q15" s="325">
        <v>6670</v>
      </c>
      <c r="R15" s="325">
        <v>6760</v>
      </c>
      <c r="S15" s="325">
        <v>6648</v>
      </c>
      <c r="T15" s="325">
        <v>6701</v>
      </c>
    </row>
    <row r="16" spans="1:20" ht="15.95" customHeight="1" x14ac:dyDescent="0.25">
      <c r="A16" s="326" t="s">
        <v>183</v>
      </c>
      <c r="B16" s="316" t="s">
        <v>125</v>
      </c>
      <c r="C16" s="325">
        <v>29332</v>
      </c>
      <c r="D16" s="325">
        <v>30555</v>
      </c>
      <c r="E16" s="325">
        <v>31823</v>
      </c>
      <c r="F16" s="325">
        <v>32205</v>
      </c>
      <c r="G16" s="325">
        <v>35557</v>
      </c>
      <c r="H16" s="325">
        <v>44657</v>
      </c>
      <c r="I16" s="325">
        <v>48902</v>
      </c>
      <c r="J16" s="325">
        <v>66112</v>
      </c>
      <c r="K16" s="325">
        <v>89091</v>
      </c>
      <c r="L16" s="325">
        <v>97491</v>
      </c>
      <c r="M16" s="325">
        <v>108023</v>
      </c>
      <c r="N16" s="325">
        <v>116664</v>
      </c>
      <c r="O16" s="325">
        <v>125956</v>
      </c>
      <c r="P16" s="325">
        <v>133225</v>
      </c>
      <c r="Q16" s="325">
        <v>128330</v>
      </c>
      <c r="R16" s="325">
        <v>130777.5</v>
      </c>
      <c r="S16" s="325">
        <v>131241</v>
      </c>
      <c r="T16" s="325">
        <v>131020</v>
      </c>
    </row>
    <row r="17" spans="1:22" ht="15.95" customHeight="1" x14ac:dyDescent="0.25">
      <c r="A17" s="326" t="s">
        <v>182</v>
      </c>
      <c r="B17" s="316" t="s">
        <v>181</v>
      </c>
      <c r="C17" s="325">
        <v>34680</v>
      </c>
      <c r="D17" s="325">
        <v>35440</v>
      </c>
      <c r="E17" s="325">
        <v>36687</v>
      </c>
      <c r="F17" s="325">
        <v>38717</v>
      </c>
      <c r="G17" s="325">
        <v>40707</v>
      </c>
      <c r="H17" s="325">
        <v>35115</v>
      </c>
      <c r="I17" s="325">
        <v>36000</v>
      </c>
      <c r="J17" s="325">
        <v>39445.228571428597</v>
      </c>
      <c r="K17" s="325">
        <v>84791</v>
      </c>
      <c r="L17" s="325">
        <v>88418</v>
      </c>
      <c r="M17" s="325">
        <v>90222</v>
      </c>
      <c r="N17" s="325">
        <v>81434</v>
      </c>
      <c r="O17" s="325">
        <v>82535</v>
      </c>
      <c r="P17" s="325">
        <v>91678</v>
      </c>
      <c r="Q17" s="325">
        <v>96543</v>
      </c>
      <c r="R17" s="325">
        <v>100532</v>
      </c>
      <c r="S17" s="325">
        <v>100923</v>
      </c>
      <c r="T17" s="325">
        <v>105903</v>
      </c>
    </row>
    <row r="18" spans="1:22" ht="15.95" customHeight="1" x14ac:dyDescent="0.25">
      <c r="A18" s="326" t="s">
        <v>180</v>
      </c>
      <c r="B18" s="316" t="s">
        <v>179</v>
      </c>
      <c r="C18" s="325">
        <v>205000</v>
      </c>
      <c r="D18" s="325">
        <v>217442</v>
      </c>
      <c r="E18" s="325">
        <v>223704</v>
      </c>
      <c r="F18" s="325">
        <v>224045</v>
      </c>
      <c r="G18" s="325">
        <v>224720</v>
      </c>
      <c r="H18" s="325">
        <v>220709</v>
      </c>
      <c r="I18" s="325">
        <v>246980</v>
      </c>
      <c r="J18" s="325">
        <v>243031.6</v>
      </c>
      <c r="K18" s="325">
        <v>225470</v>
      </c>
      <c r="L18" s="325">
        <v>269650</v>
      </c>
      <c r="M18" s="325">
        <v>258403</v>
      </c>
      <c r="N18" s="325">
        <v>264220</v>
      </c>
      <c r="O18" s="325">
        <v>273249</v>
      </c>
      <c r="P18" s="325">
        <v>252713</v>
      </c>
      <c r="Q18" s="325">
        <v>263410</v>
      </c>
      <c r="R18" s="325">
        <v>270053</v>
      </c>
      <c r="S18" s="325">
        <v>268457</v>
      </c>
      <c r="T18" s="325">
        <v>269324</v>
      </c>
    </row>
    <row r="19" spans="1:22" ht="15.95" customHeight="1" x14ac:dyDescent="0.25">
      <c r="A19" s="326" t="s">
        <v>178</v>
      </c>
      <c r="B19" s="316" t="s">
        <v>138</v>
      </c>
      <c r="C19" s="325">
        <v>196356</v>
      </c>
      <c r="D19" s="325">
        <v>192507</v>
      </c>
      <c r="E19" s="325">
        <v>193467</v>
      </c>
      <c r="F19" s="325">
        <v>156155</v>
      </c>
      <c r="G19" s="325">
        <v>166666</v>
      </c>
      <c r="H19" s="325">
        <v>191739</v>
      </c>
      <c r="I19" s="325">
        <v>203016</v>
      </c>
      <c r="J19" s="325">
        <v>194281</v>
      </c>
      <c r="K19" s="325">
        <v>203520</v>
      </c>
      <c r="L19" s="325">
        <v>209947</v>
      </c>
      <c r="M19" s="325">
        <v>261049</v>
      </c>
      <c r="N19" s="325">
        <v>267950</v>
      </c>
      <c r="O19" s="325">
        <v>255377</v>
      </c>
      <c r="P19" s="325">
        <v>209143</v>
      </c>
      <c r="Q19" s="325">
        <v>259727</v>
      </c>
      <c r="R19" s="325">
        <v>309833</v>
      </c>
      <c r="S19" s="325">
        <v>295233</v>
      </c>
      <c r="T19" s="325">
        <v>296478</v>
      </c>
    </row>
    <row r="20" spans="1:22" ht="15.95" customHeight="1" x14ac:dyDescent="0.25">
      <c r="A20" s="326" t="s">
        <v>177</v>
      </c>
      <c r="B20" s="316" t="s">
        <v>140</v>
      </c>
      <c r="C20" s="325">
        <v>150497</v>
      </c>
      <c r="D20" s="325">
        <v>157630</v>
      </c>
      <c r="E20" s="325">
        <v>152290</v>
      </c>
      <c r="F20" s="325">
        <v>188860</v>
      </c>
      <c r="G20" s="325">
        <v>184766</v>
      </c>
      <c r="H20" s="325">
        <v>191249</v>
      </c>
      <c r="I20" s="325">
        <v>193122</v>
      </c>
      <c r="J20" s="325">
        <v>191449.4</v>
      </c>
      <c r="K20" s="325">
        <v>203967</v>
      </c>
      <c r="L20" s="325">
        <v>212360</v>
      </c>
      <c r="M20" s="325">
        <v>207969</v>
      </c>
      <c r="N20" s="325">
        <v>215490</v>
      </c>
      <c r="O20" s="325">
        <v>216264.5</v>
      </c>
      <c r="P20" s="325">
        <v>215050</v>
      </c>
      <c r="Q20" s="325">
        <v>215600</v>
      </c>
      <c r="R20" s="325">
        <v>215340</v>
      </c>
      <c r="S20" s="325">
        <v>214727</v>
      </c>
      <c r="T20" s="325">
        <v>212220</v>
      </c>
    </row>
    <row r="21" spans="1:22" ht="15.95" customHeight="1" x14ac:dyDescent="0.25">
      <c r="A21" s="326" t="s">
        <v>176</v>
      </c>
      <c r="B21" s="316" t="s">
        <v>136</v>
      </c>
      <c r="C21" s="325">
        <v>450100</v>
      </c>
      <c r="D21" s="325">
        <v>452000</v>
      </c>
      <c r="E21" s="325">
        <v>453190</v>
      </c>
      <c r="F21" s="325">
        <v>450200</v>
      </c>
      <c r="G21" s="325">
        <v>454200</v>
      </c>
      <c r="H21" s="325">
        <v>485468</v>
      </c>
      <c r="I21" s="325">
        <v>553985</v>
      </c>
      <c r="J21" s="325">
        <v>584483</v>
      </c>
      <c r="K21" s="325">
        <v>608978</v>
      </c>
      <c r="L21" s="325">
        <v>552509</v>
      </c>
      <c r="M21" s="325">
        <v>569352</v>
      </c>
      <c r="N21" s="325">
        <v>577964</v>
      </c>
      <c r="O21" s="325">
        <v>610184</v>
      </c>
      <c r="P21" s="325">
        <v>674939</v>
      </c>
      <c r="Q21" s="325">
        <v>671585</v>
      </c>
      <c r="R21" s="325">
        <v>669365</v>
      </c>
      <c r="S21" s="325">
        <v>675889</v>
      </c>
      <c r="T21" s="325">
        <v>673731</v>
      </c>
    </row>
    <row r="22" spans="1:22" ht="15.95" customHeight="1" x14ac:dyDescent="0.25">
      <c r="A22" s="317" t="s">
        <v>175</v>
      </c>
      <c r="B22" s="318" t="s">
        <v>174</v>
      </c>
      <c r="C22" s="319">
        <v>1832150</v>
      </c>
      <c r="D22" s="319">
        <v>1832150</v>
      </c>
      <c r="E22" s="319">
        <v>1986790</v>
      </c>
      <c r="F22" s="319">
        <v>1999600</v>
      </c>
      <c r="G22" s="319">
        <v>2026600</v>
      </c>
      <c r="H22" s="319">
        <v>2065730</v>
      </c>
      <c r="I22" s="319">
        <v>2141000</v>
      </c>
      <c r="J22" s="319">
        <v>2171880</v>
      </c>
      <c r="K22" s="319">
        <v>1807440</v>
      </c>
      <c r="L22" s="319">
        <v>1880395</v>
      </c>
      <c r="M22" s="319">
        <v>1927404.875</v>
      </c>
      <c r="N22" s="319">
        <v>2072460</v>
      </c>
      <c r="O22" s="319">
        <v>2032490</v>
      </c>
      <c r="P22" s="319">
        <v>2036210</v>
      </c>
      <c r="Q22" s="319">
        <v>2034020</v>
      </c>
      <c r="R22" s="319">
        <v>2035280</v>
      </c>
      <c r="S22" s="319">
        <v>2039330</v>
      </c>
      <c r="T22" s="319">
        <v>2030525</v>
      </c>
    </row>
    <row r="23" spans="1:22" customFormat="1" ht="12" customHeight="1" x14ac:dyDescent="0.25">
      <c r="A23" s="166" t="s">
        <v>331</v>
      </c>
      <c r="B23" s="167"/>
      <c r="C23" s="168"/>
      <c r="D23" s="168"/>
      <c r="E23" s="168"/>
      <c r="F23" s="168"/>
      <c r="G23" s="168"/>
      <c r="H23" s="168"/>
      <c r="I23" s="169"/>
    </row>
    <row r="24" spans="1:22" ht="12" customHeight="1" x14ac:dyDescent="0.25">
      <c r="A24" s="19" t="s">
        <v>40</v>
      </c>
    </row>
    <row r="26" spans="1:22" ht="12.75" customHeight="1" x14ac:dyDescent="0.25">
      <c r="I26" s="77"/>
      <c r="J26" s="77"/>
      <c r="K26" s="77"/>
      <c r="L26" s="77"/>
      <c r="M26" s="77"/>
      <c r="N26" s="78"/>
      <c r="O26" s="78"/>
      <c r="P26" s="78"/>
      <c r="Q26" s="78"/>
      <c r="R26" s="78"/>
      <c r="S26" s="78"/>
      <c r="T26" s="78"/>
      <c r="U26" s="78"/>
      <c r="V26" s="78"/>
    </row>
  </sheetData>
  <mergeCells count="4">
    <mergeCell ref="A4:B4"/>
    <mergeCell ref="A6:B6"/>
    <mergeCell ref="A1:T1"/>
    <mergeCell ref="A2:T2"/>
  </mergeCells>
  <printOptions horizontalCentered="1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U21"/>
  <sheetViews>
    <sheetView showGridLines="0" zoomScaleNormal="100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A4" sqref="A4:T21"/>
    </sheetView>
  </sheetViews>
  <sheetFormatPr baseColWidth="10" defaultColWidth="6.7109375" defaultRowHeight="12.75" customHeight="1" x14ac:dyDescent="0.25"/>
  <cols>
    <col min="1" max="1" width="5.140625" style="73" customWidth="1"/>
    <col min="2" max="2" width="12" style="73" customWidth="1"/>
    <col min="3" max="6" width="8.28515625" style="73" hidden="1" customWidth="1"/>
    <col min="7" max="7" width="7.28515625" style="73" hidden="1" customWidth="1"/>
    <col min="8" max="8" width="1" style="73" hidden="1" customWidth="1"/>
    <col min="9" max="10" width="7.7109375" style="73" hidden="1" customWidth="1"/>
    <col min="11" max="11" width="6.85546875" style="73" hidden="1" customWidth="1"/>
    <col min="12" max="20" width="9.5703125" style="73" customWidth="1"/>
    <col min="21" max="259" width="6.7109375" style="73"/>
    <col min="260" max="260" width="5.28515625" style="73" customWidth="1"/>
    <col min="261" max="261" width="9.28515625" style="73" customWidth="1"/>
    <col min="262" max="269" width="0" style="73" hidden="1" customWidth="1"/>
    <col min="270" max="275" width="6.7109375" style="73" customWidth="1"/>
    <col min="276" max="276" width="7.7109375" style="73" customWidth="1"/>
    <col min="277" max="515" width="6.7109375" style="73"/>
    <col min="516" max="516" width="5.28515625" style="73" customWidth="1"/>
    <col min="517" max="517" width="9.28515625" style="73" customWidth="1"/>
    <col min="518" max="525" width="0" style="73" hidden="1" customWidth="1"/>
    <col min="526" max="531" width="6.7109375" style="73" customWidth="1"/>
    <col min="532" max="532" width="7.7109375" style="73" customWidth="1"/>
    <col min="533" max="771" width="6.7109375" style="73"/>
    <col min="772" max="772" width="5.28515625" style="73" customWidth="1"/>
    <col min="773" max="773" width="9.28515625" style="73" customWidth="1"/>
    <col min="774" max="781" width="0" style="73" hidden="1" customWidth="1"/>
    <col min="782" max="787" width="6.7109375" style="73" customWidth="1"/>
    <col min="788" max="788" width="7.7109375" style="73" customWidth="1"/>
    <col min="789" max="1027" width="6.7109375" style="73"/>
    <col min="1028" max="1028" width="5.28515625" style="73" customWidth="1"/>
    <col min="1029" max="1029" width="9.28515625" style="73" customWidth="1"/>
    <col min="1030" max="1037" width="0" style="73" hidden="1" customWidth="1"/>
    <col min="1038" max="1043" width="6.7109375" style="73" customWidth="1"/>
    <col min="1044" max="1044" width="7.7109375" style="73" customWidth="1"/>
    <col min="1045" max="1283" width="6.7109375" style="73"/>
    <col min="1284" max="1284" width="5.28515625" style="73" customWidth="1"/>
    <col min="1285" max="1285" width="9.28515625" style="73" customWidth="1"/>
    <col min="1286" max="1293" width="0" style="73" hidden="1" customWidth="1"/>
    <col min="1294" max="1299" width="6.7109375" style="73" customWidth="1"/>
    <col min="1300" max="1300" width="7.7109375" style="73" customWidth="1"/>
    <col min="1301" max="1539" width="6.7109375" style="73"/>
    <col min="1540" max="1540" width="5.28515625" style="73" customWidth="1"/>
    <col min="1541" max="1541" width="9.28515625" style="73" customWidth="1"/>
    <col min="1542" max="1549" width="0" style="73" hidden="1" customWidth="1"/>
    <col min="1550" max="1555" width="6.7109375" style="73" customWidth="1"/>
    <col min="1556" max="1556" width="7.7109375" style="73" customWidth="1"/>
    <col min="1557" max="1795" width="6.7109375" style="73"/>
    <col min="1796" max="1796" width="5.28515625" style="73" customWidth="1"/>
    <col min="1797" max="1797" width="9.28515625" style="73" customWidth="1"/>
    <col min="1798" max="1805" width="0" style="73" hidden="1" customWidth="1"/>
    <col min="1806" max="1811" width="6.7109375" style="73" customWidth="1"/>
    <col min="1812" max="1812" width="7.7109375" style="73" customWidth="1"/>
    <col min="1813" max="2051" width="6.7109375" style="73"/>
    <col min="2052" max="2052" width="5.28515625" style="73" customWidth="1"/>
    <col min="2053" max="2053" width="9.28515625" style="73" customWidth="1"/>
    <col min="2054" max="2061" width="0" style="73" hidden="1" customWidth="1"/>
    <col min="2062" max="2067" width="6.7109375" style="73" customWidth="1"/>
    <col min="2068" max="2068" width="7.7109375" style="73" customWidth="1"/>
    <col min="2069" max="2307" width="6.7109375" style="73"/>
    <col min="2308" max="2308" width="5.28515625" style="73" customWidth="1"/>
    <col min="2309" max="2309" width="9.28515625" style="73" customWidth="1"/>
    <col min="2310" max="2317" width="0" style="73" hidden="1" customWidth="1"/>
    <col min="2318" max="2323" width="6.7109375" style="73" customWidth="1"/>
    <col min="2324" max="2324" width="7.7109375" style="73" customWidth="1"/>
    <col min="2325" max="2563" width="6.7109375" style="73"/>
    <col min="2564" max="2564" width="5.28515625" style="73" customWidth="1"/>
    <col min="2565" max="2565" width="9.28515625" style="73" customWidth="1"/>
    <col min="2566" max="2573" width="0" style="73" hidden="1" customWidth="1"/>
    <col min="2574" max="2579" width="6.7109375" style="73" customWidth="1"/>
    <col min="2580" max="2580" width="7.7109375" style="73" customWidth="1"/>
    <col min="2581" max="2819" width="6.7109375" style="73"/>
    <col min="2820" max="2820" width="5.28515625" style="73" customWidth="1"/>
    <col min="2821" max="2821" width="9.28515625" style="73" customWidth="1"/>
    <col min="2822" max="2829" width="0" style="73" hidden="1" customWidth="1"/>
    <col min="2830" max="2835" width="6.7109375" style="73" customWidth="1"/>
    <col min="2836" max="2836" width="7.7109375" style="73" customWidth="1"/>
    <col min="2837" max="3075" width="6.7109375" style="73"/>
    <col min="3076" max="3076" width="5.28515625" style="73" customWidth="1"/>
    <col min="3077" max="3077" width="9.28515625" style="73" customWidth="1"/>
    <col min="3078" max="3085" width="0" style="73" hidden="1" customWidth="1"/>
    <col min="3086" max="3091" width="6.7109375" style="73" customWidth="1"/>
    <col min="3092" max="3092" width="7.7109375" style="73" customWidth="1"/>
    <col min="3093" max="3331" width="6.7109375" style="73"/>
    <col min="3332" max="3332" width="5.28515625" style="73" customWidth="1"/>
    <col min="3333" max="3333" width="9.28515625" style="73" customWidth="1"/>
    <col min="3334" max="3341" width="0" style="73" hidden="1" customWidth="1"/>
    <col min="3342" max="3347" width="6.7109375" style="73" customWidth="1"/>
    <col min="3348" max="3348" width="7.7109375" style="73" customWidth="1"/>
    <col min="3349" max="3587" width="6.7109375" style="73"/>
    <col min="3588" max="3588" width="5.28515625" style="73" customWidth="1"/>
    <col min="3589" max="3589" width="9.28515625" style="73" customWidth="1"/>
    <col min="3590" max="3597" width="0" style="73" hidden="1" customWidth="1"/>
    <col min="3598" max="3603" width="6.7109375" style="73" customWidth="1"/>
    <col min="3604" max="3604" width="7.7109375" style="73" customWidth="1"/>
    <col min="3605" max="3843" width="6.7109375" style="73"/>
    <col min="3844" max="3844" width="5.28515625" style="73" customWidth="1"/>
    <col min="3845" max="3845" width="9.28515625" style="73" customWidth="1"/>
    <col min="3846" max="3853" width="0" style="73" hidden="1" customWidth="1"/>
    <col min="3854" max="3859" width="6.7109375" style="73" customWidth="1"/>
    <col min="3860" max="3860" width="7.7109375" style="73" customWidth="1"/>
    <col min="3861" max="4099" width="6.7109375" style="73"/>
    <col min="4100" max="4100" width="5.28515625" style="73" customWidth="1"/>
    <col min="4101" max="4101" width="9.28515625" style="73" customWidth="1"/>
    <col min="4102" max="4109" width="0" style="73" hidden="1" customWidth="1"/>
    <col min="4110" max="4115" width="6.7109375" style="73" customWidth="1"/>
    <col min="4116" max="4116" width="7.7109375" style="73" customWidth="1"/>
    <col min="4117" max="4355" width="6.7109375" style="73"/>
    <col min="4356" max="4356" width="5.28515625" style="73" customWidth="1"/>
    <col min="4357" max="4357" width="9.28515625" style="73" customWidth="1"/>
    <col min="4358" max="4365" width="0" style="73" hidden="1" customWidth="1"/>
    <col min="4366" max="4371" width="6.7109375" style="73" customWidth="1"/>
    <col min="4372" max="4372" width="7.7109375" style="73" customWidth="1"/>
    <col min="4373" max="4611" width="6.7109375" style="73"/>
    <col min="4612" max="4612" width="5.28515625" style="73" customWidth="1"/>
    <col min="4613" max="4613" width="9.28515625" style="73" customWidth="1"/>
    <col min="4614" max="4621" width="0" style="73" hidden="1" customWidth="1"/>
    <col min="4622" max="4627" width="6.7109375" style="73" customWidth="1"/>
    <col min="4628" max="4628" width="7.7109375" style="73" customWidth="1"/>
    <col min="4629" max="4867" width="6.7109375" style="73"/>
    <col min="4868" max="4868" width="5.28515625" style="73" customWidth="1"/>
    <col min="4869" max="4869" width="9.28515625" style="73" customWidth="1"/>
    <col min="4870" max="4877" width="0" style="73" hidden="1" customWidth="1"/>
    <col min="4878" max="4883" width="6.7109375" style="73" customWidth="1"/>
    <col min="4884" max="4884" width="7.7109375" style="73" customWidth="1"/>
    <col min="4885" max="5123" width="6.7109375" style="73"/>
    <col min="5124" max="5124" width="5.28515625" style="73" customWidth="1"/>
    <col min="5125" max="5125" width="9.28515625" style="73" customWidth="1"/>
    <col min="5126" max="5133" width="0" style="73" hidden="1" customWidth="1"/>
    <col min="5134" max="5139" width="6.7109375" style="73" customWidth="1"/>
    <col min="5140" max="5140" width="7.7109375" style="73" customWidth="1"/>
    <col min="5141" max="5379" width="6.7109375" style="73"/>
    <col min="5380" max="5380" width="5.28515625" style="73" customWidth="1"/>
    <col min="5381" max="5381" width="9.28515625" style="73" customWidth="1"/>
    <col min="5382" max="5389" width="0" style="73" hidden="1" customWidth="1"/>
    <col min="5390" max="5395" width="6.7109375" style="73" customWidth="1"/>
    <col min="5396" max="5396" width="7.7109375" style="73" customWidth="1"/>
    <col min="5397" max="5635" width="6.7109375" style="73"/>
    <col min="5636" max="5636" width="5.28515625" style="73" customWidth="1"/>
    <col min="5637" max="5637" width="9.28515625" style="73" customWidth="1"/>
    <col min="5638" max="5645" width="0" style="73" hidden="1" customWidth="1"/>
    <col min="5646" max="5651" width="6.7109375" style="73" customWidth="1"/>
    <col min="5652" max="5652" width="7.7109375" style="73" customWidth="1"/>
    <col min="5653" max="5891" width="6.7109375" style="73"/>
    <col min="5892" max="5892" width="5.28515625" style="73" customWidth="1"/>
    <col min="5893" max="5893" width="9.28515625" style="73" customWidth="1"/>
    <col min="5894" max="5901" width="0" style="73" hidden="1" customWidth="1"/>
    <col min="5902" max="5907" width="6.7109375" style="73" customWidth="1"/>
    <col min="5908" max="5908" width="7.7109375" style="73" customWidth="1"/>
    <col min="5909" max="6147" width="6.7109375" style="73"/>
    <col min="6148" max="6148" width="5.28515625" style="73" customWidth="1"/>
    <col min="6149" max="6149" width="9.28515625" style="73" customWidth="1"/>
    <col min="6150" max="6157" width="0" style="73" hidden="1" customWidth="1"/>
    <col min="6158" max="6163" width="6.7109375" style="73" customWidth="1"/>
    <col min="6164" max="6164" width="7.7109375" style="73" customWidth="1"/>
    <col min="6165" max="6403" width="6.7109375" style="73"/>
    <col min="6404" max="6404" width="5.28515625" style="73" customWidth="1"/>
    <col min="6405" max="6405" width="9.28515625" style="73" customWidth="1"/>
    <col min="6406" max="6413" width="0" style="73" hidden="1" customWidth="1"/>
    <col min="6414" max="6419" width="6.7109375" style="73" customWidth="1"/>
    <col min="6420" max="6420" width="7.7109375" style="73" customWidth="1"/>
    <col min="6421" max="6659" width="6.7109375" style="73"/>
    <col min="6660" max="6660" width="5.28515625" style="73" customWidth="1"/>
    <col min="6661" max="6661" width="9.28515625" style="73" customWidth="1"/>
    <col min="6662" max="6669" width="0" style="73" hidden="1" customWidth="1"/>
    <col min="6670" max="6675" width="6.7109375" style="73" customWidth="1"/>
    <col min="6676" max="6676" width="7.7109375" style="73" customWidth="1"/>
    <col min="6677" max="6915" width="6.7109375" style="73"/>
    <col min="6916" max="6916" width="5.28515625" style="73" customWidth="1"/>
    <col min="6917" max="6917" width="9.28515625" style="73" customWidth="1"/>
    <col min="6918" max="6925" width="0" style="73" hidden="1" customWidth="1"/>
    <col min="6926" max="6931" width="6.7109375" style="73" customWidth="1"/>
    <col min="6932" max="6932" width="7.7109375" style="73" customWidth="1"/>
    <col min="6933" max="7171" width="6.7109375" style="73"/>
    <col min="7172" max="7172" width="5.28515625" style="73" customWidth="1"/>
    <col min="7173" max="7173" width="9.28515625" style="73" customWidth="1"/>
    <col min="7174" max="7181" width="0" style="73" hidden="1" customWidth="1"/>
    <col min="7182" max="7187" width="6.7109375" style="73" customWidth="1"/>
    <col min="7188" max="7188" width="7.7109375" style="73" customWidth="1"/>
    <col min="7189" max="7427" width="6.7109375" style="73"/>
    <col min="7428" max="7428" width="5.28515625" style="73" customWidth="1"/>
    <col min="7429" max="7429" width="9.28515625" style="73" customWidth="1"/>
    <col min="7430" max="7437" width="0" style="73" hidden="1" customWidth="1"/>
    <col min="7438" max="7443" width="6.7109375" style="73" customWidth="1"/>
    <col min="7444" max="7444" width="7.7109375" style="73" customWidth="1"/>
    <col min="7445" max="7683" width="6.7109375" style="73"/>
    <col min="7684" max="7684" width="5.28515625" style="73" customWidth="1"/>
    <col min="7685" max="7685" width="9.28515625" style="73" customWidth="1"/>
    <col min="7686" max="7693" width="0" style="73" hidden="1" customWidth="1"/>
    <col min="7694" max="7699" width="6.7109375" style="73" customWidth="1"/>
    <col min="7700" max="7700" width="7.7109375" style="73" customWidth="1"/>
    <col min="7701" max="7939" width="6.7109375" style="73"/>
    <col min="7940" max="7940" width="5.28515625" style="73" customWidth="1"/>
    <col min="7941" max="7941" width="9.28515625" style="73" customWidth="1"/>
    <col min="7942" max="7949" width="0" style="73" hidden="1" customWidth="1"/>
    <col min="7950" max="7955" width="6.7109375" style="73" customWidth="1"/>
    <col min="7956" max="7956" width="7.7109375" style="73" customWidth="1"/>
    <col min="7957" max="8195" width="6.7109375" style="73"/>
    <col min="8196" max="8196" width="5.28515625" style="73" customWidth="1"/>
    <col min="8197" max="8197" width="9.28515625" style="73" customWidth="1"/>
    <col min="8198" max="8205" width="0" style="73" hidden="1" customWidth="1"/>
    <col min="8206" max="8211" width="6.7109375" style="73" customWidth="1"/>
    <col min="8212" max="8212" width="7.7109375" style="73" customWidth="1"/>
    <col min="8213" max="8451" width="6.7109375" style="73"/>
    <col min="8452" max="8452" width="5.28515625" style="73" customWidth="1"/>
    <col min="8453" max="8453" width="9.28515625" style="73" customWidth="1"/>
    <col min="8454" max="8461" width="0" style="73" hidden="1" customWidth="1"/>
    <col min="8462" max="8467" width="6.7109375" style="73" customWidth="1"/>
    <col min="8468" max="8468" width="7.7109375" style="73" customWidth="1"/>
    <col min="8469" max="8707" width="6.7109375" style="73"/>
    <col min="8708" max="8708" width="5.28515625" style="73" customWidth="1"/>
    <col min="8709" max="8709" width="9.28515625" style="73" customWidth="1"/>
    <col min="8710" max="8717" width="0" style="73" hidden="1" customWidth="1"/>
    <col min="8718" max="8723" width="6.7109375" style="73" customWidth="1"/>
    <col min="8724" max="8724" width="7.7109375" style="73" customWidth="1"/>
    <col min="8725" max="8963" width="6.7109375" style="73"/>
    <col min="8964" max="8964" width="5.28515625" style="73" customWidth="1"/>
    <col min="8965" max="8965" width="9.28515625" style="73" customWidth="1"/>
    <col min="8966" max="8973" width="0" style="73" hidden="1" customWidth="1"/>
    <col min="8974" max="8979" width="6.7109375" style="73" customWidth="1"/>
    <col min="8980" max="8980" width="7.7109375" style="73" customWidth="1"/>
    <col min="8981" max="9219" width="6.7109375" style="73"/>
    <col min="9220" max="9220" width="5.28515625" style="73" customWidth="1"/>
    <col min="9221" max="9221" width="9.28515625" style="73" customWidth="1"/>
    <col min="9222" max="9229" width="0" style="73" hidden="1" customWidth="1"/>
    <col min="9230" max="9235" width="6.7109375" style="73" customWidth="1"/>
    <col min="9236" max="9236" width="7.7109375" style="73" customWidth="1"/>
    <col min="9237" max="9475" width="6.7109375" style="73"/>
    <col min="9476" max="9476" width="5.28515625" style="73" customWidth="1"/>
    <col min="9477" max="9477" width="9.28515625" style="73" customWidth="1"/>
    <col min="9478" max="9485" width="0" style="73" hidden="1" customWidth="1"/>
    <col min="9486" max="9491" width="6.7109375" style="73" customWidth="1"/>
    <col min="9492" max="9492" width="7.7109375" style="73" customWidth="1"/>
    <col min="9493" max="9731" width="6.7109375" style="73"/>
    <col min="9732" max="9732" width="5.28515625" style="73" customWidth="1"/>
    <col min="9733" max="9733" width="9.28515625" style="73" customWidth="1"/>
    <col min="9734" max="9741" width="0" style="73" hidden="1" customWidth="1"/>
    <col min="9742" max="9747" width="6.7109375" style="73" customWidth="1"/>
    <col min="9748" max="9748" width="7.7109375" style="73" customWidth="1"/>
    <col min="9749" max="9987" width="6.7109375" style="73"/>
    <col min="9988" max="9988" width="5.28515625" style="73" customWidth="1"/>
    <col min="9989" max="9989" width="9.28515625" style="73" customWidth="1"/>
    <col min="9990" max="9997" width="0" style="73" hidden="1" customWidth="1"/>
    <col min="9998" max="10003" width="6.7109375" style="73" customWidth="1"/>
    <col min="10004" max="10004" width="7.7109375" style="73" customWidth="1"/>
    <col min="10005" max="10243" width="6.7109375" style="73"/>
    <col min="10244" max="10244" width="5.28515625" style="73" customWidth="1"/>
    <col min="10245" max="10245" width="9.28515625" style="73" customWidth="1"/>
    <col min="10246" max="10253" width="0" style="73" hidden="1" customWidth="1"/>
    <col min="10254" max="10259" width="6.7109375" style="73" customWidth="1"/>
    <col min="10260" max="10260" width="7.7109375" style="73" customWidth="1"/>
    <col min="10261" max="10499" width="6.7109375" style="73"/>
    <col min="10500" max="10500" width="5.28515625" style="73" customWidth="1"/>
    <col min="10501" max="10501" width="9.28515625" style="73" customWidth="1"/>
    <col min="10502" max="10509" width="0" style="73" hidden="1" customWidth="1"/>
    <col min="10510" max="10515" width="6.7109375" style="73" customWidth="1"/>
    <col min="10516" max="10516" width="7.7109375" style="73" customWidth="1"/>
    <col min="10517" max="10755" width="6.7109375" style="73"/>
    <col min="10756" max="10756" width="5.28515625" style="73" customWidth="1"/>
    <col min="10757" max="10757" width="9.28515625" style="73" customWidth="1"/>
    <col min="10758" max="10765" width="0" style="73" hidden="1" customWidth="1"/>
    <col min="10766" max="10771" width="6.7109375" style="73" customWidth="1"/>
    <col min="10772" max="10772" width="7.7109375" style="73" customWidth="1"/>
    <col min="10773" max="11011" width="6.7109375" style="73"/>
    <col min="11012" max="11012" width="5.28515625" style="73" customWidth="1"/>
    <col min="11013" max="11013" width="9.28515625" style="73" customWidth="1"/>
    <col min="11014" max="11021" width="0" style="73" hidden="1" customWidth="1"/>
    <col min="11022" max="11027" width="6.7109375" style="73" customWidth="1"/>
    <col min="11028" max="11028" width="7.7109375" style="73" customWidth="1"/>
    <col min="11029" max="11267" width="6.7109375" style="73"/>
    <col min="11268" max="11268" width="5.28515625" style="73" customWidth="1"/>
    <col min="11269" max="11269" width="9.28515625" style="73" customWidth="1"/>
    <col min="11270" max="11277" width="0" style="73" hidden="1" customWidth="1"/>
    <col min="11278" max="11283" width="6.7109375" style="73" customWidth="1"/>
    <col min="11284" max="11284" width="7.7109375" style="73" customWidth="1"/>
    <col min="11285" max="11523" width="6.7109375" style="73"/>
    <col min="11524" max="11524" width="5.28515625" style="73" customWidth="1"/>
    <col min="11525" max="11525" width="9.28515625" style="73" customWidth="1"/>
    <col min="11526" max="11533" width="0" style="73" hidden="1" customWidth="1"/>
    <col min="11534" max="11539" width="6.7109375" style="73" customWidth="1"/>
    <col min="11540" max="11540" width="7.7109375" style="73" customWidth="1"/>
    <col min="11541" max="11779" width="6.7109375" style="73"/>
    <col min="11780" max="11780" width="5.28515625" style="73" customWidth="1"/>
    <col min="11781" max="11781" width="9.28515625" style="73" customWidth="1"/>
    <col min="11782" max="11789" width="0" style="73" hidden="1" customWidth="1"/>
    <col min="11790" max="11795" width="6.7109375" style="73" customWidth="1"/>
    <col min="11796" max="11796" width="7.7109375" style="73" customWidth="1"/>
    <col min="11797" max="12035" width="6.7109375" style="73"/>
    <col min="12036" max="12036" width="5.28515625" style="73" customWidth="1"/>
    <col min="12037" max="12037" width="9.28515625" style="73" customWidth="1"/>
    <col min="12038" max="12045" width="0" style="73" hidden="1" customWidth="1"/>
    <col min="12046" max="12051" width="6.7109375" style="73" customWidth="1"/>
    <col min="12052" max="12052" width="7.7109375" style="73" customWidth="1"/>
    <col min="12053" max="12291" width="6.7109375" style="73"/>
    <col min="12292" max="12292" width="5.28515625" style="73" customWidth="1"/>
    <col min="12293" max="12293" width="9.28515625" style="73" customWidth="1"/>
    <col min="12294" max="12301" width="0" style="73" hidden="1" customWidth="1"/>
    <col min="12302" max="12307" width="6.7109375" style="73" customWidth="1"/>
    <col min="12308" max="12308" width="7.7109375" style="73" customWidth="1"/>
    <col min="12309" max="12547" width="6.7109375" style="73"/>
    <col min="12548" max="12548" width="5.28515625" style="73" customWidth="1"/>
    <col min="12549" max="12549" width="9.28515625" style="73" customWidth="1"/>
    <col min="12550" max="12557" width="0" style="73" hidden="1" customWidth="1"/>
    <col min="12558" max="12563" width="6.7109375" style="73" customWidth="1"/>
    <col min="12564" max="12564" width="7.7109375" style="73" customWidth="1"/>
    <col min="12565" max="12803" width="6.7109375" style="73"/>
    <col min="12804" max="12804" width="5.28515625" style="73" customWidth="1"/>
    <col min="12805" max="12805" width="9.28515625" style="73" customWidth="1"/>
    <col min="12806" max="12813" width="0" style="73" hidden="1" customWidth="1"/>
    <col min="12814" max="12819" width="6.7109375" style="73" customWidth="1"/>
    <col min="12820" max="12820" width="7.7109375" style="73" customWidth="1"/>
    <col min="12821" max="13059" width="6.7109375" style="73"/>
    <col min="13060" max="13060" width="5.28515625" style="73" customWidth="1"/>
    <col min="13061" max="13061" width="9.28515625" style="73" customWidth="1"/>
    <col min="13062" max="13069" width="0" style="73" hidden="1" customWidth="1"/>
    <col min="13070" max="13075" width="6.7109375" style="73" customWidth="1"/>
    <col min="13076" max="13076" width="7.7109375" style="73" customWidth="1"/>
    <col min="13077" max="13315" width="6.7109375" style="73"/>
    <col min="13316" max="13316" width="5.28515625" style="73" customWidth="1"/>
    <col min="13317" max="13317" width="9.28515625" style="73" customWidth="1"/>
    <col min="13318" max="13325" width="0" style="73" hidden="1" customWidth="1"/>
    <col min="13326" max="13331" width="6.7109375" style="73" customWidth="1"/>
    <col min="13332" max="13332" width="7.7109375" style="73" customWidth="1"/>
    <col min="13333" max="13571" width="6.7109375" style="73"/>
    <col min="13572" max="13572" width="5.28515625" style="73" customWidth="1"/>
    <col min="13573" max="13573" width="9.28515625" style="73" customWidth="1"/>
    <col min="13574" max="13581" width="0" style="73" hidden="1" customWidth="1"/>
    <col min="13582" max="13587" width="6.7109375" style="73" customWidth="1"/>
    <col min="13588" max="13588" width="7.7109375" style="73" customWidth="1"/>
    <col min="13589" max="13827" width="6.7109375" style="73"/>
    <col min="13828" max="13828" width="5.28515625" style="73" customWidth="1"/>
    <col min="13829" max="13829" width="9.28515625" style="73" customWidth="1"/>
    <col min="13830" max="13837" width="0" style="73" hidden="1" customWidth="1"/>
    <col min="13838" max="13843" width="6.7109375" style="73" customWidth="1"/>
    <col min="13844" max="13844" width="7.7109375" style="73" customWidth="1"/>
    <col min="13845" max="14083" width="6.7109375" style="73"/>
    <col min="14084" max="14084" width="5.28515625" style="73" customWidth="1"/>
    <col min="14085" max="14085" width="9.28515625" style="73" customWidth="1"/>
    <col min="14086" max="14093" width="0" style="73" hidden="1" customWidth="1"/>
    <col min="14094" max="14099" width="6.7109375" style="73" customWidth="1"/>
    <col min="14100" max="14100" width="7.7109375" style="73" customWidth="1"/>
    <col min="14101" max="14339" width="6.7109375" style="73"/>
    <col min="14340" max="14340" width="5.28515625" style="73" customWidth="1"/>
    <col min="14341" max="14341" width="9.28515625" style="73" customWidth="1"/>
    <col min="14342" max="14349" width="0" style="73" hidden="1" customWidth="1"/>
    <col min="14350" max="14355" width="6.7109375" style="73" customWidth="1"/>
    <col min="14356" max="14356" width="7.7109375" style="73" customWidth="1"/>
    <col min="14357" max="14595" width="6.7109375" style="73"/>
    <col min="14596" max="14596" width="5.28515625" style="73" customWidth="1"/>
    <col min="14597" max="14597" width="9.28515625" style="73" customWidth="1"/>
    <col min="14598" max="14605" width="0" style="73" hidden="1" customWidth="1"/>
    <col min="14606" max="14611" width="6.7109375" style="73" customWidth="1"/>
    <col min="14612" max="14612" width="7.7109375" style="73" customWidth="1"/>
    <col min="14613" max="14851" width="6.7109375" style="73"/>
    <col min="14852" max="14852" width="5.28515625" style="73" customWidth="1"/>
    <col min="14853" max="14853" width="9.28515625" style="73" customWidth="1"/>
    <col min="14854" max="14861" width="0" style="73" hidden="1" customWidth="1"/>
    <col min="14862" max="14867" width="6.7109375" style="73" customWidth="1"/>
    <col min="14868" max="14868" width="7.7109375" style="73" customWidth="1"/>
    <col min="14869" max="15107" width="6.7109375" style="73"/>
    <col min="15108" max="15108" width="5.28515625" style="73" customWidth="1"/>
    <col min="15109" max="15109" width="9.28515625" style="73" customWidth="1"/>
    <col min="15110" max="15117" width="0" style="73" hidden="1" customWidth="1"/>
    <col min="15118" max="15123" width="6.7109375" style="73" customWidth="1"/>
    <col min="15124" max="15124" width="7.7109375" style="73" customWidth="1"/>
    <col min="15125" max="15363" width="6.7109375" style="73"/>
    <col min="15364" max="15364" width="5.28515625" style="73" customWidth="1"/>
    <col min="15365" max="15365" width="9.28515625" style="73" customWidth="1"/>
    <col min="15366" max="15373" width="0" style="73" hidden="1" customWidth="1"/>
    <col min="15374" max="15379" width="6.7109375" style="73" customWidth="1"/>
    <col min="15380" max="15380" width="7.7109375" style="73" customWidth="1"/>
    <col min="15381" max="15619" width="6.7109375" style="73"/>
    <col min="15620" max="15620" width="5.28515625" style="73" customWidth="1"/>
    <col min="15621" max="15621" width="9.28515625" style="73" customWidth="1"/>
    <col min="15622" max="15629" width="0" style="73" hidden="1" customWidth="1"/>
    <col min="15630" max="15635" width="6.7109375" style="73" customWidth="1"/>
    <col min="15636" max="15636" width="7.7109375" style="73" customWidth="1"/>
    <col min="15637" max="15875" width="6.7109375" style="73"/>
    <col min="15876" max="15876" width="5.28515625" style="73" customWidth="1"/>
    <col min="15877" max="15877" width="9.28515625" style="73" customWidth="1"/>
    <col min="15878" max="15885" width="0" style="73" hidden="1" customWidth="1"/>
    <col min="15886" max="15891" width="6.7109375" style="73" customWidth="1"/>
    <col min="15892" max="15892" width="7.7109375" style="73" customWidth="1"/>
    <col min="15893" max="16131" width="6.7109375" style="73"/>
    <col min="16132" max="16132" width="5.28515625" style="73" customWidth="1"/>
    <col min="16133" max="16133" width="9.28515625" style="73" customWidth="1"/>
    <col min="16134" max="16141" width="0" style="73" hidden="1" customWidth="1"/>
    <col min="16142" max="16147" width="6.7109375" style="73" customWidth="1"/>
    <col min="16148" max="16148" width="7.7109375" style="73" customWidth="1"/>
    <col min="16149" max="16384" width="6.7109375" style="73"/>
  </cols>
  <sheetData>
    <row r="1" spans="1:21" ht="12.75" customHeight="1" x14ac:dyDescent="0.25">
      <c r="A1" s="534" t="s">
        <v>332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</row>
    <row r="2" spans="1:21" ht="12.75" customHeight="1" x14ac:dyDescent="0.25">
      <c r="A2" s="535" t="s">
        <v>159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</row>
    <row r="3" spans="1:21" ht="12.75" customHeight="1" x14ac:dyDescent="0.25">
      <c r="A3" s="136"/>
      <c r="B3" s="136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1" ht="39" customHeight="1" x14ac:dyDescent="0.25">
      <c r="A4" s="536" t="s">
        <v>203</v>
      </c>
      <c r="B4" s="537"/>
      <c r="C4" s="313">
        <v>2003</v>
      </c>
      <c r="D4" s="313">
        <v>2004</v>
      </c>
      <c r="E4" s="313" t="s">
        <v>202</v>
      </c>
      <c r="F4" s="313" t="s">
        <v>201</v>
      </c>
      <c r="G4" s="313" t="s">
        <v>200</v>
      </c>
      <c r="H4" s="313" t="s">
        <v>199</v>
      </c>
      <c r="I4" s="313" t="s">
        <v>198</v>
      </c>
      <c r="J4" s="301">
        <v>2010</v>
      </c>
      <c r="K4" s="313">
        <v>2012</v>
      </c>
      <c r="L4" s="320">
        <v>2013</v>
      </c>
      <c r="M4" s="320">
        <v>2014</v>
      </c>
      <c r="N4" s="320">
        <v>2015</v>
      </c>
      <c r="O4" s="320">
        <v>2016</v>
      </c>
      <c r="P4" s="320">
        <v>2017</v>
      </c>
      <c r="Q4" s="320">
        <v>2018</v>
      </c>
      <c r="R4" s="320">
        <v>2019</v>
      </c>
      <c r="S4" s="320">
        <v>2020</v>
      </c>
      <c r="T4" s="320">
        <v>2021</v>
      </c>
    </row>
    <row r="5" spans="1:21" ht="3" customHeight="1" x14ac:dyDescent="0.25">
      <c r="A5" s="321"/>
      <c r="B5" s="314"/>
      <c r="C5" s="354"/>
      <c r="D5" s="354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</row>
    <row r="6" spans="1:21" ht="15.95" customHeight="1" x14ac:dyDescent="0.3">
      <c r="A6" s="541" t="s">
        <v>157</v>
      </c>
      <c r="B6" s="542"/>
      <c r="C6" s="355">
        <v>1230543</v>
      </c>
      <c r="D6" s="355">
        <v>1236984</v>
      </c>
      <c r="E6" s="355">
        <v>1269979</v>
      </c>
      <c r="F6" s="355">
        <v>1256101</v>
      </c>
      <c r="G6" s="355">
        <v>1274425</v>
      </c>
      <c r="H6" s="355">
        <v>1262782</v>
      </c>
      <c r="I6" s="355">
        <v>1237593</v>
      </c>
      <c r="J6" s="355">
        <v>1245169.2</v>
      </c>
      <c r="K6" s="355">
        <v>1192953</v>
      </c>
      <c r="L6" s="355">
        <v>1226231</v>
      </c>
      <c r="M6" s="355">
        <v>1207392.25</v>
      </c>
      <c r="N6" s="355">
        <v>1194708</v>
      </c>
      <c r="O6" s="355">
        <v>1105017.5</v>
      </c>
      <c r="P6" s="355">
        <v>1106201</v>
      </c>
      <c r="Q6" s="355">
        <v>1093124</v>
      </c>
      <c r="R6" s="355">
        <v>1095920.5</v>
      </c>
      <c r="S6" s="355">
        <v>1085549.6666666667</v>
      </c>
      <c r="T6" s="355">
        <v>1075425</v>
      </c>
    </row>
    <row r="7" spans="1:21" ht="16.5" hidden="1" x14ac:dyDescent="0.25">
      <c r="A7" s="326" t="s">
        <v>193</v>
      </c>
      <c r="B7" s="316" t="s">
        <v>141</v>
      </c>
      <c r="C7" s="352">
        <v>1550</v>
      </c>
      <c r="D7" s="352">
        <v>1548</v>
      </c>
      <c r="E7" s="352">
        <v>1500</v>
      </c>
      <c r="F7" s="352" t="s">
        <v>1</v>
      </c>
      <c r="G7" s="352" t="s">
        <v>1</v>
      </c>
      <c r="H7" s="352" t="s">
        <v>1</v>
      </c>
      <c r="I7" s="352" t="s">
        <v>1</v>
      </c>
      <c r="J7" s="352" t="s">
        <v>1</v>
      </c>
      <c r="K7" s="352" t="s">
        <v>1</v>
      </c>
      <c r="L7" s="352" t="s">
        <v>1</v>
      </c>
      <c r="M7" s="352" t="s">
        <v>1</v>
      </c>
      <c r="N7" s="352" t="s">
        <v>1</v>
      </c>
      <c r="O7" s="352" t="s">
        <v>1</v>
      </c>
      <c r="P7" s="352" t="s">
        <v>1</v>
      </c>
      <c r="Q7" s="352" t="s">
        <v>1</v>
      </c>
      <c r="R7" s="356" t="s">
        <v>1</v>
      </c>
      <c r="S7" s="356" t="s">
        <v>1</v>
      </c>
      <c r="T7" s="356"/>
      <c r="U7" s="74"/>
    </row>
    <row r="8" spans="1:21" ht="15.95" customHeight="1" x14ac:dyDescent="0.25">
      <c r="A8" s="326" t="s">
        <v>192</v>
      </c>
      <c r="B8" s="316" t="s">
        <v>129</v>
      </c>
      <c r="C8" s="325">
        <v>22377</v>
      </c>
      <c r="D8" s="325">
        <v>21967</v>
      </c>
      <c r="E8" s="325">
        <v>21456</v>
      </c>
      <c r="F8" s="325">
        <v>23600</v>
      </c>
      <c r="G8" s="325">
        <v>23748</v>
      </c>
      <c r="H8" s="325">
        <v>21894</v>
      </c>
      <c r="I8" s="325">
        <v>22000</v>
      </c>
      <c r="J8" s="325">
        <v>22539.599999999999</v>
      </c>
      <c r="K8" s="325">
        <v>23710</v>
      </c>
      <c r="L8" s="325">
        <v>23890</v>
      </c>
      <c r="M8" s="325">
        <v>24487.25</v>
      </c>
      <c r="N8" s="325">
        <v>24111</v>
      </c>
      <c r="O8" s="325">
        <v>20152</v>
      </c>
      <c r="P8" s="325">
        <v>21904</v>
      </c>
      <c r="Q8" s="325">
        <v>22126</v>
      </c>
      <c r="R8" s="325">
        <v>21780</v>
      </c>
      <c r="S8" s="325">
        <v>19780</v>
      </c>
      <c r="T8" s="325">
        <v>18780</v>
      </c>
      <c r="U8" s="74"/>
    </row>
    <row r="9" spans="1:21" ht="15.95" customHeight="1" x14ac:dyDescent="0.25">
      <c r="A9" s="326" t="s">
        <v>190</v>
      </c>
      <c r="B9" s="316" t="s">
        <v>139</v>
      </c>
      <c r="C9" s="325">
        <v>108350</v>
      </c>
      <c r="D9" s="325">
        <v>107390</v>
      </c>
      <c r="E9" s="325">
        <v>115265</v>
      </c>
      <c r="F9" s="325">
        <v>116940</v>
      </c>
      <c r="G9" s="325">
        <v>114410</v>
      </c>
      <c r="H9" s="325">
        <v>112650</v>
      </c>
      <c r="I9" s="325">
        <v>108990</v>
      </c>
      <c r="J9" s="325">
        <v>105753</v>
      </c>
      <c r="K9" s="325">
        <v>106033</v>
      </c>
      <c r="L9" s="325">
        <v>101370</v>
      </c>
      <c r="M9" s="325">
        <v>102450</v>
      </c>
      <c r="N9" s="325">
        <v>99937</v>
      </c>
      <c r="O9" s="325">
        <v>91070</v>
      </c>
      <c r="P9" s="325">
        <v>87181</v>
      </c>
      <c r="Q9" s="325">
        <v>90122</v>
      </c>
      <c r="R9" s="325">
        <v>88209</v>
      </c>
      <c r="S9" s="325">
        <v>87209</v>
      </c>
      <c r="T9" s="325">
        <v>94372</v>
      </c>
      <c r="U9" s="74"/>
    </row>
    <row r="10" spans="1:21" ht="15.95" customHeight="1" x14ac:dyDescent="0.25">
      <c r="A10" s="326" t="s">
        <v>189</v>
      </c>
      <c r="B10" s="316" t="s">
        <v>126</v>
      </c>
      <c r="C10" s="325">
        <v>40200</v>
      </c>
      <c r="D10" s="325">
        <v>40400</v>
      </c>
      <c r="E10" s="325">
        <v>40508</v>
      </c>
      <c r="F10" s="325">
        <v>36448</v>
      </c>
      <c r="G10" s="325">
        <v>42803</v>
      </c>
      <c r="H10" s="325">
        <v>39301</v>
      </c>
      <c r="I10" s="325">
        <v>39600</v>
      </c>
      <c r="J10" s="325">
        <v>39732</v>
      </c>
      <c r="K10" s="325">
        <v>37450</v>
      </c>
      <c r="L10" s="325">
        <v>36980</v>
      </c>
      <c r="M10" s="325">
        <v>37904.5</v>
      </c>
      <c r="N10" s="325">
        <v>37704</v>
      </c>
      <c r="O10" s="325">
        <v>39589.200000000004</v>
      </c>
      <c r="P10" s="325">
        <v>38640</v>
      </c>
      <c r="Q10" s="325">
        <v>38670</v>
      </c>
      <c r="R10" s="325">
        <v>38655</v>
      </c>
      <c r="S10" s="325">
        <v>38655</v>
      </c>
      <c r="T10" s="325">
        <v>38059</v>
      </c>
      <c r="U10" s="74"/>
    </row>
    <row r="11" spans="1:21" ht="15.95" customHeight="1" x14ac:dyDescent="0.25">
      <c r="A11" s="326" t="s">
        <v>188</v>
      </c>
      <c r="B11" s="316" t="s">
        <v>121</v>
      </c>
      <c r="C11" s="325">
        <v>19500</v>
      </c>
      <c r="D11" s="325">
        <v>20750</v>
      </c>
      <c r="E11" s="325">
        <v>18555</v>
      </c>
      <c r="F11" s="325">
        <v>18980</v>
      </c>
      <c r="G11" s="325">
        <v>14575</v>
      </c>
      <c r="H11" s="325">
        <v>19865</v>
      </c>
      <c r="I11" s="325">
        <v>18404</v>
      </c>
      <c r="J11" s="325">
        <v>20680</v>
      </c>
      <c r="K11" s="325">
        <v>19994</v>
      </c>
      <c r="L11" s="325">
        <v>20140</v>
      </c>
      <c r="M11" s="325">
        <v>21643.5</v>
      </c>
      <c r="N11" s="325">
        <v>28326</v>
      </c>
      <c r="O11" s="325">
        <v>29742.300000000003</v>
      </c>
      <c r="P11" s="325">
        <v>28405</v>
      </c>
      <c r="Q11" s="325">
        <v>28405</v>
      </c>
      <c r="R11" s="325">
        <v>28405</v>
      </c>
      <c r="S11" s="325">
        <v>28405</v>
      </c>
      <c r="T11" s="325">
        <v>28397</v>
      </c>
      <c r="U11" s="74"/>
    </row>
    <row r="12" spans="1:21" ht="15.95" customHeight="1" x14ac:dyDescent="0.25">
      <c r="A12" s="326" t="s">
        <v>184</v>
      </c>
      <c r="B12" s="316" t="s">
        <v>134</v>
      </c>
      <c r="C12" s="352">
        <v>6470</v>
      </c>
      <c r="D12" s="352">
        <v>6500</v>
      </c>
      <c r="E12" s="352">
        <v>6405</v>
      </c>
      <c r="F12" s="352" t="s">
        <v>1</v>
      </c>
      <c r="G12" s="352" t="s">
        <v>1</v>
      </c>
      <c r="H12" s="352" t="s">
        <v>1</v>
      </c>
      <c r="I12" s="352" t="s">
        <v>1</v>
      </c>
      <c r="J12" s="352" t="s">
        <v>1</v>
      </c>
      <c r="K12" s="352">
        <v>3750</v>
      </c>
      <c r="L12" s="352">
        <v>3800</v>
      </c>
      <c r="M12" s="352">
        <v>4000</v>
      </c>
      <c r="N12" s="352">
        <v>3500</v>
      </c>
      <c r="O12" s="352">
        <v>3450</v>
      </c>
      <c r="P12" s="352">
        <v>3530</v>
      </c>
      <c r="Q12" s="325">
        <v>3495</v>
      </c>
      <c r="R12" s="325">
        <v>3512.5</v>
      </c>
      <c r="S12" s="325">
        <v>3460</v>
      </c>
      <c r="T12" s="325">
        <v>3485</v>
      </c>
      <c r="U12" s="74"/>
    </row>
    <row r="13" spans="1:21" ht="15.95" customHeight="1" x14ac:dyDescent="0.25">
      <c r="A13" s="326" t="s">
        <v>183</v>
      </c>
      <c r="B13" s="316" t="s">
        <v>125</v>
      </c>
      <c r="C13" s="325">
        <v>43711</v>
      </c>
      <c r="D13" s="325">
        <v>44148</v>
      </c>
      <c r="E13" s="325">
        <v>44590</v>
      </c>
      <c r="F13" s="325">
        <v>43194</v>
      </c>
      <c r="G13" s="325">
        <v>44310</v>
      </c>
      <c r="H13" s="325">
        <v>43124</v>
      </c>
      <c r="I13" s="325">
        <v>40880</v>
      </c>
      <c r="J13" s="325">
        <v>38635</v>
      </c>
      <c r="K13" s="325">
        <v>34591</v>
      </c>
      <c r="L13" s="325">
        <v>33297</v>
      </c>
      <c r="M13" s="325">
        <v>33924</v>
      </c>
      <c r="N13" s="325">
        <v>33584</v>
      </c>
      <c r="O13" s="325">
        <v>33250</v>
      </c>
      <c r="P13" s="325">
        <v>44169</v>
      </c>
      <c r="Q13" s="325">
        <v>43590</v>
      </c>
      <c r="R13" s="325">
        <v>43879.5</v>
      </c>
      <c r="S13" s="325">
        <v>44677</v>
      </c>
      <c r="T13" s="325">
        <v>44276</v>
      </c>
      <c r="U13" s="74"/>
    </row>
    <row r="14" spans="1:21" ht="15.95" customHeight="1" x14ac:dyDescent="0.25">
      <c r="A14" s="326" t="s">
        <v>182</v>
      </c>
      <c r="B14" s="316" t="s">
        <v>181</v>
      </c>
      <c r="C14" s="325">
        <v>35210</v>
      </c>
      <c r="D14" s="325">
        <v>35110</v>
      </c>
      <c r="E14" s="325">
        <v>38340</v>
      </c>
      <c r="F14" s="325">
        <v>36650</v>
      </c>
      <c r="G14" s="325">
        <v>38340</v>
      </c>
      <c r="H14" s="325">
        <v>40385</v>
      </c>
      <c r="I14" s="325">
        <v>39200</v>
      </c>
      <c r="J14" s="325">
        <v>37583</v>
      </c>
      <c r="K14" s="325">
        <v>60081</v>
      </c>
      <c r="L14" s="325">
        <v>51560</v>
      </c>
      <c r="M14" s="325">
        <v>52446</v>
      </c>
      <c r="N14" s="325">
        <v>52954</v>
      </c>
      <c r="O14" s="325">
        <v>52868</v>
      </c>
      <c r="P14" s="325">
        <v>59605</v>
      </c>
      <c r="Q14" s="325">
        <v>62556</v>
      </c>
      <c r="R14" s="325">
        <v>67302</v>
      </c>
      <c r="S14" s="325">
        <v>65597</v>
      </c>
      <c r="T14" s="325">
        <v>63128</v>
      </c>
      <c r="U14" s="74"/>
    </row>
    <row r="15" spans="1:21" ht="15.95" customHeight="1" x14ac:dyDescent="0.25">
      <c r="A15" s="326" t="s">
        <v>180</v>
      </c>
      <c r="B15" s="316" t="s">
        <v>179</v>
      </c>
      <c r="C15" s="325">
        <v>126000</v>
      </c>
      <c r="D15" s="325">
        <v>132220</v>
      </c>
      <c r="E15" s="325">
        <v>133333</v>
      </c>
      <c r="F15" s="325">
        <v>134065</v>
      </c>
      <c r="G15" s="325">
        <v>133670</v>
      </c>
      <c r="H15" s="325">
        <v>129100</v>
      </c>
      <c r="I15" s="325">
        <v>130864</v>
      </c>
      <c r="J15" s="325">
        <v>132206.39999999999</v>
      </c>
      <c r="K15" s="325">
        <v>131420</v>
      </c>
      <c r="L15" s="325">
        <v>141096</v>
      </c>
      <c r="M15" s="325">
        <v>143295</v>
      </c>
      <c r="N15" s="325">
        <v>139124</v>
      </c>
      <c r="O15" s="325">
        <v>131758</v>
      </c>
      <c r="P15" s="325">
        <v>127731</v>
      </c>
      <c r="Q15" s="325">
        <v>128540</v>
      </c>
      <c r="R15" s="325">
        <v>131322</v>
      </c>
      <c r="S15" s="325">
        <v>129197.66666666667</v>
      </c>
      <c r="T15" s="325">
        <v>129587</v>
      </c>
      <c r="U15" s="74"/>
    </row>
    <row r="16" spans="1:21" ht="15.95" customHeight="1" x14ac:dyDescent="0.25">
      <c r="A16" s="326" t="s">
        <v>178</v>
      </c>
      <c r="B16" s="316" t="s">
        <v>138</v>
      </c>
      <c r="C16" s="325">
        <v>128445</v>
      </c>
      <c r="D16" s="325">
        <v>127097</v>
      </c>
      <c r="E16" s="325">
        <v>128288</v>
      </c>
      <c r="F16" s="325">
        <v>119003</v>
      </c>
      <c r="G16" s="325">
        <v>129320</v>
      </c>
      <c r="H16" s="325">
        <v>134210</v>
      </c>
      <c r="I16" s="325">
        <v>121678</v>
      </c>
      <c r="J16" s="325">
        <v>131132</v>
      </c>
      <c r="K16" s="325">
        <v>127960</v>
      </c>
      <c r="L16" s="325">
        <v>150209</v>
      </c>
      <c r="M16" s="325">
        <v>136915</v>
      </c>
      <c r="N16" s="325">
        <v>129387</v>
      </c>
      <c r="O16" s="325">
        <v>95020</v>
      </c>
      <c r="P16" s="325">
        <v>85162</v>
      </c>
      <c r="Q16" s="325">
        <v>82871</v>
      </c>
      <c r="R16" s="325">
        <v>79754</v>
      </c>
      <c r="S16" s="325">
        <v>78570</v>
      </c>
      <c r="T16" s="325">
        <v>78681</v>
      </c>
      <c r="U16" s="74"/>
    </row>
    <row r="17" spans="1:21" ht="15.95" customHeight="1" x14ac:dyDescent="0.25">
      <c r="A17" s="326" t="s">
        <v>177</v>
      </c>
      <c r="B17" s="316" t="s">
        <v>140</v>
      </c>
      <c r="C17" s="325">
        <v>51790</v>
      </c>
      <c r="D17" s="325">
        <v>50812</v>
      </c>
      <c r="E17" s="325">
        <v>51610</v>
      </c>
      <c r="F17" s="325">
        <v>57945</v>
      </c>
      <c r="G17" s="325">
        <v>58370</v>
      </c>
      <c r="H17" s="325">
        <v>66971</v>
      </c>
      <c r="I17" s="325">
        <v>65430</v>
      </c>
      <c r="J17" s="325">
        <v>63065.2</v>
      </c>
      <c r="K17" s="325">
        <v>63014</v>
      </c>
      <c r="L17" s="325">
        <v>67160</v>
      </c>
      <c r="M17" s="325">
        <v>67839</v>
      </c>
      <c r="N17" s="325">
        <v>69980</v>
      </c>
      <c r="O17" s="325">
        <v>73479</v>
      </c>
      <c r="P17" s="325">
        <v>72980</v>
      </c>
      <c r="Q17" s="325">
        <v>72241</v>
      </c>
      <c r="R17" s="325">
        <v>72610.5</v>
      </c>
      <c r="S17" s="325">
        <v>72240</v>
      </c>
      <c r="T17" s="325">
        <v>72280</v>
      </c>
      <c r="U17" s="74"/>
    </row>
    <row r="18" spans="1:21" ht="15.95" customHeight="1" x14ac:dyDescent="0.25">
      <c r="A18" s="326" t="s">
        <v>176</v>
      </c>
      <c r="B18" s="316" t="s">
        <v>136</v>
      </c>
      <c r="C18" s="325">
        <v>230250</v>
      </c>
      <c r="D18" s="325">
        <v>232350</v>
      </c>
      <c r="E18" s="325">
        <v>233219</v>
      </c>
      <c r="F18" s="325">
        <v>235396</v>
      </c>
      <c r="G18" s="325">
        <v>237789</v>
      </c>
      <c r="H18" s="325">
        <v>209672</v>
      </c>
      <c r="I18" s="325">
        <v>201287</v>
      </c>
      <c r="J18" s="325">
        <v>201473</v>
      </c>
      <c r="K18" s="325">
        <v>179650</v>
      </c>
      <c r="L18" s="325">
        <v>161609</v>
      </c>
      <c r="M18" s="325">
        <v>158708</v>
      </c>
      <c r="N18" s="325">
        <v>152251</v>
      </c>
      <c r="O18" s="325">
        <v>139859</v>
      </c>
      <c r="P18" s="325">
        <v>142064</v>
      </c>
      <c r="Q18" s="325">
        <v>150238</v>
      </c>
      <c r="R18" s="325">
        <v>150801</v>
      </c>
      <c r="S18" s="325">
        <v>148034</v>
      </c>
      <c r="T18" s="325">
        <v>144965</v>
      </c>
      <c r="U18" s="74"/>
    </row>
    <row r="19" spans="1:21" ht="15.95" customHeight="1" x14ac:dyDescent="0.25">
      <c r="A19" s="317" t="s">
        <v>175</v>
      </c>
      <c r="B19" s="318" t="s">
        <v>174</v>
      </c>
      <c r="C19" s="319">
        <v>416690</v>
      </c>
      <c r="D19" s="319">
        <v>416692</v>
      </c>
      <c r="E19" s="319">
        <v>436910</v>
      </c>
      <c r="F19" s="319">
        <v>433880</v>
      </c>
      <c r="G19" s="319">
        <v>437090</v>
      </c>
      <c r="H19" s="319">
        <v>445610</v>
      </c>
      <c r="I19" s="319">
        <v>449260</v>
      </c>
      <c r="J19" s="319">
        <v>452370</v>
      </c>
      <c r="K19" s="319">
        <v>405300</v>
      </c>
      <c r="L19" s="319">
        <v>435120</v>
      </c>
      <c r="M19" s="319">
        <v>423780</v>
      </c>
      <c r="N19" s="319">
        <v>423850</v>
      </c>
      <c r="O19" s="319">
        <v>394780</v>
      </c>
      <c r="P19" s="319">
        <v>394830</v>
      </c>
      <c r="Q19" s="319">
        <v>370270</v>
      </c>
      <c r="R19" s="319">
        <v>369690</v>
      </c>
      <c r="S19" s="319">
        <v>369725</v>
      </c>
      <c r="T19" s="319">
        <v>359415</v>
      </c>
      <c r="U19" s="74"/>
    </row>
    <row r="20" spans="1:21" customFormat="1" ht="12" customHeight="1" x14ac:dyDescent="0.25">
      <c r="A20" s="166" t="s">
        <v>331</v>
      </c>
      <c r="B20" s="167"/>
      <c r="C20" s="168"/>
      <c r="D20" s="168"/>
      <c r="E20" s="168"/>
      <c r="F20" s="168"/>
      <c r="G20" s="168"/>
      <c r="H20" s="168"/>
      <c r="I20" s="169"/>
    </row>
    <row r="21" spans="1:21" s="10" customFormat="1" ht="12" customHeight="1" x14ac:dyDescent="0.25">
      <c r="A21" s="103" t="s">
        <v>40</v>
      </c>
      <c r="B21" s="113"/>
      <c r="D21" s="114"/>
    </row>
  </sheetData>
  <mergeCells count="4">
    <mergeCell ref="A4:B4"/>
    <mergeCell ref="A6:B6"/>
    <mergeCell ref="A1:T1"/>
    <mergeCell ref="A2:T2"/>
  </mergeCells>
  <printOptions horizontalCentered="1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H38"/>
  <sheetViews>
    <sheetView showGridLines="0" zoomScaleNormal="100" zoomScaleSheetLayoutView="130" workbookViewId="0">
      <selection activeCell="A3" sqref="A3:G38"/>
    </sheetView>
  </sheetViews>
  <sheetFormatPr baseColWidth="10" defaultColWidth="11.28515625" defaultRowHeight="12.75" customHeight="1" x14ac:dyDescent="0.3"/>
  <cols>
    <col min="1" max="1" width="14" style="23" customWidth="1"/>
    <col min="2" max="2" width="2.28515625" style="23" hidden="1" customWidth="1"/>
    <col min="3" max="3" width="16.28515625" style="23" customWidth="1"/>
    <col min="4" max="4" width="3.85546875" style="23" customWidth="1"/>
    <col min="5" max="5" width="16.28515625" style="23" customWidth="1"/>
    <col min="6" max="6" width="4" style="23" customWidth="1"/>
    <col min="7" max="7" width="16.28515625" style="23" customWidth="1"/>
    <col min="8" max="16384" width="11.28515625" style="23"/>
  </cols>
  <sheetData>
    <row r="1" spans="1:7" ht="12.75" customHeight="1" x14ac:dyDescent="0.3">
      <c r="A1" s="543" t="s">
        <v>320</v>
      </c>
      <c r="B1" s="543"/>
      <c r="C1" s="543"/>
      <c r="D1" s="543"/>
      <c r="E1" s="543"/>
      <c r="F1" s="543"/>
      <c r="G1" s="543"/>
    </row>
    <row r="2" spans="1:7" ht="12.75" customHeight="1" x14ac:dyDescent="0.3">
      <c r="A2" s="140"/>
      <c r="B2" s="140"/>
      <c r="C2" s="140"/>
      <c r="D2" s="140"/>
      <c r="E2" s="140"/>
      <c r="F2" s="140"/>
      <c r="G2" s="141"/>
    </row>
    <row r="3" spans="1:7" ht="38.25" customHeight="1" x14ac:dyDescent="0.3">
      <c r="A3" s="357" t="s">
        <v>27</v>
      </c>
      <c r="B3" s="358"/>
      <c r="C3" s="359" t="s">
        <v>215</v>
      </c>
      <c r="D3" s="360"/>
      <c r="E3" s="359" t="s">
        <v>214</v>
      </c>
      <c r="F3" s="360"/>
      <c r="G3" s="359" t="s">
        <v>213</v>
      </c>
    </row>
    <row r="4" spans="1:7" ht="12.75" hidden="1" customHeight="1" x14ac:dyDescent="0.3">
      <c r="A4" s="361"/>
      <c r="B4" s="370"/>
      <c r="C4" s="371"/>
      <c r="D4" s="371"/>
      <c r="E4" s="372"/>
      <c r="F4" s="371"/>
      <c r="G4" s="371"/>
    </row>
    <row r="5" spans="1:7" ht="12.75" hidden="1" customHeight="1" x14ac:dyDescent="0.3">
      <c r="A5" s="362">
        <v>1980</v>
      </c>
      <c r="B5" s="373"/>
      <c r="C5" s="374">
        <v>61150</v>
      </c>
      <c r="D5" s="375"/>
      <c r="E5" s="374">
        <v>2449976</v>
      </c>
      <c r="F5" s="376"/>
      <c r="G5" s="33" t="s">
        <v>212</v>
      </c>
    </row>
    <row r="6" spans="1:7" ht="12.75" hidden="1" customHeight="1" x14ac:dyDescent="0.3">
      <c r="A6" s="362">
        <v>1981</v>
      </c>
      <c r="B6" s="373"/>
      <c r="C6" s="374">
        <v>69063</v>
      </c>
      <c r="D6" s="375"/>
      <c r="E6" s="374">
        <v>3146360</v>
      </c>
      <c r="F6" s="376"/>
      <c r="G6" s="33" t="s">
        <v>212</v>
      </c>
    </row>
    <row r="7" spans="1:7" ht="12.75" hidden="1" customHeight="1" x14ac:dyDescent="0.3">
      <c r="A7" s="362">
        <v>1982</v>
      </c>
      <c r="B7" s="373"/>
      <c r="C7" s="374">
        <v>25472</v>
      </c>
      <c r="D7" s="375"/>
      <c r="E7" s="374">
        <v>279915</v>
      </c>
      <c r="F7" s="376"/>
      <c r="G7" s="33" t="s">
        <v>212</v>
      </c>
    </row>
    <row r="8" spans="1:7" ht="12.75" hidden="1" customHeight="1" x14ac:dyDescent="0.3">
      <c r="A8" s="362">
        <v>1983</v>
      </c>
      <c r="B8" s="373"/>
      <c r="C8" s="374">
        <v>44516</v>
      </c>
      <c r="D8" s="375"/>
      <c r="E8" s="374">
        <v>3006032</v>
      </c>
      <c r="F8" s="376"/>
      <c r="G8" s="33" t="s">
        <v>212</v>
      </c>
    </row>
    <row r="9" spans="1:7" ht="12.75" hidden="1" customHeight="1" x14ac:dyDescent="0.3">
      <c r="A9" s="362">
        <v>1984</v>
      </c>
      <c r="B9" s="373"/>
      <c r="C9" s="374">
        <v>51252</v>
      </c>
      <c r="D9" s="375"/>
      <c r="E9" s="374">
        <v>2371393</v>
      </c>
      <c r="F9" s="376"/>
      <c r="G9" s="33" t="s">
        <v>212</v>
      </c>
    </row>
    <row r="10" spans="1:7" ht="12.75" hidden="1" customHeight="1" x14ac:dyDescent="0.3">
      <c r="A10" s="362">
        <v>1985</v>
      </c>
      <c r="B10" s="373"/>
      <c r="C10" s="374">
        <v>53310</v>
      </c>
      <c r="D10" s="375"/>
      <c r="E10" s="374">
        <v>2892914</v>
      </c>
      <c r="F10" s="376"/>
      <c r="G10" s="33" t="s">
        <v>212</v>
      </c>
    </row>
    <row r="11" spans="1:7" ht="12.75" hidden="1" customHeight="1" x14ac:dyDescent="0.3">
      <c r="A11" s="362">
        <v>1986</v>
      </c>
      <c r="B11" s="373"/>
      <c r="C11" s="374">
        <v>61224</v>
      </c>
      <c r="D11" s="375"/>
      <c r="E11" s="374">
        <v>2701601</v>
      </c>
      <c r="F11" s="376"/>
      <c r="G11" s="33" t="s">
        <v>212</v>
      </c>
    </row>
    <row r="12" spans="1:7" ht="12.75" hidden="1" customHeight="1" x14ac:dyDescent="0.3">
      <c r="A12" s="362">
        <v>1987</v>
      </c>
      <c r="B12" s="373"/>
      <c r="C12" s="374">
        <v>63223</v>
      </c>
      <c r="D12" s="375"/>
      <c r="E12" s="374">
        <v>2985757</v>
      </c>
      <c r="F12" s="376"/>
      <c r="G12" s="33" t="s">
        <v>212</v>
      </c>
    </row>
    <row r="13" spans="1:7" ht="12.75" hidden="1" customHeight="1" x14ac:dyDescent="0.3">
      <c r="A13" s="362">
        <v>1988</v>
      </c>
      <c r="B13" s="373"/>
      <c r="C13" s="374">
        <v>53979</v>
      </c>
      <c r="D13" s="375"/>
      <c r="E13" s="374">
        <v>2501222</v>
      </c>
      <c r="F13" s="376"/>
      <c r="G13" s="33" t="s">
        <v>212</v>
      </c>
    </row>
    <row r="14" spans="1:7" ht="12.75" hidden="1" customHeight="1" x14ac:dyDescent="0.3">
      <c r="A14" s="362">
        <v>1989</v>
      </c>
      <c r="B14" s="373"/>
      <c r="C14" s="374">
        <v>33173</v>
      </c>
      <c r="D14" s="375"/>
      <c r="E14" s="374">
        <v>2732074</v>
      </c>
      <c r="F14" s="376"/>
      <c r="G14" s="33" t="s">
        <v>212</v>
      </c>
    </row>
    <row r="15" spans="1:7" ht="12.75" hidden="1" customHeight="1" x14ac:dyDescent="0.3">
      <c r="A15" s="362">
        <v>1990</v>
      </c>
      <c r="B15" s="373"/>
      <c r="C15" s="374">
        <v>15412</v>
      </c>
      <c r="D15" s="375"/>
      <c r="E15" s="374">
        <v>761976</v>
      </c>
      <c r="F15" s="376"/>
      <c r="G15" s="33" t="s">
        <v>212</v>
      </c>
    </row>
    <row r="16" spans="1:7" ht="12.75" hidden="1" customHeight="1" x14ac:dyDescent="0.3">
      <c r="A16" s="362">
        <v>1991</v>
      </c>
      <c r="B16" s="373"/>
      <c r="C16" s="374">
        <v>20931</v>
      </c>
      <c r="D16" s="375"/>
      <c r="E16" s="374">
        <v>920106</v>
      </c>
      <c r="F16" s="376"/>
      <c r="G16" s="33" t="s">
        <v>212</v>
      </c>
    </row>
    <row r="17" spans="1:7" ht="12.75" hidden="1" customHeight="1" x14ac:dyDescent="0.3">
      <c r="A17" s="362">
        <v>1992</v>
      </c>
      <c r="B17" s="373"/>
      <c r="C17" s="374">
        <v>26450</v>
      </c>
      <c r="D17" s="375"/>
      <c r="E17" s="374">
        <v>1078236</v>
      </c>
      <c r="F17" s="376"/>
      <c r="G17" s="33" t="s">
        <v>211</v>
      </c>
    </row>
    <row r="18" spans="1:7" ht="12.75" hidden="1" customHeight="1" x14ac:dyDescent="0.3">
      <c r="A18" s="362">
        <v>1993</v>
      </c>
      <c r="B18" s="373"/>
      <c r="C18" s="374">
        <v>31969</v>
      </c>
      <c r="D18" s="375"/>
      <c r="E18" s="374">
        <v>1236366</v>
      </c>
      <c r="F18" s="376"/>
      <c r="G18" s="33" t="s">
        <v>211</v>
      </c>
    </row>
    <row r="19" spans="1:7" ht="12.75" hidden="1" customHeight="1" x14ac:dyDescent="0.3">
      <c r="A19" s="362">
        <v>1994</v>
      </c>
      <c r="B19" s="373"/>
      <c r="C19" s="374">
        <v>66559</v>
      </c>
      <c r="D19" s="375"/>
      <c r="E19" s="377">
        <v>6598137</v>
      </c>
      <c r="F19" s="376"/>
      <c r="G19" s="33" t="s">
        <v>210</v>
      </c>
    </row>
    <row r="20" spans="1:7" ht="12.75" hidden="1" customHeight="1" x14ac:dyDescent="0.3">
      <c r="A20" s="362">
        <v>1995</v>
      </c>
      <c r="B20" s="373"/>
      <c r="C20" s="374">
        <v>80062</v>
      </c>
      <c r="D20" s="375"/>
      <c r="E20" s="377">
        <v>6668338</v>
      </c>
      <c r="F20" s="376"/>
      <c r="G20" s="33" t="s">
        <v>211</v>
      </c>
    </row>
    <row r="21" spans="1:7" ht="12.75" hidden="1" customHeight="1" x14ac:dyDescent="0.3">
      <c r="A21" s="362">
        <v>1996</v>
      </c>
      <c r="B21" s="373"/>
      <c r="C21" s="374">
        <v>90323</v>
      </c>
      <c r="D21" s="375"/>
      <c r="E21" s="377">
        <v>6668338</v>
      </c>
      <c r="F21" s="376"/>
      <c r="G21" s="33" t="s">
        <v>211</v>
      </c>
    </row>
    <row r="22" spans="1:7" ht="12.75" hidden="1" customHeight="1" x14ac:dyDescent="0.3">
      <c r="A22" s="362">
        <v>1997</v>
      </c>
      <c r="B22" s="373"/>
      <c r="C22" s="374">
        <v>103161</v>
      </c>
      <c r="D22" s="375"/>
      <c r="E22" s="377">
        <v>6668338</v>
      </c>
      <c r="F22" s="376"/>
      <c r="G22" s="33" t="s">
        <v>210</v>
      </c>
    </row>
    <row r="23" spans="1:7" ht="12.75" hidden="1" customHeight="1" x14ac:dyDescent="0.3">
      <c r="A23" s="362">
        <v>1998</v>
      </c>
      <c r="B23" s="373"/>
      <c r="C23" s="374">
        <v>120210</v>
      </c>
      <c r="D23" s="375"/>
      <c r="E23" s="377">
        <v>6668338</v>
      </c>
      <c r="F23" s="376"/>
      <c r="G23" s="33" t="s">
        <v>211</v>
      </c>
    </row>
    <row r="24" spans="1:7" ht="12.75" hidden="1" customHeight="1" x14ac:dyDescent="0.3">
      <c r="A24" s="362">
        <v>1999</v>
      </c>
      <c r="B24" s="373"/>
      <c r="C24" s="374">
        <v>141090</v>
      </c>
      <c r="D24" s="375"/>
      <c r="E24" s="377">
        <v>6668338</v>
      </c>
      <c r="F24" s="376"/>
      <c r="G24" s="33" t="s">
        <v>211</v>
      </c>
    </row>
    <row r="25" spans="1:7" ht="12.75" hidden="1" customHeight="1" x14ac:dyDescent="0.3">
      <c r="A25" s="362">
        <v>2000</v>
      </c>
      <c r="B25" s="373"/>
      <c r="C25" s="374">
        <v>118678</v>
      </c>
      <c r="D25" s="375"/>
      <c r="E25" s="377">
        <v>6661498</v>
      </c>
      <c r="F25" s="376"/>
      <c r="G25" s="33" t="s">
        <v>210</v>
      </c>
    </row>
    <row r="26" spans="1:7" ht="12.75" hidden="1" customHeight="1" x14ac:dyDescent="0.3">
      <c r="A26" s="362">
        <v>2001</v>
      </c>
      <c r="B26" s="373"/>
      <c r="C26" s="374">
        <v>128172</v>
      </c>
      <c r="D26" s="375"/>
      <c r="E26" s="377">
        <v>6661498</v>
      </c>
      <c r="F26" s="376"/>
      <c r="G26" s="33" t="s">
        <v>211</v>
      </c>
    </row>
    <row r="27" spans="1:7" ht="12.75" hidden="1" customHeight="1" x14ac:dyDescent="0.3">
      <c r="A27" s="362">
        <v>2002</v>
      </c>
      <c r="B27" s="373"/>
      <c r="C27" s="374">
        <v>138426</v>
      </c>
      <c r="D27" s="375"/>
      <c r="E27" s="377">
        <v>6661498</v>
      </c>
      <c r="F27" s="376"/>
      <c r="G27" s="33" t="s">
        <v>211</v>
      </c>
    </row>
    <row r="28" spans="1:7" ht="12.75" hidden="1" customHeight="1" x14ac:dyDescent="0.3">
      <c r="A28" s="362">
        <v>2003</v>
      </c>
      <c r="B28" s="373"/>
      <c r="C28" s="374">
        <v>149500</v>
      </c>
      <c r="D28" s="375"/>
      <c r="E28" s="377">
        <v>6661498</v>
      </c>
      <c r="F28" s="376"/>
      <c r="G28" s="33" t="s">
        <v>211</v>
      </c>
    </row>
    <row r="29" spans="1:7" ht="12.75" hidden="1" customHeight="1" x14ac:dyDescent="0.3">
      <c r="A29" s="362">
        <v>2004</v>
      </c>
      <c r="B29" s="373"/>
      <c r="C29" s="374">
        <v>161460</v>
      </c>
      <c r="D29" s="375"/>
      <c r="E29" s="377">
        <v>6661498</v>
      </c>
      <c r="F29" s="376"/>
      <c r="G29" s="33" t="s">
        <v>211</v>
      </c>
    </row>
    <row r="30" spans="1:7" ht="15.95" customHeight="1" x14ac:dyDescent="0.3">
      <c r="A30" s="362">
        <v>2005</v>
      </c>
      <c r="B30" s="373"/>
      <c r="C30" s="374">
        <v>174377</v>
      </c>
      <c r="D30" s="375"/>
      <c r="E30" s="377">
        <v>6661498</v>
      </c>
      <c r="F30" s="376"/>
      <c r="G30" s="33" t="s">
        <v>211</v>
      </c>
    </row>
    <row r="31" spans="1:7" ht="15.95" customHeight="1" x14ac:dyDescent="0.3">
      <c r="A31" s="362">
        <v>2006</v>
      </c>
      <c r="B31" s="373"/>
      <c r="C31" s="374">
        <v>188327</v>
      </c>
      <c r="D31" s="375"/>
      <c r="E31" s="377">
        <v>6661498</v>
      </c>
      <c r="F31" s="376"/>
      <c r="G31" s="33" t="s">
        <v>211</v>
      </c>
    </row>
    <row r="32" spans="1:7" ht="15.95" customHeight="1" x14ac:dyDescent="0.3">
      <c r="A32" s="362">
        <v>2007</v>
      </c>
      <c r="B32" s="373"/>
      <c r="C32" s="374">
        <v>203393</v>
      </c>
      <c r="D32" s="375"/>
      <c r="E32" s="377">
        <v>6661498</v>
      </c>
      <c r="F32" s="376"/>
      <c r="G32" s="33" t="s">
        <v>211</v>
      </c>
    </row>
    <row r="33" spans="1:8" ht="15.95" customHeight="1" x14ac:dyDescent="0.3">
      <c r="A33" s="362">
        <v>2008</v>
      </c>
      <c r="B33" s="373"/>
      <c r="C33" s="374">
        <v>219665</v>
      </c>
      <c r="D33" s="375"/>
      <c r="E33" s="377">
        <v>6661498</v>
      </c>
      <c r="F33" s="376"/>
      <c r="G33" s="33" t="s">
        <v>211</v>
      </c>
    </row>
    <row r="34" spans="1:8" ht="15.95" customHeight="1" x14ac:dyDescent="0.3">
      <c r="A34" s="362">
        <v>2009</v>
      </c>
      <c r="B34" s="373"/>
      <c r="C34" s="374">
        <v>237238</v>
      </c>
      <c r="D34" s="375"/>
      <c r="E34" s="377">
        <v>6661498</v>
      </c>
      <c r="F34" s="376"/>
      <c r="G34" s="33" t="s">
        <v>211</v>
      </c>
    </row>
    <row r="35" spans="1:8" ht="15.95" customHeight="1" x14ac:dyDescent="0.3">
      <c r="A35" s="362">
        <v>2010</v>
      </c>
      <c r="B35" s="373"/>
      <c r="C35" s="374">
        <v>256217</v>
      </c>
      <c r="D35" s="375"/>
      <c r="E35" s="377">
        <v>6661498</v>
      </c>
      <c r="F35" s="376"/>
      <c r="G35" s="33" t="s">
        <v>211</v>
      </c>
      <c r="H35" s="70"/>
    </row>
    <row r="36" spans="1:8" ht="15.95" customHeight="1" x14ac:dyDescent="0.3">
      <c r="A36" s="362">
        <v>2011</v>
      </c>
      <c r="B36" s="373"/>
      <c r="C36" s="374">
        <v>276714</v>
      </c>
      <c r="D36" s="375"/>
      <c r="E36" s="377">
        <v>6661498</v>
      </c>
      <c r="F36" s="376"/>
      <c r="G36" s="33" t="s">
        <v>211</v>
      </c>
      <c r="H36" s="70"/>
    </row>
    <row r="37" spans="1:8" ht="15.95" customHeight="1" x14ac:dyDescent="0.3">
      <c r="A37" s="363">
        <v>2012</v>
      </c>
      <c r="B37" s="364"/>
      <c r="C37" s="365">
        <v>208899</v>
      </c>
      <c r="D37" s="366"/>
      <c r="E37" s="367">
        <v>6661498</v>
      </c>
      <c r="F37" s="368"/>
      <c r="G37" s="369" t="s">
        <v>210</v>
      </c>
      <c r="H37" s="70"/>
    </row>
    <row r="38" spans="1:8" s="4" customFormat="1" ht="12" customHeight="1" x14ac:dyDescent="0.25">
      <c r="A38" s="544" t="s">
        <v>0</v>
      </c>
      <c r="B38" s="545"/>
      <c r="C38" s="545"/>
      <c r="D38" s="545"/>
      <c r="E38" s="545"/>
      <c r="F38" s="545"/>
      <c r="G38" s="545"/>
    </row>
  </sheetData>
  <mergeCells count="2">
    <mergeCell ref="A1:G1"/>
    <mergeCell ref="A38:G38"/>
  </mergeCells>
  <printOptions horizontalCentered="1"/>
  <pageMargins left="0.70866141732283472" right="0.70866141732283472" top="0.35433070866141736" bottom="0.43307086614173229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N25"/>
  <sheetViews>
    <sheetView showGridLines="0" zoomScaleNormal="100" zoomScaleSheetLayoutView="145" workbookViewId="0">
      <selection activeCell="A4" sqref="A4:N25"/>
    </sheetView>
  </sheetViews>
  <sheetFormatPr baseColWidth="10" defaultColWidth="11.28515625" defaultRowHeight="12.75" customHeight="1" x14ac:dyDescent="0.3"/>
  <cols>
    <col min="1" max="1" width="14.7109375" style="70" customWidth="1"/>
    <col min="2" max="4" width="6.28515625" style="70" hidden="1" customWidth="1"/>
    <col min="5" max="6" width="7.28515625" style="70" hidden="1" customWidth="1"/>
    <col min="7" max="7" width="8.28515625" style="70" hidden="1" customWidth="1"/>
    <col min="8" max="8" width="11.7109375" style="70" hidden="1" customWidth="1"/>
    <col min="9" max="14" width="10.7109375" style="70" customWidth="1"/>
    <col min="15" max="16384" width="11.28515625" style="70"/>
  </cols>
  <sheetData>
    <row r="1" spans="1:14" ht="12.75" customHeight="1" x14ac:dyDescent="0.3">
      <c r="A1" s="543" t="s">
        <v>232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</row>
    <row r="2" spans="1:14" ht="12.75" customHeight="1" x14ac:dyDescent="0.3">
      <c r="A2" s="521" t="s">
        <v>231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</row>
    <row r="3" spans="1:14" ht="12.75" customHeight="1" x14ac:dyDescent="0.3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</row>
    <row r="4" spans="1:14" ht="25.5" customHeight="1" x14ac:dyDescent="0.3">
      <c r="A4" s="378" t="s">
        <v>143</v>
      </c>
      <c r="B4" s="313" t="s">
        <v>230</v>
      </c>
      <c r="C4" s="313" t="s">
        <v>229</v>
      </c>
      <c r="D4" s="313" t="s">
        <v>228</v>
      </c>
      <c r="E4" s="313" t="s">
        <v>227</v>
      </c>
      <c r="F4" s="313" t="s">
        <v>226</v>
      </c>
      <c r="G4" s="313" t="s">
        <v>225</v>
      </c>
      <c r="H4" s="313" t="s">
        <v>224</v>
      </c>
      <c r="I4" s="313" t="s">
        <v>223</v>
      </c>
      <c r="J4" s="313" t="s">
        <v>222</v>
      </c>
      <c r="K4" s="313" t="s">
        <v>221</v>
      </c>
      <c r="L4" s="379" t="s">
        <v>220</v>
      </c>
      <c r="M4" s="379" t="s">
        <v>219</v>
      </c>
      <c r="N4" s="380" t="s">
        <v>218</v>
      </c>
    </row>
    <row r="5" spans="1:14" ht="3" customHeight="1" x14ac:dyDescent="0.3">
      <c r="A5" s="381"/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8"/>
      <c r="M5" s="388"/>
      <c r="N5" s="388"/>
    </row>
    <row r="6" spans="1:14" ht="15.95" customHeight="1" x14ac:dyDescent="0.3">
      <c r="A6" s="382" t="s">
        <v>148</v>
      </c>
      <c r="B6" s="389">
        <v>118678</v>
      </c>
      <c r="C6" s="389">
        <v>128173</v>
      </c>
      <c r="D6" s="389">
        <v>138424</v>
      </c>
      <c r="E6" s="389">
        <v>149500</v>
      </c>
      <c r="F6" s="389">
        <v>161460</v>
      </c>
      <c r="G6" s="390">
        <v>174378</v>
      </c>
      <c r="H6" s="390">
        <v>188327</v>
      </c>
      <c r="I6" s="390">
        <v>203393</v>
      </c>
      <c r="J6" s="390">
        <v>219665</v>
      </c>
      <c r="K6" s="390">
        <v>237238</v>
      </c>
      <c r="L6" s="390">
        <v>256217</v>
      </c>
      <c r="M6" s="390">
        <v>276714</v>
      </c>
      <c r="N6" s="390">
        <v>208899</v>
      </c>
    </row>
    <row r="7" spans="1:14" ht="15.95" customHeight="1" x14ac:dyDescent="0.3">
      <c r="A7" s="383" t="s">
        <v>138</v>
      </c>
      <c r="B7" s="391">
        <v>40390</v>
      </c>
      <c r="C7" s="391">
        <v>43621</v>
      </c>
      <c r="D7" s="391">
        <v>47111</v>
      </c>
      <c r="E7" s="391">
        <v>50880</v>
      </c>
      <c r="F7" s="391">
        <v>54950</v>
      </c>
      <c r="G7" s="392">
        <v>59346</v>
      </c>
      <c r="H7" s="392">
        <v>64094</v>
      </c>
      <c r="I7" s="392">
        <v>69221</v>
      </c>
      <c r="J7" s="392">
        <v>74759</v>
      </c>
      <c r="K7" s="392">
        <v>80740</v>
      </c>
      <c r="L7" s="392">
        <v>87199</v>
      </c>
      <c r="M7" s="392">
        <v>94175</v>
      </c>
      <c r="N7" s="392">
        <v>62133</v>
      </c>
    </row>
    <row r="8" spans="1:14" ht="15.95" customHeight="1" x14ac:dyDescent="0.3">
      <c r="A8" s="383" t="s">
        <v>174</v>
      </c>
      <c r="B8" s="391">
        <v>18107</v>
      </c>
      <c r="C8" s="391">
        <v>19556</v>
      </c>
      <c r="D8" s="391">
        <v>21120</v>
      </c>
      <c r="E8" s="391">
        <v>22810</v>
      </c>
      <c r="F8" s="391">
        <v>24634</v>
      </c>
      <c r="G8" s="392">
        <v>26605</v>
      </c>
      <c r="H8" s="392">
        <v>28733</v>
      </c>
      <c r="I8" s="392">
        <v>31032</v>
      </c>
      <c r="J8" s="392">
        <v>33515</v>
      </c>
      <c r="K8" s="392">
        <v>36195</v>
      </c>
      <c r="L8" s="392">
        <v>39091</v>
      </c>
      <c r="M8" s="392">
        <v>42218</v>
      </c>
      <c r="N8" s="392">
        <v>38673</v>
      </c>
    </row>
    <row r="9" spans="1:14" ht="15.95" customHeight="1" x14ac:dyDescent="0.3">
      <c r="A9" s="383" t="s">
        <v>129</v>
      </c>
      <c r="B9" s="391">
        <v>17689</v>
      </c>
      <c r="C9" s="391">
        <v>19104</v>
      </c>
      <c r="D9" s="391">
        <v>20632</v>
      </c>
      <c r="E9" s="391">
        <v>22283</v>
      </c>
      <c r="F9" s="391">
        <v>24066</v>
      </c>
      <c r="G9" s="392">
        <v>25991</v>
      </c>
      <c r="H9" s="392">
        <v>28071</v>
      </c>
      <c r="I9" s="392">
        <v>30316</v>
      </c>
      <c r="J9" s="392">
        <v>32741</v>
      </c>
      <c r="K9" s="392">
        <v>35361</v>
      </c>
      <c r="L9" s="392">
        <v>38190</v>
      </c>
      <c r="M9" s="392">
        <v>41245</v>
      </c>
      <c r="N9" s="392">
        <v>9515</v>
      </c>
    </row>
    <row r="10" spans="1:14" ht="15.95" customHeight="1" x14ac:dyDescent="0.3">
      <c r="A10" s="383" t="s">
        <v>181</v>
      </c>
      <c r="B10" s="391">
        <v>11408</v>
      </c>
      <c r="C10" s="391">
        <v>12321</v>
      </c>
      <c r="D10" s="391">
        <v>13306</v>
      </c>
      <c r="E10" s="391">
        <v>14371</v>
      </c>
      <c r="F10" s="391">
        <v>15520</v>
      </c>
      <c r="G10" s="392">
        <v>16762</v>
      </c>
      <c r="H10" s="392">
        <v>18103</v>
      </c>
      <c r="I10" s="392">
        <v>19551</v>
      </c>
      <c r="J10" s="392">
        <v>21115</v>
      </c>
      <c r="K10" s="392">
        <v>22805</v>
      </c>
      <c r="L10" s="392">
        <v>24629</v>
      </c>
      <c r="M10" s="392">
        <v>26600</v>
      </c>
      <c r="N10" s="392">
        <v>21325</v>
      </c>
    </row>
    <row r="11" spans="1:14" ht="15.95" customHeight="1" x14ac:dyDescent="0.3">
      <c r="A11" s="383" t="s">
        <v>140</v>
      </c>
      <c r="B11" s="391">
        <v>10020</v>
      </c>
      <c r="C11" s="391">
        <v>10822</v>
      </c>
      <c r="D11" s="391">
        <v>11687</v>
      </c>
      <c r="E11" s="391">
        <v>12622</v>
      </c>
      <c r="F11" s="391">
        <v>13632</v>
      </c>
      <c r="G11" s="392">
        <v>14723</v>
      </c>
      <c r="H11" s="392">
        <v>15900</v>
      </c>
      <c r="I11" s="392">
        <v>17172</v>
      </c>
      <c r="J11" s="392">
        <v>18546</v>
      </c>
      <c r="K11" s="392">
        <v>20029</v>
      </c>
      <c r="L11" s="392">
        <v>21631</v>
      </c>
      <c r="M11" s="392">
        <v>23362</v>
      </c>
      <c r="N11" s="392">
        <v>11434</v>
      </c>
    </row>
    <row r="12" spans="1:14" ht="15.95" customHeight="1" x14ac:dyDescent="0.3">
      <c r="A12" s="383" t="s">
        <v>135</v>
      </c>
      <c r="B12" s="391">
        <v>8745</v>
      </c>
      <c r="C12" s="391">
        <v>9445</v>
      </c>
      <c r="D12" s="391">
        <v>10200</v>
      </c>
      <c r="E12" s="391">
        <v>11016</v>
      </c>
      <c r="F12" s="391">
        <v>11897</v>
      </c>
      <c r="G12" s="392">
        <v>12849</v>
      </c>
      <c r="H12" s="392">
        <v>13877</v>
      </c>
      <c r="I12" s="392">
        <v>14987</v>
      </c>
      <c r="J12" s="392">
        <v>16186</v>
      </c>
      <c r="K12" s="392">
        <v>17481</v>
      </c>
      <c r="L12" s="392">
        <v>18880</v>
      </c>
      <c r="M12" s="392">
        <v>20390</v>
      </c>
      <c r="N12" s="392">
        <v>23616</v>
      </c>
    </row>
    <row r="13" spans="1:14" ht="15.95" customHeight="1" x14ac:dyDescent="0.3">
      <c r="A13" s="383" t="s">
        <v>136</v>
      </c>
      <c r="B13" s="391">
        <v>4209</v>
      </c>
      <c r="C13" s="391">
        <v>4546</v>
      </c>
      <c r="D13" s="391">
        <v>4909</v>
      </c>
      <c r="E13" s="391">
        <v>5302</v>
      </c>
      <c r="F13" s="391">
        <v>5726</v>
      </c>
      <c r="G13" s="392">
        <v>6184</v>
      </c>
      <c r="H13" s="392">
        <v>6679</v>
      </c>
      <c r="I13" s="392">
        <v>7213</v>
      </c>
      <c r="J13" s="392">
        <v>7790</v>
      </c>
      <c r="K13" s="392">
        <v>8414</v>
      </c>
      <c r="L13" s="392">
        <v>9087</v>
      </c>
      <c r="M13" s="392">
        <v>9814</v>
      </c>
      <c r="N13" s="392">
        <v>17833</v>
      </c>
    </row>
    <row r="14" spans="1:14" ht="15.95" customHeight="1" x14ac:dyDescent="0.3">
      <c r="A14" s="383" t="s">
        <v>139</v>
      </c>
      <c r="B14" s="391">
        <v>3681</v>
      </c>
      <c r="C14" s="391">
        <v>3975</v>
      </c>
      <c r="D14" s="391">
        <v>4294</v>
      </c>
      <c r="E14" s="391">
        <v>4637</v>
      </c>
      <c r="F14" s="391">
        <v>5008</v>
      </c>
      <c r="G14" s="392">
        <v>5409</v>
      </c>
      <c r="H14" s="392">
        <v>5841</v>
      </c>
      <c r="I14" s="392">
        <v>6309</v>
      </c>
      <c r="J14" s="392">
        <v>6814</v>
      </c>
      <c r="K14" s="392">
        <v>7358</v>
      </c>
      <c r="L14" s="392">
        <v>7947</v>
      </c>
      <c r="M14" s="392">
        <v>8582</v>
      </c>
      <c r="N14" s="392">
        <v>15213</v>
      </c>
    </row>
    <row r="15" spans="1:14" ht="15.95" customHeight="1" x14ac:dyDescent="0.3">
      <c r="A15" s="383" t="s">
        <v>133</v>
      </c>
      <c r="B15" s="391">
        <v>1583</v>
      </c>
      <c r="C15" s="391">
        <v>1710</v>
      </c>
      <c r="D15" s="391">
        <v>1846</v>
      </c>
      <c r="E15" s="391">
        <v>1994</v>
      </c>
      <c r="F15" s="391">
        <v>2154</v>
      </c>
      <c r="G15" s="392">
        <v>2326</v>
      </c>
      <c r="H15" s="392">
        <v>2512</v>
      </c>
      <c r="I15" s="392">
        <v>2713</v>
      </c>
      <c r="J15" s="392">
        <v>2930</v>
      </c>
      <c r="K15" s="392">
        <v>3164</v>
      </c>
      <c r="L15" s="392">
        <v>3417</v>
      </c>
      <c r="M15" s="392">
        <v>3690</v>
      </c>
      <c r="N15" s="392">
        <v>2346</v>
      </c>
    </row>
    <row r="16" spans="1:14" ht="15.95" customHeight="1" x14ac:dyDescent="0.3">
      <c r="A16" s="383" t="s">
        <v>121</v>
      </c>
      <c r="B16" s="391">
        <v>1214</v>
      </c>
      <c r="C16" s="391">
        <v>1311</v>
      </c>
      <c r="D16" s="391">
        <v>1416</v>
      </c>
      <c r="E16" s="391">
        <v>1529</v>
      </c>
      <c r="F16" s="391">
        <v>1652</v>
      </c>
      <c r="G16" s="392">
        <v>1784</v>
      </c>
      <c r="H16" s="392">
        <v>1927</v>
      </c>
      <c r="I16" s="392">
        <v>2081</v>
      </c>
      <c r="J16" s="392">
        <v>2247</v>
      </c>
      <c r="K16" s="392">
        <v>2427</v>
      </c>
      <c r="L16" s="392">
        <v>2621</v>
      </c>
      <c r="M16" s="392">
        <v>2831</v>
      </c>
      <c r="N16" s="392">
        <v>1240</v>
      </c>
    </row>
    <row r="17" spans="1:14" ht="15.95" customHeight="1" x14ac:dyDescent="0.3">
      <c r="A17" s="383" t="s">
        <v>141</v>
      </c>
      <c r="B17" s="391">
        <v>684</v>
      </c>
      <c r="C17" s="391">
        <v>739</v>
      </c>
      <c r="D17" s="391">
        <v>798</v>
      </c>
      <c r="E17" s="391">
        <v>862</v>
      </c>
      <c r="F17" s="391">
        <v>931</v>
      </c>
      <c r="G17" s="392">
        <v>1005</v>
      </c>
      <c r="H17" s="392">
        <v>1086</v>
      </c>
      <c r="I17" s="392">
        <v>1173</v>
      </c>
      <c r="J17" s="392">
        <v>1267</v>
      </c>
      <c r="K17" s="392">
        <v>1368</v>
      </c>
      <c r="L17" s="392">
        <v>1477</v>
      </c>
      <c r="M17" s="392">
        <v>1595</v>
      </c>
      <c r="N17" s="392">
        <v>435</v>
      </c>
    </row>
    <row r="18" spans="1:14" ht="15.95" customHeight="1" x14ac:dyDescent="0.3">
      <c r="A18" s="383" t="s">
        <v>125</v>
      </c>
      <c r="B18" s="391">
        <v>343</v>
      </c>
      <c r="C18" s="391">
        <v>370</v>
      </c>
      <c r="D18" s="391">
        <v>400</v>
      </c>
      <c r="E18" s="391">
        <v>432</v>
      </c>
      <c r="F18" s="391">
        <v>467</v>
      </c>
      <c r="G18" s="392">
        <v>504</v>
      </c>
      <c r="H18" s="392">
        <v>545</v>
      </c>
      <c r="I18" s="392">
        <v>588</v>
      </c>
      <c r="J18" s="392">
        <v>635</v>
      </c>
      <c r="K18" s="392">
        <v>687</v>
      </c>
      <c r="L18" s="392">
        <v>742</v>
      </c>
      <c r="M18" s="392">
        <v>801</v>
      </c>
      <c r="N18" s="392">
        <v>1133</v>
      </c>
    </row>
    <row r="19" spans="1:14" ht="15.95" customHeight="1" x14ac:dyDescent="0.3">
      <c r="A19" s="383" t="s">
        <v>126</v>
      </c>
      <c r="B19" s="391">
        <v>293</v>
      </c>
      <c r="C19" s="391">
        <v>316</v>
      </c>
      <c r="D19" s="391">
        <v>342</v>
      </c>
      <c r="E19" s="391">
        <v>369</v>
      </c>
      <c r="F19" s="391">
        <v>399</v>
      </c>
      <c r="G19" s="392">
        <v>431</v>
      </c>
      <c r="H19" s="392">
        <v>465</v>
      </c>
      <c r="I19" s="392">
        <v>503</v>
      </c>
      <c r="J19" s="392">
        <v>543</v>
      </c>
      <c r="K19" s="392">
        <v>586</v>
      </c>
      <c r="L19" s="392">
        <v>633</v>
      </c>
      <c r="M19" s="392">
        <v>684</v>
      </c>
      <c r="N19" s="392">
        <v>1583</v>
      </c>
    </row>
    <row r="20" spans="1:14" ht="15.95" customHeight="1" x14ac:dyDescent="0.3">
      <c r="A20" s="383" t="s">
        <v>137</v>
      </c>
      <c r="B20" s="391">
        <v>235</v>
      </c>
      <c r="C20" s="391">
        <v>254</v>
      </c>
      <c r="D20" s="391">
        <v>274</v>
      </c>
      <c r="E20" s="391">
        <v>296</v>
      </c>
      <c r="F20" s="391">
        <v>320</v>
      </c>
      <c r="G20" s="392">
        <v>346</v>
      </c>
      <c r="H20" s="392">
        <v>373</v>
      </c>
      <c r="I20" s="392">
        <v>403</v>
      </c>
      <c r="J20" s="392">
        <v>435</v>
      </c>
      <c r="K20" s="392">
        <v>470</v>
      </c>
      <c r="L20" s="392">
        <v>508</v>
      </c>
      <c r="M20" s="392">
        <v>548</v>
      </c>
      <c r="N20" s="392">
        <v>1279</v>
      </c>
    </row>
    <row r="21" spans="1:14" ht="15.95" customHeight="1" x14ac:dyDescent="0.3">
      <c r="A21" s="383" t="s">
        <v>134</v>
      </c>
      <c r="B21" s="391">
        <v>51</v>
      </c>
      <c r="C21" s="391">
        <v>55</v>
      </c>
      <c r="D21" s="391">
        <v>59</v>
      </c>
      <c r="E21" s="391">
        <v>64</v>
      </c>
      <c r="F21" s="391">
        <v>69</v>
      </c>
      <c r="G21" s="392">
        <v>75</v>
      </c>
      <c r="H21" s="392">
        <v>80</v>
      </c>
      <c r="I21" s="392">
        <v>87</v>
      </c>
      <c r="J21" s="392">
        <v>94</v>
      </c>
      <c r="K21" s="392">
        <v>101</v>
      </c>
      <c r="L21" s="392">
        <v>109</v>
      </c>
      <c r="M21" s="392">
        <v>118</v>
      </c>
      <c r="N21" s="392">
        <v>51</v>
      </c>
    </row>
    <row r="22" spans="1:14" ht="15.95" customHeight="1" x14ac:dyDescent="0.3">
      <c r="A22" s="384" t="s">
        <v>131</v>
      </c>
      <c r="B22" s="385">
        <v>26</v>
      </c>
      <c r="C22" s="385">
        <v>28</v>
      </c>
      <c r="D22" s="385">
        <v>30</v>
      </c>
      <c r="E22" s="385">
        <v>33</v>
      </c>
      <c r="F22" s="385">
        <v>35</v>
      </c>
      <c r="G22" s="386">
        <v>38</v>
      </c>
      <c r="H22" s="386">
        <v>41</v>
      </c>
      <c r="I22" s="386">
        <v>44</v>
      </c>
      <c r="J22" s="386">
        <v>48</v>
      </c>
      <c r="K22" s="386">
        <v>52</v>
      </c>
      <c r="L22" s="386">
        <v>56</v>
      </c>
      <c r="M22" s="386">
        <v>61</v>
      </c>
      <c r="N22" s="386">
        <v>1090</v>
      </c>
    </row>
    <row r="23" spans="1:14" s="5" customFormat="1" ht="12" customHeight="1" x14ac:dyDescent="0.25">
      <c r="A23" s="11" t="s">
        <v>217</v>
      </c>
      <c r="B23" s="13"/>
      <c r="C23" s="13"/>
      <c r="D23" s="13"/>
      <c r="E23" s="13"/>
      <c r="F23" s="13"/>
      <c r="G23" s="13"/>
      <c r="H23" s="11"/>
    </row>
    <row r="24" spans="1:14" s="5" customFormat="1" ht="12" customHeight="1" x14ac:dyDescent="0.25">
      <c r="A24" s="11" t="s">
        <v>216</v>
      </c>
      <c r="B24" s="13"/>
      <c r="C24" s="13"/>
      <c r="D24" s="13"/>
      <c r="E24" s="13"/>
      <c r="F24" s="13"/>
      <c r="G24" s="13"/>
      <c r="H24" s="11"/>
    </row>
    <row r="25" spans="1:14" s="5" customFormat="1" ht="24" customHeight="1" x14ac:dyDescent="0.25">
      <c r="A25" s="544" t="s">
        <v>306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</row>
  </sheetData>
  <mergeCells count="3">
    <mergeCell ref="A1:N1"/>
    <mergeCell ref="A2:N2"/>
    <mergeCell ref="A25:N25"/>
  </mergeCells>
  <printOptions horizontalCentered="1"/>
  <pageMargins left="1.0236220472440944" right="0.9055118110236221" top="0.94488188976377963" bottom="0.9448818897637796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19"/>
  <sheetViews>
    <sheetView showGridLines="0" zoomScaleNormal="100" zoomScaleSheetLayoutView="145" workbookViewId="0">
      <selection activeCell="A4" sqref="A4:D18"/>
    </sheetView>
  </sheetViews>
  <sheetFormatPr baseColWidth="10" defaultColWidth="11.28515625" defaultRowHeight="12.75" customHeight="1" x14ac:dyDescent="0.3"/>
  <cols>
    <col min="1" max="1" width="35" style="23" customWidth="1"/>
    <col min="2" max="2" width="18" style="23" customWidth="1"/>
    <col min="3" max="3" width="4.7109375" style="23" customWidth="1"/>
    <col min="4" max="4" width="19.28515625" style="23" customWidth="1"/>
    <col min="5" max="16384" width="11.28515625" style="23"/>
  </cols>
  <sheetData>
    <row r="1" spans="1:4" ht="12.75" customHeight="1" x14ac:dyDescent="0.3">
      <c r="A1" s="543" t="s">
        <v>235</v>
      </c>
      <c r="B1" s="543"/>
      <c r="C1" s="543"/>
      <c r="D1" s="543"/>
    </row>
    <row r="2" spans="1:4" ht="12.75" customHeight="1" x14ac:dyDescent="0.3">
      <c r="A2" s="547" t="s">
        <v>159</v>
      </c>
      <c r="B2" s="547"/>
      <c r="C2" s="547"/>
      <c r="D2" s="547"/>
    </row>
    <row r="3" spans="1:4" ht="12.75" customHeight="1" x14ac:dyDescent="0.3">
      <c r="A3" s="11"/>
      <c r="B3" s="4"/>
      <c r="C3" s="4"/>
      <c r="D3" s="4"/>
    </row>
    <row r="4" spans="1:4" ht="36.75" customHeight="1" x14ac:dyDescent="0.3">
      <c r="A4" s="393" t="s">
        <v>143</v>
      </c>
      <c r="B4" s="394" t="s">
        <v>234</v>
      </c>
      <c r="C4" s="395"/>
      <c r="D4" s="394" t="s">
        <v>233</v>
      </c>
    </row>
    <row r="5" spans="1:4" ht="3" customHeight="1" x14ac:dyDescent="0.3">
      <c r="A5" s="396"/>
      <c r="B5" s="401"/>
    </row>
    <row r="6" spans="1:4" ht="15.95" customHeight="1" x14ac:dyDescent="0.3">
      <c r="A6" s="397" t="s">
        <v>148</v>
      </c>
      <c r="B6" s="402">
        <v>3810</v>
      </c>
      <c r="C6" s="402"/>
      <c r="D6" s="402">
        <v>1724962</v>
      </c>
    </row>
    <row r="7" spans="1:4" ht="15.95" customHeight="1" x14ac:dyDescent="0.3">
      <c r="A7" s="398" t="s">
        <v>138</v>
      </c>
      <c r="B7" s="400">
        <v>1167</v>
      </c>
      <c r="C7" s="400"/>
      <c r="D7" s="400">
        <v>418197</v>
      </c>
    </row>
    <row r="8" spans="1:4" ht="15.95" customHeight="1" x14ac:dyDescent="0.3">
      <c r="A8" s="399" t="s">
        <v>131</v>
      </c>
      <c r="B8" s="400">
        <v>1124</v>
      </c>
      <c r="C8" s="400"/>
      <c r="D8" s="400">
        <v>520347</v>
      </c>
    </row>
    <row r="9" spans="1:4" ht="15.95" customHeight="1" x14ac:dyDescent="0.3">
      <c r="A9" s="399" t="s">
        <v>139</v>
      </c>
      <c r="B9" s="400">
        <v>538</v>
      </c>
      <c r="C9" s="400"/>
      <c r="D9" s="400">
        <v>64000</v>
      </c>
    </row>
    <row r="10" spans="1:4" ht="15.95" customHeight="1" x14ac:dyDescent="0.3">
      <c r="A10" s="399" t="s">
        <v>133</v>
      </c>
      <c r="B10" s="400">
        <v>516</v>
      </c>
      <c r="C10" s="400"/>
      <c r="D10" s="400">
        <v>96124</v>
      </c>
    </row>
    <row r="11" spans="1:4" ht="15.95" customHeight="1" x14ac:dyDescent="0.3">
      <c r="A11" s="399" t="s">
        <v>135</v>
      </c>
      <c r="B11" s="400">
        <v>211</v>
      </c>
      <c r="C11" s="400"/>
      <c r="D11" s="400">
        <v>334261</v>
      </c>
    </row>
    <row r="12" spans="1:4" ht="15.95" customHeight="1" x14ac:dyDescent="0.3">
      <c r="A12" s="399" t="s">
        <v>121</v>
      </c>
      <c r="B12" s="400">
        <v>95</v>
      </c>
      <c r="C12" s="400"/>
      <c r="D12" s="400">
        <v>74363</v>
      </c>
    </row>
    <row r="13" spans="1:4" ht="15.95" customHeight="1" x14ac:dyDescent="0.3">
      <c r="A13" s="399" t="s">
        <v>126</v>
      </c>
      <c r="B13" s="400">
        <v>79</v>
      </c>
      <c r="C13" s="400"/>
      <c r="D13" s="400">
        <v>80652</v>
      </c>
    </row>
    <row r="14" spans="1:4" ht="15.95" customHeight="1" x14ac:dyDescent="0.3">
      <c r="A14" s="399" t="s">
        <v>174</v>
      </c>
      <c r="B14" s="400">
        <v>71</v>
      </c>
      <c r="C14" s="400"/>
      <c r="D14" s="400">
        <v>104175</v>
      </c>
    </row>
    <row r="15" spans="1:4" ht="15.95" customHeight="1" x14ac:dyDescent="0.3">
      <c r="A15" s="399" t="s">
        <v>140</v>
      </c>
      <c r="B15" s="400">
        <v>9</v>
      </c>
      <c r="C15" s="400"/>
      <c r="D15" s="400">
        <v>32843</v>
      </c>
    </row>
    <row r="16" spans="1:4" ht="3" customHeight="1" x14ac:dyDescent="0.3">
      <c r="A16" s="144"/>
      <c r="B16" s="145"/>
      <c r="C16" s="146"/>
      <c r="D16" s="146"/>
    </row>
    <row r="17" spans="1:4" s="4" customFormat="1" ht="12" customHeight="1" x14ac:dyDescent="0.25">
      <c r="A17" s="116" t="s">
        <v>307</v>
      </c>
    </row>
    <row r="18" spans="1:4" s="5" customFormat="1" ht="24" customHeight="1" x14ac:dyDescent="0.25">
      <c r="A18" s="548" t="s">
        <v>306</v>
      </c>
      <c r="B18" s="549"/>
      <c r="C18" s="549"/>
      <c r="D18" s="549"/>
    </row>
    <row r="19" spans="1:4" ht="12.75" customHeight="1" x14ac:dyDescent="0.3">
      <c r="A19" s="71"/>
      <c r="B19" s="72"/>
      <c r="C19" s="72"/>
      <c r="D19" s="72"/>
    </row>
  </sheetData>
  <mergeCells count="3">
    <mergeCell ref="A1:D1"/>
    <mergeCell ref="A2:D2"/>
    <mergeCell ref="A18:D1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9"/>
  <sheetViews>
    <sheetView showGridLines="0" zoomScaleNormal="100" zoomScaleSheetLayoutView="145" workbookViewId="0">
      <pane xSplit="1" ySplit="15" topLeftCell="B16" activePane="bottomRight" state="frozen"/>
      <selection activeCell="A39" sqref="A39:J39"/>
      <selection pane="topRight" activeCell="A39" sqref="A39:J39"/>
      <selection pane="bottomLeft" activeCell="A39" sqref="A39:J39"/>
      <selection pane="bottomRight" activeCell="A5" sqref="A5:L37"/>
    </sheetView>
  </sheetViews>
  <sheetFormatPr baseColWidth="10" defaultRowHeight="12.75" customHeight="1" x14ac:dyDescent="0.25"/>
  <cols>
    <col min="1" max="1" width="13.7109375" style="57" customWidth="1"/>
    <col min="2" max="2" width="8.7109375" style="57" customWidth="1"/>
    <col min="3" max="3" width="1.7109375" style="57" customWidth="1"/>
    <col min="4" max="4" width="13.140625" style="57" customWidth="1"/>
    <col min="5" max="5" width="2.7109375" style="57" customWidth="1"/>
    <col min="6" max="6" width="8.7109375" style="58" customWidth="1"/>
    <col min="7" max="7" width="1.7109375" style="57" customWidth="1"/>
    <col min="8" max="8" width="13.140625" style="57" customWidth="1"/>
    <col min="9" max="9" width="3" style="57" customWidth="1"/>
    <col min="10" max="10" width="8.7109375" style="57" customWidth="1"/>
    <col min="11" max="11" width="1.7109375" style="57" customWidth="1"/>
    <col min="12" max="12" width="13.140625" style="57" customWidth="1"/>
    <col min="13" max="14" width="9.28515625" style="57" customWidth="1"/>
    <col min="15" max="261" width="11.7109375" style="57"/>
    <col min="262" max="262" width="13.7109375" style="57" customWidth="1"/>
    <col min="263" max="263" width="1.7109375" style="57" customWidth="1"/>
    <col min="264" max="264" width="8.7109375" style="57" customWidth="1"/>
    <col min="265" max="265" width="1.7109375" style="57" customWidth="1"/>
    <col min="266" max="266" width="11" style="57" customWidth="1"/>
    <col min="267" max="267" width="2.7109375" style="57" customWidth="1"/>
    <col min="268" max="268" width="7.7109375" style="57" customWidth="1"/>
    <col min="269" max="269" width="1.7109375" style="57" customWidth="1"/>
    <col min="270" max="270" width="11.28515625" style="57" customWidth="1"/>
    <col min="271" max="271" width="3" style="57" customWidth="1"/>
    <col min="272" max="272" width="7.7109375" style="57" customWidth="1"/>
    <col min="273" max="273" width="1.7109375" style="57" customWidth="1"/>
    <col min="274" max="274" width="11.28515625" style="57" customWidth="1"/>
    <col min="275" max="275" width="3" style="57" customWidth="1"/>
    <col min="276" max="276" width="11.7109375" style="57"/>
    <col min="277" max="278" width="9.28515625" style="57" customWidth="1"/>
    <col min="279" max="517" width="11.7109375" style="57"/>
    <col min="518" max="518" width="13.7109375" style="57" customWidth="1"/>
    <col min="519" max="519" width="1.7109375" style="57" customWidth="1"/>
    <col min="520" max="520" width="8.7109375" style="57" customWidth="1"/>
    <col min="521" max="521" width="1.7109375" style="57" customWidth="1"/>
    <col min="522" max="522" width="11" style="57" customWidth="1"/>
    <col min="523" max="523" width="2.7109375" style="57" customWidth="1"/>
    <col min="524" max="524" width="7.7109375" style="57" customWidth="1"/>
    <col min="525" max="525" width="1.7109375" style="57" customWidth="1"/>
    <col min="526" max="526" width="11.28515625" style="57" customWidth="1"/>
    <col min="527" max="527" width="3" style="57" customWidth="1"/>
    <col min="528" max="528" width="7.7109375" style="57" customWidth="1"/>
    <col min="529" max="529" width="1.7109375" style="57" customWidth="1"/>
    <col min="530" max="530" width="11.28515625" style="57" customWidth="1"/>
    <col min="531" max="531" width="3" style="57" customWidth="1"/>
    <col min="532" max="532" width="11.7109375" style="57"/>
    <col min="533" max="534" width="9.28515625" style="57" customWidth="1"/>
    <col min="535" max="773" width="11.7109375" style="57"/>
    <col min="774" max="774" width="13.7109375" style="57" customWidth="1"/>
    <col min="775" max="775" width="1.7109375" style="57" customWidth="1"/>
    <col min="776" max="776" width="8.7109375" style="57" customWidth="1"/>
    <col min="777" max="777" width="1.7109375" style="57" customWidth="1"/>
    <col min="778" max="778" width="11" style="57" customWidth="1"/>
    <col min="779" max="779" width="2.7109375" style="57" customWidth="1"/>
    <col min="780" max="780" width="7.7109375" style="57" customWidth="1"/>
    <col min="781" max="781" width="1.7109375" style="57" customWidth="1"/>
    <col min="782" max="782" width="11.28515625" style="57" customWidth="1"/>
    <col min="783" max="783" width="3" style="57" customWidth="1"/>
    <col min="784" max="784" width="7.7109375" style="57" customWidth="1"/>
    <col min="785" max="785" width="1.7109375" style="57" customWidth="1"/>
    <col min="786" max="786" width="11.28515625" style="57" customWidth="1"/>
    <col min="787" max="787" width="3" style="57" customWidth="1"/>
    <col min="788" max="788" width="11.7109375" style="57"/>
    <col min="789" max="790" width="9.28515625" style="57" customWidth="1"/>
    <col min="791" max="1029" width="11.7109375" style="57"/>
    <col min="1030" max="1030" width="13.7109375" style="57" customWidth="1"/>
    <col min="1031" max="1031" width="1.7109375" style="57" customWidth="1"/>
    <col min="1032" max="1032" width="8.7109375" style="57" customWidth="1"/>
    <col min="1033" max="1033" width="1.7109375" style="57" customWidth="1"/>
    <col min="1034" max="1034" width="11" style="57" customWidth="1"/>
    <col min="1035" max="1035" width="2.7109375" style="57" customWidth="1"/>
    <col min="1036" max="1036" width="7.7109375" style="57" customWidth="1"/>
    <col min="1037" max="1037" width="1.7109375" style="57" customWidth="1"/>
    <col min="1038" max="1038" width="11.28515625" style="57" customWidth="1"/>
    <col min="1039" max="1039" width="3" style="57" customWidth="1"/>
    <col min="1040" max="1040" width="7.7109375" style="57" customWidth="1"/>
    <col min="1041" max="1041" width="1.7109375" style="57" customWidth="1"/>
    <col min="1042" max="1042" width="11.28515625" style="57" customWidth="1"/>
    <col min="1043" max="1043" width="3" style="57" customWidth="1"/>
    <col min="1044" max="1044" width="11.7109375" style="57"/>
    <col min="1045" max="1046" width="9.28515625" style="57" customWidth="1"/>
    <col min="1047" max="1285" width="11.7109375" style="57"/>
    <col min="1286" max="1286" width="13.7109375" style="57" customWidth="1"/>
    <col min="1287" max="1287" width="1.7109375" style="57" customWidth="1"/>
    <col min="1288" max="1288" width="8.7109375" style="57" customWidth="1"/>
    <col min="1289" max="1289" width="1.7109375" style="57" customWidth="1"/>
    <col min="1290" max="1290" width="11" style="57" customWidth="1"/>
    <col min="1291" max="1291" width="2.7109375" style="57" customWidth="1"/>
    <col min="1292" max="1292" width="7.7109375" style="57" customWidth="1"/>
    <col min="1293" max="1293" width="1.7109375" style="57" customWidth="1"/>
    <col min="1294" max="1294" width="11.28515625" style="57" customWidth="1"/>
    <col min="1295" max="1295" width="3" style="57" customWidth="1"/>
    <col min="1296" max="1296" width="7.7109375" style="57" customWidth="1"/>
    <col min="1297" max="1297" width="1.7109375" style="57" customWidth="1"/>
    <col min="1298" max="1298" width="11.28515625" style="57" customWidth="1"/>
    <col min="1299" max="1299" width="3" style="57" customWidth="1"/>
    <col min="1300" max="1300" width="11.7109375" style="57"/>
    <col min="1301" max="1302" width="9.28515625" style="57" customWidth="1"/>
    <col min="1303" max="1541" width="11.7109375" style="57"/>
    <col min="1542" max="1542" width="13.7109375" style="57" customWidth="1"/>
    <col min="1543" max="1543" width="1.7109375" style="57" customWidth="1"/>
    <col min="1544" max="1544" width="8.7109375" style="57" customWidth="1"/>
    <col min="1545" max="1545" width="1.7109375" style="57" customWidth="1"/>
    <col min="1546" max="1546" width="11" style="57" customWidth="1"/>
    <col min="1547" max="1547" width="2.7109375" style="57" customWidth="1"/>
    <col min="1548" max="1548" width="7.7109375" style="57" customWidth="1"/>
    <col min="1549" max="1549" width="1.7109375" style="57" customWidth="1"/>
    <col min="1550" max="1550" width="11.28515625" style="57" customWidth="1"/>
    <col min="1551" max="1551" width="3" style="57" customWidth="1"/>
    <col min="1552" max="1552" width="7.7109375" style="57" customWidth="1"/>
    <col min="1553" max="1553" width="1.7109375" style="57" customWidth="1"/>
    <col min="1554" max="1554" width="11.28515625" style="57" customWidth="1"/>
    <col min="1555" max="1555" width="3" style="57" customWidth="1"/>
    <col min="1556" max="1556" width="11.7109375" style="57"/>
    <col min="1557" max="1558" width="9.28515625" style="57" customWidth="1"/>
    <col min="1559" max="1797" width="11.7109375" style="57"/>
    <col min="1798" max="1798" width="13.7109375" style="57" customWidth="1"/>
    <col min="1799" max="1799" width="1.7109375" style="57" customWidth="1"/>
    <col min="1800" max="1800" width="8.7109375" style="57" customWidth="1"/>
    <col min="1801" max="1801" width="1.7109375" style="57" customWidth="1"/>
    <col min="1802" max="1802" width="11" style="57" customWidth="1"/>
    <col min="1803" max="1803" width="2.7109375" style="57" customWidth="1"/>
    <col min="1804" max="1804" width="7.7109375" style="57" customWidth="1"/>
    <col min="1805" max="1805" width="1.7109375" style="57" customWidth="1"/>
    <col min="1806" max="1806" width="11.28515625" style="57" customWidth="1"/>
    <col min="1807" max="1807" width="3" style="57" customWidth="1"/>
    <col min="1808" max="1808" width="7.7109375" style="57" customWidth="1"/>
    <col min="1809" max="1809" width="1.7109375" style="57" customWidth="1"/>
    <col min="1810" max="1810" width="11.28515625" style="57" customWidth="1"/>
    <col min="1811" max="1811" width="3" style="57" customWidth="1"/>
    <col min="1812" max="1812" width="11.7109375" style="57"/>
    <col min="1813" max="1814" width="9.28515625" style="57" customWidth="1"/>
    <col min="1815" max="2053" width="11.7109375" style="57"/>
    <col min="2054" max="2054" width="13.7109375" style="57" customWidth="1"/>
    <col min="2055" max="2055" width="1.7109375" style="57" customWidth="1"/>
    <col min="2056" max="2056" width="8.7109375" style="57" customWidth="1"/>
    <col min="2057" max="2057" width="1.7109375" style="57" customWidth="1"/>
    <col min="2058" max="2058" width="11" style="57" customWidth="1"/>
    <col min="2059" max="2059" width="2.7109375" style="57" customWidth="1"/>
    <col min="2060" max="2060" width="7.7109375" style="57" customWidth="1"/>
    <col min="2061" max="2061" width="1.7109375" style="57" customWidth="1"/>
    <col min="2062" max="2062" width="11.28515625" style="57" customWidth="1"/>
    <col min="2063" max="2063" width="3" style="57" customWidth="1"/>
    <col min="2064" max="2064" width="7.7109375" style="57" customWidth="1"/>
    <col min="2065" max="2065" width="1.7109375" style="57" customWidth="1"/>
    <col min="2066" max="2066" width="11.28515625" style="57" customWidth="1"/>
    <col min="2067" max="2067" width="3" style="57" customWidth="1"/>
    <col min="2068" max="2068" width="11.7109375" style="57"/>
    <col min="2069" max="2070" width="9.28515625" style="57" customWidth="1"/>
    <col min="2071" max="2309" width="11.7109375" style="57"/>
    <col min="2310" max="2310" width="13.7109375" style="57" customWidth="1"/>
    <col min="2311" max="2311" width="1.7109375" style="57" customWidth="1"/>
    <col min="2312" max="2312" width="8.7109375" style="57" customWidth="1"/>
    <col min="2313" max="2313" width="1.7109375" style="57" customWidth="1"/>
    <col min="2314" max="2314" width="11" style="57" customWidth="1"/>
    <col min="2315" max="2315" width="2.7109375" style="57" customWidth="1"/>
    <col min="2316" max="2316" width="7.7109375" style="57" customWidth="1"/>
    <col min="2317" max="2317" width="1.7109375" style="57" customWidth="1"/>
    <col min="2318" max="2318" width="11.28515625" style="57" customWidth="1"/>
    <col min="2319" max="2319" width="3" style="57" customWidth="1"/>
    <col min="2320" max="2320" width="7.7109375" style="57" customWidth="1"/>
    <col min="2321" max="2321" width="1.7109375" style="57" customWidth="1"/>
    <col min="2322" max="2322" width="11.28515625" style="57" customWidth="1"/>
    <col min="2323" max="2323" width="3" style="57" customWidth="1"/>
    <col min="2324" max="2324" width="11.7109375" style="57"/>
    <col min="2325" max="2326" width="9.28515625" style="57" customWidth="1"/>
    <col min="2327" max="2565" width="11.7109375" style="57"/>
    <col min="2566" max="2566" width="13.7109375" style="57" customWidth="1"/>
    <col min="2567" max="2567" width="1.7109375" style="57" customWidth="1"/>
    <col min="2568" max="2568" width="8.7109375" style="57" customWidth="1"/>
    <col min="2569" max="2569" width="1.7109375" style="57" customWidth="1"/>
    <col min="2570" max="2570" width="11" style="57" customWidth="1"/>
    <col min="2571" max="2571" width="2.7109375" style="57" customWidth="1"/>
    <col min="2572" max="2572" width="7.7109375" style="57" customWidth="1"/>
    <col min="2573" max="2573" width="1.7109375" style="57" customWidth="1"/>
    <col min="2574" max="2574" width="11.28515625" style="57" customWidth="1"/>
    <col min="2575" max="2575" width="3" style="57" customWidth="1"/>
    <col min="2576" max="2576" width="7.7109375" style="57" customWidth="1"/>
    <col min="2577" max="2577" width="1.7109375" style="57" customWidth="1"/>
    <col min="2578" max="2578" width="11.28515625" style="57" customWidth="1"/>
    <col min="2579" max="2579" width="3" style="57" customWidth="1"/>
    <col min="2580" max="2580" width="11.7109375" style="57"/>
    <col min="2581" max="2582" width="9.28515625" style="57" customWidth="1"/>
    <col min="2583" max="2821" width="11.7109375" style="57"/>
    <col min="2822" max="2822" width="13.7109375" style="57" customWidth="1"/>
    <col min="2823" max="2823" width="1.7109375" style="57" customWidth="1"/>
    <col min="2824" max="2824" width="8.7109375" style="57" customWidth="1"/>
    <col min="2825" max="2825" width="1.7109375" style="57" customWidth="1"/>
    <col min="2826" max="2826" width="11" style="57" customWidth="1"/>
    <col min="2827" max="2827" width="2.7109375" style="57" customWidth="1"/>
    <col min="2828" max="2828" width="7.7109375" style="57" customWidth="1"/>
    <col min="2829" max="2829" width="1.7109375" style="57" customWidth="1"/>
    <col min="2830" max="2830" width="11.28515625" style="57" customWidth="1"/>
    <col min="2831" max="2831" width="3" style="57" customWidth="1"/>
    <col min="2832" max="2832" width="7.7109375" style="57" customWidth="1"/>
    <col min="2833" max="2833" width="1.7109375" style="57" customWidth="1"/>
    <col min="2834" max="2834" width="11.28515625" style="57" customWidth="1"/>
    <col min="2835" max="2835" width="3" style="57" customWidth="1"/>
    <col min="2836" max="2836" width="11.7109375" style="57"/>
    <col min="2837" max="2838" width="9.28515625" style="57" customWidth="1"/>
    <col min="2839" max="3077" width="11.7109375" style="57"/>
    <col min="3078" max="3078" width="13.7109375" style="57" customWidth="1"/>
    <col min="3079" max="3079" width="1.7109375" style="57" customWidth="1"/>
    <col min="3080" max="3080" width="8.7109375" style="57" customWidth="1"/>
    <col min="3081" max="3081" width="1.7109375" style="57" customWidth="1"/>
    <col min="3082" max="3082" width="11" style="57" customWidth="1"/>
    <col min="3083" max="3083" width="2.7109375" style="57" customWidth="1"/>
    <col min="3084" max="3084" width="7.7109375" style="57" customWidth="1"/>
    <col min="3085" max="3085" width="1.7109375" style="57" customWidth="1"/>
    <col min="3086" max="3086" width="11.28515625" style="57" customWidth="1"/>
    <col min="3087" max="3087" width="3" style="57" customWidth="1"/>
    <col min="3088" max="3088" width="7.7109375" style="57" customWidth="1"/>
    <col min="3089" max="3089" width="1.7109375" style="57" customWidth="1"/>
    <col min="3090" max="3090" width="11.28515625" style="57" customWidth="1"/>
    <col min="3091" max="3091" width="3" style="57" customWidth="1"/>
    <col min="3092" max="3092" width="11.7109375" style="57"/>
    <col min="3093" max="3094" width="9.28515625" style="57" customWidth="1"/>
    <col min="3095" max="3333" width="11.7109375" style="57"/>
    <col min="3334" max="3334" width="13.7109375" style="57" customWidth="1"/>
    <col min="3335" max="3335" width="1.7109375" style="57" customWidth="1"/>
    <col min="3336" max="3336" width="8.7109375" style="57" customWidth="1"/>
    <col min="3337" max="3337" width="1.7109375" style="57" customWidth="1"/>
    <col min="3338" max="3338" width="11" style="57" customWidth="1"/>
    <col min="3339" max="3339" width="2.7109375" style="57" customWidth="1"/>
    <col min="3340" max="3340" width="7.7109375" style="57" customWidth="1"/>
    <col min="3341" max="3341" width="1.7109375" style="57" customWidth="1"/>
    <col min="3342" max="3342" width="11.28515625" style="57" customWidth="1"/>
    <col min="3343" max="3343" width="3" style="57" customWidth="1"/>
    <col min="3344" max="3344" width="7.7109375" style="57" customWidth="1"/>
    <col min="3345" max="3345" width="1.7109375" style="57" customWidth="1"/>
    <col min="3346" max="3346" width="11.28515625" style="57" customWidth="1"/>
    <col min="3347" max="3347" width="3" style="57" customWidth="1"/>
    <col min="3348" max="3348" width="11.7109375" style="57"/>
    <col min="3349" max="3350" width="9.28515625" style="57" customWidth="1"/>
    <col min="3351" max="3589" width="11.7109375" style="57"/>
    <col min="3590" max="3590" width="13.7109375" style="57" customWidth="1"/>
    <col min="3591" max="3591" width="1.7109375" style="57" customWidth="1"/>
    <col min="3592" max="3592" width="8.7109375" style="57" customWidth="1"/>
    <col min="3593" max="3593" width="1.7109375" style="57" customWidth="1"/>
    <col min="3594" max="3594" width="11" style="57" customWidth="1"/>
    <col min="3595" max="3595" width="2.7109375" style="57" customWidth="1"/>
    <col min="3596" max="3596" width="7.7109375" style="57" customWidth="1"/>
    <col min="3597" max="3597" width="1.7109375" style="57" customWidth="1"/>
    <col min="3598" max="3598" width="11.28515625" style="57" customWidth="1"/>
    <col min="3599" max="3599" width="3" style="57" customWidth="1"/>
    <col min="3600" max="3600" width="7.7109375" style="57" customWidth="1"/>
    <col min="3601" max="3601" width="1.7109375" style="57" customWidth="1"/>
    <col min="3602" max="3602" width="11.28515625" style="57" customWidth="1"/>
    <col min="3603" max="3603" width="3" style="57" customWidth="1"/>
    <col min="3604" max="3604" width="11.7109375" style="57"/>
    <col min="3605" max="3606" width="9.28515625" style="57" customWidth="1"/>
    <col min="3607" max="3845" width="11.7109375" style="57"/>
    <col min="3846" max="3846" width="13.7109375" style="57" customWidth="1"/>
    <col min="3847" max="3847" width="1.7109375" style="57" customWidth="1"/>
    <col min="3848" max="3848" width="8.7109375" style="57" customWidth="1"/>
    <col min="3849" max="3849" width="1.7109375" style="57" customWidth="1"/>
    <col min="3850" max="3850" width="11" style="57" customWidth="1"/>
    <col min="3851" max="3851" width="2.7109375" style="57" customWidth="1"/>
    <col min="3852" max="3852" width="7.7109375" style="57" customWidth="1"/>
    <col min="3853" max="3853" width="1.7109375" style="57" customWidth="1"/>
    <col min="3854" max="3854" width="11.28515625" style="57" customWidth="1"/>
    <col min="3855" max="3855" width="3" style="57" customWidth="1"/>
    <col min="3856" max="3856" width="7.7109375" style="57" customWidth="1"/>
    <col min="3857" max="3857" width="1.7109375" style="57" customWidth="1"/>
    <col min="3858" max="3858" width="11.28515625" style="57" customWidth="1"/>
    <col min="3859" max="3859" width="3" style="57" customWidth="1"/>
    <col min="3860" max="3860" width="11.7109375" style="57"/>
    <col min="3861" max="3862" width="9.28515625" style="57" customWidth="1"/>
    <col min="3863" max="4101" width="11.7109375" style="57"/>
    <col min="4102" max="4102" width="13.7109375" style="57" customWidth="1"/>
    <col min="4103" max="4103" width="1.7109375" style="57" customWidth="1"/>
    <col min="4104" max="4104" width="8.7109375" style="57" customWidth="1"/>
    <col min="4105" max="4105" width="1.7109375" style="57" customWidth="1"/>
    <col min="4106" max="4106" width="11" style="57" customWidth="1"/>
    <col min="4107" max="4107" width="2.7109375" style="57" customWidth="1"/>
    <col min="4108" max="4108" width="7.7109375" style="57" customWidth="1"/>
    <col min="4109" max="4109" width="1.7109375" style="57" customWidth="1"/>
    <col min="4110" max="4110" width="11.28515625" style="57" customWidth="1"/>
    <col min="4111" max="4111" width="3" style="57" customWidth="1"/>
    <col min="4112" max="4112" width="7.7109375" style="57" customWidth="1"/>
    <col min="4113" max="4113" width="1.7109375" style="57" customWidth="1"/>
    <col min="4114" max="4114" width="11.28515625" style="57" customWidth="1"/>
    <col min="4115" max="4115" width="3" style="57" customWidth="1"/>
    <col min="4116" max="4116" width="11.7109375" style="57"/>
    <col min="4117" max="4118" width="9.28515625" style="57" customWidth="1"/>
    <col min="4119" max="4357" width="11.7109375" style="57"/>
    <col min="4358" max="4358" width="13.7109375" style="57" customWidth="1"/>
    <col min="4359" max="4359" width="1.7109375" style="57" customWidth="1"/>
    <col min="4360" max="4360" width="8.7109375" style="57" customWidth="1"/>
    <col min="4361" max="4361" width="1.7109375" style="57" customWidth="1"/>
    <col min="4362" max="4362" width="11" style="57" customWidth="1"/>
    <col min="4363" max="4363" width="2.7109375" style="57" customWidth="1"/>
    <col min="4364" max="4364" width="7.7109375" style="57" customWidth="1"/>
    <col min="4365" max="4365" width="1.7109375" style="57" customWidth="1"/>
    <col min="4366" max="4366" width="11.28515625" style="57" customWidth="1"/>
    <col min="4367" max="4367" width="3" style="57" customWidth="1"/>
    <col min="4368" max="4368" width="7.7109375" style="57" customWidth="1"/>
    <col min="4369" max="4369" width="1.7109375" style="57" customWidth="1"/>
    <col min="4370" max="4370" width="11.28515625" style="57" customWidth="1"/>
    <col min="4371" max="4371" width="3" style="57" customWidth="1"/>
    <col min="4372" max="4372" width="11.7109375" style="57"/>
    <col min="4373" max="4374" width="9.28515625" style="57" customWidth="1"/>
    <col min="4375" max="4613" width="11.7109375" style="57"/>
    <col min="4614" max="4614" width="13.7109375" style="57" customWidth="1"/>
    <col min="4615" max="4615" width="1.7109375" style="57" customWidth="1"/>
    <col min="4616" max="4616" width="8.7109375" style="57" customWidth="1"/>
    <col min="4617" max="4617" width="1.7109375" style="57" customWidth="1"/>
    <col min="4618" max="4618" width="11" style="57" customWidth="1"/>
    <col min="4619" max="4619" width="2.7109375" style="57" customWidth="1"/>
    <col min="4620" max="4620" width="7.7109375" style="57" customWidth="1"/>
    <col min="4621" max="4621" width="1.7109375" style="57" customWidth="1"/>
    <col min="4622" max="4622" width="11.28515625" style="57" customWidth="1"/>
    <col min="4623" max="4623" width="3" style="57" customWidth="1"/>
    <col min="4624" max="4624" width="7.7109375" style="57" customWidth="1"/>
    <col min="4625" max="4625" width="1.7109375" style="57" customWidth="1"/>
    <col min="4626" max="4626" width="11.28515625" style="57" customWidth="1"/>
    <col min="4627" max="4627" width="3" style="57" customWidth="1"/>
    <col min="4628" max="4628" width="11.7109375" style="57"/>
    <col min="4629" max="4630" width="9.28515625" style="57" customWidth="1"/>
    <col min="4631" max="4869" width="11.7109375" style="57"/>
    <col min="4870" max="4870" width="13.7109375" style="57" customWidth="1"/>
    <col min="4871" max="4871" width="1.7109375" style="57" customWidth="1"/>
    <col min="4872" max="4872" width="8.7109375" style="57" customWidth="1"/>
    <col min="4873" max="4873" width="1.7109375" style="57" customWidth="1"/>
    <col min="4874" max="4874" width="11" style="57" customWidth="1"/>
    <col min="4875" max="4875" width="2.7109375" style="57" customWidth="1"/>
    <col min="4876" max="4876" width="7.7109375" style="57" customWidth="1"/>
    <col min="4877" max="4877" width="1.7109375" style="57" customWidth="1"/>
    <col min="4878" max="4878" width="11.28515625" style="57" customWidth="1"/>
    <col min="4879" max="4879" width="3" style="57" customWidth="1"/>
    <col min="4880" max="4880" width="7.7109375" style="57" customWidth="1"/>
    <col min="4881" max="4881" width="1.7109375" style="57" customWidth="1"/>
    <col min="4882" max="4882" width="11.28515625" style="57" customWidth="1"/>
    <col min="4883" max="4883" width="3" style="57" customWidth="1"/>
    <col min="4884" max="4884" width="11.7109375" style="57"/>
    <col min="4885" max="4886" width="9.28515625" style="57" customWidth="1"/>
    <col min="4887" max="5125" width="11.7109375" style="57"/>
    <col min="5126" max="5126" width="13.7109375" style="57" customWidth="1"/>
    <col min="5127" max="5127" width="1.7109375" style="57" customWidth="1"/>
    <col min="5128" max="5128" width="8.7109375" style="57" customWidth="1"/>
    <col min="5129" max="5129" width="1.7109375" style="57" customWidth="1"/>
    <col min="5130" max="5130" width="11" style="57" customWidth="1"/>
    <col min="5131" max="5131" width="2.7109375" style="57" customWidth="1"/>
    <col min="5132" max="5132" width="7.7109375" style="57" customWidth="1"/>
    <col min="5133" max="5133" width="1.7109375" style="57" customWidth="1"/>
    <col min="5134" max="5134" width="11.28515625" style="57" customWidth="1"/>
    <col min="5135" max="5135" width="3" style="57" customWidth="1"/>
    <col min="5136" max="5136" width="7.7109375" style="57" customWidth="1"/>
    <col min="5137" max="5137" width="1.7109375" style="57" customWidth="1"/>
    <col min="5138" max="5138" width="11.28515625" style="57" customWidth="1"/>
    <col min="5139" max="5139" width="3" style="57" customWidth="1"/>
    <col min="5140" max="5140" width="11.7109375" style="57"/>
    <col min="5141" max="5142" width="9.28515625" style="57" customWidth="1"/>
    <col min="5143" max="5381" width="11.7109375" style="57"/>
    <col min="5382" max="5382" width="13.7109375" style="57" customWidth="1"/>
    <col min="5383" max="5383" width="1.7109375" style="57" customWidth="1"/>
    <col min="5384" max="5384" width="8.7109375" style="57" customWidth="1"/>
    <col min="5385" max="5385" width="1.7109375" style="57" customWidth="1"/>
    <col min="5386" max="5386" width="11" style="57" customWidth="1"/>
    <col min="5387" max="5387" width="2.7109375" style="57" customWidth="1"/>
    <col min="5388" max="5388" width="7.7109375" style="57" customWidth="1"/>
    <col min="5389" max="5389" width="1.7109375" style="57" customWidth="1"/>
    <col min="5390" max="5390" width="11.28515625" style="57" customWidth="1"/>
    <col min="5391" max="5391" width="3" style="57" customWidth="1"/>
    <col min="5392" max="5392" width="7.7109375" style="57" customWidth="1"/>
    <col min="5393" max="5393" width="1.7109375" style="57" customWidth="1"/>
    <col min="5394" max="5394" width="11.28515625" style="57" customWidth="1"/>
    <col min="5395" max="5395" width="3" style="57" customWidth="1"/>
    <col min="5396" max="5396" width="11.7109375" style="57"/>
    <col min="5397" max="5398" width="9.28515625" style="57" customWidth="1"/>
    <col min="5399" max="5637" width="11.7109375" style="57"/>
    <col min="5638" max="5638" width="13.7109375" style="57" customWidth="1"/>
    <col min="5639" max="5639" width="1.7109375" style="57" customWidth="1"/>
    <col min="5640" max="5640" width="8.7109375" style="57" customWidth="1"/>
    <col min="5641" max="5641" width="1.7109375" style="57" customWidth="1"/>
    <col min="5642" max="5642" width="11" style="57" customWidth="1"/>
    <col min="5643" max="5643" width="2.7109375" style="57" customWidth="1"/>
    <col min="5644" max="5644" width="7.7109375" style="57" customWidth="1"/>
    <col min="5645" max="5645" width="1.7109375" style="57" customWidth="1"/>
    <col min="5646" max="5646" width="11.28515625" style="57" customWidth="1"/>
    <col min="5647" max="5647" width="3" style="57" customWidth="1"/>
    <col min="5648" max="5648" width="7.7109375" style="57" customWidth="1"/>
    <col min="5649" max="5649" width="1.7109375" style="57" customWidth="1"/>
    <col min="5650" max="5650" width="11.28515625" style="57" customWidth="1"/>
    <col min="5651" max="5651" width="3" style="57" customWidth="1"/>
    <col min="5652" max="5652" width="11.7109375" style="57"/>
    <col min="5653" max="5654" width="9.28515625" style="57" customWidth="1"/>
    <col min="5655" max="5893" width="11.7109375" style="57"/>
    <col min="5894" max="5894" width="13.7109375" style="57" customWidth="1"/>
    <col min="5895" max="5895" width="1.7109375" style="57" customWidth="1"/>
    <col min="5896" max="5896" width="8.7109375" style="57" customWidth="1"/>
    <col min="5897" max="5897" width="1.7109375" style="57" customWidth="1"/>
    <col min="5898" max="5898" width="11" style="57" customWidth="1"/>
    <col min="5899" max="5899" width="2.7109375" style="57" customWidth="1"/>
    <col min="5900" max="5900" width="7.7109375" style="57" customWidth="1"/>
    <col min="5901" max="5901" width="1.7109375" style="57" customWidth="1"/>
    <col min="5902" max="5902" width="11.28515625" style="57" customWidth="1"/>
    <col min="5903" max="5903" width="3" style="57" customWidth="1"/>
    <col min="5904" max="5904" width="7.7109375" style="57" customWidth="1"/>
    <col min="5905" max="5905" width="1.7109375" style="57" customWidth="1"/>
    <col min="5906" max="5906" width="11.28515625" style="57" customWidth="1"/>
    <col min="5907" max="5907" width="3" style="57" customWidth="1"/>
    <col min="5908" max="5908" width="11.7109375" style="57"/>
    <col min="5909" max="5910" width="9.28515625" style="57" customWidth="1"/>
    <col min="5911" max="6149" width="11.7109375" style="57"/>
    <col min="6150" max="6150" width="13.7109375" style="57" customWidth="1"/>
    <col min="6151" max="6151" width="1.7109375" style="57" customWidth="1"/>
    <col min="6152" max="6152" width="8.7109375" style="57" customWidth="1"/>
    <col min="6153" max="6153" width="1.7109375" style="57" customWidth="1"/>
    <col min="6154" max="6154" width="11" style="57" customWidth="1"/>
    <col min="6155" max="6155" width="2.7109375" style="57" customWidth="1"/>
    <col min="6156" max="6156" width="7.7109375" style="57" customWidth="1"/>
    <col min="6157" max="6157" width="1.7109375" style="57" customWidth="1"/>
    <col min="6158" max="6158" width="11.28515625" style="57" customWidth="1"/>
    <col min="6159" max="6159" width="3" style="57" customWidth="1"/>
    <col min="6160" max="6160" width="7.7109375" style="57" customWidth="1"/>
    <col min="6161" max="6161" width="1.7109375" style="57" customWidth="1"/>
    <col min="6162" max="6162" width="11.28515625" style="57" customWidth="1"/>
    <col min="6163" max="6163" width="3" style="57" customWidth="1"/>
    <col min="6164" max="6164" width="11.7109375" style="57"/>
    <col min="6165" max="6166" width="9.28515625" style="57" customWidth="1"/>
    <col min="6167" max="6405" width="11.7109375" style="57"/>
    <col min="6406" max="6406" width="13.7109375" style="57" customWidth="1"/>
    <col min="6407" max="6407" width="1.7109375" style="57" customWidth="1"/>
    <col min="6408" max="6408" width="8.7109375" style="57" customWidth="1"/>
    <col min="6409" max="6409" width="1.7109375" style="57" customWidth="1"/>
    <col min="6410" max="6410" width="11" style="57" customWidth="1"/>
    <col min="6411" max="6411" width="2.7109375" style="57" customWidth="1"/>
    <col min="6412" max="6412" width="7.7109375" style="57" customWidth="1"/>
    <col min="6413" max="6413" width="1.7109375" style="57" customWidth="1"/>
    <col min="6414" max="6414" width="11.28515625" style="57" customWidth="1"/>
    <col min="6415" max="6415" width="3" style="57" customWidth="1"/>
    <col min="6416" max="6416" width="7.7109375" style="57" customWidth="1"/>
    <col min="6417" max="6417" width="1.7109375" style="57" customWidth="1"/>
    <col min="6418" max="6418" width="11.28515625" style="57" customWidth="1"/>
    <col min="6419" max="6419" width="3" style="57" customWidth="1"/>
    <col min="6420" max="6420" width="11.7109375" style="57"/>
    <col min="6421" max="6422" width="9.28515625" style="57" customWidth="1"/>
    <col min="6423" max="6661" width="11.7109375" style="57"/>
    <col min="6662" max="6662" width="13.7109375" style="57" customWidth="1"/>
    <col min="6663" max="6663" width="1.7109375" style="57" customWidth="1"/>
    <col min="6664" max="6664" width="8.7109375" style="57" customWidth="1"/>
    <col min="6665" max="6665" width="1.7109375" style="57" customWidth="1"/>
    <col min="6666" max="6666" width="11" style="57" customWidth="1"/>
    <col min="6667" max="6667" width="2.7109375" style="57" customWidth="1"/>
    <col min="6668" max="6668" width="7.7109375" style="57" customWidth="1"/>
    <col min="6669" max="6669" width="1.7109375" style="57" customWidth="1"/>
    <col min="6670" max="6670" width="11.28515625" style="57" customWidth="1"/>
    <col min="6671" max="6671" width="3" style="57" customWidth="1"/>
    <col min="6672" max="6672" width="7.7109375" style="57" customWidth="1"/>
    <col min="6673" max="6673" width="1.7109375" style="57" customWidth="1"/>
    <col min="6674" max="6674" width="11.28515625" style="57" customWidth="1"/>
    <col min="6675" max="6675" width="3" style="57" customWidth="1"/>
    <col min="6676" max="6676" width="11.7109375" style="57"/>
    <col min="6677" max="6678" width="9.28515625" style="57" customWidth="1"/>
    <col min="6679" max="6917" width="11.7109375" style="57"/>
    <col min="6918" max="6918" width="13.7109375" style="57" customWidth="1"/>
    <col min="6919" max="6919" width="1.7109375" style="57" customWidth="1"/>
    <col min="6920" max="6920" width="8.7109375" style="57" customWidth="1"/>
    <col min="6921" max="6921" width="1.7109375" style="57" customWidth="1"/>
    <col min="6922" max="6922" width="11" style="57" customWidth="1"/>
    <col min="6923" max="6923" width="2.7109375" style="57" customWidth="1"/>
    <col min="6924" max="6924" width="7.7109375" style="57" customWidth="1"/>
    <col min="6925" max="6925" width="1.7109375" style="57" customWidth="1"/>
    <col min="6926" max="6926" width="11.28515625" style="57" customWidth="1"/>
    <col min="6927" max="6927" width="3" style="57" customWidth="1"/>
    <col min="6928" max="6928" width="7.7109375" style="57" customWidth="1"/>
    <col min="6929" max="6929" width="1.7109375" style="57" customWidth="1"/>
    <col min="6930" max="6930" width="11.28515625" style="57" customWidth="1"/>
    <col min="6931" max="6931" width="3" style="57" customWidth="1"/>
    <col min="6932" max="6932" width="11.7109375" style="57"/>
    <col min="6933" max="6934" width="9.28515625" style="57" customWidth="1"/>
    <col min="6935" max="7173" width="11.7109375" style="57"/>
    <col min="7174" max="7174" width="13.7109375" style="57" customWidth="1"/>
    <col min="7175" max="7175" width="1.7109375" style="57" customWidth="1"/>
    <col min="7176" max="7176" width="8.7109375" style="57" customWidth="1"/>
    <col min="7177" max="7177" width="1.7109375" style="57" customWidth="1"/>
    <col min="7178" max="7178" width="11" style="57" customWidth="1"/>
    <col min="7179" max="7179" width="2.7109375" style="57" customWidth="1"/>
    <col min="7180" max="7180" width="7.7109375" style="57" customWidth="1"/>
    <col min="7181" max="7181" width="1.7109375" style="57" customWidth="1"/>
    <col min="7182" max="7182" width="11.28515625" style="57" customWidth="1"/>
    <col min="7183" max="7183" width="3" style="57" customWidth="1"/>
    <col min="7184" max="7184" width="7.7109375" style="57" customWidth="1"/>
    <col min="7185" max="7185" width="1.7109375" style="57" customWidth="1"/>
    <col min="7186" max="7186" width="11.28515625" style="57" customWidth="1"/>
    <col min="7187" max="7187" width="3" style="57" customWidth="1"/>
    <col min="7188" max="7188" width="11.7109375" style="57"/>
    <col min="7189" max="7190" width="9.28515625" style="57" customWidth="1"/>
    <col min="7191" max="7429" width="11.7109375" style="57"/>
    <col min="7430" max="7430" width="13.7109375" style="57" customWidth="1"/>
    <col min="7431" max="7431" width="1.7109375" style="57" customWidth="1"/>
    <col min="7432" max="7432" width="8.7109375" style="57" customWidth="1"/>
    <col min="7433" max="7433" width="1.7109375" style="57" customWidth="1"/>
    <col min="7434" max="7434" width="11" style="57" customWidth="1"/>
    <col min="7435" max="7435" width="2.7109375" style="57" customWidth="1"/>
    <col min="7436" max="7436" width="7.7109375" style="57" customWidth="1"/>
    <col min="7437" max="7437" width="1.7109375" style="57" customWidth="1"/>
    <col min="7438" max="7438" width="11.28515625" style="57" customWidth="1"/>
    <col min="7439" max="7439" width="3" style="57" customWidth="1"/>
    <col min="7440" max="7440" width="7.7109375" style="57" customWidth="1"/>
    <col min="7441" max="7441" width="1.7109375" style="57" customWidth="1"/>
    <col min="7442" max="7442" width="11.28515625" style="57" customWidth="1"/>
    <col min="7443" max="7443" width="3" style="57" customWidth="1"/>
    <col min="7444" max="7444" width="11.7109375" style="57"/>
    <col min="7445" max="7446" width="9.28515625" style="57" customWidth="1"/>
    <col min="7447" max="7685" width="11.7109375" style="57"/>
    <col min="7686" max="7686" width="13.7109375" style="57" customWidth="1"/>
    <col min="7687" max="7687" width="1.7109375" style="57" customWidth="1"/>
    <col min="7688" max="7688" width="8.7109375" style="57" customWidth="1"/>
    <col min="7689" max="7689" width="1.7109375" style="57" customWidth="1"/>
    <col min="7690" max="7690" width="11" style="57" customWidth="1"/>
    <col min="7691" max="7691" width="2.7109375" style="57" customWidth="1"/>
    <col min="7692" max="7692" width="7.7109375" style="57" customWidth="1"/>
    <col min="7693" max="7693" width="1.7109375" style="57" customWidth="1"/>
    <col min="7694" max="7694" width="11.28515625" style="57" customWidth="1"/>
    <col min="7695" max="7695" width="3" style="57" customWidth="1"/>
    <col min="7696" max="7696" width="7.7109375" style="57" customWidth="1"/>
    <col min="7697" max="7697" width="1.7109375" style="57" customWidth="1"/>
    <col min="7698" max="7698" width="11.28515625" style="57" customWidth="1"/>
    <col min="7699" max="7699" width="3" style="57" customWidth="1"/>
    <col min="7700" max="7700" width="11.7109375" style="57"/>
    <col min="7701" max="7702" width="9.28515625" style="57" customWidth="1"/>
    <col min="7703" max="7941" width="11.7109375" style="57"/>
    <col min="7942" max="7942" width="13.7109375" style="57" customWidth="1"/>
    <col min="7943" max="7943" width="1.7109375" style="57" customWidth="1"/>
    <col min="7944" max="7944" width="8.7109375" style="57" customWidth="1"/>
    <col min="7945" max="7945" width="1.7109375" style="57" customWidth="1"/>
    <col min="7946" max="7946" width="11" style="57" customWidth="1"/>
    <col min="7947" max="7947" width="2.7109375" style="57" customWidth="1"/>
    <col min="7948" max="7948" width="7.7109375" style="57" customWidth="1"/>
    <col min="7949" max="7949" width="1.7109375" style="57" customWidth="1"/>
    <col min="7950" max="7950" width="11.28515625" style="57" customWidth="1"/>
    <col min="7951" max="7951" width="3" style="57" customWidth="1"/>
    <col min="7952" max="7952" width="7.7109375" style="57" customWidth="1"/>
    <col min="7953" max="7953" width="1.7109375" style="57" customWidth="1"/>
    <col min="7954" max="7954" width="11.28515625" style="57" customWidth="1"/>
    <col min="7955" max="7955" width="3" style="57" customWidth="1"/>
    <col min="7956" max="7956" width="11.7109375" style="57"/>
    <col min="7957" max="7958" width="9.28515625" style="57" customWidth="1"/>
    <col min="7959" max="8197" width="11.7109375" style="57"/>
    <col min="8198" max="8198" width="13.7109375" style="57" customWidth="1"/>
    <col min="8199" max="8199" width="1.7109375" style="57" customWidth="1"/>
    <col min="8200" max="8200" width="8.7109375" style="57" customWidth="1"/>
    <col min="8201" max="8201" width="1.7109375" style="57" customWidth="1"/>
    <col min="8202" max="8202" width="11" style="57" customWidth="1"/>
    <col min="8203" max="8203" width="2.7109375" style="57" customWidth="1"/>
    <col min="8204" max="8204" width="7.7109375" style="57" customWidth="1"/>
    <col min="8205" max="8205" width="1.7109375" style="57" customWidth="1"/>
    <col min="8206" max="8206" width="11.28515625" style="57" customWidth="1"/>
    <col min="8207" max="8207" width="3" style="57" customWidth="1"/>
    <col min="8208" max="8208" width="7.7109375" style="57" customWidth="1"/>
    <col min="8209" max="8209" width="1.7109375" style="57" customWidth="1"/>
    <col min="8210" max="8210" width="11.28515625" style="57" customWidth="1"/>
    <col min="8211" max="8211" width="3" style="57" customWidth="1"/>
    <col min="8212" max="8212" width="11.7109375" style="57"/>
    <col min="8213" max="8214" width="9.28515625" style="57" customWidth="1"/>
    <col min="8215" max="8453" width="11.7109375" style="57"/>
    <col min="8454" max="8454" width="13.7109375" style="57" customWidth="1"/>
    <col min="8455" max="8455" width="1.7109375" style="57" customWidth="1"/>
    <col min="8456" max="8456" width="8.7109375" style="57" customWidth="1"/>
    <col min="8457" max="8457" width="1.7109375" style="57" customWidth="1"/>
    <col min="8458" max="8458" width="11" style="57" customWidth="1"/>
    <col min="8459" max="8459" width="2.7109375" style="57" customWidth="1"/>
    <col min="8460" max="8460" width="7.7109375" style="57" customWidth="1"/>
    <col min="8461" max="8461" width="1.7109375" style="57" customWidth="1"/>
    <col min="8462" max="8462" width="11.28515625" style="57" customWidth="1"/>
    <col min="8463" max="8463" width="3" style="57" customWidth="1"/>
    <col min="8464" max="8464" width="7.7109375" style="57" customWidth="1"/>
    <col min="8465" max="8465" width="1.7109375" style="57" customWidth="1"/>
    <col min="8466" max="8466" width="11.28515625" style="57" customWidth="1"/>
    <col min="8467" max="8467" width="3" style="57" customWidth="1"/>
    <col min="8468" max="8468" width="11.7109375" style="57"/>
    <col min="8469" max="8470" width="9.28515625" style="57" customWidth="1"/>
    <col min="8471" max="8709" width="11.7109375" style="57"/>
    <col min="8710" max="8710" width="13.7109375" style="57" customWidth="1"/>
    <col min="8711" max="8711" width="1.7109375" style="57" customWidth="1"/>
    <col min="8712" max="8712" width="8.7109375" style="57" customWidth="1"/>
    <col min="8713" max="8713" width="1.7109375" style="57" customWidth="1"/>
    <col min="8714" max="8714" width="11" style="57" customWidth="1"/>
    <col min="8715" max="8715" width="2.7109375" style="57" customWidth="1"/>
    <col min="8716" max="8716" width="7.7109375" style="57" customWidth="1"/>
    <col min="8717" max="8717" width="1.7109375" style="57" customWidth="1"/>
    <col min="8718" max="8718" width="11.28515625" style="57" customWidth="1"/>
    <col min="8719" max="8719" width="3" style="57" customWidth="1"/>
    <col min="8720" max="8720" width="7.7109375" style="57" customWidth="1"/>
    <col min="8721" max="8721" width="1.7109375" style="57" customWidth="1"/>
    <col min="8722" max="8722" width="11.28515625" style="57" customWidth="1"/>
    <col min="8723" max="8723" width="3" style="57" customWidth="1"/>
    <col min="8724" max="8724" width="11.7109375" style="57"/>
    <col min="8725" max="8726" width="9.28515625" style="57" customWidth="1"/>
    <col min="8727" max="8965" width="11.7109375" style="57"/>
    <col min="8966" max="8966" width="13.7109375" style="57" customWidth="1"/>
    <col min="8967" max="8967" width="1.7109375" style="57" customWidth="1"/>
    <col min="8968" max="8968" width="8.7109375" style="57" customWidth="1"/>
    <col min="8969" max="8969" width="1.7109375" style="57" customWidth="1"/>
    <col min="8970" max="8970" width="11" style="57" customWidth="1"/>
    <col min="8971" max="8971" width="2.7109375" style="57" customWidth="1"/>
    <col min="8972" max="8972" width="7.7109375" style="57" customWidth="1"/>
    <col min="8973" max="8973" width="1.7109375" style="57" customWidth="1"/>
    <col min="8974" max="8974" width="11.28515625" style="57" customWidth="1"/>
    <col min="8975" max="8975" width="3" style="57" customWidth="1"/>
    <col min="8976" max="8976" width="7.7109375" style="57" customWidth="1"/>
    <col min="8977" max="8977" width="1.7109375" style="57" customWidth="1"/>
    <col min="8978" max="8978" width="11.28515625" style="57" customWidth="1"/>
    <col min="8979" max="8979" width="3" style="57" customWidth="1"/>
    <col min="8980" max="8980" width="11.7109375" style="57"/>
    <col min="8981" max="8982" width="9.28515625" style="57" customWidth="1"/>
    <col min="8983" max="9221" width="11.7109375" style="57"/>
    <col min="9222" max="9222" width="13.7109375" style="57" customWidth="1"/>
    <col min="9223" max="9223" width="1.7109375" style="57" customWidth="1"/>
    <col min="9224" max="9224" width="8.7109375" style="57" customWidth="1"/>
    <col min="9225" max="9225" width="1.7109375" style="57" customWidth="1"/>
    <col min="9226" max="9226" width="11" style="57" customWidth="1"/>
    <col min="9227" max="9227" width="2.7109375" style="57" customWidth="1"/>
    <col min="9228" max="9228" width="7.7109375" style="57" customWidth="1"/>
    <col min="9229" max="9229" width="1.7109375" style="57" customWidth="1"/>
    <col min="9230" max="9230" width="11.28515625" style="57" customWidth="1"/>
    <col min="9231" max="9231" width="3" style="57" customWidth="1"/>
    <col min="9232" max="9232" width="7.7109375" style="57" customWidth="1"/>
    <col min="9233" max="9233" width="1.7109375" style="57" customWidth="1"/>
    <col min="9234" max="9234" width="11.28515625" style="57" customWidth="1"/>
    <col min="9235" max="9235" width="3" style="57" customWidth="1"/>
    <col min="9236" max="9236" width="11.7109375" style="57"/>
    <col min="9237" max="9238" width="9.28515625" style="57" customWidth="1"/>
    <col min="9239" max="9477" width="11.7109375" style="57"/>
    <col min="9478" max="9478" width="13.7109375" style="57" customWidth="1"/>
    <col min="9479" max="9479" width="1.7109375" style="57" customWidth="1"/>
    <col min="9480" max="9480" width="8.7109375" style="57" customWidth="1"/>
    <col min="9481" max="9481" width="1.7109375" style="57" customWidth="1"/>
    <col min="9482" max="9482" width="11" style="57" customWidth="1"/>
    <col min="9483" max="9483" width="2.7109375" style="57" customWidth="1"/>
    <col min="9484" max="9484" width="7.7109375" style="57" customWidth="1"/>
    <col min="9485" max="9485" width="1.7109375" style="57" customWidth="1"/>
    <col min="9486" max="9486" width="11.28515625" style="57" customWidth="1"/>
    <col min="9487" max="9487" width="3" style="57" customWidth="1"/>
    <col min="9488" max="9488" width="7.7109375" style="57" customWidth="1"/>
    <col min="9489" max="9489" width="1.7109375" style="57" customWidth="1"/>
    <col min="9490" max="9490" width="11.28515625" style="57" customWidth="1"/>
    <col min="9491" max="9491" width="3" style="57" customWidth="1"/>
    <col min="9492" max="9492" width="11.7109375" style="57"/>
    <col min="9493" max="9494" width="9.28515625" style="57" customWidth="1"/>
    <col min="9495" max="9733" width="11.7109375" style="57"/>
    <col min="9734" max="9734" width="13.7109375" style="57" customWidth="1"/>
    <col min="9735" max="9735" width="1.7109375" style="57" customWidth="1"/>
    <col min="9736" max="9736" width="8.7109375" style="57" customWidth="1"/>
    <col min="9737" max="9737" width="1.7109375" style="57" customWidth="1"/>
    <col min="9738" max="9738" width="11" style="57" customWidth="1"/>
    <col min="9739" max="9739" width="2.7109375" style="57" customWidth="1"/>
    <col min="9740" max="9740" width="7.7109375" style="57" customWidth="1"/>
    <col min="9741" max="9741" width="1.7109375" style="57" customWidth="1"/>
    <col min="9742" max="9742" width="11.28515625" style="57" customWidth="1"/>
    <col min="9743" max="9743" width="3" style="57" customWidth="1"/>
    <col min="9744" max="9744" width="7.7109375" style="57" customWidth="1"/>
    <col min="9745" max="9745" width="1.7109375" style="57" customWidth="1"/>
    <col min="9746" max="9746" width="11.28515625" style="57" customWidth="1"/>
    <col min="9747" max="9747" width="3" style="57" customWidth="1"/>
    <col min="9748" max="9748" width="11.7109375" style="57"/>
    <col min="9749" max="9750" width="9.28515625" style="57" customWidth="1"/>
    <col min="9751" max="9989" width="11.7109375" style="57"/>
    <col min="9990" max="9990" width="13.7109375" style="57" customWidth="1"/>
    <col min="9991" max="9991" width="1.7109375" style="57" customWidth="1"/>
    <col min="9992" max="9992" width="8.7109375" style="57" customWidth="1"/>
    <col min="9993" max="9993" width="1.7109375" style="57" customWidth="1"/>
    <col min="9994" max="9994" width="11" style="57" customWidth="1"/>
    <col min="9995" max="9995" width="2.7109375" style="57" customWidth="1"/>
    <col min="9996" max="9996" width="7.7109375" style="57" customWidth="1"/>
    <col min="9997" max="9997" width="1.7109375" style="57" customWidth="1"/>
    <col min="9998" max="9998" width="11.28515625" style="57" customWidth="1"/>
    <col min="9999" max="9999" width="3" style="57" customWidth="1"/>
    <col min="10000" max="10000" width="7.7109375" style="57" customWidth="1"/>
    <col min="10001" max="10001" width="1.7109375" style="57" customWidth="1"/>
    <col min="10002" max="10002" width="11.28515625" style="57" customWidth="1"/>
    <col min="10003" max="10003" width="3" style="57" customWidth="1"/>
    <col min="10004" max="10004" width="11.7109375" style="57"/>
    <col min="10005" max="10006" width="9.28515625" style="57" customWidth="1"/>
    <col min="10007" max="10245" width="11.7109375" style="57"/>
    <col min="10246" max="10246" width="13.7109375" style="57" customWidth="1"/>
    <col min="10247" max="10247" width="1.7109375" style="57" customWidth="1"/>
    <col min="10248" max="10248" width="8.7109375" style="57" customWidth="1"/>
    <col min="10249" max="10249" width="1.7109375" style="57" customWidth="1"/>
    <col min="10250" max="10250" width="11" style="57" customWidth="1"/>
    <col min="10251" max="10251" width="2.7109375" style="57" customWidth="1"/>
    <col min="10252" max="10252" width="7.7109375" style="57" customWidth="1"/>
    <col min="10253" max="10253" width="1.7109375" style="57" customWidth="1"/>
    <col min="10254" max="10254" width="11.28515625" style="57" customWidth="1"/>
    <col min="10255" max="10255" width="3" style="57" customWidth="1"/>
    <col min="10256" max="10256" width="7.7109375" style="57" customWidth="1"/>
    <col min="10257" max="10257" width="1.7109375" style="57" customWidth="1"/>
    <col min="10258" max="10258" width="11.28515625" style="57" customWidth="1"/>
    <col min="10259" max="10259" width="3" style="57" customWidth="1"/>
    <col min="10260" max="10260" width="11.7109375" style="57"/>
    <col min="10261" max="10262" width="9.28515625" style="57" customWidth="1"/>
    <col min="10263" max="10501" width="11.7109375" style="57"/>
    <col min="10502" max="10502" width="13.7109375" style="57" customWidth="1"/>
    <col min="10503" max="10503" width="1.7109375" style="57" customWidth="1"/>
    <col min="10504" max="10504" width="8.7109375" style="57" customWidth="1"/>
    <col min="10505" max="10505" width="1.7109375" style="57" customWidth="1"/>
    <col min="10506" max="10506" width="11" style="57" customWidth="1"/>
    <col min="10507" max="10507" width="2.7109375" style="57" customWidth="1"/>
    <col min="10508" max="10508" width="7.7109375" style="57" customWidth="1"/>
    <col min="10509" max="10509" width="1.7109375" style="57" customWidth="1"/>
    <col min="10510" max="10510" width="11.28515625" style="57" customWidth="1"/>
    <col min="10511" max="10511" width="3" style="57" customWidth="1"/>
    <col min="10512" max="10512" width="7.7109375" style="57" customWidth="1"/>
    <col min="10513" max="10513" width="1.7109375" style="57" customWidth="1"/>
    <col min="10514" max="10514" width="11.28515625" style="57" customWidth="1"/>
    <col min="10515" max="10515" width="3" style="57" customWidth="1"/>
    <col min="10516" max="10516" width="11.7109375" style="57"/>
    <col min="10517" max="10518" width="9.28515625" style="57" customWidth="1"/>
    <col min="10519" max="10757" width="11.7109375" style="57"/>
    <col min="10758" max="10758" width="13.7109375" style="57" customWidth="1"/>
    <col min="10759" max="10759" width="1.7109375" style="57" customWidth="1"/>
    <col min="10760" max="10760" width="8.7109375" style="57" customWidth="1"/>
    <col min="10761" max="10761" width="1.7109375" style="57" customWidth="1"/>
    <col min="10762" max="10762" width="11" style="57" customWidth="1"/>
    <col min="10763" max="10763" width="2.7109375" style="57" customWidth="1"/>
    <col min="10764" max="10764" width="7.7109375" style="57" customWidth="1"/>
    <col min="10765" max="10765" width="1.7109375" style="57" customWidth="1"/>
    <col min="10766" max="10766" width="11.28515625" style="57" customWidth="1"/>
    <col min="10767" max="10767" width="3" style="57" customWidth="1"/>
    <col min="10768" max="10768" width="7.7109375" style="57" customWidth="1"/>
    <col min="10769" max="10769" width="1.7109375" style="57" customWidth="1"/>
    <col min="10770" max="10770" width="11.28515625" style="57" customWidth="1"/>
    <col min="10771" max="10771" width="3" style="57" customWidth="1"/>
    <col min="10772" max="10772" width="11.7109375" style="57"/>
    <col min="10773" max="10774" width="9.28515625" style="57" customWidth="1"/>
    <col min="10775" max="11013" width="11.7109375" style="57"/>
    <col min="11014" max="11014" width="13.7109375" style="57" customWidth="1"/>
    <col min="11015" max="11015" width="1.7109375" style="57" customWidth="1"/>
    <col min="11016" max="11016" width="8.7109375" style="57" customWidth="1"/>
    <col min="11017" max="11017" width="1.7109375" style="57" customWidth="1"/>
    <col min="11018" max="11018" width="11" style="57" customWidth="1"/>
    <col min="11019" max="11019" width="2.7109375" style="57" customWidth="1"/>
    <col min="11020" max="11020" width="7.7109375" style="57" customWidth="1"/>
    <col min="11021" max="11021" width="1.7109375" style="57" customWidth="1"/>
    <col min="11022" max="11022" width="11.28515625" style="57" customWidth="1"/>
    <col min="11023" max="11023" width="3" style="57" customWidth="1"/>
    <col min="11024" max="11024" width="7.7109375" style="57" customWidth="1"/>
    <col min="11025" max="11025" width="1.7109375" style="57" customWidth="1"/>
    <col min="11026" max="11026" width="11.28515625" style="57" customWidth="1"/>
    <col min="11027" max="11027" width="3" style="57" customWidth="1"/>
    <col min="11028" max="11028" width="11.7109375" style="57"/>
    <col min="11029" max="11030" width="9.28515625" style="57" customWidth="1"/>
    <col min="11031" max="11269" width="11.7109375" style="57"/>
    <col min="11270" max="11270" width="13.7109375" style="57" customWidth="1"/>
    <col min="11271" max="11271" width="1.7109375" style="57" customWidth="1"/>
    <col min="11272" max="11272" width="8.7109375" style="57" customWidth="1"/>
    <col min="11273" max="11273" width="1.7109375" style="57" customWidth="1"/>
    <col min="11274" max="11274" width="11" style="57" customWidth="1"/>
    <col min="11275" max="11275" width="2.7109375" style="57" customWidth="1"/>
    <col min="11276" max="11276" width="7.7109375" style="57" customWidth="1"/>
    <col min="11277" max="11277" width="1.7109375" style="57" customWidth="1"/>
    <col min="11278" max="11278" width="11.28515625" style="57" customWidth="1"/>
    <col min="11279" max="11279" width="3" style="57" customWidth="1"/>
    <col min="11280" max="11280" width="7.7109375" style="57" customWidth="1"/>
    <col min="11281" max="11281" width="1.7109375" style="57" customWidth="1"/>
    <col min="11282" max="11282" width="11.28515625" style="57" customWidth="1"/>
    <col min="11283" max="11283" width="3" style="57" customWidth="1"/>
    <col min="11284" max="11284" width="11.7109375" style="57"/>
    <col min="11285" max="11286" width="9.28515625" style="57" customWidth="1"/>
    <col min="11287" max="11525" width="11.7109375" style="57"/>
    <col min="11526" max="11526" width="13.7109375" style="57" customWidth="1"/>
    <col min="11527" max="11527" width="1.7109375" style="57" customWidth="1"/>
    <col min="11528" max="11528" width="8.7109375" style="57" customWidth="1"/>
    <col min="11529" max="11529" width="1.7109375" style="57" customWidth="1"/>
    <col min="11530" max="11530" width="11" style="57" customWidth="1"/>
    <col min="11531" max="11531" width="2.7109375" style="57" customWidth="1"/>
    <col min="11532" max="11532" width="7.7109375" style="57" customWidth="1"/>
    <col min="11533" max="11533" width="1.7109375" style="57" customWidth="1"/>
    <col min="11534" max="11534" width="11.28515625" style="57" customWidth="1"/>
    <col min="11535" max="11535" width="3" style="57" customWidth="1"/>
    <col min="11536" max="11536" width="7.7109375" style="57" customWidth="1"/>
    <col min="11537" max="11537" width="1.7109375" style="57" customWidth="1"/>
    <col min="11538" max="11538" width="11.28515625" style="57" customWidth="1"/>
    <col min="11539" max="11539" width="3" style="57" customWidth="1"/>
    <col min="11540" max="11540" width="11.7109375" style="57"/>
    <col min="11541" max="11542" width="9.28515625" style="57" customWidth="1"/>
    <col min="11543" max="11781" width="11.7109375" style="57"/>
    <col min="11782" max="11782" width="13.7109375" style="57" customWidth="1"/>
    <col min="11783" max="11783" width="1.7109375" style="57" customWidth="1"/>
    <col min="11784" max="11784" width="8.7109375" style="57" customWidth="1"/>
    <col min="11785" max="11785" width="1.7109375" style="57" customWidth="1"/>
    <col min="11786" max="11786" width="11" style="57" customWidth="1"/>
    <col min="11787" max="11787" width="2.7109375" style="57" customWidth="1"/>
    <col min="11788" max="11788" width="7.7109375" style="57" customWidth="1"/>
    <col min="11789" max="11789" width="1.7109375" style="57" customWidth="1"/>
    <col min="11790" max="11790" width="11.28515625" style="57" customWidth="1"/>
    <col min="11791" max="11791" width="3" style="57" customWidth="1"/>
    <col min="11792" max="11792" width="7.7109375" style="57" customWidth="1"/>
    <col min="11793" max="11793" width="1.7109375" style="57" customWidth="1"/>
    <col min="11794" max="11794" width="11.28515625" style="57" customWidth="1"/>
    <col min="11795" max="11795" width="3" style="57" customWidth="1"/>
    <col min="11796" max="11796" width="11.7109375" style="57"/>
    <col min="11797" max="11798" width="9.28515625" style="57" customWidth="1"/>
    <col min="11799" max="12037" width="11.7109375" style="57"/>
    <col min="12038" max="12038" width="13.7109375" style="57" customWidth="1"/>
    <col min="12039" max="12039" width="1.7109375" style="57" customWidth="1"/>
    <col min="12040" max="12040" width="8.7109375" style="57" customWidth="1"/>
    <col min="12041" max="12041" width="1.7109375" style="57" customWidth="1"/>
    <col min="12042" max="12042" width="11" style="57" customWidth="1"/>
    <col min="12043" max="12043" width="2.7109375" style="57" customWidth="1"/>
    <col min="12044" max="12044" width="7.7109375" style="57" customWidth="1"/>
    <col min="12045" max="12045" width="1.7109375" style="57" customWidth="1"/>
    <col min="12046" max="12046" width="11.28515625" style="57" customWidth="1"/>
    <col min="12047" max="12047" width="3" style="57" customWidth="1"/>
    <col min="12048" max="12048" width="7.7109375" style="57" customWidth="1"/>
    <col min="12049" max="12049" width="1.7109375" style="57" customWidth="1"/>
    <col min="12050" max="12050" width="11.28515625" style="57" customWidth="1"/>
    <col min="12051" max="12051" width="3" style="57" customWidth="1"/>
    <col min="12052" max="12052" width="11.7109375" style="57"/>
    <col min="12053" max="12054" width="9.28515625" style="57" customWidth="1"/>
    <col min="12055" max="12293" width="11.7109375" style="57"/>
    <col min="12294" max="12294" width="13.7109375" style="57" customWidth="1"/>
    <col min="12295" max="12295" width="1.7109375" style="57" customWidth="1"/>
    <col min="12296" max="12296" width="8.7109375" style="57" customWidth="1"/>
    <col min="12297" max="12297" width="1.7109375" style="57" customWidth="1"/>
    <col min="12298" max="12298" width="11" style="57" customWidth="1"/>
    <col min="12299" max="12299" width="2.7109375" style="57" customWidth="1"/>
    <col min="12300" max="12300" width="7.7109375" style="57" customWidth="1"/>
    <col min="12301" max="12301" width="1.7109375" style="57" customWidth="1"/>
    <col min="12302" max="12302" width="11.28515625" style="57" customWidth="1"/>
    <col min="12303" max="12303" width="3" style="57" customWidth="1"/>
    <col min="12304" max="12304" width="7.7109375" style="57" customWidth="1"/>
    <col min="12305" max="12305" width="1.7109375" style="57" customWidth="1"/>
    <col min="12306" max="12306" width="11.28515625" style="57" customWidth="1"/>
    <col min="12307" max="12307" width="3" style="57" customWidth="1"/>
    <col min="12308" max="12308" width="11.7109375" style="57"/>
    <col min="12309" max="12310" width="9.28515625" style="57" customWidth="1"/>
    <col min="12311" max="12549" width="11.7109375" style="57"/>
    <col min="12550" max="12550" width="13.7109375" style="57" customWidth="1"/>
    <col min="12551" max="12551" width="1.7109375" style="57" customWidth="1"/>
    <col min="12552" max="12552" width="8.7109375" style="57" customWidth="1"/>
    <col min="12553" max="12553" width="1.7109375" style="57" customWidth="1"/>
    <col min="12554" max="12554" width="11" style="57" customWidth="1"/>
    <col min="12555" max="12555" width="2.7109375" style="57" customWidth="1"/>
    <col min="12556" max="12556" width="7.7109375" style="57" customWidth="1"/>
    <col min="12557" max="12557" width="1.7109375" style="57" customWidth="1"/>
    <col min="12558" max="12558" width="11.28515625" style="57" customWidth="1"/>
    <col min="12559" max="12559" width="3" style="57" customWidth="1"/>
    <col min="12560" max="12560" width="7.7109375" style="57" customWidth="1"/>
    <col min="12561" max="12561" width="1.7109375" style="57" customWidth="1"/>
    <col min="12562" max="12562" width="11.28515625" style="57" customWidth="1"/>
    <col min="12563" max="12563" width="3" style="57" customWidth="1"/>
    <col min="12564" max="12564" width="11.7109375" style="57"/>
    <col min="12565" max="12566" width="9.28515625" style="57" customWidth="1"/>
    <col min="12567" max="12805" width="11.7109375" style="57"/>
    <col min="12806" max="12806" width="13.7109375" style="57" customWidth="1"/>
    <col min="12807" max="12807" width="1.7109375" style="57" customWidth="1"/>
    <col min="12808" max="12808" width="8.7109375" style="57" customWidth="1"/>
    <col min="12809" max="12809" width="1.7109375" style="57" customWidth="1"/>
    <col min="12810" max="12810" width="11" style="57" customWidth="1"/>
    <col min="12811" max="12811" width="2.7109375" style="57" customWidth="1"/>
    <col min="12812" max="12812" width="7.7109375" style="57" customWidth="1"/>
    <col min="12813" max="12813" width="1.7109375" style="57" customWidth="1"/>
    <col min="12814" max="12814" width="11.28515625" style="57" customWidth="1"/>
    <col min="12815" max="12815" width="3" style="57" customWidth="1"/>
    <col min="12816" max="12816" width="7.7109375" style="57" customWidth="1"/>
    <col min="12817" max="12817" width="1.7109375" style="57" customWidth="1"/>
    <col min="12818" max="12818" width="11.28515625" style="57" customWidth="1"/>
    <col min="12819" max="12819" width="3" style="57" customWidth="1"/>
    <col min="12820" max="12820" width="11.7109375" style="57"/>
    <col min="12821" max="12822" width="9.28515625" style="57" customWidth="1"/>
    <col min="12823" max="13061" width="11.7109375" style="57"/>
    <col min="13062" max="13062" width="13.7109375" style="57" customWidth="1"/>
    <col min="13063" max="13063" width="1.7109375" style="57" customWidth="1"/>
    <col min="13064" max="13064" width="8.7109375" style="57" customWidth="1"/>
    <col min="13065" max="13065" width="1.7109375" style="57" customWidth="1"/>
    <col min="13066" max="13066" width="11" style="57" customWidth="1"/>
    <col min="13067" max="13067" width="2.7109375" style="57" customWidth="1"/>
    <col min="13068" max="13068" width="7.7109375" style="57" customWidth="1"/>
    <col min="13069" max="13069" width="1.7109375" style="57" customWidth="1"/>
    <col min="13070" max="13070" width="11.28515625" style="57" customWidth="1"/>
    <col min="13071" max="13071" width="3" style="57" customWidth="1"/>
    <col min="13072" max="13072" width="7.7109375" style="57" customWidth="1"/>
    <col min="13073" max="13073" width="1.7109375" style="57" customWidth="1"/>
    <col min="13074" max="13074" width="11.28515625" style="57" customWidth="1"/>
    <col min="13075" max="13075" width="3" style="57" customWidth="1"/>
    <col min="13076" max="13076" width="11.7109375" style="57"/>
    <col min="13077" max="13078" width="9.28515625" style="57" customWidth="1"/>
    <col min="13079" max="13317" width="11.7109375" style="57"/>
    <col min="13318" max="13318" width="13.7109375" style="57" customWidth="1"/>
    <col min="13319" max="13319" width="1.7109375" style="57" customWidth="1"/>
    <col min="13320" max="13320" width="8.7109375" style="57" customWidth="1"/>
    <col min="13321" max="13321" width="1.7109375" style="57" customWidth="1"/>
    <col min="13322" max="13322" width="11" style="57" customWidth="1"/>
    <col min="13323" max="13323" width="2.7109375" style="57" customWidth="1"/>
    <col min="13324" max="13324" width="7.7109375" style="57" customWidth="1"/>
    <col min="13325" max="13325" width="1.7109375" style="57" customWidth="1"/>
    <col min="13326" max="13326" width="11.28515625" style="57" customWidth="1"/>
    <col min="13327" max="13327" width="3" style="57" customWidth="1"/>
    <col min="13328" max="13328" width="7.7109375" style="57" customWidth="1"/>
    <col min="13329" max="13329" width="1.7109375" style="57" customWidth="1"/>
    <col min="13330" max="13330" width="11.28515625" style="57" customWidth="1"/>
    <col min="13331" max="13331" width="3" style="57" customWidth="1"/>
    <col min="13332" max="13332" width="11.7109375" style="57"/>
    <col min="13333" max="13334" width="9.28515625" style="57" customWidth="1"/>
    <col min="13335" max="13573" width="11.7109375" style="57"/>
    <col min="13574" max="13574" width="13.7109375" style="57" customWidth="1"/>
    <col min="13575" max="13575" width="1.7109375" style="57" customWidth="1"/>
    <col min="13576" max="13576" width="8.7109375" style="57" customWidth="1"/>
    <col min="13577" max="13577" width="1.7109375" style="57" customWidth="1"/>
    <col min="13578" max="13578" width="11" style="57" customWidth="1"/>
    <col min="13579" max="13579" width="2.7109375" style="57" customWidth="1"/>
    <col min="13580" max="13580" width="7.7109375" style="57" customWidth="1"/>
    <col min="13581" max="13581" width="1.7109375" style="57" customWidth="1"/>
    <col min="13582" max="13582" width="11.28515625" style="57" customWidth="1"/>
    <col min="13583" max="13583" width="3" style="57" customWidth="1"/>
    <col min="13584" max="13584" width="7.7109375" style="57" customWidth="1"/>
    <col min="13585" max="13585" width="1.7109375" style="57" customWidth="1"/>
    <col min="13586" max="13586" width="11.28515625" style="57" customWidth="1"/>
    <col min="13587" max="13587" width="3" style="57" customWidth="1"/>
    <col min="13588" max="13588" width="11.7109375" style="57"/>
    <col min="13589" max="13590" width="9.28515625" style="57" customWidth="1"/>
    <col min="13591" max="13829" width="11.7109375" style="57"/>
    <col min="13830" max="13830" width="13.7109375" style="57" customWidth="1"/>
    <col min="13831" max="13831" width="1.7109375" style="57" customWidth="1"/>
    <col min="13832" max="13832" width="8.7109375" style="57" customWidth="1"/>
    <col min="13833" max="13833" width="1.7109375" style="57" customWidth="1"/>
    <col min="13834" max="13834" width="11" style="57" customWidth="1"/>
    <col min="13835" max="13835" width="2.7109375" style="57" customWidth="1"/>
    <col min="13836" max="13836" width="7.7109375" style="57" customWidth="1"/>
    <col min="13837" max="13837" width="1.7109375" style="57" customWidth="1"/>
    <col min="13838" max="13838" width="11.28515625" style="57" customWidth="1"/>
    <col min="13839" max="13839" width="3" style="57" customWidth="1"/>
    <col min="13840" max="13840" width="7.7109375" style="57" customWidth="1"/>
    <col min="13841" max="13841" width="1.7109375" style="57" customWidth="1"/>
    <col min="13842" max="13842" width="11.28515625" style="57" customWidth="1"/>
    <col min="13843" max="13843" width="3" style="57" customWidth="1"/>
    <col min="13844" max="13844" width="11.7109375" style="57"/>
    <col min="13845" max="13846" width="9.28515625" style="57" customWidth="1"/>
    <col min="13847" max="14085" width="11.7109375" style="57"/>
    <col min="14086" max="14086" width="13.7109375" style="57" customWidth="1"/>
    <col min="14087" max="14087" width="1.7109375" style="57" customWidth="1"/>
    <col min="14088" max="14088" width="8.7109375" style="57" customWidth="1"/>
    <col min="14089" max="14089" width="1.7109375" style="57" customWidth="1"/>
    <col min="14090" max="14090" width="11" style="57" customWidth="1"/>
    <col min="14091" max="14091" width="2.7109375" style="57" customWidth="1"/>
    <col min="14092" max="14092" width="7.7109375" style="57" customWidth="1"/>
    <col min="14093" max="14093" width="1.7109375" style="57" customWidth="1"/>
    <col min="14094" max="14094" width="11.28515625" style="57" customWidth="1"/>
    <col min="14095" max="14095" width="3" style="57" customWidth="1"/>
    <col min="14096" max="14096" width="7.7109375" style="57" customWidth="1"/>
    <col min="14097" max="14097" width="1.7109375" style="57" customWidth="1"/>
    <col min="14098" max="14098" width="11.28515625" style="57" customWidth="1"/>
    <col min="14099" max="14099" width="3" style="57" customWidth="1"/>
    <col min="14100" max="14100" width="11.7109375" style="57"/>
    <col min="14101" max="14102" width="9.28515625" style="57" customWidth="1"/>
    <col min="14103" max="14341" width="11.7109375" style="57"/>
    <col min="14342" max="14342" width="13.7109375" style="57" customWidth="1"/>
    <col min="14343" max="14343" width="1.7109375" style="57" customWidth="1"/>
    <col min="14344" max="14344" width="8.7109375" style="57" customWidth="1"/>
    <col min="14345" max="14345" width="1.7109375" style="57" customWidth="1"/>
    <col min="14346" max="14346" width="11" style="57" customWidth="1"/>
    <col min="14347" max="14347" width="2.7109375" style="57" customWidth="1"/>
    <col min="14348" max="14348" width="7.7109375" style="57" customWidth="1"/>
    <col min="14349" max="14349" width="1.7109375" style="57" customWidth="1"/>
    <col min="14350" max="14350" width="11.28515625" style="57" customWidth="1"/>
    <col min="14351" max="14351" width="3" style="57" customWidth="1"/>
    <col min="14352" max="14352" width="7.7109375" style="57" customWidth="1"/>
    <col min="14353" max="14353" width="1.7109375" style="57" customWidth="1"/>
    <col min="14354" max="14354" width="11.28515625" style="57" customWidth="1"/>
    <col min="14355" max="14355" width="3" style="57" customWidth="1"/>
    <col min="14356" max="14356" width="11.7109375" style="57"/>
    <col min="14357" max="14358" width="9.28515625" style="57" customWidth="1"/>
    <col min="14359" max="14597" width="11.7109375" style="57"/>
    <col min="14598" max="14598" width="13.7109375" style="57" customWidth="1"/>
    <col min="14599" max="14599" width="1.7109375" style="57" customWidth="1"/>
    <col min="14600" max="14600" width="8.7109375" style="57" customWidth="1"/>
    <col min="14601" max="14601" width="1.7109375" style="57" customWidth="1"/>
    <col min="14602" max="14602" width="11" style="57" customWidth="1"/>
    <col min="14603" max="14603" width="2.7109375" style="57" customWidth="1"/>
    <col min="14604" max="14604" width="7.7109375" style="57" customWidth="1"/>
    <col min="14605" max="14605" width="1.7109375" style="57" customWidth="1"/>
    <col min="14606" max="14606" width="11.28515625" style="57" customWidth="1"/>
    <col min="14607" max="14607" width="3" style="57" customWidth="1"/>
    <col min="14608" max="14608" width="7.7109375" style="57" customWidth="1"/>
    <col min="14609" max="14609" width="1.7109375" style="57" customWidth="1"/>
    <col min="14610" max="14610" width="11.28515625" style="57" customWidth="1"/>
    <col min="14611" max="14611" width="3" style="57" customWidth="1"/>
    <col min="14612" max="14612" width="11.7109375" style="57"/>
    <col min="14613" max="14614" width="9.28515625" style="57" customWidth="1"/>
    <col min="14615" max="14853" width="11.7109375" style="57"/>
    <col min="14854" max="14854" width="13.7109375" style="57" customWidth="1"/>
    <col min="14855" max="14855" width="1.7109375" style="57" customWidth="1"/>
    <col min="14856" max="14856" width="8.7109375" style="57" customWidth="1"/>
    <col min="14857" max="14857" width="1.7109375" style="57" customWidth="1"/>
    <col min="14858" max="14858" width="11" style="57" customWidth="1"/>
    <col min="14859" max="14859" width="2.7109375" style="57" customWidth="1"/>
    <col min="14860" max="14860" width="7.7109375" style="57" customWidth="1"/>
    <col min="14861" max="14861" width="1.7109375" style="57" customWidth="1"/>
    <col min="14862" max="14862" width="11.28515625" style="57" customWidth="1"/>
    <col min="14863" max="14863" width="3" style="57" customWidth="1"/>
    <col min="14864" max="14864" width="7.7109375" style="57" customWidth="1"/>
    <col min="14865" max="14865" width="1.7109375" style="57" customWidth="1"/>
    <col min="14866" max="14866" width="11.28515625" style="57" customWidth="1"/>
    <col min="14867" max="14867" width="3" style="57" customWidth="1"/>
    <col min="14868" max="14868" width="11.7109375" style="57"/>
    <col min="14869" max="14870" width="9.28515625" style="57" customWidth="1"/>
    <col min="14871" max="15109" width="11.7109375" style="57"/>
    <col min="15110" max="15110" width="13.7109375" style="57" customWidth="1"/>
    <col min="15111" max="15111" width="1.7109375" style="57" customWidth="1"/>
    <col min="15112" max="15112" width="8.7109375" style="57" customWidth="1"/>
    <col min="15113" max="15113" width="1.7109375" style="57" customWidth="1"/>
    <col min="15114" max="15114" width="11" style="57" customWidth="1"/>
    <col min="15115" max="15115" width="2.7109375" style="57" customWidth="1"/>
    <col min="15116" max="15116" width="7.7109375" style="57" customWidth="1"/>
    <col min="15117" max="15117" width="1.7109375" style="57" customWidth="1"/>
    <col min="15118" max="15118" width="11.28515625" style="57" customWidth="1"/>
    <col min="15119" max="15119" width="3" style="57" customWidth="1"/>
    <col min="15120" max="15120" width="7.7109375" style="57" customWidth="1"/>
    <col min="15121" max="15121" width="1.7109375" style="57" customWidth="1"/>
    <col min="15122" max="15122" width="11.28515625" style="57" customWidth="1"/>
    <col min="15123" max="15123" width="3" style="57" customWidth="1"/>
    <col min="15124" max="15124" width="11.7109375" style="57"/>
    <col min="15125" max="15126" width="9.28515625" style="57" customWidth="1"/>
    <col min="15127" max="15365" width="11.7109375" style="57"/>
    <col min="15366" max="15366" width="13.7109375" style="57" customWidth="1"/>
    <col min="15367" max="15367" width="1.7109375" style="57" customWidth="1"/>
    <col min="15368" max="15368" width="8.7109375" style="57" customWidth="1"/>
    <col min="15369" max="15369" width="1.7109375" style="57" customWidth="1"/>
    <col min="15370" max="15370" width="11" style="57" customWidth="1"/>
    <col min="15371" max="15371" width="2.7109375" style="57" customWidth="1"/>
    <col min="15372" max="15372" width="7.7109375" style="57" customWidth="1"/>
    <col min="15373" max="15373" width="1.7109375" style="57" customWidth="1"/>
    <col min="15374" max="15374" width="11.28515625" style="57" customWidth="1"/>
    <col min="15375" max="15375" width="3" style="57" customWidth="1"/>
    <col min="15376" max="15376" width="7.7109375" style="57" customWidth="1"/>
    <col min="15377" max="15377" width="1.7109375" style="57" customWidth="1"/>
    <col min="15378" max="15378" width="11.28515625" style="57" customWidth="1"/>
    <col min="15379" max="15379" width="3" style="57" customWidth="1"/>
    <col min="15380" max="15380" width="11.7109375" style="57"/>
    <col min="15381" max="15382" width="9.28515625" style="57" customWidth="1"/>
    <col min="15383" max="15621" width="11.7109375" style="57"/>
    <col min="15622" max="15622" width="13.7109375" style="57" customWidth="1"/>
    <col min="15623" max="15623" width="1.7109375" style="57" customWidth="1"/>
    <col min="15624" max="15624" width="8.7109375" style="57" customWidth="1"/>
    <col min="15625" max="15625" width="1.7109375" style="57" customWidth="1"/>
    <col min="15626" max="15626" width="11" style="57" customWidth="1"/>
    <col min="15627" max="15627" width="2.7109375" style="57" customWidth="1"/>
    <col min="15628" max="15628" width="7.7109375" style="57" customWidth="1"/>
    <col min="15629" max="15629" width="1.7109375" style="57" customWidth="1"/>
    <col min="15630" max="15630" width="11.28515625" style="57" customWidth="1"/>
    <col min="15631" max="15631" width="3" style="57" customWidth="1"/>
    <col min="15632" max="15632" width="7.7109375" style="57" customWidth="1"/>
    <col min="15633" max="15633" width="1.7109375" style="57" customWidth="1"/>
    <col min="15634" max="15634" width="11.28515625" style="57" customWidth="1"/>
    <col min="15635" max="15635" width="3" style="57" customWidth="1"/>
    <col min="15636" max="15636" width="11.7109375" style="57"/>
    <col min="15637" max="15638" width="9.28515625" style="57" customWidth="1"/>
    <col min="15639" max="15877" width="11.7109375" style="57"/>
    <col min="15878" max="15878" width="13.7109375" style="57" customWidth="1"/>
    <col min="15879" max="15879" width="1.7109375" style="57" customWidth="1"/>
    <col min="15880" max="15880" width="8.7109375" style="57" customWidth="1"/>
    <col min="15881" max="15881" width="1.7109375" style="57" customWidth="1"/>
    <col min="15882" max="15882" width="11" style="57" customWidth="1"/>
    <col min="15883" max="15883" width="2.7109375" style="57" customWidth="1"/>
    <col min="15884" max="15884" width="7.7109375" style="57" customWidth="1"/>
    <col min="15885" max="15885" width="1.7109375" style="57" customWidth="1"/>
    <col min="15886" max="15886" width="11.28515625" style="57" customWidth="1"/>
    <col min="15887" max="15887" width="3" style="57" customWidth="1"/>
    <col min="15888" max="15888" width="7.7109375" style="57" customWidth="1"/>
    <col min="15889" max="15889" width="1.7109375" style="57" customWidth="1"/>
    <col min="15890" max="15890" width="11.28515625" style="57" customWidth="1"/>
    <col min="15891" max="15891" width="3" style="57" customWidth="1"/>
    <col min="15892" max="15892" width="11.7109375" style="57"/>
    <col min="15893" max="15894" width="9.28515625" style="57" customWidth="1"/>
    <col min="15895" max="16133" width="11.7109375" style="57"/>
    <col min="16134" max="16134" width="13.7109375" style="57" customWidth="1"/>
    <col min="16135" max="16135" width="1.7109375" style="57" customWidth="1"/>
    <col min="16136" max="16136" width="8.7109375" style="57" customWidth="1"/>
    <col min="16137" max="16137" width="1.7109375" style="57" customWidth="1"/>
    <col min="16138" max="16138" width="11" style="57" customWidth="1"/>
    <col min="16139" max="16139" width="2.7109375" style="57" customWidth="1"/>
    <col min="16140" max="16140" width="7.7109375" style="57" customWidth="1"/>
    <col min="16141" max="16141" width="1.7109375" style="57" customWidth="1"/>
    <col min="16142" max="16142" width="11.28515625" style="57" customWidth="1"/>
    <col min="16143" max="16143" width="3" style="57" customWidth="1"/>
    <col min="16144" max="16144" width="7.7109375" style="57" customWidth="1"/>
    <col min="16145" max="16145" width="1.7109375" style="57" customWidth="1"/>
    <col min="16146" max="16146" width="11.28515625" style="57" customWidth="1"/>
    <col min="16147" max="16147" width="3" style="57" customWidth="1"/>
    <col min="16148" max="16148" width="11.7109375" style="57"/>
    <col min="16149" max="16150" width="9.28515625" style="57" customWidth="1"/>
    <col min="16151" max="16383" width="11.7109375" style="57"/>
    <col min="16384" max="16384" width="11.7109375" style="57" customWidth="1"/>
  </cols>
  <sheetData>
    <row r="1" spans="1:24" ht="12.75" customHeight="1" x14ac:dyDescent="0.25">
      <c r="A1" s="1" t="s">
        <v>241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24" ht="12.75" customHeight="1" x14ac:dyDescent="0.25">
      <c r="A2" s="148"/>
      <c r="B2" s="148"/>
      <c r="C2" s="148"/>
      <c r="D2" s="148"/>
      <c r="E2" s="148"/>
      <c r="F2" s="149"/>
      <c r="G2" s="148"/>
      <c r="H2" s="148"/>
      <c r="I2" s="148"/>
      <c r="J2" s="148"/>
      <c r="K2" s="148"/>
      <c r="L2" s="148"/>
    </row>
    <row r="3" spans="1:24" s="59" customFormat="1" ht="12.75" customHeight="1" x14ac:dyDescent="0.25">
      <c r="A3" s="502" t="s">
        <v>315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</row>
    <row r="4" spans="1:24" s="60" customFormat="1" ht="12.75" customHeight="1" x14ac:dyDescent="0.25">
      <c r="A4" s="15"/>
      <c r="B4" s="15"/>
      <c r="C4" s="15"/>
      <c r="D4" s="15"/>
      <c r="E4" s="15"/>
      <c r="F4" s="150"/>
      <c r="G4" s="15"/>
      <c r="H4" s="15"/>
      <c r="I4" s="15"/>
      <c r="J4" s="15"/>
      <c r="K4" s="15"/>
      <c r="L4" s="15"/>
    </row>
    <row r="5" spans="1:24" s="60" customFormat="1" ht="18" customHeight="1" x14ac:dyDescent="0.25">
      <c r="A5" s="550" t="s">
        <v>27</v>
      </c>
      <c r="B5" s="552" t="s">
        <v>148</v>
      </c>
      <c r="C5" s="552"/>
      <c r="D5" s="552"/>
      <c r="E5" s="403"/>
      <c r="F5" s="553" t="s">
        <v>240</v>
      </c>
      <c r="G5" s="553"/>
      <c r="H5" s="553"/>
      <c r="I5" s="403"/>
      <c r="J5" s="553" t="s">
        <v>239</v>
      </c>
      <c r="K5" s="553"/>
      <c r="L5" s="553"/>
    </row>
    <row r="6" spans="1:24" s="60" customFormat="1" ht="32.1" customHeight="1" x14ac:dyDescent="0.25">
      <c r="A6" s="551"/>
      <c r="B6" s="404" t="s">
        <v>238</v>
      </c>
      <c r="C6" s="404"/>
      <c r="D6" s="404" t="s">
        <v>237</v>
      </c>
      <c r="E6" s="405"/>
      <c r="F6" s="404" t="s">
        <v>238</v>
      </c>
      <c r="G6" s="404"/>
      <c r="H6" s="404" t="s">
        <v>237</v>
      </c>
      <c r="I6" s="405"/>
      <c r="J6" s="404" t="s">
        <v>238</v>
      </c>
      <c r="K6" s="404"/>
      <c r="L6" s="404" t="s">
        <v>237</v>
      </c>
    </row>
    <row r="7" spans="1:24" s="60" customFormat="1" ht="12.75" hidden="1" customHeight="1" x14ac:dyDescent="0.3">
      <c r="A7" s="406">
        <v>1992</v>
      </c>
      <c r="B7" s="61">
        <v>372218</v>
      </c>
      <c r="C7" s="409"/>
      <c r="D7" s="61">
        <v>15103523</v>
      </c>
      <c r="E7" s="409"/>
      <c r="F7" s="61">
        <v>217267</v>
      </c>
      <c r="G7" s="61"/>
      <c r="H7" s="62">
        <v>3561234</v>
      </c>
      <c r="I7" s="62">
        <v>0</v>
      </c>
      <c r="J7" s="62">
        <v>154951</v>
      </c>
      <c r="K7" s="62">
        <v>0</v>
      </c>
      <c r="L7" s="62">
        <v>11542289</v>
      </c>
      <c r="M7" s="63"/>
      <c r="N7" s="64"/>
      <c r="O7" s="65"/>
      <c r="P7" s="65"/>
      <c r="Q7" s="65"/>
      <c r="R7" s="65"/>
      <c r="S7" s="65"/>
      <c r="T7" s="65"/>
      <c r="U7" s="65"/>
      <c r="V7" s="65"/>
      <c r="W7" s="65"/>
    </row>
    <row r="8" spans="1:24" s="60" customFormat="1" ht="12.75" hidden="1" customHeight="1" x14ac:dyDescent="0.3">
      <c r="A8" s="406"/>
      <c r="B8" s="61"/>
      <c r="C8" s="409"/>
      <c r="D8" s="61"/>
      <c r="E8" s="409"/>
      <c r="F8" s="61"/>
      <c r="G8" s="61"/>
      <c r="H8" s="62"/>
      <c r="I8" s="62"/>
      <c r="J8" s="62"/>
      <c r="K8" s="62"/>
      <c r="L8" s="62"/>
      <c r="M8" s="63"/>
      <c r="N8" s="64"/>
      <c r="O8" s="65"/>
      <c r="P8" s="65"/>
      <c r="Q8" s="65"/>
      <c r="R8" s="65"/>
      <c r="S8" s="65"/>
      <c r="T8" s="65"/>
      <c r="U8" s="65"/>
      <c r="V8" s="65"/>
      <c r="W8" s="65"/>
    </row>
    <row r="9" spans="1:24" s="60" customFormat="1" ht="12.75" hidden="1" customHeight="1" x14ac:dyDescent="0.25">
      <c r="A9" s="407">
        <v>1993</v>
      </c>
      <c r="B9" s="410">
        <v>274866</v>
      </c>
      <c r="C9" s="409"/>
      <c r="D9" s="410">
        <v>9177101</v>
      </c>
      <c r="E9" s="409"/>
      <c r="F9" s="410">
        <v>177321</v>
      </c>
      <c r="G9" s="410"/>
      <c r="H9" s="62">
        <v>2349920</v>
      </c>
      <c r="I9" s="62">
        <v>0</v>
      </c>
      <c r="J9" s="62">
        <v>97545</v>
      </c>
      <c r="K9" s="62">
        <v>0</v>
      </c>
      <c r="L9" s="62">
        <v>6827181</v>
      </c>
      <c r="M9" s="63"/>
      <c r="N9" s="64"/>
      <c r="O9" s="65"/>
      <c r="P9" s="65"/>
      <c r="Q9" s="65"/>
      <c r="R9" s="65"/>
      <c r="S9" s="65"/>
      <c r="T9" s="65"/>
      <c r="U9" s="65"/>
      <c r="V9" s="65"/>
      <c r="W9" s="65"/>
    </row>
    <row r="10" spans="1:24" s="60" customFormat="1" ht="12.75" hidden="1" customHeight="1" x14ac:dyDescent="0.25">
      <c r="A10" s="407">
        <v>1994</v>
      </c>
      <c r="B10" s="410">
        <v>127058</v>
      </c>
      <c r="C10" s="409"/>
      <c r="D10" s="410">
        <v>10524941</v>
      </c>
      <c r="E10" s="409"/>
      <c r="F10" s="410">
        <v>3098</v>
      </c>
      <c r="G10" s="410"/>
      <c r="H10" s="62">
        <v>520459</v>
      </c>
      <c r="I10" s="62">
        <v>0</v>
      </c>
      <c r="J10" s="62">
        <v>123960</v>
      </c>
      <c r="K10" s="62">
        <v>0</v>
      </c>
      <c r="L10" s="62">
        <v>10004482</v>
      </c>
      <c r="M10" s="63"/>
      <c r="N10" s="64"/>
      <c r="O10" s="65"/>
      <c r="P10" s="65"/>
      <c r="Q10" s="65"/>
      <c r="R10" s="65"/>
      <c r="S10" s="65"/>
      <c r="T10" s="65"/>
      <c r="U10" s="65"/>
      <c r="V10" s="65"/>
      <c r="W10" s="65"/>
    </row>
    <row r="11" spans="1:24" s="60" customFormat="1" ht="12.75" hidden="1" customHeight="1" x14ac:dyDescent="0.3">
      <c r="A11" s="407">
        <v>1995</v>
      </c>
      <c r="B11" s="410">
        <v>376767</v>
      </c>
      <c r="C11" s="410"/>
      <c r="D11" s="410">
        <v>32001959</v>
      </c>
      <c r="E11" s="410"/>
      <c r="F11" s="410">
        <v>289663</v>
      </c>
      <c r="G11" s="410"/>
      <c r="H11" s="62">
        <v>15622429</v>
      </c>
      <c r="I11" s="62">
        <v>0</v>
      </c>
      <c r="J11" s="62">
        <v>87104</v>
      </c>
      <c r="K11" s="62">
        <v>0</v>
      </c>
      <c r="L11" s="62">
        <v>16379530</v>
      </c>
      <c r="M11" s="63"/>
      <c r="N11" s="64"/>
      <c r="O11" s="65"/>
      <c r="P11" s="65"/>
      <c r="Q11" s="65"/>
      <c r="R11" s="65"/>
      <c r="S11" s="65"/>
      <c r="T11" s="65"/>
      <c r="U11" s="65"/>
      <c r="V11" s="65"/>
      <c r="W11" s="65"/>
      <c r="X11" s="61"/>
    </row>
    <row r="12" spans="1:24" s="60" customFormat="1" ht="12.75" hidden="1" customHeight="1" x14ac:dyDescent="0.3">
      <c r="A12" s="407">
        <v>1996</v>
      </c>
      <c r="B12" s="410">
        <v>436288</v>
      </c>
      <c r="C12" s="410"/>
      <c r="D12" s="410">
        <v>38636344</v>
      </c>
      <c r="E12" s="410"/>
      <c r="F12" s="410">
        <v>416300</v>
      </c>
      <c r="G12" s="410"/>
      <c r="H12" s="62">
        <v>31927900</v>
      </c>
      <c r="I12" s="62">
        <v>0</v>
      </c>
      <c r="J12" s="62">
        <v>19988</v>
      </c>
      <c r="K12" s="62">
        <v>0</v>
      </c>
      <c r="L12" s="62">
        <v>6708444</v>
      </c>
      <c r="M12" s="63"/>
      <c r="N12" s="64"/>
      <c r="O12" s="65"/>
      <c r="P12" s="65"/>
      <c r="Q12" s="65"/>
      <c r="R12" s="65"/>
      <c r="S12" s="65"/>
      <c r="T12" s="65"/>
      <c r="U12" s="65"/>
      <c r="V12" s="65"/>
      <c r="W12" s="65"/>
      <c r="X12" s="61"/>
    </row>
    <row r="13" spans="1:24" s="60" customFormat="1" ht="12.75" hidden="1" customHeight="1" x14ac:dyDescent="0.3">
      <c r="A13" s="407">
        <v>1997</v>
      </c>
      <c r="B13" s="410">
        <v>405500</v>
      </c>
      <c r="C13" s="410"/>
      <c r="D13" s="410">
        <v>33430100</v>
      </c>
      <c r="E13" s="410"/>
      <c r="F13" s="410">
        <v>379000</v>
      </c>
      <c r="G13" s="410"/>
      <c r="H13" s="62">
        <v>26212100</v>
      </c>
      <c r="I13" s="62">
        <v>0</v>
      </c>
      <c r="J13" s="62">
        <v>26500</v>
      </c>
      <c r="K13" s="62">
        <v>0</v>
      </c>
      <c r="L13" s="62">
        <v>7218000</v>
      </c>
      <c r="M13" s="63"/>
      <c r="N13" s="64"/>
      <c r="O13" s="65"/>
      <c r="P13" s="65"/>
      <c r="Q13" s="65"/>
      <c r="R13" s="65"/>
      <c r="S13" s="65"/>
      <c r="T13" s="65"/>
      <c r="U13" s="65"/>
      <c r="V13" s="65"/>
      <c r="W13" s="65"/>
      <c r="X13" s="61"/>
    </row>
    <row r="14" spans="1:24" s="60" customFormat="1" ht="12.75" hidden="1" customHeight="1" x14ac:dyDescent="0.3">
      <c r="A14" s="407">
        <v>1998</v>
      </c>
      <c r="B14" s="410">
        <v>427700</v>
      </c>
      <c r="C14" s="410"/>
      <c r="D14" s="410">
        <v>16022700</v>
      </c>
      <c r="E14" s="410"/>
      <c r="F14" s="410">
        <v>386500</v>
      </c>
      <c r="G14" s="410"/>
      <c r="H14" s="62">
        <v>11362200</v>
      </c>
      <c r="I14" s="62">
        <v>0</v>
      </c>
      <c r="J14" s="62">
        <v>41200</v>
      </c>
      <c r="K14" s="62">
        <v>0</v>
      </c>
      <c r="L14" s="62">
        <v>4660500</v>
      </c>
      <c r="M14" s="63"/>
      <c r="N14" s="64"/>
      <c r="O14" s="65"/>
      <c r="P14" s="65"/>
      <c r="Q14" s="65"/>
      <c r="R14" s="65"/>
      <c r="S14" s="65"/>
      <c r="T14" s="65"/>
      <c r="U14" s="65"/>
      <c r="V14" s="65"/>
      <c r="W14" s="65"/>
      <c r="X14" s="61"/>
    </row>
    <row r="15" spans="1:24" s="60" customFormat="1" ht="12.75" hidden="1" customHeight="1" x14ac:dyDescent="0.3">
      <c r="A15" s="407">
        <v>1999</v>
      </c>
      <c r="B15" s="410">
        <v>440000</v>
      </c>
      <c r="C15" s="410"/>
      <c r="D15" s="410">
        <v>13401600</v>
      </c>
      <c r="E15" s="410"/>
      <c r="F15" s="410">
        <v>396300</v>
      </c>
      <c r="G15" s="410"/>
      <c r="H15" s="62">
        <v>9284100</v>
      </c>
      <c r="I15" s="62">
        <v>0</v>
      </c>
      <c r="J15" s="62">
        <v>43700</v>
      </c>
      <c r="K15" s="62">
        <v>0</v>
      </c>
      <c r="L15" s="62">
        <v>4117500</v>
      </c>
      <c r="M15" s="63"/>
      <c r="N15" s="64"/>
      <c r="O15" s="65"/>
      <c r="P15" s="65"/>
      <c r="Q15" s="65"/>
      <c r="R15" s="65"/>
      <c r="S15" s="65"/>
      <c r="T15" s="65"/>
      <c r="U15" s="65"/>
      <c r="V15" s="65"/>
      <c r="W15" s="65"/>
      <c r="X15" s="61"/>
    </row>
    <row r="16" spans="1:24" s="60" customFormat="1" ht="12.75" hidden="1" customHeight="1" x14ac:dyDescent="0.3">
      <c r="A16" s="407">
        <v>2000</v>
      </c>
      <c r="B16" s="410">
        <v>433051</v>
      </c>
      <c r="C16" s="410"/>
      <c r="D16" s="410">
        <v>10204417</v>
      </c>
      <c r="E16" s="410"/>
      <c r="F16" s="410">
        <v>361572</v>
      </c>
      <c r="G16" s="410"/>
      <c r="H16" s="62">
        <v>5988249</v>
      </c>
      <c r="I16" s="62">
        <v>0</v>
      </c>
      <c r="J16" s="62">
        <v>71479</v>
      </c>
      <c r="K16" s="62">
        <v>0</v>
      </c>
      <c r="L16" s="62">
        <v>4216168</v>
      </c>
      <c r="M16" s="63"/>
      <c r="N16" s="64"/>
      <c r="O16" s="65"/>
      <c r="P16" s="65"/>
      <c r="Q16" s="65"/>
      <c r="R16" s="65"/>
      <c r="S16" s="65"/>
      <c r="T16" s="65"/>
      <c r="U16" s="65"/>
      <c r="V16" s="65"/>
      <c r="W16" s="65"/>
      <c r="X16" s="61"/>
    </row>
    <row r="17" spans="1:24" s="60" customFormat="1" ht="12.75" hidden="1" customHeight="1" x14ac:dyDescent="0.25">
      <c r="A17" s="407">
        <v>2001</v>
      </c>
      <c r="B17" s="410">
        <v>373100</v>
      </c>
      <c r="C17" s="410"/>
      <c r="D17" s="410">
        <v>9468600</v>
      </c>
      <c r="E17" s="410"/>
      <c r="F17" s="410">
        <v>263400</v>
      </c>
      <c r="G17" s="410"/>
      <c r="H17" s="62">
        <v>4450600</v>
      </c>
      <c r="I17" s="62">
        <v>0</v>
      </c>
      <c r="J17" s="62">
        <v>109700</v>
      </c>
      <c r="K17" s="62">
        <v>0</v>
      </c>
      <c r="L17" s="62">
        <v>5018000</v>
      </c>
      <c r="M17" s="63"/>
      <c r="N17" s="64"/>
    </row>
    <row r="18" spans="1:24" s="60" customFormat="1" ht="12.75" hidden="1" customHeight="1" x14ac:dyDescent="0.3">
      <c r="A18" s="407">
        <v>2002</v>
      </c>
      <c r="B18" s="410">
        <v>442800</v>
      </c>
      <c r="C18" s="410"/>
      <c r="D18" s="410">
        <v>9785300</v>
      </c>
      <c r="E18" s="410"/>
      <c r="F18" s="410">
        <v>295500</v>
      </c>
      <c r="G18" s="410"/>
      <c r="H18" s="62">
        <v>4262000</v>
      </c>
      <c r="I18" s="62">
        <v>0</v>
      </c>
      <c r="J18" s="62">
        <v>147300</v>
      </c>
      <c r="K18" s="62">
        <v>0</v>
      </c>
      <c r="L18" s="62">
        <v>5523300</v>
      </c>
      <c r="M18" s="63"/>
      <c r="N18" s="64"/>
      <c r="O18" s="65"/>
      <c r="P18" s="65"/>
      <c r="Q18" s="65"/>
      <c r="R18" s="65"/>
      <c r="S18" s="65"/>
      <c r="T18" s="65"/>
      <c r="U18" s="65"/>
      <c r="V18" s="65"/>
      <c r="W18" s="65"/>
      <c r="X18" s="61"/>
    </row>
    <row r="19" spans="1:24" s="60" customFormat="1" ht="12.75" hidden="1" customHeight="1" x14ac:dyDescent="0.3">
      <c r="A19" s="407">
        <v>2003</v>
      </c>
      <c r="B19" s="410">
        <v>536900</v>
      </c>
      <c r="C19" s="410"/>
      <c r="D19" s="410">
        <v>10697600</v>
      </c>
      <c r="E19" s="410"/>
      <c r="F19" s="410">
        <v>273700</v>
      </c>
      <c r="G19" s="410"/>
      <c r="H19" s="62">
        <v>3877800</v>
      </c>
      <c r="I19" s="62">
        <v>0</v>
      </c>
      <c r="J19" s="62">
        <v>263200</v>
      </c>
      <c r="K19" s="62">
        <v>0</v>
      </c>
      <c r="L19" s="62">
        <v>6819800</v>
      </c>
      <c r="M19" s="63"/>
      <c r="N19" s="64"/>
      <c r="O19" s="65"/>
      <c r="P19" s="65"/>
      <c r="Q19" s="65"/>
      <c r="R19" s="65"/>
      <c r="S19" s="65"/>
      <c r="T19" s="65"/>
      <c r="U19" s="65"/>
      <c r="V19" s="65"/>
      <c r="W19" s="65"/>
      <c r="X19" s="61"/>
    </row>
    <row r="20" spans="1:24" s="60" customFormat="1" ht="12.75" hidden="1" customHeight="1" x14ac:dyDescent="0.3">
      <c r="A20" s="407">
        <v>2004</v>
      </c>
      <c r="B20" s="410">
        <v>507026</v>
      </c>
      <c r="C20" s="410"/>
      <c r="D20" s="410">
        <v>16002629</v>
      </c>
      <c r="E20" s="410"/>
      <c r="F20" s="410">
        <v>260636</v>
      </c>
      <c r="G20" s="410"/>
      <c r="H20" s="62">
        <v>5306832</v>
      </c>
      <c r="I20" s="62">
        <v>0</v>
      </c>
      <c r="J20" s="62">
        <v>246390</v>
      </c>
      <c r="K20" s="62">
        <v>0</v>
      </c>
      <c r="L20" s="62">
        <v>10695797</v>
      </c>
      <c r="M20" s="63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1"/>
    </row>
    <row r="21" spans="1:24" s="60" customFormat="1" ht="15.95" customHeight="1" x14ac:dyDescent="0.3">
      <c r="A21" s="407">
        <v>2006</v>
      </c>
      <c r="B21" s="410">
        <v>557436</v>
      </c>
      <c r="C21" s="410"/>
      <c r="D21" s="410">
        <v>19185982</v>
      </c>
      <c r="E21" s="410"/>
      <c r="F21" s="410">
        <v>197835</v>
      </c>
      <c r="G21" s="410"/>
      <c r="H21" s="62">
        <v>3613285</v>
      </c>
      <c r="I21" s="62">
        <v>0</v>
      </c>
      <c r="J21" s="62">
        <v>359601</v>
      </c>
      <c r="K21" s="62">
        <v>0</v>
      </c>
      <c r="L21" s="62">
        <v>15572697</v>
      </c>
      <c r="M21" s="63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1"/>
    </row>
    <row r="22" spans="1:24" s="60" customFormat="1" ht="15.95" customHeight="1" x14ac:dyDescent="0.3">
      <c r="A22" s="407">
        <v>2007</v>
      </c>
      <c r="B22" s="410">
        <v>623307</v>
      </c>
      <c r="C22" s="410"/>
      <c r="D22" s="410">
        <v>21216091</v>
      </c>
      <c r="E22" s="410"/>
      <c r="F22" s="410">
        <v>148235</v>
      </c>
      <c r="G22" s="410"/>
      <c r="H22" s="62">
        <v>2307764</v>
      </c>
      <c r="I22" s="62">
        <v>0</v>
      </c>
      <c r="J22" s="62">
        <v>475072</v>
      </c>
      <c r="K22" s="62">
        <v>0</v>
      </c>
      <c r="L22" s="62">
        <v>18908327</v>
      </c>
      <c r="M22" s="63"/>
      <c r="N22" s="64"/>
      <c r="O22" s="65"/>
      <c r="P22" s="65"/>
      <c r="Q22" s="65"/>
      <c r="R22" s="65"/>
      <c r="S22" s="65"/>
      <c r="T22" s="65"/>
      <c r="U22" s="65"/>
      <c r="V22" s="65"/>
      <c r="W22" s="65"/>
      <c r="X22" s="61"/>
    </row>
    <row r="23" spans="1:24" s="60" customFormat="1" ht="15.95" customHeight="1" x14ac:dyDescent="0.3">
      <c r="A23" s="407">
        <v>2008</v>
      </c>
      <c r="B23" s="410">
        <v>565628</v>
      </c>
      <c r="C23" s="410"/>
      <c r="D23" s="410">
        <v>14790131</v>
      </c>
      <c r="E23" s="410"/>
      <c r="F23" s="410">
        <v>173615</v>
      </c>
      <c r="G23" s="410"/>
      <c r="H23" s="62">
        <v>2937523</v>
      </c>
      <c r="I23" s="62"/>
      <c r="J23" s="62">
        <v>392013</v>
      </c>
      <c r="K23" s="62"/>
      <c r="L23" s="62">
        <v>11852608</v>
      </c>
      <c r="M23" s="63"/>
      <c r="N23" s="64"/>
      <c r="O23" s="65"/>
      <c r="P23" s="65"/>
      <c r="Q23" s="65"/>
      <c r="R23" s="65"/>
      <c r="S23" s="65"/>
      <c r="T23" s="65"/>
      <c r="U23" s="65"/>
      <c r="V23" s="65"/>
      <c r="W23" s="65"/>
      <c r="X23" s="61"/>
    </row>
    <row r="24" spans="1:24" s="60" customFormat="1" ht="15.95" customHeight="1" x14ac:dyDescent="0.3">
      <c r="A24" s="407">
        <v>2009</v>
      </c>
      <c r="B24" s="410">
        <v>371474</v>
      </c>
      <c r="C24" s="410"/>
      <c r="D24" s="410">
        <v>13090539</v>
      </c>
      <c r="E24" s="410"/>
      <c r="F24" s="410">
        <v>81435</v>
      </c>
      <c r="G24" s="410"/>
      <c r="H24" s="62">
        <v>1599586</v>
      </c>
      <c r="I24" s="62"/>
      <c r="J24" s="62">
        <v>290039</v>
      </c>
      <c r="K24" s="62"/>
      <c r="L24" s="62">
        <v>11490953</v>
      </c>
      <c r="M24" s="63"/>
      <c r="N24" s="64"/>
      <c r="O24" s="65"/>
      <c r="P24" s="65"/>
      <c r="Q24" s="65"/>
      <c r="R24" s="65"/>
      <c r="S24" s="65"/>
      <c r="T24" s="65"/>
      <c r="U24" s="65"/>
      <c r="V24" s="65"/>
      <c r="W24" s="65"/>
      <c r="X24" s="61"/>
    </row>
    <row r="25" spans="1:24" s="60" customFormat="1" ht="15.95" customHeight="1" x14ac:dyDescent="0.3">
      <c r="A25" s="407">
        <v>2010</v>
      </c>
      <c r="B25" s="410">
        <v>403954</v>
      </c>
      <c r="C25" s="410"/>
      <c r="D25" s="410">
        <v>66849018</v>
      </c>
      <c r="E25" s="410"/>
      <c r="F25" s="410">
        <v>29238</v>
      </c>
      <c r="G25" s="410"/>
      <c r="H25" s="410">
        <v>2514176</v>
      </c>
      <c r="I25" s="62"/>
      <c r="J25" s="62">
        <v>374716</v>
      </c>
      <c r="K25" s="62"/>
      <c r="L25" s="62">
        <v>64334842</v>
      </c>
      <c r="M25" s="63"/>
      <c r="N25" s="64"/>
      <c r="O25" s="65"/>
      <c r="P25" s="65"/>
      <c r="Q25" s="65"/>
      <c r="R25" s="65"/>
      <c r="S25" s="65"/>
      <c r="T25" s="65"/>
      <c r="U25" s="65"/>
      <c r="V25" s="65"/>
      <c r="W25" s="65"/>
      <c r="X25" s="61"/>
    </row>
    <row r="26" spans="1:24" s="60" customFormat="1" ht="15.95" customHeight="1" x14ac:dyDescent="0.3">
      <c r="A26" s="407">
        <v>2011</v>
      </c>
      <c r="B26" s="410">
        <v>548190</v>
      </c>
      <c r="C26" s="410"/>
      <c r="D26" s="410">
        <v>85346655</v>
      </c>
      <c r="E26" s="410"/>
      <c r="F26" s="410">
        <v>44342</v>
      </c>
      <c r="G26" s="410"/>
      <c r="H26" s="410">
        <v>3694904</v>
      </c>
      <c r="I26" s="62"/>
      <c r="J26" s="62">
        <v>503848</v>
      </c>
      <c r="K26" s="62"/>
      <c r="L26" s="62">
        <v>81651751</v>
      </c>
      <c r="M26" s="63"/>
      <c r="N26" s="64"/>
      <c r="O26" s="65"/>
      <c r="P26" s="65"/>
      <c r="Q26" s="65"/>
      <c r="R26" s="65"/>
      <c r="S26" s="65"/>
      <c r="T26" s="65"/>
      <c r="U26" s="65"/>
      <c r="V26" s="65"/>
      <c r="W26" s="65"/>
      <c r="X26" s="61"/>
    </row>
    <row r="27" spans="1:24" s="60" customFormat="1" ht="15.95" customHeight="1" x14ac:dyDescent="0.3">
      <c r="A27" s="407">
        <v>2012</v>
      </c>
      <c r="B27" s="410">
        <v>802659</v>
      </c>
      <c r="C27" s="410"/>
      <c r="D27" s="410">
        <v>40057694</v>
      </c>
      <c r="E27" s="410"/>
      <c r="F27" s="410">
        <v>201634</v>
      </c>
      <c r="G27" s="410"/>
      <c r="H27" s="410">
        <v>5098344.34</v>
      </c>
      <c r="I27" s="62"/>
      <c r="J27" s="62">
        <v>601025</v>
      </c>
      <c r="K27" s="62"/>
      <c r="L27" s="62">
        <v>34959349</v>
      </c>
      <c r="M27" s="63"/>
      <c r="N27" s="64"/>
      <c r="O27" s="65"/>
      <c r="P27" s="65"/>
      <c r="Q27" s="65"/>
      <c r="R27" s="65"/>
      <c r="S27" s="65"/>
      <c r="T27" s="65"/>
      <c r="U27" s="65"/>
      <c r="V27" s="65"/>
      <c r="W27" s="65"/>
      <c r="X27" s="61"/>
    </row>
    <row r="28" spans="1:24" s="60" customFormat="1" ht="15.95" customHeight="1" x14ac:dyDescent="0.3">
      <c r="A28" s="407">
        <v>2013</v>
      </c>
      <c r="B28" s="410">
        <v>688743</v>
      </c>
      <c r="C28" s="410"/>
      <c r="D28" s="410">
        <v>25077081</v>
      </c>
      <c r="E28" s="410"/>
      <c r="F28" s="410">
        <v>166714</v>
      </c>
      <c r="G28" s="410"/>
      <c r="H28" s="410">
        <v>3327144</v>
      </c>
      <c r="I28" s="62"/>
      <c r="J28" s="62">
        <v>522029</v>
      </c>
      <c r="K28" s="62"/>
      <c r="L28" s="62">
        <v>21749937</v>
      </c>
      <c r="M28" s="63"/>
      <c r="N28" s="64"/>
      <c r="O28" s="65"/>
      <c r="P28" s="65"/>
      <c r="Q28" s="65"/>
      <c r="R28" s="65"/>
      <c r="S28" s="65"/>
      <c r="T28" s="65"/>
      <c r="U28" s="65"/>
      <c r="V28" s="65"/>
      <c r="W28" s="65"/>
      <c r="X28" s="61"/>
    </row>
    <row r="29" spans="1:24" s="60" customFormat="1" ht="15.95" customHeight="1" x14ac:dyDescent="0.3">
      <c r="A29" s="407">
        <v>2014</v>
      </c>
      <c r="B29" s="410">
        <v>546595</v>
      </c>
      <c r="C29" s="410"/>
      <c r="D29" s="410">
        <v>29740105</v>
      </c>
      <c r="E29" s="410"/>
      <c r="F29" s="410">
        <v>32733</v>
      </c>
      <c r="G29" s="410"/>
      <c r="H29" s="410">
        <v>1097693</v>
      </c>
      <c r="I29" s="62"/>
      <c r="J29" s="62">
        <v>513862</v>
      </c>
      <c r="K29" s="62"/>
      <c r="L29" s="62">
        <v>28642412</v>
      </c>
      <c r="M29" s="63"/>
      <c r="N29" s="64"/>
      <c r="O29" s="65"/>
      <c r="P29" s="65"/>
      <c r="Q29" s="65"/>
      <c r="R29" s="65"/>
      <c r="S29" s="65"/>
      <c r="T29" s="65"/>
      <c r="U29" s="65"/>
      <c r="V29" s="65"/>
      <c r="W29" s="65"/>
      <c r="X29" s="61"/>
    </row>
    <row r="30" spans="1:24" s="60" customFormat="1" ht="15.95" customHeight="1" x14ac:dyDescent="0.3">
      <c r="A30" s="407">
        <v>2015</v>
      </c>
      <c r="B30" s="410">
        <v>576290.65999999992</v>
      </c>
      <c r="C30" s="410"/>
      <c r="D30" s="410">
        <v>36282641.179999992</v>
      </c>
      <c r="E30" s="410"/>
      <c r="F30" s="410">
        <v>19900</v>
      </c>
      <c r="G30" s="410"/>
      <c r="H30" s="410">
        <v>850448.8</v>
      </c>
      <c r="I30" s="62"/>
      <c r="J30" s="62">
        <v>556390.65999999992</v>
      </c>
      <c r="K30" s="62"/>
      <c r="L30" s="62">
        <v>35432192.379999995</v>
      </c>
      <c r="M30" s="63"/>
      <c r="N30" s="64"/>
      <c r="O30" s="65"/>
      <c r="P30" s="65"/>
      <c r="Q30" s="65"/>
      <c r="R30" s="65"/>
      <c r="S30" s="65"/>
      <c r="T30" s="65"/>
      <c r="U30" s="65"/>
      <c r="V30" s="65"/>
      <c r="W30" s="65"/>
      <c r="X30" s="61"/>
    </row>
    <row r="31" spans="1:24" s="60" customFormat="1" ht="15.95" customHeight="1" x14ac:dyDescent="0.3">
      <c r="A31" s="407">
        <v>2016</v>
      </c>
      <c r="B31" s="410">
        <v>709334</v>
      </c>
      <c r="C31" s="410"/>
      <c r="D31" s="410">
        <v>58851979</v>
      </c>
      <c r="E31" s="410"/>
      <c r="F31" s="410">
        <v>98707</v>
      </c>
      <c r="G31" s="410"/>
      <c r="H31" s="410">
        <v>4332255</v>
      </c>
      <c r="I31" s="410"/>
      <c r="J31" s="410">
        <v>610627</v>
      </c>
      <c r="K31" s="410"/>
      <c r="L31" s="410">
        <v>54519724</v>
      </c>
      <c r="M31" s="63"/>
      <c r="N31" s="64"/>
      <c r="O31" s="65"/>
      <c r="P31" s="65"/>
      <c r="Q31" s="65"/>
      <c r="R31" s="65"/>
      <c r="S31" s="65"/>
      <c r="T31" s="65"/>
      <c r="U31" s="65"/>
      <c r="V31" s="65"/>
      <c r="W31" s="65"/>
      <c r="X31" s="61"/>
    </row>
    <row r="32" spans="1:24" s="60" customFormat="1" ht="15.95" customHeight="1" x14ac:dyDescent="0.3">
      <c r="A32" s="408">
        <v>2017</v>
      </c>
      <c r="B32" s="410">
        <v>779103</v>
      </c>
      <c r="C32" s="410"/>
      <c r="D32" s="410">
        <v>54137078</v>
      </c>
      <c r="E32" s="410"/>
      <c r="F32" s="410">
        <v>38955</v>
      </c>
      <c r="G32" s="410"/>
      <c r="H32" s="410">
        <v>3329782</v>
      </c>
      <c r="I32" s="410"/>
      <c r="J32" s="410">
        <v>740148</v>
      </c>
      <c r="K32" s="410"/>
      <c r="L32" s="410">
        <v>50807296</v>
      </c>
      <c r="M32" s="63"/>
      <c r="N32" s="64"/>
      <c r="O32" s="65"/>
      <c r="P32" s="65"/>
      <c r="Q32" s="65"/>
      <c r="R32" s="65"/>
      <c r="S32" s="65"/>
      <c r="T32" s="65"/>
      <c r="U32" s="65"/>
      <c r="V32" s="65"/>
      <c r="W32" s="65"/>
      <c r="X32" s="61"/>
    </row>
    <row r="33" spans="1:24" s="60" customFormat="1" ht="15.95" customHeight="1" x14ac:dyDescent="0.3">
      <c r="A33" s="408">
        <v>2018</v>
      </c>
      <c r="B33" s="410">
        <v>576661</v>
      </c>
      <c r="C33" s="410"/>
      <c r="D33" s="410">
        <v>37666604</v>
      </c>
      <c r="E33" s="410"/>
      <c r="F33" s="410">
        <v>32194</v>
      </c>
      <c r="G33" s="410"/>
      <c r="H33" s="410">
        <v>1094255</v>
      </c>
      <c r="I33" s="410"/>
      <c r="J33" s="410">
        <v>544467</v>
      </c>
      <c r="K33" s="410"/>
      <c r="L33" s="410">
        <v>36572349</v>
      </c>
      <c r="M33" s="63"/>
      <c r="N33" s="64"/>
      <c r="O33" s="65"/>
      <c r="P33" s="65"/>
      <c r="Q33" s="65"/>
      <c r="R33" s="65"/>
      <c r="S33" s="65"/>
      <c r="T33" s="65"/>
      <c r="U33" s="65"/>
      <c r="V33" s="65"/>
      <c r="W33" s="65"/>
      <c r="X33" s="61"/>
    </row>
    <row r="34" spans="1:24" s="60" customFormat="1" ht="15.95" customHeight="1" x14ac:dyDescent="0.3">
      <c r="A34" s="408">
        <v>2019</v>
      </c>
      <c r="B34" s="410">
        <v>549199</v>
      </c>
      <c r="C34" s="410"/>
      <c r="D34" s="410">
        <v>31348457.699999988</v>
      </c>
      <c r="E34" s="410"/>
      <c r="F34" s="410">
        <v>29931</v>
      </c>
      <c r="G34" s="410"/>
      <c r="H34" s="410">
        <v>847281.84000000008</v>
      </c>
      <c r="I34" s="410"/>
      <c r="J34" s="410">
        <v>519268</v>
      </c>
      <c r="K34" s="410"/>
      <c r="L34" s="410">
        <v>30501175.859999988</v>
      </c>
      <c r="M34" s="63"/>
      <c r="N34" s="64"/>
      <c r="O34" s="65"/>
      <c r="P34" s="65"/>
      <c r="Q34" s="65"/>
      <c r="R34" s="65"/>
      <c r="S34" s="65"/>
      <c r="T34" s="65"/>
      <c r="U34" s="65"/>
      <c r="V34" s="65"/>
      <c r="W34" s="65"/>
      <c r="X34" s="61"/>
    </row>
    <row r="35" spans="1:24" s="60" customFormat="1" ht="15.95" customHeight="1" x14ac:dyDescent="0.3">
      <c r="A35" s="408">
        <v>2020</v>
      </c>
      <c r="B35" s="410">
        <v>609361</v>
      </c>
      <c r="C35" s="410"/>
      <c r="D35" s="410">
        <v>29619975.559999987</v>
      </c>
      <c r="E35" s="410"/>
      <c r="F35" s="410">
        <v>57531</v>
      </c>
      <c r="G35" s="410"/>
      <c r="H35" s="410">
        <v>1325676</v>
      </c>
      <c r="I35" s="410"/>
      <c r="J35" s="410">
        <v>551830</v>
      </c>
      <c r="K35" s="410"/>
      <c r="L35" s="410">
        <v>28294299.559999987</v>
      </c>
      <c r="M35" s="63"/>
      <c r="N35" s="64"/>
      <c r="O35" s="65"/>
      <c r="P35" s="65"/>
      <c r="Q35" s="65"/>
      <c r="R35" s="65"/>
      <c r="S35" s="65"/>
      <c r="T35" s="65"/>
      <c r="U35" s="65"/>
      <c r="V35" s="65"/>
      <c r="W35" s="65"/>
      <c r="X35" s="61"/>
    </row>
    <row r="36" spans="1:24" s="60" customFormat="1" ht="15.95" customHeight="1" x14ac:dyDescent="0.3">
      <c r="A36" s="411" t="s">
        <v>316</v>
      </c>
      <c r="B36" s="412">
        <f>SUM(F36,J36)</f>
        <v>613728</v>
      </c>
      <c r="C36" s="413"/>
      <c r="D36" s="414">
        <f>SUM(H36,L36)</f>
        <v>32537908.649999999</v>
      </c>
      <c r="E36" s="413"/>
      <c r="F36" s="413">
        <v>66983</v>
      </c>
      <c r="G36" s="413"/>
      <c r="H36" s="413">
        <v>1704167.29</v>
      </c>
      <c r="I36" s="413"/>
      <c r="J36" s="413">
        <v>546745</v>
      </c>
      <c r="K36" s="413"/>
      <c r="L36" s="413">
        <v>30833741.359999999</v>
      </c>
      <c r="M36" s="63"/>
      <c r="N36" s="64"/>
      <c r="O36" s="65"/>
      <c r="P36" s="65"/>
      <c r="Q36" s="65"/>
      <c r="R36" s="65"/>
      <c r="S36" s="65"/>
      <c r="T36" s="65"/>
      <c r="U36" s="65"/>
      <c r="V36" s="65"/>
      <c r="W36" s="65"/>
      <c r="X36" s="61"/>
    </row>
    <row r="37" spans="1:24" s="15" customFormat="1" ht="12" customHeight="1" x14ac:dyDescent="0.25">
      <c r="A37" s="544" t="s">
        <v>0</v>
      </c>
      <c r="B37" s="546"/>
      <c r="C37" s="546"/>
      <c r="D37" s="546"/>
      <c r="E37" s="546"/>
      <c r="F37" s="546"/>
      <c r="G37" s="546"/>
      <c r="H37" s="546"/>
      <c r="I37" s="546"/>
      <c r="J37" s="546"/>
      <c r="K37" s="546"/>
      <c r="L37" s="546"/>
      <c r="M37" s="14"/>
    </row>
    <row r="38" spans="1:24" s="60" customFormat="1" ht="12.75" customHeight="1" x14ac:dyDescent="0.25">
      <c r="A38" s="66" t="s">
        <v>236</v>
      </c>
      <c r="B38" s="62"/>
      <c r="D38" s="62"/>
      <c r="F38" s="67"/>
      <c r="G38" s="67"/>
      <c r="H38" s="67"/>
    </row>
    <row r="39" spans="1:24" ht="12.75" customHeight="1" x14ac:dyDescent="0.3">
      <c r="B39" s="68"/>
      <c r="D39" s="68"/>
      <c r="F39" s="61"/>
      <c r="H39" s="68"/>
    </row>
  </sheetData>
  <mergeCells count="6">
    <mergeCell ref="A37:L37"/>
    <mergeCell ref="A3:L3"/>
    <mergeCell ref="A5:A6"/>
    <mergeCell ref="B5:D5"/>
    <mergeCell ref="F5:H5"/>
    <mergeCell ref="J5:L5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48"/>
  <sheetViews>
    <sheetView showGridLines="0" zoomScaleNormal="100" zoomScaleSheetLayoutView="145" workbookViewId="0">
      <selection activeCell="R16" sqref="R16"/>
    </sheetView>
  </sheetViews>
  <sheetFormatPr baseColWidth="10" defaultColWidth="8.7109375" defaultRowHeight="12.75" customHeight="1" x14ac:dyDescent="0.25"/>
  <cols>
    <col min="1" max="1" width="23" style="45" customWidth="1"/>
    <col min="2" max="2" width="7.7109375" style="45" hidden="1" customWidth="1"/>
    <col min="3" max="3" width="6" style="45" hidden="1" customWidth="1"/>
    <col min="4" max="4" width="5.7109375" style="45" hidden="1" customWidth="1"/>
    <col min="5" max="6" width="7.7109375" style="45" hidden="1" customWidth="1"/>
    <col min="7" max="16" width="6.140625" style="45" customWidth="1"/>
    <col min="17" max="254" width="8.7109375" style="45"/>
    <col min="255" max="255" width="16.28515625" style="45" customWidth="1"/>
    <col min="256" max="256" width="7.7109375" style="45" customWidth="1"/>
    <col min="257" max="257" width="6" style="45" customWidth="1"/>
    <col min="258" max="258" width="5.7109375" style="45" customWidth="1"/>
    <col min="259" max="259" width="6.28515625" style="45" customWidth="1"/>
    <col min="260" max="262" width="6.7109375" style="45" customWidth="1"/>
    <col min="263" max="263" width="6.28515625" style="45" customWidth="1"/>
    <col min="264" max="265" width="6" style="45" customWidth="1"/>
    <col min="266" max="266" width="6.7109375" style="45" customWidth="1"/>
    <col min="267" max="267" width="7.28515625" style="45" customWidth="1"/>
    <col min="268" max="510" width="8.7109375" style="45"/>
    <col min="511" max="511" width="16.28515625" style="45" customWidth="1"/>
    <col min="512" max="512" width="7.7109375" style="45" customWidth="1"/>
    <col min="513" max="513" width="6" style="45" customWidth="1"/>
    <col min="514" max="514" width="5.7109375" style="45" customWidth="1"/>
    <col min="515" max="515" width="6.28515625" style="45" customWidth="1"/>
    <col min="516" max="518" width="6.7109375" style="45" customWidth="1"/>
    <col min="519" max="519" width="6.28515625" style="45" customWidth="1"/>
    <col min="520" max="521" width="6" style="45" customWidth="1"/>
    <col min="522" max="522" width="6.7109375" style="45" customWidth="1"/>
    <col min="523" max="523" width="7.28515625" style="45" customWidth="1"/>
    <col min="524" max="766" width="8.7109375" style="45"/>
    <col min="767" max="767" width="16.28515625" style="45" customWidth="1"/>
    <col min="768" max="768" width="7.7109375" style="45" customWidth="1"/>
    <col min="769" max="769" width="6" style="45" customWidth="1"/>
    <col min="770" max="770" width="5.7109375" style="45" customWidth="1"/>
    <col min="771" max="771" width="6.28515625" style="45" customWidth="1"/>
    <col min="772" max="774" width="6.7109375" style="45" customWidth="1"/>
    <col min="775" max="775" width="6.28515625" style="45" customWidth="1"/>
    <col min="776" max="777" width="6" style="45" customWidth="1"/>
    <col min="778" max="778" width="6.7109375" style="45" customWidth="1"/>
    <col min="779" max="779" width="7.28515625" style="45" customWidth="1"/>
    <col min="780" max="1022" width="8.7109375" style="45"/>
    <col min="1023" max="1023" width="16.28515625" style="45" customWidth="1"/>
    <col min="1024" max="1024" width="7.7109375" style="45" customWidth="1"/>
    <col min="1025" max="1025" width="6" style="45" customWidth="1"/>
    <col min="1026" max="1026" width="5.7109375" style="45" customWidth="1"/>
    <col min="1027" max="1027" width="6.28515625" style="45" customWidth="1"/>
    <col min="1028" max="1030" width="6.7109375" style="45" customWidth="1"/>
    <col min="1031" max="1031" width="6.28515625" style="45" customWidth="1"/>
    <col min="1032" max="1033" width="6" style="45" customWidth="1"/>
    <col min="1034" max="1034" width="6.7109375" style="45" customWidth="1"/>
    <col min="1035" max="1035" width="7.28515625" style="45" customWidth="1"/>
    <col min="1036" max="1278" width="8.7109375" style="45"/>
    <col min="1279" max="1279" width="16.28515625" style="45" customWidth="1"/>
    <col min="1280" max="1280" width="7.7109375" style="45" customWidth="1"/>
    <col min="1281" max="1281" width="6" style="45" customWidth="1"/>
    <col min="1282" max="1282" width="5.7109375" style="45" customWidth="1"/>
    <col min="1283" max="1283" width="6.28515625" style="45" customWidth="1"/>
    <col min="1284" max="1286" width="6.7109375" style="45" customWidth="1"/>
    <col min="1287" max="1287" width="6.28515625" style="45" customWidth="1"/>
    <col min="1288" max="1289" width="6" style="45" customWidth="1"/>
    <col min="1290" max="1290" width="6.7109375" style="45" customWidth="1"/>
    <col min="1291" max="1291" width="7.28515625" style="45" customWidth="1"/>
    <col min="1292" max="1534" width="8.7109375" style="45"/>
    <col min="1535" max="1535" width="16.28515625" style="45" customWidth="1"/>
    <col min="1536" max="1536" width="7.7109375" style="45" customWidth="1"/>
    <col min="1537" max="1537" width="6" style="45" customWidth="1"/>
    <col min="1538" max="1538" width="5.7109375" style="45" customWidth="1"/>
    <col min="1539" max="1539" width="6.28515625" style="45" customWidth="1"/>
    <col min="1540" max="1542" width="6.7109375" style="45" customWidth="1"/>
    <col min="1543" max="1543" width="6.28515625" style="45" customWidth="1"/>
    <col min="1544" max="1545" width="6" style="45" customWidth="1"/>
    <col min="1546" max="1546" width="6.7109375" style="45" customWidth="1"/>
    <col min="1547" max="1547" width="7.28515625" style="45" customWidth="1"/>
    <col min="1548" max="1790" width="8.7109375" style="45"/>
    <col min="1791" max="1791" width="16.28515625" style="45" customWidth="1"/>
    <col min="1792" max="1792" width="7.7109375" style="45" customWidth="1"/>
    <col min="1793" max="1793" width="6" style="45" customWidth="1"/>
    <col min="1794" max="1794" width="5.7109375" style="45" customWidth="1"/>
    <col min="1795" max="1795" width="6.28515625" style="45" customWidth="1"/>
    <col min="1796" max="1798" width="6.7109375" style="45" customWidth="1"/>
    <col min="1799" max="1799" width="6.28515625" style="45" customWidth="1"/>
    <col min="1800" max="1801" width="6" style="45" customWidth="1"/>
    <col min="1802" max="1802" width="6.7109375" style="45" customWidth="1"/>
    <col min="1803" max="1803" width="7.28515625" style="45" customWidth="1"/>
    <col min="1804" max="2046" width="8.7109375" style="45"/>
    <col min="2047" max="2047" width="16.28515625" style="45" customWidth="1"/>
    <col min="2048" max="2048" width="7.7109375" style="45" customWidth="1"/>
    <col min="2049" max="2049" width="6" style="45" customWidth="1"/>
    <col min="2050" max="2050" width="5.7109375" style="45" customWidth="1"/>
    <col min="2051" max="2051" width="6.28515625" style="45" customWidth="1"/>
    <col min="2052" max="2054" width="6.7109375" style="45" customWidth="1"/>
    <col min="2055" max="2055" width="6.28515625" style="45" customWidth="1"/>
    <col min="2056" max="2057" width="6" style="45" customWidth="1"/>
    <col min="2058" max="2058" width="6.7109375" style="45" customWidth="1"/>
    <col min="2059" max="2059" width="7.28515625" style="45" customWidth="1"/>
    <col min="2060" max="2302" width="8.7109375" style="45"/>
    <col min="2303" max="2303" width="16.28515625" style="45" customWidth="1"/>
    <col min="2304" max="2304" width="7.7109375" style="45" customWidth="1"/>
    <col min="2305" max="2305" width="6" style="45" customWidth="1"/>
    <col min="2306" max="2306" width="5.7109375" style="45" customWidth="1"/>
    <col min="2307" max="2307" width="6.28515625" style="45" customWidth="1"/>
    <col min="2308" max="2310" width="6.7109375" style="45" customWidth="1"/>
    <col min="2311" max="2311" width="6.28515625" style="45" customWidth="1"/>
    <col min="2312" max="2313" width="6" style="45" customWidth="1"/>
    <col min="2314" max="2314" width="6.7109375" style="45" customWidth="1"/>
    <col min="2315" max="2315" width="7.28515625" style="45" customWidth="1"/>
    <col min="2316" max="2558" width="8.7109375" style="45"/>
    <col min="2559" max="2559" width="16.28515625" style="45" customWidth="1"/>
    <col min="2560" max="2560" width="7.7109375" style="45" customWidth="1"/>
    <col min="2561" max="2561" width="6" style="45" customWidth="1"/>
    <col min="2562" max="2562" width="5.7109375" style="45" customWidth="1"/>
    <col min="2563" max="2563" width="6.28515625" style="45" customWidth="1"/>
    <col min="2564" max="2566" width="6.7109375" style="45" customWidth="1"/>
    <col min="2567" max="2567" width="6.28515625" style="45" customWidth="1"/>
    <col min="2568" max="2569" width="6" style="45" customWidth="1"/>
    <col min="2570" max="2570" width="6.7109375" style="45" customWidth="1"/>
    <col min="2571" max="2571" width="7.28515625" style="45" customWidth="1"/>
    <col min="2572" max="2814" width="8.7109375" style="45"/>
    <col min="2815" max="2815" width="16.28515625" style="45" customWidth="1"/>
    <col min="2816" max="2816" width="7.7109375" style="45" customWidth="1"/>
    <col min="2817" max="2817" width="6" style="45" customWidth="1"/>
    <col min="2818" max="2818" width="5.7109375" style="45" customWidth="1"/>
    <col min="2819" max="2819" width="6.28515625" style="45" customWidth="1"/>
    <col min="2820" max="2822" width="6.7109375" style="45" customWidth="1"/>
    <col min="2823" max="2823" width="6.28515625" style="45" customWidth="1"/>
    <col min="2824" max="2825" width="6" style="45" customWidth="1"/>
    <col min="2826" max="2826" width="6.7109375" style="45" customWidth="1"/>
    <col min="2827" max="2827" width="7.28515625" style="45" customWidth="1"/>
    <col min="2828" max="3070" width="8.7109375" style="45"/>
    <col min="3071" max="3071" width="16.28515625" style="45" customWidth="1"/>
    <col min="3072" max="3072" width="7.7109375" style="45" customWidth="1"/>
    <col min="3073" max="3073" width="6" style="45" customWidth="1"/>
    <col min="3074" max="3074" width="5.7109375" style="45" customWidth="1"/>
    <col min="3075" max="3075" width="6.28515625" style="45" customWidth="1"/>
    <col min="3076" max="3078" width="6.7109375" style="45" customWidth="1"/>
    <col min="3079" max="3079" width="6.28515625" style="45" customWidth="1"/>
    <col min="3080" max="3081" width="6" style="45" customWidth="1"/>
    <col min="3082" max="3082" width="6.7109375" style="45" customWidth="1"/>
    <col min="3083" max="3083" width="7.28515625" style="45" customWidth="1"/>
    <col min="3084" max="3326" width="8.7109375" style="45"/>
    <col min="3327" max="3327" width="16.28515625" style="45" customWidth="1"/>
    <col min="3328" max="3328" width="7.7109375" style="45" customWidth="1"/>
    <col min="3329" max="3329" width="6" style="45" customWidth="1"/>
    <col min="3330" max="3330" width="5.7109375" style="45" customWidth="1"/>
    <col min="3331" max="3331" width="6.28515625" style="45" customWidth="1"/>
    <col min="3332" max="3334" width="6.7109375" style="45" customWidth="1"/>
    <col min="3335" max="3335" width="6.28515625" style="45" customWidth="1"/>
    <col min="3336" max="3337" width="6" style="45" customWidth="1"/>
    <col min="3338" max="3338" width="6.7109375" style="45" customWidth="1"/>
    <col min="3339" max="3339" width="7.28515625" style="45" customWidth="1"/>
    <col min="3340" max="3582" width="8.7109375" style="45"/>
    <col min="3583" max="3583" width="16.28515625" style="45" customWidth="1"/>
    <col min="3584" max="3584" width="7.7109375" style="45" customWidth="1"/>
    <col min="3585" max="3585" width="6" style="45" customWidth="1"/>
    <col min="3586" max="3586" width="5.7109375" style="45" customWidth="1"/>
    <col min="3587" max="3587" width="6.28515625" style="45" customWidth="1"/>
    <col min="3588" max="3590" width="6.7109375" style="45" customWidth="1"/>
    <col min="3591" max="3591" width="6.28515625" style="45" customWidth="1"/>
    <col min="3592" max="3593" width="6" style="45" customWidth="1"/>
    <col min="3594" max="3594" width="6.7109375" style="45" customWidth="1"/>
    <col min="3595" max="3595" width="7.28515625" style="45" customWidth="1"/>
    <col min="3596" max="3838" width="8.7109375" style="45"/>
    <col min="3839" max="3839" width="16.28515625" style="45" customWidth="1"/>
    <col min="3840" max="3840" width="7.7109375" style="45" customWidth="1"/>
    <col min="3841" max="3841" width="6" style="45" customWidth="1"/>
    <col min="3842" max="3842" width="5.7109375" style="45" customWidth="1"/>
    <col min="3843" max="3843" width="6.28515625" style="45" customWidth="1"/>
    <col min="3844" max="3846" width="6.7109375" style="45" customWidth="1"/>
    <col min="3847" max="3847" width="6.28515625" style="45" customWidth="1"/>
    <col min="3848" max="3849" width="6" style="45" customWidth="1"/>
    <col min="3850" max="3850" width="6.7109375" style="45" customWidth="1"/>
    <col min="3851" max="3851" width="7.28515625" style="45" customWidth="1"/>
    <col min="3852" max="4094" width="8.7109375" style="45"/>
    <col min="4095" max="4095" width="16.28515625" style="45" customWidth="1"/>
    <col min="4096" max="4096" width="7.7109375" style="45" customWidth="1"/>
    <col min="4097" max="4097" width="6" style="45" customWidth="1"/>
    <col min="4098" max="4098" width="5.7109375" style="45" customWidth="1"/>
    <col min="4099" max="4099" width="6.28515625" style="45" customWidth="1"/>
    <col min="4100" max="4102" width="6.7109375" style="45" customWidth="1"/>
    <col min="4103" max="4103" width="6.28515625" style="45" customWidth="1"/>
    <col min="4104" max="4105" width="6" style="45" customWidth="1"/>
    <col min="4106" max="4106" width="6.7109375" style="45" customWidth="1"/>
    <col min="4107" max="4107" width="7.28515625" style="45" customWidth="1"/>
    <col min="4108" max="4350" width="8.7109375" style="45"/>
    <col min="4351" max="4351" width="16.28515625" style="45" customWidth="1"/>
    <col min="4352" max="4352" width="7.7109375" style="45" customWidth="1"/>
    <col min="4353" max="4353" width="6" style="45" customWidth="1"/>
    <col min="4354" max="4354" width="5.7109375" style="45" customWidth="1"/>
    <col min="4355" max="4355" width="6.28515625" style="45" customWidth="1"/>
    <col min="4356" max="4358" width="6.7109375" style="45" customWidth="1"/>
    <col min="4359" max="4359" width="6.28515625" style="45" customWidth="1"/>
    <col min="4360" max="4361" width="6" style="45" customWidth="1"/>
    <col min="4362" max="4362" width="6.7109375" style="45" customWidth="1"/>
    <col min="4363" max="4363" width="7.28515625" style="45" customWidth="1"/>
    <col min="4364" max="4606" width="8.7109375" style="45"/>
    <col min="4607" max="4607" width="16.28515625" style="45" customWidth="1"/>
    <col min="4608" max="4608" width="7.7109375" style="45" customWidth="1"/>
    <col min="4609" max="4609" width="6" style="45" customWidth="1"/>
    <col min="4610" max="4610" width="5.7109375" style="45" customWidth="1"/>
    <col min="4611" max="4611" width="6.28515625" style="45" customWidth="1"/>
    <col min="4612" max="4614" width="6.7109375" style="45" customWidth="1"/>
    <col min="4615" max="4615" width="6.28515625" style="45" customWidth="1"/>
    <col min="4616" max="4617" width="6" style="45" customWidth="1"/>
    <col min="4618" max="4618" width="6.7109375" style="45" customWidth="1"/>
    <col min="4619" max="4619" width="7.28515625" style="45" customWidth="1"/>
    <col min="4620" max="4862" width="8.7109375" style="45"/>
    <col min="4863" max="4863" width="16.28515625" style="45" customWidth="1"/>
    <col min="4864" max="4864" width="7.7109375" style="45" customWidth="1"/>
    <col min="4865" max="4865" width="6" style="45" customWidth="1"/>
    <col min="4866" max="4866" width="5.7109375" style="45" customWidth="1"/>
    <col min="4867" max="4867" width="6.28515625" style="45" customWidth="1"/>
    <col min="4868" max="4870" width="6.7109375" style="45" customWidth="1"/>
    <col min="4871" max="4871" width="6.28515625" style="45" customWidth="1"/>
    <col min="4872" max="4873" width="6" style="45" customWidth="1"/>
    <col min="4874" max="4874" width="6.7109375" style="45" customWidth="1"/>
    <col min="4875" max="4875" width="7.28515625" style="45" customWidth="1"/>
    <col min="4876" max="5118" width="8.7109375" style="45"/>
    <col min="5119" max="5119" width="16.28515625" style="45" customWidth="1"/>
    <col min="5120" max="5120" width="7.7109375" style="45" customWidth="1"/>
    <col min="5121" max="5121" width="6" style="45" customWidth="1"/>
    <col min="5122" max="5122" width="5.7109375" style="45" customWidth="1"/>
    <col min="5123" max="5123" width="6.28515625" style="45" customWidth="1"/>
    <col min="5124" max="5126" width="6.7109375" style="45" customWidth="1"/>
    <col min="5127" max="5127" width="6.28515625" style="45" customWidth="1"/>
    <col min="5128" max="5129" width="6" style="45" customWidth="1"/>
    <col min="5130" max="5130" width="6.7109375" style="45" customWidth="1"/>
    <col min="5131" max="5131" width="7.28515625" style="45" customWidth="1"/>
    <col min="5132" max="5374" width="8.7109375" style="45"/>
    <col min="5375" max="5375" width="16.28515625" style="45" customWidth="1"/>
    <col min="5376" max="5376" width="7.7109375" style="45" customWidth="1"/>
    <col min="5377" max="5377" width="6" style="45" customWidth="1"/>
    <col min="5378" max="5378" width="5.7109375" style="45" customWidth="1"/>
    <col min="5379" max="5379" width="6.28515625" style="45" customWidth="1"/>
    <col min="5380" max="5382" width="6.7109375" style="45" customWidth="1"/>
    <col min="5383" max="5383" width="6.28515625" style="45" customWidth="1"/>
    <col min="5384" max="5385" width="6" style="45" customWidth="1"/>
    <col min="5386" max="5386" width="6.7109375" style="45" customWidth="1"/>
    <col min="5387" max="5387" width="7.28515625" style="45" customWidth="1"/>
    <col min="5388" max="5630" width="8.7109375" style="45"/>
    <col min="5631" max="5631" width="16.28515625" style="45" customWidth="1"/>
    <col min="5632" max="5632" width="7.7109375" style="45" customWidth="1"/>
    <col min="5633" max="5633" width="6" style="45" customWidth="1"/>
    <col min="5634" max="5634" width="5.7109375" style="45" customWidth="1"/>
    <col min="5635" max="5635" width="6.28515625" style="45" customWidth="1"/>
    <col min="5636" max="5638" width="6.7109375" style="45" customWidth="1"/>
    <col min="5639" max="5639" width="6.28515625" style="45" customWidth="1"/>
    <col min="5640" max="5641" width="6" style="45" customWidth="1"/>
    <col min="5642" max="5642" width="6.7109375" style="45" customWidth="1"/>
    <col min="5643" max="5643" width="7.28515625" style="45" customWidth="1"/>
    <col min="5644" max="5886" width="8.7109375" style="45"/>
    <col min="5887" max="5887" width="16.28515625" style="45" customWidth="1"/>
    <col min="5888" max="5888" width="7.7109375" style="45" customWidth="1"/>
    <col min="5889" max="5889" width="6" style="45" customWidth="1"/>
    <col min="5890" max="5890" width="5.7109375" style="45" customWidth="1"/>
    <col min="5891" max="5891" width="6.28515625" style="45" customWidth="1"/>
    <col min="5892" max="5894" width="6.7109375" style="45" customWidth="1"/>
    <col min="5895" max="5895" width="6.28515625" style="45" customWidth="1"/>
    <col min="5896" max="5897" width="6" style="45" customWidth="1"/>
    <col min="5898" max="5898" width="6.7109375" style="45" customWidth="1"/>
    <col min="5899" max="5899" width="7.28515625" style="45" customWidth="1"/>
    <col min="5900" max="6142" width="8.7109375" style="45"/>
    <col min="6143" max="6143" width="16.28515625" style="45" customWidth="1"/>
    <col min="6144" max="6144" width="7.7109375" style="45" customWidth="1"/>
    <col min="6145" max="6145" width="6" style="45" customWidth="1"/>
    <col min="6146" max="6146" width="5.7109375" style="45" customWidth="1"/>
    <col min="6147" max="6147" width="6.28515625" style="45" customWidth="1"/>
    <col min="6148" max="6150" width="6.7109375" style="45" customWidth="1"/>
    <col min="6151" max="6151" width="6.28515625" style="45" customWidth="1"/>
    <col min="6152" max="6153" width="6" style="45" customWidth="1"/>
    <col min="6154" max="6154" width="6.7109375" style="45" customWidth="1"/>
    <col min="6155" max="6155" width="7.28515625" style="45" customWidth="1"/>
    <col min="6156" max="6398" width="8.7109375" style="45"/>
    <col min="6399" max="6399" width="16.28515625" style="45" customWidth="1"/>
    <col min="6400" max="6400" width="7.7109375" style="45" customWidth="1"/>
    <col min="6401" max="6401" width="6" style="45" customWidth="1"/>
    <col min="6402" max="6402" width="5.7109375" style="45" customWidth="1"/>
    <col min="6403" max="6403" width="6.28515625" style="45" customWidth="1"/>
    <col min="6404" max="6406" width="6.7109375" style="45" customWidth="1"/>
    <col min="6407" max="6407" width="6.28515625" style="45" customWidth="1"/>
    <col min="6408" max="6409" width="6" style="45" customWidth="1"/>
    <col min="6410" max="6410" width="6.7109375" style="45" customWidth="1"/>
    <col min="6411" max="6411" width="7.28515625" style="45" customWidth="1"/>
    <col min="6412" max="6654" width="8.7109375" style="45"/>
    <col min="6655" max="6655" width="16.28515625" style="45" customWidth="1"/>
    <col min="6656" max="6656" width="7.7109375" style="45" customWidth="1"/>
    <col min="6657" max="6657" width="6" style="45" customWidth="1"/>
    <col min="6658" max="6658" width="5.7109375" style="45" customWidth="1"/>
    <col min="6659" max="6659" width="6.28515625" style="45" customWidth="1"/>
    <col min="6660" max="6662" width="6.7109375" style="45" customWidth="1"/>
    <col min="6663" max="6663" width="6.28515625" style="45" customWidth="1"/>
    <col min="6664" max="6665" width="6" style="45" customWidth="1"/>
    <col min="6666" max="6666" width="6.7109375" style="45" customWidth="1"/>
    <col min="6667" max="6667" width="7.28515625" style="45" customWidth="1"/>
    <col min="6668" max="6910" width="8.7109375" style="45"/>
    <col min="6911" max="6911" width="16.28515625" style="45" customWidth="1"/>
    <col min="6912" max="6912" width="7.7109375" style="45" customWidth="1"/>
    <col min="6913" max="6913" width="6" style="45" customWidth="1"/>
    <col min="6914" max="6914" width="5.7109375" style="45" customWidth="1"/>
    <col min="6915" max="6915" width="6.28515625" style="45" customWidth="1"/>
    <col min="6916" max="6918" width="6.7109375" style="45" customWidth="1"/>
    <col min="6919" max="6919" width="6.28515625" style="45" customWidth="1"/>
    <col min="6920" max="6921" width="6" style="45" customWidth="1"/>
    <col min="6922" max="6922" width="6.7109375" style="45" customWidth="1"/>
    <col min="6923" max="6923" width="7.28515625" style="45" customWidth="1"/>
    <col min="6924" max="7166" width="8.7109375" style="45"/>
    <col min="7167" max="7167" width="16.28515625" style="45" customWidth="1"/>
    <col min="7168" max="7168" width="7.7109375" style="45" customWidth="1"/>
    <col min="7169" max="7169" width="6" style="45" customWidth="1"/>
    <col min="7170" max="7170" width="5.7109375" style="45" customWidth="1"/>
    <col min="7171" max="7171" width="6.28515625" style="45" customWidth="1"/>
    <col min="7172" max="7174" width="6.7109375" style="45" customWidth="1"/>
    <col min="7175" max="7175" width="6.28515625" style="45" customWidth="1"/>
    <col min="7176" max="7177" width="6" style="45" customWidth="1"/>
    <col min="7178" max="7178" width="6.7109375" style="45" customWidth="1"/>
    <col min="7179" max="7179" width="7.28515625" style="45" customWidth="1"/>
    <col min="7180" max="7422" width="8.7109375" style="45"/>
    <col min="7423" max="7423" width="16.28515625" style="45" customWidth="1"/>
    <col min="7424" max="7424" width="7.7109375" style="45" customWidth="1"/>
    <col min="7425" max="7425" width="6" style="45" customWidth="1"/>
    <col min="7426" max="7426" width="5.7109375" style="45" customWidth="1"/>
    <col min="7427" max="7427" width="6.28515625" style="45" customWidth="1"/>
    <col min="7428" max="7430" width="6.7109375" style="45" customWidth="1"/>
    <col min="7431" max="7431" width="6.28515625" style="45" customWidth="1"/>
    <col min="7432" max="7433" width="6" style="45" customWidth="1"/>
    <col min="7434" max="7434" width="6.7109375" style="45" customWidth="1"/>
    <col min="7435" max="7435" width="7.28515625" style="45" customWidth="1"/>
    <col min="7436" max="7678" width="8.7109375" style="45"/>
    <col min="7679" max="7679" width="16.28515625" style="45" customWidth="1"/>
    <col min="7680" max="7680" width="7.7109375" style="45" customWidth="1"/>
    <col min="7681" max="7681" width="6" style="45" customWidth="1"/>
    <col min="7682" max="7682" width="5.7109375" style="45" customWidth="1"/>
    <col min="7683" max="7683" width="6.28515625" style="45" customWidth="1"/>
    <col min="7684" max="7686" width="6.7109375" style="45" customWidth="1"/>
    <col min="7687" max="7687" width="6.28515625" style="45" customWidth="1"/>
    <col min="7688" max="7689" width="6" style="45" customWidth="1"/>
    <col min="7690" max="7690" width="6.7109375" style="45" customWidth="1"/>
    <col min="7691" max="7691" width="7.28515625" style="45" customWidth="1"/>
    <col min="7692" max="7934" width="8.7109375" style="45"/>
    <col min="7935" max="7935" width="16.28515625" style="45" customWidth="1"/>
    <col min="7936" max="7936" width="7.7109375" style="45" customWidth="1"/>
    <col min="7937" max="7937" width="6" style="45" customWidth="1"/>
    <col min="7938" max="7938" width="5.7109375" style="45" customWidth="1"/>
    <col min="7939" max="7939" width="6.28515625" style="45" customWidth="1"/>
    <col min="7940" max="7942" width="6.7109375" style="45" customWidth="1"/>
    <col min="7943" max="7943" width="6.28515625" style="45" customWidth="1"/>
    <col min="7944" max="7945" width="6" style="45" customWidth="1"/>
    <col min="7946" max="7946" width="6.7109375" style="45" customWidth="1"/>
    <col min="7947" max="7947" width="7.28515625" style="45" customWidth="1"/>
    <col min="7948" max="8190" width="8.7109375" style="45"/>
    <col min="8191" max="8191" width="16.28515625" style="45" customWidth="1"/>
    <col min="8192" max="8192" width="7.7109375" style="45" customWidth="1"/>
    <col min="8193" max="8193" width="6" style="45" customWidth="1"/>
    <col min="8194" max="8194" width="5.7109375" style="45" customWidth="1"/>
    <col min="8195" max="8195" width="6.28515625" style="45" customWidth="1"/>
    <col min="8196" max="8198" width="6.7109375" style="45" customWidth="1"/>
    <col min="8199" max="8199" width="6.28515625" style="45" customWidth="1"/>
    <col min="8200" max="8201" width="6" style="45" customWidth="1"/>
    <col min="8202" max="8202" width="6.7109375" style="45" customWidth="1"/>
    <col min="8203" max="8203" width="7.28515625" style="45" customWidth="1"/>
    <col min="8204" max="8446" width="8.7109375" style="45"/>
    <col min="8447" max="8447" width="16.28515625" style="45" customWidth="1"/>
    <col min="8448" max="8448" width="7.7109375" style="45" customWidth="1"/>
    <col min="8449" max="8449" width="6" style="45" customWidth="1"/>
    <col min="8450" max="8450" width="5.7109375" style="45" customWidth="1"/>
    <col min="8451" max="8451" width="6.28515625" style="45" customWidth="1"/>
    <col min="8452" max="8454" width="6.7109375" style="45" customWidth="1"/>
    <col min="8455" max="8455" width="6.28515625" style="45" customWidth="1"/>
    <col min="8456" max="8457" width="6" style="45" customWidth="1"/>
    <col min="8458" max="8458" width="6.7109375" style="45" customWidth="1"/>
    <col min="8459" max="8459" width="7.28515625" style="45" customWidth="1"/>
    <col min="8460" max="8702" width="8.7109375" style="45"/>
    <col min="8703" max="8703" width="16.28515625" style="45" customWidth="1"/>
    <col min="8704" max="8704" width="7.7109375" style="45" customWidth="1"/>
    <col min="8705" max="8705" width="6" style="45" customWidth="1"/>
    <col min="8706" max="8706" width="5.7109375" style="45" customWidth="1"/>
    <col min="8707" max="8707" width="6.28515625" style="45" customWidth="1"/>
    <col min="8708" max="8710" width="6.7109375" style="45" customWidth="1"/>
    <col min="8711" max="8711" width="6.28515625" style="45" customWidth="1"/>
    <col min="8712" max="8713" width="6" style="45" customWidth="1"/>
    <col min="8714" max="8714" width="6.7109375" style="45" customWidth="1"/>
    <col min="8715" max="8715" width="7.28515625" style="45" customWidth="1"/>
    <col min="8716" max="8958" width="8.7109375" style="45"/>
    <col min="8959" max="8959" width="16.28515625" style="45" customWidth="1"/>
    <col min="8960" max="8960" width="7.7109375" style="45" customWidth="1"/>
    <col min="8961" max="8961" width="6" style="45" customWidth="1"/>
    <col min="8962" max="8962" width="5.7109375" style="45" customWidth="1"/>
    <col min="8963" max="8963" width="6.28515625" style="45" customWidth="1"/>
    <col min="8964" max="8966" width="6.7109375" style="45" customWidth="1"/>
    <col min="8967" max="8967" width="6.28515625" style="45" customWidth="1"/>
    <col min="8968" max="8969" width="6" style="45" customWidth="1"/>
    <col min="8970" max="8970" width="6.7109375" style="45" customWidth="1"/>
    <col min="8971" max="8971" width="7.28515625" style="45" customWidth="1"/>
    <col min="8972" max="9214" width="8.7109375" style="45"/>
    <col min="9215" max="9215" width="16.28515625" style="45" customWidth="1"/>
    <col min="9216" max="9216" width="7.7109375" style="45" customWidth="1"/>
    <col min="9217" max="9217" width="6" style="45" customWidth="1"/>
    <col min="9218" max="9218" width="5.7109375" style="45" customWidth="1"/>
    <col min="9219" max="9219" width="6.28515625" style="45" customWidth="1"/>
    <col min="9220" max="9222" width="6.7109375" style="45" customWidth="1"/>
    <col min="9223" max="9223" width="6.28515625" style="45" customWidth="1"/>
    <col min="9224" max="9225" width="6" style="45" customWidth="1"/>
    <col min="9226" max="9226" width="6.7109375" style="45" customWidth="1"/>
    <col min="9227" max="9227" width="7.28515625" style="45" customWidth="1"/>
    <col min="9228" max="9470" width="8.7109375" style="45"/>
    <col min="9471" max="9471" width="16.28515625" style="45" customWidth="1"/>
    <col min="9472" max="9472" width="7.7109375" style="45" customWidth="1"/>
    <col min="9473" max="9473" width="6" style="45" customWidth="1"/>
    <col min="9474" max="9474" width="5.7109375" style="45" customWidth="1"/>
    <col min="9475" max="9475" width="6.28515625" style="45" customWidth="1"/>
    <col min="9476" max="9478" width="6.7109375" style="45" customWidth="1"/>
    <col min="9479" max="9479" width="6.28515625" style="45" customWidth="1"/>
    <col min="9480" max="9481" width="6" style="45" customWidth="1"/>
    <col min="9482" max="9482" width="6.7109375" style="45" customWidth="1"/>
    <col min="9483" max="9483" width="7.28515625" style="45" customWidth="1"/>
    <col min="9484" max="9726" width="8.7109375" style="45"/>
    <col min="9727" max="9727" width="16.28515625" style="45" customWidth="1"/>
    <col min="9728" max="9728" width="7.7109375" style="45" customWidth="1"/>
    <col min="9729" max="9729" width="6" style="45" customWidth="1"/>
    <col min="9730" max="9730" width="5.7109375" style="45" customWidth="1"/>
    <col min="9731" max="9731" width="6.28515625" style="45" customWidth="1"/>
    <col min="9732" max="9734" width="6.7109375" style="45" customWidth="1"/>
    <col min="9735" max="9735" width="6.28515625" style="45" customWidth="1"/>
    <col min="9736" max="9737" width="6" style="45" customWidth="1"/>
    <col min="9738" max="9738" width="6.7109375" style="45" customWidth="1"/>
    <col min="9739" max="9739" width="7.28515625" style="45" customWidth="1"/>
    <col min="9740" max="9982" width="8.7109375" style="45"/>
    <col min="9983" max="9983" width="16.28515625" style="45" customWidth="1"/>
    <col min="9984" max="9984" width="7.7109375" style="45" customWidth="1"/>
    <col min="9985" max="9985" width="6" style="45" customWidth="1"/>
    <col min="9986" max="9986" width="5.7109375" style="45" customWidth="1"/>
    <col min="9987" max="9987" width="6.28515625" style="45" customWidth="1"/>
    <col min="9988" max="9990" width="6.7109375" style="45" customWidth="1"/>
    <col min="9991" max="9991" width="6.28515625" style="45" customWidth="1"/>
    <col min="9992" max="9993" width="6" style="45" customWidth="1"/>
    <col min="9994" max="9994" width="6.7109375" style="45" customWidth="1"/>
    <col min="9995" max="9995" width="7.28515625" style="45" customWidth="1"/>
    <col min="9996" max="10238" width="8.7109375" style="45"/>
    <col min="10239" max="10239" width="16.28515625" style="45" customWidth="1"/>
    <col min="10240" max="10240" width="7.7109375" style="45" customWidth="1"/>
    <col min="10241" max="10241" width="6" style="45" customWidth="1"/>
    <col min="10242" max="10242" width="5.7109375" style="45" customWidth="1"/>
    <col min="10243" max="10243" width="6.28515625" style="45" customWidth="1"/>
    <col min="10244" max="10246" width="6.7109375" style="45" customWidth="1"/>
    <col min="10247" max="10247" width="6.28515625" style="45" customWidth="1"/>
    <col min="10248" max="10249" width="6" style="45" customWidth="1"/>
    <col min="10250" max="10250" width="6.7109375" style="45" customWidth="1"/>
    <col min="10251" max="10251" width="7.28515625" style="45" customWidth="1"/>
    <col min="10252" max="10494" width="8.7109375" style="45"/>
    <col min="10495" max="10495" width="16.28515625" style="45" customWidth="1"/>
    <col min="10496" max="10496" width="7.7109375" style="45" customWidth="1"/>
    <col min="10497" max="10497" width="6" style="45" customWidth="1"/>
    <col min="10498" max="10498" width="5.7109375" style="45" customWidth="1"/>
    <col min="10499" max="10499" width="6.28515625" style="45" customWidth="1"/>
    <col min="10500" max="10502" width="6.7109375" style="45" customWidth="1"/>
    <col min="10503" max="10503" width="6.28515625" style="45" customWidth="1"/>
    <col min="10504" max="10505" width="6" style="45" customWidth="1"/>
    <col min="10506" max="10506" width="6.7109375" style="45" customWidth="1"/>
    <col min="10507" max="10507" width="7.28515625" style="45" customWidth="1"/>
    <col min="10508" max="10750" width="8.7109375" style="45"/>
    <col min="10751" max="10751" width="16.28515625" style="45" customWidth="1"/>
    <col min="10752" max="10752" width="7.7109375" style="45" customWidth="1"/>
    <col min="10753" max="10753" width="6" style="45" customWidth="1"/>
    <col min="10754" max="10754" width="5.7109375" style="45" customWidth="1"/>
    <col min="10755" max="10755" width="6.28515625" style="45" customWidth="1"/>
    <col min="10756" max="10758" width="6.7109375" style="45" customWidth="1"/>
    <col min="10759" max="10759" width="6.28515625" style="45" customWidth="1"/>
    <col min="10760" max="10761" width="6" style="45" customWidth="1"/>
    <col min="10762" max="10762" width="6.7109375" style="45" customWidth="1"/>
    <col min="10763" max="10763" width="7.28515625" style="45" customWidth="1"/>
    <col min="10764" max="11006" width="8.7109375" style="45"/>
    <col min="11007" max="11007" width="16.28515625" style="45" customWidth="1"/>
    <col min="11008" max="11008" width="7.7109375" style="45" customWidth="1"/>
    <col min="11009" max="11009" width="6" style="45" customWidth="1"/>
    <col min="11010" max="11010" width="5.7109375" style="45" customWidth="1"/>
    <col min="11011" max="11011" width="6.28515625" style="45" customWidth="1"/>
    <col min="11012" max="11014" width="6.7109375" style="45" customWidth="1"/>
    <col min="11015" max="11015" width="6.28515625" style="45" customWidth="1"/>
    <col min="11016" max="11017" width="6" style="45" customWidth="1"/>
    <col min="11018" max="11018" width="6.7109375" style="45" customWidth="1"/>
    <col min="11019" max="11019" width="7.28515625" style="45" customWidth="1"/>
    <col min="11020" max="11262" width="8.7109375" style="45"/>
    <col min="11263" max="11263" width="16.28515625" style="45" customWidth="1"/>
    <col min="11264" max="11264" width="7.7109375" style="45" customWidth="1"/>
    <col min="11265" max="11265" width="6" style="45" customWidth="1"/>
    <col min="11266" max="11266" width="5.7109375" style="45" customWidth="1"/>
    <col min="11267" max="11267" width="6.28515625" style="45" customWidth="1"/>
    <col min="11268" max="11270" width="6.7109375" style="45" customWidth="1"/>
    <col min="11271" max="11271" width="6.28515625" style="45" customWidth="1"/>
    <col min="11272" max="11273" width="6" style="45" customWidth="1"/>
    <col min="11274" max="11274" width="6.7109375" style="45" customWidth="1"/>
    <col min="11275" max="11275" width="7.28515625" style="45" customWidth="1"/>
    <col min="11276" max="11518" width="8.7109375" style="45"/>
    <col min="11519" max="11519" width="16.28515625" style="45" customWidth="1"/>
    <col min="11520" max="11520" width="7.7109375" style="45" customWidth="1"/>
    <col min="11521" max="11521" width="6" style="45" customWidth="1"/>
    <col min="11522" max="11522" width="5.7109375" style="45" customWidth="1"/>
    <col min="11523" max="11523" width="6.28515625" style="45" customWidth="1"/>
    <col min="11524" max="11526" width="6.7109375" style="45" customWidth="1"/>
    <col min="11527" max="11527" width="6.28515625" style="45" customWidth="1"/>
    <col min="11528" max="11529" width="6" style="45" customWidth="1"/>
    <col min="11530" max="11530" width="6.7109375" style="45" customWidth="1"/>
    <col min="11531" max="11531" width="7.28515625" style="45" customWidth="1"/>
    <col min="11532" max="11774" width="8.7109375" style="45"/>
    <col min="11775" max="11775" width="16.28515625" style="45" customWidth="1"/>
    <col min="11776" max="11776" width="7.7109375" style="45" customWidth="1"/>
    <col min="11777" max="11777" width="6" style="45" customWidth="1"/>
    <col min="11778" max="11778" width="5.7109375" style="45" customWidth="1"/>
    <col min="11779" max="11779" width="6.28515625" style="45" customWidth="1"/>
    <col min="11780" max="11782" width="6.7109375" style="45" customWidth="1"/>
    <col min="11783" max="11783" width="6.28515625" style="45" customWidth="1"/>
    <col min="11784" max="11785" width="6" style="45" customWidth="1"/>
    <col min="11786" max="11786" width="6.7109375" style="45" customWidth="1"/>
    <col min="11787" max="11787" width="7.28515625" style="45" customWidth="1"/>
    <col min="11788" max="12030" width="8.7109375" style="45"/>
    <col min="12031" max="12031" width="16.28515625" style="45" customWidth="1"/>
    <col min="12032" max="12032" width="7.7109375" style="45" customWidth="1"/>
    <col min="12033" max="12033" width="6" style="45" customWidth="1"/>
    <col min="12034" max="12034" width="5.7109375" style="45" customWidth="1"/>
    <col min="12035" max="12035" width="6.28515625" style="45" customWidth="1"/>
    <col min="12036" max="12038" width="6.7109375" style="45" customWidth="1"/>
    <col min="12039" max="12039" width="6.28515625" style="45" customWidth="1"/>
    <col min="12040" max="12041" width="6" style="45" customWidth="1"/>
    <col min="12042" max="12042" width="6.7109375" style="45" customWidth="1"/>
    <col min="12043" max="12043" width="7.28515625" style="45" customWidth="1"/>
    <col min="12044" max="12286" width="8.7109375" style="45"/>
    <col min="12287" max="12287" width="16.28515625" style="45" customWidth="1"/>
    <col min="12288" max="12288" width="7.7109375" style="45" customWidth="1"/>
    <col min="12289" max="12289" width="6" style="45" customWidth="1"/>
    <col min="12290" max="12290" width="5.7109375" style="45" customWidth="1"/>
    <col min="12291" max="12291" width="6.28515625" style="45" customWidth="1"/>
    <col min="12292" max="12294" width="6.7109375" style="45" customWidth="1"/>
    <col min="12295" max="12295" width="6.28515625" style="45" customWidth="1"/>
    <col min="12296" max="12297" width="6" style="45" customWidth="1"/>
    <col min="12298" max="12298" width="6.7109375" style="45" customWidth="1"/>
    <col min="12299" max="12299" width="7.28515625" style="45" customWidth="1"/>
    <col min="12300" max="12542" width="8.7109375" style="45"/>
    <col min="12543" max="12543" width="16.28515625" style="45" customWidth="1"/>
    <col min="12544" max="12544" width="7.7109375" style="45" customWidth="1"/>
    <col min="12545" max="12545" width="6" style="45" customWidth="1"/>
    <col min="12546" max="12546" width="5.7109375" style="45" customWidth="1"/>
    <col min="12547" max="12547" width="6.28515625" style="45" customWidth="1"/>
    <col min="12548" max="12550" width="6.7109375" style="45" customWidth="1"/>
    <col min="12551" max="12551" width="6.28515625" style="45" customWidth="1"/>
    <col min="12552" max="12553" width="6" style="45" customWidth="1"/>
    <col min="12554" max="12554" width="6.7109375" style="45" customWidth="1"/>
    <col min="12555" max="12555" width="7.28515625" style="45" customWidth="1"/>
    <col min="12556" max="12798" width="8.7109375" style="45"/>
    <col min="12799" max="12799" width="16.28515625" style="45" customWidth="1"/>
    <col min="12800" max="12800" width="7.7109375" style="45" customWidth="1"/>
    <col min="12801" max="12801" width="6" style="45" customWidth="1"/>
    <col min="12802" max="12802" width="5.7109375" style="45" customWidth="1"/>
    <col min="12803" max="12803" width="6.28515625" style="45" customWidth="1"/>
    <col min="12804" max="12806" width="6.7109375" style="45" customWidth="1"/>
    <col min="12807" max="12807" width="6.28515625" style="45" customWidth="1"/>
    <col min="12808" max="12809" width="6" style="45" customWidth="1"/>
    <col min="12810" max="12810" width="6.7109375" style="45" customWidth="1"/>
    <col min="12811" max="12811" width="7.28515625" style="45" customWidth="1"/>
    <col min="12812" max="13054" width="8.7109375" style="45"/>
    <col min="13055" max="13055" width="16.28515625" style="45" customWidth="1"/>
    <col min="13056" max="13056" width="7.7109375" style="45" customWidth="1"/>
    <col min="13057" max="13057" width="6" style="45" customWidth="1"/>
    <col min="13058" max="13058" width="5.7109375" style="45" customWidth="1"/>
    <col min="13059" max="13059" width="6.28515625" style="45" customWidth="1"/>
    <col min="13060" max="13062" width="6.7109375" style="45" customWidth="1"/>
    <col min="13063" max="13063" width="6.28515625" style="45" customWidth="1"/>
    <col min="13064" max="13065" width="6" style="45" customWidth="1"/>
    <col min="13066" max="13066" width="6.7109375" style="45" customWidth="1"/>
    <col min="13067" max="13067" width="7.28515625" style="45" customWidth="1"/>
    <col min="13068" max="13310" width="8.7109375" style="45"/>
    <col min="13311" max="13311" width="16.28515625" style="45" customWidth="1"/>
    <col min="13312" max="13312" width="7.7109375" style="45" customWidth="1"/>
    <col min="13313" max="13313" width="6" style="45" customWidth="1"/>
    <col min="13314" max="13314" width="5.7109375" style="45" customWidth="1"/>
    <col min="13315" max="13315" width="6.28515625" style="45" customWidth="1"/>
    <col min="13316" max="13318" width="6.7109375" style="45" customWidth="1"/>
    <col min="13319" max="13319" width="6.28515625" style="45" customWidth="1"/>
    <col min="13320" max="13321" width="6" style="45" customWidth="1"/>
    <col min="13322" max="13322" width="6.7109375" style="45" customWidth="1"/>
    <col min="13323" max="13323" width="7.28515625" style="45" customWidth="1"/>
    <col min="13324" max="13566" width="8.7109375" style="45"/>
    <col min="13567" max="13567" width="16.28515625" style="45" customWidth="1"/>
    <col min="13568" max="13568" width="7.7109375" style="45" customWidth="1"/>
    <col min="13569" max="13569" width="6" style="45" customWidth="1"/>
    <col min="13570" max="13570" width="5.7109375" style="45" customWidth="1"/>
    <col min="13571" max="13571" width="6.28515625" style="45" customWidth="1"/>
    <col min="13572" max="13574" width="6.7109375" style="45" customWidth="1"/>
    <col min="13575" max="13575" width="6.28515625" style="45" customWidth="1"/>
    <col min="13576" max="13577" width="6" style="45" customWidth="1"/>
    <col min="13578" max="13578" width="6.7109375" style="45" customWidth="1"/>
    <col min="13579" max="13579" width="7.28515625" style="45" customWidth="1"/>
    <col min="13580" max="13822" width="8.7109375" style="45"/>
    <col min="13823" max="13823" width="16.28515625" style="45" customWidth="1"/>
    <col min="13824" max="13824" width="7.7109375" style="45" customWidth="1"/>
    <col min="13825" max="13825" width="6" style="45" customWidth="1"/>
    <col min="13826" max="13826" width="5.7109375" style="45" customWidth="1"/>
    <col min="13827" max="13827" width="6.28515625" style="45" customWidth="1"/>
    <col min="13828" max="13830" width="6.7109375" style="45" customWidth="1"/>
    <col min="13831" max="13831" width="6.28515625" style="45" customWidth="1"/>
    <col min="13832" max="13833" width="6" style="45" customWidth="1"/>
    <col min="13834" max="13834" width="6.7109375" style="45" customWidth="1"/>
    <col min="13835" max="13835" width="7.28515625" style="45" customWidth="1"/>
    <col min="13836" max="14078" width="8.7109375" style="45"/>
    <col min="14079" max="14079" width="16.28515625" style="45" customWidth="1"/>
    <col min="14080" max="14080" width="7.7109375" style="45" customWidth="1"/>
    <col min="14081" max="14081" width="6" style="45" customWidth="1"/>
    <col min="14082" max="14082" width="5.7109375" style="45" customWidth="1"/>
    <col min="14083" max="14083" width="6.28515625" style="45" customWidth="1"/>
    <col min="14084" max="14086" width="6.7109375" style="45" customWidth="1"/>
    <col min="14087" max="14087" width="6.28515625" style="45" customWidth="1"/>
    <col min="14088" max="14089" width="6" style="45" customWidth="1"/>
    <col min="14090" max="14090" width="6.7109375" style="45" customWidth="1"/>
    <col min="14091" max="14091" width="7.28515625" style="45" customWidth="1"/>
    <col min="14092" max="14334" width="8.7109375" style="45"/>
    <col min="14335" max="14335" width="16.28515625" style="45" customWidth="1"/>
    <col min="14336" max="14336" width="7.7109375" style="45" customWidth="1"/>
    <col min="14337" max="14337" width="6" style="45" customWidth="1"/>
    <col min="14338" max="14338" width="5.7109375" style="45" customWidth="1"/>
    <col min="14339" max="14339" width="6.28515625" style="45" customWidth="1"/>
    <col min="14340" max="14342" width="6.7109375" style="45" customWidth="1"/>
    <col min="14343" max="14343" width="6.28515625" style="45" customWidth="1"/>
    <col min="14344" max="14345" width="6" style="45" customWidth="1"/>
    <col min="14346" max="14346" width="6.7109375" style="45" customWidth="1"/>
    <col min="14347" max="14347" width="7.28515625" style="45" customWidth="1"/>
    <col min="14348" max="14590" width="8.7109375" style="45"/>
    <col min="14591" max="14591" width="16.28515625" style="45" customWidth="1"/>
    <col min="14592" max="14592" width="7.7109375" style="45" customWidth="1"/>
    <col min="14593" max="14593" width="6" style="45" customWidth="1"/>
    <col min="14594" max="14594" width="5.7109375" style="45" customWidth="1"/>
    <col min="14595" max="14595" width="6.28515625" style="45" customWidth="1"/>
    <col min="14596" max="14598" width="6.7109375" style="45" customWidth="1"/>
    <col min="14599" max="14599" width="6.28515625" style="45" customWidth="1"/>
    <col min="14600" max="14601" width="6" style="45" customWidth="1"/>
    <col min="14602" max="14602" width="6.7109375" style="45" customWidth="1"/>
    <col min="14603" max="14603" width="7.28515625" style="45" customWidth="1"/>
    <col min="14604" max="14846" width="8.7109375" style="45"/>
    <col min="14847" max="14847" width="16.28515625" style="45" customWidth="1"/>
    <col min="14848" max="14848" width="7.7109375" style="45" customWidth="1"/>
    <col min="14849" max="14849" width="6" style="45" customWidth="1"/>
    <col min="14850" max="14850" width="5.7109375" style="45" customWidth="1"/>
    <col min="14851" max="14851" width="6.28515625" style="45" customWidth="1"/>
    <col min="14852" max="14854" width="6.7109375" style="45" customWidth="1"/>
    <col min="14855" max="14855" width="6.28515625" style="45" customWidth="1"/>
    <col min="14856" max="14857" width="6" style="45" customWidth="1"/>
    <col min="14858" max="14858" width="6.7109375" style="45" customWidth="1"/>
    <col min="14859" max="14859" width="7.28515625" style="45" customWidth="1"/>
    <col min="14860" max="15102" width="8.7109375" style="45"/>
    <col min="15103" max="15103" width="16.28515625" style="45" customWidth="1"/>
    <col min="15104" max="15104" width="7.7109375" style="45" customWidth="1"/>
    <col min="15105" max="15105" width="6" style="45" customWidth="1"/>
    <col min="15106" max="15106" width="5.7109375" style="45" customWidth="1"/>
    <col min="15107" max="15107" width="6.28515625" style="45" customWidth="1"/>
    <col min="15108" max="15110" width="6.7109375" style="45" customWidth="1"/>
    <col min="15111" max="15111" width="6.28515625" style="45" customWidth="1"/>
    <col min="15112" max="15113" width="6" style="45" customWidth="1"/>
    <col min="15114" max="15114" width="6.7109375" style="45" customWidth="1"/>
    <col min="15115" max="15115" width="7.28515625" style="45" customWidth="1"/>
    <col min="15116" max="15358" width="8.7109375" style="45"/>
    <col min="15359" max="15359" width="16.28515625" style="45" customWidth="1"/>
    <col min="15360" max="15360" width="7.7109375" style="45" customWidth="1"/>
    <col min="15361" max="15361" width="6" style="45" customWidth="1"/>
    <col min="15362" max="15362" width="5.7109375" style="45" customWidth="1"/>
    <col min="15363" max="15363" width="6.28515625" style="45" customWidth="1"/>
    <col min="15364" max="15366" width="6.7109375" style="45" customWidth="1"/>
    <col min="15367" max="15367" width="6.28515625" style="45" customWidth="1"/>
    <col min="15368" max="15369" width="6" style="45" customWidth="1"/>
    <col min="15370" max="15370" width="6.7109375" style="45" customWidth="1"/>
    <col min="15371" max="15371" width="7.28515625" style="45" customWidth="1"/>
    <col min="15372" max="15614" width="8.7109375" style="45"/>
    <col min="15615" max="15615" width="16.28515625" style="45" customWidth="1"/>
    <col min="15616" max="15616" width="7.7109375" style="45" customWidth="1"/>
    <col min="15617" max="15617" width="6" style="45" customWidth="1"/>
    <col min="15618" max="15618" width="5.7109375" style="45" customWidth="1"/>
    <col min="15619" max="15619" width="6.28515625" style="45" customWidth="1"/>
    <col min="15620" max="15622" width="6.7109375" style="45" customWidth="1"/>
    <col min="15623" max="15623" width="6.28515625" style="45" customWidth="1"/>
    <col min="15624" max="15625" width="6" style="45" customWidth="1"/>
    <col min="15626" max="15626" width="6.7109375" style="45" customWidth="1"/>
    <col min="15627" max="15627" width="7.28515625" style="45" customWidth="1"/>
    <col min="15628" max="15870" width="8.7109375" style="45"/>
    <col min="15871" max="15871" width="16.28515625" style="45" customWidth="1"/>
    <col min="15872" max="15872" width="7.7109375" style="45" customWidth="1"/>
    <col min="15873" max="15873" width="6" style="45" customWidth="1"/>
    <col min="15874" max="15874" width="5.7109375" style="45" customWidth="1"/>
    <col min="15875" max="15875" width="6.28515625" style="45" customWidth="1"/>
    <col min="15876" max="15878" width="6.7109375" style="45" customWidth="1"/>
    <col min="15879" max="15879" width="6.28515625" style="45" customWidth="1"/>
    <col min="15880" max="15881" width="6" style="45" customWidth="1"/>
    <col min="15882" max="15882" width="6.7109375" style="45" customWidth="1"/>
    <col min="15883" max="15883" width="7.28515625" style="45" customWidth="1"/>
    <col min="15884" max="16126" width="8.7109375" style="45"/>
    <col min="16127" max="16127" width="16.28515625" style="45" customWidth="1"/>
    <col min="16128" max="16128" width="7.7109375" style="45" customWidth="1"/>
    <col min="16129" max="16129" width="6" style="45" customWidth="1"/>
    <col min="16130" max="16130" width="5.7109375" style="45" customWidth="1"/>
    <col min="16131" max="16131" width="6.28515625" style="45" customWidth="1"/>
    <col min="16132" max="16134" width="6.7109375" style="45" customWidth="1"/>
    <col min="16135" max="16135" width="6.28515625" style="45" customWidth="1"/>
    <col min="16136" max="16137" width="6" style="45" customWidth="1"/>
    <col min="16138" max="16138" width="6.7109375" style="45" customWidth="1"/>
    <col min="16139" max="16139" width="7.28515625" style="45" customWidth="1"/>
    <col min="16140" max="16384" width="8.7109375" style="45"/>
  </cols>
  <sheetData>
    <row r="1" spans="1:16" ht="12.75" customHeight="1" x14ac:dyDescent="0.25">
      <c r="A1" s="502" t="s">
        <v>400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</row>
    <row r="2" spans="1:16" ht="12.75" customHeight="1" x14ac:dyDescent="0.25">
      <c r="A2" s="521" t="s">
        <v>281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</row>
    <row r="3" spans="1:16" ht="4.1500000000000004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6"/>
      <c r="L3" s="176"/>
      <c r="M3" s="176"/>
      <c r="N3" s="176"/>
      <c r="O3" s="176"/>
      <c r="P3" s="17"/>
    </row>
    <row r="4" spans="1:16" ht="24.75" customHeight="1" x14ac:dyDescent="0.25">
      <c r="A4" s="415" t="s">
        <v>252</v>
      </c>
      <c r="B4" s="416">
        <v>2005</v>
      </c>
      <c r="C4" s="416">
        <v>2006</v>
      </c>
      <c r="D4" s="416">
        <v>2007</v>
      </c>
      <c r="E4" s="416">
        <v>2008</v>
      </c>
      <c r="F4" s="416">
        <v>2009</v>
      </c>
      <c r="G4" s="416">
        <v>2011</v>
      </c>
      <c r="H4" s="416">
        <v>2012</v>
      </c>
      <c r="I4" s="416">
        <v>2013</v>
      </c>
      <c r="J4" s="416">
        <v>2014</v>
      </c>
      <c r="K4" s="417">
        <v>2015</v>
      </c>
      <c r="L4" s="417">
        <v>2016</v>
      </c>
      <c r="M4" s="417">
        <v>2018</v>
      </c>
      <c r="N4" s="417">
        <v>2019</v>
      </c>
      <c r="O4" s="417">
        <v>2020</v>
      </c>
      <c r="P4" s="417">
        <v>2021</v>
      </c>
    </row>
    <row r="5" spans="1:16" ht="3" customHeight="1" x14ac:dyDescent="0.25">
      <c r="A5" s="418"/>
      <c r="B5" s="424"/>
      <c r="C5" s="424"/>
      <c r="D5" s="424"/>
      <c r="E5" s="424"/>
      <c r="F5" s="424"/>
      <c r="G5" s="424"/>
      <c r="H5" s="424"/>
      <c r="I5" s="424"/>
      <c r="J5" s="424"/>
      <c r="K5" s="425"/>
      <c r="L5" s="425"/>
      <c r="M5" s="425"/>
      <c r="N5" s="425"/>
      <c r="O5" s="425"/>
      <c r="P5" s="425"/>
    </row>
    <row r="6" spans="1:16" s="53" customFormat="1" ht="15.95" customHeight="1" x14ac:dyDescent="0.3">
      <c r="A6" s="419" t="s">
        <v>148</v>
      </c>
      <c r="B6" s="426">
        <v>618</v>
      </c>
      <c r="C6" s="427">
        <v>467</v>
      </c>
      <c r="D6" s="427">
        <v>388</v>
      </c>
      <c r="E6" s="427">
        <v>459</v>
      </c>
      <c r="F6" s="427">
        <v>316</v>
      </c>
      <c r="G6" s="427">
        <v>228</v>
      </c>
      <c r="H6" s="427">
        <v>410</v>
      </c>
      <c r="I6" s="427">
        <v>470</v>
      </c>
      <c r="J6" s="427">
        <v>366</v>
      </c>
      <c r="K6" s="427">
        <v>219</v>
      </c>
      <c r="L6" s="427">
        <v>342</v>
      </c>
      <c r="M6" s="427">
        <v>267</v>
      </c>
      <c r="N6" s="427">
        <v>310</v>
      </c>
      <c r="O6" s="427">
        <v>261</v>
      </c>
      <c r="P6" s="427">
        <f>SUM(P7:P44)</f>
        <v>373</v>
      </c>
    </row>
    <row r="7" spans="1:16" ht="15.95" customHeight="1" x14ac:dyDescent="0.25">
      <c r="A7" s="420" t="s">
        <v>248</v>
      </c>
      <c r="B7" s="45">
        <v>250</v>
      </c>
      <c r="C7" s="428">
        <v>173</v>
      </c>
      <c r="D7" s="429" t="s">
        <v>1</v>
      </c>
      <c r="E7" s="429">
        <v>2</v>
      </c>
      <c r="F7" s="428">
        <v>52</v>
      </c>
      <c r="G7" s="428">
        <v>17</v>
      </c>
      <c r="H7" s="428">
        <v>108</v>
      </c>
      <c r="I7" s="429">
        <v>187</v>
      </c>
      <c r="J7" s="429">
        <v>85</v>
      </c>
      <c r="K7" s="429">
        <v>48</v>
      </c>
      <c r="L7" s="429">
        <v>30</v>
      </c>
      <c r="M7" s="429">
        <v>20</v>
      </c>
      <c r="N7" s="429">
        <v>40</v>
      </c>
      <c r="O7" s="429">
        <v>17</v>
      </c>
      <c r="P7" s="429">
        <v>22</v>
      </c>
    </row>
    <row r="8" spans="1:16" ht="15.95" customHeight="1" x14ac:dyDescent="0.25">
      <c r="A8" s="420" t="s">
        <v>280</v>
      </c>
      <c r="B8" s="45">
        <v>19</v>
      </c>
      <c r="C8" s="213">
        <v>24</v>
      </c>
      <c r="D8" s="213">
        <v>70</v>
      </c>
      <c r="E8" s="213">
        <v>35</v>
      </c>
      <c r="F8" s="213">
        <v>12</v>
      </c>
      <c r="G8" s="213" t="s">
        <v>1</v>
      </c>
      <c r="H8" s="213">
        <v>30</v>
      </c>
      <c r="I8" s="429">
        <v>20</v>
      </c>
      <c r="J8" s="429">
        <v>20</v>
      </c>
      <c r="K8" s="429" t="s">
        <v>1</v>
      </c>
      <c r="L8" s="429">
        <v>23</v>
      </c>
      <c r="M8" s="429">
        <v>83</v>
      </c>
      <c r="N8" s="429">
        <v>54</v>
      </c>
      <c r="O8" s="429">
        <v>43</v>
      </c>
      <c r="P8" s="429"/>
    </row>
    <row r="9" spans="1:16" ht="15.95" customHeight="1" x14ac:dyDescent="0.25">
      <c r="A9" s="420" t="s">
        <v>245</v>
      </c>
      <c r="B9" s="45">
        <v>106</v>
      </c>
      <c r="C9" s="213">
        <v>87</v>
      </c>
      <c r="D9" s="213">
        <v>137</v>
      </c>
      <c r="E9" s="213">
        <v>38</v>
      </c>
      <c r="F9" s="213">
        <v>26</v>
      </c>
      <c r="G9" s="213" t="s">
        <v>1</v>
      </c>
      <c r="H9" s="213" t="s">
        <v>1</v>
      </c>
      <c r="I9" s="429" t="s">
        <v>1</v>
      </c>
      <c r="J9" s="429" t="s">
        <v>1</v>
      </c>
      <c r="K9" s="429">
        <v>12</v>
      </c>
      <c r="L9" s="429">
        <v>25</v>
      </c>
      <c r="M9" s="429" t="s">
        <v>1</v>
      </c>
      <c r="N9" s="429" t="s">
        <v>1</v>
      </c>
      <c r="O9" s="429">
        <v>20</v>
      </c>
      <c r="P9" s="429">
        <v>20</v>
      </c>
    </row>
    <row r="10" spans="1:16" ht="15.95" customHeight="1" x14ac:dyDescent="0.25">
      <c r="A10" s="420" t="s">
        <v>279</v>
      </c>
      <c r="B10" s="47" t="s">
        <v>1</v>
      </c>
      <c r="C10" s="429" t="s">
        <v>1</v>
      </c>
      <c r="D10" s="213">
        <v>1</v>
      </c>
      <c r="E10" s="213">
        <v>4</v>
      </c>
      <c r="F10" s="213" t="s">
        <v>1</v>
      </c>
      <c r="G10" s="213" t="s">
        <v>1</v>
      </c>
      <c r="H10" s="213" t="s">
        <v>1</v>
      </c>
      <c r="I10" s="429">
        <v>3</v>
      </c>
      <c r="J10" s="429" t="s">
        <v>1</v>
      </c>
      <c r="K10" s="429" t="s">
        <v>1</v>
      </c>
      <c r="L10" s="429" t="s">
        <v>1</v>
      </c>
      <c r="M10" s="429" t="s">
        <v>1</v>
      </c>
      <c r="N10" s="429" t="s">
        <v>1</v>
      </c>
      <c r="O10" s="429" t="s">
        <v>1</v>
      </c>
      <c r="P10" s="429">
        <v>2</v>
      </c>
    </row>
    <row r="11" spans="1:16" ht="15.95" customHeight="1" x14ac:dyDescent="0.25">
      <c r="A11" s="420" t="s">
        <v>243</v>
      </c>
      <c r="B11" s="47" t="s">
        <v>1</v>
      </c>
      <c r="C11" s="213" t="s">
        <v>1</v>
      </c>
      <c r="D11" s="213" t="s">
        <v>1</v>
      </c>
      <c r="E11" s="213">
        <v>17</v>
      </c>
      <c r="F11" s="213">
        <v>20</v>
      </c>
      <c r="G11" s="213" t="s">
        <v>1</v>
      </c>
      <c r="H11" s="213">
        <v>2</v>
      </c>
      <c r="I11" s="429">
        <v>6</v>
      </c>
      <c r="J11" s="429">
        <v>20</v>
      </c>
      <c r="K11" s="429">
        <v>38</v>
      </c>
      <c r="L11" s="429">
        <v>46</v>
      </c>
      <c r="M11" s="429" t="s">
        <v>1</v>
      </c>
      <c r="N11" s="429">
        <v>2</v>
      </c>
      <c r="O11" s="429">
        <v>12</v>
      </c>
      <c r="P11" s="429">
        <v>70</v>
      </c>
    </row>
    <row r="12" spans="1:16" s="54" customFormat="1" ht="12.75" hidden="1" customHeight="1" x14ac:dyDescent="0.25">
      <c r="A12" s="421" t="s">
        <v>278</v>
      </c>
      <c r="B12" s="54">
        <v>11</v>
      </c>
      <c r="C12" s="430">
        <v>14</v>
      </c>
      <c r="D12" s="430" t="s">
        <v>1</v>
      </c>
      <c r="E12" s="430">
        <v>25</v>
      </c>
      <c r="F12" s="430" t="s">
        <v>1</v>
      </c>
      <c r="G12" s="430" t="s">
        <v>1</v>
      </c>
      <c r="H12" s="430" t="s">
        <v>1</v>
      </c>
      <c r="I12" s="431" t="s">
        <v>1</v>
      </c>
      <c r="J12" s="431" t="s">
        <v>1</v>
      </c>
      <c r="K12" s="431" t="s">
        <v>1</v>
      </c>
      <c r="L12" s="431" t="s">
        <v>1</v>
      </c>
      <c r="M12" s="431" t="s">
        <v>1</v>
      </c>
      <c r="N12" s="431" t="s">
        <v>1</v>
      </c>
      <c r="O12" s="431" t="s">
        <v>1</v>
      </c>
      <c r="P12" s="431"/>
    </row>
    <row r="13" spans="1:16" ht="15.95" customHeight="1" x14ac:dyDescent="0.25">
      <c r="A13" s="420" t="s">
        <v>250</v>
      </c>
      <c r="B13" s="47" t="s">
        <v>1</v>
      </c>
      <c r="C13" s="213" t="s">
        <v>1</v>
      </c>
      <c r="D13" s="213">
        <v>20</v>
      </c>
      <c r="E13" s="213">
        <v>79</v>
      </c>
      <c r="F13" s="213">
        <v>7</v>
      </c>
      <c r="G13" s="213">
        <v>30</v>
      </c>
      <c r="H13" s="213" t="s">
        <v>1</v>
      </c>
      <c r="I13" s="429" t="s">
        <v>1</v>
      </c>
      <c r="J13" s="429" t="s">
        <v>1</v>
      </c>
      <c r="K13" s="429" t="s">
        <v>1</v>
      </c>
      <c r="L13" s="429" t="s">
        <v>1</v>
      </c>
      <c r="M13" s="429" t="s">
        <v>1</v>
      </c>
      <c r="N13" s="429" t="s">
        <v>1</v>
      </c>
      <c r="O13" s="429" t="s">
        <v>1</v>
      </c>
      <c r="P13" s="429"/>
    </row>
    <row r="14" spans="1:16" ht="15.95" customHeight="1" x14ac:dyDescent="0.25">
      <c r="A14" s="420" t="s">
        <v>277</v>
      </c>
      <c r="B14" s="45">
        <v>172</v>
      </c>
      <c r="C14" s="213">
        <v>83</v>
      </c>
      <c r="D14" s="213">
        <v>37</v>
      </c>
      <c r="E14" s="213">
        <v>40</v>
      </c>
      <c r="F14" s="213">
        <v>55</v>
      </c>
      <c r="G14" s="213">
        <v>58</v>
      </c>
      <c r="H14" s="213">
        <v>37</v>
      </c>
      <c r="I14" s="429">
        <v>34</v>
      </c>
      <c r="J14" s="429">
        <v>100</v>
      </c>
      <c r="K14" s="429">
        <v>56</v>
      </c>
      <c r="L14" s="429">
        <v>45</v>
      </c>
      <c r="M14" s="429">
        <v>62</v>
      </c>
      <c r="N14" s="429">
        <v>51</v>
      </c>
      <c r="O14" s="429">
        <v>73</v>
      </c>
      <c r="P14" s="429">
        <v>152</v>
      </c>
    </row>
    <row r="15" spans="1:16" ht="15.95" customHeight="1" x14ac:dyDescent="0.25">
      <c r="A15" s="420" t="s">
        <v>276</v>
      </c>
      <c r="B15" s="45">
        <v>11</v>
      </c>
      <c r="C15" s="428">
        <v>13</v>
      </c>
      <c r="D15" s="429">
        <v>25</v>
      </c>
      <c r="E15" s="429">
        <v>96</v>
      </c>
      <c r="F15" s="428">
        <v>93</v>
      </c>
      <c r="G15" s="428">
        <v>115</v>
      </c>
      <c r="H15" s="428">
        <v>157</v>
      </c>
      <c r="I15" s="429">
        <v>137</v>
      </c>
      <c r="J15" s="429">
        <v>54</v>
      </c>
      <c r="K15" s="429">
        <v>43</v>
      </c>
      <c r="L15" s="429">
        <v>147</v>
      </c>
      <c r="M15" s="429">
        <v>71</v>
      </c>
      <c r="N15" s="429">
        <v>84</v>
      </c>
      <c r="O15" s="429">
        <v>59</v>
      </c>
      <c r="P15" s="429">
        <v>51</v>
      </c>
    </row>
    <row r="16" spans="1:16" ht="15.95" customHeight="1" x14ac:dyDescent="0.25">
      <c r="A16" s="420" t="s">
        <v>249</v>
      </c>
      <c r="B16" s="45">
        <v>6</v>
      </c>
      <c r="C16" s="213">
        <v>12</v>
      </c>
      <c r="D16" s="213">
        <v>6</v>
      </c>
      <c r="E16" s="213">
        <v>63</v>
      </c>
      <c r="F16" s="213">
        <v>23</v>
      </c>
      <c r="G16" s="213" t="s">
        <v>1</v>
      </c>
      <c r="H16" s="213" t="s">
        <v>1</v>
      </c>
      <c r="I16" s="429">
        <v>20</v>
      </c>
      <c r="J16" s="429">
        <v>72</v>
      </c>
      <c r="K16" s="429">
        <v>10</v>
      </c>
      <c r="L16" s="429">
        <v>2</v>
      </c>
      <c r="M16" s="429">
        <v>1</v>
      </c>
      <c r="N16" s="429">
        <v>19</v>
      </c>
      <c r="O16" s="429">
        <v>30</v>
      </c>
      <c r="P16" s="429">
        <v>6</v>
      </c>
    </row>
    <row r="17" spans="1:16" ht="15.95" customHeight="1" x14ac:dyDescent="0.25">
      <c r="A17" s="420" t="s">
        <v>275</v>
      </c>
      <c r="B17" s="45">
        <v>15</v>
      </c>
      <c r="C17" s="213">
        <v>19</v>
      </c>
      <c r="D17" s="213">
        <v>53</v>
      </c>
      <c r="E17" s="213">
        <v>19</v>
      </c>
      <c r="F17" s="213">
        <v>8</v>
      </c>
      <c r="G17" s="213" t="s">
        <v>1</v>
      </c>
      <c r="H17" s="213">
        <v>16</v>
      </c>
      <c r="I17" s="429">
        <v>11</v>
      </c>
      <c r="J17" s="429">
        <v>10</v>
      </c>
      <c r="K17" s="429">
        <v>12</v>
      </c>
      <c r="L17" s="429" t="s">
        <v>1</v>
      </c>
      <c r="M17" s="429" t="s">
        <v>1</v>
      </c>
      <c r="N17" s="429" t="s">
        <v>1</v>
      </c>
      <c r="O17" s="429" t="s">
        <v>1</v>
      </c>
      <c r="P17" s="429" t="s">
        <v>1</v>
      </c>
    </row>
    <row r="18" spans="1:16" ht="15.95" customHeight="1" x14ac:dyDescent="0.25">
      <c r="A18" s="420" t="s">
        <v>274</v>
      </c>
      <c r="B18" s="45">
        <v>5</v>
      </c>
      <c r="C18" s="213" t="s">
        <v>1</v>
      </c>
      <c r="D18" s="213">
        <v>2</v>
      </c>
      <c r="E18" s="213" t="s">
        <v>1</v>
      </c>
      <c r="F18" s="213">
        <v>3</v>
      </c>
      <c r="G18" s="213" t="s">
        <v>1</v>
      </c>
      <c r="H18" s="213" t="s">
        <v>1</v>
      </c>
      <c r="I18" s="429" t="s">
        <v>1</v>
      </c>
      <c r="J18" s="429" t="s">
        <v>1</v>
      </c>
      <c r="K18" s="429" t="s">
        <v>1</v>
      </c>
      <c r="L18" s="429" t="s">
        <v>1</v>
      </c>
      <c r="M18" s="429" t="s">
        <v>1</v>
      </c>
      <c r="N18" s="429" t="s">
        <v>1</v>
      </c>
      <c r="O18" s="429" t="s">
        <v>1</v>
      </c>
      <c r="P18" s="429" t="s">
        <v>1</v>
      </c>
    </row>
    <row r="19" spans="1:16" ht="15.95" customHeight="1" x14ac:dyDescent="0.25">
      <c r="A19" s="420" t="s">
        <v>247</v>
      </c>
      <c r="B19" s="47" t="s">
        <v>1</v>
      </c>
      <c r="C19" s="213">
        <v>7</v>
      </c>
      <c r="D19" s="213" t="s">
        <v>1</v>
      </c>
      <c r="E19" s="213" t="s">
        <v>1</v>
      </c>
      <c r="F19" s="213" t="s">
        <v>1</v>
      </c>
      <c r="G19" s="213" t="s">
        <v>1</v>
      </c>
      <c r="H19" s="213" t="s">
        <v>1</v>
      </c>
      <c r="I19" s="429" t="s">
        <v>1</v>
      </c>
      <c r="J19" s="429" t="s">
        <v>1</v>
      </c>
      <c r="K19" s="429" t="s">
        <v>1</v>
      </c>
      <c r="L19" s="429" t="s">
        <v>1</v>
      </c>
      <c r="M19" s="429" t="s">
        <v>1</v>
      </c>
      <c r="N19" s="429" t="s">
        <v>1</v>
      </c>
      <c r="O19" s="429" t="s">
        <v>1</v>
      </c>
      <c r="P19" s="429" t="s">
        <v>1</v>
      </c>
    </row>
    <row r="20" spans="1:16" s="55" customFormat="1" ht="12.75" hidden="1" customHeight="1" x14ac:dyDescent="0.25">
      <c r="A20" s="422" t="s">
        <v>273</v>
      </c>
      <c r="B20" s="432" t="s">
        <v>1</v>
      </c>
      <c r="C20" s="212" t="s">
        <v>1</v>
      </c>
      <c r="D20" s="212" t="s">
        <v>1</v>
      </c>
      <c r="E20" s="212" t="s">
        <v>1</v>
      </c>
      <c r="F20" s="212" t="s">
        <v>1</v>
      </c>
      <c r="G20" s="212" t="s">
        <v>1</v>
      </c>
      <c r="H20" s="212" t="s">
        <v>1</v>
      </c>
      <c r="I20" s="433" t="s">
        <v>1</v>
      </c>
      <c r="J20" s="433" t="s">
        <v>1</v>
      </c>
      <c r="K20" s="433" t="s">
        <v>1</v>
      </c>
      <c r="L20" s="433" t="s">
        <v>1</v>
      </c>
      <c r="M20" s="433" t="s">
        <v>1</v>
      </c>
      <c r="N20" s="433" t="s">
        <v>1</v>
      </c>
      <c r="O20" s="433">
        <v>1</v>
      </c>
      <c r="P20" s="433" t="s">
        <v>1</v>
      </c>
    </row>
    <row r="21" spans="1:16" ht="15.95" customHeight="1" x14ac:dyDescent="0.25">
      <c r="A21" s="420" t="s">
        <v>246</v>
      </c>
      <c r="B21" s="47">
        <v>12</v>
      </c>
      <c r="C21" s="213">
        <v>15</v>
      </c>
      <c r="D21" s="213" t="s">
        <v>1</v>
      </c>
      <c r="E21" s="213">
        <v>15</v>
      </c>
      <c r="F21" s="213" t="s">
        <v>1</v>
      </c>
      <c r="G21" s="213" t="s">
        <v>1</v>
      </c>
      <c r="H21" s="213" t="s">
        <v>1</v>
      </c>
      <c r="I21" s="429">
        <v>1</v>
      </c>
      <c r="J21" s="429">
        <v>3</v>
      </c>
      <c r="K21" s="429" t="s">
        <v>1</v>
      </c>
      <c r="L21" s="429">
        <v>3</v>
      </c>
      <c r="M21" s="429">
        <v>6</v>
      </c>
      <c r="N21" s="429" t="s">
        <v>1</v>
      </c>
      <c r="O21" s="429">
        <v>2</v>
      </c>
      <c r="P21" s="429" t="s">
        <v>1</v>
      </c>
    </row>
    <row r="22" spans="1:16" s="55" customFormat="1" ht="12.75" hidden="1" customHeight="1" x14ac:dyDescent="0.25">
      <c r="A22" s="422" t="s">
        <v>272</v>
      </c>
      <c r="B22" s="432" t="s">
        <v>1</v>
      </c>
      <c r="C22" s="212" t="s">
        <v>1</v>
      </c>
      <c r="D22" s="212">
        <v>1</v>
      </c>
      <c r="E22" s="212" t="s">
        <v>1</v>
      </c>
      <c r="F22" s="212" t="s">
        <v>1</v>
      </c>
      <c r="G22" s="212" t="s">
        <v>1</v>
      </c>
      <c r="H22" s="212" t="s">
        <v>1</v>
      </c>
      <c r="I22" s="433" t="s">
        <v>1</v>
      </c>
      <c r="J22" s="433" t="s">
        <v>1</v>
      </c>
      <c r="K22" s="433" t="s">
        <v>1</v>
      </c>
      <c r="L22" s="433" t="s">
        <v>1</v>
      </c>
      <c r="M22" s="433" t="s">
        <v>1</v>
      </c>
      <c r="N22" s="433" t="s">
        <v>1</v>
      </c>
      <c r="O22" s="433" t="s">
        <v>1</v>
      </c>
      <c r="P22" s="433" t="s">
        <v>1</v>
      </c>
    </row>
    <row r="23" spans="1:16" ht="15.95" customHeight="1" x14ac:dyDescent="0.25">
      <c r="A23" s="420" t="s">
        <v>271</v>
      </c>
      <c r="B23" s="47" t="s">
        <v>1</v>
      </c>
      <c r="C23" s="213" t="s">
        <v>1</v>
      </c>
      <c r="D23" s="213">
        <v>6</v>
      </c>
      <c r="E23" s="213" t="s">
        <v>1</v>
      </c>
      <c r="F23" s="213">
        <v>16</v>
      </c>
      <c r="G23" s="213">
        <v>8</v>
      </c>
      <c r="H23" s="213" t="s">
        <v>1</v>
      </c>
      <c r="I23" s="429">
        <v>7</v>
      </c>
      <c r="J23" s="429">
        <v>2</v>
      </c>
      <c r="K23" s="429" t="s">
        <v>1</v>
      </c>
      <c r="L23" s="429">
        <v>8</v>
      </c>
      <c r="M23" s="429">
        <v>14</v>
      </c>
      <c r="N23" s="429" t="s">
        <v>1</v>
      </c>
      <c r="O23" s="429" t="s">
        <v>1</v>
      </c>
      <c r="P23" s="429" t="s">
        <v>1</v>
      </c>
    </row>
    <row r="24" spans="1:16" ht="15.95" customHeight="1" x14ac:dyDescent="0.25">
      <c r="A24" s="420" t="s">
        <v>244</v>
      </c>
      <c r="B24" s="47">
        <v>10</v>
      </c>
      <c r="C24" s="213" t="s">
        <v>1</v>
      </c>
      <c r="D24" s="213" t="s">
        <v>1</v>
      </c>
      <c r="E24" s="213" t="s">
        <v>1</v>
      </c>
      <c r="F24" s="213" t="s">
        <v>1</v>
      </c>
      <c r="G24" s="213" t="s">
        <v>1</v>
      </c>
      <c r="H24" s="213" t="s">
        <v>1</v>
      </c>
      <c r="I24" s="429">
        <v>6</v>
      </c>
      <c r="J24" s="429" t="s">
        <v>1</v>
      </c>
      <c r="K24" s="429" t="s">
        <v>1</v>
      </c>
      <c r="L24" s="429">
        <v>1</v>
      </c>
      <c r="M24" s="429" t="s">
        <v>1</v>
      </c>
      <c r="N24" s="429">
        <v>8</v>
      </c>
      <c r="O24" s="429" t="s">
        <v>1</v>
      </c>
      <c r="P24" s="429">
        <v>30</v>
      </c>
    </row>
    <row r="25" spans="1:16" s="54" customFormat="1" ht="12.75" hidden="1" customHeight="1" x14ac:dyDescent="0.25">
      <c r="A25" s="421" t="s">
        <v>270</v>
      </c>
      <c r="B25" s="434" t="s">
        <v>1</v>
      </c>
      <c r="C25" s="430">
        <v>8</v>
      </c>
      <c r="D25" s="430">
        <v>12</v>
      </c>
      <c r="E25" s="430" t="s">
        <v>1</v>
      </c>
      <c r="F25" s="430" t="s">
        <v>1</v>
      </c>
      <c r="G25" s="430" t="s">
        <v>1</v>
      </c>
      <c r="H25" s="430" t="s">
        <v>1</v>
      </c>
      <c r="I25" s="431" t="s">
        <v>1</v>
      </c>
      <c r="J25" s="431" t="s">
        <v>1</v>
      </c>
      <c r="K25" s="431" t="s">
        <v>1</v>
      </c>
      <c r="L25" s="431" t="s">
        <v>1</v>
      </c>
      <c r="M25" s="431" t="s">
        <v>1</v>
      </c>
      <c r="N25" s="431" t="s">
        <v>1</v>
      </c>
      <c r="O25" s="431" t="s">
        <v>1</v>
      </c>
      <c r="P25" s="431"/>
    </row>
    <row r="26" spans="1:16" s="54" customFormat="1" ht="12.75" hidden="1" customHeight="1" x14ac:dyDescent="0.25">
      <c r="A26" s="421" t="s">
        <v>269</v>
      </c>
      <c r="B26" s="434" t="s">
        <v>1</v>
      </c>
      <c r="C26" s="430" t="s">
        <v>1</v>
      </c>
      <c r="D26" s="430">
        <v>11</v>
      </c>
      <c r="E26" s="430" t="s">
        <v>1</v>
      </c>
      <c r="F26" s="430" t="s">
        <v>1</v>
      </c>
      <c r="G26" s="430" t="s">
        <v>1</v>
      </c>
      <c r="H26" s="430" t="s">
        <v>1</v>
      </c>
      <c r="I26" s="431" t="s">
        <v>1</v>
      </c>
      <c r="J26" s="431" t="s">
        <v>1</v>
      </c>
      <c r="K26" s="431" t="s">
        <v>1</v>
      </c>
      <c r="L26" s="431" t="s">
        <v>1</v>
      </c>
      <c r="M26" s="431" t="s">
        <v>1</v>
      </c>
      <c r="N26" s="431" t="s">
        <v>1</v>
      </c>
      <c r="O26" s="431" t="s">
        <v>1</v>
      </c>
      <c r="P26" s="431"/>
    </row>
    <row r="27" spans="1:16" s="54" customFormat="1" ht="12.75" hidden="1" customHeight="1" x14ac:dyDescent="0.25">
      <c r="A27" s="421" t="s">
        <v>268</v>
      </c>
      <c r="B27" s="434" t="s">
        <v>1</v>
      </c>
      <c r="C27" s="430" t="s">
        <v>1</v>
      </c>
      <c r="D27" s="430">
        <v>1</v>
      </c>
      <c r="E27" s="430">
        <v>1</v>
      </c>
      <c r="F27" s="430" t="s">
        <v>1</v>
      </c>
      <c r="G27" s="430" t="s">
        <v>1</v>
      </c>
      <c r="H27" s="430" t="s">
        <v>1</v>
      </c>
      <c r="I27" s="431" t="s">
        <v>1</v>
      </c>
      <c r="J27" s="431" t="s">
        <v>1</v>
      </c>
      <c r="K27" s="431" t="s">
        <v>1</v>
      </c>
      <c r="L27" s="431" t="s">
        <v>1</v>
      </c>
      <c r="M27" s="431" t="s">
        <v>1</v>
      </c>
      <c r="N27" s="431" t="s">
        <v>1</v>
      </c>
      <c r="O27" s="431" t="s">
        <v>1</v>
      </c>
      <c r="P27" s="431"/>
    </row>
    <row r="28" spans="1:16" ht="15.95" customHeight="1" x14ac:dyDescent="0.25">
      <c r="A28" s="420" t="s">
        <v>251</v>
      </c>
      <c r="B28" s="47" t="s">
        <v>1</v>
      </c>
      <c r="C28" s="213" t="s">
        <v>1</v>
      </c>
      <c r="D28" s="213" t="s">
        <v>1</v>
      </c>
      <c r="E28" s="213" t="s">
        <v>1</v>
      </c>
      <c r="F28" s="213" t="s">
        <v>1</v>
      </c>
      <c r="G28" s="213" t="s">
        <v>1</v>
      </c>
      <c r="H28" s="213">
        <v>5</v>
      </c>
      <c r="I28" s="429" t="s">
        <v>1</v>
      </c>
      <c r="J28" s="429" t="s">
        <v>1</v>
      </c>
      <c r="K28" s="429" t="s">
        <v>1</v>
      </c>
      <c r="L28" s="429" t="s">
        <v>1</v>
      </c>
      <c r="M28" s="429" t="s">
        <v>1</v>
      </c>
      <c r="N28" s="429" t="s">
        <v>1</v>
      </c>
      <c r="O28" s="429">
        <v>4</v>
      </c>
      <c r="P28" s="429" t="s">
        <v>1</v>
      </c>
    </row>
    <row r="29" spans="1:16" s="54" customFormat="1" ht="12.75" hidden="1" customHeight="1" x14ac:dyDescent="0.25">
      <c r="A29" s="421" t="s">
        <v>267</v>
      </c>
      <c r="B29" s="434" t="s">
        <v>1</v>
      </c>
      <c r="C29" s="430">
        <v>12</v>
      </c>
      <c r="D29" s="430" t="s">
        <v>1</v>
      </c>
      <c r="E29" s="430" t="s">
        <v>1</v>
      </c>
      <c r="F29" s="430" t="s">
        <v>1</v>
      </c>
      <c r="G29" s="430" t="s">
        <v>1</v>
      </c>
      <c r="H29" s="430" t="s">
        <v>1</v>
      </c>
      <c r="I29" s="431" t="s">
        <v>1</v>
      </c>
      <c r="J29" s="431" t="s">
        <v>1</v>
      </c>
      <c r="K29" s="431" t="s">
        <v>1</v>
      </c>
      <c r="L29" s="431" t="s">
        <v>1</v>
      </c>
      <c r="M29" s="431" t="s">
        <v>1</v>
      </c>
      <c r="N29" s="431" t="s">
        <v>1</v>
      </c>
      <c r="O29" s="431" t="s">
        <v>1</v>
      </c>
      <c r="P29" s="431" t="s">
        <v>1</v>
      </c>
    </row>
    <row r="30" spans="1:16" s="54" customFormat="1" ht="12.75" hidden="1" customHeight="1" x14ac:dyDescent="0.25">
      <c r="A30" s="421" t="s">
        <v>266</v>
      </c>
      <c r="B30" s="434">
        <v>1</v>
      </c>
      <c r="C30" s="430" t="s">
        <v>1</v>
      </c>
      <c r="D30" s="430" t="s">
        <v>1</v>
      </c>
      <c r="E30" s="430" t="s">
        <v>1</v>
      </c>
      <c r="F30" s="430" t="s">
        <v>1</v>
      </c>
      <c r="G30" s="430" t="s">
        <v>1</v>
      </c>
      <c r="H30" s="430" t="s">
        <v>1</v>
      </c>
      <c r="I30" s="431" t="s">
        <v>1</v>
      </c>
      <c r="J30" s="431" t="s">
        <v>1</v>
      </c>
      <c r="K30" s="431" t="s">
        <v>1</v>
      </c>
      <c r="L30" s="431" t="s">
        <v>1</v>
      </c>
      <c r="M30" s="431" t="s">
        <v>1</v>
      </c>
      <c r="N30" s="431" t="s">
        <v>1</v>
      </c>
      <c r="O30" s="431" t="s">
        <v>1</v>
      </c>
      <c r="P30" s="431" t="s">
        <v>1</v>
      </c>
    </row>
    <row r="31" spans="1:16" s="54" customFormat="1" ht="12.75" hidden="1" customHeight="1" x14ac:dyDescent="0.25">
      <c r="A31" s="421" t="s">
        <v>265</v>
      </c>
      <c r="B31" s="434" t="s">
        <v>1</v>
      </c>
      <c r="C31" s="430" t="s">
        <v>1</v>
      </c>
      <c r="D31" s="430" t="s">
        <v>1</v>
      </c>
      <c r="E31" s="430">
        <v>2</v>
      </c>
      <c r="F31" s="430" t="s">
        <v>1</v>
      </c>
      <c r="G31" s="430" t="s">
        <v>1</v>
      </c>
      <c r="H31" s="430" t="s">
        <v>1</v>
      </c>
      <c r="I31" s="431" t="s">
        <v>1</v>
      </c>
      <c r="J31" s="431" t="s">
        <v>1</v>
      </c>
      <c r="K31" s="431" t="s">
        <v>1</v>
      </c>
      <c r="L31" s="431" t="s">
        <v>1</v>
      </c>
      <c r="M31" s="431" t="s">
        <v>1</v>
      </c>
      <c r="N31" s="431" t="s">
        <v>1</v>
      </c>
      <c r="O31" s="431" t="s">
        <v>1</v>
      </c>
      <c r="P31" s="431" t="s">
        <v>1</v>
      </c>
    </row>
    <row r="32" spans="1:16" s="54" customFormat="1" ht="12.75" hidden="1" customHeight="1" x14ac:dyDescent="0.25">
      <c r="A32" s="421" t="s">
        <v>264</v>
      </c>
      <c r="B32" s="434" t="s">
        <v>1</v>
      </c>
      <c r="C32" s="430" t="s">
        <v>1</v>
      </c>
      <c r="D32" s="430" t="s">
        <v>1</v>
      </c>
      <c r="E32" s="430">
        <v>1</v>
      </c>
      <c r="F32" s="430" t="s">
        <v>1</v>
      </c>
      <c r="G32" s="430" t="s">
        <v>1</v>
      </c>
      <c r="H32" s="430" t="s">
        <v>1</v>
      </c>
      <c r="I32" s="431" t="s">
        <v>1</v>
      </c>
      <c r="J32" s="431" t="s">
        <v>1</v>
      </c>
      <c r="K32" s="431" t="s">
        <v>1</v>
      </c>
      <c r="L32" s="431" t="s">
        <v>1</v>
      </c>
      <c r="M32" s="431" t="s">
        <v>1</v>
      </c>
      <c r="N32" s="431" t="s">
        <v>1</v>
      </c>
      <c r="O32" s="431" t="s">
        <v>1</v>
      </c>
      <c r="P32" s="431" t="s">
        <v>1</v>
      </c>
    </row>
    <row r="33" spans="1:16" ht="15.95" customHeight="1" x14ac:dyDescent="0.25">
      <c r="A33" s="420" t="s">
        <v>263</v>
      </c>
      <c r="B33" s="47" t="s">
        <v>1</v>
      </c>
      <c r="C33" s="213" t="s">
        <v>1</v>
      </c>
      <c r="D33" s="213">
        <v>6</v>
      </c>
      <c r="E33" s="213" t="s">
        <v>1</v>
      </c>
      <c r="F33" s="213" t="s">
        <v>1</v>
      </c>
      <c r="G33" s="213" t="s">
        <v>1</v>
      </c>
      <c r="H33" s="213">
        <v>33</v>
      </c>
      <c r="I33" s="429" t="s">
        <v>1</v>
      </c>
      <c r="J33" s="429" t="s">
        <v>1</v>
      </c>
      <c r="K33" s="429" t="s">
        <v>1</v>
      </c>
      <c r="L33" s="429" t="s">
        <v>1</v>
      </c>
      <c r="M33" s="429">
        <v>10</v>
      </c>
      <c r="N33" s="429">
        <v>52</v>
      </c>
      <c r="O33" s="429" t="s">
        <v>1</v>
      </c>
      <c r="P33" s="429" t="s">
        <v>1</v>
      </c>
    </row>
    <row r="34" spans="1:16" s="55" customFormat="1" ht="12.75" hidden="1" customHeight="1" x14ac:dyDescent="0.25">
      <c r="A34" s="422" t="s">
        <v>262</v>
      </c>
      <c r="B34" s="432" t="s">
        <v>1</v>
      </c>
      <c r="C34" s="212" t="s">
        <v>1</v>
      </c>
      <c r="D34" s="212" t="s">
        <v>1</v>
      </c>
      <c r="E34" s="212">
        <v>22</v>
      </c>
      <c r="F34" s="212" t="s">
        <v>1</v>
      </c>
      <c r="G34" s="212" t="s">
        <v>1</v>
      </c>
      <c r="H34" s="212" t="s">
        <v>1</v>
      </c>
      <c r="I34" s="433" t="s">
        <v>1</v>
      </c>
      <c r="J34" s="433" t="s">
        <v>1</v>
      </c>
      <c r="K34" s="433" t="s">
        <v>1</v>
      </c>
      <c r="L34" s="433" t="s">
        <v>1</v>
      </c>
      <c r="M34" s="433" t="s">
        <v>1</v>
      </c>
      <c r="N34" s="433" t="s">
        <v>1</v>
      </c>
      <c r="O34" s="433" t="s">
        <v>1</v>
      </c>
      <c r="P34" s="433" t="s">
        <v>1</v>
      </c>
    </row>
    <row r="35" spans="1:16" ht="15.95" customHeight="1" x14ac:dyDescent="0.25">
      <c r="A35" s="420" t="s">
        <v>261</v>
      </c>
      <c r="B35" s="47" t="s">
        <v>1</v>
      </c>
      <c r="C35" s="213" t="s">
        <v>1</v>
      </c>
      <c r="D35" s="213" t="s">
        <v>1</v>
      </c>
      <c r="E35" s="213" t="s">
        <v>1</v>
      </c>
      <c r="F35" s="213" t="s">
        <v>1</v>
      </c>
      <c r="G35" s="213" t="s">
        <v>1</v>
      </c>
      <c r="H35" s="213" t="s">
        <v>1</v>
      </c>
      <c r="I35" s="429">
        <v>1</v>
      </c>
      <c r="J35" s="429" t="s">
        <v>1</v>
      </c>
      <c r="K35" s="429" t="s">
        <v>1</v>
      </c>
      <c r="L35" s="429">
        <v>12</v>
      </c>
      <c r="M35" s="429" t="s">
        <v>1</v>
      </c>
      <c r="N35" s="429" t="s">
        <v>1</v>
      </c>
      <c r="O35" s="429" t="s">
        <v>1</v>
      </c>
      <c r="P35" s="429" t="s">
        <v>1</v>
      </c>
    </row>
    <row r="36" spans="1:16" s="55" customFormat="1" ht="12.75" hidden="1" customHeight="1" x14ac:dyDescent="0.25">
      <c r="A36" s="422" t="s">
        <v>260</v>
      </c>
      <c r="B36" s="432" t="s">
        <v>1</v>
      </c>
      <c r="C36" s="212" t="s">
        <v>1</v>
      </c>
      <c r="D36" s="212" t="s">
        <v>1</v>
      </c>
      <c r="E36" s="212" t="s">
        <v>1</v>
      </c>
      <c r="F36" s="212">
        <v>1</v>
      </c>
      <c r="G36" s="212" t="s">
        <v>1</v>
      </c>
      <c r="H36" s="212" t="s">
        <v>1</v>
      </c>
      <c r="I36" s="433" t="s">
        <v>1</v>
      </c>
      <c r="J36" s="433" t="s">
        <v>1</v>
      </c>
      <c r="K36" s="433" t="s">
        <v>1</v>
      </c>
      <c r="L36" s="433" t="s">
        <v>1</v>
      </c>
      <c r="M36" s="433" t="s">
        <v>1</v>
      </c>
      <c r="N36" s="433" t="s">
        <v>1</v>
      </c>
      <c r="O36" s="433" t="s">
        <v>1</v>
      </c>
      <c r="P36" s="433" t="s">
        <v>1</v>
      </c>
    </row>
    <row r="37" spans="1:16" ht="15.95" customHeight="1" x14ac:dyDescent="0.25">
      <c r="A37" s="420" t="s">
        <v>259</v>
      </c>
      <c r="B37" s="47" t="s">
        <v>1</v>
      </c>
      <c r="C37" s="213" t="s">
        <v>1</v>
      </c>
      <c r="D37" s="213" t="s">
        <v>1</v>
      </c>
      <c r="E37" s="213" t="s">
        <v>1</v>
      </c>
      <c r="F37" s="213" t="s">
        <v>1</v>
      </c>
      <c r="G37" s="213" t="s">
        <v>1</v>
      </c>
      <c r="H37" s="213" t="s">
        <v>1</v>
      </c>
      <c r="I37" s="429">
        <v>25</v>
      </c>
      <c r="J37" s="429" t="s">
        <v>1</v>
      </c>
      <c r="K37" s="429" t="s">
        <v>1</v>
      </c>
      <c r="L37" s="429" t="s">
        <v>1</v>
      </c>
      <c r="M37" s="429" t="s">
        <v>1</v>
      </c>
      <c r="N37" s="429" t="s">
        <v>1</v>
      </c>
      <c r="O37" s="429" t="s">
        <v>1</v>
      </c>
      <c r="P37" s="429" t="s">
        <v>1</v>
      </c>
    </row>
    <row r="38" spans="1:16" ht="15.95" customHeight="1" x14ac:dyDescent="0.25">
      <c r="A38" s="420" t="s">
        <v>258</v>
      </c>
      <c r="B38" s="47" t="s">
        <v>1</v>
      </c>
      <c r="C38" s="213" t="s">
        <v>1</v>
      </c>
      <c r="D38" s="213" t="s">
        <v>1</v>
      </c>
      <c r="E38" s="213" t="s">
        <v>1</v>
      </c>
      <c r="F38" s="213" t="s">
        <v>1</v>
      </c>
      <c r="G38" s="213" t="s">
        <v>1</v>
      </c>
      <c r="H38" s="213" t="s">
        <v>1</v>
      </c>
      <c r="I38" s="429" t="s">
        <v>1</v>
      </c>
      <c r="J38" s="429" t="s">
        <v>1</v>
      </c>
      <c r="K38" s="429" t="s">
        <v>1</v>
      </c>
      <c r="L38" s="429" t="s">
        <v>1</v>
      </c>
      <c r="M38" s="429" t="s">
        <v>1</v>
      </c>
      <c r="N38" s="429" t="s">
        <v>1</v>
      </c>
      <c r="O38" s="429" t="s">
        <v>1</v>
      </c>
      <c r="P38" s="429">
        <v>1</v>
      </c>
    </row>
    <row r="39" spans="1:16" ht="15.95" customHeight="1" x14ac:dyDescent="0.25">
      <c r="A39" s="420" t="s">
        <v>257</v>
      </c>
      <c r="B39" s="47" t="s">
        <v>1</v>
      </c>
      <c r="C39" s="213" t="s">
        <v>1</v>
      </c>
      <c r="D39" s="213" t="s">
        <v>1</v>
      </c>
      <c r="E39" s="213" t="s">
        <v>1</v>
      </c>
      <c r="F39" s="213" t="s">
        <v>1</v>
      </c>
      <c r="G39" s="213" t="s">
        <v>1</v>
      </c>
      <c r="H39" s="213" t="s">
        <v>1</v>
      </c>
      <c r="I39" s="429">
        <v>1</v>
      </c>
      <c r="J39" s="429" t="s">
        <v>1</v>
      </c>
      <c r="K39" s="429" t="s">
        <v>1</v>
      </c>
      <c r="L39" s="429" t="s">
        <v>1</v>
      </c>
      <c r="M39" s="429" t="s">
        <v>1</v>
      </c>
      <c r="N39" s="429" t="s">
        <v>1</v>
      </c>
      <c r="O39" s="429" t="s">
        <v>1</v>
      </c>
      <c r="P39" s="429" t="s">
        <v>1</v>
      </c>
    </row>
    <row r="40" spans="1:16" ht="15.95" customHeight="1" x14ac:dyDescent="0.25">
      <c r="A40" s="420" t="s">
        <v>256</v>
      </c>
      <c r="B40" s="47" t="s">
        <v>1</v>
      </c>
      <c r="C40" s="213" t="s">
        <v>1</v>
      </c>
      <c r="D40" s="213" t="s">
        <v>1</v>
      </c>
      <c r="E40" s="213" t="s">
        <v>1</v>
      </c>
      <c r="F40" s="213" t="s">
        <v>1</v>
      </c>
      <c r="G40" s="213" t="s">
        <v>1</v>
      </c>
      <c r="H40" s="213" t="s">
        <v>1</v>
      </c>
      <c r="I40" s="429">
        <v>3</v>
      </c>
      <c r="J40" s="429" t="s">
        <v>1</v>
      </c>
      <c r="K40" s="429" t="s">
        <v>1</v>
      </c>
      <c r="L40" s="429" t="s">
        <v>1</v>
      </c>
      <c r="M40" s="429" t="s">
        <v>1</v>
      </c>
      <c r="N40" s="429" t="s">
        <v>1</v>
      </c>
      <c r="O40" s="429" t="s">
        <v>1</v>
      </c>
      <c r="P40" s="429">
        <v>5</v>
      </c>
    </row>
    <row r="41" spans="1:16" ht="15.95" customHeight="1" x14ac:dyDescent="0.25">
      <c r="A41" s="420" t="s">
        <v>255</v>
      </c>
      <c r="B41" s="47" t="s">
        <v>1</v>
      </c>
      <c r="C41" s="213" t="s">
        <v>1</v>
      </c>
      <c r="D41" s="213" t="s">
        <v>1</v>
      </c>
      <c r="E41" s="213" t="s">
        <v>1</v>
      </c>
      <c r="F41" s="213" t="s">
        <v>1</v>
      </c>
      <c r="G41" s="213" t="s">
        <v>1</v>
      </c>
      <c r="H41" s="213" t="s">
        <v>1</v>
      </c>
      <c r="I41" s="429">
        <v>8</v>
      </c>
      <c r="J41" s="429" t="s">
        <v>1</v>
      </c>
      <c r="K41" s="429" t="s">
        <v>1</v>
      </c>
      <c r="L41" s="429" t="s">
        <v>1</v>
      </c>
      <c r="M41" s="429" t="s">
        <v>1</v>
      </c>
      <c r="N41" s="429" t="s">
        <v>1</v>
      </c>
      <c r="O41" s="429" t="s">
        <v>1</v>
      </c>
      <c r="P41" s="429" t="s">
        <v>1</v>
      </c>
    </row>
    <row r="42" spans="1:16" ht="15.95" customHeight="1" x14ac:dyDescent="0.25">
      <c r="A42" s="420" t="s">
        <v>254</v>
      </c>
      <c r="B42" s="47" t="s">
        <v>1</v>
      </c>
      <c r="C42" s="213" t="s">
        <v>1</v>
      </c>
      <c r="D42" s="213" t="s">
        <v>1</v>
      </c>
      <c r="E42" s="213" t="s">
        <v>1</v>
      </c>
      <c r="F42" s="213" t="s">
        <v>1</v>
      </c>
      <c r="G42" s="213" t="s">
        <v>1</v>
      </c>
      <c r="H42" s="213">
        <v>22</v>
      </c>
      <c r="I42" s="429" t="s">
        <v>1</v>
      </c>
      <c r="J42" s="429" t="s">
        <v>1</v>
      </c>
      <c r="K42" s="429" t="s">
        <v>1</v>
      </c>
      <c r="L42" s="429" t="s">
        <v>1</v>
      </c>
      <c r="M42" s="429" t="s">
        <v>1</v>
      </c>
      <c r="N42" s="429" t="s">
        <v>1</v>
      </c>
      <c r="O42" s="429" t="s">
        <v>1</v>
      </c>
      <c r="P42" s="429" t="s">
        <v>1</v>
      </c>
    </row>
    <row r="43" spans="1:16" ht="15.95" customHeight="1" x14ac:dyDescent="0.25">
      <c r="A43" s="420" t="s">
        <v>385</v>
      </c>
      <c r="B43" s="47"/>
      <c r="C43" s="213"/>
      <c r="D43" s="213"/>
      <c r="E43" s="213"/>
      <c r="F43" s="213"/>
      <c r="G43" s="213" t="s">
        <v>1</v>
      </c>
      <c r="H43" s="213" t="s">
        <v>1</v>
      </c>
      <c r="I43" s="429" t="s">
        <v>1</v>
      </c>
      <c r="J43" s="429" t="s">
        <v>1</v>
      </c>
      <c r="K43" s="429" t="s">
        <v>1</v>
      </c>
      <c r="L43" s="429" t="s">
        <v>1</v>
      </c>
      <c r="M43" s="429" t="s">
        <v>1</v>
      </c>
      <c r="N43" s="429" t="s">
        <v>1</v>
      </c>
      <c r="O43" s="429" t="s">
        <v>1</v>
      </c>
      <c r="P43" s="429">
        <v>8</v>
      </c>
    </row>
    <row r="44" spans="1:16" ht="15.95" customHeight="1" x14ac:dyDescent="0.25">
      <c r="A44" s="435" t="s">
        <v>386</v>
      </c>
      <c r="B44" s="436"/>
      <c r="C44" s="216"/>
      <c r="D44" s="216"/>
      <c r="E44" s="216"/>
      <c r="F44" s="216"/>
      <c r="G44" s="216" t="s">
        <v>1</v>
      </c>
      <c r="H44" s="216" t="s">
        <v>1</v>
      </c>
      <c r="I44" s="423" t="s">
        <v>1</v>
      </c>
      <c r="J44" s="423" t="s">
        <v>1</v>
      </c>
      <c r="K44" s="423" t="s">
        <v>1</v>
      </c>
      <c r="L44" s="423" t="s">
        <v>1</v>
      </c>
      <c r="M44" s="423" t="s">
        <v>1</v>
      </c>
      <c r="N44" s="423" t="s">
        <v>1</v>
      </c>
      <c r="O44" s="423" t="s">
        <v>1</v>
      </c>
      <c r="P44" s="423">
        <v>6</v>
      </c>
    </row>
    <row r="45" spans="1:16" s="17" customFormat="1" ht="12" customHeight="1" x14ac:dyDescent="0.25">
      <c r="A45" s="177" t="s">
        <v>308</v>
      </c>
      <c r="B45" s="16"/>
      <c r="C45" s="2"/>
      <c r="D45" s="2"/>
      <c r="E45" s="2"/>
      <c r="F45" s="2"/>
      <c r="G45" s="2"/>
      <c r="H45" s="2"/>
      <c r="I45" s="18"/>
      <c r="J45" s="18"/>
      <c r="K45" s="18"/>
      <c r="L45" s="18"/>
      <c r="M45" s="18"/>
      <c r="N45" s="18"/>
      <c r="O45" s="18"/>
    </row>
    <row r="46" spans="1:16" s="17" customFormat="1" ht="12" customHeight="1" x14ac:dyDescent="0.25">
      <c r="A46" s="19" t="s">
        <v>0</v>
      </c>
      <c r="B46" s="178"/>
      <c r="C46" s="178"/>
      <c r="D46" s="178"/>
      <c r="E46" s="178"/>
      <c r="F46" s="178"/>
    </row>
    <row r="48" spans="1:16" ht="12.75" customHeight="1" x14ac:dyDescent="0.25">
      <c r="F48" s="56"/>
      <c r="G48" s="56"/>
      <c r="H48" s="56"/>
      <c r="I48" s="56"/>
      <c r="J48" s="56"/>
      <c r="K48" s="56"/>
      <c r="L48" s="56"/>
      <c r="M48" s="56"/>
      <c r="N48" s="56"/>
      <c r="O48" s="56"/>
    </row>
  </sheetData>
  <mergeCells count="2">
    <mergeCell ref="A1:P1"/>
    <mergeCell ref="A2:P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7"/>
  <sheetViews>
    <sheetView showGridLines="0" zoomScaleNormal="100" zoomScaleSheetLayoutView="160" workbookViewId="0">
      <pane xSplit="2" ySplit="5" topLeftCell="G6" activePane="bottomRight" state="frozen"/>
      <selection activeCell="A39" sqref="A39:J39"/>
      <selection pane="topRight" activeCell="A39" sqref="A39:J39"/>
      <selection pane="bottomLeft" activeCell="A39" sqref="A39:J39"/>
      <selection pane="bottomRight" activeCell="A2" sqref="A2:Q2"/>
    </sheetView>
  </sheetViews>
  <sheetFormatPr baseColWidth="10" defaultColWidth="8.7109375" defaultRowHeight="12.75" customHeight="1" x14ac:dyDescent="0.25"/>
  <cols>
    <col min="1" max="1" width="21.28515625" style="45" customWidth="1"/>
    <col min="2" max="2" width="6.7109375" style="45" hidden="1" customWidth="1"/>
    <col min="3" max="4" width="6.7109375" style="55" hidden="1" customWidth="1"/>
    <col min="5" max="6" width="6.7109375" style="45" hidden="1" customWidth="1"/>
    <col min="7" max="17" width="6.85546875" style="45" customWidth="1"/>
    <col min="18" max="235" width="8.7109375" style="45"/>
    <col min="236" max="236" width="15.28515625" style="45" customWidth="1"/>
    <col min="237" max="237" width="7.28515625" style="45" customWidth="1"/>
    <col min="238" max="246" width="6.7109375" style="45" customWidth="1"/>
    <col min="247" max="247" width="7.28515625" style="45" customWidth="1"/>
    <col min="248" max="248" width="8.7109375" style="45" customWidth="1"/>
    <col min="249" max="249" width="7.7109375" style="45" customWidth="1"/>
    <col min="250" max="491" width="8.7109375" style="45"/>
    <col min="492" max="492" width="15.28515625" style="45" customWidth="1"/>
    <col min="493" max="493" width="7.28515625" style="45" customWidth="1"/>
    <col min="494" max="502" width="6.7109375" style="45" customWidth="1"/>
    <col min="503" max="503" width="7.28515625" style="45" customWidth="1"/>
    <col min="504" max="504" width="8.7109375" style="45" customWidth="1"/>
    <col min="505" max="505" width="7.7109375" style="45" customWidth="1"/>
    <col min="506" max="747" width="8.7109375" style="45"/>
    <col min="748" max="748" width="15.28515625" style="45" customWidth="1"/>
    <col min="749" max="749" width="7.28515625" style="45" customWidth="1"/>
    <col min="750" max="758" width="6.7109375" style="45" customWidth="1"/>
    <col min="759" max="759" width="7.28515625" style="45" customWidth="1"/>
    <col min="760" max="760" width="8.7109375" style="45" customWidth="1"/>
    <col min="761" max="761" width="7.7109375" style="45" customWidth="1"/>
    <col min="762" max="1003" width="8.7109375" style="45"/>
    <col min="1004" max="1004" width="15.28515625" style="45" customWidth="1"/>
    <col min="1005" max="1005" width="7.28515625" style="45" customWidth="1"/>
    <col min="1006" max="1014" width="6.7109375" style="45" customWidth="1"/>
    <col min="1015" max="1015" width="7.28515625" style="45" customWidth="1"/>
    <col min="1016" max="1016" width="8.7109375" style="45" customWidth="1"/>
    <col min="1017" max="1017" width="7.7109375" style="45" customWidth="1"/>
    <col min="1018" max="1259" width="8.7109375" style="45"/>
    <col min="1260" max="1260" width="15.28515625" style="45" customWidth="1"/>
    <col min="1261" max="1261" width="7.28515625" style="45" customWidth="1"/>
    <col min="1262" max="1270" width="6.7109375" style="45" customWidth="1"/>
    <col min="1271" max="1271" width="7.28515625" style="45" customWidth="1"/>
    <col min="1272" max="1272" width="8.7109375" style="45" customWidth="1"/>
    <col min="1273" max="1273" width="7.7109375" style="45" customWidth="1"/>
    <col min="1274" max="1515" width="8.7109375" style="45"/>
    <col min="1516" max="1516" width="15.28515625" style="45" customWidth="1"/>
    <col min="1517" max="1517" width="7.28515625" style="45" customWidth="1"/>
    <col min="1518" max="1526" width="6.7109375" style="45" customWidth="1"/>
    <col min="1527" max="1527" width="7.28515625" style="45" customWidth="1"/>
    <col min="1528" max="1528" width="8.7109375" style="45" customWidth="1"/>
    <col min="1529" max="1529" width="7.7109375" style="45" customWidth="1"/>
    <col min="1530" max="1771" width="8.7109375" style="45"/>
    <col min="1772" max="1772" width="15.28515625" style="45" customWidth="1"/>
    <col min="1773" max="1773" width="7.28515625" style="45" customWidth="1"/>
    <col min="1774" max="1782" width="6.7109375" style="45" customWidth="1"/>
    <col min="1783" max="1783" width="7.28515625" style="45" customWidth="1"/>
    <col min="1784" max="1784" width="8.7109375" style="45" customWidth="1"/>
    <col min="1785" max="1785" width="7.7109375" style="45" customWidth="1"/>
    <col min="1786" max="2027" width="8.7109375" style="45"/>
    <col min="2028" max="2028" width="15.28515625" style="45" customWidth="1"/>
    <col min="2029" max="2029" width="7.28515625" style="45" customWidth="1"/>
    <col min="2030" max="2038" width="6.7109375" style="45" customWidth="1"/>
    <col min="2039" max="2039" width="7.28515625" style="45" customWidth="1"/>
    <col min="2040" max="2040" width="8.7109375" style="45" customWidth="1"/>
    <col min="2041" max="2041" width="7.7109375" style="45" customWidth="1"/>
    <col min="2042" max="2283" width="8.7109375" style="45"/>
    <col min="2284" max="2284" width="15.28515625" style="45" customWidth="1"/>
    <col min="2285" max="2285" width="7.28515625" style="45" customWidth="1"/>
    <col min="2286" max="2294" width="6.7109375" style="45" customWidth="1"/>
    <col min="2295" max="2295" width="7.28515625" style="45" customWidth="1"/>
    <col min="2296" max="2296" width="8.7109375" style="45" customWidth="1"/>
    <col min="2297" max="2297" width="7.7109375" style="45" customWidth="1"/>
    <col min="2298" max="2539" width="8.7109375" style="45"/>
    <col min="2540" max="2540" width="15.28515625" style="45" customWidth="1"/>
    <col min="2541" max="2541" width="7.28515625" style="45" customWidth="1"/>
    <col min="2542" max="2550" width="6.7109375" style="45" customWidth="1"/>
    <col min="2551" max="2551" width="7.28515625" style="45" customWidth="1"/>
    <col min="2552" max="2552" width="8.7109375" style="45" customWidth="1"/>
    <col min="2553" max="2553" width="7.7109375" style="45" customWidth="1"/>
    <col min="2554" max="2795" width="8.7109375" style="45"/>
    <col min="2796" max="2796" width="15.28515625" style="45" customWidth="1"/>
    <col min="2797" max="2797" width="7.28515625" style="45" customWidth="1"/>
    <col min="2798" max="2806" width="6.7109375" style="45" customWidth="1"/>
    <col min="2807" max="2807" width="7.28515625" style="45" customWidth="1"/>
    <col min="2808" max="2808" width="8.7109375" style="45" customWidth="1"/>
    <col min="2809" max="2809" width="7.7109375" style="45" customWidth="1"/>
    <col min="2810" max="3051" width="8.7109375" style="45"/>
    <col min="3052" max="3052" width="15.28515625" style="45" customWidth="1"/>
    <col min="3053" max="3053" width="7.28515625" style="45" customWidth="1"/>
    <col min="3054" max="3062" width="6.7109375" style="45" customWidth="1"/>
    <col min="3063" max="3063" width="7.28515625" style="45" customWidth="1"/>
    <col min="3064" max="3064" width="8.7109375" style="45" customWidth="1"/>
    <col min="3065" max="3065" width="7.7109375" style="45" customWidth="1"/>
    <col min="3066" max="3307" width="8.7109375" style="45"/>
    <col min="3308" max="3308" width="15.28515625" style="45" customWidth="1"/>
    <col min="3309" max="3309" width="7.28515625" style="45" customWidth="1"/>
    <col min="3310" max="3318" width="6.7109375" style="45" customWidth="1"/>
    <col min="3319" max="3319" width="7.28515625" style="45" customWidth="1"/>
    <col min="3320" max="3320" width="8.7109375" style="45" customWidth="1"/>
    <col min="3321" max="3321" width="7.7109375" style="45" customWidth="1"/>
    <col min="3322" max="3563" width="8.7109375" style="45"/>
    <col min="3564" max="3564" width="15.28515625" style="45" customWidth="1"/>
    <col min="3565" max="3565" width="7.28515625" style="45" customWidth="1"/>
    <col min="3566" max="3574" width="6.7109375" style="45" customWidth="1"/>
    <col min="3575" max="3575" width="7.28515625" style="45" customWidth="1"/>
    <col min="3576" max="3576" width="8.7109375" style="45" customWidth="1"/>
    <col min="3577" max="3577" width="7.7109375" style="45" customWidth="1"/>
    <col min="3578" max="3819" width="8.7109375" style="45"/>
    <col min="3820" max="3820" width="15.28515625" style="45" customWidth="1"/>
    <col min="3821" max="3821" width="7.28515625" style="45" customWidth="1"/>
    <col min="3822" max="3830" width="6.7109375" style="45" customWidth="1"/>
    <col min="3831" max="3831" width="7.28515625" style="45" customWidth="1"/>
    <col min="3832" max="3832" width="8.7109375" style="45" customWidth="1"/>
    <col min="3833" max="3833" width="7.7109375" style="45" customWidth="1"/>
    <col min="3834" max="4075" width="8.7109375" style="45"/>
    <col min="4076" max="4076" width="15.28515625" style="45" customWidth="1"/>
    <col min="4077" max="4077" width="7.28515625" style="45" customWidth="1"/>
    <col min="4078" max="4086" width="6.7109375" style="45" customWidth="1"/>
    <col min="4087" max="4087" width="7.28515625" style="45" customWidth="1"/>
    <col min="4088" max="4088" width="8.7109375" style="45" customWidth="1"/>
    <col min="4089" max="4089" width="7.7109375" style="45" customWidth="1"/>
    <col min="4090" max="4331" width="8.7109375" style="45"/>
    <col min="4332" max="4332" width="15.28515625" style="45" customWidth="1"/>
    <col min="4333" max="4333" width="7.28515625" style="45" customWidth="1"/>
    <col min="4334" max="4342" width="6.7109375" style="45" customWidth="1"/>
    <col min="4343" max="4343" width="7.28515625" style="45" customWidth="1"/>
    <col min="4344" max="4344" width="8.7109375" style="45" customWidth="1"/>
    <col min="4345" max="4345" width="7.7109375" style="45" customWidth="1"/>
    <col min="4346" max="4587" width="8.7109375" style="45"/>
    <col min="4588" max="4588" width="15.28515625" style="45" customWidth="1"/>
    <col min="4589" max="4589" width="7.28515625" style="45" customWidth="1"/>
    <col min="4590" max="4598" width="6.7109375" style="45" customWidth="1"/>
    <col min="4599" max="4599" width="7.28515625" style="45" customWidth="1"/>
    <col min="4600" max="4600" width="8.7109375" style="45" customWidth="1"/>
    <col min="4601" max="4601" width="7.7109375" style="45" customWidth="1"/>
    <col min="4602" max="4843" width="8.7109375" style="45"/>
    <col min="4844" max="4844" width="15.28515625" style="45" customWidth="1"/>
    <col min="4845" max="4845" width="7.28515625" style="45" customWidth="1"/>
    <col min="4846" max="4854" width="6.7109375" style="45" customWidth="1"/>
    <col min="4855" max="4855" width="7.28515625" style="45" customWidth="1"/>
    <col min="4856" max="4856" width="8.7109375" style="45" customWidth="1"/>
    <col min="4857" max="4857" width="7.7109375" style="45" customWidth="1"/>
    <col min="4858" max="5099" width="8.7109375" style="45"/>
    <col min="5100" max="5100" width="15.28515625" style="45" customWidth="1"/>
    <col min="5101" max="5101" width="7.28515625" style="45" customWidth="1"/>
    <col min="5102" max="5110" width="6.7109375" style="45" customWidth="1"/>
    <col min="5111" max="5111" width="7.28515625" style="45" customWidth="1"/>
    <col min="5112" max="5112" width="8.7109375" style="45" customWidth="1"/>
    <col min="5113" max="5113" width="7.7109375" style="45" customWidth="1"/>
    <col min="5114" max="5355" width="8.7109375" style="45"/>
    <col min="5356" max="5356" width="15.28515625" style="45" customWidth="1"/>
    <col min="5357" max="5357" width="7.28515625" style="45" customWidth="1"/>
    <col min="5358" max="5366" width="6.7109375" style="45" customWidth="1"/>
    <col min="5367" max="5367" width="7.28515625" style="45" customWidth="1"/>
    <col min="5368" max="5368" width="8.7109375" style="45" customWidth="1"/>
    <col min="5369" max="5369" width="7.7109375" style="45" customWidth="1"/>
    <col min="5370" max="5611" width="8.7109375" style="45"/>
    <col min="5612" max="5612" width="15.28515625" style="45" customWidth="1"/>
    <col min="5613" max="5613" width="7.28515625" style="45" customWidth="1"/>
    <col min="5614" max="5622" width="6.7109375" style="45" customWidth="1"/>
    <col min="5623" max="5623" width="7.28515625" style="45" customWidth="1"/>
    <col min="5624" max="5624" width="8.7109375" style="45" customWidth="1"/>
    <col min="5625" max="5625" width="7.7109375" style="45" customWidth="1"/>
    <col min="5626" max="5867" width="8.7109375" style="45"/>
    <col min="5868" max="5868" width="15.28515625" style="45" customWidth="1"/>
    <col min="5869" max="5869" width="7.28515625" style="45" customWidth="1"/>
    <col min="5870" max="5878" width="6.7109375" style="45" customWidth="1"/>
    <col min="5879" max="5879" width="7.28515625" style="45" customWidth="1"/>
    <col min="5880" max="5880" width="8.7109375" style="45" customWidth="1"/>
    <col min="5881" max="5881" width="7.7109375" style="45" customWidth="1"/>
    <col min="5882" max="6123" width="8.7109375" style="45"/>
    <col min="6124" max="6124" width="15.28515625" style="45" customWidth="1"/>
    <col min="6125" max="6125" width="7.28515625" style="45" customWidth="1"/>
    <col min="6126" max="6134" width="6.7109375" style="45" customWidth="1"/>
    <col min="6135" max="6135" width="7.28515625" style="45" customWidth="1"/>
    <col min="6136" max="6136" width="8.7109375" style="45" customWidth="1"/>
    <col min="6137" max="6137" width="7.7109375" style="45" customWidth="1"/>
    <col min="6138" max="6379" width="8.7109375" style="45"/>
    <col min="6380" max="6380" width="15.28515625" style="45" customWidth="1"/>
    <col min="6381" max="6381" width="7.28515625" style="45" customWidth="1"/>
    <col min="6382" max="6390" width="6.7109375" style="45" customWidth="1"/>
    <col min="6391" max="6391" width="7.28515625" style="45" customWidth="1"/>
    <col min="6392" max="6392" width="8.7109375" style="45" customWidth="1"/>
    <col min="6393" max="6393" width="7.7109375" style="45" customWidth="1"/>
    <col min="6394" max="6635" width="8.7109375" style="45"/>
    <col min="6636" max="6636" width="15.28515625" style="45" customWidth="1"/>
    <col min="6637" max="6637" width="7.28515625" style="45" customWidth="1"/>
    <col min="6638" max="6646" width="6.7109375" style="45" customWidth="1"/>
    <col min="6647" max="6647" width="7.28515625" style="45" customWidth="1"/>
    <col min="6648" max="6648" width="8.7109375" style="45" customWidth="1"/>
    <col min="6649" max="6649" width="7.7109375" style="45" customWidth="1"/>
    <col min="6650" max="6891" width="8.7109375" style="45"/>
    <col min="6892" max="6892" width="15.28515625" style="45" customWidth="1"/>
    <col min="6893" max="6893" width="7.28515625" style="45" customWidth="1"/>
    <col min="6894" max="6902" width="6.7109375" style="45" customWidth="1"/>
    <col min="6903" max="6903" width="7.28515625" style="45" customWidth="1"/>
    <col min="6904" max="6904" width="8.7109375" style="45" customWidth="1"/>
    <col min="6905" max="6905" width="7.7109375" style="45" customWidth="1"/>
    <col min="6906" max="7147" width="8.7109375" style="45"/>
    <col min="7148" max="7148" width="15.28515625" style="45" customWidth="1"/>
    <col min="7149" max="7149" width="7.28515625" style="45" customWidth="1"/>
    <col min="7150" max="7158" width="6.7109375" style="45" customWidth="1"/>
    <col min="7159" max="7159" width="7.28515625" style="45" customWidth="1"/>
    <col min="7160" max="7160" width="8.7109375" style="45" customWidth="1"/>
    <col min="7161" max="7161" width="7.7109375" style="45" customWidth="1"/>
    <col min="7162" max="7403" width="8.7109375" style="45"/>
    <col min="7404" max="7404" width="15.28515625" style="45" customWidth="1"/>
    <col min="7405" max="7405" width="7.28515625" style="45" customWidth="1"/>
    <col min="7406" max="7414" width="6.7109375" style="45" customWidth="1"/>
    <col min="7415" max="7415" width="7.28515625" style="45" customWidth="1"/>
    <col min="7416" max="7416" width="8.7109375" style="45" customWidth="1"/>
    <col min="7417" max="7417" width="7.7109375" style="45" customWidth="1"/>
    <col min="7418" max="7659" width="8.7109375" style="45"/>
    <col min="7660" max="7660" width="15.28515625" style="45" customWidth="1"/>
    <col min="7661" max="7661" width="7.28515625" style="45" customWidth="1"/>
    <col min="7662" max="7670" width="6.7109375" style="45" customWidth="1"/>
    <col min="7671" max="7671" width="7.28515625" style="45" customWidth="1"/>
    <col min="7672" max="7672" width="8.7109375" style="45" customWidth="1"/>
    <col min="7673" max="7673" width="7.7109375" style="45" customWidth="1"/>
    <col min="7674" max="7915" width="8.7109375" style="45"/>
    <col min="7916" max="7916" width="15.28515625" style="45" customWidth="1"/>
    <col min="7917" max="7917" width="7.28515625" style="45" customWidth="1"/>
    <col min="7918" max="7926" width="6.7109375" style="45" customWidth="1"/>
    <col min="7927" max="7927" width="7.28515625" style="45" customWidth="1"/>
    <col min="7928" max="7928" width="8.7109375" style="45" customWidth="1"/>
    <col min="7929" max="7929" width="7.7109375" style="45" customWidth="1"/>
    <col min="7930" max="8171" width="8.7109375" style="45"/>
    <col min="8172" max="8172" width="15.28515625" style="45" customWidth="1"/>
    <col min="8173" max="8173" width="7.28515625" style="45" customWidth="1"/>
    <col min="8174" max="8182" width="6.7109375" style="45" customWidth="1"/>
    <col min="8183" max="8183" width="7.28515625" style="45" customWidth="1"/>
    <col min="8184" max="8184" width="8.7109375" style="45" customWidth="1"/>
    <col min="8185" max="8185" width="7.7109375" style="45" customWidth="1"/>
    <col min="8186" max="8427" width="8.7109375" style="45"/>
    <col min="8428" max="8428" width="15.28515625" style="45" customWidth="1"/>
    <col min="8429" max="8429" width="7.28515625" style="45" customWidth="1"/>
    <col min="8430" max="8438" width="6.7109375" style="45" customWidth="1"/>
    <col min="8439" max="8439" width="7.28515625" style="45" customWidth="1"/>
    <col min="8440" max="8440" width="8.7109375" style="45" customWidth="1"/>
    <col min="8441" max="8441" width="7.7109375" style="45" customWidth="1"/>
    <col min="8442" max="8683" width="8.7109375" style="45"/>
    <col min="8684" max="8684" width="15.28515625" style="45" customWidth="1"/>
    <col min="8685" max="8685" width="7.28515625" style="45" customWidth="1"/>
    <col min="8686" max="8694" width="6.7109375" style="45" customWidth="1"/>
    <col min="8695" max="8695" width="7.28515625" style="45" customWidth="1"/>
    <col min="8696" max="8696" width="8.7109375" style="45" customWidth="1"/>
    <col min="8697" max="8697" width="7.7109375" style="45" customWidth="1"/>
    <col min="8698" max="8939" width="8.7109375" style="45"/>
    <col min="8940" max="8940" width="15.28515625" style="45" customWidth="1"/>
    <col min="8941" max="8941" width="7.28515625" style="45" customWidth="1"/>
    <col min="8942" max="8950" width="6.7109375" style="45" customWidth="1"/>
    <col min="8951" max="8951" width="7.28515625" style="45" customWidth="1"/>
    <col min="8952" max="8952" width="8.7109375" style="45" customWidth="1"/>
    <col min="8953" max="8953" width="7.7109375" style="45" customWidth="1"/>
    <col min="8954" max="9195" width="8.7109375" style="45"/>
    <col min="9196" max="9196" width="15.28515625" style="45" customWidth="1"/>
    <col min="9197" max="9197" width="7.28515625" style="45" customWidth="1"/>
    <col min="9198" max="9206" width="6.7109375" style="45" customWidth="1"/>
    <col min="9207" max="9207" width="7.28515625" style="45" customWidth="1"/>
    <col min="9208" max="9208" width="8.7109375" style="45" customWidth="1"/>
    <col min="9209" max="9209" width="7.7109375" style="45" customWidth="1"/>
    <col min="9210" max="9451" width="8.7109375" style="45"/>
    <col min="9452" max="9452" width="15.28515625" style="45" customWidth="1"/>
    <col min="9453" max="9453" width="7.28515625" style="45" customWidth="1"/>
    <col min="9454" max="9462" width="6.7109375" style="45" customWidth="1"/>
    <col min="9463" max="9463" width="7.28515625" style="45" customWidth="1"/>
    <col min="9464" max="9464" width="8.7109375" style="45" customWidth="1"/>
    <col min="9465" max="9465" width="7.7109375" style="45" customWidth="1"/>
    <col min="9466" max="9707" width="8.7109375" style="45"/>
    <col min="9708" max="9708" width="15.28515625" style="45" customWidth="1"/>
    <col min="9709" max="9709" width="7.28515625" style="45" customWidth="1"/>
    <col min="9710" max="9718" width="6.7109375" style="45" customWidth="1"/>
    <col min="9719" max="9719" width="7.28515625" style="45" customWidth="1"/>
    <col min="9720" max="9720" width="8.7109375" style="45" customWidth="1"/>
    <col min="9721" max="9721" width="7.7109375" style="45" customWidth="1"/>
    <col min="9722" max="9963" width="8.7109375" style="45"/>
    <col min="9964" max="9964" width="15.28515625" style="45" customWidth="1"/>
    <col min="9965" max="9965" width="7.28515625" style="45" customWidth="1"/>
    <col min="9966" max="9974" width="6.7109375" style="45" customWidth="1"/>
    <col min="9975" max="9975" width="7.28515625" style="45" customWidth="1"/>
    <col min="9976" max="9976" width="8.7109375" style="45" customWidth="1"/>
    <col min="9977" max="9977" width="7.7109375" style="45" customWidth="1"/>
    <col min="9978" max="10219" width="8.7109375" style="45"/>
    <col min="10220" max="10220" width="15.28515625" style="45" customWidth="1"/>
    <col min="10221" max="10221" width="7.28515625" style="45" customWidth="1"/>
    <col min="10222" max="10230" width="6.7109375" style="45" customWidth="1"/>
    <col min="10231" max="10231" width="7.28515625" style="45" customWidth="1"/>
    <col min="10232" max="10232" width="8.7109375" style="45" customWidth="1"/>
    <col min="10233" max="10233" width="7.7109375" style="45" customWidth="1"/>
    <col min="10234" max="10475" width="8.7109375" style="45"/>
    <col min="10476" max="10476" width="15.28515625" style="45" customWidth="1"/>
    <col min="10477" max="10477" width="7.28515625" style="45" customWidth="1"/>
    <col min="10478" max="10486" width="6.7109375" style="45" customWidth="1"/>
    <col min="10487" max="10487" width="7.28515625" style="45" customWidth="1"/>
    <col min="10488" max="10488" width="8.7109375" style="45" customWidth="1"/>
    <col min="10489" max="10489" width="7.7109375" style="45" customWidth="1"/>
    <col min="10490" max="10731" width="8.7109375" style="45"/>
    <col min="10732" max="10732" width="15.28515625" style="45" customWidth="1"/>
    <col min="10733" max="10733" width="7.28515625" style="45" customWidth="1"/>
    <col min="10734" max="10742" width="6.7109375" style="45" customWidth="1"/>
    <col min="10743" max="10743" width="7.28515625" style="45" customWidth="1"/>
    <col min="10744" max="10744" width="8.7109375" style="45" customWidth="1"/>
    <col min="10745" max="10745" width="7.7109375" style="45" customWidth="1"/>
    <col min="10746" max="10987" width="8.7109375" style="45"/>
    <col min="10988" max="10988" width="15.28515625" style="45" customWidth="1"/>
    <col min="10989" max="10989" width="7.28515625" style="45" customWidth="1"/>
    <col min="10990" max="10998" width="6.7109375" style="45" customWidth="1"/>
    <col min="10999" max="10999" width="7.28515625" style="45" customWidth="1"/>
    <col min="11000" max="11000" width="8.7109375" style="45" customWidth="1"/>
    <col min="11001" max="11001" width="7.7109375" style="45" customWidth="1"/>
    <col min="11002" max="11243" width="8.7109375" style="45"/>
    <col min="11244" max="11244" width="15.28515625" style="45" customWidth="1"/>
    <col min="11245" max="11245" width="7.28515625" style="45" customWidth="1"/>
    <col min="11246" max="11254" width="6.7109375" style="45" customWidth="1"/>
    <col min="11255" max="11255" width="7.28515625" style="45" customWidth="1"/>
    <col min="11256" max="11256" width="8.7109375" style="45" customWidth="1"/>
    <col min="11257" max="11257" width="7.7109375" style="45" customWidth="1"/>
    <col min="11258" max="11499" width="8.7109375" style="45"/>
    <col min="11500" max="11500" width="15.28515625" style="45" customWidth="1"/>
    <col min="11501" max="11501" width="7.28515625" style="45" customWidth="1"/>
    <col min="11502" max="11510" width="6.7109375" style="45" customWidth="1"/>
    <col min="11511" max="11511" width="7.28515625" style="45" customWidth="1"/>
    <col min="11512" max="11512" width="8.7109375" style="45" customWidth="1"/>
    <col min="11513" max="11513" width="7.7109375" style="45" customWidth="1"/>
    <col min="11514" max="11755" width="8.7109375" style="45"/>
    <col min="11756" max="11756" width="15.28515625" style="45" customWidth="1"/>
    <col min="11757" max="11757" width="7.28515625" style="45" customWidth="1"/>
    <col min="11758" max="11766" width="6.7109375" style="45" customWidth="1"/>
    <col min="11767" max="11767" width="7.28515625" style="45" customWidth="1"/>
    <col min="11768" max="11768" width="8.7109375" style="45" customWidth="1"/>
    <col min="11769" max="11769" width="7.7109375" style="45" customWidth="1"/>
    <col min="11770" max="12011" width="8.7109375" style="45"/>
    <col min="12012" max="12012" width="15.28515625" style="45" customWidth="1"/>
    <col min="12013" max="12013" width="7.28515625" style="45" customWidth="1"/>
    <col min="12014" max="12022" width="6.7109375" style="45" customWidth="1"/>
    <col min="12023" max="12023" width="7.28515625" style="45" customWidth="1"/>
    <col min="12024" max="12024" width="8.7109375" style="45" customWidth="1"/>
    <col min="12025" max="12025" width="7.7109375" style="45" customWidth="1"/>
    <col min="12026" max="12267" width="8.7109375" style="45"/>
    <col min="12268" max="12268" width="15.28515625" style="45" customWidth="1"/>
    <col min="12269" max="12269" width="7.28515625" style="45" customWidth="1"/>
    <col min="12270" max="12278" width="6.7109375" style="45" customWidth="1"/>
    <col min="12279" max="12279" width="7.28515625" style="45" customWidth="1"/>
    <col min="12280" max="12280" width="8.7109375" style="45" customWidth="1"/>
    <col min="12281" max="12281" width="7.7109375" style="45" customWidth="1"/>
    <col min="12282" max="12523" width="8.7109375" style="45"/>
    <col min="12524" max="12524" width="15.28515625" style="45" customWidth="1"/>
    <col min="12525" max="12525" width="7.28515625" style="45" customWidth="1"/>
    <col min="12526" max="12534" width="6.7109375" style="45" customWidth="1"/>
    <col min="12535" max="12535" width="7.28515625" style="45" customWidth="1"/>
    <col min="12536" max="12536" width="8.7109375" style="45" customWidth="1"/>
    <col min="12537" max="12537" width="7.7109375" style="45" customWidth="1"/>
    <col min="12538" max="12779" width="8.7109375" style="45"/>
    <col min="12780" max="12780" width="15.28515625" style="45" customWidth="1"/>
    <col min="12781" max="12781" width="7.28515625" style="45" customWidth="1"/>
    <col min="12782" max="12790" width="6.7109375" style="45" customWidth="1"/>
    <col min="12791" max="12791" width="7.28515625" style="45" customWidth="1"/>
    <col min="12792" max="12792" width="8.7109375" style="45" customWidth="1"/>
    <col min="12793" max="12793" width="7.7109375" style="45" customWidth="1"/>
    <col min="12794" max="13035" width="8.7109375" style="45"/>
    <col min="13036" max="13036" width="15.28515625" style="45" customWidth="1"/>
    <col min="13037" max="13037" width="7.28515625" style="45" customWidth="1"/>
    <col min="13038" max="13046" width="6.7109375" style="45" customWidth="1"/>
    <col min="13047" max="13047" width="7.28515625" style="45" customWidth="1"/>
    <col min="13048" max="13048" width="8.7109375" style="45" customWidth="1"/>
    <col min="13049" max="13049" width="7.7109375" style="45" customWidth="1"/>
    <col min="13050" max="13291" width="8.7109375" style="45"/>
    <col min="13292" max="13292" width="15.28515625" style="45" customWidth="1"/>
    <col min="13293" max="13293" width="7.28515625" style="45" customWidth="1"/>
    <col min="13294" max="13302" width="6.7109375" style="45" customWidth="1"/>
    <col min="13303" max="13303" width="7.28515625" style="45" customWidth="1"/>
    <col min="13304" max="13304" width="8.7109375" style="45" customWidth="1"/>
    <col min="13305" max="13305" width="7.7109375" style="45" customWidth="1"/>
    <col min="13306" max="13547" width="8.7109375" style="45"/>
    <col min="13548" max="13548" width="15.28515625" style="45" customWidth="1"/>
    <col min="13549" max="13549" width="7.28515625" style="45" customWidth="1"/>
    <col min="13550" max="13558" width="6.7109375" style="45" customWidth="1"/>
    <col min="13559" max="13559" width="7.28515625" style="45" customWidth="1"/>
    <col min="13560" max="13560" width="8.7109375" style="45" customWidth="1"/>
    <col min="13561" max="13561" width="7.7109375" style="45" customWidth="1"/>
    <col min="13562" max="13803" width="8.7109375" style="45"/>
    <col min="13804" max="13804" width="15.28515625" style="45" customWidth="1"/>
    <col min="13805" max="13805" width="7.28515625" style="45" customWidth="1"/>
    <col min="13806" max="13814" width="6.7109375" style="45" customWidth="1"/>
    <col min="13815" max="13815" width="7.28515625" style="45" customWidth="1"/>
    <col min="13816" max="13816" width="8.7109375" style="45" customWidth="1"/>
    <col min="13817" max="13817" width="7.7109375" style="45" customWidth="1"/>
    <col min="13818" max="14059" width="8.7109375" style="45"/>
    <col min="14060" max="14060" width="15.28515625" style="45" customWidth="1"/>
    <col min="14061" max="14061" width="7.28515625" style="45" customWidth="1"/>
    <col min="14062" max="14070" width="6.7109375" style="45" customWidth="1"/>
    <col min="14071" max="14071" width="7.28515625" style="45" customWidth="1"/>
    <col min="14072" max="14072" width="8.7109375" style="45" customWidth="1"/>
    <col min="14073" max="14073" width="7.7109375" style="45" customWidth="1"/>
    <col min="14074" max="14315" width="8.7109375" style="45"/>
    <col min="14316" max="14316" width="15.28515625" style="45" customWidth="1"/>
    <col min="14317" max="14317" width="7.28515625" style="45" customWidth="1"/>
    <col min="14318" max="14326" width="6.7109375" style="45" customWidth="1"/>
    <col min="14327" max="14327" width="7.28515625" style="45" customWidth="1"/>
    <col min="14328" max="14328" width="8.7109375" style="45" customWidth="1"/>
    <col min="14329" max="14329" width="7.7109375" style="45" customWidth="1"/>
    <col min="14330" max="14571" width="8.7109375" style="45"/>
    <col min="14572" max="14572" width="15.28515625" style="45" customWidth="1"/>
    <col min="14573" max="14573" width="7.28515625" style="45" customWidth="1"/>
    <col min="14574" max="14582" width="6.7109375" style="45" customWidth="1"/>
    <col min="14583" max="14583" width="7.28515625" style="45" customWidth="1"/>
    <col min="14584" max="14584" width="8.7109375" style="45" customWidth="1"/>
    <col min="14585" max="14585" width="7.7109375" style="45" customWidth="1"/>
    <col min="14586" max="14827" width="8.7109375" style="45"/>
    <col min="14828" max="14828" width="15.28515625" style="45" customWidth="1"/>
    <col min="14829" max="14829" width="7.28515625" style="45" customWidth="1"/>
    <col min="14830" max="14838" width="6.7109375" style="45" customWidth="1"/>
    <col min="14839" max="14839" width="7.28515625" style="45" customWidth="1"/>
    <col min="14840" max="14840" width="8.7109375" style="45" customWidth="1"/>
    <col min="14841" max="14841" width="7.7109375" style="45" customWidth="1"/>
    <col min="14842" max="15083" width="8.7109375" style="45"/>
    <col min="15084" max="15084" width="15.28515625" style="45" customWidth="1"/>
    <col min="15085" max="15085" width="7.28515625" style="45" customWidth="1"/>
    <col min="15086" max="15094" width="6.7109375" style="45" customWidth="1"/>
    <col min="15095" max="15095" width="7.28515625" style="45" customWidth="1"/>
    <col min="15096" max="15096" width="8.7109375" style="45" customWidth="1"/>
    <col min="15097" max="15097" width="7.7109375" style="45" customWidth="1"/>
    <col min="15098" max="15339" width="8.7109375" style="45"/>
    <col min="15340" max="15340" width="15.28515625" style="45" customWidth="1"/>
    <col min="15341" max="15341" width="7.28515625" style="45" customWidth="1"/>
    <col min="15342" max="15350" width="6.7109375" style="45" customWidth="1"/>
    <col min="15351" max="15351" width="7.28515625" style="45" customWidth="1"/>
    <col min="15352" max="15352" width="8.7109375" style="45" customWidth="1"/>
    <col min="15353" max="15353" width="7.7109375" style="45" customWidth="1"/>
    <col min="15354" max="15595" width="8.7109375" style="45"/>
    <col min="15596" max="15596" width="15.28515625" style="45" customWidth="1"/>
    <col min="15597" max="15597" width="7.28515625" style="45" customWidth="1"/>
    <col min="15598" max="15606" width="6.7109375" style="45" customWidth="1"/>
    <col min="15607" max="15607" width="7.28515625" style="45" customWidth="1"/>
    <col min="15608" max="15608" width="8.7109375" style="45" customWidth="1"/>
    <col min="15609" max="15609" width="7.7109375" style="45" customWidth="1"/>
    <col min="15610" max="15851" width="8.7109375" style="45"/>
    <col min="15852" max="15852" width="15.28515625" style="45" customWidth="1"/>
    <col min="15853" max="15853" width="7.28515625" style="45" customWidth="1"/>
    <col min="15854" max="15862" width="6.7109375" style="45" customWidth="1"/>
    <col min="15863" max="15863" width="7.28515625" style="45" customWidth="1"/>
    <col min="15864" max="15864" width="8.7109375" style="45" customWidth="1"/>
    <col min="15865" max="15865" width="7.7109375" style="45" customWidth="1"/>
    <col min="15866" max="16107" width="8.7109375" style="45"/>
    <col min="16108" max="16108" width="15.28515625" style="45" customWidth="1"/>
    <col min="16109" max="16109" width="7.28515625" style="45" customWidth="1"/>
    <col min="16110" max="16118" width="6.7109375" style="45" customWidth="1"/>
    <col min="16119" max="16119" width="7.28515625" style="45" customWidth="1"/>
    <col min="16120" max="16120" width="8.7109375" style="45" customWidth="1"/>
    <col min="16121" max="16121" width="7.7109375" style="45" customWidth="1"/>
    <col min="16122" max="16384" width="8.7109375" style="45"/>
  </cols>
  <sheetData>
    <row r="1" spans="1:17" ht="12.75" customHeight="1" x14ac:dyDescent="0.25">
      <c r="A1" s="502" t="s">
        <v>401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</row>
    <row r="2" spans="1:17" ht="12.75" customHeight="1" x14ac:dyDescent="0.25">
      <c r="A2" s="521" t="s">
        <v>253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3" customHeight="1" x14ac:dyDescent="0.25">
      <c r="A3" s="17"/>
      <c r="B3" s="151"/>
      <c r="C3" s="152"/>
      <c r="D3" s="152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7"/>
    </row>
    <row r="4" spans="1:17" ht="28.5" customHeight="1" x14ac:dyDescent="0.25">
      <c r="A4" s="437" t="s">
        <v>252</v>
      </c>
      <c r="B4" s="438">
        <v>2005</v>
      </c>
      <c r="C4" s="439">
        <v>2006</v>
      </c>
      <c r="D4" s="439">
        <v>2007</v>
      </c>
      <c r="E4" s="438">
        <v>2008</v>
      </c>
      <c r="F4" s="438">
        <v>2009</v>
      </c>
      <c r="G4" s="438">
        <v>2011</v>
      </c>
      <c r="H4" s="438">
        <v>2012</v>
      </c>
      <c r="I4" s="438">
        <v>2013</v>
      </c>
      <c r="J4" s="438">
        <v>2014</v>
      </c>
      <c r="K4" s="438">
        <v>2015</v>
      </c>
      <c r="L4" s="438">
        <v>2016</v>
      </c>
      <c r="M4" s="438">
        <v>2017</v>
      </c>
      <c r="N4" s="438">
        <v>2018</v>
      </c>
      <c r="O4" s="438">
        <v>2019</v>
      </c>
      <c r="P4" s="438">
        <v>2020</v>
      </c>
      <c r="Q4" s="438">
        <v>2021</v>
      </c>
    </row>
    <row r="5" spans="1:17" ht="3" customHeight="1" x14ac:dyDescent="0.25">
      <c r="A5" s="440"/>
      <c r="B5" s="447"/>
      <c r="C5" s="448"/>
      <c r="D5" s="448"/>
      <c r="E5" s="424"/>
      <c r="F5" s="424"/>
      <c r="G5" s="424"/>
      <c r="H5" s="424"/>
      <c r="I5" s="424"/>
      <c r="J5" s="424"/>
      <c r="K5" s="425"/>
      <c r="L5" s="425"/>
      <c r="M5" s="425"/>
      <c r="N5" s="425"/>
      <c r="O5" s="425"/>
      <c r="P5" s="425"/>
      <c r="Q5" s="425"/>
    </row>
    <row r="6" spans="1:17" ht="15.95" customHeight="1" x14ac:dyDescent="0.25">
      <c r="A6" s="441" t="s">
        <v>148</v>
      </c>
      <c r="B6" s="449">
        <v>867</v>
      </c>
      <c r="C6" s="450">
        <v>2128</v>
      </c>
      <c r="D6" s="450">
        <v>2921</v>
      </c>
      <c r="E6" s="451">
        <v>3121</v>
      </c>
      <c r="F6" s="451">
        <v>3310</v>
      </c>
      <c r="G6" s="451">
        <v>3204</v>
      </c>
      <c r="H6" s="451">
        <v>5757</v>
      </c>
      <c r="I6" s="451">
        <v>4405</v>
      </c>
      <c r="J6" s="451">
        <v>5071</v>
      </c>
      <c r="K6" s="451">
        <v>7836.7149999999992</v>
      </c>
      <c r="L6" s="451">
        <v>7220</v>
      </c>
      <c r="M6" s="451">
        <v>4859</v>
      </c>
      <c r="N6" s="451">
        <v>5180</v>
      </c>
      <c r="O6" s="451">
        <v>9710</v>
      </c>
      <c r="P6" s="451">
        <v>6941.6660000000002</v>
      </c>
      <c r="Q6" s="451">
        <f>SUM(Q7:Q16)</f>
        <v>5503.0940000000001</v>
      </c>
    </row>
    <row r="7" spans="1:17" ht="15.95" customHeight="1" x14ac:dyDescent="0.25">
      <c r="A7" s="442" t="s">
        <v>251</v>
      </c>
      <c r="B7" s="45">
        <v>570</v>
      </c>
      <c r="C7" s="452">
        <v>2025</v>
      </c>
      <c r="D7" s="452">
        <v>2391</v>
      </c>
      <c r="E7" s="453">
        <v>2878</v>
      </c>
      <c r="F7" s="453">
        <v>3051</v>
      </c>
      <c r="G7" s="453">
        <v>2366</v>
      </c>
      <c r="H7" s="453">
        <v>4515</v>
      </c>
      <c r="I7" s="47">
        <v>3836</v>
      </c>
      <c r="J7" s="47">
        <v>4616</v>
      </c>
      <c r="K7" s="47">
        <v>7286.6009999999997</v>
      </c>
      <c r="L7" s="47">
        <v>6675</v>
      </c>
      <c r="M7" s="47">
        <v>4660</v>
      </c>
      <c r="N7" s="47">
        <v>5179</v>
      </c>
      <c r="O7" s="47">
        <v>9575</v>
      </c>
      <c r="P7" s="47">
        <v>6656.8159999999998</v>
      </c>
      <c r="Q7" s="47">
        <v>4905.915</v>
      </c>
    </row>
    <row r="8" spans="1:17" ht="15.95" customHeight="1" x14ac:dyDescent="0.25">
      <c r="A8" s="442" t="s">
        <v>250</v>
      </c>
      <c r="B8" s="47" t="s">
        <v>1</v>
      </c>
      <c r="C8" s="452" t="s">
        <v>1</v>
      </c>
      <c r="D8" s="452" t="s">
        <v>1</v>
      </c>
      <c r="E8" s="453">
        <v>170</v>
      </c>
      <c r="F8" s="453">
        <v>199</v>
      </c>
      <c r="G8" s="453">
        <v>488</v>
      </c>
      <c r="H8" s="453">
        <v>1192</v>
      </c>
      <c r="I8" s="47">
        <v>455</v>
      </c>
      <c r="J8" s="47">
        <v>435</v>
      </c>
      <c r="K8" s="47">
        <v>456.11399999999998</v>
      </c>
      <c r="L8" s="47">
        <v>359</v>
      </c>
      <c r="M8" s="47" t="s">
        <v>1</v>
      </c>
      <c r="N8" s="47" t="s">
        <v>1</v>
      </c>
      <c r="O8" s="47" t="s">
        <v>1</v>
      </c>
      <c r="P8" s="47" t="s">
        <v>1</v>
      </c>
      <c r="Q8" s="47" t="s">
        <v>1</v>
      </c>
    </row>
    <row r="9" spans="1:17" ht="15.95" customHeight="1" x14ac:dyDescent="0.25">
      <c r="A9" s="442" t="s">
        <v>249</v>
      </c>
      <c r="B9" s="47" t="s">
        <v>1</v>
      </c>
      <c r="C9" s="452" t="s">
        <v>1</v>
      </c>
      <c r="D9" s="452" t="s">
        <v>1</v>
      </c>
      <c r="E9" s="453" t="s">
        <v>1</v>
      </c>
      <c r="F9" s="453" t="s">
        <v>1</v>
      </c>
      <c r="G9" s="453" t="s">
        <v>1</v>
      </c>
      <c r="H9" s="453" t="s">
        <v>1</v>
      </c>
      <c r="I9" s="47" t="s">
        <v>1</v>
      </c>
      <c r="J9" s="453" t="s">
        <v>1</v>
      </c>
      <c r="K9" s="453" t="s">
        <v>1</v>
      </c>
      <c r="L9" s="453">
        <v>140</v>
      </c>
      <c r="M9" s="453" t="s">
        <v>1</v>
      </c>
      <c r="N9" s="453" t="s">
        <v>1</v>
      </c>
      <c r="O9" s="453" t="s">
        <v>1</v>
      </c>
      <c r="P9" s="453" t="s">
        <v>1</v>
      </c>
      <c r="Q9" s="453" t="s">
        <v>1</v>
      </c>
    </row>
    <row r="10" spans="1:17" ht="15.95" customHeight="1" x14ac:dyDescent="0.25">
      <c r="A10" s="442" t="s">
        <v>248</v>
      </c>
      <c r="B10" s="47" t="s">
        <v>1</v>
      </c>
      <c r="C10" s="452">
        <v>103</v>
      </c>
      <c r="D10" s="452" t="s">
        <v>1</v>
      </c>
      <c r="E10" s="453">
        <v>13</v>
      </c>
      <c r="F10" s="453" t="s">
        <v>1</v>
      </c>
      <c r="G10" s="453" t="s">
        <v>1</v>
      </c>
      <c r="H10" s="453" t="s">
        <v>1</v>
      </c>
      <c r="I10" s="453" t="s">
        <v>1</v>
      </c>
      <c r="J10" s="453" t="s">
        <v>1</v>
      </c>
      <c r="K10" s="453" t="s">
        <v>1</v>
      </c>
      <c r="L10" s="453">
        <v>46</v>
      </c>
      <c r="M10" s="453" t="s">
        <v>1</v>
      </c>
      <c r="N10" s="453" t="s">
        <v>1</v>
      </c>
      <c r="O10" s="453" t="s">
        <v>1</v>
      </c>
      <c r="P10" s="453" t="s">
        <v>1</v>
      </c>
      <c r="Q10" s="453" t="s">
        <v>1</v>
      </c>
    </row>
    <row r="11" spans="1:17" ht="15.95" customHeight="1" x14ac:dyDescent="0.25">
      <c r="A11" s="442" t="s">
        <v>247</v>
      </c>
      <c r="B11" s="47" t="s">
        <v>1</v>
      </c>
      <c r="C11" s="432" t="s">
        <v>1</v>
      </c>
      <c r="D11" s="432" t="s">
        <v>1</v>
      </c>
      <c r="E11" s="47" t="s">
        <v>1</v>
      </c>
      <c r="F11" s="47" t="s">
        <v>1</v>
      </c>
      <c r="G11" s="453" t="s">
        <v>1</v>
      </c>
      <c r="H11" s="453" t="s">
        <v>1</v>
      </c>
      <c r="I11" s="453" t="s">
        <v>1</v>
      </c>
      <c r="J11" s="453" t="s">
        <v>1</v>
      </c>
      <c r="K11" s="453" t="s">
        <v>1</v>
      </c>
      <c r="L11" s="453" t="s">
        <v>1</v>
      </c>
      <c r="M11" s="453" t="s">
        <v>1</v>
      </c>
      <c r="N11" s="453">
        <v>1</v>
      </c>
      <c r="O11" s="453" t="s">
        <v>1</v>
      </c>
      <c r="P11" s="453">
        <v>1</v>
      </c>
      <c r="Q11" s="453">
        <v>22</v>
      </c>
    </row>
    <row r="12" spans="1:17" ht="15.95" customHeight="1" x14ac:dyDescent="0.25">
      <c r="A12" s="442" t="s">
        <v>246</v>
      </c>
      <c r="B12" s="454">
        <v>297</v>
      </c>
      <c r="C12" s="455" t="s">
        <v>1</v>
      </c>
      <c r="D12" s="455">
        <v>480</v>
      </c>
      <c r="E12" s="47" t="s">
        <v>1</v>
      </c>
      <c r="F12" s="45">
        <v>5</v>
      </c>
      <c r="G12" s="47">
        <v>250</v>
      </c>
      <c r="H12" s="47" t="s">
        <v>1</v>
      </c>
      <c r="I12" s="47">
        <v>11</v>
      </c>
      <c r="J12" s="47">
        <v>20</v>
      </c>
      <c r="K12" s="47">
        <v>94</v>
      </c>
      <c r="L12" s="453" t="s">
        <v>1</v>
      </c>
      <c r="M12" s="453" t="s">
        <v>1</v>
      </c>
      <c r="N12" s="453" t="s">
        <v>1</v>
      </c>
      <c r="O12" s="453" t="s">
        <v>1</v>
      </c>
      <c r="P12" s="453">
        <v>176</v>
      </c>
      <c r="Q12" s="453">
        <v>125.179</v>
      </c>
    </row>
    <row r="13" spans="1:17" ht="15.95" customHeight="1" x14ac:dyDescent="0.25">
      <c r="A13" s="442" t="s">
        <v>245</v>
      </c>
      <c r="B13" s="454"/>
      <c r="C13" s="455" t="s">
        <v>1</v>
      </c>
      <c r="D13" s="455" t="s">
        <v>1</v>
      </c>
      <c r="E13" s="454" t="s">
        <v>1</v>
      </c>
      <c r="F13" s="454" t="s">
        <v>1</v>
      </c>
      <c r="G13" s="454" t="s">
        <v>1</v>
      </c>
      <c r="H13" s="454" t="s">
        <v>1</v>
      </c>
      <c r="I13" s="454" t="s">
        <v>1</v>
      </c>
      <c r="J13" s="454" t="s">
        <v>1</v>
      </c>
      <c r="K13" s="454" t="s">
        <v>1</v>
      </c>
      <c r="L13" s="454" t="s">
        <v>1</v>
      </c>
      <c r="M13" s="453" t="s">
        <v>1</v>
      </c>
      <c r="N13" s="453" t="s">
        <v>1</v>
      </c>
      <c r="O13" s="453">
        <v>135</v>
      </c>
      <c r="P13" s="453" t="s">
        <v>1</v>
      </c>
      <c r="Q13" s="453">
        <v>450</v>
      </c>
    </row>
    <row r="14" spans="1:17" s="55" customFormat="1" ht="12.75" hidden="1" customHeight="1" x14ac:dyDescent="0.25">
      <c r="A14" s="443" t="s">
        <v>244</v>
      </c>
      <c r="B14" s="432" t="s">
        <v>1</v>
      </c>
      <c r="C14" s="432" t="s">
        <v>1</v>
      </c>
      <c r="D14" s="452">
        <v>50</v>
      </c>
      <c r="E14" s="452">
        <v>60</v>
      </c>
      <c r="F14" s="452">
        <v>55</v>
      </c>
      <c r="G14" s="452" t="s">
        <v>1</v>
      </c>
      <c r="H14" s="452" t="s">
        <v>1</v>
      </c>
      <c r="I14" s="452" t="s">
        <v>1</v>
      </c>
      <c r="J14" s="452" t="s">
        <v>1</v>
      </c>
      <c r="K14" s="452" t="s">
        <v>1</v>
      </c>
      <c r="L14" s="452" t="s">
        <v>1</v>
      </c>
      <c r="M14" s="452" t="s">
        <v>1</v>
      </c>
      <c r="N14" s="452" t="s">
        <v>1</v>
      </c>
      <c r="O14" s="452" t="s">
        <v>1</v>
      </c>
      <c r="P14" s="452" t="s">
        <v>1</v>
      </c>
      <c r="Q14" s="452"/>
    </row>
    <row r="15" spans="1:17" ht="15.95" customHeight="1" x14ac:dyDescent="0.25">
      <c r="A15" s="442" t="s">
        <v>243</v>
      </c>
      <c r="B15" s="47" t="s">
        <v>1</v>
      </c>
      <c r="C15" s="452" t="s">
        <v>1</v>
      </c>
      <c r="D15" s="452" t="s">
        <v>1</v>
      </c>
      <c r="E15" s="453" t="s">
        <v>1</v>
      </c>
      <c r="F15" s="453" t="s">
        <v>1</v>
      </c>
      <c r="G15" s="453">
        <v>100</v>
      </c>
      <c r="H15" s="453">
        <v>50</v>
      </c>
      <c r="I15" s="47">
        <v>103</v>
      </c>
      <c r="J15" s="453" t="s">
        <v>1</v>
      </c>
      <c r="K15" s="453" t="s">
        <v>1</v>
      </c>
      <c r="L15" s="453" t="s">
        <v>1</v>
      </c>
      <c r="M15" s="453">
        <v>199</v>
      </c>
      <c r="N15" s="453" t="s">
        <v>1</v>
      </c>
      <c r="O15" s="453" t="s">
        <v>1</v>
      </c>
      <c r="P15" s="453" t="s">
        <v>1</v>
      </c>
      <c r="Q15" s="453" t="s">
        <v>1</v>
      </c>
    </row>
    <row r="16" spans="1:17" ht="15.95" customHeight="1" x14ac:dyDescent="0.25">
      <c r="A16" s="444" t="s">
        <v>242</v>
      </c>
      <c r="B16" s="436" t="s">
        <v>1</v>
      </c>
      <c r="C16" s="445" t="s">
        <v>1</v>
      </c>
      <c r="D16" s="445" t="s">
        <v>1</v>
      </c>
      <c r="E16" s="446" t="s">
        <v>1</v>
      </c>
      <c r="F16" s="446" t="s">
        <v>1</v>
      </c>
      <c r="G16" s="446" t="s">
        <v>1</v>
      </c>
      <c r="H16" s="446" t="s">
        <v>1</v>
      </c>
      <c r="I16" s="446" t="s">
        <v>1</v>
      </c>
      <c r="J16" s="446" t="s">
        <v>1</v>
      </c>
      <c r="K16" s="446" t="s">
        <v>1</v>
      </c>
      <c r="L16" s="446" t="s">
        <v>1</v>
      </c>
      <c r="M16" s="446" t="s">
        <v>1</v>
      </c>
      <c r="N16" s="446" t="s">
        <v>1</v>
      </c>
      <c r="O16" s="446" t="s">
        <v>1</v>
      </c>
      <c r="P16" s="446">
        <v>107.85</v>
      </c>
      <c r="Q16" s="446" t="s">
        <v>1</v>
      </c>
    </row>
    <row r="17" spans="1:16" s="17" customFormat="1" ht="12" customHeight="1" x14ac:dyDescent="0.25">
      <c r="A17" s="554" t="s">
        <v>0</v>
      </c>
      <c r="B17" s="555"/>
      <c r="C17" s="555"/>
      <c r="D17" s="555"/>
      <c r="E17" s="555"/>
      <c r="F17" s="555"/>
      <c r="G17" s="555"/>
      <c r="H17" s="555"/>
      <c r="I17" s="555"/>
      <c r="J17" s="555"/>
      <c r="K17" s="555"/>
      <c r="L17" s="555"/>
      <c r="M17" s="555"/>
      <c r="N17" s="555"/>
      <c r="O17" s="555"/>
      <c r="P17" s="555"/>
    </row>
  </sheetData>
  <mergeCells count="3">
    <mergeCell ref="A17:P17"/>
    <mergeCell ref="A1:Q1"/>
    <mergeCell ref="A2:Q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26"/>
  <sheetViews>
    <sheetView showGridLines="0" zoomScaleNormal="100" zoomScaleSheetLayoutView="145" workbookViewId="0">
      <selection activeCell="A4" sqref="A4:R23"/>
    </sheetView>
  </sheetViews>
  <sheetFormatPr baseColWidth="10" defaultColWidth="8.7109375" defaultRowHeight="12.75" customHeight="1" x14ac:dyDescent="0.25"/>
  <cols>
    <col min="1" max="1" width="14.7109375" style="45" customWidth="1"/>
    <col min="2" max="2" width="7" style="47" hidden="1" customWidth="1"/>
    <col min="3" max="7" width="6.7109375" style="47" hidden="1" customWidth="1"/>
    <col min="8" max="17" width="6.85546875" style="47" customWidth="1"/>
    <col min="18" max="18" width="6.85546875" style="45" customWidth="1"/>
    <col min="19" max="241" width="8.7109375" style="45"/>
    <col min="242" max="242" width="12.7109375" style="45" customWidth="1"/>
    <col min="243" max="243" width="7" style="45" customWidth="1"/>
    <col min="244" max="244" width="6.7109375" style="45" customWidth="1"/>
    <col min="245" max="245" width="6.28515625" style="45" customWidth="1"/>
    <col min="246" max="247" width="6.7109375" style="45" customWidth="1"/>
    <col min="248" max="248" width="6.28515625" style="45" customWidth="1"/>
    <col min="249" max="254" width="6.7109375" style="45" customWidth="1"/>
    <col min="255" max="255" width="7.7109375" style="45" customWidth="1"/>
    <col min="256" max="497" width="8.7109375" style="45"/>
    <col min="498" max="498" width="12.7109375" style="45" customWidth="1"/>
    <col min="499" max="499" width="7" style="45" customWidth="1"/>
    <col min="500" max="500" width="6.7109375" style="45" customWidth="1"/>
    <col min="501" max="501" width="6.28515625" style="45" customWidth="1"/>
    <col min="502" max="503" width="6.7109375" style="45" customWidth="1"/>
    <col min="504" max="504" width="6.28515625" style="45" customWidth="1"/>
    <col min="505" max="510" width="6.7109375" style="45" customWidth="1"/>
    <col min="511" max="511" width="7.7109375" style="45" customWidth="1"/>
    <col min="512" max="753" width="8.7109375" style="45"/>
    <col min="754" max="754" width="12.7109375" style="45" customWidth="1"/>
    <col min="755" max="755" width="7" style="45" customWidth="1"/>
    <col min="756" max="756" width="6.7109375" style="45" customWidth="1"/>
    <col min="757" max="757" width="6.28515625" style="45" customWidth="1"/>
    <col min="758" max="759" width="6.7109375" style="45" customWidth="1"/>
    <col min="760" max="760" width="6.28515625" style="45" customWidth="1"/>
    <col min="761" max="766" width="6.7109375" style="45" customWidth="1"/>
    <col min="767" max="767" width="7.7109375" style="45" customWidth="1"/>
    <col min="768" max="1009" width="8.7109375" style="45"/>
    <col min="1010" max="1010" width="12.7109375" style="45" customWidth="1"/>
    <col min="1011" max="1011" width="7" style="45" customWidth="1"/>
    <col min="1012" max="1012" width="6.7109375" style="45" customWidth="1"/>
    <col min="1013" max="1013" width="6.28515625" style="45" customWidth="1"/>
    <col min="1014" max="1015" width="6.7109375" style="45" customWidth="1"/>
    <col min="1016" max="1016" width="6.28515625" style="45" customWidth="1"/>
    <col min="1017" max="1022" width="6.7109375" style="45" customWidth="1"/>
    <col min="1023" max="1023" width="7.7109375" style="45" customWidth="1"/>
    <col min="1024" max="1265" width="8.7109375" style="45"/>
    <col min="1266" max="1266" width="12.7109375" style="45" customWidth="1"/>
    <col min="1267" max="1267" width="7" style="45" customWidth="1"/>
    <col min="1268" max="1268" width="6.7109375" style="45" customWidth="1"/>
    <col min="1269" max="1269" width="6.28515625" style="45" customWidth="1"/>
    <col min="1270" max="1271" width="6.7109375" style="45" customWidth="1"/>
    <col min="1272" max="1272" width="6.28515625" style="45" customWidth="1"/>
    <col min="1273" max="1278" width="6.7109375" style="45" customWidth="1"/>
    <col min="1279" max="1279" width="7.7109375" style="45" customWidth="1"/>
    <col min="1280" max="1521" width="8.7109375" style="45"/>
    <col min="1522" max="1522" width="12.7109375" style="45" customWidth="1"/>
    <col min="1523" max="1523" width="7" style="45" customWidth="1"/>
    <col min="1524" max="1524" width="6.7109375" style="45" customWidth="1"/>
    <col min="1525" max="1525" width="6.28515625" style="45" customWidth="1"/>
    <col min="1526" max="1527" width="6.7109375" style="45" customWidth="1"/>
    <col min="1528" max="1528" width="6.28515625" style="45" customWidth="1"/>
    <col min="1529" max="1534" width="6.7109375" style="45" customWidth="1"/>
    <col min="1535" max="1535" width="7.7109375" style="45" customWidth="1"/>
    <col min="1536" max="1777" width="8.7109375" style="45"/>
    <col min="1778" max="1778" width="12.7109375" style="45" customWidth="1"/>
    <col min="1779" max="1779" width="7" style="45" customWidth="1"/>
    <col min="1780" max="1780" width="6.7109375" style="45" customWidth="1"/>
    <col min="1781" max="1781" width="6.28515625" style="45" customWidth="1"/>
    <col min="1782" max="1783" width="6.7109375" style="45" customWidth="1"/>
    <col min="1784" max="1784" width="6.28515625" style="45" customWidth="1"/>
    <col min="1785" max="1790" width="6.7109375" style="45" customWidth="1"/>
    <col min="1791" max="1791" width="7.7109375" style="45" customWidth="1"/>
    <col min="1792" max="2033" width="8.7109375" style="45"/>
    <col min="2034" max="2034" width="12.7109375" style="45" customWidth="1"/>
    <col min="2035" max="2035" width="7" style="45" customWidth="1"/>
    <col min="2036" max="2036" width="6.7109375" style="45" customWidth="1"/>
    <col min="2037" max="2037" width="6.28515625" style="45" customWidth="1"/>
    <col min="2038" max="2039" width="6.7109375" style="45" customWidth="1"/>
    <col min="2040" max="2040" width="6.28515625" style="45" customWidth="1"/>
    <col min="2041" max="2046" width="6.7109375" style="45" customWidth="1"/>
    <col min="2047" max="2047" width="7.7109375" style="45" customWidth="1"/>
    <col min="2048" max="2289" width="8.7109375" style="45"/>
    <col min="2290" max="2290" width="12.7109375" style="45" customWidth="1"/>
    <col min="2291" max="2291" width="7" style="45" customWidth="1"/>
    <col min="2292" max="2292" width="6.7109375" style="45" customWidth="1"/>
    <col min="2293" max="2293" width="6.28515625" style="45" customWidth="1"/>
    <col min="2294" max="2295" width="6.7109375" style="45" customWidth="1"/>
    <col min="2296" max="2296" width="6.28515625" style="45" customWidth="1"/>
    <col min="2297" max="2302" width="6.7109375" style="45" customWidth="1"/>
    <col min="2303" max="2303" width="7.7109375" style="45" customWidth="1"/>
    <col min="2304" max="2545" width="8.7109375" style="45"/>
    <col min="2546" max="2546" width="12.7109375" style="45" customWidth="1"/>
    <col min="2547" max="2547" width="7" style="45" customWidth="1"/>
    <col min="2548" max="2548" width="6.7109375" style="45" customWidth="1"/>
    <col min="2549" max="2549" width="6.28515625" style="45" customWidth="1"/>
    <col min="2550" max="2551" width="6.7109375" style="45" customWidth="1"/>
    <col min="2552" max="2552" width="6.28515625" style="45" customWidth="1"/>
    <col min="2553" max="2558" width="6.7109375" style="45" customWidth="1"/>
    <col min="2559" max="2559" width="7.7109375" style="45" customWidth="1"/>
    <col min="2560" max="2801" width="8.7109375" style="45"/>
    <col min="2802" max="2802" width="12.7109375" style="45" customWidth="1"/>
    <col min="2803" max="2803" width="7" style="45" customWidth="1"/>
    <col min="2804" max="2804" width="6.7109375" style="45" customWidth="1"/>
    <col min="2805" max="2805" width="6.28515625" style="45" customWidth="1"/>
    <col min="2806" max="2807" width="6.7109375" style="45" customWidth="1"/>
    <col min="2808" max="2808" width="6.28515625" style="45" customWidth="1"/>
    <col min="2809" max="2814" width="6.7109375" style="45" customWidth="1"/>
    <col min="2815" max="2815" width="7.7109375" style="45" customWidth="1"/>
    <col min="2816" max="3057" width="8.7109375" style="45"/>
    <col min="3058" max="3058" width="12.7109375" style="45" customWidth="1"/>
    <col min="3059" max="3059" width="7" style="45" customWidth="1"/>
    <col min="3060" max="3060" width="6.7109375" style="45" customWidth="1"/>
    <col min="3061" max="3061" width="6.28515625" style="45" customWidth="1"/>
    <col min="3062" max="3063" width="6.7109375" style="45" customWidth="1"/>
    <col min="3064" max="3064" width="6.28515625" style="45" customWidth="1"/>
    <col min="3065" max="3070" width="6.7109375" style="45" customWidth="1"/>
    <col min="3071" max="3071" width="7.7109375" style="45" customWidth="1"/>
    <col min="3072" max="3313" width="8.7109375" style="45"/>
    <col min="3314" max="3314" width="12.7109375" style="45" customWidth="1"/>
    <col min="3315" max="3315" width="7" style="45" customWidth="1"/>
    <col min="3316" max="3316" width="6.7109375" style="45" customWidth="1"/>
    <col min="3317" max="3317" width="6.28515625" style="45" customWidth="1"/>
    <col min="3318" max="3319" width="6.7109375" style="45" customWidth="1"/>
    <col min="3320" max="3320" width="6.28515625" style="45" customWidth="1"/>
    <col min="3321" max="3326" width="6.7109375" style="45" customWidth="1"/>
    <col min="3327" max="3327" width="7.7109375" style="45" customWidth="1"/>
    <col min="3328" max="3569" width="8.7109375" style="45"/>
    <col min="3570" max="3570" width="12.7109375" style="45" customWidth="1"/>
    <col min="3571" max="3571" width="7" style="45" customWidth="1"/>
    <col min="3572" max="3572" width="6.7109375" style="45" customWidth="1"/>
    <col min="3573" max="3573" width="6.28515625" style="45" customWidth="1"/>
    <col min="3574" max="3575" width="6.7109375" style="45" customWidth="1"/>
    <col min="3576" max="3576" width="6.28515625" style="45" customWidth="1"/>
    <col min="3577" max="3582" width="6.7109375" style="45" customWidth="1"/>
    <col min="3583" max="3583" width="7.7109375" style="45" customWidth="1"/>
    <col min="3584" max="3825" width="8.7109375" style="45"/>
    <col min="3826" max="3826" width="12.7109375" style="45" customWidth="1"/>
    <col min="3827" max="3827" width="7" style="45" customWidth="1"/>
    <col min="3828" max="3828" width="6.7109375" style="45" customWidth="1"/>
    <col min="3829" max="3829" width="6.28515625" style="45" customWidth="1"/>
    <col min="3830" max="3831" width="6.7109375" style="45" customWidth="1"/>
    <col min="3832" max="3832" width="6.28515625" style="45" customWidth="1"/>
    <col min="3833" max="3838" width="6.7109375" style="45" customWidth="1"/>
    <col min="3839" max="3839" width="7.7109375" style="45" customWidth="1"/>
    <col min="3840" max="4081" width="8.7109375" style="45"/>
    <col min="4082" max="4082" width="12.7109375" style="45" customWidth="1"/>
    <col min="4083" max="4083" width="7" style="45" customWidth="1"/>
    <col min="4084" max="4084" width="6.7109375" style="45" customWidth="1"/>
    <col min="4085" max="4085" width="6.28515625" style="45" customWidth="1"/>
    <col min="4086" max="4087" width="6.7109375" style="45" customWidth="1"/>
    <col min="4088" max="4088" width="6.28515625" style="45" customWidth="1"/>
    <col min="4089" max="4094" width="6.7109375" style="45" customWidth="1"/>
    <col min="4095" max="4095" width="7.7109375" style="45" customWidth="1"/>
    <col min="4096" max="4337" width="8.7109375" style="45"/>
    <col min="4338" max="4338" width="12.7109375" style="45" customWidth="1"/>
    <col min="4339" max="4339" width="7" style="45" customWidth="1"/>
    <col min="4340" max="4340" width="6.7109375" style="45" customWidth="1"/>
    <col min="4341" max="4341" width="6.28515625" style="45" customWidth="1"/>
    <col min="4342" max="4343" width="6.7109375" style="45" customWidth="1"/>
    <col min="4344" max="4344" width="6.28515625" style="45" customWidth="1"/>
    <col min="4345" max="4350" width="6.7109375" style="45" customWidth="1"/>
    <col min="4351" max="4351" width="7.7109375" style="45" customWidth="1"/>
    <col min="4352" max="4593" width="8.7109375" style="45"/>
    <col min="4594" max="4594" width="12.7109375" style="45" customWidth="1"/>
    <col min="4595" max="4595" width="7" style="45" customWidth="1"/>
    <col min="4596" max="4596" width="6.7109375" style="45" customWidth="1"/>
    <col min="4597" max="4597" width="6.28515625" style="45" customWidth="1"/>
    <col min="4598" max="4599" width="6.7109375" style="45" customWidth="1"/>
    <col min="4600" max="4600" width="6.28515625" style="45" customWidth="1"/>
    <col min="4601" max="4606" width="6.7109375" style="45" customWidth="1"/>
    <col min="4607" max="4607" width="7.7109375" style="45" customWidth="1"/>
    <col min="4608" max="4849" width="8.7109375" style="45"/>
    <col min="4850" max="4850" width="12.7109375" style="45" customWidth="1"/>
    <col min="4851" max="4851" width="7" style="45" customWidth="1"/>
    <col min="4852" max="4852" width="6.7109375" style="45" customWidth="1"/>
    <col min="4853" max="4853" width="6.28515625" style="45" customWidth="1"/>
    <col min="4854" max="4855" width="6.7109375" style="45" customWidth="1"/>
    <col min="4856" max="4856" width="6.28515625" style="45" customWidth="1"/>
    <col min="4857" max="4862" width="6.7109375" style="45" customWidth="1"/>
    <col min="4863" max="4863" width="7.7109375" style="45" customWidth="1"/>
    <col min="4864" max="5105" width="8.7109375" style="45"/>
    <col min="5106" max="5106" width="12.7109375" style="45" customWidth="1"/>
    <col min="5107" max="5107" width="7" style="45" customWidth="1"/>
    <col min="5108" max="5108" width="6.7109375" style="45" customWidth="1"/>
    <col min="5109" max="5109" width="6.28515625" style="45" customWidth="1"/>
    <col min="5110" max="5111" width="6.7109375" style="45" customWidth="1"/>
    <col min="5112" max="5112" width="6.28515625" style="45" customWidth="1"/>
    <col min="5113" max="5118" width="6.7109375" style="45" customWidth="1"/>
    <col min="5119" max="5119" width="7.7109375" style="45" customWidth="1"/>
    <col min="5120" max="5361" width="8.7109375" style="45"/>
    <col min="5362" max="5362" width="12.7109375" style="45" customWidth="1"/>
    <col min="5363" max="5363" width="7" style="45" customWidth="1"/>
    <col min="5364" max="5364" width="6.7109375" style="45" customWidth="1"/>
    <col min="5365" max="5365" width="6.28515625" style="45" customWidth="1"/>
    <col min="5366" max="5367" width="6.7109375" style="45" customWidth="1"/>
    <col min="5368" max="5368" width="6.28515625" style="45" customWidth="1"/>
    <col min="5369" max="5374" width="6.7109375" style="45" customWidth="1"/>
    <col min="5375" max="5375" width="7.7109375" style="45" customWidth="1"/>
    <col min="5376" max="5617" width="8.7109375" style="45"/>
    <col min="5618" max="5618" width="12.7109375" style="45" customWidth="1"/>
    <col min="5619" max="5619" width="7" style="45" customWidth="1"/>
    <col min="5620" max="5620" width="6.7109375" style="45" customWidth="1"/>
    <col min="5621" max="5621" width="6.28515625" style="45" customWidth="1"/>
    <col min="5622" max="5623" width="6.7109375" style="45" customWidth="1"/>
    <col min="5624" max="5624" width="6.28515625" style="45" customWidth="1"/>
    <col min="5625" max="5630" width="6.7109375" style="45" customWidth="1"/>
    <col min="5631" max="5631" width="7.7109375" style="45" customWidth="1"/>
    <col min="5632" max="5873" width="8.7109375" style="45"/>
    <col min="5874" max="5874" width="12.7109375" style="45" customWidth="1"/>
    <col min="5875" max="5875" width="7" style="45" customWidth="1"/>
    <col min="5876" max="5876" width="6.7109375" style="45" customWidth="1"/>
    <col min="5877" max="5877" width="6.28515625" style="45" customWidth="1"/>
    <col min="5878" max="5879" width="6.7109375" style="45" customWidth="1"/>
    <col min="5880" max="5880" width="6.28515625" style="45" customWidth="1"/>
    <col min="5881" max="5886" width="6.7109375" style="45" customWidth="1"/>
    <col min="5887" max="5887" width="7.7109375" style="45" customWidth="1"/>
    <col min="5888" max="6129" width="8.7109375" style="45"/>
    <col min="6130" max="6130" width="12.7109375" style="45" customWidth="1"/>
    <col min="6131" max="6131" width="7" style="45" customWidth="1"/>
    <col min="6132" max="6132" width="6.7109375" style="45" customWidth="1"/>
    <col min="6133" max="6133" width="6.28515625" style="45" customWidth="1"/>
    <col min="6134" max="6135" width="6.7109375" style="45" customWidth="1"/>
    <col min="6136" max="6136" width="6.28515625" style="45" customWidth="1"/>
    <col min="6137" max="6142" width="6.7109375" style="45" customWidth="1"/>
    <col min="6143" max="6143" width="7.7109375" style="45" customWidth="1"/>
    <col min="6144" max="6385" width="8.7109375" style="45"/>
    <col min="6386" max="6386" width="12.7109375" style="45" customWidth="1"/>
    <col min="6387" max="6387" width="7" style="45" customWidth="1"/>
    <col min="6388" max="6388" width="6.7109375" style="45" customWidth="1"/>
    <col min="6389" max="6389" width="6.28515625" style="45" customWidth="1"/>
    <col min="6390" max="6391" width="6.7109375" style="45" customWidth="1"/>
    <col min="6392" max="6392" width="6.28515625" style="45" customWidth="1"/>
    <col min="6393" max="6398" width="6.7109375" style="45" customWidth="1"/>
    <col min="6399" max="6399" width="7.7109375" style="45" customWidth="1"/>
    <col min="6400" max="6641" width="8.7109375" style="45"/>
    <col min="6642" max="6642" width="12.7109375" style="45" customWidth="1"/>
    <col min="6643" max="6643" width="7" style="45" customWidth="1"/>
    <col min="6644" max="6644" width="6.7109375" style="45" customWidth="1"/>
    <col min="6645" max="6645" width="6.28515625" style="45" customWidth="1"/>
    <col min="6646" max="6647" width="6.7109375" style="45" customWidth="1"/>
    <col min="6648" max="6648" width="6.28515625" style="45" customWidth="1"/>
    <col min="6649" max="6654" width="6.7109375" style="45" customWidth="1"/>
    <col min="6655" max="6655" width="7.7109375" style="45" customWidth="1"/>
    <col min="6656" max="6897" width="8.7109375" style="45"/>
    <col min="6898" max="6898" width="12.7109375" style="45" customWidth="1"/>
    <col min="6899" max="6899" width="7" style="45" customWidth="1"/>
    <col min="6900" max="6900" width="6.7109375" style="45" customWidth="1"/>
    <col min="6901" max="6901" width="6.28515625" style="45" customWidth="1"/>
    <col min="6902" max="6903" width="6.7109375" style="45" customWidth="1"/>
    <col min="6904" max="6904" width="6.28515625" style="45" customWidth="1"/>
    <col min="6905" max="6910" width="6.7109375" style="45" customWidth="1"/>
    <col min="6911" max="6911" width="7.7109375" style="45" customWidth="1"/>
    <col min="6912" max="7153" width="8.7109375" style="45"/>
    <col min="7154" max="7154" width="12.7109375" style="45" customWidth="1"/>
    <col min="7155" max="7155" width="7" style="45" customWidth="1"/>
    <col min="7156" max="7156" width="6.7109375" style="45" customWidth="1"/>
    <col min="7157" max="7157" width="6.28515625" style="45" customWidth="1"/>
    <col min="7158" max="7159" width="6.7109375" style="45" customWidth="1"/>
    <col min="7160" max="7160" width="6.28515625" style="45" customWidth="1"/>
    <col min="7161" max="7166" width="6.7109375" style="45" customWidth="1"/>
    <col min="7167" max="7167" width="7.7109375" style="45" customWidth="1"/>
    <col min="7168" max="7409" width="8.7109375" style="45"/>
    <col min="7410" max="7410" width="12.7109375" style="45" customWidth="1"/>
    <col min="7411" max="7411" width="7" style="45" customWidth="1"/>
    <col min="7412" max="7412" width="6.7109375" style="45" customWidth="1"/>
    <col min="7413" max="7413" width="6.28515625" style="45" customWidth="1"/>
    <col min="7414" max="7415" width="6.7109375" style="45" customWidth="1"/>
    <col min="7416" max="7416" width="6.28515625" style="45" customWidth="1"/>
    <col min="7417" max="7422" width="6.7109375" style="45" customWidth="1"/>
    <col min="7423" max="7423" width="7.7109375" style="45" customWidth="1"/>
    <col min="7424" max="7665" width="8.7109375" style="45"/>
    <col min="7666" max="7666" width="12.7109375" style="45" customWidth="1"/>
    <col min="7667" max="7667" width="7" style="45" customWidth="1"/>
    <col min="7668" max="7668" width="6.7109375" style="45" customWidth="1"/>
    <col min="7669" max="7669" width="6.28515625" style="45" customWidth="1"/>
    <col min="7670" max="7671" width="6.7109375" style="45" customWidth="1"/>
    <col min="7672" max="7672" width="6.28515625" style="45" customWidth="1"/>
    <col min="7673" max="7678" width="6.7109375" style="45" customWidth="1"/>
    <col min="7679" max="7679" width="7.7109375" style="45" customWidth="1"/>
    <col min="7680" max="7921" width="8.7109375" style="45"/>
    <col min="7922" max="7922" width="12.7109375" style="45" customWidth="1"/>
    <col min="7923" max="7923" width="7" style="45" customWidth="1"/>
    <col min="7924" max="7924" width="6.7109375" style="45" customWidth="1"/>
    <col min="7925" max="7925" width="6.28515625" style="45" customWidth="1"/>
    <col min="7926" max="7927" width="6.7109375" style="45" customWidth="1"/>
    <col min="7928" max="7928" width="6.28515625" style="45" customWidth="1"/>
    <col min="7929" max="7934" width="6.7109375" style="45" customWidth="1"/>
    <col min="7935" max="7935" width="7.7109375" style="45" customWidth="1"/>
    <col min="7936" max="8177" width="8.7109375" style="45"/>
    <col min="8178" max="8178" width="12.7109375" style="45" customWidth="1"/>
    <col min="8179" max="8179" width="7" style="45" customWidth="1"/>
    <col min="8180" max="8180" width="6.7109375" style="45" customWidth="1"/>
    <col min="8181" max="8181" width="6.28515625" style="45" customWidth="1"/>
    <col min="8182" max="8183" width="6.7109375" style="45" customWidth="1"/>
    <col min="8184" max="8184" width="6.28515625" style="45" customWidth="1"/>
    <col min="8185" max="8190" width="6.7109375" style="45" customWidth="1"/>
    <col min="8191" max="8191" width="7.7109375" style="45" customWidth="1"/>
    <col min="8192" max="8433" width="8.7109375" style="45"/>
    <col min="8434" max="8434" width="12.7109375" style="45" customWidth="1"/>
    <col min="8435" max="8435" width="7" style="45" customWidth="1"/>
    <col min="8436" max="8436" width="6.7109375" style="45" customWidth="1"/>
    <col min="8437" max="8437" width="6.28515625" style="45" customWidth="1"/>
    <col min="8438" max="8439" width="6.7109375" style="45" customWidth="1"/>
    <col min="8440" max="8440" width="6.28515625" style="45" customWidth="1"/>
    <col min="8441" max="8446" width="6.7109375" style="45" customWidth="1"/>
    <col min="8447" max="8447" width="7.7109375" style="45" customWidth="1"/>
    <col min="8448" max="8689" width="8.7109375" style="45"/>
    <col min="8690" max="8690" width="12.7109375" style="45" customWidth="1"/>
    <col min="8691" max="8691" width="7" style="45" customWidth="1"/>
    <col min="8692" max="8692" width="6.7109375" style="45" customWidth="1"/>
    <col min="8693" max="8693" width="6.28515625" style="45" customWidth="1"/>
    <col min="8694" max="8695" width="6.7109375" style="45" customWidth="1"/>
    <col min="8696" max="8696" width="6.28515625" style="45" customWidth="1"/>
    <col min="8697" max="8702" width="6.7109375" style="45" customWidth="1"/>
    <col min="8703" max="8703" width="7.7109375" style="45" customWidth="1"/>
    <col min="8704" max="8945" width="8.7109375" style="45"/>
    <col min="8946" max="8946" width="12.7109375" style="45" customWidth="1"/>
    <col min="8947" max="8947" width="7" style="45" customWidth="1"/>
    <col min="8948" max="8948" width="6.7109375" style="45" customWidth="1"/>
    <col min="8949" max="8949" width="6.28515625" style="45" customWidth="1"/>
    <col min="8950" max="8951" width="6.7109375" style="45" customWidth="1"/>
    <col min="8952" max="8952" width="6.28515625" style="45" customWidth="1"/>
    <col min="8953" max="8958" width="6.7109375" style="45" customWidth="1"/>
    <col min="8959" max="8959" width="7.7109375" style="45" customWidth="1"/>
    <col min="8960" max="9201" width="8.7109375" style="45"/>
    <col min="9202" max="9202" width="12.7109375" style="45" customWidth="1"/>
    <col min="9203" max="9203" width="7" style="45" customWidth="1"/>
    <col min="9204" max="9204" width="6.7109375" style="45" customWidth="1"/>
    <col min="9205" max="9205" width="6.28515625" style="45" customWidth="1"/>
    <col min="9206" max="9207" width="6.7109375" style="45" customWidth="1"/>
    <col min="9208" max="9208" width="6.28515625" style="45" customWidth="1"/>
    <col min="9209" max="9214" width="6.7109375" style="45" customWidth="1"/>
    <col min="9215" max="9215" width="7.7109375" style="45" customWidth="1"/>
    <col min="9216" max="9457" width="8.7109375" style="45"/>
    <col min="9458" max="9458" width="12.7109375" style="45" customWidth="1"/>
    <col min="9459" max="9459" width="7" style="45" customWidth="1"/>
    <col min="9460" max="9460" width="6.7109375" style="45" customWidth="1"/>
    <col min="9461" max="9461" width="6.28515625" style="45" customWidth="1"/>
    <col min="9462" max="9463" width="6.7109375" style="45" customWidth="1"/>
    <col min="9464" max="9464" width="6.28515625" style="45" customWidth="1"/>
    <col min="9465" max="9470" width="6.7109375" style="45" customWidth="1"/>
    <col min="9471" max="9471" width="7.7109375" style="45" customWidth="1"/>
    <col min="9472" max="9713" width="8.7109375" style="45"/>
    <col min="9714" max="9714" width="12.7109375" style="45" customWidth="1"/>
    <col min="9715" max="9715" width="7" style="45" customWidth="1"/>
    <col min="9716" max="9716" width="6.7109375" style="45" customWidth="1"/>
    <col min="9717" max="9717" width="6.28515625" style="45" customWidth="1"/>
    <col min="9718" max="9719" width="6.7109375" style="45" customWidth="1"/>
    <col min="9720" max="9720" width="6.28515625" style="45" customWidth="1"/>
    <col min="9721" max="9726" width="6.7109375" style="45" customWidth="1"/>
    <col min="9727" max="9727" width="7.7109375" style="45" customWidth="1"/>
    <col min="9728" max="9969" width="8.7109375" style="45"/>
    <col min="9970" max="9970" width="12.7109375" style="45" customWidth="1"/>
    <col min="9971" max="9971" width="7" style="45" customWidth="1"/>
    <col min="9972" max="9972" width="6.7109375" style="45" customWidth="1"/>
    <col min="9973" max="9973" width="6.28515625" style="45" customWidth="1"/>
    <col min="9974" max="9975" width="6.7109375" style="45" customWidth="1"/>
    <col min="9976" max="9976" width="6.28515625" style="45" customWidth="1"/>
    <col min="9977" max="9982" width="6.7109375" style="45" customWidth="1"/>
    <col min="9983" max="9983" width="7.7109375" style="45" customWidth="1"/>
    <col min="9984" max="10225" width="8.7109375" style="45"/>
    <col min="10226" max="10226" width="12.7109375" style="45" customWidth="1"/>
    <col min="10227" max="10227" width="7" style="45" customWidth="1"/>
    <col min="10228" max="10228" width="6.7109375" style="45" customWidth="1"/>
    <col min="10229" max="10229" width="6.28515625" style="45" customWidth="1"/>
    <col min="10230" max="10231" width="6.7109375" style="45" customWidth="1"/>
    <col min="10232" max="10232" width="6.28515625" style="45" customWidth="1"/>
    <col min="10233" max="10238" width="6.7109375" style="45" customWidth="1"/>
    <col min="10239" max="10239" width="7.7109375" style="45" customWidth="1"/>
    <col min="10240" max="10481" width="8.7109375" style="45"/>
    <col min="10482" max="10482" width="12.7109375" style="45" customWidth="1"/>
    <col min="10483" max="10483" width="7" style="45" customWidth="1"/>
    <col min="10484" max="10484" width="6.7109375" style="45" customWidth="1"/>
    <col min="10485" max="10485" width="6.28515625" style="45" customWidth="1"/>
    <col min="10486" max="10487" width="6.7109375" style="45" customWidth="1"/>
    <col min="10488" max="10488" width="6.28515625" style="45" customWidth="1"/>
    <col min="10489" max="10494" width="6.7109375" style="45" customWidth="1"/>
    <col min="10495" max="10495" width="7.7109375" style="45" customWidth="1"/>
    <col min="10496" max="10737" width="8.7109375" style="45"/>
    <col min="10738" max="10738" width="12.7109375" style="45" customWidth="1"/>
    <col min="10739" max="10739" width="7" style="45" customWidth="1"/>
    <col min="10740" max="10740" width="6.7109375" style="45" customWidth="1"/>
    <col min="10741" max="10741" width="6.28515625" style="45" customWidth="1"/>
    <col min="10742" max="10743" width="6.7109375" style="45" customWidth="1"/>
    <col min="10744" max="10744" width="6.28515625" style="45" customWidth="1"/>
    <col min="10745" max="10750" width="6.7109375" style="45" customWidth="1"/>
    <col min="10751" max="10751" width="7.7109375" style="45" customWidth="1"/>
    <col min="10752" max="10993" width="8.7109375" style="45"/>
    <col min="10994" max="10994" width="12.7109375" style="45" customWidth="1"/>
    <col min="10995" max="10995" width="7" style="45" customWidth="1"/>
    <col min="10996" max="10996" width="6.7109375" style="45" customWidth="1"/>
    <col min="10997" max="10997" width="6.28515625" style="45" customWidth="1"/>
    <col min="10998" max="10999" width="6.7109375" style="45" customWidth="1"/>
    <col min="11000" max="11000" width="6.28515625" style="45" customWidth="1"/>
    <col min="11001" max="11006" width="6.7109375" style="45" customWidth="1"/>
    <col min="11007" max="11007" width="7.7109375" style="45" customWidth="1"/>
    <col min="11008" max="11249" width="8.7109375" style="45"/>
    <col min="11250" max="11250" width="12.7109375" style="45" customWidth="1"/>
    <col min="11251" max="11251" width="7" style="45" customWidth="1"/>
    <col min="11252" max="11252" width="6.7109375" style="45" customWidth="1"/>
    <col min="11253" max="11253" width="6.28515625" style="45" customWidth="1"/>
    <col min="11254" max="11255" width="6.7109375" style="45" customWidth="1"/>
    <col min="11256" max="11256" width="6.28515625" style="45" customWidth="1"/>
    <col min="11257" max="11262" width="6.7109375" style="45" customWidth="1"/>
    <col min="11263" max="11263" width="7.7109375" style="45" customWidth="1"/>
    <col min="11264" max="11505" width="8.7109375" style="45"/>
    <col min="11506" max="11506" width="12.7109375" style="45" customWidth="1"/>
    <col min="11507" max="11507" width="7" style="45" customWidth="1"/>
    <col min="11508" max="11508" width="6.7109375" style="45" customWidth="1"/>
    <col min="11509" max="11509" width="6.28515625" style="45" customWidth="1"/>
    <col min="11510" max="11511" width="6.7109375" style="45" customWidth="1"/>
    <col min="11512" max="11512" width="6.28515625" style="45" customWidth="1"/>
    <col min="11513" max="11518" width="6.7109375" style="45" customWidth="1"/>
    <col min="11519" max="11519" width="7.7109375" style="45" customWidth="1"/>
    <col min="11520" max="11761" width="8.7109375" style="45"/>
    <col min="11762" max="11762" width="12.7109375" style="45" customWidth="1"/>
    <col min="11763" max="11763" width="7" style="45" customWidth="1"/>
    <col min="11764" max="11764" width="6.7109375" style="45" customWidth="1"/>
    <col min="11765" max="11765" width="6.28515625" style="45" customWidth="1"/>
    <col min="11766" max="11767" width="6.7109375" style="45" customWidth="1"/>
    <col min="11768" max="11768" width="6.28515625" style="45" customWidth="1"/>
    <col min="11769" max="11774" width="6.7109375" style="45" customWidth="1"/>
    <col min="11775" max="11775" width="7.7109375" style="45" customWidth="1"/>
    <col min="11776" max="12017" width="8.7109375" style="45"/>
    <col min="12018" max="12018" width="12.7109375" style="45" customWidth="1"/>
    <col min="12019" max="12019" width="7" style="45" customWidth="1"/>
    <col min="12020" max="12020" width="6.7109375" style="45" customWidth="1"/>
    <col min="12021" max="12021" width="6.28515625" style="45" customWidth="1"/>
    <col min="12022" max="12023" width="6.7109375" style="45" customWidth="1"/>
    <col min="12024" max="12024" width="6.28515625" style="45" customWidth="1"/>
    <col min="12025" max="12030" width="6.7109375" style="45" customWidth="1"/>
    <col min="12031" max="12031" width="7.7109375" style="45" customWidth="1"/>
    <col min="12032" max="12273" width="8.7109375" style="45"/>
    <col min="12274" max="12274" width="12.7109375" style="45" customWidth="1"/>
    <col min="12275" max="12275" width="7" style="45" customWidth="1"/>
    <col min="12276" max="12276" width="6.7109375" style="45" customWidth="1"/>
    <col min="12277" max="12277" width="6.28515625" style="45" customWidth="1"/>
    <col min="12278" max="12279" width="6.7109375" style="45" customWidth="1"/>
    <col min="12280" max="12280" width="6.28515625" style="45" customWidth="1"/>
    <col min="12281" max="12286" width="6.7109375" style="45" customWidth="1"/>
    <col min="12287" max="12287" width="7.7109375" style="45" customWidth="1"/>
    <col min="12288" max="12529" width="8.7109375" style="45"/>
    <col min="12530" max="12530" width="12.7109375" style="45" customWidth="1"/>
    <col min="12531" max="12531" width="7" style="45" customWidth="1"/>
    <col min="12532" max="12532" width="6.7109375" style="45" customWidth="1"/>
    <col min="12533" max="12533" width="6.28515625" style="45" customWidth="1"/>
    <col min="12534" max="12535" width="6.7109375" style="45" customWidth="1"/>
    <col min="12536" max="12536" width="6.28515625" style="45" customWidth="1"/>
    <col min="12537" max="12542" width="6.7109375" style="45" customWidth="1"/>
    <col min="12543" max="12543" width="7.7109375" style="45" customWidth="1"/>
    <col min="12544" max="12785" width="8.7109375" style="45"/>
    <col min="12786" max="12786" width="12.7109375" style="45" customWidth="1"/>
    <col min="12787" max="12787" width="7" style="45" customWidth="1"/>
    <col min="12788" max="12788" width="6.7109375" style="45" customWidth="1"/>
    <col min="12789" max="12789" width="6.28515625" style="45" customWidth="1"/>
    <col min="12790" max="12791" width="6.7109375" style="45" customWidth="1"/>
    <col min="12792" max="12792" width="6.28515625" style="45" customWidth="1"/>
    <col min="12793" max="12798" width="6.7109375" style="45" customWidth="1"/>
    <col min="12799" max="12799" width="7.7109375" style="45" customWidth="1"/>
    <col min="12800" max="13041" width="8.7109375" style="45"/>
    <col min="13042" max="13042" width="12.7109375" style="45" customWidth="1"/>
    <col min="13043" max="13043" width="7" style="45" customWidth="1"/>
    <col min="13044" max="13044" width="6.7109375" style="45" customWidth="1"/>
    <col min="13045" max="13045" width="6.28515625" style="45" customWidth="1"/>
    <col min="13046" max="13047" width="6.7109375" style="45" customWidth="1"/>
    <col min="13048" max="13048" width="6.28515625" style="45" customWidth="1"/>
    <col min="13049" max="13054" width="6.7109375" style="45" customWidth="1"/>
    <col min="13055" max="13055" width="7.7109375" style="45" customWidth="1"/>
    <col min="13056" max="13297" width="8.7109375" style="45"/>
    <col min="13298" max="13298" width="12.7109375" style="45" customWidth="1"/>
    <col min="13299" max="13299" width="7" style="45" customWidth="1"/>
    <col min="13300" max="13300" width="6.7109375" style="45" customWidth="1"/>
    <col min="13301" max="13301" width="6.28515625" style="45" customWidth="1"/>
    <col min="13302" max="13303" width="6.7109375" style="45" customWidth="1"/>
    <col min="13304" max="13304" width="6.28515625" style="45" customWidth="1"/>
    <col min="13305" max="13310" width="6.7109375" style="45" customWidth="1"/>
    <col min="13311" max="13311" width="7.7109375" style="45" customWidth="1"/>
    <col min="13312" max="13553" width="8.7109375" style="45"/>
    <col min="13554" max="13554" width="12.7109375" style="45" customWidth="1"/>
    <col min="13555" max="13555" width="7" style="45" customWidth="1"/>
    <col min="13556" max="13556" width="6.7109375" style="45" customWidth="1"/>
    <col min="13557" max="13557" width="6.28515625" style="45" customWidth="1"/>
    <col min="13558" max="13559" width="6.7109375" style="45" customWidth="1"/>
    <col min="13560" max="13560" width="6.28515625" style="45" customWidth="1"/>
    <col min="13561" max="13566" width="6.7109375" style="45" customWidth="1"/>
    <col min="13567" max="13567" width="7.7109375" style="45" customWidth="1"/>
    <col min="13568" max="13809" width="8.7109375" style="45"/>
    <col min="13810" max="13810" width="12.7109375" style="45" customWidth="1"/>
    <col min="13811" max="13811" width="7" style="45" customWidth="1"/>
    <col min="13812" max="13812" width="6.7109375" style="45" customWidth="1"/>
    <col min="13813" max="13813" width="6.28515625" style="45" customWidth="1"/>
    <col min="13814" max="13815" width="6.7109375" style="45" customWidth="1"/>
    <col min="13816" max="13816" width="6.28515625" style="45" customWidth="1"/>
    <col min="13817" max="13822" width="6.7109375" style="45" customWidth="1"/>
    <col min="13823" max="13823" width="7.7109375" style="45" customWidth="1"/>
    <col min="13824" max="14065" width="8.7109375" style="45"/>
    <col min="14066" max="14066" width="12.7109375" style="45" customWidth="1"/>
    <col min="14067" max="14067" width="7" style="45" customWidth="1"/>
    <col min="14068" max="14068" width="6.7109375" style="45" customWidth="1"/>
    <col min="14069" max="14069" width="6.28515625" style="45" customWidth="1"/>
    <col min="14070" max="14071" width="6.7109375" style="45" customWidth="1"/>
    <col min="14072" max="14072" width="6.28515625" style="45" customWidth="1"/>
    <col min="14073" max="14078" width="6.7109375" style="45" customWidth="1"/>
    <col min="14079" max="14079" width="7.7109375" style="45" customWidth="1"/>
    <col min="14080" max="14321" width="8.7109375" style="45"/>
    <col min="14322" max="14322" width="12.7109375" style="45" customWidth="1"/>
    <col min="14323" max="14323" width="7" style="45" customWidth="1"/>
    <col min="14324" max="14324" width="6.7109375" style="45" customWidth="1"/>
    <col min="14325" max="14325" width="6.28515625" style="45" customWidth="1"/>
    <col min="14326" max="14327" width="6.7109375" style="45" customWidth="1"/>
    <col min="14328" max="14328" width="6.28515625" style="45" customWidth="1"/>
    <col min="14329" max="14334" width="6.7109375" style="45" customWidth="1"/>
    <col min="14335" max="14335" width="7.7109375" style="45" customWidth="1"/>
    <col min="14336" max="14577" width="8.7109375" style="45"/>
    <col min="14578" max="14578" width="12.7109375" style="45" customWidth="1"/>
    <col min="14579" max="14579" width="7" style="45" customWidth="1"/>
    <col min="14580" max="14580" width="6.7109375" style="45" customWidth="1"/>
    <col min="14581" max="14581" width="6.28515625" style="45" customWidth="1"/>
    <col min="14582" max="14583" width="6.7109375" style="45" customWidth="1"/>
    <col min="14584" max="14584" width="6.28515625" style="45" customWidth="1"/>
    <col min="14585" max="14590" width="6.7109375" style="45" customWidth="1"/>
    <col min="14591" max="14591" width="7.7109375" style="45" customWidth="1"/>
    <col min="14592" max="14833" width="8.7109375" style="45"/>
    <col min="14834" max="14834" width="12.7109375" style="45" customWidth="1"/>
    <col min="14835" max="14835" width="7" style="45" customWidth="1"/>
    <col min="14836" max="14836" width="6.7109375" style="45" customWidth="1"/>
    <col min="14837" max="14837" width="6.28515625" style="45" customWidth="1"/>
    <col min="14838" max="14839" width="6.7109375" style="45" customWidth="1"/>
    <col min="14840" max="14840" width="6.28515625" style="45" customWidth="1"/>
    <col min="14841" max="14846" width="6.7109375" style="45" customWidth="1"/>
    <col min="14847" max="14847" width="7.7109375" style="45" customWidth="1"/>
    <col min="14848" max="15089" width="8.7109375" style="45"/>
    <col min="15090" max="15090" width="12.7109375" style="45" customWidth="1"/>
    <col min="15091" max="15091" width="7" style="45" customWidth="1"/>
    <col min="15092" max="15092" width="6.7109375" style="45" customWidth="1"/>
    <col min="15093" max="15093" width="6.28515625" style="45" customWidth="1"/>
    <col min="15094" max="15095" width="6.7109375" style="45" customWidth="1"/>
    <col min="15096" max="15096" width="6.28515625" style="45" customWidth="1"/>
    <col min="15097" max="15102" width="6.7109375" style="45" customWidth="1"/>
    <col min="15103" max="15103" width="7.7109375" style="45" customWidth="1"/>
    <col min="15104" max="15345" width="8.7109375" style="45"/>
    <col min="15346" max="15346" width="12.7109375" style="45" customWidth="1"/>
    <col min="15347" max="15347" width="7" style="45" customWidth="1"/>
    <col min="15348" max="15348" width="6.7109375" style="45" customWidth="1"/>
    <col min="15349" max="15349" width="6.28515625" style="45" customWidth="1"/>
    <col min="15350" max="15351" width="6.7109375" style="45" customWidth="1"/>
    <col min="15352" max="15352" width="6.28515625" style="45" customWidth="1"/>
    <col min="15353" max="15358" width="6.7109375" style="45" customWidth="1"/>
    <col min="15359" max="15359" width="7.7109375" style="45" customWidth="1"/>
    <col min="15360" max="15601" width="8.7109375" style="45"/>
    <col min="15602" max="15602" width="12.7109375" style="45" customWidth="1"/>
    <col min="15603" max="15603" width="7" style="45" customWidth="1"/>
    <col min="15604" max="15604" width="6.7109375" style="45" customWidth="1"/>
    <col min="15605" max="15605" width="6.28515625" style="45" customWidth="1"/>
    <col min="15606" max="15607" width="6.7109375" style="45" customWidth="1"/>
    <col min="15608" max="15608" width="6.28515625" style="45" customWidth="1"/>
    <col min="15609" max="15614" width="6.7109375" style="45" customWidth="1"/>
    <col min="15615" max="15615" width="7.7109375" style="45" customWidth="1"/>
    <col min="15616" max="15857" width="8.7109375" style="45"/>
    <col min="15858" max="15858" width="12.7109375" style="45" customWidth="1"/>
    <col min="15859" max="15859" width="7" style="45" customWidth="1"/>
    <col min="15860" max="15860" width="6.7109375" style="45" customWidth="1"/>
    <col min="15861" max="15861" width="6.28515625" style="45" customWidth="1"/>
    <col min="15862" max="15863" width="6.7109375" style="45" customWidth="1"/>
    <col min="15864" max="15864" width="6.28515625" style="45" customWidth="1"/>
    <col min="15865" max="15870" width="6.7109375" style="45" customWidth="1"/>
    <col min="15871" max="15871" width="7.7109375" style="45" customWidth="1"/>
    <col min="15872" max="16113" width="8.7109375" style="45"/>
    <col min="16114" max="16114" width="12.7109375" style="45" customWidth="1"/>
    <col min="16115" max="16115" width="7" style="45" customWidth="1"/>
    <col min="16116" max="16116" width="6.7109375" style="45" customWidth="1"/>
    <col min="16117" max="16117" width="6.28515625" style="45" customWidth="1"/>
    <col min="16118" max="16119" width="6.7109375" style="45" customWidth="1"/>
    <col min="16120" max="16120" width="6.28515625" style="45" customWidth="1"/>
    <col min="16121" max="16126" width="6.7109375" style="45" customWidth="1"/>
    <col min="16127" max="16127" width="7.7109375" style="45" customWidth="1"/>
    <col min="16128" max="16384" width="8.7109375" style="45"/>
  </cols>
  <sheetData>
    <row r="1" spans="1:18" ht="25.7" customHeight="1" x14ac:dyDescent="0.25">
      <c r="A1" s="556" t="s">
        <v>317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</row>
    <row r="2" spans="1:18" ht="12.75" customHeight="1" x14ac:dyDescent="0.25">
      <c r="A2" s="520" t="s">
        <v>283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</row>
    <row r="3" spans="1:18" ht="3" customHeight="1" x14ac:dyDescent="0.25">
      <c r="A3" s="17"/>
      <c r="B3" s="153"/>
      <c r="C3" s="153"/>
      <c r="D3" s="153"/>
      <c r="E3" s="153"/>
      <c r="F3" s="153"/>
      <c r="G3" s="153"/>
      <c r="H3" s="153"/>
      <c r="I3" s="153"/>
      <c r="J3" s="16"/>
      <c r="K3" s="16"/>
      <c r="L3" s="16"/>
      <c r="M3" s="16"/>
      <c r="N3" s="16"/>
      <c r="O3" s="16"/>
      <c r="P3" s="16"/>
      <c r="Q3" s="16"/>
      <c r="R3" s="17"/>
    </row>
    <row r="4" spans="1:18" ht="25.5" customHeight="1" x14ac:dyDescent="0.25">
      <c r="A4" s="437" t="s">
        <v>143</v>
      </c>
      <c r="B4" s="438">
        <v>2004</v>
      </c>
      <c r="C4" s="438">
        <v>2005</v>
      </c>
      <c r="D4" s="438">
        <v>2006</v>
      </c>
      <c r="E4" s="438">
        <v>2007</v>
      </c>
      <c r="F4" s="438">
        <v>2008</v>
      </c>
      <c r="G4" s="456">
        <v>2009</v>
      </c>
      <c r="H4" s="456">
        <v>2011</v>
      </c>
      <c r="I4" s="456">
        <v>2012</v>
      </c>
      <c r="J4" s="456">
        <v>2013</v>
      </c>
      <c r="K4" s="456">
        <v>2014</v>
      </c>
      <c r="L4" s="456">
        <v>2015</v>
      </c>
      <c r="M4" s="456">
        <v>2016</v>
      </c>
      <c r="N4" s="456">
        <v>2017</v>
      </c>
      <c r="O4" s="456">
        <v>2018</v>
      </c>
      <c r="P4" s="456">
        <v>2019</v>
      </c>
      <c r="Q4" s="456">
        <v>2020</v>
      </c>
      <c r="R4" s="456">
        <v>2021</v>
      </c>
    </row>
    <row r="5" spans="1:18" ht="3" customHeight="1" x14ac:dyDescent="0.25">
      <c r="A5" s="440"/>
      <c r="B5" s="447"/>
      <c r="C5" s="447"/>
      <c r="D5" s="447"/>
      <c r="E5" s="447"/>
      <c r="F5" s="447"/>
      <c r="G5" s="457"/>
      <c r="H5" s="424"/>
      <c r="I5" s="424"/>
      <c r="J5" s="424"/>
      <c r="K5" s="424"/>
      <c r="L5" s="458"/>
      <c r="M5" s="458"/>
      <c r="N5" s="458"/>
      <c r="O5" s="458"/>
      <c r="P5" s="458"/>
      <c r="Q5" s="458"/>
      <c r="R5" s="458"/>
    </row>
    <row r="6" spans="1:18" ht="15.95" customHeight="1" x14ac:dyDescent="0.25">
      <c r="A6" s="441" t="s">
        <v>148</v>
      </c>
      <c r="B6" s="449">
        <v>5335</v>
      </c>
      <c r="C6" s="449">
        <v>5234</v>
      </c>
      <c r="D6" s="449">
        <v>4638</v>
      </c>
      <c r="E6" s="449">
        <v>5440</v>
      </c>
      <c r="F6" s="449">
        <v>6133</v>
      </c>
      <c r="G6" s="449">
        <v>6484</v>
      </c>
      <c r="H6" s="451">
        <v>6855</v>
      </c>
      <c r="I6" s="451">
        <v>6748</v>
      </c>
      <c r="J6" s="451">
        <v>7467</v>
      </c>
      <c r="K6" s="451">
        <v>8382</v>
      </c>
      <c r="L6" s="451">
        <f>SUM(L7:L21)</f>
        <v>9260.0305500000013</v>
      </c>
      <c r="M6" s="451">
        <f t="shared" ref="M6:R6" si="0">SUM(M7:M21)</f>
        <v>8699.2989999999972</v>
      </c>
      <c r="N6" s="451">
        <f t="shared" si="0"/>
        <v>10220.527700000001</v>
      </c>
      <c r="O6" s="451">
        <f t="shared" si="0"/>
        <v>8567.5968999999986</v>
      </c>
      <c r="P6" s="451">
        <f t="shared" si="0"/>
        <v>10264.346000000003</v>
      </c>
      <c r="Q6" s="451">
        <f t="shared" si="0"/>
        <v>862.18200000000002</v>
      </c>
      <c r="R6" s="451">
        <f t="shared" si="0"/>
        <v>14796.611999999999</v>
      </c>
    </row>
    <row r="7" spans="1:18" ht="15.95" customHeight="1" x14ac:dyDescent="0.25">
      <c r="A7" s="442" t="s">
        <v>141</v>
      </c>
      <c r="B7" s="454">
        <v>4</v>
      </c>
      <c r="C7" s="454" t="s">
        <v>1</v>
      </c>
      <c r="D7" s="454" t="s">
        <v>1</v>
      </c>
      <c r="E7" s="454">
        <v>9</v>
      </c>
      <c r="F7" s="454" t="s">
        <v>1</v>
      </c>
      <c r="G7" s="454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7" t="s">
        <v>1</v>
      </c>
      <c r="N7" s="47" t="s">
        <v>1</v>
      </c>
      <c r="O7" s="47" t="s">
        <v>1</v>
      </c>
      <c r="P7" s="47" t="s">
        <v>1</v>
      </c>
      <c r="Q7" s="47" t="s">
        <v>1</v>
      </c>
      <c r="R7" s="47" t="s">
        <v>1</v>
      </c>
    </row>
    <row r="8" spans="1:18" ht="15.95" customHeight="1" x14ac:dyDescent="0.25">
      <c r="A8" s="442" t="s">
        <v>140</v>
      </c>
      <c r="B8" s="47">
        <v>261</v>
      </c>
      <c r="C8" s="47">
        <v>193</v>
      </c>
      <c r="D8" s="47">
        <v>141</v>
      </c>
      <c r="E8" s="47">
        <v>184</v>
      </c>
      <c r="F8" s="47">
        <v>228</v>
      </c>
      <c r="G8" s="47">
        <v>250</v>
      </c>
      <c r="H8" s="47">
        <v>253</v>
      </c>
      <c r="I8" s="47">
        <v>246</v>
      </c>
      <c r="J8" s="47">
        <v>274</v>
      </c>
      <c r="K8" s="47">
        <v>321</v>
      </c>
      <c r="L8" s="47">
        <v>445.81099999999998</v>
      </c>
      <c r="M8" s="47">
        <v>430.89699999999999</v>
      </c>
      <c r="N8" s="47">
        <v>500.33200000000011</v>
      </c>
      <c r="O8" s="47">
        <v>381.3119999999999</v>
      </c>
      <c r="P8" s="47">
        <v>556.54299999999989</v>
      </c>
      <c r="Q8" s="47" t="s">
        <v>1</v>
      </c>
      <c r="R8" s="47">
        <v>967.96099999999979</v>
      </c>
    </row>
    <row r="9" spans="1:18" ht="15.95" customHeight="1" x14ac:dyDescent="0.25">
      <c r="A9" s="442" t="s">
        <v>139</v>
      </c>
      <c r="B9" s="47">
        <v>96</v>
      </c>
      <c r="C9" s="47">
        <v>245</v>
      </c>
      <c r="D9" s="47">
        <v>196</v>
      </c>
      <c r="E9" s="47">
        <v>243</v>
      </c>
      <c r="F9" s="47">
        <v>322</v>
      </c>
      <c r="G9" s="47">
        <v>352</v>
      </c>
      <c r="H9" s="47">
        <v>294</v>
      </c>
      <c r="I9" s="47">
        <v>255</v>
      </c>
      <c r="J9" s="47">
        <v>320</v>
      </c>
      <c r="K9" s="47">
        <v>654</v>
      </c>
      <c r="L9" s="47">
        <v>715.44999999999993</v>
      </c>
      <c r="M9" s="47">
        <v>1155.5920000000001</v>
      </c>
      <c r="N9" s="47">
        <v>1295.3219999999999</v>
      </c>
      <c r="O9" s="47">
        <v>1199.5899999999999</v>
      </c>
      <c r="P9" s="47">
        <v>2596.3610000000003</v>
      </c>
      <c r="Q9" s="47" t="s">
        <v>1</v>
      </c>
      <c r="R9" s="47">
        <v>4008.3259999999987</v>
      </c>
    </row>
    <row r="10" spans="1:18" ht="15.95" customHeight="1" x14ac:dyDescent="0.25">
      <c r="A10" s="442" t="s">
        <v>138</v>
      </c>
      <c r="B10" s="47">
        <v>2572</v>
      </c>
      <c r="C10" s="47">
        <v>3091</v>
      </c>
      <c r="D10" s="47">
        <v>2507</v>
      </c>
      <c r="E10" s="47">
        <v>2707</v>
      </c>
      <c r="F10" s="47">
        <v>3137</v>
      </c>
      <c r="G10" s="47">
        <v>3127</v>
      </c>
      <c r="H10" s="47">
        <v>3294</v>
      </c>
      <c r="I10" s="47">
        <v>2871</v>
      </c>
      <c r="J10" s="47">
        <v>3420</v>
      </c>
      <c r="K10" s="47">
        <v>3500</v>
      </c>
      <c r="L10" s="47">
        <v>3631.0410000000015</v>
      </c>
      <c r="M10" s="47">
        <v>3438.3109999999983</v>
      </c>
      <c r="N10" s="47">
        <v>3461.2980000000011</v>
      </c>
      <c r="O10" s="47">
        <v>2819.1488999999997</v>
      </c>
      <c r="P10" s="47">
        <v>2880.1740000000004</v>
      </c>
      <c r="Q10" s="47" t="s">
        <v>1</v>
      </c>
      <c r="R10" s="47">
        <v>4293.7839999999997</v>
      </c>
    </row>
    <row r="11" spans="1:18" ht="15.95" customHeight="1" x14ac:dyDescent="0.25">
      <c r="A11" s="442" t="s">
        <v>137</v>
      </c>
      <c r="B11" s="47">
        <v>26</v>
      </c>
      <c r="C11" s="47">
        <v>2</v>
      </c>
      <c r="D11" s="47">
        <v>28</v>
      </c>
      <c r="E11" s="47">
        <v>19</v>
      </c>
      <c r="F11" s="47">
        <v>25</v>
      </c>
      <c r="G11" s="47">
        <v>27</v>
      </c>
      <c r="H11" s="47">
        <v>54</v>
      </c>
      <c r="I11" s="47">
        <v>29</v>
      </c>
      <c r="J11" s="47">
        <v>46</v>
      </c>
      <c r="K11" s="47">
        <v>24</v>
      </c>
      <c r="L11" s="47">
        <v>49.756</v>
      </c>
      <c r="N11" s="47">
        <v>64.772999999999996</v>
      </c>
      <c r="O11" s="47">
        <v>40.927999999999997</v>
      </c>
      <c r="P11" s="47">
        <v>41.828999999999994</v>
      </c>
      <c r="Q11" s="47" t="s">
        <v>1</v>
      </c>
      <c r="R11" s="47"/>
    </row>
    <row r="12" spans="1:18" ht="15.95" customHeight="1" x14ac:dyDescent="0.25">
      <c r="A12" s="442" t="s">
        <v>136</v>
      </c>
      <c r="B12" s="47">
        <v>149</v>
      </c>
      <c r="C12" s="47">
        <v>190</v>
      </c>
      <c r="D12" s="47">
        <v>132</v>
      </c>
      <c r="E12" s="47">
        <v>192</v>
      </c>
      <c r="F12" s="47">
        <v>153</v>
      </c>
      <c r="G12" s="47">
        <v>347</v>
      </c>
      <c r="H12" s="47">
        <v>256</v>
      </c>
      <c r="I12" s="47">
        <v>223</v>
      </c>
      <c r="J12" s="47">
        <v>328</v>
      </c>
      <c r="K12" s="47">
        <v>264</v>
      </c>
      <c r="L12" s="47">
        <v>405.50099999999992</v>
      </c>
      <c r="M12" s="47">
        <v>366.28100000000001</v>
      </c>
      <c r="N12" s="47">
        <v>323.17700000000002</v>
      </c>
      <c r="O12" s="47">
        <v>315.298</v>
      </c>
      <c r="P12" s="47">
        <v>350.66499999999996</v>
      </c>
      <c r="Q12" s="47" t="s">
        <v>1</v>
      </c>
      <c r="R12" s="47">
        <v>761.43100000000015</v>
      </c>
    </row>
    <row r="13" spans="1:18" ht="15.95" customHeight="1" x14ac:dyDescent="0.25">
      <c r="A13" s="442" t="s">
        <v>135</v>
      </c>
      <c r="B13" s="47">
        <v>334</v>
      </c>
      <c r="C13" s="47">
        <v>287</v>
      </c>
      <c r="D13" s="47">
        <v>317</v>
      </c>
      <c r="E13" s="47">
        <v>576</v>
      </c>
      <c r="F13" s="47">
        <v>537</v>
      </c>
      <c r="G13" s="47">
        <v>565</v>
      </c>
      <c r="H13" s="47">
        <v>762</v>
      </c>
      <c r="I13" s="47">
        <v>936</v>
      </c>
      <c r="J13" s="47">
        <v>961</v>
      </c>
      <c r="K13" s="47">
        <v>1092</v>
      </c>
      <c r="L13" s="47">
        <v>1296.7920000000001</v>
      </c>
      <c r="M13" s="47">
        <v>992.26600000000008</v>
      </c>
      <c r="N13" s="47">
        <v>1554.9007000000004</v>
      </c>
      <c r="O13" s="47">
        <v>1185.5089999999998</v>
      </c>
      <c r="P13" s="47">
        <v>1205.759</v>
      </c>
      <c r="Q13" s="47" t="s">
        <v>1</v>
      </c>
      <c r="R13" s="47">
        <v>1724.7820000000006</v>
      </c>
    </row>
    <row r="14" spans="1:18" ht="15.95" customHeight="1" x14ac:dyDescent="0.25">
      <c r="A14" s="442" t="s">
        <v>133</v>
      </c>
      <c r="B14" s="47">
        <v>37</v>
      </c>
      <c r="C14" s="47">
        <v>44</v>
      </c>
      <c r="D14" s="47">
        <v>15</v>
      </c>
      <c r="E14" s="47">
        <v>71</v>
      </c>
      <c r="F14" s="47">
        <v>66</v>
      </c>
      <c r="G14" s="47">
        <v>25</v>
      </c>
      <c r="H14" s="47" t="s">
        <v>1</v>
      </c>
      <c r="I14" s="47" t="s">
        <v>1</v>
      </c>
      <c r="J14" s="47">
        <v>66</v>
      </c>
      <c r="K14" s="47" t="s">
        <v>1</v>
      </c>
      <c r="L14" s="47">
        <v>32.21</v>
      </c>
      <c r="M14" s="47">
        <v>25.414000000000001</v>
      </c>
      <c r="N14" s="47">
        <v>15.093</v>
      </c>
      <c r="O14" s="47">
        <v>1.202</v>
      </c>
      <c r="Q14" s="47" t="s">
        <v>1</v>
      </c>
      <c r="R14" s="47"/>
    </row>
    <row r="15" spans="1:18" ht="15.95" customHeight="1" x14ac:dyDescent="0.25">
      <c r="A15" s="442" t="s">
        <v>181</v>
      </c>
      <c r="B15" s="47">
        <v>1071</v>
      </c>
      <c r="C15" s="47">
        <v>434</v>
      </c>
      <c r="D15" s="47">
        <v>421</v>
      </c>
      <c r="E15" s="47">
        <v>557</v>
      </c>
      <c r="F15" s="47">
        <v>602</v>
      </c>
      <c r="G15" s="47">
        <v>656</v>
      </c>
      <c r="H15" s="47">
        <v>776</v>
      </c>
      <c r="I15" s="47">
        <v>928</v>
      </c>
      <c r="J15" s="47">
        <v>788</v>
      </c>
      <c r="K15" s="47">
        <v>896</v>
      </c>
      <c r="L15" s="47">
        <v>829.26000000000022</v>
      </c>
      <c r="M15" s="47">
        <v>805.12699999999984</v>
      </c>
      <c r="N15" s="47">
        <v>809.50200000000018</v>
      </c>
      <c r="O15" s="47">
        <v>892.09800000000007</v>
      </c>
      <c r="P15" s="47">
        <v>835.61899999999991</v>
      </c>
      <c r="Q15" s="47" t="s">
        <v>1</v>
      </c>
      <c r="R15" s="47">
        <v>721.87799999999993</v>
      </c>
    </row>
    <row r="16" spans="1:18" ht="15.95" customHeight="1" x14ac:dyDescent="0.25">
      <c r="A16" s="442" t="s">
        <v>131</v>
      </c>
      <c r="B16" s="47" t="s">
        <v>1</v>
      </c>
      <c r="C16" s="47">
        <v>7</v>
      </c>
      <c r="D16" s="47">
        <v>10</v>
      </c>
      <c r="E16" s="47">
        <v>22</v>
      </c>
      <c r="F16" s="47">
        <v>11</v>
      </c>
      <c r="G16" s="47">
        <v>48</v>
      </c>
      <c r="H16" s="47">
        <v>44</v>
      </c>
      <c r="I16" s="47" t="s">
        <v>1</v>
      </c>
      <c r="J16" s="47">
        <v>50</v>
      </c>
      <c r="K16" s="47">
        <v>50</v>
      </c>
      <c r="L16" s="47">
        <v>113.821</v>
      </c>
      <c r="M16" s="47">
        <v>32.269000000000005</v>
      </c>
      <c r="N16" s="47">
        <v>61.908999999999999</v>
      </c>
      <c r="O16" s="47">
        <v>5.9219999999999997</v>
      </c>
      <c r="P16" s="47">
        <v>24.468</v>
      </c>
      <c r="Q16" s="47" t="s">
        <v>1</v>
      </c>
      <c r="R16" s="47"/>
    </row>
    <row r="17" spans="1:18" ht="15.95" customHeight="1" x14ac:dyDescent="0.25">
      <c r="A17" s="442" t="s">
        <v>129</v>
      </c>
      <c r="B17" s="47">
        <v>67</v>
      </c>
      <c r="C17" s="47">
        <v>80</v>
      </c>
      <c r="D17" s="47">
        <v>32</v>
      </c>
      <c r="E17" s="47">
        <v>59</v>
      </c>
      <c r="F17" s="47">
        <v>32</v>
      </c>
      <c r="G17" s="47">
        <v>12</v>
      </c>
      <c r="H17" s="47">
        <v>17</v>
      </c>
      <c r="I17" s="47">
        <v>22</v>
      </c>
      <c r="J17" s="47">
        <v>42</v>
      </c>
      <c r="K17" s="47" t="s">
        <v>1</v>
      </c>
      <c r="L17" s="47">
        <v>243.71055000000001</v>
      </c>
      <c r="M17" s="47">
        <v>96.623999999999995</v>
      </c>
      <c r="N17" s="47">
        <v>51.285999999999994</v>
      </c>
      <c r="O17" s="47">
        <v>59.045000000000002</v>
      </c>
      <c r="P17" s="47">
        <v>68.671999999999997</v>
      </c>
      <c r="Q17" s="47" t="s">
        <v>1</v>
      </c>
      <c r="R17" s="47">
        <v>162.024</v>
      </c>
    </row>
    <row r="18" spans="1:18" ht="15.95" customHeight="1" x14ac:dyDescent="0.25">
      <c r="A18" s="442" t="s">
        <v>126</v>
      </c>
      <c r="B18" s="47">
        <v>5</v>
      </c>
      <c r="C18" s="47">
        <v>9</v>
      </c>
      <c r="D18" s="47">
        <v>9</v>
      </c>
      <c r="E18" s="47">
        <v>11</v>
      </c>
      <c r="F18" s="47">
        <v>14</v>
      </c>
      <c r="G18" s="47">
        <v>16</v>
      </c>
      <c r="H18" s="47" t="s">
        <v>1</v>
      </c>
      <c r="I18" s="47" t="s">
        <v>1</v>
      </c>
      <c r="J18" s="47">
        <v>34</v>
      </c>
      <c r="K18" s="47">
        <v>20</v>
      </c>
      <c r="L18" s="47">
        <v>22.631999999999998</v>
      </c>
      <c r="M18" s="47">
        <v>39.529000000000003</v>
      </c>
      <c r="N18" s="47">
        <v>27.483000000000001</v>
      </c>
      <c r="O18" s="47">
        <v>41.918999999999997</v>
      </c>
      <c r="P18" s="47">
        <v>43.244999999999997</v>
      </c>
      <c r="Q18" s="47" t="s">
        <v>1</v>
      </c>
      <c r="R18" s="47"/>
    </row>
    <row r="19" spans="1:18" ht="15.95" customHeight="1" x14ac:dyDescent="0.25">
      <c r="A19" s="442" t="s">
        <v>125</v>
      </c>
      <c r="B19" s="47">
        <v>49</v>
      </c>
      <c r="C19" s="47">
        <v>17</v>
      </c>
      <c r="D19" s="47">
        <v>36</v>
      </c>
      <c r="E19" s="47">
        <v>28</v>
      </c>
      <c r="F19" s="47">
        <v>63</v>
      </c>
      <c r="G19" s="47">
        <v>31</v>
      </c>
      <c r="H19" s="47">
        <v>75</v>
      </c>
      <c r="I19" s="47">
        <v>20</v>
      </c>
      <c r="J19" s="47">
        <v>75</v>
      </c>
      <c r="K19" s="47">
        <v>80</v>
      </c>
      <c r="L19" s="47">
        <v>26.071000000000002</v>
      </c>
      <c r="N19" s="47">
        <v>130.94399999999999</v>
      </c>
      <c r="O19" s="47">
        <v>33.829000000000001</v>
      </c>
      <c r="P19" s="47">
        <v>66.097000000000008</v>
      </c>
      <c r="Q19" s="47" t="s">
        <v>1</v>
      </c>
      <c r="R19" s="47">
        <v>32.773000000000003</v>
      </c>
    </row>
    <row r="20" spans="1:18" ht="15.95" customHeight="1" x14ac:dyDescent="0.25">
      <c r="A20" s="442" t="s">
        <v>174</v>
      </c>
      <c r="B20" s="47">
        <v>637</v>
      </c>
      <c r="C20" s="47">
        <v>598</v>
      </c>
      <c r="D20" s="47">
        <v>771</v>
      </c>
      <c r="E20" s="47">
        <v>726</v>
      </c>
      <c r="F20" s="47">
        <v>907</v>
      </c>
      <c r="G20" s="47">
        <v>1010</v>
      </c>
      <c r="H20" s="47">
        <v>1019</v>
      </c>
      <c r="I20" s="47">
        <v>1218</v>
      </c>
      <c r="J20" s="47">
        <v>1063</v>
      </c>
      <c r="K20" s="47">
        <v>1481</v>
      </c>
      <c r="L20" s="47">
        <v>1442.2259999999997</v>
      </c>
      <c r="M20" s="47">
        <v>1305.799</v>
      </c>
      <c r="N20" s="47">
        <v>1924.5080000000003</v>
      </c>
      <c r="O20" s="47">
        <v>1567.883</v>
      </c>
      <c r="P20" s="47">
        <v>1574.7240000000002</v>
      </c>
      <c r="Q20" s="47">
        <v>848.23599999999999</v>
      </c>
      <c r="R20" s="47">
        <v>2115.1430000000005</v>
      </c>
    </row>
    <row r="21" spans="1:18" ht="15.95" customHeight="1" x14ac:dyDescent="0.25">
      <c r="A21" s="444" t="s">
        <v>121</v>
      </c>
      <c r="B21" s="436">
        <v>27</v>
      </c>
      <c r="C21" s="436">
        <v>37</v>
      </c>
      <c r="D21" s="436">
        <v>23</v>
      </c>
      <c r="E21" s="436">
        <v>36</v>
      </c>
      <c r="F21" s="436">
        <v>36</v>
      </c>
      <c r="G21" s="436">
        <v>18</v>
      </c>
      <c r="H21" s="436">
        <v>11</v>
      </c>
      <c r="I21" s="436" t="s">
        <v>1</v>
      </c>
      <c r="J21" s="436" t="s">
        <v>1</v>
      </c>
      <c r="K21" s="436" t="s">
        <v>1</v>
      </c>
      <c r="L21" s="436">
        <v>5.7489999999999997</v>
      </c>
      <c r="M21" s="436">
        <v>11.19</v>
      </c>
      <c r="N21" s="436"/>
      <c r="O21" s="436">
        <v>23.913</v>
      </c>
      <c r="P21" s="436">
        <v>20.190000000000001</v>
      </c>
      <c r="Q21" s="436">
        <v>13.946</v>
      </c>
      <c r="R21" s="436">
        <v>8.51</v>
      </c>
    </row>
    <row r="22" spans="1:18" s="118" customFormat="1" ht="12" customHeight="1" x14ac:dyDescent="0.25">
      <c r="A22" s="117" t="s">
        <v>309</v>
      </c>
    </row>
    <row r="23" spans="1:18" s="12" customFormat="1" ht="12" customHeight="1" x14ac:dyDescent="0.25">
      <c r="A23" s="125" t="s">
        <v>0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</row>
    <row r="24" spans="1:18" ht="12.75" customHeight="1" x14ac:dyDescent="0.25">
      <c r="A24" s="48" t="s">
        <v>282</v>
      </c>
      <c r="B24" s="49"/>
      <c r="C24" s="50"/>
    </row>
    <row r="25" spans="1:18" s="51" customFormat="1" ht="12.75" customHeight="1" x14ac:dyDescent="0.25"/>
    <row r="26" spans="1:18" ht="12.75" customHeight="1" x14ac:dyDescent="0.25"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</sheetData>
  <mergeCells count="2">
    <mergeCell ref="A1:R1"/>
    <mergeCell ref="A2:R2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25"/>
  <sheetViews>
    <sheetView showGridLines="0" zoomScaleNormal="100" zoomScaleSheetLayoutView="160" workbookViewId="0">
      <selection activeCell="A4" sqref="A4:R25"/>
    </sheetView>
  </sheetViews>
  <sheetFormatPr baseColWidth="10" defaultRowHeight="12.75" customHeight="1" x14ac:dyDescent="0.25"/>
  <cols>
    <col min="1" max="1" width="22" style="46" customWidth="1"/>
    <col min="2" max="6" width="6.28515625" style="46" hidden="1" customWidth="1"/>
    <col min="7" max="8" width="8.28515625" style="46" hidden="1" customWidth="1"/>
    <col min="9" max="18" width="7" style="46" customWidth="1"/>
    <col min="19" max="256" width="11.7109375" style="46"/>
    <col min="257" max="257" width="29.28515625" style="46" customWidth="1"/>
    <col min="258" max="270" width="6.28515625" style="46" customWidth="1"/>
    <col min="271" max="512" width="11.7109375" style="46"/>
    <col min="513" max="513" width="29.28515625" style="46" customWidth="1"/>
    <col min="514" max="526" width="6.28515625" style="46" customWidth="1"/>
    <col min="527" max="768" width="11.7109375" style="46"/>
    <col min="769" max="769" width="29.28515625" style="46" customWidth="1"/>
    <col min="770" max="782" width="6.28515625" style="46" customWidth="1"/>
    <col min="783" max="1024" width="11.7109375" style="46"/>
    <col min="1025" max="1025" width="29.28515625" style="46" customWidth="1"/>
    <col min="1026" max="1038" width="6.28515625" style="46" customWidth="1"/>
    <col min="1039" max="1280" width="11.7109375" style="46"/>
    <col min="1281" max="1281" width="29.28515625" style="46" customWidth="1"/>
    <col min="1282" max="1294" width="6.28515625" style="46" customWidth="1"/>
    <col min="1295" max="1536" width="11.7109375" style="46"/>
    <col min="1537" max="1537" width="29.28515625" style="46" customWidth="1"/>
    <col min="1538" max="1550" width="6.28515625" style="46" customWidth="1"/>
    <col min="1551" max="1792" width="11.7109375" style="46"/>
    <col min="1793" max="1793" width="29.28515625" style="46" customWidth="1"/>
    <col min="1794" max="1806" width="6.28515625" style="46" customWidth="1"/>
    <col min="1807" max="2048" width="11.7109375" style="46"/>
    <col min="2049" max="2049" width="29.28515625" style="46" customWidth="1"/>
    <col min="2050" max="2062" width="6.28515625" style="46" customWidth="1"/>
    <col min="2063" max="2304" width="11.7109375" style="46"/>
    <col min="2305" max="2305" width="29.28515625" style="46" customWidth="1"/>
    <col min="2306" max="2318" width="6.28515625" style="46" customWidth="1"/>
    <col min="2319" max="2560" width="11.7109375" style="46"/>
    <col min="2561" max="2561" width="29.28515625" style="46" customWidth="1"/>
    <col min="2562" max="2574" width="6.28515625" style="46" customWidth="1"/>
    <col min="2575" max="2816" width="11.7109375" style="46"/>
    <col min="2817" max="2817" width="29.28515625" style="46" customWidth="1"/>
    <col min="2818" max="2830" width="6.28515625" style="46" customWidth="1"/>
    <col min="2831" max="3072" width="11.7109375" style="46"/>
    <col min="3073" max="3073" width="29.28515625" style="46" customWidth="1"/>
    <col min="3074" max="3086" width="6.28515625" style="46" customWidth="1"/>
    <col min="3087" max="3328" width="11.7109375" style="46"/>
    <col min="3329" max="3329" width="29.28515625" style="46" customWidth="1"/>
    <col min="3330" max="3342" width="6.28515625" style="46" customWidth="1"/>
    <col min="3343" max="3584" width="11.7109375" style="46"/>
    <col min="3585" max="3585" width="29.28515625" style="46" customWidth="1"/>
    <col min="3586" max="3598" width="6.28515625" style="46" customWidth="1"/>
    <col min="3599" max="3840" width="11.7109375" style="46"/>
    <col min="3841" max="3841" width="29.28515625" style="46" customWidth="1"/>
    <col min="3842" max="3854" width="6.28515625" style="46" customWidth="1"/>
    <col min="3855" max="4096" width="11.7109375" style="46"/>
    <col min="4097" max="4097" width="29.28515625" style="46" customWidth="1"/>
    <col min="4098" max="4110" width="6.28515625" style="46" customWidth="1"/>
    <col min="4111" max="4352" width="11.7109375" style="46"/>
    <col min="4353" max="4353" width="29.28515625" style="46" customWidth="1"/>
    <col min="4354" max="4366" width="6.28515625" style="46" customWidth="1"/>
    <col min="4367" max="4608" width="11.7109375" style="46"/>
    <col min="4609" max="4609" width="29.28515625" style="46" customWidth="1"/>
    <col min="4610" max="4622" width="6.28515625" style="46" customWidth="1"/>
    <col min="4623" max="4864" width="11.7109375" style="46"/>
    <col min="4865" max="4865" width="29.28515625" style="46" customWidth="1"/>
    <col min="4866" max="4878" width="6.28515625" style="46" customWidth="1"/>
    <col min="4879" max="5120" width="11.7109375" style="46"/>
    <col min="5121" max="5121" width="29.28515625" style="46" customWidth="1"/>
    <col min="5122" max="5134" width="6.28515625" style="46" customWidth="1"/>
    <col min="5135" max="5376" width="11.7109375" style="46"/>
    <col min="5377" max="5377" width="29.28515625" style="46" customWidth="1"/>
    <col min="5378" max="5390" width="6.28515625" style="46" customWidth="1"/>
    <col min="5391" max="5632" width="11.7109375" style="46"/>
    <col min="5633" max="5633" width="29.28515625" style="46" customWidth="1"/>
    <col min="5634" max="5646" width="6.28515625" style="46" customWidth="1"/>
    <col min="5647" max="5888" width="11.7109375" style="46"/>
    <col min="5889" max="5889" width="29.28515625" style="46" customWidth="1"/>
    <col min="5890" max="5902" width="6.28515625" style="46" customWidth="1"/>
    <col min="5903" max="6144" width="11.7109375" style="46"/>
    <col min="6145" max="6145" width="29.28515625" style="46" customWidth="1"/>
    <col min="6146" max="6158" width="6.28515625" style="46" customWidth="1"/>
    <col min="6159" max="6400" width="11.7109375" style="46"/>
    <col min="6401" max="6401" width="29.28515625" style="46" customWidth="1"/>
    <col min="6402" max="6414" width="6.28515625" style="46" customWidth="1"/>
    <col min="6415" max="6656" width="11.7109375" style="46"/>
    <col min="6657" max="6657" width="29.28515625" style="46" customWidth="1"/>
    <col min="6658" max="6670" width="6.28515625" style="46" customWidth="1"/>
    <col min="6671" max="6912" width="11.7109375" style="46"/>
    <col min="6913" max="6913" width="29.28515625" style="46" customWidth="1"/>
    <col min="6914" max="6926" width="6.28515625" style="46" customWidth="1"/>
    <col min="6927" max="7168" width="11.7109375" style="46"/>
    <col min="7169" max="7169" width="29.28515625" style="46" customWidth="1"/>
    <col min="7170" max="7182" width="6.28515625" style="46" customWidth="1"/>
    <col min="7183" max="7424" width="11.7109375" style="46"/>
    <col min="7425" max="7425" width="29.28515625" style="46" customWidth="1"/>
    <col min="7426" max="7438" width="6.28515625" style="46" customWidth="1"/>
    <col min="7439" max="7680" width="11.7109375" style="46"/>
    <col min="7681" max="7681" width="29.28515625" style="46" customWidth="1"/>
    <col min="7682" max="7694" width="6.28515625" style="46" customWidth="1"/>
    <col min="7695" max="7936" width="11.7109375" style="46"/>
    <col min="7937" max="7937" width="29.28515625" style="46" customWidth="1"/>
    <col min="7938" max="7950" width="6.28515625" style="46" customWidth="1"/>
    <col min="7951" max="8192" width="11.7109375" style="46"/>
    <col min="8193" max="8193" width="29.28515625" style="46" customWidth="1"/>
    <col min="8194" max="8206" width="6.28515625" style="46" customWidth="1"/>
    <col min="8207" max="8448" width="11.7109375" style="46"/>
    <col min="8449" max="8449" width="29.28515625" style="46" customWidth="1"/>
    <col min="8450" max="8462" width="6.28515625" style="46" customWidth="1"/>
    <col min="8463" max="8704" width="11.7109375" style="46"/>
    <col min="8705" max="8705" width="29.28515625" style="46" customWidth="1"/>
    <col min="8706" max="8718" width="6.28515625" style="46" customWidth="1"/>
    <col min="8719" max="8960" width="11.7109375" style="46"/>
    <col min="8961" max="8961" width="29.28515625" style="46" customWidth="1"/>
    <col min="8962" max="8974" width="6.28515625" style="46" customWidth="1"/>
    <col min="8975" max="9216" width="11.7109375" style="46"/>
    <col min="9217" max="9217" width="29.28515625" style="46" customWidth="1"/>
    <col min="9218" max="9230" width="6.28515625" style="46" customWidth="1"/>
    <col min="9231" max="9472" width="11.7109375" style="46"/>
    <col min="9473" max="9473" width="29.28515625" style="46" customWidth="1"/>
    <col min="9474" max="9486" width="6.28515625" style="46" customWidth="1"/>
    <col min="9487" max="9728" width="11.7109375" style="46"/>
    <col min="9729" max="9729" width="29.28515625" style="46" customWidth="1"/>
    <col min="9730" max="9742" width="6.28515625" style="46" customWidth="1"/>
    <col min="9743" max="9984" width="11.7109375" style="46"/>
    <col min="9985" max="9985" width="29.28515625" style="46" customWidth="1"/>
    <col min="9986" max="9998" width="6.28515625" style="46" customWidth="1"/>
    <col min="9999" max="10240" width="11.7109375" style="46"/>
    <col min="10241" max="10241" width="29.28515625" style="46" customWidth="1"/>
    <col min="10242" max="10254" width="6.28515625" style="46" customWidth="1"/>
    <col min="10255" max="10496" width="11.7109375" style="46"/>
    <col min="10497" max="10497" width="29.28515625" style="46" customWidth="1"/>
    <col min="10498" max="10510" width="6.28515625" style="46" customWidth="1"/>
    <col min="10511" max="10752" width="11.7109375" style="46"/>
    <col min="10753" max="10753" width="29.28515625" style="46" customWidth="1"/>
    <col min="10754" max="10766" width="6.28515625" style="46" customWidth="1"/>
    <col min="10767" max="11008" width="11.7109375" style="46"/>
    <col min="11009" max="11009" width="29.28515625" style="46" customWidth="1"/>
    <col min="11010" max="11022" width="6.28515625" style="46" customWidth="1"/>
    <col min="11023" max="11264" width="11.7109375" style="46"/>
    <col min="11265" max="11265" width="29.28515625" style="46" customWidth="1"/>
    <col min="11266" max="11278" width="6.28515625" style="46" customWidth="1"/>
    <col min="11279" max="11520" width="11.7109375" style="46"/>
    <col min="11521" max="11521" width="29.28515625" style="46" customWidth="1"/>
    <col min="11522" max="11534" width="6.28515625" style="46" customWidth="1"/>
    <col min="11535" max="11776" width="11.7109375" style="46"/>
    <col min="11777" max="11777" width="29.28515625" style="46" customWidth="1"/>
    <col min="11778" max="11790" width="6.28515625" style="46" customWidth="1"/>
    <col min="11791" max="12032" width="11.7109375" style="46"/>
    <col min="12033" max="12033" width="29.28515625" style="46" customWidth="1"/>
    <col min="12034" max="12046" width="6.28515625" style="46" customWidth="1"/>
    <col min="12047" max="12288" width="11.7109375" style="46"/>
    <col min="12289" max="12289" width="29.28515625" style="46" customWidth="1"/>
    <col min="12290" max="12302" width="6.28515625" style="46" customWidth="1"/>
    <col min="12303" max="12544" width="11.7109375" style="46"/>
    <col min="12545" max="12545" width="29.28515625" style="46" customWidth="1"/>
    <col min="12546" max="12558" width="6.28515625" style="46" customWidth="1"/>
    <col min="12559" max="12800" width="11.7109375" style="46"/>
    <col min="12801" max="12801" width="29.28515625" style="46" customWidth="1"/>
    <col min="12802" max="12814" width="6.28515625" style="46" customWidth="1"/>
    <col min="12815" max="13056" width="11.7109375" style="46"/>
    <col min="13057" max="13057" width="29.28515625" style="46" customWidth="1"/>
    <col min="13058" max="13070" width="6.28515625" style="46" customWidth="1"/>
    <col min="13071" max="13312" width="11.7109375" style="46"/>
    <col min="13313" max="13313" width="29.28515625" style="46" customWidth="1"/>
    <col min="13314" max="13326" width="6.28515625" style="46" customWidth="1"/>
    <col min="13327" max="13568" width="11.7109375" style="46"/>
    <col min="13569" max="13569" width="29.28515625" style="46" customWidth="1"/>
    <col min="13570" max="13582" width="6.28515625" style="46" customWidth="1"/>
    <col min="13583" max="13824" width="11.7109375" style="46"/>
    <col min="13825" max="13825" width="29.28515625" style="46" customWidth="1"/>
    <col min="13826" max="13838" width="6.28515625" style="46" customWidth="1"/>
    <col min="13839" max="14080" width="11.7109375" style="46"/>
    <col min="14081" max="14081" width="29.28515625" style="46" customWidth="1"/>
    <col min="14082" max="14094" width="6.28515625" style="46" customWidth="1"/>
    <col min="14095" max="14336" width="11.7109375" style="46"/>
    <col min="14337" max="14337" width="29.28515625" style="46" customWidth="1"/>
    <col min="14338" max="14350" width="6.28515625" style="46" customWidth="1"/>
    <col min="14351" max="14592" width="11.7109375" style="46"/>
    <col min="14593" max="14593" width="29.28515625" style="46" customWidth="1"/>
    <col min="14594" max="14606" width="6.28515625" style="46" customWidth="1"/>
    <col min="14607" max="14848" width="11.7109375" style="46"/>
    <col min="14849" max="14849" width="29.28515625" style="46" customWidth="1"/>
    <col min="14850" max="14862" width="6.28515625" style="46" customWidth="1"/>
    <col min="14863" max="15104" width="11.7109375" style="46"/>
    <col min="15105" max="15105" width="29.28515625" style="46" customWidth="1"/>
    <col min="15106" max="15118" width="6.28515625" style="46" customWidth="1"/>
    <col min="15119" max="15360" width="11.7109375" style="46"/>
    <col min="15361" max="15361" width="29.28515625" style="46" customWidth="1"/>
    <col min="15362" max="15374" width="6.28515625" style="46" customWidth="1"/>
    <col min="15375" max="15616" width="11.7109375" style="46"/>
    <col min="15617" max="15617" width="29.28515625" style="46" customWidth="1"/>
    <col min="15618" max="15630" width="6.28515625" style="46" customWidth="1"/>
    <col min="15631" max="15872" width="11.7109375" style="46"/>
    <col min="15873" max="15873" width="29.28515625" style="46" customWidth="1"/>
    <col min="15874" max="15886" width="6.28515625" style="46" customWidth="1"/>
    <col min="15887" max="16128" width="11.7109375" style="46"/>
    <col min="16129" max="16129" width="29.28515625" style="46" customWidth="1"/>
    <col min="16130" max="16142" width="6.28515625" style="46" customWidth="1"/>
    <col min="16143" max="16382" width="11.7109375" style="46"/>
    <col min="16383" max="16384" width="11.7109375" style="46" customWidth="1"/>
  </cols>
  <sheetData>
    <row r="1" spans="1:18" ht="12.75" customHeight="1" x14ac:dyDescent="0.25">
      <c r="A1" s="502" t="s">
        <v>388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</row>
    <row r="2" spans="1:18" ht="12.75" customHeight="1" x14ac:dyDescent="0.25">
      <c r="A2" s="521" t="s">
        <v>288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</row>
    <row r="3" spans="1:18" ht="12.75" customHeight="1" x14ac:dyDescent="0.25">
      <c r="A3" s="154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4.75" customHeight="1" x14ac:dyDescent="0.25">
      <c r="A4" s="459" t="s">
        <v>287</v>
      </c>
      <c r="B4" s="460">
        <v>2003</v>
      </c>
      <c r="C4" s="460">
        <v>2004</v>
      </c>
      <c r="D4" s="460">
        <v>2005</v>
      </c>
      <c r="E4" s="460">
        <v>2006</v>
      </c>
      <c r="F4" s="460">
        <v>2007</v>
      </c>
      <c r="G4" s="460">
        <v>2008</v>
      </c>
      <c r="H4" s="460">
        <v>2009</v>
      </c>
      <c r="I4" s="460">
        <v>2011</v>
      </c>
      <c r="J4" s="460">
        <v>2012</v>
      </c>
      <c r="K4" s="460">
        <v>2013</v>
      </c>
      <c r="L4" s="460">
        <v>2014</v>
      </c>
      <c r="M4" s="460">
        <v>2015</v>
      </c>
      <c r="N4" s="460">
        <v>2016</v>
      </c>
      <c r="O4" s="460">
        <v>2017</v>
      </c>
      <c r="P4" s="460">
        <v>2018</v>
      </c>
      <c r="Q4" s="460">
        <v>2019</v>
      </c>
      <c r="R4" s="460">
        <v>2020</v>
      </c>
    </row>
    <row r="5" spans="1:18" ht="12.75" hidden="1" customHeight="1" x14ac:dyDescent="0.25">
      <c r="A5" s="461"/>
      <c r="B5" s="465"/>
      <c r="C5" s="465"/>
      <c r="D5" s="465"/>
      <c r="E5" s="465"/>
      <c r="F5" s="465"/>
      <c r="G5" s="465"/>
      <c r="H5" s="465"/>
    </row>
    <row r="6" spans="1:18" ht="15.95" customHeight="1" x14ac:dyDescent="0.25">
      <c r="A6" s="462" t="s">
        <v>157</v>
      </c>
      <c r="B6" s="463">
        <v>44200</v>
      </c>
      <c r="C6" s="463">
        <v>50300</v>
      </c>
      <c r="D6" s="463">
        <v>48200</v>
      </c>
      <c r="E6" s="463">
        <v>51400</v>
      </c>
      <c r="F6" s="463">
        <v>22839</v>
      </c>
      <c r="G6" s="463">
        <v>55660</v>
      </c>
      <c r="H6" s="463">
        <v>59926</v>
      </c>
      <c r="I6" s="463">
        <v>62453</v>
      </c>
      <c r="J6" s="463">
        <v>60444</v>
      </c>
      <c r="K6" s="463">
        <v>49760</v>
      </c>
      <c r="L6" s="463">
        <v>42935</v>
      </c>
      <c r="M6" s="463">
        <v>40272.06</v>
      </c>
      <c r="N6" s="463">
        <v>43871.08</v>
      </c>
      <c r="O6" s="463">
        <v>49871</v>
      </c>
      <c r="P6" s="463">
        <v>54133.834839320145</v>
      </c>
      <c r="Q6" s="463">
        <v>54655.401463023023</v>
      </c>
      <c r="R6" s="463">
        <f t="shared" ref="R6" si="0">SUM(R7:R20)</f>
        <v>61777.281325772194</v>
      </c>
    </row>
    <row r="7" spans="1:18" ht="15.95" customHeight="1" x14ac:dyDescent="0.25">
      <c r="A7" s="232" t="s">
        <v>408</v>
      </c>
      <c r="B7" s="466">
        <v>13646</v>
      </c>
      <c r="C7" s="466">
        <v>16900</v>
      </c>
      <c r="D7" s="466">
        <v>16039</v>
      </c>
      <c r="E7" s="466">
        <v>17080</v>
      </c>
      <c r="F7" s="466">
        <v>17217</v>
      </c>
      <c r="G7" s="466">
        <v>17848</v>
      </c>
      <c r="H7" s="466">
        <v>17497</v>
      </c>
      <c r="I7" s="466">
        <v>12421</v>
      </c>
      <c r="J7" s="466">
        <v>9509</v>
      </c>
      <c r="K7" s="466">
        <v>19167</v>
      </c>
      <c r="L7" s="466">
        <v>18845</v>
      </c>
      <c r="M7" s="466">
        <v>18465.3</v>
      </c>
      <c r="N7" s="466">
        <v>20360.370000000003</v>
      </c>
      <c r="O7" s="466">
        <v>21685.3</v>
      </c>
      <c r="P7" s="466">
        <v>24111.044764334136</v>
      </c>
      <c r="Q7" s="466">
        <v>26027.688086972477</v>
      </c>
      <c r="R7" s="466">
        <v>27993.855140010764</v>
      </c>
    </row>
    <row r="8" spans="1:18" ht="15.95" customHeight="1" x14ac:dyDescent="0.25">
      <c r="A8" s="232" t="s">
        <v>299</v>
      </c>
      <c r="B8" s="353" t="s">
        <v>120</v>
      </c>
      <c r="C8" s="353" t="s">
        <v>120</v>
      </c>
      <c r="D8" s="353" t="s">
        <v>120</v>
      </c>
      <c r="E8" s="353" t="s">
        <v>120</v>
      </c>
      <c r="F8" s="353" t="s">
        <v>120</v>
      </c>
      <c r="G8" s="466">
        <v>13072</v>
      </c>
      <c r="H8" s="466">
        <v>13174</v>
      </c>
      <c r="I8" s="466">
        <v>13090</v>
      </c>
      <c r="J8" s="466">
        <v>12558</v>
      </c>
      <c r="K8" s="466">
        <v>3460</v>
      </c>
      <c r="L8" s="466">
        <v>3455</v>
      </c>
      <c r="M8" s="466">
        <v>3811</v>
      </c>
      <c r="N8" s="466">
        <v>4215</v>
      </c>
      <c r="O8" s="466">
        <v>5310</v>
      </c>
      <c r="P8" s="466">
        <v>5746.558999999992</v>
      </c>
      <c r="Q8" s="466">
        <v>5986.2286056629127</v>
      </c>
      <c r="R8" s="466">
        <v>7705.0852132514847</v>
      </c>
    </row>
    <row r="9" spans="1:18" ht="15.95" customHeight="1" x14ac:dyDescent="0.25">
      <c r="A9" s="232" t="s">
        <v>297</v>
      </c>
      <c r="B9" s="466">
        <v>510</v>
      </c>
      <c r="C9" s="466">
        <v>500</v>
      </c>
      <c r="D9" s="466">
        <v>917</v>
      </c>
      <c r="E9" s="466">
        <v>1570</v>
      </c>
      <c r="F9" s="466">
        <v>1610</v>
      </c>
      <c r="G9" s="466">
        <v>1677</v>
      </c>
      <c r="H9" s="466">
        <v>2913</v>
      </c>
      <c r="I9" s="466">
        <v>2325</v>
      </c>
      <c r="J9" s="466">
        <v>1593</v>
      </c>
      <c r="K9" s="466">
        <v>10843</v>
      </c>
      <c r="L9" s="466">
        <v>10342</v>
      </c>
      <c r="M9" s="466">
        <v>10454</v>
      </c>
      <c r="N9" s="466">
        <v>10262</v>
      </c>
      <c r="O9" s="466">
        <v>10473</v>
      </c>
      <c r="P9" s="466">
        <v>9007.0139912688282</v>
      </c>
      <c r="Q9" s="466">
        <v>8533.6622985168597</v>
      </c>
      <c r="R9" s="466">
        <v>6805.5557043054851</v>
      </c>
    </row>
    <row r="10" spans="1:18" ht="15.95" customHeight="1" x14ac:dyDescent="0.25">
      <c r="A10" s="232" t="s">
        <v>300</v>
      </c>
      <c r="B10" s="353" t="s">
        <v>120</v>
      </c>
      <c r="C10" s="353" t="s">
        <v>120</v>
      </c>
      <c r="D10" s="353" t="s">
        <v>120</v>
      </c>
      <c r="E10" s="353" t="s">
        <v>120</v>
      </c>
      <c r="F10" s="353" t="s">
        <v>120</v>
      </c>
      <c r="G10" s="466">
        <v>518</v>
      </c>
      <c r="H10" s="466">
        <v>1666</v>
      </c>
      <c r="I10" s="466">
        <v>4450</v>
      </c>
      <c r="J10" s="466">
        <v>5894</v>
      </c>
      <c r="K10" s="466">
        <v>3070</v>
      </c>
      <c r="L10" s="466">
        <v>2137</v>
      </c>
      <c r="M10" s="466">
        <v>370</v>
      </c>
      <c r="N10" s="466">
        <v>1292</v>
      </c>
      <c r="O10" s="466">
        <v>1823</v>
      </c>
      <c r="P10" s="466">
        <v>2939.1750057154327</v>
      </c>
      <c r="Q10" s="466">
        <v>2531.1827244467049</v>
      </c>
      <c r="R10" s="466">
        <v>4246.7430844789578</v>
      </c>
    </row>
    <row r="11" spans="1:18" ht="15.95" customHeight="1" x14ac:dyDescent="0.25">
      <c r="A11" s="232" t="s">
        <v>303</v>
      </c>
      <c r="B11" s="353"/>
      <c r="C11" s="353"/>
      <c r="D11" s="353"/>
      <c r="E11" s="353"/>
      <c r="F11" s="353"/>
      <c r="G11" s="466"/>
      <c r="H11" s="466"/>
      <c r="I11" s="353" t="s">
        <v>1</v>
      </c>
      <c r="J11" s="353" t="s">
        <v>1</v>
      </c>
      <c r="K11" s="466">
        <v>950</v>
      </c>
      <c r="L11" s="466">
        <v>390</v>
      </c>
      <c r="M11" s="353" t="s">
        <v>1</v>
      </c>
      <c r="N11" s="466">
        <v>253</v>
      </c>
      <c r="O11" s="466">
        <v>596</v>
      </c>
      <c r="P11" s="466">
        <v>1047.1293501250943</v>
      </c>
      <c r="Q11" s="466">
        <v>857.68714753840152</v>
      </c>
      <c r="R11" s="466">
        <v>2452.935827295189</v>
      </c>
    </row>
    <row r="12" spans="1:18" ht="15.95" customHeight="1" x14ac:dyDescent="0.25">
      <c r="A12" s="232" t="s">
        <v>298</v>
      </c>
      <c r="B12" s="353" t="s">
        <v>120</v>
      </c>
      <c r="C12" s="353" t="s">
        <v>120</v>
      </c>
      <c r="D12" s="353" t="s">
        <v>120</v>
      </c>
      <c r="E12" s="353" t="s">
        <v>120</v>
      </c>
      <c r="F12" s="353" t="s">
        <v>120</v>
      </c>
      <c r="G12" s="466">
        <v>16719</v>
      </c>
      <c r="H12" s="466">
        <v>17486</v>
      </c>
      <c r="I12" s="466">
        <v>19925</v>
      </c>
      <c r="J12" s="466">
        <v>19965</v>
      </c>
      <c r="K12" s="466">
        <v>863</v>
      </c>
      <c r="L12" s="466">
        <v>402</v>
      </c>
      <c r="M12" s="466">
        <v>240</v>
      </c>
      <c r="N12" s="466">
        <v>154</v>
      </c>
      <c r="O12" s="466">
        <v>1007</v>
      </c>
      <c r="P12" s="466">
        <v>919.33998096356015</v>
      </c>
      <c r="Q12" s="466">
        <v>1313.7872142614385</v>
      </c>
      <c r="R12" s="466">
        <v>2203.982219874883</v>
      </c>
    </row>
    <row r="13" spans="1:18" ht="15.95" customHeight="1" x14ac:dyDescent="0.25">
      <c r="A13" s="232" t="s">
        <v>409</v>
      </c>
      <c r="B13" s="353" t="s">
        <v>120</v>
      </c>
      <c r="C13" s="353" t="s">
        <v>120</v>
      </c>
      <c r="D13" s="353" t="s">
        <v>120</v>
      </c>
      <c r="E13" s="353" t="s">
        <v>120</v>
      </c>
      <c r="F13" s="353" t="s">
        <v>120</v>
      </c>
      <c r="G13" s="466">
        <v>181</v>
      </c>
      <c r="H13" s="466">
        <v>2091</v>
      </c>
      <c r="I13" s="466">
        <v>3734</v>
      </c>
      <c r="J13" s="466">
        <v>4695</v>
      </c>
      <c r="K13" s="466">
        <v>4302</v>
      </c>
      <c r="L13" s="466">
        <v>1555</v>
      </c>
      <c r="M13" s="466">
        <v>1196.76</v>
      </c>
      <c r="N13" s="466">
        <v>1675.71</v>
      </c>
      <c r="O13" s="466">
        <v>1701.7</v>
      </c>
      <c r="P13" s="466">
        <v>1720.6489117701383</v>
      </c>
      <c r="Q13" s="466">
        <v>1527.3601708466426</v>
      </c>
      <c r="R13" s="466">
        <v>2142.5041820268834</v>
      </c>
    </row>
    <row r="14" spans="1:18" ht="15.95" customHeight="1" x14ac:dyDescent="0.25">
      <c r="A14" s="232" t="s">
        <v>291</v>
      </c>
      <c r="B14" s="466">
        <v>250</v>
      </c>
      <c r="C14" s="466">
        <v>300</v>
      </c>
      <c r="D14" s="466">
        <v>211</v>
      </c>
      <c r="E14" s="466">
        <v>211</v>
      </c>
      <c r="F14" s="466">
        <v>1148</v>
      </c>
      <c r="G14" s="466">
        <v>1378</v>
      </c>
      <c r="H14" s="466">
        <v>498</v>
      </c>
      <c r="I14" s="466">
        <v>551</v>
      </c>
      <c r="J14" s="466">
        <v>560</v>
      </c>
      <c r="K14" s="466">
        <v>1564</v>
      </c>
      <c r="L14" s="466">
        <v>1390</v>
      </c>
      <c r="M14" s="466">
        <v>1297</v>
      </c>
      <c r="N14" s="466">
        <v>1097</v>
      </c>
      <c r="O14" s="466">
        <v>1376</v>
      </c>
      <c r="P14" s="466">
        <v>1919.022284760194</v>
      </c>
      <c r="Q14" s="466">
        <v>2142.6043843717271</v>
      </c>
      <c r="R14" s="466">
        <v>1668.8037405412799</v>
      </c>
    </row>
    <row r="15" spans="1:18" ht="15.95" customHeight="1" x14ac:dyDescent="0.25">
      <c r="A15" s="232" t="s">
        <v>302</v>
      </c>
      <c r="B15" s="353" t="s">
        <v>120</v>
      </c>
      <c r="C15" s="353" t="s">
        <v>120</v>
      </c>
      <c r="D15" s="353" t="s">
        <v>120</v>
      </c>
      <c r="E15" s="353" t="s">
        <v>120</v>
      </c>
      <c r="F15" s="353" t="s">
        <v>120</v>
      </c>
      <c r="G15" s="466">
        <v>298</v>
      </c>
      <c r="H15" s="353" t="s">
        <v>120</v>
      </c>
      <c r="I15" s="466">
        <v>834</v>
      </c>
      <c r="J15" s="466">
        <v>303</v>
      </c>
      <c r="K15" s="466">
        <v>1110</v>
      </c>
      <c r="L15" s="466">
        <v>1322</v>
      </c>
      <c r="M15" s="466">
        <v>1330</v>
      </c>
      <c r="N15" s="466">
        <v>1512</v>
      </c>
      <c r="O15" s="466">
        <v>1550</v>
      </c>
      <c r="P15" s="466">
        <v>1254.8397368625629</v>
      </c>
      <c r="Q15" s="466">
        <v>1283.885910704739</v>
      </c>
      <c r="R15" s="466">
        <v>1556.4877601552485</v>
      </c>
    </row>
    <row r="16" spans="1:18" ht="15.95" customHeight="1" x14ac:dyDescent="0.25">
      <c r="A16" s="232" t="s">
        <v>301</v>
      </c>
      <c r="B16" s="353" t="s">
        <v>120</v>
      </c>
      <c r="C16" s="353" t="s">
        <v>120</v>
      </c>
      <c r="D16" s="353" t="s">
        <v>120</v>
      </c>
      <c r="E16" s="353" t="s">
        <v>120</v>
      </c>
      <c r="F16" s="353" t="s">
        <v>120</v>
      </c>
      <c r="G16" s="466">
        <v>510</v>
      </c>
      <c r="H16" s="466">
        <v>340</v>
      </c>
      <c r="I16" s="466">
        <v>670</v>
      </c>
      <c r="J16" s="466">
        <v>735</v>
      </c>
      <c r="K16" s="466">
        <v>1140</v>
      </c>
      <c r="L16" s="466">
        <v>1214</v>
      </c>
      <c r="M16" s="466">
        <v>1321</v>
      </c>
      <c r="N16" s="466">
        <v>1473</v>
      </c>
      <c r="O16" s="466">
        <v>1477</v>
      </c>
      <c r="P16" s="466">
        <v>1381.4222676768318</v>
      </c>
      <c r="Q16" s="466">
        <v>1389.3075415018609</v>
      </c>
      <c r="R16" s="466">
        <v>1402.3413542780818</v>
      </c>
    </row>
    <row r="17" spans="1:18" ht="15.95" customHeight="1" x14ac:dyDescent="0.25">
      <c r="A17" s="232" t="s">
        <v>286</v>
      </c>
      <c r="B17" s="466">
        <v>2260</v>
      </c>
      <c r="C17" s="466">
        <v>2000</v>
      </c>
      <c r="D17" s="466">
        <v>2250</v>
      </c>
      <c r="E17" s="466">
        <v>2366</v>
      </c>
      <c r="F17" s="466">
        <v>2864</v>
      </c>
      <c r="G17" s="466">
        <v>2959</v>
      </c>
      <c r="H17" s="466">
        <v>3519</v>
      </c>
      <c r="I17" s="466">
        <v>3610</v>
      </c>
      <c r="J17" s="466">
        <v>3664</v>
      </c>
      <c r="K17" s="466">
        <v>1796</v>
      </c>
      <c r="L17" s="466">
        <v>332</v>
      </c>
      <c r="M17" s="466">
        <v>197</v>
      </c>
      <c r="N17" s="466">
        <v>565</v>
      </c>
      <c r="O17" s="466">
        <v>791</v>
      </c>
      <c r="P17" s="466">
        <v>1517.1905807256639</v>
      </c>
      <c r="Q17" s="466">
        <v>876.43927470602284</v>
      </c>
      <c r="R17" s="466">
        <v>1363.5359331178531</v>
      </c>
    </row>
    <row r="18" spans="1:18" ht="15.95" customHeight="1" x14ac:dyDescent="0.25">
      <c r="A18" s="232" t="s">
        <v>285</v>
      </c>
      <c r="B18" s="353" t="s">
        <v>120</v>
      </c>
      <c r="C18" s="353" t="s">
        <v>120</v>
      </c>
      <c r="D18" s="353" t="s">
        <v>120</v>
      </c>
      <c r="E18" s="353" t="s">
        <v>120</v>
      </c>
      <c r="F18" s="353" t="s">
        <v>120</v>
      </c>
      <c r="G18" s="466">
        <v>500</v>
      </c>
      <c r="H18" s="466">
        <v>742</v>
      </c>
      <c r="I18" s="466">
        <v>843</v>
      </c>
      <c r="J18" s="466">
        <v>968</v>
      </c>
      <c r="K18" s="466">
        <v>910</v>
      </c>
      <c r="L18" s="466">
        <v>964</v>
      </c>
      <c r="M18" s="466">
        <v>718</v>
      </c>
      <c r="N18" s="466">
        <v>398</v>
      </c>
      <c r="O18" s="466">
        <v>1296</v>
      </c>
      <c r="P18" s="466">
        <v>1640.2915863147539</v>
      </c>
      <c r="Q18" s="466">
        <v>1194.9005652404285</v>
      </c>
      <c r="R18" s="466">
        <v>1101.3173966641405</v>
      </c>
    </row>
    <row r="19" spans="1:18" ht="15.95" customHeight="1" x14ac:dyDescent="0.25">
      <c r="A19" s="232" t="s">
        <v>284</v>
      </c>
      <c r="B19" s="353"/>
      <c r="C19" s="353"/>
      <c r="D19" s="353"/>
      <c r="E19" s="353"/>
      <c r="F19" s="353"/>
      <c r="G19" s="466"/>
      <c r="H19" s="466"/>
      <c r="I19" s="353" t="s">
        <v>1</v>
      </c>
      <c r="J19" s="353" t="s">
        <v>1</v>
      </c>
      <c r="K19" s="466">
        <v>585</v>
      </c>
      <c r="L19" s="466">
        <v>587</v>
      </c>
      <c r="M19" s="466">
        <v>597</v>
      </c>
      <c r="N19" s="466">
        <v>605</v>
      </c>
      <c r="O19" s="466">
        <v>612</v>
      </c>
      <c r="P19" s="466">
        <v>715.94754999002805</v>
      </c>
      <c r="Q19" s="466">
        <v>655.98116484138711</v>
      </c>
      <c r="R19" s="466">
        <v>725.99750412760204</v>
      </c>
    </row>
    <row r="20" spans="1:18" ht="15.95" customHeight="1" x14ac:dyDescent="0.25">
      <c r="A20" s="234" t="s">
        <v>304</v>
      </c>
      <c r="B20" s="217"/>
      <c r="C20" s="217"/>
      <c r="D20" s="217"/>
      <c r="E20" s="217"/>
      <c r="F20" s="217"/>
      <c r="G20" s="464"/>
      <c r="H20" s="464"/>
      <c r="I20" s="217" t="s">
        <v>1</v>
      </c>
      <c r="J20" s="217" t="s">
        <v>1</v>
      </c>
      <c r="K20" s="217" t="s">
        <v>1</v>
      </c>
      <c r="L20" s="217" t="s">
        <v>1</v>
      </c>
      <c r="M20" s="464">
        <v>275</v>
      </c>
      <c r="N20" s="464">
        <v>9</v>
      </c>
      <c r="O20" s="464">
        <v>173</v>
      </c>
      <c r="P20" s="464">
        <v>214.2098288129348</v>
      </c>
      <c r="Q20" s="464">
        <v>334.686373411425</v>
      </c>
      <c r="R20" s="464">
        <v>408.13626564432786</v>
      </c>
    </row>
    <row r="21" spans="1:18" s="158" customFormat="1" ht="24" customHeight="1" x14ac:dyDescent="0.25">
      <c r="A21" s="558" t="s">
        <v>389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</row>
    <row r="22" spans="1:18" s="19" customFormat="1" ht="12" customHeight="1" x14ac:dyDescent="0.25">
      <c r="A22" s="467" t="s">
        <v>390</v>
      </c>
      <c r="B22" s="468"/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</row>
    <row r="23" spans="1:18" s="19" customFormat="1" ht="12" customHeight="1" x14ac:dyDescent="0.25">
      <c r="A23" s="467" t="s">
        <v>391</v>
      </c>
      <c r="B23" s="468"/>
      <c r="C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</row>
    <row r="24" spans="1:18" s="19" customFormat="1" ht="12" customHeight="1" x14ac:dyDescent="0.25">
      <c r="A24" s="180" t="s">
        <v>392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</row>
    <row r="25" spans="1:18" s="19" customFormat="1" ht="12" customHeight="1" x14ac:dyDescent="0.25">
      <c r="A25" s="557" t="s">
        <v>393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</row>
  </sheetData>
  <sortState ref="A7:R20">
    <sortCondition descending="1" ref="R7:R20"/>
  </sortState>
  <mergeCells count="4">
    <mergeCell ref="A25:R25"/>
    <mergeCell ref="A1:R1"/>
    <mergeCell ref="A2:R2"/>
    <mergeCell ref="A21:R21"/>
  </mergeCells>
  <printOptions horizontalCentered="1"/>
  <pageMargins left="0.94488188976377963" right="0.9055118110236221" top="0.74803149606299213" bottom="0.74803149606299213" header="0.31496062992125984" footer="0.31496062992125984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29"/>
  <sheetViews>
    <sheetView showGridLines="0" zoomScaleNormal="100" zoomScaleSheetLayoutView="145" workbookViewId="0">
      <selection activeCell="A4" sqref="A4:E26"/>
    </sheetView>
  </sheetViews>
  <sheetFormatPr baseColWidth="10" defaultRowHeight="12.75" customHeight="1" x14ac:dyDescent="0.25"/>
  <cols>
    <col min="1" max="1" width="20.7109375" style="46" customWidth="1"/>
    <col min="2" max="5" width="13.85546875" style="46" customWidth="1"/>
    <col min="6" max="227" width="11.7109375" style="46"/>
    <col min="228" max="228" width="19.7109375" style="46" customWidth="1"/>
    <col min="229" max="241" width="6.7109375" style="46" customWidth="1"/>
    <col min="242" max="242" width="4.7109375" style="46" customWidth="1"/>
    <col min="243" max="243" width="7.7109375" style="46" customWidth="1"/>
    <col min="244" max="483" width="11.7109375" style="46"/>
    <col min="484" max="484" width="19.7109375" style="46" customWidth="1"/>
    <col min="485" max="497" width="6.7109375" style="46" customWidth="1"/>
    <col min="498" max="498" width="4.7109375" style="46" customWidth="1"/>
    <col min="499" max="499" width="7.7109375" style="46" customWidth="1"/>
    <col min="500" max="739" width="11.7109375" style="46"/>
    <col min="740" max="740" width="19.7109375" style="46" customWidth="1"/>
    <col min="741" max="753" width="6.7109375" style="46" customWidth="1"/>
    <col min="754" max="754" width="4.7109375" style="46" customWidth="1"/>
    <col min="755" max="755" width="7.7109375" style="46" customWidth="1"/>
    <col min="756" max="995" width="11.7109375" style="46"/>
    <col min="996" max="996" width="19.7109375" style="46" customWidth="1"/>
    <col min="997" max="1009" width="6.7109375" style="46" customWidth="1"/>
    <col min="1010" max="1010" width="4.7109375" style="46" customWidth="1"/>
    <col min="1011" max="1011" width="7.7109375" style="46" customWidth="1"/>
    <col min="1012" max="1251" width="11.7109375" style="46"/>
    <col min="1252" max="1252" width="19.7109375" style="46" customWidth="1"/>
    <col min="1253" max="1265" width="6.7109375" style="46" customWidth="1"/>
    <col min="1266" max="1266" width="4.7109375" style="46" customWidth="1"/>
    <col min="1267" max="1267" width="7.7109375" style="46" customWidth="1"/>
    <col min="1268" max="1507" width="11.7109375" style="46"/>
    <col min="1508" max="1508" width="19.7109375" style="46" customWidth="1"/>
    <col min="1509" max="1521" width="6.7109375" style="46" customWidth="1"/>
    <col min="1522" max="1522" width="4.7109375" style="46" customWidth="1"/>
    <col min="1523" max="1523" width="7.7109375" style="46" customWidth="1"/>
    <col min="1524" max="1763" width="11.7109375" style="46"/>
    <col min="1764" max="1764" width="19.7109375" style="46" customWidth="1"/>
    <col min="1765" max="1777" width="6.7109375" style="46" customWidth="1"/>
    <col min="1778" max="1778" width="4.7109375" style="46" customWidth="1"/>
    <col min="1779" max="1779" width="7.7109375" style="46" customWidth="1"/>
    <col min="1780" max="2019" width="11.7109375" style="46"/>
    <col min="2020" max="2020" width="19.7109375" style="46" customWidth="1"/>
    <col min="2021" max="2033" width="6.7109375" style="46" customWidth="1"/>
    <col min="2034" max="2034" width="4.7109375" style="46" customWidth="1"/>
    <col min="2035" max="2035" width="7.7109375" style="46" customWidth="1"/>
    <col min="2036" max="2275" width="11.7109375" style="46"/>
    <col min="2276" max="2276" width="19.7109375" style="46" customWidth="1"/>
    <col min="2277" max="2289" width="6.7109375" style="46" customWidth="1"/>
    <col min="2290" max="2290" width="4.7109375" style="46" customWidth="1"/>
    <col min="2291" max="2291" width="7.7109375" style="46" customWidth="1"/>
    <col min="2292" max="2531" width="11.7109375" style="46"/>
    <col min="2532" max="2532" width="19.7109375" style="46" customWidth="1"/>
    <col min="2533" max="2545" width="6.7109375" style="46" customWidth="1"/>
    <col min="2546" max="2546" width="4.7109375" style="46" customWidth="1"/>
    <col min="2547" max="2547" width="7.7109375" style="46" customWidth="1"/>
    <col min="2548" max="2787" width="11.7109375" style="46"/>
    <col min="2788" max="2788" width="19.7109375" style="46" customWidth="1"/>
    <col min="2789" max="2801" width="6.7109375" style="46" customWidth="1"/>
    <col min="2802" max="2802" width="4.7109375" style="46" customWidth="1"/>
    <col min="2803" max="2803" width="7.7109375" style="46" customWidth="1"/>
    <col min="2804" max="3043" width="11.7109375" style="46"/>
    <col min="3044" max="3044" width="19.7109375" style="46" customWidth="1"/>
    <col min="3045" max="3057" width="6.7109375" style="46" customWidth="1"/>
    <col min="3058" max="3058" width="4.7109375" style="46" customWidth="1"/>
    <col min="3059" max="3059" width="7.7109375" style="46" customWidth="1"/>
    <col min="3060" max="3299" width="11.7109375" style="46"/>
    <col min="3300" max="3300" width="19.7109375" style="46" customWidth="1"/>
    <col min="3301" max="3313" width="6.7109375" style="46" customWidth="1"/>
    <col min="3314" max="3314" width="4.7109375" style="46" customWidth="1"/>
    <col min="3315" max="3315" width="7.7109375" style="46" customWidth="1"/>
    <col min="3316" max="3555" width="11.7109375" style="46"/>
    <col min="3556" max="3556" width="19.7109375" style="46" customWidth="1"/>
    <col min="3557" max="3569" width="6.7109375" style="46" customWidth="1"/>
    <col min="3570" max="3570" width="4.7109375" style="46" customWidth="1"/>
    <col min="3571" max="3571" width="7.7109375" style="46" customWidth="1"/>
    <col min="3572" max="3811" width="11.7109375" style="46"/>
    <col min="3812" max="3812" width="19.7109375" style="46" customWidth="1"/>
    <col min="3813" max="3825" width="6.7109375" style="46" customWidth="1"/>
    <col min="3826" max="3826" width="4.7109375" style="46" customWidth="1"/>
    <col min="3827" max="3827" width="7.7109375" style="46" customWidth="1"/>
    <col min="3828" max="4067" width="11.7109375" style="46"/>
    <col min="4068" max="4068" width="19.7109375" style="46" customWidth="1"/>
    <col min="4069" max="4081" width="6.7109375" style="46" customWidth="1"/>
    <col min="4082" max="4082" width="4.7109375" style="46" customWidth="1"/>
    <col min="4083" max="4083" width="7.7109375" style="46" customWidth="1"/>
    <col min="4084" max="4323" width="11.7109375" style="46"/>
    <col min="4324" max="4324" width="19.7109375" style="46" customWidth="1"/>
    <col min="4325" max="4337" width="6.7109375" style="46" customWidth="1"/>
    <col min="4338" max="4338" width="4.7109375" style="46" customWidth="1"/>
    <col min="4339" max="4339" width="7.7109375" style="46" customWidth="1"/>
    <col min="4340" max="4579" width="11.7109375" style="46"/>
    <col min="4580" max="4580" width="19.7109375" style="46" customWidth="1"/>
    <col min="4581" max="4593" width="6.7109375" style="46" customWidth="1"/>
    <col min="4594" max="4594" width="4.7109375" style="46" customWidth="1"/>
    <col min="4595" max="4595" width="7.7109375" style="46" customWidth="1"/>
    <col min="4596" max="4835" width="11.7109375" style="46"/>
    <col min="4836" max="4836" width="19.7109375" style="46" customWidth="1"/>
    <col min="4837" max="4849" width="6.7109375" style="46" customWidth="1"/>
    <col min="4850" max="4850" width="4.7109375" style="46" customWidth="1"/>
    <col min="4851" max="4851" width="7.7109375" style="46" customWidth="1"/>
    <col min="4852" max="5091" width="11.7109375" style="46"/>
    <col min="5092" max="5092" width="19.7109375" style="46" customWidth="1"/>
    <col min="5093" max="5105" width="6.7109375" style="46" customWidth="1"/>
    <col min="5106" max="5106" width="4.7109375" style="46" customWidth="1"/>
    <col min="5107" max="5107" width="7.7109375" style="46" customWidth="1"/>
    <col min="5108" max="5347" width="11.7109375" style="46"/>
    <col min="5348" max="5348" width="19.7109375" style="46" customWidth="1"/>
    <col min="5349" max="5361" width="6.7109375" style="46" customWidth="1"/>
    <col min="5362" max="5362" width="4.7109375" style="46" customWidth="1"/>
    <col min="5363" max="5363" width="7.7109375" style="46" customWidth="1"/>
    <col min="5364" max="5603" width="11.7109375" style="46"/>
    <col min="5604" max="5604" width="19.7109375" style="46" customWidth="1"/>
    <col min="5605" max="5617" width="6.7109375" style="46" customWidth="1"/>
    <col min="5618" max="5618" width="4.7109375" style="46" customWidth="1"/>
    <col min="5619" max="5619" width="7.7109375" style="46" customWidth="1"/>
    <col min="5620" max="5859" width="11.7109375" style="46"/>
    <col min="5860" max="5860" width="19.7109375" style="46" customWidth="1"/>
    <col min="5861" max="5873" width="6.7109375" style="46" customWidth="1"/>
    <col min="5874" max="5874" width="4.7109375" style="46" customWidth="1"/>
    <col min="5875" max="5875" width="7.7109375" style="46" customWidth="1"/>
    <col min="5876" max="6115" width="11.7109375" style="46"/>
    <col min="6116" max="6116" width="19.7109375" style="46" customWidth="1"/>
    <col min="6117" max="6129" width="6.7109375" style="46" customWidth="1"/>
    <col min="6130" max="6130" width="4.7109375" style="46" customWidth="1"/>
    <col min="6131" max="6131" width="7.7109375" style="46" customWidth="1"/>
    <col min="6132" max="6371" width="11.7109375" style="46"/>
    <col min="6372" max="6372" width="19.7109375" style="46" customWidth="1"/>
    <col min="6373" max="6385" width="6.7109375" style="46" customWidth="1"/>
    <col min="6386" max="6386" width="4.7109375" style="46" customWidth="1"/>
    <col min="6387" max="6387" width="7.7109375" style="46" customWidth="1"/>
    <col min="6388" max="6627" width="11.7109375" style="46"/>
    <col min="6628" max="6628" width="19.7109375" style="46" customWidth="1"/>
    <col min="6629" max="6641" width="6.7109375" style="46" customWidth="1"/>
    <col min="6642" max="6642" width="4.7109375" style="46" customWidth="1"/>
    <col min="6643" max="6643" width="7.7109375" style="46" customWidth="1"/>
    <col min="6644" max="6883" width="11.7109375" style="46"/>
    <col min="6884" max="6884" width="19.7109375" style="46" customWidth="1"/>
    <col min="6885" max="6897" width="6.7109375" style="46" customWidth="1"/>
    <col min="6898" max="6898" width="4.7109375" style="46" customWidth="1"/>
    <col min="6899" max="6899" width="7.7109375" style="46" customWidth="1"/>
    <col min="6900" max="7139" width="11.7109375" style="46"/>
    <col min="7140" max="7140" width="19.7109375" style="46" customWidth="1"/>
    <col min="7141" max="7153" width="6.7109375" style="46" customWidth="1"/>
    <col min="7154" max="7154" width="4.7109375" style="46" customWidth="1"/>
    <col min="7155" max="7155" width="7.7109375" style="46" customWidth="1"/>
    <col min="7156" max="7395" width="11.7109375" style="46"/>
    <col min="7396" max="7396" width="19.7109375" style="46" customWidth="1"/>
    <col min="7397" max="7409" width="6.7109375" style="46" customWidth="1"/>
    <col min="7410" max="7410" width="4.7109375" style="46" customWidth="1"/>
    <col min="7411" max="7411" width="7.7109375" style="46" customWidth="1"/>
    <col min="7412" max="7651" width="11.7109375" style="46"/>
    <col min="7652" max="7652" width="19.7109375" style="46" customWidth="1"/>
    <col min="7653" max="7665" width="6.7109375" style="46" customWidth="1"/>
    <col min="7666" max="7666" width="4.7109375" style="46" customWidth="1"/>
    <col min="7667" max="7667" width="7.7109375" style="46" customWidth="1"/>
    <col min="7668" max="7907" width="11.7109375" style="46"/>
    <col min="7908" max="7908" width="19.7109375" style="46" customWidth="1"/>
    <col min="7909" max="7921" width="6.7109375" style="46" customWidth="1"/>
    <col min="7922" max="7922" width="4.7109375" style="46" customWidth="1"/>
    <col min="7923" max="7923" width="7.7109375" style="46" customWidth="1"/>
    <col min="7924" max="8163" width="11.7109375" style="46"/>
    <col min="8164" max="8164" width="19.7109375" style="46" customWidth="1"/>
    <col min="8165" max="8177" width="6.7109375" style="46" customWidth="1"/>
    <col min="8178" max="8178" width="4.7109375" style="46" customWidth="1"/>
    <col min="8179" max="8179" width="7.7109375" style="46" customWidth="1"/>
    <col min="8180" max="8419" width="11.7109375" style="46"/>
    <col min="8420" max="8420" width="19.7109375" style="46" customWidth="1"/>
    <col min="8421" max="8433" width="6.7109375" style="46" customWidth="1"/>
    <col min="8434" max="8434" width="4.7109375" style="46" customWidth="1"/>
    <col min="8435" max="8435" width="7.7109375" style="46" customWidth="1"/>
    <col min="8436" max="8675" width="11.7109375" style="46"/>
    <col min="8676" max="8676" width="19.7109375" style="46" customWidth="1"/>
    <col min="8677" max="8689" width="6.7109375" style="46" customWidth="1"/>
    <col min="8690" max="8690" width="4.7109375" style="46" customWidth="1"/>
    <col min="8691" max="8691" width="7.7109375" style="46" customWidth="1"/>
    <col min="8692" max="8931" width="11.7109375" style="46"/>
    <col min="8932" max="8932" width="19.7109375" style="46" customWidth="1"/>
    <col min="8933" max="8945" width="6.7109375" style="46" customWidth="1"/>
    <col min="8946" max="8946" width="4.7109375" style="46" customWidth="1"/>
    <col min="8947" max="8947" width="7.7109375" style="46" customWidth="1"/>
    <col min="8948" max="9187" width="11.7109375" style="46"/>
    <col min="9188" max="9188" width="19.7109375" style="46" customWidth="1"/>
    <col min="9189" max="9201" width="6.7109375" style="46" customWidth="1"/>
    <col min="9202" max="9202" width="4.7109375" style="46" customWidth="1"/>
    <col min="9203" max="9203" width="7.7109375" style="46" customWidth="1"/>
    <col min="9204" max="9443" width="11.7109375" style="46"/>
    <col min="9444" max="9444" width="19.7109375" style="46" customWidth="1"/>
    <col min="9445" max="9457" width="6.7109375" style="46" customWidth="1"/>
    <col min="9458" max="9458" width="4.7109375" style="46" customWidth="1"/>
    <col min="9459" max="9459" width="7.7109375" style="46" customWidth="1"/>
    <col min="9460" max="9699" width="11.7109375" style="46"/>
    <col min="9700" max="9700" width="19.7109375" style="46" customWidth="1"/>
    <col min="9701" max="9713" width="6.7109375" style="46" customWidth="1"/>
    <col min="9714" max="9714" width="4.7109375" style="46" customWidth="1"/>
    <col min="9715" max="9715" width="7.7109375" style="46" customWidth="1"/>
    <col min="9716" max="9955" width="11.7109375" style="46"/>
    <col min="9956" max="9956" width="19.7109375" style="46" customWidth="1"/>
    <col min="9957" max="9969" width="6.7109375" style="46" customWidth="1"/>
    <col min="9970" max="9970" width="4.7109375" style="46" customWidth="1"/>
    <col min="9971" max="9971" width="7.7109375" style="46" customWidth="1"/>
    <col min="9972" max="10211" width="11.7109375" style="46"/>
    <col min="10212" max="10212" width="19.7109375" style="46" customWidth="1"/>
    <col min="10213" max="10225" width="6.7109375" style="46" customWidth="1"/>
    <col min="10226" max="10226" width="4.7109375" style="46" customWidth="1"/>
    <col min="10227" max="10227" width="7.7109375" style="46" customWidth="1"/>
    <col min="10228" max="10467" width="11.7109375" style="46"/>
    <col min="10468" max="10468" width="19.7109375" style="46" customWidth="1"/>
    <col min="10469" max="10481" width="6.7109375" style="46" customWidth="1"/>
    <col min="10482" max="10482" width="4.7109375" style="46" customWidth="1"/>
    <col min="10483" max="10483" width="7.7109375" style="46" customWidth="1"/>
    <col min="10484" max="10723" width="11.7109375" style="46"/>
    <col min="10724" max="10724" width="19.7109375" style="46" customWidth="1"/>
    <col min="10725" max="10737" width="6.7109375" style="46" customWidth="1"/>
    <col min="10738" max="10738" width="4.7109375" style="46" customWidth="1"/>
    <col min="10739" max="10739" width="7.7109375" style="46" customWidth="1"/>
    <col min="10740" max="10979" width="11.7109375" style="46"/>
    <col min="10980" max="10980" width="19.7109375" style="46" customWidth="1"/>
    <col min="10981" max="10993" width="6.7109375" style="46" customWidth="1"/>
    <col min="10994" max="10994" width="4.7109375" style="46" customWidth="1"/>
    <col min="10995" max="10995" width="7.7109375" style="46" customWidth="1"/>
    <col min="10996" max="11235" width="11.7109375" style="46"/>
    <col min="11236" max="11236" width="19.7109375" style="46" customWidth="1"/>
    <col min="11237" max="11249" width="6.7109375" style="46" customWidth="1"/>
    <col min="11250" max="11250" width="4.7109375" style="46" customWidth="1"/>
    <col min="11251" max="11251" width="7.7109375" style="46" customWidth="1"/>
    <col min="11252" max="11491" width="11.7109375" style="46"/>
    <col min="11492" max="11492" width="19.7109375" style="46" customWidth="1"/>
    <col min="11493" max="11505" width="6.7109375" style="46" customWidth="1"/>
    <col min="11506" max="11506" width="4.7109375" style="46" customWidth="1"/>
    <col min="11507" max="11507" width="7.7109375" style="46" customWidth="1"/>
    <col min="11508" max="11747" width="11.7109375" style="46"/>
    <col min="11748" max="11748" width="19.7109375" style="46" customWidth="1"/>
    <col min="11749" max="11761" width="6.7109375" style="46" customWidth="1"/>
    <col min="11762" max="11762" width="4.7109375" style="46" customWidth="1"/>
    <col min="11763" max="11763" width="7.7109375" style="46" customWidth="1"/>
    <col min="11764" max="12003" width="11.7109375" style="46"/>
    <col min="12004" max="12004" width="19.7109375" style="46" customWidth="1"/>
    <col min="12005" max="12017" width="6.7109375" style="46" customWidth="1"/>
    <col min="12018" max="12018" width="4.7109375" style="46" customWidth="1"/>
    <col min="12019" max="12019" width="7.7109375" style="46" customWidth="1"/>
    <col min="12020" max="12259" width="11.7109375" style="46"/>
    <col min="12260" max="12260" width="19.7109375" style="46" customWidth="1"/>
    <col min="12261" max="12273" width="6.7109375" style="46" customWidth="1"/>
    <col min="12274" max="12274" width="4.7109375" style="46" customWidth="1"/>
    <col min="12275" max="12275" width="7.7109375" style="46" customWidth="1"/>
    <col min="12276" max="12515" width="11.7109375" style="46"/>
    <col min="12516" max="12516" width="19.7109375" style="46" customWidth="1"/>
    <col min="12517" max="12529" width="6.7109375" style="46" customWidth="1"/>
    <col min="12530" max="12530" width="4.7109375" style="46" customWidth="1"/>
    <col min="12531" max="12531" width="7.7109375" style="46" customWidth="1"/>
    <col min="12532" max="12771" width="11.7109375" style="46"/>
    <col min="12772" max="12772" width="19.7109375" style="46" customWidth="1"/>
    <col min="12773" max="12785" width="6.7109375" style="46" customWidth="1"/>
    <col min="12786" max="12786" width="4.7109375" style="46" customWidth="1"/>
    <col min="12787" max="12787" width="7.7109375" style="46" customWidth="1"/>
    <col min="12788" max="13027" width="11.7109375" style="46"/>
    <col min="13028" max="13028" width="19.7109375" style="46" customWidth="1"/>
    <col min="13029" max="13041" width="6.7109375" style="46" customWidth="1"/>
    <col min="13042" max="13042" width="4.7109375" style="46" customWidth="1"/>
    <col min="13043" max="13043" width="7.7109375" style="46" customWidth="1"/>
    <col min="13044" max="13283" width="11.7109375" style="46"/>
    <col min="13284" max="13284" width="19.7109375" style="46" customWidth="1"/>
    <col min="13285" max="13297" width="6.7109375" style="46" customWidth="1"/>
    <col min="13298" max="13298" width="4.7109375" style="46" customWidth="1"/>
    <col min="13299" max="13299" width="7.7109375" style="46" customWidth="1"/>
    <col min="13300" max="13539" width="11.7109375" style="46"/>
    <col min="13540" max="13540" width="19.7109375" style="46" customWidth="1"/>
    <col min="13541" max="13553" width="6.7109375" style="46" customWidth="1"/>
    <col min="13554" max="13554" width="4.7109375" style="46" customWidth="1"/>
    <col min="13555" max="13555" width="7.7109375" style="46" customWidth="1"/>
    <col min="13556" max="13795" width="11.7109375" style="46"/>
    <col min="13796" max="13796" width="19.7109375" style="46" customWidth="1"/>
    <col min="13797" max="13809" width="6.7109375" style="46" customWidth="1"/>
    <col min="13810" max="13810" width="4.7109375" style="46" customWidth="1"/>
    <col min="13811" max="13811" width="7.7109375" style="46" customWidth="1"/>
    <col min="13812" max="14051" width="11.7109375" style="46"/>
    <col min="14052" max="14052" width="19.7109375" style="46" customWidth="1"/>
    <col min="14053" max="14065" width="6.7109375" style="46" customWidth="1"/>
    <col min="14066" max="14066" width="4.7109375" style="46" customWidth="1"/>
    <col min="14067" max="14067" width="7.7109375" style="46" customWidth="1"/>
    <col min="14068" max="14307" width="11.7109375" style="46"/>
    <col min="14308" max="14308" width="19.7109375" style="46" customWidth="1"/>
    <col min="14309" max="14321" width="6.7109375" style="46" customWidth="1"/>
    <col min="14322" max="14322" width="4.7109375" style="46" customWidth="1"/>
    <col min="14323" max="14323" width="7.7109375" style="46" customWidth="1"/>
    <col min="14324" max="14563" width="11.7109375" style="46"/>
    <col min="14564" max="14564" width="19.7109375" style="46" customWidth="1"/>
    <col min="14565" max="14577" width="6.7109375" style="46" customWidth="1"/>
    <col min="14578" max="14578" width="4.7109375" style="46" customWidth="1"/>
    <col min="14579" max="14579" width="7.7109375" style="46" customWidth="1"/>
    <col min="14580" max="14819" width="11.7109375" style="46"/>
    <col min="14820" max="14820" width="19.7109375" style="46" customWidth="1"/>
    <col min="14821" max="14833" width="6.7109375" style="46" customWidth="1"/>
    <col min="14834" max="14834" width="4.7109375" style="46" customWidth="1"/>
    <col min="14835" max="14835" width="7.7109375" style="46" customWidth="1"/>
    <col min="14836" max="15075" width="11.7109375" style="46"/>
    <col min="15076" max="15076" width="19.7109375" style="46" customWidth="1"/>
    <col min="15077" max="15089" width="6.7109375" style="46" customWidth="1"/>
    <col min="15090" max="15090" width="4.7109375" style="46" customWidth="1"/>
    <col min="15091" max="15091" width="7.7109375" style="46" customWidth="1"/>
    <col min="15092" max="15331" width="11.7109375" style="46"/>
    <col min="15332" max="15332" width="19.7109375" style="46" customWidth="1"/>
    <col min="15333" max="15345" width="6.7109375" style="46" customWidth="1"/>
    <col min="15346" max="15346" width="4.7109375" style="46" customWidth="1"/>
    <col min="15347" max="15347" width="7.7109375" style="46" customWidth="1"/>
    <col min="15348" max="15587" width="11.7109375" style="46"/>
    <col min="15588" max="15588" width="19.7109375" style="46" customWidth="1"/>
    <col min="15589" max="15601" width="6.7109375" style="46" customWidth="1"/>
    <col min="15602" max="15602" width="4.7109375" style="46" customWidth="1"/>
    <col min="15603" max="15603" width="7.7109375" style="46" customWidth="1"/>
    <col min="15604" max="15843" width="11.7109375" style="46"/>
    <col min="15844" max="15844" width="19.7109375" style="46" customWidth="1"/>
    <col min="15845" max="15857" width="6.7109375" style="46" customWidth="1"/>
    <col min="15858" max="15858" width="4.7109375" style="46" customWidth="1"/>
    <col min="15859" max="15859" width="7.7109375" style="46" customWidth="1"/>
    <col min="15860" max="16099" width="11.7109375" style="46"/>
    <col min="16100" max="16100" width="19.7109375" style="46" customWidth="1"/>
    <col min="16101" max="16113" width="6.7109375" style="46" customWidth="1"/>
    <col min="16114" max="16114" width="4.7109375" style="46" customWidth="1"/>
    <col min="16115" max="16115" width="7.7109375" style="46" customWidth="1"/>
    <col min="16116" max="16352" width="11.7109375" style="46"/>
    <col min="16353" max="16384" width="11.28515625" style="46" customWidth="1"/>
  </cols>
  <sheetData>
    <row r="1" spans="1:5" ht="15" customHeight="1" x14ac:dyDescent="0.25">
      <c r="A1" s="543" t="s">
        <v>396</v>
      </c>
      <c r="B1" s="543"/>
      <c r="C1" s="543"/>
      <c r="D1" s="543"/>
      <c r="E1" s="543"/>
    </row>
    <row r="2" spans="1:5" ht="12.75" customHeight="1" x14ac:dyDescent="0.25">
      <c r="A2" s="521" t="s">
        <v>292</v>
      </c>
      <c r="B2" s="521"/>
      <c r="C2" s="521"/>
      <c r="D2" s="521"/>
      <c r="E2" s="521"/>
    </row>
    <row r="3" spans="1:5" ht="4.1500000000000004" customHeight="1" x14ac:dyDescent="0.25"/>
    <row r="4" spans="1:5" s="179" customFormat="1" ht="28.5" customHeight="1" x14ac:dyDescent="0.25">
      <c r="A4" s="459" t="s">
        <v>395</v>
      </c>
      <c r="B4" s="460">
        <v>2017</v>
      </c>
      <c r="C4" s="460">
        <v>2018</v>
      </c>
      <c r="D4" s="460">
        <v>2019</v>
      </c>
      <c r="E4" s="460">
        <v>2020</v>
      </c>
    </row>
    <row r="5" spans="1:5" s="179" customFormat="1" ht="4.1500000000000004" customHeight="1" x14ac:dyDescent="0.25">
      <c r="A5" s="469"/>
      <c r="B5" s="470"/>
      <c r="C5" s="470"/>
      <c r="D5" s="470"/>
      <c r="E5" s="470"/>
    </row>
    <row r="6" spans="1:5" s="179" customFormat="1" ht="15.95" customHeight="1" x14ac:dyDescent="0.25">
      <c r="A6" s="462" t="s">
        <v>157</v>
      </c>
      <c r="B6" s="463">
        <v>117292</v>
      </c>
      <c r="C6" s="463">
        <v>127532</v>
      </c>
      <c r="D6" s="463">
        <v>132436</v>
      </c>
      <c r="E6" s="463">
        <v>146359</v>
      </c>
    </row>
    <row r="7" spans="1:5" s="179" customFormat="1" ht="15.95" customHeight="1" x14ac:dyDescent="0.25">
      <c r="A7" s="471" t="s">
        <v>286</v>
      </c>
      <c r="B7" s="472">
        <v>1088</v>
      </c>
      <c r="C7" s="472">
        <v>2087</v>
      </c>
      <c r="D7" s="472">
        <v>1205</v>
      </c>
      <c r="E7" s="472">
        <v>1876</v>
      </c>
    </row>
    <row r="8" spans="1:5" s="179" customFormat="1" ht="15.95" customHeight="1" x14ac:dyDescent="0.25">
      <c r="A8" s="471" t="s">
        <v>284</v>
      </c>
      <c r="B8" s="472">
        <v>536</v>
      </c>
      <c r="C8" s="472">
        <v>627</v>
      </c>
      <c r="D8" s="472">
        <v>575</v>
      </c>
      <c r="E8" s="472">
        <v>636</v>
      </c>
    </row>
    <row r="9" spans="1:5" s="179" customFormat="1" ht="15.95" customHeight="1" x14ac:dyDescent="0.25">
      <c r="A9" s="471" t="s">
        <v>300</v>
      </c>
      <c r="B9" s="473">
        <v>1597</v>
      </c>
      <c r="C9" s="473">
        <v>2575</v>
      </c>
      <c r="D9" s="473">
        <v>2217</v>
      </c>
      <c r="E9" s="473">
        <v>3720</v>
      </c>
    </row>
    <row r="10" spans="1:5" s="179" customFormat="1" ht="15.95" customHeight="1" x14ac:dyDescent="0.25">
      <c r="A10" s="471" t="s">
        <v>394</v>
      </c>
      <c r="B10" s="472">
        <v>820</v>
      </c>
      <c r="C10" s="472">
        <v>1441</v>
      </c>
      <c r="D10" s="472">
        <v>1180</v>
      </c>
      <c r="E10" s="472">
        <v>3375</v>
      </c>
    </row>
    <row r="11" spans="1:5" s="179" customFormat="1" ht="15.95" customHeight="1" x14ac:dyDescent="0.25">
      <c r="A11" s="474" t="s">
        <v>304</v>
      </c>
      <c r="B11" s="472">
        <v>237</v>
      </c>
      <c r="C11" s="472">
        <v>295</v>
      </c>
      <c r="D11" s="472">
        <v>462</v>
      </c>
      <c r="E11" s="472">
        <v>562</v>
      </c>
    </row>
    <row r="12" spans="1:5" s="179" customFormat="1" ht="15.95" customHeight="1" x14ac:dyDescent="0.25">
      <c r="A12" s="471" t="s">
        <v>409</v>
      </c>
      <c r="B12" s="472">
        <v>4469</v>
      </c>
      <c r="C12" s="472">
        <v>4466</v>
      </c>
      <c r="D12" s="472">
        <v>3961</v>
      </c>
      <c r="E12" s="472">
        <v>5392</v>
      </c>
    </row>
    <row r="13" spans="1:5" s="179" customFormat="1" ht="15.95" customHeight="1" x14ac:dyDescent="0.25">
      <c r="A13" s="471" t="s">
        <v>299</v>
      </c>
      <c r="B13" s="473">
        <v>6850</v>
      </c>
      <c r="C13" s="473">
        <v>7414</v>
      </c>
      <c r="D13" s="473">
        <v>7722</v>
      </c>
      <c r="E13" s="473">
        <v>9940</v>
      </c>
    </row>
    <row r="14" spans="1:5" s="179" customFormat="1" ht="15.95" customHeight="1" x14ac:dyDescent="0.25">
      <c r="A14" s="471" t="s">
        <v>289</v>
      </c>
      <c r="B14" s="472">
        <v>2258</v>
      </c>
      <c r="C14" s="472">
        <v>1828</v>
      </c>
      <c r="D14" s="472">
        <v>1870</v>
      </c>
      <c r="E14" s="472">
        <v>2267</v>
      </c>
    </row>
    <row r="15" spans="1:5" s="179" customFormat="1" ht="15.95" customHeight="1" x14ac:dyDescent="0.25">
      <c r="A15" s="471" t="s">
        <v>297</v>
      </c>
      <c r="B15" s="473">
        <v>15259</v>
      </c>
      <c r="C15" s="473">
        <v>13123</v>
      </c>
      <c r="D15" s="473">
        <v>12434</v>
      </c>
      <c r="E15" s="473">
        <v>9916</v>
      </c>
    </row>
    <row r="16" spans="1:5" s="179" customFormat="1" ht="15.95" customHeight="1" x14ac:dyDescent="0.25">
      <c r="A16" s="471" t="s">
        <v>290</v>
      </c>
      <c r="B16" s="473">
        <v>1294</v>
      </c>
      <c r="C16" s="473">
        <v>1210</v>
      </c>
      <c r="D16" s="473">
        <v>1217</v>
      </c>
      <c r="E16" s="473">
        <v>1229</v>
      </c>
    </row>
    <row r="17" spans="1:5" s="179" customFormat="1" ht="15.95" customHeight="1" x14ac:dyDescent="0.25">
      <c r="A17" s="471" t="s">
        <v>387</v>
      </c>
      <c r="B17" s="472">
        <v>1443</v>
      </c>
      <c r="C17" s="472">
        <v>1317</v>
      </c>
      <c r="D17" s="472">
        <v>1883</v>
      </c>
      <c r="E17" s="472">
        <v>3158</v>
      </c>
    </row>
    <row r="18" spans="1:5" s="179" customFormat="1" ht="15.95" customHeight="1" x14ac:dyDescent="0.25">
      <c r="A18" s="471" t="s">
        <v>291</v>
      </c>
      <c r="B18" s="473">
        <v>1205</v>
      </c>
      <c r="C18" s="473">
        <v>1681</v>
      </c>
      <c r="D18" s="473">
        <v>1877</v>
      </c>
      <c r="E18" s="473">
        <v>1461</v>
      </c>
    </row>
    <row r="19" spans="1:5" s="179" customFormat="1" ht="15.95" customHeight="1" x14ac:dyDescent="0.25">
      <c r="A19" s="475" t="s">
        <v>285</v>
      </c>
      <c r="B19" s="473">
        <v>1672</v>
      </c>
      <c r="C19" s="473">
        <v>2116</v>
      </c>
      <c r="D19" s="473">
        <v>1542</v>
      </c>
      <c r="E19" s="473">
        <v>1421</v>
      </c>
    </row>
    <row r="20" spans="1:5" s="179" customFormat="1" ht="15.95" customHeight="1" x14ac:dyDescent="0.25">
      <c r="A20" s="471" t="s">
        <v>408</v>
      </c>
      <c r="B20" s="472">
        <v>78564</v>
      </c>
      <c r="C20" s="472">
        <v>87354</v>
      </c>
      <c r="D20" s="472">
        <v>94291</v>
      </c>
      <c r="E20" s="472">
        <v>101406</v>
      </c>
    </row>
    <row r="21" spans="1:5" s="179" customFormat="1" ht="3" customHeight="1" x14ac:dyDescent="0.25">
      <c r="A21" s="477"/>
      <c r="B21" s="478"/>
      <c r="C21" s="478"/>
      <c r="D21" s="478"/>
      <c r="E21" s="478"/>
    </row>
    <row r="22" spans="1:5" s="180" customFormat="1" ht="12" customHeight="1" x14ac:dyDescent="0.25">
      <c r="A22" s="559" t="s">
        <v>410</v>
      </c>
      <c r="B22" s="559"/>
      <c r="C22" s="559"/>
      <c r="D22" s="559"/>
      <c r="E22" s="559"/>
    </row>
    <row r="23" spans="1:5" s="180" customFormat="1" ht="12" customHeight="1" x14ac:dyDescent="0.25">
      <c r="A23" s="467" t="s">
        <v>390</v>
      </c>
      <c r="B23" s="476"/>
      <c r="C23" s="476"/>
      <c r="D23" s="476"/>
      <c r="E23" s="476"/>
    </row>
    <row r="24" spans="1:5" s="180" customFormat="1" ht="12" customHeight="1" x14ac:dyDescent="0.25">
      <c r="A24" s="467" t="s">
        <v>391</v>
      </c>
      <c r="B24" s="476"/>
      <c r="C24" s="476"/>
      <c r="D24" s="476"/>
      <c r="E24" s="476"/>
    </row>
    <row r="25" spans="1:5" s="180" customFormat="1" ht="12" customHeight="1" x14ac:dyDescent="0.25">
      <c r="A25" s="180" t="s">
        <v>392</v>
      </c>
    </row>
    <row r="26" spans="1:5" s="180" customFormat="1" ht="12" customHeight="1" x14ac:dyDescent="0.25">
      <c r="A26" s="180" t="s">
        <v>397</v>
      </c>
    </row>
    <row r="27" spans="1:5" s="179" customFormat="1" ht="9" x14ac:dyDescent="0.25"/>
    <row r="28" spans="1:5" s="179" customFormat="1" ht="9" x14ac:dyDescent="0.25"/>
    <row r="29" spans="1:5" s="179" customFormat="1" ht="9" x14ac:dyDescent="0.25"/>
  </sheetData>
  <sortState ref="B7:E19">
    <sortCondition ref="B7:B19"/>
  </sortState>
  <mergeCells count="3">
    <mergeCell ref="A1:E1"/>
    <mergeCell ref="A2:E2"/>
    <mergeCell ref="A22:E22"/>
  </mergeCells>
  <printOptions horizontalCentered="1"/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17"/>
  <sheetViews>
    <sheetView showGridLines="0" zoomScaleNormal="100" zoomScaleSheetLayoutView="100" workbookViewId="0">
      <selection activeCell="A3" sqref="A3:F17"/>
    </sheetView>
  </sheetViews>
  <sheetFormatPr baseColWidth="10" defaultRowHeight="12.75" customHeight="1" x14ac:dyDescent="0.25"/>
  <cols>
    <col min="1" max="1" width="19.42578125" style="46" customWidth="1"/>
    <col min="2" max="2" width="16.5703125" style="46" customWidth="1"/>
    <col min="3" max="3" width="1.7109375" style="46" customWidth="1"/>
    <col min="4" max="4" width="18.7109375" style="46" customWidth="1"/>
    <col min="5" max="5" width="1.7109375" style="46" customWidth="1"/>
    <col min="6" max="6" width="18.7109375" style="46" customWidth="1"/>
    <col min="7" max="196" width="11.7109375" style="46"/>
    <col min="197" max="197" width="15.28515625" style="46" customWidth="1"/>
    <col min="198" max="198" width="2.28515625" style="46" customWidth="1"/>
    <col min="199" max="199" width="4.28515625" style="46" customWidth="1"/>
    <col min="200" max="200" width="5.28515625" style="46" customWidth="1"/>
    <col min="201" max="201" width="4" style="46" customWidth="1"/>
    <col min="202" max="202" width="8.28515625" style="46" customWidth="1"/>
    <col min="203" max="203" width="3.7109375" style="46" customWidth="1"/>
    <col min="204" max="204" width="1.28515625" style="46" customWidth="1"/>
    <col min="205" max="205" width="10.7109375" style="46" customWidth="1"/>
    <col min="206" max="452" width="11.7109375" style="46"/>
    <col min="453" max="453" width="15.28515625" style="46" customWidth="1"/>
    <col min="454" max="454" width="2.28515625" style="46" customWidth="1"/>
    <col min="455" max="455" width="4.28515625" style="46" customWidth="1"/>
    <col min="456" max="456" width="5.28515625" style="46" customWidth="1"/>
    <col min="457" max="457" width="4" style="46" customWidth="1"/>
    <col min="458" max="458" width="8.28515625" style="46" customWidth="1"/>
    <col min="459" max="459" width="3.7109375" style="46" customWidth="1"/>
    <col min="460" max="460" width="1.28515625" style="46" customWidth="1"/>
    <col min="461" max="461" width="10.7109375" style="46" customWidth="1"/>
    <col min="462" max="708" width="11.7109375" style="46"/>
    <col min="709" max="709" width="15.28515625" style="46" customWidth="1"/>
    <col min="710" max="710" width="2.28515625" style="46" customWidth="1"/>
    <col min="711" max="711" width="4.28515625" style="46" customWidth="1"/>
    <col min="712" max="712" width="5.28515625" style="46" customWidth="1"/>
    <col min="713" max="713" width="4" style="46" customWidth="1"/>
    <col min="714" max="714" width="8.28515625" style="46" customWidth="1"/>
    <col min="715" max="715" width="3.7109375" style="46" customWidth="1"/>
    <col min="716" max="716" width="1.28515625" style="46" customWidth="1"/>
    <col min="717" max="717" width="10.7109375" style="46" customWidth="1"/>
    <col min="718" max="964" width="11.7109375" style="46"/>
    <col min="965" max="965" width="15.28515625" style="46" customWidth="1"/>
    <col min="966" max="966" width="2.28515625" style="46" customWidth="1"/>
    <col min="967" max="967" width="4.28515625" style="46" customWidth="1"/>
    <col min="968" max="968" width="5.28515625" style="46" customWidth="1"/>
    <col min="969" max="969" width="4" style="46" customWidth="1"/>
    <col min="970" max="970" width="8.28515625" style="46" customWidth="1"/>
    <col min="971" max="971" width="3.7109375" style="46" customWidth="1"/>
    <col min="972" max="972" width="1.28515625" style="46" customWidth="1"/>
    <col min="973" max="973" width="10.7109375" style="46" customWidth="1"/>
    <col min="974" max="1220" width="11.7109375" style="46"/>
    <col min="1221" max="1221" width="15.28515625" style="46" customWidth="1"/>
    <col min="1222" max="1222" width="2.28515625" style="46" customWidth="1"/>
    <col min="1223" max="1223" width="4.28515625" style="46" customWidth="1"/>
    <col min="1224" max="1224" width="5.28515625" style="46" customWidth="1"/>
    <col min="1225" max="1225" width="4" style="46" customWidth="1"/>
    <col min="1226" max="1226" width="8.28515625" style="46" customWidth="1"/>
    <col min="1227" max="1227" width="3.7109375" style="46" customWidth="1"/>
    <col min="1228" max="1228" width="1.28515625" style="46" customWidth="1"/>
    <col min="1229" max="1229" width="10.7109375" style="46" customWidth="1"/>
    <col min="1230" max="1476" width="11.7109375" style="46"/>
    <col min="1477" max="1477" width="15.28515625" style="46" customWidth="1"/>
    <col min="1478" max="1478" width="2.28515625" style="46" customWidth="1"/>
    <col min="1479" max="1479" width="4.28515625" style="46" customWidth="1"/>
    <col min="1480" max="1480" width="5.28515625" style="46" customWidth="1"/>
    <col min="1481" max="1481" width="4" style="46" customWidth="1"/>
    <col min="1482" max="1482" width="8.28515625" style="46" customWidth="1"/>
    <col min="1483" max="1483" width="3.7109375" style="46" customWidth="1"/>
    <col min="1484" max="1484" width="1.28515625" style="46" customWidth="1"/>
    <col min="1485" max="1485" width="10.7109375" style="46" customWidth="1"/>
    <col min="1486" max="1732" width="11.7109375" style="46"/>
    <col min="1733" max="1733" width="15.28515625" style="46" customWidth="1"/>
    <col min="1734" max="1734" width="2.28515625" style="46" customWidth="1"/>
    <col min="1735" max="1735" width="4.28515625" style="46" customWidth="1"/>
    <col min="1736" max="1736" width="5.28515625" style="46" customWidth="1"/>
    <col min="1737" max="1737" width="4" style="46" customWidth="1"/>
    <col min="1738" max="1738" width="8.28515625" style="46" customWidth="1"/>
    <col min="1739" max="1739" width="3.7109375" style="46" customWidth="1"/>
    <col min="1740" max="1740" width="1.28515625" style="46" customWidth="1"/>
    <col min="1741" max="1741" width="10.7109375" style="46" customWidth="1"/>
    <col min="1742" max="1988" width="11.7109375" style="46"/>
    <col min="1989" max="1989" width="15.28515625" style="46" customWidth="1"/>
    <col min="1990" max="1990" width="2.28515625" style="46" customWidth="1"/>
    <col min="1991" max="1991" width="4.28515625" style="46" customWidth="1"/>
    <col min="1992" max="1992" width="5.28515625" style="46" customWidth="1"/>
    <col min="1993" max="1993" width="4" style="46" customWidth="1"/>
    <col min="1994" max="1994" width="8.28515625" style="46" customWidth="1"/>
    <col min="1995" max="1995" width="3.7109375" style="46" customWidth="1"/>
    <col min="1996" max="1996" width="1.28515625" style="46" customWidth="1"/>
    <col min="1997" max="1997" width="10.7109375" style="46" customWidth="1"/>
    <col min="1998" max="2244" width="11.7109375" style="46"/>
    <col min="2245" max="2245" width="15.28515625" style="46" customWidth="1"/>
    <col min="2246" max="2246" width="2.28515625" style="46" customWidth="1"/>
    <col min="2247" max="2247" width="4.28515625" style="46" customWidth="1"/>
    <col min="2248" max="2248" width="5.28515625" style="46" customWidth="1"/>
    <col min="2249" max="2249" width="4" style="46" customWidth="1"/>
    <col min="2250" max="2250" width="8.28515625" style="46" customWidth="1"/>
    <col min="2251" max="2251" width="3.7109375" style="46" customWidth="1"/>
    <col min="2252" max="2252" width="1.28515625" style="46" customWidth="1"/>
    <col min="2253" max="2253" width="10.7109375" style="46" customWidth="1"/>
    <col min="2254" max="2500" width="11.7109375" style="46"/>
    <col min="2501" max="2501" width="15.28515625" style="46" customWidth="1"/>
    <col min="2502" max="2502" width="2.28515625" style="46" customWidth="1"/>
    <col min="2503" max="2503" width="4.28515625" style="46" customWidth="1"/>
    <col min="2504" max="2504" width="5.28515625" style="46" customWidth="1"/>
    <col min="2505" max="2505" width="4" style="46" customWidth="1"/>
    <col min="2506" max="2506" width="8.28515625" style="46" customWidth="1"/>
    <col min="2507" max="2507" width="3.7109375" style="46" customWidth="1"/>
    <col min="2508" max="2508" width="1.28515625" style="46" customWidth="1"/>
    <col min="2509" max="2509" width="10.7109375" style="46" customWidth="1"/>
    <col min="2510" max="2756" width="11.7109375" style="46"/>
    <col min="2757" max="2757" width="15.28515625" style="46" customWidth="1"/>
    <col min="2758" max="2758" width="2.28515625" style="46" customWidth="1"/>
    <col min="2759" max="2759" width="4.28515625" style="46" customWidth="1"/>
    <col min="2760" max="2760" width="5.28515625" style="46" customWidth="1"/>
    <col min="2761" max="2761" width="4" style="46" customWidth="1"/>
    <col min="2762" max="2762" width="8.28515625" style="46" customWidth="1"/>
    <col min="2763" max="2763" width="3.7109375" style="46" customWidth="1"/>
    <col min="2764" max="2764" width="1.28515625" style="46" customWidth="1"/>
    <col min="2765" max="2765" width="10.7109375" style="46" customWidth="1"/>
    <col min="2766" max="3012" width="11.7109375" style="46"/>
    <col min="3013" max="3013" width="15.28515625" style="46" customWidth="1"/>
    <col min="3014" max="3014" width="2.28515625" style="46" customWidth="1"/>
    <col min="3015" max="3015" width="4.28515625" style="46" customWidth="1"/>
    <col min="3016" max="3016" width="5.28515625" style="46" customWidth="1"/>
    <col min="3017" max="3017" width="4" style="46" customWidth="1"/>
    <col min="3018" max="3018" width="8.28515625" style="46" customWidth="1"/>
    <col min="3019" max="3019" width="3.7109375" style="46" customWidth="1"/>
    <col min="3020" max="3020" width="1.28515625" style="46" customWidth="1"/>
    <col min="3021" max="3021" width="10.7109375" style="46" customWidth="1"/>
    <col min="3022" max="3268" width="11.7109375" style="46"/>
    <col min="3269" max="3269" width="15.28515625" style="46" customWidth="1"/>
    <col min="3270" max="3270" width="2.28515625" style="46" customWidth="1"/>
    <col min="3271" max="3271" width="4.28515625" style="46" customWidth="1"/>
    <col min="3272" max="3272" width="5.28515625" style="46" customWidth="1"/>
    <col min="3273" max="3273" width="4" style="46" customWidth="1"/>
    <col min="3274" max="3274" width="8.28515625" style="46" customWidth="1"/>
    <col min="3275" max="3275" width="3.7109375" style="46" customWidth="1"/>
    <col min="3276" max="3276" width="1.28515625" style="46" customWidth="1"/>
    <col min="3277" max="3277" width="10.7109375" style="46" customWidth="1"/>
    <col min="3278" max="3524" width="11.7109375" style="46"/>
    <col min="3525" max="3525" width="15.28515625" style="46" customWidth="1"/>
    <col min="3526" max="3526" width="2.28515625" style="46" customWidth="1"/>
    <col min="3527" max="3527" width="4.28515625" style="46" customWidth="1"/>
    <col min="3528" max="3528" width="5.28515625" style="46" customWidth="1"/>
    <col min="3529" max="3529" width="4" style="46" customWidth="1"/>
    <col min="3530" max="3530" width="8.28515625" style="46" customWidth="1"/>
    <col min="3531" max="3531" width="3.7109375" style="46" customWidth="1"/>
    <col min="3532" max="3532" width="1.28515625" style="46" customWidth="1"/>
    <col min="3533" max="3533" width="10.7109375" style="46" customWidth="1"/>
    <col min="3534" max="3780" width="11.7109375" style="46"/>
    <col min="3781" max="3781" width="15.28515625" style="46" customWidth="1"/>
    <col min="3782" max="3782" width="2.28515625" style="46" customWidth="1"/>
    <col min="3783" max="3783" width="4.28515625" style="46" customWidth="1"/>
    <col min="3784" max="3784" width="5.28515625" style="46" customWidth="1"/>
    <col min="3785" max="3785" width="4" style="46" customWidth="1"/>
    <col min="3786" max="3786" width="8.28515625" style="46" customWidth="1"/>
    <col min="3787" max="3787" width="3.7109375" style="46" customWidth="1"/>
    <col min="3788" max="3788" width="1.28515625" style="46" customWidth="1"/>
    <col min="3789" max="3789" width="10.7109375" style="46" customWidth="1"/>
    <col min="3790" max="4036" width="11.7109375" style="46"/>
    <col min="4037" max="4037" width="15.28515625" style="46" customWidth="1"/>
    <col min="4038" max="4038" width="2.28515625" style="46" customWidth="1"/>
    <col min="4039" max="4039" width="4.28515625" style="46" customWidth="1"/>
    <col min="4040" max="4040" width="5.28515625" style="46" customWidth="1"/>
    <col min="4041" max="4041" width="4" style="46" customWidth="1"/>
    <col min="4042" max="4042" width="8.28515625" style="46" customWidth="1"/>
    <col min="4043" max="4043" width="3.7109375" style="46" customWidth="1"/>
    <col min="4044" max="4044" width="1.28515625" style="46" customWidth="1"/>
    <col min="4045" max="4045" width="10.7109375" style="46" customWidth="1"/>
    <col min="4046" max="4292" width="11.7109375" style="46"/>
    <col min="4293" max="4293" width="15.28515625" style="46" customWidth="1"/>
    <col min="4294" max="4294" width="2.28515625" style="46" customWidth="1"/>
    <col min="4295" max="4295" width="4.28515625" style="46" customWidth="1"/>
    <col min="4296" max="4296" width="5.28515625" style="46" customWidth="1"/>
    <col min="4297" max="4297" width="4" style="46" customWidth="1"/>
    <col min="4298" max="4298" width="8.28515625" style="46" customWidth="1"/>
    <col min="4299" max="4299" width="3.7109375" style="46" customWidth="1"/>
    <col min="4300" max="4300" width="1.28515625" style="46" customWidth="1"/>
    <col min="4301" max="4301" width="10.7109375" style="46" customWidth="1"/>
    <col min="4302" max="4548" width="11.7109375" style="46"/>
    <col min="4549" max="4549" width="15.28515625" style="46" customWidth="1"/>
    <col min="4550" max="4550" width="2.28515625" style="46" customWidth="1"/>
    <col min="4551" max="4551" width="4.28515625" style="46" customWidth="1"/>
    <col min="4552" max="4552" width="5.28515625" style="46" customWidth="1"/>
    <col min="4553" max="4553" width="4" style="46" customWidth="1"/>
    <col min="4554" max="4554" width="8.28515625" style="46" customWidth="1"/>
    <col min="4555" max="4555" width="3.7109375" style="46" customWidth="1"/>
    <col min="4556" max="4556" width="1.28515625" style="46" customWidth="1"/>
    <col min="4557" max="4557" width="10.7109375" style="46" customWidth="1"/>
    <col min="4558" max="4804" width="11.7109375" style="46"/>
    <col min="4805" max="4805" width="15.28515625" style="46" customWidth="1"/>
    <col min="4806" max="4806" width="2.28515625" style="46" customWidth="1"/>
    <col min="4807" max="4807" width="4.28515625" style="46" customWidth="1"/>
    <col min="4808" max="4808" width="5.28515625" style="46" customWidth="1"/>
    <col min="4809" max="4809" width="4" style="46" customWidth="1"/>
    <col min="4810" max="4810" width="8.28515625" style="46" customWidth="1"/>
    <col min="4811" max="4811" width="3.7109375" style="46" customWidth="1"/>
    <col min="4812" max="4812" width="1.28515625" style="46" customWidth="1"/>
    <col min="4813" max="4813" width="10.7109375" style="46" customWidth="1"/>
    <col min="4814" max="5060" width="11.7109375" style="46"/>
    <col min="5061" max="5061" width="15.28515625" style="46" customWidth="1"/>
    <col min="5062" max="5062" width="2.28515625" style="46" customWidth="1"/>
    <col min="5063" max="5063" width="4.28515625" style="46" customWidth="1"/>
    <col min="5064" max="5064" width="5.28515625" style="46" customWidth="1"/>
    <col min="5065" max="5065" width="4" style="46" customWidth="1"/>
    <col min="5066" max="5066" width="8.28515625" style="46" customWidth="1"/>
    <col min="5067" max="5067" width="3.7109375" style="46" customWidth="1"/>
    <col min="5068" max="5068" width="1.28515625" style="46" customWidth="1"/>
    <col min="5069" max="5069" width="10.7109375" style="46" customWidth="1"/>
    <col min="5070" max="5316" width="11.7109375" style="46"/>
    <col min="5317" max="5317" width="15.28515625" style="46" customWidth="1"/>
    <col min="5318" max="5318" width="2.28515625" style="46" customWidth="1"/>
    <col min="5319" max="5319" width="4.28515625" style="46" customWidth="1"/>
    <col min="5320" max="5320" width="5.28515625" style="46" customWidth="1"/>
    <col min="5321" max="5321" width="4" style="46" customWidth="1"/>
    <col min="5322" max="5322" width="8.28515625" style="46" customWidth="1"/>
    <col min="5323" max="5323" width="3.7109375" style="46" customWidth="1"/>
    <col min="5324" max="5324" width="1.28515625" style="46" customWidth="1"/>
    <col min="5325" max="5325" width="10.7109375" style="46" customWidth="1"/>
    <col min="5326" max="5572" width="11.7109375" style="46"/>
    <col min="5573" max="5573" width="15.28515625" style="46" customWidth="1"/>
    <col min="5574" max="5574" width="2.28515625" style="46" customWidth="1"/>
    <col min="5575" max="5575" width="4.28515625" style="46" customWidth="1"/>
    <col min="5576" max="5576" width="5.28515625" style="46" customWidth="1"/>
    <col min="5577" max="5577" width="4" style="46" customWidth="1"/>
    <col min="5578" max="5578" width="8.28515625" style="46" customWidth="1"/>
    <col min="5579" max="5579" width="3.7109375" style="46" customWidth="1"/>
    <col min="5580" max="5580" width="1.28515625" style="46" customWidth="1"/>
    <col min="5581" max="5581" width="10.7109375" style="46" customWidth="1"/>
    <col min="5582" max="5828" width="11.7109375" style="46"/>
    <col min="5829" max="5829" width="15.28515625" style="46" customWidth="1"/>
    <col min="5830" max="5830" width="2.28515625" style="46" customWidth="1"/>
    <col min="5831" max="5831" width="4.28515625" style="46" customWidth="1"/>
    <col min="5832" max="5832" width="5.28515625" style="46" customWidth="1"/>
    <col min="5833" max="5833" width="4" style="46" customWidth="1"/>
    <col min="5834" max="5834" width="8.28515625" style="46" customWidth="1"/>
    <col min="5835" max="5835" width="3.7109375" style="46" customWidth="1"/>
    <col min="5836" max="5836" width="1.28515625" style="46" customWidth="1"/>
    <col min="5837" max="5837" width="10.7109375" style="46" customWidth="1"/>
    <col min="5838" max="6084" width="11.7109375" style="46"/>
    <col min="6085" max="6085" width="15.28515625" style="46" customWidth="1"/>
    <col min="6086" max="6086" width="2.28515625" style="46" customWidth="1"/>
    <col min="6087" max="6087" width="4.28515625" style="46" customWidth="1"/>
    <col min="6088" max="6088" width="5.28515625" style="46" customWidth="1"/>
    <col min="6089" max="6089" width="4" style="46" customWidth="1"/>
    <col min="6090" max="6090" width="8.28515625" style="46" customWidth="1"/>
    <col min="6091" max="6091" width="3.7109375" style="46" customWidth="1"/>
    <col min="6092" max="6092" width="1.28515625" style="46" customWidth="1"/>
    <col min="6093" max="6093" width="10.7109375" style="46" customWidth="1"/>
    <col min="6094" max="6340" width="11.7109375" style="46"/>
    <col min="6341" max="6341" width="15.28515625" style="46" customWidth="1"/>
    <col min="6342" max="6342" width="2.28515625" style="46" customWidth="1"/>
    <col min="6343" max="6343" width="4.28515625" style="46" customWidth="1"/>
    <col min="6344" max="6344" width="5.28515625" style="46" customWidth="1"/>
    <col min="6345" max="6345" width="4" style="46" customWidth="1"/>
    <col min="6346" max="6346" width="8.28515625" style="46" customWidth="1"/>
    <col min="6347" max="6347" width="3.7109375" style="46" customWidth="1"/>
    <col min="6348" max="6348" width="1.28515625" style="46" customWidth="1"/>
    <col min="6349" max="6349" width="10.7109375" style="46" customWidth="1"/>
    <col min="6350" max="6596" width="11.7109375" style="46"/>
    <col min="6597" max="6597" width="15.28515625" style="46" customWidth="1"/>
    <col min="6598" max="6598" width="2.28515625" style="46" customWidth="1"/>
    <col min="6599" max="6599" width="4.28515625" style="46" customWidth="1"/>
    <col min="6600" max="6600" width="5.28515625" style="46" customWidth="1"/>
    <col min="6601" max="6601" width="4" style="46" customWidth="1"/>
    <col min="6602" max="6602" width="8.28515625" style="46" customWidth="1"/>
    <col min="6603" max="6603" width="3.7109375" style="46" customWidth="1"/>
    <col min="6604" max="6604" width="1.28515625" style="46" customWidth="1"/>
    <col min="6605" max="6605" width="10.7109375" style="46" customWidth="1"/>
    <col min="6606" max="6852" width="11.7109375" style="46"/>
    <col min="6853" max="6853" width="15.28515625" style="46" customWidth="1"/>
    <col min="6854" max="6854" width="2.28515625" style="46" customWidth="1"/>
    <col min="6855" max="6855" width="4.28515625" style="46" customWidth="1"/>
    <col min="6856" max="6856" width="5.28515625" style="46" customWidth="1"/>
    <col min="6857" max="6857" width="4" style="46" customWidth="1"/>
    <col min="6858" max="6858" width="8.28515625" style="46" customWidth="1"/>
    <col min="6859" max="6859" width="3.7109375" style="46" customWidth="1"/>
    <col min="6860" max="6860" width="1.28515625" style="46" customWidth="1"/>
    <col min="6861" max="6861" width="10.7109375" style="46" customWidth="1"/>
    <col min="6862" max="7108" width="11.7109375" style="46"/>
    <col min="7109" max="7109" width="15.28515625" style="46" customWidth="1"/>
    <col min="7110" max="7110" width="2.28515625" style="46" customWidth="1"/>
    <col min="7111" max="7111" width="4.28515625" style="46" customWidth="1"/>
    <col min="7112" max="7112" width="5.28515625" style="46" customWidth="1"/>
    <col min="7113" max="7113" width="4" style="46" customWidth="1"/>
    <col min="7114" max="7114" width="8.28515625" style="46" customWidth="1"/>
    <col min="7115" max="7115" width="3.7109375" style="46" customWidth="1"/>
    <col min="7116" max="7116" width="1.28515625" style="46" customWidth="1"/>
    <col min="7117" max="7117" width="10.7109375" style="46" customWidth="1"/>
    <col min="7118" max="7364" width="11.7109375" style="46"/>
    <col min="7365" max="7365" width="15.28515625" style="46" customWidth="1"/>
    <col min="7366" max="7366" width="2.28515625" style="46" customWidth="1"/>
    <col min="7367" max="7367" width="4.28515625" style="46" customWidth="1"/>
    <col min="7368" max="7368" width="5.28515625" style="46" customWidth="1"/>
    <col min="7369" max="7369" width="4" style="46" customWidth="1"/>
    <col min="7370" max="7370" width="8.28515625" style="46" customWidth="1"/>
    <col min="7371" max="7371" width="3.7109375" style="46" customWidth="1"/>
    <col min="7372" max="7372" width="1.28515625" style="46" customWidth="1"/>
    <col min="7373" max="7373" width="10.7109375" style="46" customWidth="1"/>
    <col min="7374" max="7620" width="11.7109375" style="46"/>
    <col min="7621" max="7621" width="15.28515625" style="46" customWidth="1"/>
    <col min="7622" max="7622" width="2.28515625" style="46" customWidth="1"/>
    <col min="7623" max="7623" width="4.28515625" style="46" customWidth="1"/>
    <col min="7624" max="7624" width="5.28515625" style="46" customWidth="1"/>
    <col min="7625" max="7625" width="4" style="46" customWidth="1"/>
    <col min="7626" max="7626" width="8.28515625" style="46" customWidth="1"/>
    <col min="7627" max="7627" width="3.7109375" style="46" customWidth="1"/>
    <col min="7628" max="7628" width="1.28515625" style="46" customWidth="1"/>
    <col min="7629" max="7629" width="10.7109375" style="46" customWidth="1"/>
    <col min="7630" max="7876" width="11.7109375" style="46"/>
    <col min="7877" max="7877" width="15.28515625" style="46" customWidth="1"/>
    <col min="7878" max="7878" width="2.28515625" style="46" customWidth="1"/>
    <col min="7879" max="7879" width="4.28515625" style="46" customWidth="1"/>
    <col min="7880" max="7880" width="5.28515625" style="46" customWidth="1"/>
    <col min="7881" max="7881" width="4" style="46" customWidth="1"/>
    <col min="7882" max="7882" width="8.28515625" style="46" customWidth="1"/>
    <col min="7883" max="7883" width="3.7109375" style="46" customWidth="1"/>
    <col min="7884" max="7884" width="1.28515625" style="46" customWidth="1"/>
    <col min="7885" max="7885" width="10.7109375" style="46" customWidth="1"/>
    <col min="7886" max="8132" width="11.7109375" style="46"/>
    <col min="8133" max="8133" width="15.28515625" style="46" customWidth="1"/>
    <col min="8134" max="8134" width="2.28515625" style="46" customWidth="1"/>
    <col min="8135" max="8135" width="4.28515625" style="46" customWidth="1"/>
    <col min="8136" max="8136" width="5.28515625" style="46" customWidth="1"/>
    <col min="8137" max="8137" width="4" style="46" customWidth="1"/>
    <col min="8138" max="8138" width="8.28515625" style="46" customWidth="1"/>
    <col min="8139" max="8139" width="3.7109375" style="46" customWidth="1"/>
    <col min="8140" max="8140" width="1.28515625" style="46" customWidth="1"/>
    <col min="8141" max="8141" width="10.7109375" style="46" customWidth="1"/>
    <col min="8142" max="8388" width="11.7109375" style="46"/>
    <col min="8389" max="8389" width="15.28515625" style="46" customWidth="1"/>
    <col min="8390" max="8390" width="2.28515625" style="46" customWidth="1"/>
    <col min="8391" max="8391" width="4.28515625" style="46" customWidth="1"/>
    <col min="8392" max="8392" width="5.28515625" style="46" customWidth="1"/>
    <col min="8393" max="8393" width="4" style="46" customWidth="1"/>
    <col min="8394" max="8394" width="8.28515625" style="46" customWidth="1"/>
    <col min="8395" max="8395" width="3.7109375" style="46" customWidth="1"/>
    <col min="8396" max="8396" width="1.28515625" style="46" customWidth="1"/>
    <col min="8397" max="8397" width="10.7109375" style="46" customWidth="1"/>
    <col min="8398" max="8644" width="11.7109375" style="46"/>
    <col min="8645" max="8645" width="15.28515625" style="46" customWidth="1"/>
    <col min="8646" max="8646" width="2.28515625" style="46" customWidth="1"/>
    <col min="8647" max="8647" width="4.28515625" style="46" customWidth="1"/>
    <col min="8648" max="8648" width="5.28515625" style="46" customWidth="1"/>
    <col min="8649" max="8649" width="4" style="46" customWidth="1"/>
    <col min="8650" max="8650" width="8.28515625" style="46" customWidth="1"/>
    <col min="8651" max="8651" width="3.7109375" style="46" customWidth="1"/>
    <col min="8652" max="8652" width="1.28515625" style="46" customWidth="1"/>
    <col min="8653" max="8653" width="10.7109375" style="46" customWidth="1"/>
    <col min="8654" max="8900" width="11.7109375" style="46"/>
    <col min="8901" max="8901" width="15.28515625" style="46" customWidth="1"/>
    <col min="8902" max="8902" width="2.28515625" style="46" customWidth="1"/>
    <col min="8903" max="8903" width="4.28515625" style="46" customWidth="1"/>
    <col min="8904" max="8904" width="5.28515625" style="46" customWidth="1"/>
    <col min="8905" max="8905" width="4" style="46" customWidth="1"/>
    <col min="8906" max="8906" width="8.28515625" style="46" customWidth="1"/>
    <col min="8907" max="8907" width="3.7109375" style="46" customWidth="1"/>
    <col min="8908" max="8908" width="1.28515625" style="46" customWidth="1"/>
    <col min="8909" max="8909" width="10.7109375" style="46" customWidth="1"/>
    <col min="8910" max="9156" width="11.7109375" style="46"/>
    <col min="9157" max="9157" width="15.28515625" style="46" customWidth="1"/>
    <col min="9158" max="9158" width="2.28515625" style="46" customWidth="1"/>
    <col min="9159" max="9159" width="4.28515625" style="46" customWidth="1"/>
    <col min="9160" max="9160" width="5.28515625" style="46" customWidth="1"/>
    <col min="9161" max="9161" width="4" style="46" customWidth="1"/>
    <col min="9162" max="9162" width="8.28515625" style="46" customWidth="1"/>
    <col min="9163" max="9163" width="3.7109375" style="46" customWidth="1"/>
    <col min="9164" max="9164" width="1.28515625" style="46" customWidth="1"/>
    <col min="9165" max="9165" width="10.7109375" style="46" customWidth="1"/>
    <col min="9166" max="9412" width="11.7109375" style="46"/>
    <col min="9413" max="9413" width="15.28515625" style="46" customWidth="1"/>
    <col min="9414" max="9414" width="2.28515625" style="46" customWidth="1"/>
    <col min="9415" max="9415" width="4.28515625" style="46" customWidth="1"/>
    <col min="9416" max="9416" width="5.28515625" style="46" customWidth="1"/>
    <col min="9417" max="9417" width="4" style="46" customWidth="1"/>
    <col min="9418" max="9418" width="8.28515625" style="46" customWidth="1"/>
    <col min="9419" max="9419" width="3.7109375" style="46" customWidth="1"/>
    <col min="9420" max="9420" width="1.28515625" style="46" customWidth="1"/>
    <col min="9421" max="9421" width="10.7109375" style="46" customWidth="1"/>
    <col min="9422" max="9668" width="11.7109375" style="46"/>
    <col min="9669" max="9669" width="15.28515625" style="46" customWidth="1"/>
    <col min="9670" max="9670" width="2.28515625" style="46" customWidth="1"/>
    <col min="9671" max="9671" width="4.28515625" style="46" customWidth="1"/>
    <col min="9672" max="9672" width="5.28515625" style="46" customWidth="1"/>
    <col min="9673" max="9673" width="4" style="46" customWidth="1"/>
    <col min="9674" max="9674" width="8.28515625" style="46" customWidth="1"/>
    <col min="9675" max="9675" width="3.7109375" style="46" customWidth="1"/>
    <col min="9676" max="9676" width="1.28515625" style="46" customWidth="1"/>
    <col min="9677" max="9677" width="10.7109375" style="46" customWidth="1"/>
    <col min="9678" max="9924" width="11.7109375" style="46"/>
    <col min="9925" max="9925" width="15.28515625" style="46" customWidth="1"/>
    <col min="9926" max="9926" width="2.28515625" style="46" customWidth="1"/>
    <col min="9927" max="9927" width="4.28515625" style="46" customWidth="1"/>
    <col min="9928" max="9928" width="5.28515625" style="46" customWidth="1"/>
    <col min="9929" max="9929" width="4" style="46" customWidth="1"/>
    <col min="9930" max="9930" width="8.28515625" style="46" customWidth="1"/>
    <col min="9931" max="9931" width="3.7109375" style="46" customWidth="1"/>
    <col min="9932" max="9932" width="1.28515625" style="46" customWidth="1"/>
    <col min="9933" max="9933" width="10.7109375" style="46" customWidth="1"/>
    <col min="9934" max="10180" width="11.7109375" style="46"/>
    <col min="10181" max="10181" width="15.28515625" style="46" customWidth="1"/>
    <col min="10182" max="10182" width="2.28515625" style="46" customWidth="1"/>
    <col min="10183" max="10183" width="4.28515625" style="46" customWidth="1"/>
    <col min="10184" max="10184" width="5.28515625" style="46" customWidth="1"/>
    <col min="10185" max="10185" width="4" style="46" customWidth="1"/>
    <col min="10186" max="10186" width="8.28515625" style="46" customWidth="1"/>
    <col min="10187" max="10187" width="3.7109375" style="46" customWidth="1"/>
    <col min="10188" max="10188" width="1.28515625" style="46" customWidth="1"/>
    <col min="10189" max="10189" width="10.7109375" style="46" customWidth="1"/>
    <col min="10190" max="10436" width="11.7109375" style="46"/>
    <col min="10437" max="10437" width="15.28515625" style="46" customWidth="1"/>
    <col min="10438" max="10438" width="2.28515625" style="46" customWidth="1"/>
    <col min="10439" max="10439" width="4.28515625" style="46" customWidth="1"/>
    <col min="10440" max="10440" width="5.28515625" style="46" customWidth="1"/>
    <col min="10441" max="10441" width="4" style="46" customWidth="1"/>
    <col min="10442" max="10442" width="8.28515625" style="46" customWidth="1"/>
    <col min="10443" max="10443" width="3.7109375" style="46" customWidth="1"/>
    <col min="10444" max="10444" width="1.28515625" style="46" customWidth="1"/>
    <col min="10445" max="10445" width="10.7109375" style="46" customWidth="1"/>
    <col min="10446" max="10692" width="11.7109375" style="46"/>
    <col min="10693" max="10693" width="15.28515625" style="46" customWidth="1"/>
    <col min="10694" max="10694" width="2.28515625" style="46" customWidth="1"/>
    <col min="10695" max="10695" width="4.28515625" style="46" customWidth="1"/>
    <col min="10696" max="10696" width="5.28515625" style="46" customWidth="1"/>
    <col min="10697" max="10697" width="4" style="46" customWidth="1"/>
    <col min="10698" max="10698" width="8.28515625" style="46" customWidth="1"/>
    <col min="10699" max="10699" width="3.7109375" style="46" customWidth="1"/>
    <col min="10700" max="10700" width="1.28515625" style="46" customWidth="1"/>
    <col min="10701" max="10701" width="10.7109375" style="46" customWidth="1"/>
    <col min="10702" max="10948" width="11.7109375" style="46"/>
    <col min="10949" max="10949" width="15.28515625" style="46" customWidth="1"/>
    <col min="10950" max="10950" width="2.28515625" style="46" customWidth="1"/>
    <col min="10951" max="10951" width="4.28515625" style="46" customWidth="1"/>
    <col min="10952" max="10952" width="5.28515625" style="46" customWidth="1"/>
    <col min="10953" max="10953" width="4" style="46" customWidth="1"/>
    <col min="10954" max="10954" width="8.28515625" style="46" customWidth="1"/>
    <col min="10955" max="10955" width="3.7109375" style="46" customWidth="1"/>
    <col min="10956" max="10956" width="1.28515625" style="46" customWidth="1"/>
    <col min="10957" max="10957" width="10.7109375" style="46" customWidth="1"/>
    <col min="10958" max="11204" width="11.7109375" style="46"/>
    <col min="11205" max="11205" width="15.28515625" style="46" customWidth="1"/>
    <col min="11206" max="11206" width="2.28515625" style="46" customWidth="1"/>
    <col min="11207" max="11207" width="4.28515625" style="46" customWidth="1"/>
    <col min="11208" max="11208" width="5.28515625" style="46" customWidth="1"/>
    <col min="11209" max="11209" width="4" style="46" customWidth="1"/>
    <col min="11210" max="11210" width="8.28515625" style="46" customWidth="1"/>
    <col min="11211" max="11211" width="3.7109375" style="46" customWidth="1"/>
    <col min="11212" max="11212" width="1.28515625" style="46" customWidth="1"/>
    <col min="11213" max="11213" width="10.7109375" style="46" customWidth="1"/>
    <col min="11214" max="11460" width="11.7109375" style="46"/>
    <col min="11461" max="11461" width="15.28515625" style="46" customWidth="1"/>
    <col min="11462" max="11462" width="2.28515625" style="46" customWidth="1"/>
    <col min="11463" max="11463" width="4.28515625" style="46" customWidth="1"/>
    <col min="11464" max="11464" width="5.28515625" style="46" customWidth="1"/>
    <col min="11465" max="11465" width="4" style="46" customWidth="1"/>
    <col min="11466" max="11466" width="8.28515625" style="46" customWidth="1"/>
    <col min="11467" max="11467" width="3.7109375" style="46" customWidth="1"/>
    <col min="11468" max="11468" width="1.28515625" style="46" customWidth="1"/>
    <col min="11469" max="11469" width="10.7109375" style="46" customWidth="1"/>
    <col min="11470" max="11716" width="11.7109375" style="46"/>
    <col min="11717" max="11717" width="15.28515625" style="46" customWidth="1"/>
    <col min="11718" max="11718" width="2.28515625" style="46" customWidth="1"/>
    <col min="11719" max="11719" width="4.28515625" style="46" customWidth="1"/>
    <col min="11720" max="11720" width="5.28515625" style="46" customWidth="1"/>
    <col min="11721" max="11721" width="4" style="46" customWidth="1"/>
    <col min="11722" max="11722" width="8.28515625" style="46" customWidth="1"/>
    <col min="11723" max="11723" width="3.7109375" style="46" customWidth="1"/>
    <col min="11724" max="11724" width="1.28515625" style="46" customWidth="1"/>
    <col min="11725" max="11725" width="10.7109375" style="46" customWidth="1"/>
    <col min="11726" max="11972" width="11.7109375" style="46"/>
    <col min="11973" max="11973" width="15.28515625" style="46" customWidth="1"/>
    <col min="11974" max="11974" width="2.28515625" style="46" customWidth="1"/>
    <col min="11975" max="11975" width="4.28515625" style="46" customWidth="1"/>
    <col min="11976" max="11976" width="5.28515625" style="46" customWidth="1"/>
    <col min="11977" max="11977" width="4" style="46" customWidth="1"/>
    <col min="11978" max="11978" width="8.28515625" style="46" customWidth="1"/>
    <col min="11979" max="11979" width="3.7109375" style="46" customWidth="1"/>
    <col min="11980" max="11980" width="1.28515625" style="46" customWidth="1"/>
    <col min="11981" max="11981" width="10.7109375" style="46" customWidth="1"/>
    <col min="11982" max="12228" width="11.7109375" style="46"/>
    <col min="12229" max="12229" width="15.28515625" style="46" customWidth="1"/>
    <col min="12230" max="12230" width="2.28515625" style="46" customWidth="1"/>
    <col min="12231" max="12231" width="4.28515625" style="46" customWidth="1"/>
    <col min="12232" max="12232" width="5.28515625" style="46" customWidth="1"/>
    <col min="12233" max="12233" width="4" style="46" customWidth="1"/>
    <col min="12234" max="12234" width="8.28515625" style="46" customWidth="1"/>
    <col min="12235" max="12235" width="3.7109375" style="46" customWidth="1"/>
    <col min="12236" max="12236" width="1.28515625" style="46" customWidth="1"/>
    <col min="12237" max="12237" width="10.7109375" style="46" customWidth="1"/>
    <col min="12238" max="12484" width="11.7109375" style="46"/>
    <col min="12485" max="12485" width="15.28515625" style="46" customWidth="1"/>
    <col min="12486" max="12486" width="2.28515625" style="46" customWidth="1"/>
    <col min="12487" max="12487" width="4.28515625" style="46" customWidth="1"/>
    <col min="12488" max="12488" width="5.28515625" style="46" customWidth="1"/>
    <col min="12489" max="12489" width="4" style="46" customWidth="1"/>
    <col min="12490" max="12490" width="8.28515625" style="46" customWidth="1"/>
    <col min="12491" max="12491" width="3.7109375" style="46" customWidth="1"/>
    <col min="12492" max="12492" width="1.28515625" style="46" customWidth="1"/>
    <col min="12493" max="12493" width="10.7109375" style="46" customWidth="1"/>
    <col min="12494" max="12740" width="11.7109375" style="46"/>
    <col min="12741" max="12741" width="15.28515625" style="46" customWidth="1"/>
    <col min="12742" max="12742" width="2.28515625" style="46" customWidth="1"/>
    <col min="12743" max="12743" width="4.28515625" style="46" customWidth="1"/>
    <col min="12744" max="12744" width="5.28515625" style="46" customWidth="1"/>
    <col min="12745" max="12745" width="4" style="46" customWidth="1"/>
    <col min="12746" max="12746" width="8.28515625" style="46" customWidth="1"/>
    <col min="12747" max="12747" width="3.7109375" style="46" customWidth="1"/>
    <col min="12748" max="12748" width="1.28515625" style="46" customWidth="1"/>
    <col min="12749" max="12749" width="10.7109375" style="46" customWidth="1"/>
    <col min="12750" max="12996" width="11.7109375" style="46"/>
    <col min="12997" max="12997" width="15.28515625" style="46" customWidth="1"/>
    <col min="12998" max="12998" width="2.28515625" style="46" customWidth="1"/>
    <col min="12999" max="12999" width="4.28515625" style="46" customWidth="1"/>
    <col min="13000" max="13000" width="5.28515625" style="46" customWidth="1"/>
    <col min="13001" max="13001" width="4" style="46" customWidth="1"/>
    <col min="13002" max="13002" width="8.28515625" style="46" customWidth="1"/>
    <col min="13003" max="13003" width="3.7109375" style="46" customWidth="1"/>
    <col min="13004" max="13004" width="1.28515625" style="46" customWidth="1"/>
    <col min="13005" max="13005" width="10.7109375" style="46" customWidth="1"/>
    <col min="13006" max="13252" width="11.7109375" style="46"/>
    <col min="13253" max="13253" width="15.28515625" style="46" customWidth="1"/>
    <col min="13254" max="13254" width="2.28515625" style="46" customWidth="1"/>
    <col min="13255" max="13255" width="4.28515625" style="46" customWidth="1"/>
    <col min="13256" max="13256" width="5.28515625" style="46" customWidth="1"/>
    <col min="13257" max="13257" width="4" style="46" customWidth="1"/>
    <col min="13258" max="13258" width="8.28515625" style="46" customWidth="1"/>
    <col min="13259" max="13259" width="3.7109375" style="46" customWidth="1"/>
    <col min="13260" max="13260" width="1.28515625" style="46" customWidth="1"/>
    <col min="13261" max="13261" width="10.7109375" style="46" customWidth="1"/>
    <col min="13262" max="13508" width="11.7109375" style="46"/>
    <col min="13509" max="13509" width="15.28515625" style="46" customWidth="1"/>
    <col min="13510" max="13510" width="2.28515625" style="46" customWidth="1"/>
    <col min="13511" max="13511" width="4.28515625" style="46" customWidth="1"/>
    <col min="13512" max="13512" width="5.28515625" style="46" customWidth="1"/>
    <col min="13513" max="13513" width="4" style="46" customWidth="1"/>
    <col min="13514" max="13514" width="8.28515625" style="46" customWidth="1"/>
    <col min="13515" max="13515" width="3.7109375" style="46" customWidth="1"/>
    <col min="13516" max="13516" width="1.28515625" style="46" customWidth="1"/>
    <col min="13517" max="13517" width="10.7109375" style="46" customWidth="1"/>
    <col min="13518" max="13764" width="11.7109375" style="46"/>
    <col min="13765" max="13765" width="15.28515625" style="46" customWidth="1"/>
    <col min="13766" max="13766" width="2.28515625" style="46" customWidth="1"/>
    <col min="13767" max="13767" width="4.28515625" style="46" customWidth="1"/>
    <col min="13768" max="13768" width="5.28515625" style="46" customWidth="1"/>
    <col min="13769" max="13769" width="4" style="46" customWidth="1"/>
    <col min="13770" max="13770" width="8.28515625" style="46" customWidth="1"/>
    <col min="13771" max="13771" width="3.7109375" style="46" customWidth="1"/>
    <col min="13772" max="13772" width="1.28515625" style="46" customWidth="1"/>
    <col min="13773" max="13773" width="10.7109375" style="46" customWidth="1"/>
    <col min="13774" max="14020" width="11.7109375" style="46"/>
    <col min="14021" max="14021" width="15.28515625" style="46" customWidth="1"/>
    <col min="14022" max="14022" width="2.28515625" style="46" customWidth="1"/>
    <col min="14023" max="14023" width="4.28515625" style="46" customWidth="1"/>
    <col min="14024" max="14024" width="5.28515625" style="46" customWidth="1"/>
    <col min="14025" max="14025" width="4" style="46" customWidth="1"/>
    <col min="14026" max="14026" width="8.28515625" style="46" customWidth="1"/>
    <col min="14027" max="14027" width="3.7109375" style="46" customWidth="1"/>
    <col min="14028" max="14028" width="1.28515625" style="46" customWidth="1"/>
    <col min="14029" max="14029" width="10.7109375" style="46" customWidth="1"/>
    <col min="14030" max="14276" width="11.7109375" style="46"/>
    <col min="14277" max="14277" width="15.28515625" style="46" customWidth="1"/>
    <col min="14278" max="14278" width="2.28515625" style="46" customWidth="1"/>
    <col min="14279" max="14279" width="4.28515625" style="46" customWidth="1"/>
    <col min="14280" max="14280" width="5.28515625" style="46" customWidth="1"/>
    <col min="14281" max="14281" width="4" style="46" customWidth="1"/>
    <col min="14282" max="14282" width="8.28515625" style="46" customWidth="1"/>
    <col min="14283" max="14283" width="3.7109375" style="46" customWidth="1"/>
    <col min="14284" max="14284" width="1.28515625" style="46" customWidth="1"/>
    <col min="14285" max="14285" width="10.7109375" style="46" customWidth="1"/>
    <col min="14286" max="14532" width="11.7109375" style="46"/>
    <col min="14533" max="14533" width="15.28515625" style="46" customWidth="1"/>
    <col min="14534" max="14534" width="2.28515625" style="46" customWidth="1"/>
    <col min="14535" max="14535" width="4.28515625" style="46" customWidth="1"/>
    <col min="14536" max="14536" width="5.28515625" style="46" customWidth="1"/>
    <col min="14537" max="14537" width="4" style="46" customWidth="1"/>
    <col min="14538" max="14538" width="8.28515625" style="46" customWidth="1"/>
    <col min="14539" max="14539" width="3.7109375" style="46" customWidth="1"/>
    <col min="14540" max="14540" width="1.28515625" style="46" customWidth="1"/>
    <col min="14541" max="14541" width="10.7109375" style="46" customWidth="1"/>
    <col min="14542" max="14788" width="11.7109375" style="46"/>
    <col min="14789" max="14789" width="15.28515625" style="46" customWidth="1"/>
    <col min="14790" max="14790" width="2.28515625" style="46" customWidth="1"/>
    <col min="14791" max="14791" width="4.28515625" style="46" customWidth="1"/>
    <col min="14792" max="14792" width="5.28515625" style="46" customWidth="1"/>
    <col min="14793" max="14793" width="4" style="46" customWidth="1"/>
    <col min="14794" max="14794" width="8.28515625" style="46" customWidth="1"/>
    <col min="14795" max="14795" width="3.7109375" style="46" customWidth="1"/>
    <col min="14796" max="14796" width="1.28515625" style="46" customWidth="1"/>
    <col min="14797" max="14797" width="10.7109375" style="46" customWidth="1"/>
    <col min="14798" max="15044" width="11.7109375" style="46"/>
    <col min="15045" max="15045" width="15.28515625" style="46" customWidth="1"/>
    <col min="15046" max="15046" width="2.28515625" style="46" customWidth="1"/>
    <col min="15047" max="15047" width="4.28515625" style="46" customWidth="1"/>
    <col min="15048" max="15048" width="5.28515625" style="46" customWidth="1"/>
    <col min="15049" max="15049" width="4" style="46" customWidth="1"/>
    <col min="15050" max="15050" width="8.28515625" style="46" customWidth="1"/>
    <col min="15051" max="15051" width="3.7109375" style="46" customWidth="1"/>
    <col min="15052" max="15052" width="1.28515625" style="46" customWidth="1"/>
    <col min="15053" max="15053" width="10.7109375" style="46" customWidth="1"/>
    <col min="15054" max="15300" width="11.7109375" style="46"/>
    <col min="15301" max="15301" width="15.28515625" style="46" customWidth="1"/>
    <col min="15302" max="15302" width="2.28515625" style="46" customWidth="1"/>
    <col min="15303" max="15303" width="4.28515625" style="46" customWidth="1"/>
    <col min="15304" max="15304" width="5.28515625" style="46" customWidth="1"/>
    <col min="15305" max="15305" width="4" style="46" customWidth="1"/>
    <col min="15306" max="15306" width="8.28515625" style="46" customWidth="1"/>
    <col min="15307" max="15307" width="3.7109375" style="46" customWidth="1"/>
    <col min="15308" max="15308" width="1.28515625" style="46" customWidth="1"/>
    <col min="15309" max="15309" width="10.7109375" style="46" customWidth="1"/>
    <col min="15310" max="15556" width="11.7109375" style="46"/>
    <col min="15557" max="15557" width="15.28515625" style="46" customWidth="1"/>
    <col min="15558" max="15558" width="2.28515625" style="46" customWidth="1"/>
    <col min="15559" max="15559" width="4.28515625" style="46" customWidth="1"/>
    <col min="15560" max="15560" width="5.28515625" style="46" customWidth="1"/>
    <col min="15561" max="15561" width="4" style="46" customWidth="1"/>
    <col min="15562" max="15562" width="8.28515625" style="46" customWidth="1"/>
    <col min="15563" max="15563" width="3.7109375" style="46" customWidth="1"/>
    <col min="15564" max="15564" width="1.28515625" style="46" customWidth="1"/>
    <col min="15565" max="15565" width="10.7109375" style="46" customWidth="1"/>
    <col min="15566" max="15812" width="11.7109375" style="46"/>
    <col min="15813" max="15813" width="15.28515625" style="46" customWidth="1"/>
    <col min="15814" max="15814" width="2.28515625" style="46" customWidth="1"/>
    <col min="15815" max="15815" width="4.28515625" style="46" customWidth="1"/>
    <col min="15816" max="15816" width="5.28515625" style="46" customWidth="1"/>
    <col min="15817" max="15817" width="4" style="46" customWidth="1"/>
    <col min="15818" max="15818" width="8.28515625" style="46" customWidth="1"/>
    <col min="15819" max="15819" width="3.7109375" style="46" customWidth="1"/>
    <col min="15820" max="15820" width="1.28515625" style="46" customWidth="1"/>
    <col min="15821" max="15821" width="10.7109375" style="46" customWidth="1"/>
    <col min="15822" max="16068" width="11.7109375" style="46"/>
    <col min="16069" max="16069" width="15.28515625" style="46" customWidth="1"/>
    <col min="16070" max="16070" width="2.28515625" style="46" customWidth="1"/>
    <col min="16071" max="16071" width="4.28515625" style="46" customWidth="1"/>
    <col min="16072" max="16072" width="5.28515625" style="46" customWidth="1"/>
    <col min="16073" max="16073" width="4" style="46" customWidth="1"/>
    <col min="16074" max="16074" width="8.28515625" style="46" customWidth="1"/>
    <col min="16075" max="16075" width="3.7109375" style="46" customWidth="1"/>
    <col min="16076" max="16076" width="1.28515625" style="46" customWidth="1"/>
    <col min="16077" max="16077" width="10.7109375" style="46" customWidth="1"/>
    <col min="16078" max="16347" width="11.7109375" style="46"/>
    <col min="16348" max="16384" width="11.28515625" style="46" customWidth="1"/>
  </cols>
  <sheetData>
    <row r="1" spans="1:6" s="45" customFormat="1" ht="28.15" customHeight="1" x14ac:dyDescent="0.25">
      <c r="A1" s="543" t="s">
        <v>319</v>
      </c>
      <c r="B1" s="543"/>
      <c r="C1" s="543"/>
      <c r="D1" s="543"/>
      <c r="E1" s="543"/>
      <c r="F1" s="543"/>
    </row>
    <row r="2" spans="1:6" ht="12.75" customHeight="1" x14ac:dyDescent="0.25">
      <c r="A2" s="125"/>
      <c r="B2" s="155"/>
      <c r="C2" s="155"/>
      <c r="D2" s="19"/>
      <c r="E2" s="19"/>
      <c r="F2" s="19"/>
    </row>
    <row r="3" spans="1:6" ht="18" customHeight="1" x14ac:dyDescent="0.25">
      <c r="A3" s="560" t="s">
        <v>143</v>
      </c>
      <c r="B3" s="562" t="s">
        <v>398</v>
      </c>
      <c r="C3" s="563"/>
      <c r="D3" s="563"/>
      <c r="E3" s="563"/>
      <c r="F3" s="563"/>
    </row>
    <row r="4" spans="1:6" ht="54" customHeight="1" x14ac:dyDescent="0.25">
      <c r="A4" s="561"/>
      <c r="B4" s="220" t="s">
        <v>295</v>
      </c>
      <c r="C4" s="220"/>
      <c r="D4" s="220" t="s">
        <v>294</v>
      </c>
      <c r="E4" s="479"/>
      <c r="F4" s="220" t="s">
        <v>293</v>
      </c>
    </row>
    <row r="5" spans="1:6" ht="12.75" hidden="1" customHeight="1" x14ac:dyDescent="0.25">
      <c r="A5" s="461"/>
      <c r="B5" s="483"/>
      <c r="C5" s="483"/>
      <c r="D5" s="484"/>
      <c r="E5" s="483"/>
      <c r="F5" s="483"/>
    </row>
    <row r="6" spans="1:6" ht="15.95" customHeight="1" x14ac:dyDescent="0.25">
      <c r="A6" s="480" t="s">
        <v>148</v>
      </c>
      <c r="B6" s="390">
        <v>34464</v>
      </c>
      <c r="C6" s="390"/>
      <c r="D6" s="485">
        <v>21691.8</v>
      </c>
      <c r="E6" s="485"/>
      <c r="F6" s="485">
        <v>11522814.5</v>
      </c>
    </row>
    <row r="7" spans="1:6" ht="12.75" hidden="1" customHeight="1" x14ac:dyDescent="0.25">
      <c r="A7" s="461"/>
      <c r="B7" s="483"/>
      <c r="C7" s="483"/>
      <c r="D7" s="484"/>
      <c r="E7" s="483"/>
      <c r="F7" s="483"/>
    </row>
    <row r="8" spans="1:6" ht="15.95" customHeight="1" x14ac:dyDescent="0.25">
      <c r="A8" s="232" t="s">
        <v>142</v>
      </c>
      <c r="B8" s="392">
        <v>239</v>
      </c>
      <c r="C8" s="486"/>
      <c r="D8" s="487">
        <v>33.6</v>
      </c>
      <c r="E8" s="487"/>
      <c r="F8" s="487">
        <v>60441.9</v>
      </c>
    </row>
    <row r="9" spans="1:6" ht="15.95" customHeight="1" x14ac:dyDescent="0.25">
      <c r="A9" s="232" t="s">
        <v>141</v>
      </c>
      <c r="B9" s="392">
        <v>314</v>
      </c>
      <c r="C9" s="486"/>
      <c r="D9" s="487">
        <v>46.3</v>
      </c>
      <c r="E9" s="487"/>
      <c r="F9" s="487">
        <v>23863</v>
      </c>
    </row>
    <row r="10" spans="1:6" ht="15.95" customHeight="1" x14ac:dyDescent="0.25">
      <c r="A10" s="232" t="s">
        <v>138</v>
      </c>
      <c r="B10" s="392">
        <v>6462</v>
      </c>
      <c r="C10" s="488"/>
      <c r="D10" s="487">
        <v>1653.6</v>
      </c>
      <c r="E10" s="487"/>
      <c r="F10" s="487">
        <v>1879786.7</v>
      </c>
    </row>
    <row r="11" spans="1:6" ht="15.95" customHeight="1" x14ac:dyDescent="0.25">
      <c r="A11" s="232" t="s">
        <v>137</v>
      </c>
      <c r="B11" s="392">
        <v>366</v>
      </c>
      <c r="C11" s="486"/>
      <c r="D11" s="487">
        <v>49</v>
      </c>
      <c r="E11" s="487"/>
      <c r="F11" s="487">
        <v>49560</v>
      </c>
    </row>
    <row r="12" spans="1:6" ht="15.95" customHeight="1" x14ac:dyDescent="0.25">
      <c r="A12" s="232" t="s">
        <v>136</v>
      </c>
      <c r="B12" s="392">
        <v>14239</v>
      </c>
      <c r="C12" s="488"/>
      <c r="D12" s="487">
        <v>11353.4</v>
      </c>
      <c r="E12" s="487"/>
      <c r="F12" s="487">
        <v>6504518.0999999996</v>
      </c>
    </row>
    <row r="13" spans="1:6" ht="15.95" customHeight="1" x14ac:dyDescent="0.25">
      <c r="A13" s="232" t="s">
        <v>134</v>
      </c>
      <c r="B13" s="392">
        <v>6404</v>
      </c>
      <c r="C13" s="488"/>
      <c r="D13" s="487">
        <v>6630.1</v>
      </c>
      <c r="E13" s="487"/>
      <c r="F13" s="487">
        <v>2007983.4</v>
      </c>
    </row>
    <row r="14" spans="1:6" ht="15.95" customHeight="1" x14ac:dyDescent="0.25">
      <c r="A14" s="232" t="s">
        <v>131</v>
      </c>
      <c r="B14" s="392">
        <v>3942</v>
      </c>
      <c r="C14" s="488"/>
      <c r="D14" s="487">
        <v>1114.5</v>
      </c>
      <c r="E14" s="487"/>
      <c r="F14" s="487">
        <v>701081.5</v>
      </c>
    </row>
    <row r="15" spans="1:6" ht="15.95" customHeight="1" x14ac:dyDescent="0.25">
      <c r="A15" s="234" t="s">
        <v>174</v>
      </c>
      <c r="B15" s="386">
        <v>2498</v>
      </c>
      <c r="C15" s="481"/>
      <c r="D15" s="482">
        <v>811.3</v>
      </c>
      <c r="E15" s="482"/>
      <c r="F15" s="482">
        <v>295579.90000000002</v>
      </c>
    </row>
    <row r="16" spans="1:6" s="19" customFormat="1" ht="12" customHeight="1" x14ac:dyDescent="0.25">
      <c r="A16" s="11" t="s">
        <v>411</v>
      </c>
    </row>
    <row r="17" spans="1:1" s="19" customFormat="1" ht="12" customHeight="1" x14ac:dyDescent="0.25">
      <c r="A17" s="19" t="s">
        <v>399</v>
      </c>
    </row>
  </sheetData>
  <mergeCells count="3">
    <mergeCell ref="A3:A4"/>
    <mergeCell ref="B3:F3"/>
    <mergeCell ref="A1:F1"/>
  </mergeCells>
  <pageMargins left="0.7" right="0.7" top="0.75" bottom="0.75" header="0.3" footer="0.3"/>
  <pageSetup paperSize="9" scale="5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3"/>
  <sheetViews>
    <sheetView showGridLines="0" zoomScaleNormal="100" zoomScaleSheetLayoutView="145" workbookViewId="0">
      <selection activeCell="R29" sqref="A7:R29"/>
    </sheetView>
  </sheetViews>
  <sheetFormatPr baseColWidth="10" defaultColWidth="11.28515625" defaultRowHeight="12.75" customHeight="1" x14ac:dyDescent="0.3"/>
  <cols>
    <col min="1" max="1" width="12.28515625" style="43" customWidth="1"/>
    <col min="2" max="2" width="7.28515625" style="44" customWidth="1"/>
    <col min="3" max="10" width="7.42578125" style="44" customWidth="1"/>
    <col min="11" max="11" width="10.7109375" style="44" customWidth="1"/>
    <col min="12" max="12" width="9" style="44" customWidth="1"/>
    <col min="13" max="14" width="10.7109375" style="44" customWidth="1"/>
    <col min="15" max="15" width="5" style="37" customWidth="1"/>
    <col min="16" max="16" width="5.28515625" style="37" customWidth="1"/>
    <col min="17" max="17" width="4.7109375" style="37" customWidth="1"/>
    <col min="18" max="18" width="5.28515625" style="37" customWidth="1"/>
    <col min="19" max="19" width="5.7109375" style="37" customWidth="1"/>
    <col min="20" max="21" width="5" style="37" customWidth="1"/>
    <col min="22" max="22" width="6" style="37" customWidth="1"/>
    <col min="23" max="23" width="4.7109375" style="37" customWidth="1"/>
    <col min="24" max="24" width="5.7109375" style="37" customWidth="1"/>
    <col min="25" max="16384" width="11.28515625" style="37"/>
  </cols>
  <sheetData>
    <row r="1" spans="1:17" ht="15" customHeight="1" x14ac:dyDescent="0.3">
      <c r="A1" s="519" t="s">
        <v>425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</row>
    <row r="2" spans="1:17" ht="12.75" customHeight="1" x14ac:dyDescent="0.3">
      <c r="A2" s="521" t="s">
        <v>296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38"/>
    </row>
    <row r="3" spans="1:17" ht="12.75" customHeight="1" x14ac:dyDescent="0.3">
      <c r="A3" s="156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</row>
    <row r="4" spans="1:17" s="39" customFormat="1" ht="24" customHeight="1" x14ac:dyDescent="0.3">
      <c r="A4" s="489" t="s">
        <v>27</v>
      </c>
      <c r="B4" s="490" t="s">
        <v>148</v>
      </c>
      <c r="C4" s="490" t="s">
        <v>412</v>
      </c>
      <c r="D4" s="490" t="s">
        <v>413</v>
      </c>
      <c r="E4" s="490" t="s">
        <v>414</v>
      </c>
      <c r="F4" s="490" t="s">
        <v>415</v>
      </c>
      <c r="G4" s="490" t="s">
        <v>416</v>
      </c>
      <c r="H4" s="490" t="s">
        <v>417</v>
      </c>
      <c r="I4" s="490" t="s">
        <v>418</v>
      </c>
      <c r="J4" s="490" t="s">
        <v>419</v>
      </c>
      <c r="K4" s="490" t="s">
        <v>420</v>
      </c>
      <c r="L4" s="490" t="s">
        <v>421</v>
      </c>
      <c r="M4" s="490" t="s">
        <v>422</v>
      </c>
      <c r="N4" s="490" t="s">
        <v>423</v>
      </c>
    </row>
    <row r="5" spans="1:17" s="39" customFormat="1" ht="3" customHeight="1" x14ac:dyDescent="0.3">
      <c r="A5" s="491"/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3"/>
    </row>
    <row r="6" spans="1:17" ht="18" customHeight="1" x14ac:dyDescent="0.3">
      <c r="A6" s="492">
        <v>2006</v>
      </c>
      <c r="B6" s="494">
        <v>1820</v>
      </c>
      <c r="C6" s="495" t="s">
        <v>1</v>
      </c>
      <c r="D6" s="495" t="s">
        <v>1</v>
      </c>
      <c r="E6" s="495">
        <v>60</v>
      </c>
      <c r="F6" s="495" t="s">
        <v>1</v>
      </c>
      <c r="G6" s="495" t="s">
        <v>1</v>
      </c>
      <c r="H6" s="495" t="s">
        <v>1</v>
      </c>
      <c r="I6" s="495">
        <v>261</v>
      </c>
      <c r="J6" s="495">
        <v>232</v>
      </c>
      <c r="K6" s="495">
        <v>226</v>
      </c>
      <c r="L6" s="495">
        <v>204</v>
      </c>
      <c r="M6" s="495">
        <v>523</v>
      </c>
      <c r="N6" s="495">
        <v>314</v>
      </c>
      <c r="O6" s="40"/>
      <c r="P6" s="41"/>
      <c r="Q6" s="42"/>
    </row>
    <row r="7" spans="1:17" ht="18" customHeight="1" x14ac:dyDescent="0.3">
      <c r="A7" s="492">
        <v>2007</v>
      </c>
      <c r="B7" s="494">
        <v>16836</v>
      </c>
      <c r="C7" s="495">
        <v>920</v>
      </c>
      <c r="D7" s="495">
        <v>1535</v>
      </c>
      <c r="E7" s="495">
        <v>4016</v>
      </c>
      <c r="F7" s="495">
        <v>3136</v>
      </c>
      <c r="G7" s="495">
        <v>1393</v>
      </c>
      <c r="H7" s="495">
        <v>667</v>
      </c>
      <c r="I7" s="495">
        <v>590</v>
      </c>
      <c r="J7" s="495">
        <v>702</v>
      </c>
      <c r="K7" s="495">
        <v>936</v>
      </c>
      <c r="L7" s="495">
        <v>1304</v>
      </c>
      <c r="M7" s="495">
        <v>744</v>
      </c>
      <c r="N7" s="495">
        <v>893</v>
      </c>
      <c r="O7" s="40"/>
      <c r="P7" s="41"/>
      <c r="Q7" s="42"/>
    </row>
    <row r="8" spans="1:17" ht="18" customHeight="1" x14ac:dyDescent="0.3">
      <c r="A8" s="492">
        <v>2008</v>
      </c>
      <c r="B8" s="494">
        <v>24041</v>
      </c>
      <c r="C8" s="495">
        <v>1050</v>
      </c>
      <c r="D8" s="495">
        <v>2324</v>
      </c>
      <c r="E8" s="495">
        <v>2216</v>
      </c>
      <c r="F8" s="495">
        <v>1645</v>
      </c>
      <c r="G8" s="495">
        <v>1190</v>
      </c>
      <c r="H8" s="495">
        <v>2451</v>
      </c>
      <c r="I8" s="495">
        <v>2462</v>
      </c>
      <c r="J8" s="495">
        <v>3743</v>
      </c>
      <c r="K8" s="495">
        <v>4216</v>
      </c>
      <c r="L8" s="495">
        <v>2525</v>
      </c>
      <c r="M8" s="495">
        <v>162</v>
      </c>
      <c r="N8" s="495">
        <v>57</v>
      </c>
      <c r="O8" s="40"/>
      <c r="P8" s="41"/>
      <c r="Q8" s="42"/>
    </row>
    <row r="9" spans="1:17" ht="18" customHeight="1" x14ac:dyDescent="0.3">
      <c r="A9" s="492">
        <v>2009</v>
      </c>
      <c r="B9" s="494">
        <v>20213</v>
      </c>
      <c r="C9" s="495" t="s">
        <v>1</v>
      </c>
      <c r="D9" s="495">
        <v>1001</v>
      </c>
      <c r="E9" s="495">
        <v>2229</v>
      </c>
      <c r="F9" s="495">
        <v>1660</v>
      </c>
      <c r="G9" s="495">
        <v>1837</v>
      </c>
      <c r="H9" s="495">
        <v>2921</v>
      </c>
      <c r="I9" s="495">
        <v>3249</v>
      </c>
      <c r="J9" s="495">
        <v>2092</v>
      </c>
      <c r="K9" s="495">
        <v>2745</v>
      </c>
      <c r="L9" s="495">
        <v>1570</v>
      </c>
      <c r="M9" s="495">
        <v>869</v>
      </c>
      <c r="N9" s="495">
        <v>40</v>
      </c>
      <c r="O9" s="40"/>
      <c r="P9" s="41"/>
      <c r="Q9" s="42"/>
    </row>
    <row r="10" spans="1:17" ht="18" customHeight="1" x14ac:dyDescent="0.3">
      <c r="A10" s="492">
        <v>2010</v>
      </c>
      <c r="B10" s="494">
        <v>16164</v>
      </c>
      <c r="C10" s="495" t="s">
        <v>1</v>
      </c>
      <c r="D10" s="495" t="s">
        <v>1</v>
      </c>
      <c r="E10" s="495" t="s">
        <v>1</v>
      </c>
      <c r="F10" s="495">
        <v>3080</v>
      </c>
      <c r="G10" s="495">
        <v>1904</v>
      </c>
      <c r="H10" s="495">
        <v>2240</v>
      </c>
      <c r="I10" s="495">
        <v>3098</v>
      </c>
      <c r="J10" s="495">
        <v>2638</v>
      </c>
      <c r="K10" s="495">
        <v>1211</v>
      </c>
      <c r="L10" s="495">
        <v>315</v>
      </c>
      <c r="M10" s="495">
        <v>785</v>
      </c>
      <c r="N10" s="495">
        <v>893</v>
      </c>
      <c r="O10" s="40"/>
      <c r="P10" s="41"/>
      <c r="Q10" s="42"/>
    </row>
    <row r="11" spans="1:17" ht="18" customHeight="1" x14ac:dyDescent="0.3">
      <c r="A11" s="492">
        <v>2011</v>
      </c>
      <c r="B11" s="494">
        <v>16047</v>
      </c>
      <c r="C11" s="495">
        <v>800</v>
      </c>
      <c r="D11" s="495">
        <v>2176</v>
      </c>
      <c r="E11" s="495">
        <v>1171</v>
      </c>
      <c r="F11" s="495">
        <v>97</v>
      </c>
      <c r="G11" s="495">
        <v>382</v>
      </c>
      <c r="H11" s="495">
        <v>1040</v>
      </c>
      <c r="I11" s="495">
        <v>941</v>
      </c>
      <c r="J11" s="495">
        <v>709</v>
      </c>
      <c r="K11" s="495">
        <v>1232</v>
      </c>
      <c r="L11" s="495">
        <v>2300</v>
      </c>
      <c r="M11" s="495">
        <v>3222</v>
      </c>
      <c r="N11" s="495">
        <v>1977</v>
      </c>
      <c r="O11" s="40"/>
      <c r="P11" s="41"/>
      <c r="Q11" s="42"/>
    </row>
    <row r="12" spans="1:17" ht="18" customHeight="1" x14ac:dyDescent="0.3">
      <c r="A12" s="492">
        <v>2012</v>
      </c>
      <c r="B12" s="494">
        <v>19700</v>
      </c>
      <c r="C12" s="495">
        <v>113</v>
      </c>
      <c r="D12" s="495">
        <v>1143</v>
      </c>
      <c r="E12" s="495">
        <v>3405</v>
      </c>
      <c r="F12" s="495">
        <v>2624</v>
      </c>
      <c r="G12" s="495">
        <v>1360</v>
      </c>
      <c r="H12" s="495">
        <v>2615</v>
      </c>
      <c r="I12" s="495">
        <v>2382</v>
      </c>
      <c r="J12" s="495">
        <v>25</v>
      </c>
      <c r="K12" s="495">
        <v>1117</v>
      </c>
      <c r="L12" s="495">
        <v>3100</v>
      </c>
      <c r="M12" s="495">
        <v>1816</v>
      </c>
      <c r="N12" s="495" t="s">
        <v>1</v>
      </c>
      <c r="O12" s="40"/>
      <c r="P12" s="41"/>
      <c r="Q12" s="42"/>
    </row>
    <row r="13" spans="1:17" ht="18" customHeight="1" x14ac:dyDescent="0.3">
      <c r="A13" s="492">
        <v>2013</v>
      </c>
      <c r="B13" s="494">
        <v>23604</v>
      </c>
      <c r="C13" s="495" t="s">
        <v>1</v>
      </c>
      <c r="D13" s="495">
        <v>2907</v>
      </c>
      <c r="E13" s="495">
        <v>3019</v>
      </c>
      <c r="F13" s="495">
        <v>3012</v>
      </c>
      <c r="G13" s="495">
        <v>3250</v>
      </c>
      <c r="H13" s="495">
        <v>2820</v>
      </c>
      <c r="I13" s="495">
        <v>3216</v>
      </c>
      <c r="J13" s="495">
        <v>3242</v>
      </c>
      <c r="K13" s="495">
        <v>1308</v>
      </c>
      <c r="L13" s="495">
        <v>777</v>
      </c>
      <c r="M13" s="495">
        <v>53</v>
      </c>
      <c r="N13" s="495" t="s">
        <v>1</v>
      </c>
      <c r="O13" s="40"/>
      <c r="P13" s="41"/>
      <c r="Q13" s="42"/>
    </row>
    <row r="14" spans="1:17" ht="18" customHeight="1" x14ac:dyDescent="0.3">
      <c r="A14" s="492">
        <v>2014</v>
      </c>
      <c r="B14" s="494">
        <v>17519</v>
      </c>
      <c r="C14" s="495" t="s">
        <v>1</v>
      </c>
      <c r="D14" s="495">
        <v>63</v>
      </c>
      <c r="E14" s="495">
        <v>75</v>
      </c>
      <c r="F14" s="495">
        <v>463</v>
      </c>
      <c r="G14" s="495">
        <v>1102</v>
      </c>
      <c r="H14" s="495">
        <v>2063</v>
      </c>
      <c r="I14" s="495">
        <v>2619</v>
      </c>
      <c r="J14" s="495">
        <v>2171</v>
      </c>
      <c r="K14" s="495">
        <v>3527</v>
      </c>
      <c r="L14" s="495">
        <v>2081</v>
      </c>
      <c r="M14" s="495">
        <v>1811</v>
      </c>
      <c r="N14" s="495">
        <v>1544</v>
      </c>
      <c r="O14" s="40"/>
      <c r="P14" s="41"/>
      <c r="Q14" s="42"/>
    </row>
    <row r="15" spans="1:17" ht="18" customHeight="1" x14ac:dyDescent="0.3">
      <c r="A15" s="492">
        <v>2015</v>
      </c>
      <c r="B15" s="494">
        <v>20276</v>
      </c>
      <c r="C15" s="495">
        <v>2289</v>
      </c>
      <c r="D15" s="495">
        <v>158</v>
      </c>
      <c r="E15" s="495" t="s">
        <v>1</v>
      </c>
      <c r="F15" s="495" t="s">
        <v>1</v>
      </c>
      <c r="G15" s="495">
        <v>193</v>
      </c>
      <c r="H15" s="495">
        <v>1030</v>
      </c>
      <c r="I15" s="495">
        <v>1228</v>
      </c>
      <c r="J15" s="495">
        <v>1910</v>
      </c>
      <c r="K15" s="495">
        <v>2626</v>
      </c>
      <c r="L15" s="495">
        <v>4184</v>
      </c>
      <c r="M15" s="495">
        <v>3915</v>
      </c>
      <c r="N15" s="495">
        <v>2743</v>
      </c>
      <c r="O15" s="40"/>
      <c r="P15" s="41"/>
      <c r="Q15" s="42"/>
    </row>
    <row r="16" spans="1:17" ht="18" customHeight="1" x14ac:dyDescent="0.3">
      <c r="A16" s="492">
        <v>2016</v>
      </c>
      <c r="B16" s="494">
        <v>28395</v>
      </c>
      <c r="C16" s="495">
        <v>3791</v>
      </c>
      <c r="D16" s="495">
        <v>2970</v>
      </c>
      <c r="E16" s="495">
        <v>1809</v>
      </c>
      <c r="F16" s="495">
        <v>1518</v>
      </c>
      <c r="G16" s="495">
        <v>2724</v>
      </c>
      <c r="H16" s="495">
        <v>2024</v>
      </c>
      <c r="I16" s="495">
        <v>2429</v>
      </c>
      <c r="J16" s="495">
        <v>4448</v>
      </c>
      <c r="K16" s="495">
        <v>3661</v>
      </c>
      <c r="L16" s="495">
        <v>1025</v>
      </c>
      <c r="M16" s="495">
        <v>1628</v>
      </c>
      <c r="N16" s="495">
        <v>368</v>
      </c>
      <c r="O16" s="40"/>
      <c r="P16" s="41"/>
      <c r="Q16" s="42"/>
    </row>
    <row r="17" spans="1:17" ht="18" customHeight="1" x14ac:dyDescent="0.3">
      <c r="A17" s="492">
        <v>2017</v>
      </c>
      <c r="B17" s="494">
        <v>22953</v>
      </c>
      <c r="C17" s="495" t="s">
        <v>1</v>
      </c>
      <c r="D17" s="495">
        <v>2410</v>
      </c>
      <c r="E17" s="495">
        <v>3631</v>
      </c>
      <c r="F17" s="495">
        <v>1009</v>
      </c>
      <c r="G17" s="495">
        <v>285</v>
      </c>
      <c r="H17" s="495">
        <v>1200</v>
      </c>
      <c r="I17" s="495">
        <v>2497</v>
      </c>
      <c r="J17" s="495">
        <v>400</v>
      </c>
      <c r="K17" s="495">
        <v>2519</v>
      </c>
      <c r="L17" s="495">
        <v>3978</v>
      </c>
      <c r="M17" s="495">
        <v>3454</v>
      </c>
      <c r="N17" s="495">
        <v>1570</v>
      </c>
      <c r="O17" s="40"/>
      <c r="P17" s="41"/>
      <c r="Q17" s="42"/>
    </row>
    <row r="18" spans="1:17" ht="18" customHeight="1" x14ac:dyDescent="0.3">
      <c r="A18" s="492">
        <v>2018</v>
      </c>
      <c r="B18" s="494">
        <v>25542</v>
      </c>
      <c r="C18" s="496">
        <v>862</v>
      </c>
      <c r="D18" s="496" t="s">
        <v>1</v>
      </c>
      <c r="E18" s="496">
        <v>4100</v>
      </c>
      <c r="F18" s="496">
        <v>4350</v>
      </c>
      <c r="G18" s="496">
        <v>4505</v>
      </c>
      <c r="H18" s="496">
        <v>3200</v>
      </c>
      <c r="I18" s="496">
        <v>1613</v>
      </c>
      <c r="J18" s="496">
        <v>5800</v>
      </c>
      <c r="K18" s="496" t="s">
        <v>1</v>
      </c>
      <c r="L18" s="496" t="s">
        <v>1</v>
      </c>
      <c r="M18" s="496">
        <v>250</v>
      </c>
      <c r="N18" s="496">
        <v>862</v>
      </c>
      <c r="O18" s="40"/>
      <c r="P18" s="41"/>
      <c r="Q18" s="42"/>
    </row>
    <row r="19" spans="1:17" ht="18" customHeight="1" x14ac:dyDescent="0.3">
      <c r="A19" s="492">
        <v>2019</v>
      </c>
      <c r="B19" s="494">
        <v>28788</v>
      </c>
      <c r="C19" s="496" t="s">
        <v>1</v>
      </c>
      <c r="D19" s="496">
        <v>100</v>
      </c>
      <c r="E19" s="496">
        <v>4065</v>
      </c>
      <c r="F19" s="496">
        <v>2111</v>
      </c>
      <c r="G19" s="496">
        <v>2963</v>
      </c>
      <c r="H19" s="496">
        <v>2501</v>
      </c>
      <c r="I19" s="496">
        <v>1875</v>
      </c>
      <c r="J19" s="496">
        <v>2900</v>
      </c>
      <c r="K19" s="496">
        <v>2985</v>
      </c>
      <c r="L19" s="496">
        <v>2949</v>
      </c>
      <c r="M19" s="496">
        <v>4724</v>
      </c>
      <c r="N19" s="496">
        <v>1615</v>
      </c>
      <c r="O19" s="40"/>
      <c r="P19" s="41"/>
      <c r="Q19" s="42"/>
    </row>
    <row r="20" spans="1:17" ht="18" customHeight="1" x14ac:dyDescent="0.3">
      <c r="A20" s="492">
        <v>2020</v>
      </c>
      <c r="B20" s="494">
        <v>10029</v>
      </c>
      <c r="C20" s="496" t="s">
        <v>1</v>
      </c>
      <c r="D20" s="496">
        <v>975</v>
      </c>
      <c r="E20" s="496">
        <v>600</v>
      </c>
      <c r="F20" s="496">
        <v>400</v>
      </c>
      <c r="G20" s="496">
        <v>860</v>
      </c>
      <c r="H20" s="496">
        <v>760</v>
      </c>
      <c r="I20" s="496">
        <v>1209</v>
      </c>
      <c r="J20" s="496">
        <v>612</v>
      </c>
      <c r="K20" s="496">
        <v>1000</v>
      </c>
      <c r="L20" s="496">
        <v>1500</v>
      </c>
      <c r="M20" s="496">
        <v>750</v>
      </c>
      <c r="N20" s="496">
        <v>1363</v>
      </c>
      <c r="O20" s="40"/>
      <c r="P20" s="41"/>
      <c r="Q20" s="42"/>
    </row>
    <row r="21" spans="1:17" ht="18" customHeight="1" x14ac:dyDescent="0.3">
      <c r="A21" s="498">
        <v>2021</v>
      </c>
      <c r="B21" s="499">
        <f>SUM(C21:N21)</f>
        <v>23086.75</v>
      </c>
      <c r="C21" s="500">
        <v>2050</v>
      </c>
      <c r="D21" s="500">
        <f>3950-2050</f>
        <v>1900</v>
      </c>
      <c r="E21" s="500">
        <f>8350.3-3950</f>
        <v>4400.2999999999993</v>
      </c>
      <c r="F21" s="500">
        <v>3354.45</v>
      </c>
      <c r="G21" s="500">
        <v>1600</v>
      </c>
      <c r="H21" s="500">
        <f>14331-13305</f>
        <v>1026</v>
      </c>
      <c r="I21" s="500">
        <f>16311-14331</f>
        <v>1980</v>
      </c>
      <c r="J21" s="500">
        <v>3165</v>
      </c>
      <c r="K21" s="500">
        <v>1350</v>
      </c>
      <c r="L21" s="500">
        <v>1646</v>
      </c>
      <c r="M21" s="500">
        <v>253</v>
      </c>
      <c r="N21" s="500">
        <v>362</v>
      </c>
      <c r="O21" s="40"/>
      <c r="P21" s="41"/>
      <c r="Q21" s="42"/>
    </row>
    <row r="22" spans="1:17" s="20" customFormat="1" ht="12" customHeight="1" x14ac:dyDescent="0.25">
      <c r="A22" s="119" t="s">
        <v>322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7" ht="12" customHeight="1" x14ac:dyDescent="0.3">
      <c r="A23" s="159" t="s">
        <v>323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</row>
  </sheetData>
  <mergeCells count="2">
    <mergeCell ref="A1:N1"/>
    <mergeCell ref="A2:N2"/>
  </mergeCells>
  <printOptions horizontalCentered="1"/>
  <pageMargins left="0.47244094488188981" right="0.35433070866141736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23</vt:i4>
      </vt:variant>
    </vt:vector>
  </HeadingPairs>
  <TitlesOfParts>
    <vt:vector size="46" baseType="lpstr">
      <vt:lpstr>1-2h</vt:lpstr>
      <vt:lpstr>3h</vt:lpstr>
      <vt:lpstr>4h</vt:lpstr>
      <vt:lpstr>5h</vt:lpstr>
      <vt:lpstr>6h</vt:lpstr>
      <vt:lpstr>1f</vt:lpstr>
      <vt:lpstr>2f</vt:lpstr>
      <vt:lpstr>3f</vt:lpstr>
      <vt:lpstr>4f</vt:lpstr>
      <vt:lpstr>5f</vt:lpstr>
      <vt:lpstr>6f</vt:lpstr>
      <vt:lpstr>7f</vt:lpstr>
      <vt:lpstr>8f</vt:lpstr>
      <vt:lpstr>9f</vt:lpstr>
      <vt:lpstr>10f</vt:lpstr>
      <vt:lpstr>245_1i</vt:lpstr>
      <vt:lpstr>2i</vt:lpstr>
      <vt:lpstr>3i</vt:lpstr>
      <vt:lpstr>4i</vt:lpstr>
      <vt:lpstr>5i</vt:lpstr>
      <vt:lpstr>6i</vt:lpstr>
      <vt:lpstr>7i</vt:lpstr>
      <vt:lpstr>8i</vt:lpstr>
      <vt:lpstr>'10f'!Área_de_impresión</vt:lpstr>
      <vt:lpstr>'1-2h'!Área_de_impresión</vt:lpstr>
      <vt:lpstr>'1f'!Área_de_impresión</vt:lpstr>
      <vt:lpstr>'245_1i'!Área_de_impresión</vt:lpstr>
      <vt:lpstr>'2f'!Área_de_impresión</vt:lpstr>
      <vt:lpstr>'2i'!Área_de_impresión</vt:lpstr>
      <vt:lpstr>'3f'!Área_de_impresión</vt:lpstr>
      <vt:lpstr>'3h'!Área_de_impresión</vt:lpstr>
      <vt:lpstr>'3i'!Área_de_impresión</vt:lpstr>
      <vt:lpstr>'4f'!Área_de_impresión</vt:lpstr>
      <vt:lpstr>'4h'!Área_de_impresión</vt:lpstr>
      <vt:lpstr>'4i'!Área_de_impresión</vt:lpstr>
      <vt:lpstr>'5f'!Área_de_impresión</vt:lpstr>
      <vt:lpstr>'5h'!Área_de_impresión</vt:lpstr>
      <vt:lpstr>'5i'!Área_de_impresión</vt:lpstr>
      <vt:lpstr>'6f'!Área_de_impresión</vt:lpstr>
      <vt:lpstr>'6h'!Área_de_impresión</vt:lpstr>
      <vt:lpstr>'6i'!Área_de_impresión</vt:lpstr>
      <vt:lpstr>'7f'!Área_de_impresión</vt:lpstr>
      <vt:lpstr>'7i'!Área_de_impresión</vt:lpstr>
      <vt:lpstr>'8f'!Área_de_impresión</vt:lpstr>
      <vt:lpstr>'8i'!Área_de_impresión</vt:lpstr>
      <vt:lpstr>'9f'!Área_de_impresión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Quispe</dc:creator>
  <cp:lastModifiedBy>Ana Huauya Tacza</cp:lastModifiedBy>
  <cp:lastPrinted>2022-11-18T15:55:28Z</cp:lastPrinted>
  <dcterms:created xsi:type="dcterms:W3CDTF">2021-11-07T01:40:19Z</dcterms:created>
  <dcterms:modified xsi:type="dcterms:W3CDTF">2022-12-20T17:12:29Z</dcterms:modified>
</cp:coreProperties>
</file>